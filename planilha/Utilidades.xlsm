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\Documents\Python\paubrasil\"/>
    </mc:Choice>
  </mc:AlternateContent>
  <xr:revisionPtr revIDLastSave="0" documentId="13_ncr:1_{D59B14E4-6712-4201-9AC5-EA2E6CF7CB44}" xr6:coauthVersionLast="47" xr6:coauthVersionMax="47" xr10:uidLastSave="{00000000-0000-0000-0000-000000000000}"/>
  <bookViews>
    <workbookView xWindow="-120" yWindow="-120" windowWidth="20730" windowHeight="11040" activeTab="6" xr2:uid="{00000000-000D-0000-FFFF-FFFF00000000}"/>
  </bookViews>
  <sheets>
    <sheet name="Relatório" sheetId="5" r:id="rId1"/>
    <sheet name="Clientes" sheetId="13" r:id="rId2"/>
    <sheet name="Recolhas" sheetId="9" r:id="rId3"/>
    <sheet name="NotasDoCliente" sheetId="7" r:id="rId4"/>
    <sheet name="TROCAS" sheetId="17" r:id="rId5"/>
    <sheet name="Devoluções" sheetId="1" r:id="rId6"/>
    <sheet name="CEMC" sheetId="6" r:id="rId7"/>
    <sheet name="PrecoVasilhame" sheetId="15" r:id="rId8"/>
    <sheet name="Vasilhames" sheetId="8" r:id="rId9"/>
    <sheet name="CarregarRelatorios" sheetId="12" r:id="rId10"/>
    <sheet name="Base" sheetId="4" state="hidden" r:id="rId11"/>
    <sheet name="BaseProduto" sheetId="18" state="hidden" r:id="rId12"/>
    <sheet name="BaseRecolhas" sheetId="10" state="hidden" r:id="rId13"/>
    <sheet name="BaseVendedores" sheetId="14" state="hidden" r:id="rId14"/>
    <sheet name="BaseClientes" sheetId="11" state="hidden" r:id="rId15"/>
  </sheets>
  <functionGroups builtInGroupCount="19"/>
  <definedNames>
    <definedName name="_xlnm._FilterDatabase" localSheetId="10" hidden="1">Base!$A$1:$CQ$5482</definedName>
    <definedName name="_xlnm._FilterDatabase" localSheetId="14" hidden="1">BaseClientes!$A$1:$J$45225</definedName>
    <definedName name="_xlnm._FilterDatabase" localSheetId="11" hidden="1">BaseProduto!$A$1:$C$18032</definedName>
    <definedName name="_xlnm._FilterDatabase" localSheetId="12" hidden="1">BaseRecolhas!$C$2:$C$47560</definedName>
    <definedName name="_xlnm._FilterDatabase" localSheetId="6" hidden="1">CEMC!$B$1:$G$42</definedName>
    <definedName name="_xlnm._FilterDatabase" localSheetId="5" hidden="1">Devoluções!$A$2:$H$12</definedName>
    <definedName name="_xlnm._FilterDatabase" localSheetId="0" hidden="1">Relatório!$A$2:$E$4</definedName>
    <definedName name="_xlnm._FilterDatabase" localSheetId="4" hidden="1">TROCAS!$A$2:$G$2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3" l="1" a="1"/>
  <c r="D13" i="13" s="1"/>
  <c r="B13" i="13" s="1"/>
  <c r="B11" i="13" a="1"/>
  <c r="B11" i="13" s="1"/>
  <c r="B9" i="13" a="1"/>
  <c r="B9" i="13" s="1"/>
  <c r="F11" i="13" a="1"/>
  <c r="F11" i="13" s="1"/>
  <c r="D11" i="13" a="1"/>
  <c r="D11" i="13" s="1"/>
  <c r="B7" i="13" a="1"/>
  <c r="B7" i="13" s="1"/>
  <c r="B5" i="13" a="1"/>
  <c r="B5" i="13" s="1"/>
  <c r="B3" i="13" a="1"/>
  <c r="B3" i="13" s="1"/>
  <c r="G5" i="13" l="1"/>
  <c r="H40" i="9" l="1"/>
  <c r="G40" i="9"/>
  <c r="C40" i="9"/>
  <c r="E40" i="9" s="1"/>
  <c r="B40" i="9"/>
  <c r="H39" i="9"/>
  <c r="G39" i="9"/>
  <c r="C39" i="9"/>
  <c r="M39" i="9" s="1"/>
  <c r="I39" i="9" s="1"/>
  <c r="B39" i="9"/>
  <c r="H38" i="9"/>
  <c r="G38" i="9"/>
  <c r="C38" i="9"/>
  <c r="M38" i="9" s="1"/>
  <c r="I38" i="9" s="1"/>
  <c r="B38" i="9"/>
  <c r="H37" i="9"/>
  <c r="G37" i="9"/>
  <c r="C37" i="9"/>
  <c r="E37" i="9" s="1"/>
  <c r="B37" i="9"/>
  <c r="H36" i="9"/>
  <c r="G36" i="9"/>
  <c r="C36" i="9"/>
  <c r="M36" i="9" s="1"/>
  <c r="I36" i="9" s="1"/>
  <c r="B36" i="9"/>
  <c r="H35" i="9"/>
  <c r="G35" i="9"/>
  <c r="F35" i="9"/>
  <c r="C35" i="9"/>
  <c r="M35" i="9" s="1"/>
  <c r="I35" i="9" s="1"/>
  <c r="B35" i="9"/>
  <c r="H34" i="9"/>
  <c r="G34" i="9"/>
  <c r="C34" i="9"/>
  <c r="E34" i="9" s="1"/>
  <c r="B34" i="9"/>
  <c r="H33" i="9"/>
  <c r="G33" i="9"/>
  <c r="C33" i="9"/>
  <c r="M33" i="9" s="1"/>
  <c r="I33" i="9" s="1"/>
  <c r="B33" i="9"/>
  <c r="H32" i="9"/>
  <c r="G32" i="9"/>
  <c r="C32" i="9"/>
  <c r="M32" i="9" s="1"/>
  <c r="I32" i="9" s="1"/>
  <c r="B32" i="9"/>
  <c r="H31" i="9"/>
  <c r="G31" i="9"/>
  <c r="C31" i="9"/>
  <c r="E31" i="9" s="1"/>
  <c r="B31" i="9"/>
  <c r="H30" i="9"/>
  <c r="G30" i="9"/>
  <c r="C30" i="9"/>
  <c r="M30" i="9" s="1"/>
  <c r="I30" i="9" s="1"/>
  <c r="B30" i="9"/>
  <c r="H29" i="9"/>
  <c r="G29" i="9"/>
  <c r="C29" i="9"/>
  <c r="M29" i="9" s="1"/>
  <c r="I29" i="9" s="1"/>
  <c r="B29" i="9"/>
  <c r="H28" i="9"/>
  <c r="G28" i="9"/>
  <c r="C28" i="9"/>
  <c r="E28" i="9" s="1"/>
  <c r="B28" i="9"/>
  <c r="H27" i="9"/>
  <c r="G27" i="9"/>
  <c r="C27" i="9"/>
  <c r="M27" i="9" s="1"/>
  <c r="I27" i="9" s="1"/>
  <c r="B27" i="9"/>
  <c r="H26" i="9"/>
  <c r="G26" i="9"/>
  <c r="C26" i="9"/>
  <c r="M26" i="9" s="1"/>
  <c r="I26" i="9" s="1"/>
  <c r="B26" i="9"/>
  <c r="H25" i="9"/>
  <c r="G25" i="9"/>
  <c r="C25" i="9"/>
  <c r="E25" i="9" s="1"/>
  <c r="B25" i="9"/>
  <c r="H24" i="9"/>
  <c r="G24" i="9"/>
  <c r="C24" i="9"/>
  <c r="M24" i="9" s="1"/>
  <c r="I24" i="9" s="1"/>
  <c r="B24" i="9"/>
  <c r="H23" i="9"/>
  <c r="G23" i="9"/>
  <c r="C23" i="9"/>
  <c r="M23" i="9" s="1"/>
  <c r="I23" i="9" s="1"/>
  <c r="B23" i="9"/>
  <c r="H22" i="9"/>
  <c r="G22" i="9"/>
  <c r="C22" i="9"/>
  <c r="E22" i="9" s="1"/>
  <c r="B22" i="9"/>
  <c r="H21" i="9"/>
  <c r="G21" i="9"/>
  <c r="C21" i="9"/>
  <c r="F21" i="9" s="1"/>
  <c r="B21" i="9"/>
  <c r="H20" i="9"/>
  <c r="G20" i="9"/>
  <c r="C20" i="9"/>
  <c r="M20" i="9" s="1"/>
  <c r="I20" i="9" s="1"/>
  <c r="B20" i="9"/>
  <c r="H19" i="9"/>
  <c r="G19" i="9"/>
  <c r="C19" i="9"/>
  <c r="E19" i="9" s="1"/>
  <c r="B19" i="9"/>
  <c r="H18" i="9"/>
  <c r="G18" i="9"/>
  <c r="C18" i="9"/>
  <c r="E18" i="9" s="1"/>
  <c r="B18" i="9"/>
  <c r="H17" i="9"/>
  <c r="G17" i="9"/>
  <c r="C17" i="9"/>
  <c r="M17" i="9" s="1"/>
  <c r="I17" i="9" s="1"/>
  <c r="B17" i="9"/>
  <c r="H16" i="9"/>
  <c r="G16" i="9"/>
  <c r="C16" i="9"/>
  <c r="E16" i="9" s="1"/>
  <c r="B16" i="9"/>
  <c r="H15" i="9"/>
  <c r="G15" i="9"/>
  <c r="C15" i="9"/>
  <c r="M15" i="9" s="1"/>
  <c r="I15" i="9" s="1"/>
  <c r="B15" i="9"/>
  <c r="H14" i="9"/>
  <c r="G14" i="9"/>
  <c r="C14" i="9"/>
  <c r="M14" i="9" s="1"/>
  <c r="I14" i="9" s="1"/>
  <c r="B14" i="9"/>
  <c r="H13" i="9"/>
  <c r="G13" i="9"/>
  <c r="C13" i="9"/>
  <c r="E13" i="9" s="1"/>
  <c r="B13" i="9"/>
  <c r="M12" i="9"/>
  <c r="I12" i="9" s="1"/>
  <c r="H12" i="9"/>
  <c r="G12" i="9"/>
  <c r="F12" i="9"/>
  <c r="E12" i="9"/>
  <c r="C12" i="9"/>
  <c r="B12" i="9"/>
  <c r="H11" i="9"/>
  <c r="G11" i="9"/>
  <c r="C11" i="9"/>
  <c r="M11" i="9" s="1"/>
  <c r="I11" i="9" s="1"/>
  <c r="B11" i="9"/>
  <c r="M10" i="9"/>
  <c r="I10" i="9" s="1"/>
  <c r="H10" i="9"/>
  <c r="G10" i="9"/>
  <c r="C10" i="9"/>
  <c r="E10" i="9" s="1"/>
  <c r="B10" i="9"/>
  <c r="H9" i="9"/>
  <c r="G9" i="9"/>
  <c r="C9" i="9"/>
  <c r="M9" i="9" s="1"/>
  <c r="I9" i="9" s="1"/>
  <c r="B9" i="9"/>
  <c r="H8" i="9"/>
  <c r="G8" i="9"/>
  <c r="C8" i="9"/>
  <c r="M8" i="9" s="1"/>
  <c r="I8" i="9" s="1"/>
  <c r="B8" i="9"/>
  <c r="H7" i="9"/>
  <c r="G7" i="9"/>
  <c r="C7" i="9"/>
  <c r="E7" i="9" s="1"/>
  <c r="B7" i="9"/>
  <c r="H6" i="9"/>
  <c r="G6" i="9"/>
  <c r="C6" i="9"/>
  <c r="E6" i="9" s="1"/>
  <c r="B6" i="9"/>
  <c r="H5" i="9"/>
  <c r="G5" i="9"/>
  <c r="C5" i="9"/>
  <c r="M5" i="9" s="1"/>
  <c r="I5" i="9" s="1"/>
  <c r="B5" i="9"/>
  <c r="H4" i="9"/>
  <c r="G4" i="9"/>
  <c r="C4" i="9"/>
  <c r="E4" i="9" s="1"/>
  <c r="B4" i="9"/>
  <c r="M3" i="9"/>
  <c r="I3" i="9" s="1"/>
  <c r="H3" i="9"/>
  <c r="G3" i="9"/>
  <c r="F3" i="9"/>
  <c r="E3" i="9"/>
  <c r="C3" i="9"/>
  <c r="B3" i="9"/>
  <c r="O4" i="8"/>
  <c r="O20" i="8"/>
  <c r="O10" i="8"/>
  <c r="O5" i="8"/>
  <c r="O6" i="8"/>
  <c r="O7" i="8"/>
  <c r="O8" i="8"/>
  <c r="O9" i="8"/>
  <c r="O12" i="8"/>
  <c r="O13" i="8"/>
  <c r="O14" i="8"/>
  <c r="O15" i="8"/>
  <c r="O16" i="8"/>
  <c r="O17" i="8"/>
  <c r="O18" i="8"/>
  <c r="O19" i="8"/>
  <c r="M25" i="9" l="1"/>
  <c r="I25" i="9" s="1"/>
  <c r="M18" i="9"/>
  <c r="I18" i="9" s="1"/>
  <c r="F10" i="9"/>
  <c r="M4" i="9"/>
  <c r="I4" i="9" s="1"/>
  <c r="E36" i="9"/>
  <c r="F36" i="9"/>
  <c r="M19" i="9"/>
  <c r="I19" i="9" s="1"/>
  <c r="M21" i="9"/>
  <c r="I21" i="9" s="1"/>
  <c r="E38" i="9"/>
  <c r="E29" i="9"/>
  <c r="M31" i="9"/>
  <c r="I31" i="9" s="1"/>
  <c r="E8" i="9"/>
  <c r="E27" i="9"/>
  <c r="E15" i="9"/>
  <c r="M34" i="9"/>
  <c r="I34" i="9" s="1"/>
  <c r="M22" i="9"/>
  <c r="I22" i="9" s="1"/>
  <c r="F8" i="9"/>
  <c r="F6" i="9"/>
  <c r="F27" i="9"/>
  <c r="F29" i="9"/>
  <c r="E20" i="9"/>
  <c r="F25" i="9"/>
  <c r="E11" i="9"/>
  <c r="F18" i="9"/>
  <c r="F20" i="9"/>
  <c r="M6" i="9"/>
  <c r="I6" i="9" s="1"/>
  <c r="F11" i="9"/>
  <c r="F13" i="9"/>
  <c r="F37" i="9"/>
  <c r="F30" i="9"/>
  <c r="F28" i="9"/>
  <c r="M16" i="9"/>
  <c r="I16" i="9" s="1"/>
  <c r="E14" i="9"/>
  <c r="F31" i="9"/>
  <c r="E33" i="9"/>
  <c r="F14" i="9"/>
  <c r="F16" i="9"/>
  <c r="F33" i="9"/>
  <c r="E35" i="9"/>
  <c r="E39" i="9"/>
  <c r="F39" i="9"/>
  <c r="E5" i="9"/>
  <c r="F22" i="9"/>
  <c r="E24" i="9"/>
  <c r="F5" i="9"/>
  <c r="F7" i="9"/>
  <c r="E9" i="9"/>
  <c r="F24" i="9"/>
  <c r="E26" i="9"/>
  <c r="F9" i="9"/>
  <c r="F26" i="9"/>
  <c r="E30" i="9"/>
  <c r="M37" i="9"/>
  <c r="I37" i="9" s="1"/>
  <c r="E32" i="9"/>
  <c r="F34" i="9"/>
  <c r="F40" i="9"/>
  <c r="F17" i="9"/>
  <c r="F19" i="9"/>
  <c r="E21" i="9"/>
  <c r="M28" i="9"/>
  <c r="I28" i="9" s="1"/>
  <c r="F4" i="9"/>
  <c r="M13" i="9"/>
  <c r="I13" i="9" s="1"/>
  <c r="E23" i="9"/>
  <c r="F38" i="9"/>
  <c r="M7" i="9"/>
  <c r="I7" i="9" s="1"/>
  <c r="F15" i="9"/>
  <c r="E17" i="9"/>
  <c r="F32" i="9"/>
  <c r="F23" i="9"/>
  <c r="M40" i="9"/>
  <c r="I40" i="9" s="1"/>
  <c r="O11" i="8"/>
  <c r="F6" i="15" l="1"/>
  <c r="H6" i="15" s="1"/>
  <c r="E6" i="15"/>
  <c r="F5" i="15"/>
  <c r="H5" i="15" s="1"/>
  <c r="E5" i="15"/>
  <c r="F4" i="15"/>
  <c r="H4" i="15" s="1"/>
  <c r="E4" i="15"/>
  <c r="C8" i="15" l="1"/>
  <c r="J11" i="12" l="1"/>
  <c r="J8" i="12" l="1"/>
  <c r="J10" i="12" l="1"/>
  <c r="J9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<sst xmlns="http://schemas.openxmlformats.org/spreadsheetml/2006/main" count="4076" uniqueCount="3341">
  <si>
    <t>MAPA</t>
  </si>
  <si>
    <t>NB</t>
  </si>
  <si>
    <t>NOTA</t>
  </si>
  <si>
    <t>CLIENTE</t>
  </si>
  <si>
    <t>PRODUTOS</t>
  </si>
  <si>
    <t>QNT</t>
  </si>
  <si>
    <t>UNID</t>
  </si>
  <si>
    <t>COD</t>
  </si>
  <si>
    <t>Produto</t>
  </si>
  <si>
    <t>Unidade</t>
  </si>
  <si>
    <t>Total</t>
  </si>
  <si>
    <t>VALOR</t>
  </si>
  <si>
    <t>PGMT</t>
  </si>
  <si>
    <t>HORA</t>
  </si>
  <si>
    <t>RELATORIO DOS CLIENTES</t>
  </si>
  <si>
    <t>1L</t>
  </si>
  <si>
    <t>cont</t>
  </si>
  <si>
    <t>dif</t>
  </si>
  <si>
    <t>total</t>
  </si>
  <si>
    <t>DATA</t>
  </si>
  <si>
    <t>Nº NF-e</t>
  </si>
  <si>
    <t>FANTASIA</t>
  </si>
  <si>
    <t>CIDADE</t>
  </si>
  <si>
    <t>MATERIAL</t>
  </si>
  <si>
    <t>MOTORISTA</t>
  </si>
  <si>
    <t>MOTIVO</t>
  </si>
  <si>
    <t>QNTD</t>
  </si>
  <si>
    <t>NFE</t>
  </si>
  <si>
    <t>SALDO</t>
  </si>
  <si>
    <t>RAZÃO</t>
  </si>
  <si>
    <t>CATEGORIA</t>
  </si>
  <si>
    <t>TEL1</t>
  </si>
  <si>
    <t>TEL2</t>
  </si>
  <si>
    <t>TEL3</t>
  </si>
  <si>
    <t xml:space="preserve">                                                    </t>
  </si>
  <si>
    <t xml:space="preserve"> 83  3375-4207  |   83  8865-5072                   </t>
  </si>
  <si>
    <t xml:space="preserve"> 83  3382-1190                                      </t>
  </si>
  <si>
    <t xml:space="preserve"> 83  3333-3333                                      </t>
  </si>
  <si>
    <t xml:space="preserve"> 83  3522-4090                                      </t>
  </si>
  <si>
    <t xml:space="preserve"> 83 99695-4750                                      </t>
  </si>
  <si>
    <t xml:space="preserve"> 83 98807-8788                                      </t>
  </si>
  <si>
    <t xml:space="preserve"> 83  9900-0000                                      </t>
  </si>
  <si>
    <t xml:space="preserve"> 83 99939-8109                                      </t>
  </si>
  <si>
    <t xml:space="preserve"> 83 99814-0340                                      </t>
  </si>
  <si>
    <t xml:space="preserve"> 83 99956-2216                                      </t>
  </si>
  <si>
    <t xml:space="preserve"> 83 99926-0237                                      </t>
  </si>
  <si>
    <t xml:space="preserve"> 83 99637-0392                                      </t>
  </si>
  <si>
    <t xml:space="preserve"> 83 99698-2221                                      </t>
  </si>
  <si>
    <t xml:space="preserve"> 83 98170-2685                                      </t>
  </si>
  <si>
    <t xml:space="preserve"> 83 99646-0910                                      </t>
  </si>
  <si>
    <t xml:space="preserve"> 83 98117-0505                                      </t>
  </si>
  <si>
    <t xml:space="preserve"> 83  3522-4090  |   83  3522-4090                   </t>
  </si>
  <si>
    <t xml:space="preserve"> 83 99849-0256                                      </t>
  </si>
  <si>
    <t xml:space="preserve"> 83 99959-4748                                      </t>
  </si>
  <si>
    <t xml:space="preserve"> 83 99937-3159                                      </t>
  </si>
  <si>
    <t xml:space="preserve"> 83 98104-8505                                      </t>
  </si>
  <si>
    <t xml:space="preserve"> 83 98114-4921                                      </t>
  </si>
  <si>
    <t xml:space="preserve"> 83 99975-7508                                      </t>
  </si>
  <si>
    <t xml:space="preserve"> 83 98740-5688                                      </t>
  </si>
  <si>
    <t xml:space="preserve"> 83 99894-8974                                      </t>
  </si>
  <si>
    <t xml:space="preserve"> 83  3372-2437                                      </t>
  </si>
  <si>
    <t xml:space="preserve"> 83  3463-2778                                      </t>
  </si>
  <si>
    <t xml:space="preserve"> 83 99844-8753                                      </t>
  </si>
  <si>
    <t xml:space="preserve"> 83 98834-2539                                      </t>
  </si>
  <si>
    <t xml:space="preserve"> 83 98129-1576                                      </t>
  </si>
  <si>
    <t xml:space="preserve"> 83 98138-2378                                      </t>
  </si>
  <si>
    <t xml:space="preserve"> 83 99904-6092                                      </t>
  </si>
  <si>
    <t xml:space="preserve"> 83 99854-5668                                      </t>
  </si>
  <si>
    <t xml:space="preserve"> 83 99981-2896                                      </t>
  </si>
  <si>
    <t xml:space="preserve"> 83 98804-4891                                      </t>
  </si>
  <si>
    <t xml:space="preserve"> 83 99649-4382                                      </t>
  </si>
  <si>
    <t xml:space="preserve"> 83 99390-2575                                      </t>
  </si>
  <si>
    <t xml:space="preserve"> 83 99967-7000                                      </t>
  </si>
  <si>
    <t xml:space="preserve"> 83 99983-1106                                      </t>
  </si>
  <si>
    <t xml:space="preserve"> 83  3338-1209                                      </t>
  </si>
  <si>
    <t xml:space="preserve"> 83 98840-2296                                      </t>
  </si>
  <si>
    <t xml:space="preserve"> 83  3383-1894                                      </t>
  </si>
  <si>
    <t xml:space="preserve"> 83  3383-1010                                      </t>
  </si>
  <si>
    <t xml:space="preserve"> 83 99641-9267                                      </t>
  </si>
  <si>
    <t xml:space="preserve"> 83  9168-5739                                      </t>
  </si>
  <si>
    <t xml:space="preserve"> 83  0382-1381                                      </t>
  </si>
  <si>
    <t xml:space="preserve"> 83  9124-5976                                      </t>
  </si>
  <si>
    <t xml:space="preserve"> 83 99390-3018                                      </t>
  </si>
  <si>
    <t xml:space="preserve"> 83 99859-0203                                      </t>
  </si>
  <si>
    <t xml:space="preserve"> 83 99654-8820                                      </t>
  </si>
  <si>
    <t xml:space="preserve"> 83 98180-5692  |   83 98180-5692                   </t>
  </si>
  <si>
    <t xml:space="preserve"> 83 99908-5515                                      </t>
  </si>
  <si>
    <t xml:space="preserve"> 83 98140-5878                                      </t>
  </si>
  <si>
    <t xml:space="preserve"> 83 99693-6064                                      </t>
  </si>
  <si>
    <t xml:space="preserve"> 83 98771-4440                                      </t>
  </si>
  <si>
    <t xml:space="preserve"> 83 98188-1057                                      </t>
  </si>
  <si>
    <t xml:space="preserve"> 83 99659-1714  |   83 99659-1714                   </t>
  </si>
  <si>
    <t xml:space="preserve"> 83 99689-0274                                      </t>
  </si>
  <si>
    <t xml:space="preserve"> 83 98117-0561                                      </t>
  </si>
  <si>
    <t xml:space="preserve"> 83 99301-6522                                      </t>
  </si>
  <si>
    <t xml:space="preserve"> 83 98675-8304  |   83 98675-8304                   </t>
  </si>
  <si>
    <t xml:space="preserve"> 83 99104-7626                                      </t>
  </si>
  <si>
    <t xml:space="preserve"> 83 99630-5459                                      </t>
  </si>
  <si>
    <t xml:space="preserve"> 83 99889-0716                                      </t>
  </si>
  <si>
    <t xml:space="preserve"> 83 99639-9143                                      </t>
  </si>
  <si>
    <t xml:space="preserve"> 83 99858-6942                                      </t>
  </si>
  <si>
    <t xml:space="preserve"> 83 99809-8996                                      </t>
  </si>
  <si>
    <t xml:space="preserve"> 83 99372-4515                                      </t>
  </si>
  <si>
    <t xml:space="preserve"> 83 98135-4637                                      </t>
  </si>
  <si>
    <t xml:space="preserve"> 83 98202-1348                                      </t>
  </si>
  <si>
    <t xml:space="preserve"> 83 99802-5863                                      </t>
  </si>
  <si>
    <t xml:space="preserve"> 83 99907-2989                                      </t>
  </si>
  <si>
    <t xml:space="preserve"> 83 99378-5887                                      </t>
  </si>
  <si>
    <t xml:space="preserve"> 83 99922-0711                                      </t>
  </si>
  <si>
    <t xml:space="preserve"> 83 99941-1780                                      </t>
  </si>
  <si>
    <t xml:space="preserve"> 83 99195-1379                                      </t>
  </si>
  <si>
    <t xml:space="preserve"> 83 99601-5754                                      </t>
  </si>
  <si>
    <t xml:space="preserve"> 83 99849-8388  |   83 99849-8388                   </t>
  </si>
  <si>
    <t xml:space="preserve"> 11 96970-2296                                      </t>
  </si>
  <si>
    <t xml:space="preserve"> 83 99623-0361                                      </t>
  </si>
  <si>
    <t xml:space="preserve"> 83 99817-5398                                      </t>
  </si>
  <si>
    <t xml:space="preserve"> 83 98610-5787                                      </t>
  </si>
  <si>
    <t xml:space="preserve"> 83 98731-5245                                      </t>
  </si>
  <si>
    <t xml:space="preserve"> 83 98633-8913                                      </t>
  </si>
  <si>
    <t xml:space="preserve"> 83 98893-1550                                      </t>
  </si>
  <si>
    <t xml:space="preserve"> 83 99948-0595  |   83 99948-0595                   </t>
  </si>
  <si>
    <t xml:space="preserve"> 83 98112-6727  |   83 98112-6727                   </t>
  </si>
  <si>
    <t xml:space="preserve"> 83 99670-0446                                      </t>
  </si>
  <si>
    <t xml:space="preserve"> 83 99942-8462                                      </t>
  </si>
  <si>
    <t xml:space="preserve"> 83 98150-2418                                      </t>
  </si>
  <si>
    <t xml:space="preserve"> 83 99950-4932  |   83 99950-4932                   </t>
  </si>
  <si>
    <t xml:space="preserve"> 83 99608-3951                                      </t>
  </si>
  <si>
    <t xml:space="preserve"> 83  3421-5692  |   83  3421-5692                   </t>
  </si>
  <si>
    <t xml:space="preserve"> 83 98743-5709                                      </t>
  </si>
  <si>
    <t xml:space="preserve"> 83 99694-9266                                      </t>
  </si>
  <si>
    <t xml:space="preserve"> 83 99164-4612                                      </t>
  </si>
  <si>
    <t xml:space="preserve"> 83 99930-3387                                      </t>
  </si>
  <si>
    <t xml:space="preserve"> 83 98218-7103                                      </t>
  </si>
  <si>
    <t xml:space="preserve"> 81 99361-5133                                      </t>
  </si>
  <si>
    <t xml:space="preserve"> 83 99151-1555                                      </t>
  </si>
  <si>
    <t xml:space="preserve"> 83 98199-2149  |   83 98199-2149                   </t>
  </si>
  <si>
    <t xml:space="preserve"> 83 99985-4957  |   83 99985-4957                   </t>
  </si>
  <si>
    <t xml:space="preserve"> 83 99922-3666                                      </t>
  </si>
  <si>
    <t xml:space="preserve"> 83 99893-5162                                      </t>
  </si>
  <si>
    <t xml:space="preserve"> 83 99615-9787                                      </t>
  </si>
  <si>
    <t xml:space="preserve"> 83 98154-2061                                      </t>
  </si>
  <si>
    <t xml:space="preserve"> 83 99808-2125  |   83 99808-2125                   </t>
  </si>
  <si>
    <t xml:space="preserve"> 83 99863-1497  |   83 99863-1497                   </t>
  </si>
  <si>
    <t xml:space="preserve"> 83 98179-3989                                      </t>
  </si>
  <si>
    <t xml:space="preserve"> 83 99845-3786  |   83 99845-3786                   </t>
  </si>
  <si>
    <t xml:space="preserve"> 83 99310-3544                                      </t>
  </si>
  <si>
    <t xml:space="preserve"> 83 99869-4127  |   83 99869-4127                   </t>
  </si>
  <si>
    <t xml:space="preserve"> 83 99813-0411  |   83 99813-0411                   </t>
  </si>
  <si>
    <t xml:space="preserve"> 83 99882-4822                                      </t>
  </si>
  <si>
    <t xml:space="preserve"> 83 99639-4639                                      </t>
  </si>
  <si>
    <t xml:space="preserve"> 83 98136-9828                                      </t>
  </si>
  <si>
    <t xml:space="preserve"> 83 99624-7529                                      </t>
  </si>
  <si>
    <t xml:space="preserve"> 83 99913-5497                                      </t>
  </si>
  <si>
    <t xml:space="preserve"> 83 99840-4455                                      </t>
  </si>
  <si>
    <t xml:space="preserve"> 83 99927-9993  |   83 99927-9993                   </t>
  </si>
  <si>
    <t xml:space="preserve"> 83 99361-1493                                      </t>
  </si>
  <si>
    <t xml:space="preserve"> 83 98215-4006                                      </t>
  </si>
  <si>
    <t xml:space="preserve"> 83 98876-8496                                      </t>
  </si>
  <si>
    <t xml:space="preserve"> 83 99839-9511  |   83 99839-9511                   </t>
  </si>
  <si>
    <t xml:space="preserve"> 83 99688-6575  |   83 99688-6575                   </t>
  </si>
  <si>
    <t xml:space="preserve"> 83 99800-4973  |   83 99800-4973                   </t>
  </si>
  <si>
    <t xml:space="preserve"> 43 90000-0000                                      </t>
  </si>
  <si>
    <t xml:space="preserve"> 84  9961-5403                                      </t>
  </si>
  <si>
    <t xml:space="preserve"> 83 99865-8663                                      </t>
  </si>
  <si>
    <t xml:space="preserve"> 83 99374-4100                                      </t>
  </si>
  <si>
    <t xml:space="preserve"> 83 99958-6699                                      </t>
  </si>
  <si>
    <t xml:space="preserve"> 83 98761-8650                                      </t>
  </si>
  <si>
    <t xml:space="preserve"> 83 98873-6743  |   83 98873-6743                   </t>
  </si>
  <si>
    <t xml:space="preserve"> 83 98190-9986                                      </t>
  </si>
  <si>
    <t xml:space="preserve"> 83 99614-7572                                      </t>
  </si>
  <si>
    <t xml:space="preserve"> 83 98148-1122                                      </t>
  </si>
  <si>
    <t xml:space="preserve"> 83 98166-1155                                      </t>
  </si>
  <si>
    <t xml:space="preserve"> 83 99933-7350                                      </t>
  </si>
  <si>
    <t xml:space="preserve"> 83 99803-7257                                      </t>
  </si>
  <si>
    <t xml:space="preserve"> 83 99174-9829                                      </t>
  </si>
  <si>
    <t xml:space="preserve"> 83 99651-1479  |   83 99651-1479                   </t>
  </si>
  <si>
    <t xml:space="preserve"> 83 99860-0770  |   83 99860-0770                   </t>
  </si>
  <si>
    <t xml:space="preserve"> 83 98164-9122                                      </t>
  </si>
  <si>
    <t xml:space="preserve"> 83 99948-8864                                      </t>
  </si>
  <si>
    <t xml:space="preserve"> 83 99154-0306                                      </t>
  </si>
  <si>
    <t xml:space="preserve"> 83 99878-8631                                      </t>
  </si>
  <si>
    <t xml:space="preserve"> 83 98115-5840                                      </t>
  </si>
  <si>
    <t xml:space="preserve"> 83 99697-2819  |   83 99697-2819                   </t>
  </si>
  <si>
    <t xml:space="preserve"> 83 98153-2290                                      </t>
  </si>
  <si>
    <t xml:space="preserve"> 83 98626-7333                                      </t>
  </si>
  <si>
    <t xml:space="preserve"> 83 99158-7933                                      </t>
  </si>
  <si>
    <t xml:space="preserve"> 83 99619-1218                                      </t>
  </si>
  <si>
    <t xml:space="preserve"> 83 98159-2287                                      </t>
  </si>
  <si>
    <t xml:space="preserve"> 83 99688-9956                                      </t>
  </si>
  <si>
    <t xml:space="preserve"> 83 98209-5873                                      </t>
  </si>
  <si>
    <t xml:space="preserve"> 83 98204-2357                                      </t>
  </si>
  <si>
    <t xml:space="preserve"> 83 98124-1150                                      </t>
  </si>
  <si>
    <t xml:space="preserve"> 83 98144-7029                                      </t>
  </si>
  <si>
    <t xml:space="preserve"> 83  9328-4070  |   83 99964-7768                   </t>
  </si>
  <si>
    <t xml:space="preserve"> 83 98735-1098                                      </t>
  </si>
  <si>
    <t xml:space="preserve"> 83 99943-9155                                      </t>
  </si>
  <si>
    <t xml:space="preserve"> 81 99484-0195                                      </t>
  </si>
  <si>
    <t xml:space="preserve"> 83 99627-2032                                      </t>
  </si>
  <si>
    <t xml:space="preserve"> 83 98109-3539                                      </t>
  </si>
  <si>
    <t xml:space="preserve"> 83 99877-4798                                      </t>
  </si>
  <si>
    <t xml:space="preserve"> 83 98114-5094                                      </t>
  </si>
  <si>
    <t xml:space="preserve"> 84  8754-3293                                      </t>
  </si>
  <si>
    <t xml:space="preserve"> 83 99827-9958                                      </t>
  </si>
  <si>
    <t xml:space="preserve"> 83 99833-2133                                      </t>
  </si>
  <si>
    <t xml:space="preserve"> 83 98873-4529                                      </t>
  </si>
  <si>
    <t xml:space="preserve"> 83 99825-6461                                      </t>
  </si>
  <si>
    <t xml:space="preserve"> 11 95447-1941                                      </t>
  </si>
  <si>
    <t xml:space="preserve"> 83 99623-6519                                      </t>
  </si>
  <si>
    <t xml:space="preserve"> 83 98217-8051                                      </t>
  </si>
  <si>
    <t xml:space="preserve"> 83 99606-4812                                      </t>
  </si>
  <si>
    <t xml:space="preserve"> 83 99387-9973                                      </t>
  </si>
  <si>
    <t xml:space="preserve"> 83 99848-6468                                      </t>
  </si>
  <si>
    <t xml:space="preserve"> 83 98674-3928                                      </t>
  </si>
  <si>
    <t xml:space="preserve"> 83 98201-5906                                      </t>
  </si>
  <si>
    <t xml:space="preserve"> 83 99900-2917                                      </t>
  </si>
  <si>
    <t xml:space="preserve"> 83 98709-4689                                      </t>
  </si>
  <si>
    <t xml:space="preserve"> 83 98133-9245                                      </t>
  </si>
  <si>
    <t xml:space="preserve"> 83 99649-8822                                      </t>
  </si>
  <si>
    <t xml:space="preserve"> 83 98109-2702                                      </t>
  </si>
  <si>
    <t xml:space="preserve"> 83 99803-2487                                      </t>
  </si>
  <si>
    <t xml:space="preserve"> 83 99671-6857                                      </t>
  </si>
  <si>
    <t xml:space="preserve"> 83 99663-7928                                      </t>
  </si>
  <si>
    <t xml:space="preserve"> 83 98104-7341                                      </t>
  </si>
  <si>
    <t xml:space="preserve"> 83 98158-5793                                      </t>
  </si>
  <si>
    <t xml:space="preserve"> 83 99921-3608                                      </t>
  </si>
  <si>
    <t xml:space="preserve"> 83 99688-3764                                      </t>
  </si>
  <si>
    <t xml:space="preserve"> 83 98731-3051                                      </t>
  </si>
  <si>
    <t xml:space="preserve"> 83 98206-7508                                      </t>
  </si>
  <si>
    <t xml:space="preserve"> 11 97759-6661                                      </t>
  </si>
  <si>
    <t xml:space="preserve"> 83 99920-0607                                      </t>
  </si>
  <si>
    <t xml:space="preserve"> 83 99881-8042                                      </t>
  </si>
  <si>
    <t xml:space="preserve"> 83 99632-5971                                      </t>
  </si>
  <si>
    <t xml:space="preserve"> 83 99900-0001                                      </t>
  </si>
  <si>
    <t xml:space="preserve"> 83 99992-5762                                      </t>
  </si>
  <si>
    <t xml:space="preserve"> 34 99840-1134                                      </t>
  </si>
  <si>
    <t xml:space="preserve"> 83 98106-1631                                      </t>
  </si>
  <si>
    <t xml:space="preserve"> 83 99850-3131                                      </t>
  </si>
  <si>
    <t xml:space="preserve"> 83  9986-5289                                      </t>
  </si>
  <si>
    <t xml:space="preserve"> 11 97095-8598                                      </t>
  </si>
  <si>
    <t xml:space="preserve"> 83 99866-9692                                      </t>
  </si>
  <si>
    <t xml:space="preserve"> 83 99979-2832                                      </t>
  </si>
  <si>
    <t xml:space="preserve"> 83 99664-3156                                      </t>
  </si>
  <si>
    <t xml:space="preserve"> 83  9984-5622                                      </t>
  </si>
  <si>
    <t xml:space="preserve"> 83 99609-7801                                      </t>
  </si>
  <si>
    <t xml:space="preserve"> 83 99945-0926                                      </t>
  </si>
  <si>
    <t xml:space="preserve"> 85 99637-5478                                      </t>
  </si>
  <si>
    <t xml:space="preserve"> 83 99981-2621                                      </t>
  </si>
  <si>
    <t xml:space="preserve"> 83 99894-5335                                      </t>
  </si>
  <si>
    <t xml:space="preserve"> 83 99986-7274                                      </t>
  </si>
  <si>
    <t xml:space="preserve"> 83 98133-1541                                      </t>
  </si>
  <si>
    <t xml:space="preserve"> 83 99907-4788                                      </t>
  </si>
  <si>
    <t xml:space="preserve"> 83 98157-1222                                      </t>
  </si>
  <si>
    <t xml:space="preserve"> 83 99128-0867                                      </t>
  </si>
  <si>
    <t xml:space="preserve"> 83 98158-1904                                      </t>
  </si>
  <si>
    <t xml:space="preserve"> 81  8534-9333                                      </t>
  </si>
  <si>
    <t xml:space="preserve"> 83 99155-9289                                      </t>
  </si>
  <si>
    <t xml:space="preserve"> 83 99853-0307                                      </t>
  </si>
  <si>
    <t xml:space="preserve"> 83 99123-0720                                      </t>
  </si>
  <si>
    <t xml:space="preserve"> 11 98671-1472                                      </t>
  </si>
  <si>
    <t xml:space="preserve"> 83 99639-0582                                      </t>
  </si>
  <si>
    <t xml:space="preserve"> 83 98716-1263                                      </t>
  </si>
  <si>
    <t xml:space="preserve"> 83 99936-9427                                      </t>
  </si>
  <si>
    <t xml:space="preserve"> 83 98601-8788                                      </t>
  </si>
  <si>
    <t xml:space="preserve"> 83 99810-2180                                      </t>
  </si>
  <si>
    <t xml:space="preserve"> 83 99865-7990                                      </t>
  </si>
  <si>
    <t xml:space="preserve"> 83 99653-5310                                      </t>
  </si>
  <si>
    <t xml:space="preserve"> 83 99654-8328                                      </t>
  </si>
  <si>
    <t xml:space="preserve"> 83 99882-5484                                      </t>
  </si>
  <si>
    <t xml:space="preserve"> 11 98283-4667                                      </t>
  </si>
  <si>
    <t xml:space="preserve"> 83 98618-0321                                      </t>
  </si>
  <si>
    <t xml:space="preserve"> 83 98184-5902                                      </t>
  </si>
  <si>
    <t xml:space="preserve"> 83 99814-8457                                      </t>
  </si>
  <si>
    <t xml:space="preserve"> 83 98135-5565                                      </t>
  </si>
  <si>
    <t xml:space="preserve"> 83 98750-8293                                      </t>
  </si>
  <si>
    <t xml:space="preserve"> 83 99698-6786                                      </t>
  </si>
  <si>
    <t xml:space="preserve"> 87 99610-9904                                      </t>
  </si>
  <si>
    <t xml:space="preserve"> 83 98174-0398                                      </t>
  </si>
  <si>
    <t xml:space="preserve"> 83 98844-2687                                      </t>
  </si>
  <si>
    <t xml:space="preserve"> 83 99680-1715                                      </t>
  </si>
  <si>
    <t xml:space="preserve"> 12 99742-8565                                      </t>
  </si>
  <si>
    <t xml:space="preserve"> 83 99918-9908                                      </t>
  </si>
  <si>
    <t xml:space="preserve"> 83 99341-2095                                      </t>
  </si>
  <si>
    <t xml:space="preserve"> 83 99999-1265                                      </t>
  </si>
  <si>
    <t xml:space="preserve"> 83 99905-9410                                      </t>
  </si>
  <si>
    <t xml:space="preserve"> 83 98158-5693                                      </t>
  </si>
  <si>
    <t xml:space="preserve"> 83 99809-4826                                      </t>
  </si>
  <si>
    <t xml:space="preserve"> 83 98821-6777                                      </t>
  </si>
  <si>
    <t xml:space="preserve"> 83 99943-1586                                      </t>
  </si>
  <si>
    <t xml:space="preserve"> 83 99810-9070                                      </t>
  </si>
  <si>
    <t xml:space="preserve"> 83 99988-7112                                      </t>
  </si>
  <si>
    <t xml:space="preserve"> 83 98136-1661                                      </t>
  </si>
  <si>
    <t xml:space="preserve"> 83 99645-7162                                      </t>
  </si>
  <si>
    <t xml:space="preserve"> 83 99999-3968                                      </t>
  </si>
  <si>
    <t xml:space="preserve"> 83 99621-6558                                      </t>
  </si>
  <si>
    <t xml:space="preserve"> 83 99690-4469                                      </t>
  </si>
  <si>
    <t xml:space="preserve"> 83 99691-1401                                      </t>
  </si>
  <si>
    <t xml:space="preserve"> 83 99639-4198                                      </t>
  </si>
  <si>
    <t xml:space="preserve"> 83 99688-7524                                      </t>
  </si>
  <si>
    <t xml:space="preserve"> 83 99377-8581                                      </t>
  </si>
  <si>
    <t xml:space="preserve"> 83 98123-1518                                      </t>
  </si>
  <si>
    <t xml:space="preserve"> 83 99190-8288                                      </t>
  </si>
  <si>
    <t xml:space="preserve"> 83 99863-7345                                      </t>
  </si>
  <si>
    <t xml:space="preserve"> 83 98104-7236                                      </t>
  </si>
  <si>
    <t xml:space="preserve"> 14 99159-0302                                      </t>
  </si>
  <si>
    <t xml:space="preserve"> 83 98121-5506                                      </t>
  </si>
  <si>
    <t xml:space="preserve"> 83 99916-9681                                      </t>
  </si>
  <si>
    <t xml:space="preserve"> 83 99896-6297                                      </t>
  </si>
  <si>
    <t xml:space="preserve"> 83 99869-5290                                      </t>
  </si>
  <si>
    <t xml:space="preserve"> 83 99328-7455                                      </t>
  </si>
  <si>
    <t xml:space="preserve"> 83 98153-5699                                      </t>
  </si>
  <si>
    <t xml:space="preserve"> 83 99959-7452                                      </t>
  </si>
  <si>
    <t xml:space="preserve"> 83 98146-6524                                      </t>
  </si>
  <si>
    <t xml:space="preserve"> 83 99109-0156                                      </t>
  </si>
  <si>
    <t xml:space="preserve"> 83 99653-0053                                      </t>
  </si>
  <si>
    <t xml:space="preserve"> 83  9694-5471                                      </t>
  </si>
  <si>
    <t xml:space="preserve"> 83 99912-1627                                      </t>
  </si>
  <si>
    <t xml:space="preserve"> 83 98665-4638                                      </t>
  </si>
  <si>
    <t xml:space="preserve"> 83 98135-5113                                      </t>
  </si>
  <si>
    <t xml:space="preserve"> 83 99811-2957                                      </t>
  </si>
  <si>
    <t xml:space="preserve"> 83 98773-1134                                      </t>
  </si>
  <si>
    <t xml:space="preserve"> 83 99684-8236                                      </t>
  </si>
  <si>
    <t xml:space="preserve"> 83 98208-2313                                      </t>
  </si>
  <si>
    <t xml:space="preserve"> 83 98723-5501                                      </t>
  </si>
  <si>
    <t xml:space="preserve"> 83 99814-7445                                      </t>
  </si>
  <si>
    <t xml:space="preserve"> 83 99914-9276                                      </t>
  </si>
  <si>
    <t xml:space="preserve"> 83 98171-1982                                      </t>
  </si>
  <si>
    <t xml:space="preserve"> 83 98762-0552                                      </t>
  </si>
  <si>
    <t xml:space="preserve"> 83 99931-8476                                      </t>
  </si>
  <si>
    <t xml:space="preserve"> 21 98663-1911                                      </t>
  </si>
  <si>
    <t xml:space="preserve"> 83 98160-8513                                      </t>
  </si>
  <si>
    <t xml:space="preserve"> 83 99984-6387                                      </t>
  </si>
  <si>
    <t xml:space="preserve"> 83 98101-7533                                      </t>
  </si>
  <si>
    <t xml:space="preserve"> 83 99947-3984                                      </t>
  </si>
  <si>
    <t xml:space="preserve"> 83 99000-0000                                      </t>
  </si>
  <si>
    <t xml:space="preserve"> 83 98216-2545                                      </t>
  </si>
  <si>
    <t xml:space="preserve"> 83 99941-1947                                      </t>
  </si>
  <si>
    <t xml:space="preserve"> 21 98863-7635                                      </t>
  </si>
  <si>
    <t xml:space="preserve"> 83 99808-1415                                      </t>
  </si>
  <si>
    <t xml:space="preserve"> 83 99612-3649                                      </t>
  </si>
  <si>
    <t xml:space="preserve"> 83 99696-9407                                      </t>
  </si>
  <si>
    <t xml:space="preserve"> 83 99827-4467                                      </t>
  </si>
  <si>
    <t xml:space="preserve"> 83 99353-7402                                      </t>
  </si>
  <si>
    <t xml:space="preserve"> 83 99804-8389                                      </t>
  </si>
  <si>
    <t xml:space="preserve"> 83 98600-2786                                      </t>
  </si>
  <si>
    <t xml:space="preserve"> 83 99944-2336                                      </t>
  </si>
  <si>
    <t xml:space="preserve"> 83 98782-0259                                      </t>
  </si>
  <si>
    <t xml:space="preserve"> 83 99144-5195                                      </t>
  </si>
  <si>
    <t xml:space="preserve"> 83 99905-4782                                      </t>
  </si>
  <si>
    <t xml:space="preserve"> 11 98056-1021                                      </t>
  </si>
  <si>
    <t xml:space="preserve"> 83 98179-1900                                      </t>
  </si>
  <si>
    <t xml:space="preserve"> 83 98218-2887                                      </t>
  </si>
  <si>
    <t xml:space="preserve"> 83 99843-8723                                      </t>
  </si>
  <si>
    <t xml:space="preserve"> 83 99958-2737                                      </t>
  </si>
  <si>
    <t xml:space="preserve"> 83 99609-9499                                      </t>
  </si>
  <si>
    <t xml:space="preserve"> 11 91151-4989                                      </t>
  </si>
  <si>
    <t xml:space="preserve"> 83 99961-5403                                      </t>
  </si>
  <si>
    <t xml:space="preserve"> 83 99163-9104                                      </t>
  </si>
  <si>
    <t xml:space="preserve"> 83 99616-3547                                      </t>
  </si>
  <si>
    <t xml:space="preserve"> 83 98671-6693                                      </t>
  </si>
  <si>
    <t xml:space="preserve"> 83 98137-0942                                      </t>
  </si>
  <si>
    <t xml:space="preserve"> 83 99814-4519                                      </t>
  </si>
  <si>
    <t xml:space="preserve"> 83 99907-8918                                      </t>
  </si>
  <si>
    <t xml:space="preserve"> 83 98116-5038                                      </t>
  </si>
  <si>
    <t xml:space="preserve"> 83 99661-7656                                      </t>
  </si>
  <si>
    <t xml:space="preserve"> 83 99644-5357                                      </t>
  </si>
  <si>
    <t xml:space="preserve"> 83 99687-9663                                      </t>
  </si>
  <si>
    <t xml:space="preserve"> 83 99990-7114                                      </t>
  </si>
  <si>
    <t xml:space="preserve"> 83 99880-2649                                      </t>
  </si>
  <si>
    <t xml:space="preserve"> 83 98731-8256                                      </t>
  </si>
  <si>
    <t xml:space="preserve"> 83 99666-8089                                      </t>
  </si>
  <si>
    <t xml:space="preserve"> 83 99895-9025                                      </t>
  </si>
  <si>
    <t xml:space="preserve"> 83 99802-0365                                      </t>
  </si>
  <si>
    <t xml:space="preserve"> 83 98131-0310                                      </t>
  </si>
  <si>
    <t xml:space="preserve"> 83 98836-5092                                      </t>
  </si>
  <si>
    <t xml:space="preserve"> 83 99979-3338                                      </t>
  </si>
  <si>
    <t xml:space="preserve"> 83 98189-9230                                      </t>
  </si>
  <si>
    <t xml:space="preserve"> 83 99613-6331                                      </t>
  </si>
  <si>
    <t xml:space="preserve"> 83 98194-9476                                      </t>
  </si>
  <si>
    <t xml:space="preserve"> 83 99620-7283                                      </t>
  </si>
  <si>
    <t xml:space="preserve"> 83 99671-8895                                      </t>
  </si>
  <si>
    <t xml:space="preserve"> 83 99996-3771                                      </t>
  </si>
  <si>
    <t xml:space="preserve"> 83 99882-2036                                      </t>
  </si>
  <si>
    <t xml:space="preserve"> 83 99191-3844                                      </t>
  </si>
  <si>
    <t xml:space="preserve"> 83 99640-4346                                      </t>
  </si>
  <si>
    <t xml:space="preserve"> 83 98824-1770                                      </t>
  </si>
  <si>
    <t xml:space="preserve"> 83 98118-9677                                      </t>
  </si>
  <si>
    <t xml:space="preserve"> 83 99121-8325                                      </t>
  </si>
  <si>
    <t xml:space="preserve"> 83 98633-6334                                      </t>
  </si>
  <si>
    <t xml:space="preserve"> 83 99931-9478                                      </t>
  </si>
  <si>
    <t xml:space="preserve"> 83 99996-9161                                      </t>
  </si>
  <si>
    <t xml:space="preserve"> 83 99968-0764                                      </t>
  </si>
  <si>
    <t xml:space="preserve"> 83 99824-8809                                      </t>
  </si>
  <si>
    <t xml:space="preserve"> 64 99934-0699                                      </t>
  </si>
  <si>
    <t xml:space="preserve"> 64 99340-6990                                      </t>
  </si>
  <si>
    <t xml:space="preserve"> 83 99857-7880                                      </t>
  </si>
  <si>
    <t xml:space="preserve"> 83 99932-4277                                      </t>
  </si>
  <si>
    <t xml:space="preserve"> 83 99805-0362                                      </t>
  </si>
  <si>
    <t xml:space="preserve"> 83 99602-7289                                      </t>
  </si>
  <si>
    <t xml:space="preserve"> 83 99107-0176                                      </t>
  </si>
  <si>
    <t xml:space="preserve"> 87 99964-5644                                      </t>
  </si>
  <si>
    <t xml:space="preserve"> 11 96132-5142                                      </t>
  </si>
  <si>
    <t xml:space="preserve"> 83 98161-8714                                      </t>
  </si>
  <si>
    <t xml:space="preserve"> 83 99943-1110                                      </t>
  </si>
  <si>
    <t xml:space="preserve"> 83 98160-0050                                      </t>
  </si>
  <si>
    <t xml:space="preserve"> 83 98118-4595                                      </t>
  </si>
  <si>
    <t xml:space="preserve"> 83 99878-4148                                      </t>
  </si>
  <si>
    <t xml:space="preserve"> 83 99978-8877                                      </t>
  </si>
  <si>
    <t xml:space="preserve"> 83 99938-2367                                      </t>
  </si>
  <si>
    <t xml:space="preserve"> 83 99168-1401                                      </t>
  </si>
  <si>
    <t xml:space="preserve"> 83 98170-6622                                      </t>
  </si>
  <si>
    <t xml:space="preserve"> 83 99125-8502                                      </t>
  </si>
  <si>
    <t xml:space="preserve"> 83 99966-0533                                      </t>
  </si>
  <si>
    <t xml:space="preserve"> 83 99932-2987                                      </t>
  </si>
  <si>
    <t xml:space="preserve"> 83 99683-3064                                      </t>
  </si>
  <si>
    <t xml:space="preserve"> 83 99917-3807                                      </t>
  </si>
  <si>
    <t xml:space="preserve"> 12 98249-5525                                      </t>
  </si>
  <si>
    <t xml:space="preserve"> 83 99634-3960                                      </t>
  </si>
  <si>
    <t xml:space="preserve"> 83 99177-8466                                      </t>
  </si>
  <si>
    <t xml:space="preserve"> 83 98611-3679                                      </t>
  </si>
  <si>
    <t xml:space="preserve"> 83 98156-0805                                      </t>
  </si>
  <si>
    <t xml:space="preserve"> 83 98132-7643                                      </t>
  </si>
  <si>
    <t xml:space="preserve"> 83 98113-6601                                      </t>
  </si>
  <si>
    <t xml:space="preserve"> 84 99979-9962                                      </t>
  </si>
  <si>
    <t xml:space="preserve"> 83 99931-6968                                      </t>
  </si>
  <si>
    <t xml:space="preserve"> 84  3203-3300                                      </t>
  </si>
  <si>
    <t xml:space="preserve"> 83 99929-1937                                      </t>
  </si>
  <si>
    <t xml:space="preserve"> 83 98155-4539                                      </t>
  </si>
  <si>
    <t xml:space="preserve"> 83 99197-9071                                      </t>
  </si>
  <si>
    <t xml:space="preserve"> 83 99938-0286                                      </t>
  </si>
  <si>
    <t xml:space="preserve"> 83 99639-9741                                      </t>
  </si>
  <si>
    <t xml:space="preserve"> 83 99900-5151                                      </t>
  </si>
  <si>
    <t xml:space="preserve"> 83 99621-1112                                      </t>
  </si>
  <si>
    <t xml:space="preserve"> 83 98730-4998                                      </t>
  </si>
  <si>
    <t xml:space="preserve"> 83 98190-7195                                      </t>
  </si>
  <si>
    <t xml:space="preserve"> 83 99841-9274                                      </t>
  </si>
  <si>
    <t xml:space="preserve"> 83 99821-0727                                      </t>
  </si>
  <si>
    <t xml:space="preserve"> 83  9986-5885                                      </t>
  </si>
  <si>
    <t xml:space="preserve"> 83 98172-3644                                      </t>
  </si>
  <si>
    <t xml:space="preserve"> 83 99895-5335                                      </t>
  </si>
  <si>
    <t xml:space="preserve"> 83 99970-4222                                      </t>
  </si>
  <si>
    <t xml:space="preserve"> 83 98198-1120                                      </t>
  </si>
  <si>
    <t xml:space="preserve"> 83 98194-1320                                      </t>
  </si>
  <si>
    <t xml:space="preserve"> 83 99623-4515                                      </t>
  </si>
  <si>
    <t xml:space="preserve"> 84 98768-4270                                      </t>
  </si>
  <si>
    <t xml:space="preserve"> 83 98137-3837                                      </t>
  </si>
  <si>
    <t xml:space="preserve"> 83 99912-1167                                      </t>
  </si>
  <si>
    <t xml:space="preserve"> 83 99684-0506                                      </t>
  </si>
  <si>
    <t xml:space="preserve"> 83 99633-0549                                      </t>
  </si>
  <si>
    <t xml:space="preserve"> 83 99971-6747                                      </t>
  </si>
  <si>
    <t xml:space="preserve"> 83 98101-4180                                      </t>
  </si>
  <si>
    <t xml:space="preserve"> 83 99917-0062                                      </t>
  </si>
  <si>
    <t xml:space="preserve"> 83 99987-4728                                      </t>
  </si>
  <si>
    <t xml:space="preserve"> 83 99136-3596                                      </t>
  </si>
  <si>
    <t xml:space="preserve"> 83 99627-5132                                      </t>
  </si>
  <si>
    <t xml:space="preserve"> 83 99934-5511                                      </t>
  </si>
  <si>
    <t xml:space="preserve"> 83 99624-0233                                      </t>
  </si>
  <si>
    <t xml:space="preserve"> 11 98723-4895                                      </t>
  </si>
  <si>
    <t xml:space="preserve"> 83 99937-5182                                      </t>
  </si>
  <si>
    <t xml:space="preserve"> 83 98152-8043                                      </t>
  </si>
  <si>
    <t xml:space="preserve"> 83 98112-0057                                      </t>
  </si>
  <si>
    <t xml:space="preserve"> 83 99627-0667                                      </t>
  </si>
  <si>
    <t xml:space="preserve"> 83 98851-6072                                      </t>
  </si>
  <si>
    <t xml:space="preserve"> 83  9666-4936                                      </t>
  </si>
  <si>
    <t xml:space="preserve"> 83 98988-9898                                      </t>
  </si>
  <si>
    <t xml:space="preserve"> 83  9898-9985                                      </t>
  </si>
  <si>
    <t xml:space="preserve"> 83  9565-6489                                      </t>
  </si>
  <si>
    <t xml:space="preserve"> 83 98564-6855                                      </t>
  </si>
  <si>
    <t xml:space="preserve"> 83  9985-7999                                      </t>
  </si>
  <si>
    <t xml:space="preserve"> 83  9868-6890                                      </t>
  </si>
  <si>
    <t xml:space="preserve"> 83  9985-6598                                      </t>
  </si>
  <si>
    <t xml:space="preserve"> 83  9956-9550                                      </t>
  </si>
  <si>
    <t xml:space="preserve"> 83  9895-9895                                      </t>
  </si>
  <si>
    <t xml:space="preserve"> 83 99301-1029                                      </t>
  </si>
  <si>
    <t xml:space="preserve"> 83 98164-7209                                      </t>
  </si>
  <si>
    <t xml:space="preserve"> 83 99919-6478                                      </t>
  </si>
  <si>
    <t xml:space="preserve"> 83 99990-8796                                      </t>
  </si>
  <si>
    <t xml:space="preserve"> 83 99906-6989                                      </t>
  </si>
  <si>
    <t xml:space="preserve"> 83 99676-0663                                      </t>
  </si>
  <si>
    <t xml:space="preserve"> 83 98105-7446                                      </t>
  </si>
  <si>
    <t xml:space="preserve"> 83 99912-2529                                      </t>
  </si>
  <si>
    <t xml:space="preserve"> 83 99803-4086                                      </t>
  </si>
  <si>
    <t xml:space="preserve"> 83 98123-1508                                      </t>
  </si>
  <si>
    <t xml:space="preserve"> 83 98687-4931                                      </t>
  </si>
  <si>
    <t xml:space="preserve"> 83 98806-0211                                      </t>
  </si>
  <si>
    <t xml:space="preserve"> 83 98186-3798                                      </t>
  </si>
  <si>
    <t xml:space="preserve"> 83 99665-5661                                      </t>
  </si>
  <si>
    <t xml:space="preserve"> 19 98124-6515                                      </t>
  </si>
  <si>
    <t xml:space="preserve"> 83 99921-6420                                      </t>
  </si>
  <si>
    <t xml:space="preserve"> 27 98122-2544                                      </t>
  </si>
  <si>
    <t xml:space="preserve"> 83 99636-5673                                      </t>
  </si>
  <si>
    <t xml:space="preserve"> 83 99972-3702                                      </t>
  </si>
  <si>
    <t xml:space="preserve"> 83 99834-2476                                      </t>
  </si>
  <si>
    <t xml:space="preserve"> 83 99633-7933                                      </t>
  </si>
  <si>
    <t xml:space="preserve"> 75 99141-1678                                      </t>
  </si>
  <si>
    <t xml:space="preserve"> 83 99852-8459                                      </t>
  </si>
  <si>
    <t xml:space="preserve"> 83 98221-1294                                      </t>
  </si>
  <si>
    <t xml:space="preserve"> 83 99952-6747                                      </t>
  </si>
  <si>
    <t xml:space="preserve"> 83 99683-4505                                      </t>
  </si>
  <si>
    <t xml:space="preserve"> 83 98213-7179                                      </t>
  </si>
  <si>
    <t xml:space="preserve"> 83 99906-9996                                      </t>
  </si>
  <si>
    <t xml:space="preserve"> 83 98102-8746                                      </t>
  </si>
  <si>
    <t xml:space="preserve"> 83 98773-1799                                      </t>
  </si>
  <si>
    <t xml:space="preserve"> 83 99996-8783                                      </t>
  </si>
  <si>
    <t xml:space="preserve"> 83 99892-0808                                      </t>
  </si>
  <si>
    <t xml:space="preserve"> 83 98835-6483                                      </t>
  </si>
  <si>
    <t xml:space="preserve"> 83  9985-9585                                      </t>
  </si>
  <si>
    <t xml:space="preserve"> 83 99963-9902                                      </t>
  </si>
  <si>
    <t xml:space="preserve"> 83  9968-5952                                      </t>
  </si>
  <si>
    <t xml:space="preserve"> 83 98207-2640                                      </t>
  </si>
  <si>
    <t xml:space="preserve"> 83 99200-1153                                      </t>
  </si>
  <si>
    <t xml:space="preserve"> 83 98190-8310                                      </t>
  </si>
  <si>
    <t xml:space="preserve"> 83 99965-6941                                      </t>
  </si>
  <si>
    <t xml:space="preserve"> 83 98163-7702                                      </t>
  </si>
  <si>
    <t xml:space="preserve"> 83 98108-2144                                      </t>
  </si>
  <si>
    <t xml:space="preserve"> 83 98164-5517                                      </t>
  </si>
  <si>
    <t xml:space="preserve"> 21 98187-5140                                      </t>
  </si>
  <si>
    <t xml:space="preserve"> 83  9996-5625                                      </t>
  </si>
  <si>
    <t xml:space="preserve"> 83  9695-6595                                      </t>
  </si>
  <si>
    <t xml:space="preserve"> 83  9959-5959                                      </t>
  </si>
  <si>
    <t xml:space="preserve"> 83 98952-5959                                      </t>
  </si>
  <si>
    <t xml:space="preserve"> 83 99569-5966                                      </t>
  </si>
  <si>
    <t xml:space="preserve"> 83 99565-9595                                      </t>
  </si>
  <si>
    <t xml:space="preserve"> 83 95959-5959                                      </t>
  </si>
  <si>
    <t xml:space="preserve"> 83 98114-3399                                      </t>
  </si>
  <si>
    <t xml:space="preserve"> 83  6989-5999                                      </t>
  </si>
  <si>
    <t xml:space="preserve"> 83 92959-5929                                      </t>
  </si>
  <si>
    <t xml:space="preserve"> 83  9995-9589                                      </t>
  </si>
  <si>
    <t xml:space="preserve"> 83 99828-2629                                      </t>
  </si>
  <si>
    <t xml:space="preserve"> 83 95959-5859                                      </t>
  </si>
  <si>
    <t xml:space="preserve"> 83 95959-8959                                      </t>
  </si>
  <si>
    <t xml:space="preserve"> 83  9595-9895                                      </t>
  </si>
  <si>
    <t xml:space="preserve"> 83 99615-5083                                      </t>
  </si>
  <si>
    <t xml:space="preserve"> 83 98787-6344                                      </t>
  </si>
  <si>
    <t xml:space="preserve"> 83 96969-5959                                      </t>
  </si>
  <si>
    <t xml:space="preserve"> 83  9659-5958                                      </t>
  </si>
  <si>
    <t xml:space="preserve"> 83  9669-5986                                      </t>
  </si>
  <si>
    <t xml:space="preserve"> 83 96959-5958                                      </t>
  </si>
  <si>
    <t xml:space="preserve"> 83  9259-9929                                      </t>
  </si>
  <si>
    <t xml:space="preserve"> 83  9595-9589                                      </t>
  </si>
  <si>
    <t xml:space="preserve"> 83 95959-5895                                      </t>
  </si>
  <si>
    <t xml:space="preserve"> 83 96959-5959                                      </t>
  </si>
  <si>
    <t xml:space="preserve"> 83 96959-5829                                      </t>
  </si>
  <si>
    <t xml:space="preserve"> 83 96959-5989                                      </t>
  </si>
  <si>
    <t xml:space="preserve"> 83  9659-5955                                      </t>
  </si>
  <si>
    <t xml:space="preserve"> 83  9692-5959                                      </t>
  </si>
  <si>
    <t xml:space="preserve"> 83  9695-9589                                      </t>
  </si>
  <si>
    <t xml:space="preserve"> 83 98192-4992                                      </t>
  </si>
  <si>
    <t xml:space="preserve"> 83 98615-5644                                      </t>
  </si>
  <si>
    <t xml:space="preserve"> 83 98101-7930                                      </t>
  </si>
  <si>
    <t xml:space="preserve"> 83 93461-2728                                      </t>
  </si>
  <si>
    <t xml:space="preserve"> 83 98206-8575                                      </t>
  </si>
  <si>
    <t xml:space="preserve"> 83 99848-0196                                      </t>
  </si>
  <si>
    <t xml:space="preserve"> 83 98120-6882                                      </t>
  </si>
  <si>
    <t xml:space="preserve"> 83 99175-0517                                      </t>
  </si>
  <si>
    <t xml:space="preserve"> 83 99938-4380                                      </t>
  </si>
  <si>
    <t xml:space="preserve"> 83 99957-4626                                      </t>
  </si>
  <si>
    <t xml:space="preserve"> 83 99987-7274                                      </t>
  </si>
  <si>
    <t xml:space="preserve"> 83 99619-9899                                      </t>
  </si>
  <si>
    <t xml:space="preserve"> 83 98194-8752                                      </t>
  </si>
  <si>
    <t xml:space="preserve"> 83 99958-0693                                      </t>
  </si>
  <si>
    <t xml:space="preserve"> 83 99932-0201                                      </t>
  </si>
  <si>
    <t xml:space="preserve"> 83 98225-0522                                      </t>
  </si>
  <si>
    <t xml:space="preserve"> 83 99926-0649                                      </t>
  </si>
  <si>
    <t xml:space="preserve"> 83 99131-6103                                      </t>
  </si>
  <si>
    <t xml:space="preserve"> 83 99608-3884                                      </t>
  </si>
  <si>
    <t xml:space="preserve"> 83 99187-6251                                      </t>
  </si>
  <si>
    <t xml:space="preserve"> 83 98825-2807                                      </t>
  </si>
  <si>
    <t xml:space="preserve"> 83 98209-0060                                      </t>
  </si>
  <si>
    <t xml:space="preserve"> 83 99915-1858                                      </t>
  </si>
  <si>
    <t xml:space="preserve"> 83 99639-0231                                      </t>
  </si>
  <si>
    <t xml:space="preserve"> 83 99966-4445                                      </t>
  </si>
  <si>
    <t xml:space="preserve"> 83 99912-8684                                      </t>
  </si>
  <si>
    <t xml:space="preserve"> 83 98630-4641                                      </t>
  </si>
  <si>
    <t xml:space="preserve"> 83 98148-0944                                      </t>
  </si>
  <si>
    <t xml:space="preserve"> 83 99625-4735                                      </t>
  </si>
  <si>
    <t xml:space="preserve"> 83 98711-8278                                      </t>
  </si>
  <si>
    <t xml:space="preserve"> 83 99656-6421                                      </t>
  </si>
  <si>
    <t xml:space="preserve"> 83 99334-3936                                      </t>
  </si>
  <si>
    <t xml:space="preserve"> 83 99851-5149                                      </t>
  </si>
  <si>
    <t xml:space="preserve"> 83 98835-5717                                      </t>
  </si>
  <si>
    <t xml:space="preserve"> 83 98118-7544                                      </t>
  </si>
  <si>
    <t xml:space="preserve"> 83  9966-4398  |   11 94842-7924                   </t>
  </si>
  <si>
    <t xml:space="preserve"> 83 99936-3436                                      </t>
  </si>
  <si>
    <t xml:space="preserve"> 83 99158-7132                                      </t>
  </si>
  <si>
    <t xml:space="preserve"> 83 98168-3411                                      </t>
  </si>
  <si>
    <t xml:space="preserve"> 83 99802-1183                                      </t>
  </si>
  <si>
    <t xml:space="preserve"> 83 99624-1441                                      </t>
  </si>
  <si>
    <t xml:space="preserve"> 83 99660-0717                                      </t>
  </si>
  <si>
    <t xml:space="preserve"> 83 99649-0428                                      </t>
  </si>
  <si>
    <t xml:space="preserve"> 83 99883-1386                                      </t>
  </si>
  <si>
    <t xml:space="preserve"> 83 99997-1255                                      </t>
  </si>
  <si>
    <t xml:space="preserve"> 83 98144-2662                                      </t>
  </si>
  <si>
    <t xml:space="preserve"> 83 98868-8054                                      </t>
  </si>
  <si>
    <t xml:space="preserve"> 83 99841-9611                                      </t>
  </si>
  <si>
    <t xml:space="preserve"> 83 99905-7218                                      </t>
  </si>
  <si>
    <t xml:space="preserve"> 83 98906-0832                                      </t>
  </si>
  <si>
    <t xml:space="preserve"> 83 99641-1700                                      </t>
  </si>
  <si>
    <t xml:space="preserve"> 83 99384-7062                                      </t>
  </si>
  <si>
    <t xml:space="preserve"> 83 99698-1248                                      </t>
  </si>
  <si>
    <t xml:space="preserve"> 83 99814-8649                                      </t>
  </si>
  <si>
    <t xml:space="preserve"> 83 98146-8464                                      </t>
  </si>
  <si>
    <t xml:space="preserve"> 83 99913-4299                                      </t>
  </si>
  <si>
    <t xml:space="preserve"> 83 99153-6779                                      </t>
  </si>
  <si>
    <t xml:space="preserve"> 83 99982-6114                                      </t>
  </si>
  <si>
    <t xml:space="preserve"> 83 99900-9727                                      </t>
  </si>
  <si>
    <t xml:space="preserve"> 83 98170-0995                                      </t>
  </si>
  <si>
    <t xml:space="preserve"> 83 99412-3735                                      </t>
  </si>
  <si>
    <t xml:space="preserve"> 83 99359-7187                                      </t>
  </si>
  <si>
    <t xml:space="preserve"> 83 99390-5301                                      </t>
  </si>
  <si>
    <t xml:space="preserve"> 39 99137-5400                                      </t>
  </si>
  <si>
    <t xml:space="preserve"> 83 99976-8376                                      </t>
  </si>
  <si>
    <t xml:space="preserve"> 85 99672-0723                                      </t>
  </si>
  <si>
    <t xml:space="preserve"> 83 99670-8259                                      </t>
  </si>
  <si>
    <t xml:space="preserve"> 83 98617-8438                                      </t>
  </si>
  <si>
    <t xml:space="preserve"> 83 99982-8672                                      </t>
  </si>
  <si>
    <t xml:space="preserve"> 83 99108-8511                                      </t>
  </si>
  <si>
    <t xml:space="preserve"> 83 98826-8407                                      </t>
  </si>
  <si>
    <t xml:space="preserve"> 83 98148-2777                                      </t>
  </si>
  <si>
    <t xml:space="preserve"> 83 98886-5680                                      </t>
  </si>
  <si>
    <t xml:space="preserve"> 83 99907-7166                                      </t>
  </si>
  <si>
    <t xml:space="preserve"> 83 99805-0716                                      </t>
  </si>
  <si>
    <t xml:space="preserve"> 83 98724-4870                                      </t>
  </si>
  <si>
    <t xml:space="preserve"> 83 99970-0208                                      </t>
  </si>
  <si>
    <t xml:space="preserve"> 83 99622-0350                                      </t>
  </si>
  <si>
    <t xml:space="preserve"> 83 98205-6296                                      </t>
  </si>
  <si>
    <t xml:space="preserve"> 83 99857-8123                                      </t>
  </si>
  <si>
    <t xml:space="preserve"> 83 99859-7529                                      </t>
  </si>
  <si>
    <t xml:space="preserve"> 83 98657-8097                                      </t>
  </si>
  <si>
    <t xml:space="preserve"> 83 98158-8285                                      </t>
  </si>
  <si>
    <t xml:space="preserve"> 83 98195-0007                                      </t>
  </si>
  <si>
    <t xml:space="preserve"> 83 99171-1681                                      </t>
  </si>
  <si>
    <t xml:space="preserve"> 83 99945-1835                                      </t>
  </si>
  <si>
    <t xml:space="preserve"> 83 98187-6829                                      </t>
  </si>
  <si>
    <t xml:space="preserve"> 83 99857-3559                                      </t>
  </si>
  <si>
    <t xml:space="preserve"> 83 99929-8993                                      </t>
  </si>
  <si>
    <t xml:space="preserve"> 83 99339-5078                                      </t>
  </si>
  <si>
    <t xml:space="preserve"> 83 99988-3782                                      </t>
  </si>
  <si>
    <t xml:space="preserve"> 83 99886-9970                                      </t>
  </si>
  <si>
    <t xml:space="preserve"> 83 99183-2607                                      </t>
  </si>
  <si>
    <t xml:space="preserve"> 83 98102-3738                                      </t>
  </si>
  <si>
    <t xml:space="preserve"> 83 99661-0484                                      </t>
  </si>
  <si>
    <t xml:space="preserve"> 83 99988-5755                                      </t>
  </si>
  <si>
    <t xml:space="preserve"> 83 99674-7290                                      </t>
  </si>
  <si>
    <t xml:space="preserve"> 83 98853-1546                                      </t>
  </si>
  <si>
    <t xml:space="preserve"> 83 98181-2824                                      </t>
  </si>
  <si>
    <t xml:space="preserve"> 83 99982-2437                                      </t>
  </si>
  <si>
    <t xml:space="preserve"> 83 98111-0463  |   83 99954-4797                   </t>
  </si>
  <si>
    <t xml:space="preserve"> 83 98222-4820                                      </t>
  </si>
  <si>
    <t xml:space="preserve"> 83 99910-4854                                      </t>
  </si>
  <si>
    <t xml:space="preserve"> 83 98145-0359                                      </t>
  </si>
  <si>
    <t xml:space="preserve"> 83 99684-7152                                      </t>
  </si>
  <si>
    <t xml:space="preserve"> 83 98810-9859                                      </t>
  </si>
  <si>
    <t xml:space="preserve"> 83 99930-0708                                      </t>
  </si>
  <si>
    <t xml:space="preserve"> 83 99816-4043                                      </t>
  </si>
  <si>
    <t xml:space="preserve"> 83 99872-5899                                      </t>
  </si>
  <si>
    <t xml:space="preserve"> 83 98170-2065                                      </t>
  </si>
  <si>
    <t xml:space="preserve"> 83 99969-6568                                      </t>
  </si>
  <si>
    <t xml:space="preserve"> 83 99655-1315                                      </t>
  </si>
  <si>
    <t xml:space="preserve"> 83 99197-8544                                      </t>
  </si>
  <si>
    <t xml:space="preserve"> 83  9895-9859                                      </t>
  </si>
  <si>
    <t xml:space="preserve"> 83 99383-9115                                      </t>
  </si>
  <si>
    <t xml:space="preserve"> 83 99909-5498                                      </t>
  </si>
  <si>
    <t xml:space="preserve"> 83 98133-1506                                      </t>
  </si>
  <si>
    <t xml:space="preserve"> 83 99686-4954                                      </t>
  </si>
  <si>
    <t xml:space="preserve"> 83 99977-2033                                      </t>
  </si>
  <si>
    <t xml:space="preserve"> 83 99940-1507                                      </t>
  </si>
  <si>
    <t xml:space="preserve"> 83 99132-1277                                      </t>
  </si>
  <si>
    <t xml:space="preserve"> 83 98748-7447                                      </t>
  </si>
  <si>
    <t xml:space="preserve"> 83 99900-5118                                      </t>
  </si>
  <si>
    <t xml:space="preserve"> 83 99833-3789                                      </t>
  </si>
  <si>
    <t xml:space="preserve"> 83 98621-1331                                      </t>
  </si>
  <si>
    <t xml:space="preserve"> 83 99802-1240                                      </t>
  </si>
  <si>
    <t xml:space="preserve"> 83 99861-1780                                      </t>
  </si>
  <si>
    <t xml:space="preserve"> 83 99952-4928                                      </t>
  </si>
  <si>
    <t xml:space="preserve"> 83 98863-4128                                      </t>
  </si>
  <si>
    <t xml:space="preserve"> 83 99629-9003                                      </t>
  </si>
  <si>
    <t xml:space="preserve"> 47 99116-8190                                      </t>
  </si>
  <si>
    <t xml:space="preserve"> 83 99966-9838                                      </t>
  </si>
  <si>
    <t xml:space="preserve"> 83 99810-4959                                      </t>
  </si>
  <si>
    <t xml:space="preserve"> 83 99323-5170                                      </t>
  </si>
  <si>
    <t xml:space="preserve"> 83 99884-4432                                      </t>
  </si>
  <si>
    <t xml:space="preserve"> 83 98119-0387                                      </t>
  </si>
  <si>
    <t xml:space="preserve"> 83 99893-7537                                      </t>
  </si>
  <si>
    <t xml:space="preserve"> 83 98176-9884                                      </t>
  </si>
  <si>
    <t xml:space="preserve"> 83 99814-2300                                      </t>
  </si>
  <si>
    <t xml:space="preserve"> 83 98137-5351                                      </t>
  </si>
  <si>
    <t xml:space="preserve"> 83 99609-2127                                      </t>
  </si>
  <si>
    <t xml:space="preserve"> 83 98639-2517                                      </t>
  </si>
  <si>
    <t xml:space="preserve"> 83  9699-9999                                      </t>
  </si>
  <si>
    <t xml:space="preserve"> 83 99966-4398                                      </t>
  </si>
  <si>
    <t xml:space="preserve"> 83 99985-0939                                      </t>
  </si>
  <si>
    <t xml:space="preserve"> 83 99928-9897                                      </t>
  </si>
  <si>
    <t xml:space="preserve"> 83 98719-4120                                      </t>
  </si>
  <si>
    <t xml:space="preserve"> 83 98148-8270                                      </t>
  </si>
  <si>
    <t xml:space="preserve"> 83 99936-4888                                      </t>
  </si>
  <si>
    <t xml:space="preserve"> 83 98191-3866                                      </t>
  </si>
  <si>
    <t xml:space="preserve"> 83 99986-3424                                      </t>
  </si>
  <si>
    <t xml:space="preserve"> 83 99110-3889                                      </t>
  </si>
  <si>
    <t xml:space="preserve"> 83 99642-6597                                      </t>
  </si>
  <si>
    <t xml:space="preserve"> 83 98181-2035                                      </t>
  </si>
  <si>
    <t xml:space="preserve"> 83 99856-2500                                      </t>
  </si>
  <si>
    <t xml:space="preserve"> 83 99147-5570                                      </t>
  </si>
  <si>
    <t xml:space="preserve"> 83 99108-1575                                      </t>
  </si>
  <si>
    <t xml:space="preserve"> 83 99679-4989                                      </t>
  </si>
  <si>
    <t xml:space="preserve"> 83 99935-9627                                      </t>
  </si>
  <si>
    <t xml:space="preserve"> 83 99171-1134                                      </t>
  </si>
  <si>
    <t xml:space="preserve"> 83 99628-3018                                      </t>
  </si>
  <si>
    <t xml:space="preserve"> 83 98117-5147                                      </t>
  </si>
  <si>
    <t xml:space="preserve"> 83 98185-3015                                      </t>
  </si>
  <si>
    <t xml:space="preserve"> 83 98183-8563                                      </t>
  </si>
  <si>
    <t xml:space="preserve"> 83 98840-0428                                      </t>
  </si>
  <si>
    <t xml:space="preserve"> 83 99830-2998                                      </t>
  </si>
  <si>
    <t xml:space="preserve"> 83 99919-3795                                      </t>
  </si>
  <si>
    <t xml:space="preserve"> 83 98176-7405                                      </t>
  </si>
  <si>
    <t xml:space="preserve"> 83 99903-8045                                      </t>
  </si>
  <si>
    <t xml:space="preserve"> 83 98139-6405                                      </t>
  </si>
  <si>
    <t xml:space="preserve"> 83 99648-7870                                      </t>
  </si>
  <si>
    <t xml:space="preserve"> 83 99402-6165                                      </t>
  </si>
  <si>
    <t xml:space="preserve"> 83 99661-6050                                      </t>
  </si>
  <si>
    <t xml:space="preserve"> 83 99193-7217                                      </t>
  </si>
  <si>
    <t xml:space="preserve"> 83 99317-1157                                      </t>
  </si>
  <si>
    <t xml:space="preserve"> 83 99301-5101                                      </t>
  </si>
  <si>
    <t xml:space="preserve"> 83 99396-1643                                      </t>
  </si>
  <si>
    <t xml:space="preserve"> 83 99421-6892                                      </t>
  </si>
  <si>
    <t xml:space="preserve"> 83 99111-5404                                      </t>
  </si>
  <si>
    <t xml:space="preserve"> 83 99937-9019                                      </t>
  </si>
  <si>
    <t xml:space="preserve"> 83 99116-7208                                      </t>
  </si>
  <si>
    <t xml:space="preserve"> 83 99921-1975                                      </t>
  </si>
  <si>
    <t xml:space="preserve"> 83 98174-9292                                      </t>
  </si>
  <si>
    <t xml:space="preserve"> 83 99366-3291                                      </t>
  </si>
  <si>
    <t xml:space="preserve"> 83 99906-5420                                      </t>
  </si>
  <si>
    <t xml:space="preserve"> 83 98192-1516                                      </t>
  </si>
  <si>
    <t xml:space="preserve"> 16 99972-7799                                      </t>
  </si>
  <si>
    <t xml:space="preserve"> 83 99117-1761                                      </t>
  </si>
  <si>
    <t xml:space="preserve"> 83 99370-4408                                      </t>
  </si>
  <si>
    <t xml:space="preserve"> 83 99361-4575                                      </t>
  </si>
  <si>
    <t xml:space="preserve"> 83 99370-3235                                      </t>
  </si>
  <si>
    <t xml:space="preserve"> 83 98149-3245                                      </t>
  </si>
  <si>
    <t xml:space="preserve"> 83 99912-2546                                      </t>
  </si>
  <si>
    <t xml:space="preserve"> 83 99948-1568                                      </t>
  </si>
  <si>
    <t xml:space="preserve"> 87 99801-2794                                      </t>
  </si>
  <si>
    <t xml:space="preserve"> 83 99380-1522                                      </t>
  </si>
  <si>
    <t xml:space="preserve"> 83 99933-8004                                      </t>
  </si>
  <si>
    <t xml:space="preserve"> 83 99109-8119                                      </t>
  </si>
  <si>
    <t xml:space="preserve"> 83 99341-4916                                      </t>
  </si>
  <si>
    <t xml:space="preserve"> 83 99361-7932                                      </t>
  </si>
  <si>
    <t xml:space="preserve"> 83 99895-3583                                      </t>
  </si>
  <si>
    <t xml:space="preserve"> 83 99648-7833                                      </t>
  </si>
  <si>
    <t xml:space="preserve"> 83 99124-2382                                      </t>
  </si>
  <si>
    <t xml:space="preserve"> 83 99652-1741                                      </t>
  </si>
  <si>
    <t xml:space="preserve"> 83 98168-1450                                      </t>
  </si>
  <si>
    <t xml:space="preserve"> 83 99158-5643                                      </t>
  </si>
  <si>
    <t xml:space="preserve"> 83 99415-4510                                      </t>
  </si>
  <si>
    <t xml:space="preserve"> 83 99108-2125                                      </t>
  </si>
  <si>
    <t xml:space="preserve"> 83 98850-9060                                      </t>
  </si>
  <si>
    <t xml:space="preserve"> 83 98159-7242  |   83 98155-9320                   </t>
  </si>
  <si>
    <t xml:space="preserve"> 83 99988-0688                                      </t>
  </si>
  <si>
    <t xml:space="preserve"> 83 98772-9414                                      </t>
  </si>
  <si>
    <t xml:space="preserve"> 83 98129-7218                                      </t>
  </si>
  <si>
    <t xml:space="preserve"> 83 99900-5172                                      </t>
  </si>
  <si>
    <t xml:space="preserve"> 83 99951-3865                                      </t>
  </si>
  <si>
    <t xml:space="preserve"> 83 98153-8805                                      </t>
  </si>
  <si>
    <t xml:space="preserve"> 83 98208-1984                                      </t>
  </si>
  <si>
    <t xml:space="preserve"> 83 99838-5580                                      </t>
  </si>
  <si>
    <t xml:space="preserve"> 83 99896-5607                                      </t>
  </si>
  <si>
    <t xml:space="preserve"> 87  3871-2192                                      </t>
  </si>
  <si>
    <t xml:space="preserve"> 83 99609-1195                                      </t>
  </si>
  <si>
    <t xml:space="preserve"> 83 99832-0447                                      </t>
  </si>
  <si>
    <t xml:space="preserve"> 83 98665-8556                                      </t>
  </si>
  <si>
    <t xml:space="preserve"> 83 99659-4883                                      </t>
  </si>
  <si>
    <t xml:space="preserve"> 83 98642-9866                                      </t>
  </si>
  <si>
    <t xml:space="preserve"> 83 99953-2967                                      </t>
  </si>
  <si>
    <t xml:space="preserve"> 83 99833-7754                                      </t>
  </si>
  <si>
    <t xml:space="preserve"> 87 98817-4536                                      </t>
  </si>
  <si>
    <t xml:space="preserve"> 11 95233-6212                                      </t>
  </si>
  <si>
    <t xml:space="preserve"> 83 99655-9161                                      </t>
  </si>
  <si>
    <t xml:space="preserve"> 84 99970-3155                                      </t>
  </si>
  <si>
    <t xml:space="preserve"> 83 99808-0805                                      </t>
  </si>
  <si>
    <t xml:space="preserve"> 83 99697-7777                                      </t>
  </si>
  <si>
    <t xml:space="preserve"> 83 99627-1739                                      </t>
  </si>
  <si>
    <t xml:space="preserve"> 83 98160-3152                                      </t>
  </si>
  <si>
    <t xml:space="preserve"> 83 99979-5106                                      </t>
  </si>
  <si>
    <t xml:space="preserve"> 83 99810-1998                                      </t>
  </si>
  <si>
    <t xml:space="preserve"> 83 99882-6775                                      </t>
  </si>
  <si>
    <t xml:space="preserve"> 83 99398-5055                                      </t>
  </si>
  <si>
    <t xml:space="preserve"> 83 99639-7352                                      </t>
  </si>
  <si>
    <t xml:space="preserve"> 83 98105-9110                                      </t>
  </si>
  <si>
    <t xml:space="preserve"> 83 98210-9153                                      </t>
  </si>
  <si>
    <t xml:space="preserve"> 83 98213-0430                                      </t>
  </si>
  <si>
    <t xml:space="preserve"> 83 98168-1016                                      </t>
  </si>
  <si>
    <t xml:space="preserve"> 83 98194-6260                                      </t>
  </si>
  <si>
    <t xml:space="preserve"> 83 99911-0263                                      </t>
  </si>
  <si>
    <t xml:space="preserve"> 83 99644-9964                                      </t>
  </si>
  <si>
    <t xml:space="preserve"> 83 98101-5260                                      </t>
  </si>
  <si>
    <t xml:space="preserve"> 83 98723-2020                                      </t>
  </si>
  <si>
    <t xml:space="preserve"> 83 99604-0136                                      </t>
  </si>
  <si>
    <t xml:space="preserve"> 83 98109-4368                                      </t>
  </si>
  <si>
    <t xml:space="preserve"> 83 99878-8985                                      </t>
  </si>
  <si>
    <t xml:space="preserve"> 83 99961-1558                                      </t>
  </si>
  <si>
    <t xml:space="preserve"> 83 99933-5763                                      </t>
  </si>
  <si>
    <t xml:space="preserve"> 83 99620-3847                                      </t>
  </si>
  <si>
    <t xml:space="preserve"> 83 98630-8026                                      </t>
  </si>
  <si>
    <t xml:space="preserve"> 83 99961-1446                                      </t>
  </si>
  <si>
    <t xml:space="preserve"> 83 99316-4833                                      </t>
  </si>
  <si>
    <t xml:space="preserve"> 83 98674-0848                                      </t>
  </si>
  <si>
    <t xml:space="preserve"> 83 98215-0845                                      </t>
  </si>
  <si>
    <t xml:space="preserve"> 83 98172-6996                                      </t>
  </si>
  <si>
    <t xml:space="preserve"> 24 98175-1412                                      </t>
  </si>
  <si>
    <t xml:space="preserve"> 83 99817-3924                                      </t>
  </si>
  <si>
    <t xml:space="preserve"> 83 99860-7848                                      </t>
  </si>
  <si>
    <t xml:space="preserve"> 83 98619-0662                                      </t>
  </si>
  <si>
    <t xml:space="preserve"> 83 99889-6528                                      </t>
  </si>
  <si>
    <t xml:space="preserve"> 83 99815-9764                                      </t>
  </si>
  <si>
    <t xml:space="preserve"> 83 98822-2657                                      </t>
  </si>
  <si>
    <t xml:space="preserve"> 83 98158-6738                                      </t>
  </si>
  <si>
    <t xml:space="preserve"> 83 98855-3720                                      </t>
  </si>
  <si>
    <t xml:space="preserve"> 83 99841-2320                                      </t>
  </si>
  <si>
    <t xml:space="preserve"> 88 99821-7981                                      </t>
  </si>
  <si>
    <t xml:space="preserve"> 83 99337-2437                                      </t>
  </si>
  <si>
    <t xml:space="preserve"> 83 99949-0300                                      </t>
  </si>
  <si>
    <t xml:space="preserve"> 83 99659-0915                                      </t>
  </si>
  <si>
    <t xml:space="preserve"> 83 99628-5394                                      </t>
  </si>
  <si>
    <t xml:space="preserve"> 83 99948-2536                                      </t>
  </si>
  <si>
    <t xml:space="preserve"> 83 99699-4050                                      </t>
  </si>
  <si>
    <t xml:space="preserve"> 83 98185-7067                                      </t>
  </si>
  <si>
    <t xml:space="preserve"> 83 99989-9555                                      </t>
  </si>
  <si>
    <t xml:space="preserve"> 83 99666-6409                                      </t>
  </si>
  <si>
    <t xml:space="preserve"> 83 99830-5678                                      </t>
  </si>
  <si>
    <t xml:space="preserve"> 83 99988-4299                                      </t>
  </si>
  <si>
    <t xml:space="preserve"> 83 99968-0682                                      </t>
  </si>
  <si>
    <t xml:space="preserve"> 83 99841-3600                                      </t>
  </si>
  <si>
    <t xml:space="preserve"> 83 99804-0409                                      </t>
  </si>
  <si>
    <t xml:space="preserve"> 83 99122-3478                                      </t>
  </si>
  <si>
    <t xml:space="preserve"> 83 99931-6411                                      </t>
  </si>
  <si>
    <t xml:space="preserve"> 83 99848-6691                                      </t>
  </si>
  <si>
    <t xml:space="preserve"> 83 98744-1837                                      </t>
  </si>
  <si>
    <t xml:space="preserve"> 83 99661-4990                                      </t>
  </si>
  <si>
    <t xml:space="preserve"> 83 98198-7498                                      </t>
  </si>
  <si>
    <t xml:space="preserve"> 83 99315-3775                                      </t>
  </si>
  <si>
    <t xml:space="preserve"> 83 98201-8918                                      </t>
  </si>
  <si>
    <t xml:space="preserve"> 83 98658-0658                                      </t>
  </si>
  <si>
    <t xml:space="preserve"> 83 99689-3514                                      </t>
  </si>
  <si>
    <t xml:space="preserve"> 83 99885-1681                                      </t>
  </si>
  <si>
    <t xml:space="preserve"> 83 99812-2288                                      </t>
  </si>
  <si>
    <t xml:space="preserve"> 83 99914-7568                                      </t>
  </si>
  <si>
    <t xml:space="preserve"> 83 98150-0748                                      </t>
  </si>
  <si>
    <t xml:space="preserve"> 83 99634-6823                                      </t>
  </si>
  <si>
    <t xml:space="preserve"> 88 99926-8081                                      </t>
  </si>
  <si>
    <t xml:space="preserve"> 83 99853-9571                                      </t>
  </si>
  <si>
    <t xml:space="preserve"> 17 98229-8315                                      </t>
  </si>
  <si>
    <t xml:space="preserve"> 83 98225-1759                                      </t>
  </si>
  <si>
    <t xml:space="preserve"> 83 99615-2648                                      </t>
  </si>
  <si>
    <t xml:space="preserve"> 83 98145-2273                                      </t>
  </si>
  <si>
    <t xml:space="preserve"> 83 99800-7086                                      </t>
  </si>
  <si>
    <t xml:space="preserve"> 83 99405-8670                                      </t>
  </si>
  <si>
    <t xml:space="preserve"> 83 99181-6807                                      </t>
  </si>
  <si>
    <t xml:space="preserve"> 43 99671-8890                                      </t>
  </si>
  <si>
    <t xml:space="preserve"> 83 99654-9940                                      </t>
  </si>
  <si>
    <t xml:space="preserve"> 83 99629-6960                                      </t>
  </si>
  <si>
    <t xml:space="preserve"> 83 98177-2335                                      </t>
  </si>
  <si>
    <t xml:space="preserve"> 83 99120-3438                                      </t>
  </si>
  <si>
    <t xml:space="preserve"> 83 99824-0540                                      </t>
  </si>
  <si>
    <t xml:space="preserve"> 83 99997-5237                                      </t>
  </si>
  <si>
    <t xml:space="preserve"> 83 99301-3951                                      </t>
  </si>
  <si>
    <t xml:space="preserve"> 83 99385-4880                                      </t>
  </si>
  <si>
    <t xml:space="preserve"> 83 99314-2636                                      </t>
  </si>
  <si>
    <t xml:space="preserve"> 83 99809-0770                                      </t>
  </si>
  <si>
    <t xml:space="preserve"> 83 99694-1274                                      </t>
  </si>
  <si>
    <t xml:space="preserve"> 83 99627-2213                                      </t>
  </si>
  <si>
    <t xml:space="preserve"> 83 99996-9757                                      </t>
  </si>
  <si>
    <t xml:space="preserve"> 83 99860-9717                                      </t>
  </si>
  <si>
    <t xml:space="preserve"> 83 99971-1916                                      </t>
  </si>
  <si>
    <t xml:space="preserve"> 83 99986-9071                                      </t>
  </si>
  <si>
    <t xml:space="preserve"> 83 99611-2277                                      </t>
  </si>
  <si>
    <t xml:space="preserve"> 83 99406-7640                                      </t>
  </si>
  <si>
    <t xml:space="preserve"> 83 99188-0397                                      </t>
  </si>
  <si>
    <t xml:space="preserve"> 83 99145-5052                                      </t>
  </si>
  <si>
    <t xml:space="preserve"> 83 99372-0026                                      </t>
  </si>
  <si>
    <t xml:space="preserve"> 83 99109-4051                                      </t>
  </si>
  <si>
    <t xml:space="preserve"> 83 99989-1643                                      </t>
  </si>
  <si>
    <t xml:space="preserve"> 83 99630-7424                                      </t>
  </si>
  <si>
    <t xml:space="preserve"> 83 99900-7511                                      </t>
  </si>
  <si>
    <t xml:space="preserve"> 73 99861-7647                                      </t>
  </si>
  <si>
    <t xml:space="preserve"> 61 99354-5112                                      </t>
  </si>
  <si>
    <t xml:space="preserve"> 83 99149-8977                                      </t>
  </si>
  <si>
    <t xml:space="preserve"> 83 98173-9045                                      </t>
  </si>
  <si>
    <t xml:space="preserve"> 83 99895-3241                                      </t>
  </si>
  <si>
    <t xml:space="preserve"> 83 99389-3603                                      </t>
  </si>
  <si>
    <t xml:space="preserve"> 83 99183-5861                                      </t>
  </si>
  <si>
    <t xml:space="preserve"> 83 99117-5506                                      </t>
  </si>
  <si>
    <t xml:space="preserve"> 83 99863-3155                                      </t>
  </si>
  <si>
    <t xml:space="preserve"> 83 98178-7176                                      </t>
  </si>
  <si>
    <t xml:space="preserve"> 83 99674-5889                                      </t>
  </si>
  <si>
    <t xml:space="preserve"> 83 98720-4137                                      </t>
  </si>
  <si>
    <t xml:space="preserve"> 11 97450-2771                                      </t>
  </si>
  <si>
    <t xml:space="preserve"> 83 99300-1940                                      </t>
  </si>
  <si>
    <t xml:space="preserve"> 83 99820-0813                                      </t>
  </si>
  <si>
    <t xml:space="preserve"> 83 99625-5732                                      </t>
  </si>
  <si>
    <t xml:space="preserve"> 83 98160-3031                                      </t>
  </si>
  <si>
    <t xml:space="preserve"> 83 99310-3641                                      </t>
  </si>
  <si>
    <t xml:space="preserve"> 83 99927-9270                                      </t>
  </si>
  <si>
    <t xml:space="preserve"> 83 98158-8298                                      </t>
  </si>
  <si>
    <t xml:space="preserve"> 83 99944-1668                                      </t>
  </si>
  <si>
    <t xml:space="preserve"> 83 99143-4731                                      </t>
  </si>
  <si>
    <t xml:space="preserve"> 83 99112-1044                                      </t>
  </si>
  <si>
    <t xml:space="preserve"> 83  9301-1115                                      </t>
  </si>
  <si>
    <t xml:space="preserve"> 83 93643-1069                                      </t>
  </si>
  <si>
    <t xml:space="preserve"> 83 33372-2731                                      </t>
  </si>
  <si>
    <t xml:space="preserve"> 83 99650-0604                                      </t>
  </si>
  <si>
    <t xml:space="preserve"> 83 99956-2908                                      </t>
  </si>
  <si>
    <t xml:space="preserve"> 83 99929-6972                                      </t>
  </si>
  <si>
    <t xml:space="preserve"> 83 98102-4276                                      </t>
  </si>
  <si>
    <t xml:space="preserve"> 83 99988-6144                                      </t>
  </si>
  <si>
    <t xml:space="preserve"> 83 99648-7673                                      </t>
  </si>
  <si>
    <t xml:space="preserve"> 83 99634-9622                                      </t>
  </si>
  <si>
    <t xml:space="preserve"> 83 99630-0831                                      </t>
  </si>
  <si>
    <t xml:space="preserve"> 83 99961-9995                                      </t>
  </si>
  <si>
    <t xml:space="preserve"> 83 99913-4686                                      </t>
  </si>
  <si>
    <t xml:space="preserve"> 11 99215-8407                                      </t>
  </si>
  <si>
    <t xml:space="preserve"> 83 99864-5071                                      </t>
  </si>
  <si>
    <t xml:space="preserve"> 83 99376-0955                                      </t>
  </si>
  <si>
    <t xml:space="preserve"> 83 99913-6028                                      </t>
  </si>
  <si>
    <t xml:space="preserve"> 83 99622-6030                                      </t>
  </si>
  <si>
    <t xml:space="preserve"> 83 99832-1314                                      </t>
  </si>
  <si>
    <t xml:space="preserve"> 83 99670-7246                                      </t>
  </si>
  <si>
    <t xml:space="preserve"> 83 99616-3738                                      </t>
  </si>
  <si>
    <t xml:space="preserve"> 83 98103-4914                                      </t>
  </si>
  <si>
    <t xml:space="preserve"> 34 99983-9791                                      </t>
  </si>
  <si>
    <t xml:space="preserve"> 83 98621-1370                                      </t>
  </si>
  <si>
    <t xml:space="preserve"> 83 99947-2762                                      </t>
  </si>
  <si>
    <t xml:space="preserve"> 83 99610-3825                                      </t>
  </si>
  <si>
    <t xml:space="preserve"> 83 99957-3772                                      </t>
  </si>
  <si>
    <t xml:space="preserve"> 83 99100-8964                                      </t>
  </si>
  <si>
    <t xml:space="preserve"> 83 99657-4156                                      </t>
  </si>
  <si>
    <t xml:space="preserve"> 83 99963-2020                                      </t>
  </si>
  <si>
    <t xml:space="preserve"> 83 98828-6915                                      </t>
  </si>
  <si>
    <t xml:space="preserve"> 84 98703-8754                                      </t>
  </si>
  <si>
    <t xml:space="preserve"> 83 98807-8585                                      </t>
  </si>
  <si>
    <t xml:space="preserve"> 83 98114-0142                                      </t>
  </si>
  <si>
    <t xml:space="preserve"> 83 99400-7185                                      </t>
  </si>
  <si>
    <t xml:space="preserve"> 83 98106-2195                                      </t>
  </si>
  <si>
    <t xml:space="preserve"> 83 99111-2173                                      </t>
  </si>
  <si>
    <t xml:space="preserve"> 83 98107-6110                                      </t>
  </si>
  <si>
    <t xml:space="preserve"> 83 99979-1637                                      </t>
  </si>
  <si>
    <t xml:space="preserve"> 83 99179-7445                                      </t>
  </si>
  <si>
    <t xml:space="preserve"> 83 98131-4199                                      </t>
  </si>
  <si>
    <t xml:space="preserve"> 83 99802-6435                                      </t>
  </si>
  <si>
    <t xml:space="preserve"> 83 99335-6789                                      </t>
  </si>
  <si>
    <t xml:space="preserve"> 83 99941-6442                                      </t>
  </si>
  <si>
    <t xml:space="preserve"> 83 99823-3285                                      </t>
  </si>
  <si>
    <t xml:space="preserve"> 83 99942-4535                                      </t>
  </si>
  <si>
    <t xml:space="preserve"> 83 99641-8983                                      </t>
  </si>
  <si>
    <t xml:space="preserve"> 83 99185-5582                                      </t>
  </si>
  <si>
    <t xml:space="preserve"> 83 98211-9231                                      </t>
  </si>
  <si>
    <t xml:space="preserve"> 83 99602-4457                                      </t>
  </si>
  <si>
    <t xml:space="preserve"> 83 98212-2229                                      </t>
  </si>
  <si>
    <t xml:space="preserve"> 83 99906-7091                                      </t>
  </si>
  <si>
    <t xml:space="preserve"> 83 99415-1117                                      </t>
  </si>
  <si>
    <t xml:space="preserve"> 83 99125-5555                                      </t>
  </si>
  <si>
    <t xml:space="preserve"> 83 99139-7998                                      </t>
  </si>
  <si>
    <t xml:space="preserve"> 83 99856-0791                                      </t>
  </si>
  <si>
    <t xml:space="preserve"> 83 98165-5527                                      </t>
  </si>
  <si>
    <t xml:space="preserve"> 83 98999-9999                                      </t>
  </si>
  <si>
    <t xml:space="preserve"> 83 99132-1939                                      </t>
  </si>
  <si>
    <t xml:space="preserve"> 83 99925-6486                                      </t>
  </si>
  <si>
    <t xml:space="preserve"> 83 98684-7279                                      </t>
  </si>
  <si>
    <t xml:space="preserve"> 83 99988-2641                                      </t>
  </si>
  <si>
    <t xml:space="preserve"> 83 99940-8534                                      </t>
  </si>
  <si>
    <t xml:space="preserve"> 83 98161-0097                                      </t>
  </si>
  <si>
    <t xml:space="preserve"> 83 98104-3948                                      </t>
  </si>
  <si>
    <t xml:space="preserve"> 83 99974-7255                                      </t>
  </si>
  <si>
    <t xml:space="preserve"> 83 99153-8605                                      </t>
  </si>
  <si>
    <t xml:space="preserve"> 83 98104-1815                                      </t>
  </si>
  <si>
    <t xml:space="preserve"> 83 98214-2186                                      </t>
  </si>
  <si>
    <t xml:space="preserve"> 87 98142-3411                                      </t>
  </si>
  <si>
    <t xml:space="preserve"> 83 98117-7209                                      </t>
  </si>
  <si>
    <t xml:space="preserve"> 83 99641-1008                                      </t>
  </si>
  <si>
    <t xml:space="preserve"> 83 98121-6702                                      </t>
  </si>
  <si>
    <t xml:space="preserve"> 83 99994-1882                                      </t>
  </si>
  <si>
    <t xml:space="preserve"> 83 99993-5341                                      </t>
  </si>
  <si>
    <t xml:space="preserve"> 83 98207-4083                                      </t>
  </si>
  <si>
    <t xml:space="preserve"> 83 99946-6015                                      </t>
  </si>
  <si>
    <t xml:space="preserve"> 83 99944-4446                                      </t>
  </si>
  <si>
    <t xml:space="preserve"> 83 99920-7886                                      </t>
  </si>
  <si>
    <t xml:space="preserve"> 83 98143-4730                                      </t>
  </si>
  <si>
    <t xml:space="preserve"> 83 99980-7260                                      </t>
  </si>
  <si>
    <t xml:space="preserve"> 83 99889-7764                                      </t>
  </si>
  <si>
    <t xml:space="preserve"> 83 99846-5947                                      </t>
  </si>
  <si>
    <t xml:space="preserve"> 83 99986-0342                                      </t>
  </si>
  <si>
    <t xml:space="preserve"> 83 99686-1282                                      </t>
  </si>
  <si>
    <t xml:space="preserve"> 83 98134-5185                                      </t>
  </si>
  <si>
    <t xml:space="preserve"> 24 99930-9725                                      </t>
  </si>
  <si>
    <t xml:space="preserve"> 83 99112-7098                                      </t>
  </si>
  <si>
    <t xml:space="preserve"> 83 98151-5034                                      </t>
  </si>
  <si>
    <t xml:space="preserve"> 83 98704-4485                                      </t>
  </si>
  <si>
    <t xml:space="preserve"> 84 99947-6063                                      </t>
  </si>
  <si>
    <t xml:space="preserve"> 83 98206-1499                                      </t>
  </si>
  <si>
    <t xml:space="preserve"> 83 98199-0399                                      </t>
  </si>
  <si>
    <t xml:space="preserve"> 83 98176-5114                                      </t>
  </si>
  <si>
    <t xml:space="preserve"> 83 98888-8806                                      </t>
  </si>
  <si>
    <t xml:space="preserve"> 83 99124-6141                                      </t>
  </si>
  <si>
    <t xml:space="preserve"> 49 99149-8025                                      </t>
  </si>
  <si>
    <t xml:space="preserve"> 83 99673-3313                                      </t>
  </si>
  <si>
    <t xml:space="preserve"> 83 98804-4724                                      </t>
  </si>
  <si>
    <t xml:space="preserve"> 13 98808-6315                                      </t>
  </si>
  <si>
    <t xml:space="preserve"> 83 99626-4605                                      </t>
  </si>
  <si>
    <t xml:space="preserve"> 83 98659-4471                                      </t>
  </si>
  <si>
    <t xml:space="preserve"> 83 99803-9216                                      </t>
  </si>
  <si>
    <t xml:space="preserve"> 83 99990-6259                                      </t>
  </si>
  <si>
    <t xml:space="preserve"> 83 99621-4978                                      </t>
  </si>
  <si>
    <t xml:space="preserve"> 81 99958-6013                                      </t>
  </si>
  <si>
    <t xml:space="preserve"> 83 99903-6192                                      </t>
  </si>
  <si>
    <t xml:space="preserve"> 83 98159-7479                                      </t>
  </si>
  <si>
    <t xml:space="preserve"> 83 99621-6789                                      </t>
  </si>
  <si>
    <t xml:space="preserve"> 83 98214-4494                                      </t>
  </si>
  <si>
    <t xml:space="preserve"> 83 98212-1514                                      </t>
  </si>
  <si>
    <t xml:space="preserve"> 83 99628-9600                                      </t>
  </si>
  <si>
    <t xml:space="preserve"> 83 99859-2318                                      </t>
  </si>
  <si>
    <t xml:space="preserve"> 83 99910-5930                                      </t>
  </si>
  <si>
    <t xml:space="preserve"> 83 98102-1299                                      </t>
  </si>
  <si>
    <t xml:space="preserve"> 83 99635-0430                                      </t>
  </si>
  <si>
    <t xml:space="preserve"> 83 99900-2420                                      </t>
  </si>
  <si>
    <t xml:space="preserve"> 83 99377-7913                                      </t>
  </si>
  <si>
    <t xml:space="preserve"> 83 99938-2438                                      </t>
  </si>
  <si>
    <t xml:space="preserve"> 19 98804-2762                                      </t>
  </si>
  <si>
    <t xml:space="preserve"> 83 99806-2835                                      </t>
  </si>
  <si>
    <t xml:space="preserve"> 83 92000-8350                                      </t>
  </si>
  <si>
    <t xml:space="preserve"> 83 99687-6767                                      </t>
  </si>
  <si>
    <t xml:space="preserve"> 83 99626-4311                                      </t>
  </si>
  <si>
    <t xml:space="preserve"> 83 98199-9543                                      </t>
  </si>
  <si>
    <t xml:space="preserve"> 83 99964-6268                                      </t>
  </si>
  <si>
    <t xml:space="preserve"> 83 99843-3217                                      </t>
  </si>
  <si>
    <t xml:space="preserve"> 83 99627-9582                                      </t>
  </si>
  <si>
    <t xml:space="preserve"> 11 95116-5579                                      </t>
  </si>
  <si>
    <t xml:space="preserve"> 83 99927-2436                                      </t>
  </si>
  <si>
    <t xml:space="preserve"> 83 98169-1073                                      </t>
  </si>
  <si>
    <t xml:space="preserve"> 83 99825-8327                                      </t>
  </si>
  <si>
    <t xml:space="preserve"> 83 99927-7448                                      </t>
  </si>
  <si>
    <t xml:space="preserve"> 83 99684-4488                                      </t>
  </si>
  <si>
    <t xml:space="preserve"> 13 99762-7507                                      </t>
  </si>
  <si>
    <t xml:space="preserve"> 83 99624-8827                                      </t>
  </si>
  <si>
    <t xml:space="preserve"> 83 99691-2670                                      </t>
  </si>
  <si>
    <t xml:space="preserve"> 83 98127-8579                                      </t>
  </si>
  <si>
    <t xml:space="preserve"> 83 99386-4302                                      </t>
  </si>
  <si>
    <t xml:space="preserve"> 83 99638-1179                                      </t>
  </si>
  <si>
    <t xml:space="preserve"> 83 99804-8523                                      </t>
  </si>
  <si>
    <t xml:space="preserve"> 85 98650-0649                                      </t>
  </si>
  <si>
    <t xml:space="preserve"> 83 98650-0649                                      </t>
  </si>
  <si>
    <t xml:space="preserve"> 83 99672-2866                                      </t>
  </si>
  <si>
    <t xml:space="preserve"> 83 98828-5146                                      </t>
  </si>
  <si>
    <t xml:space="preserve"> 83 99604-5175                                      </t>
  </si>
  <si>
    <t xml:space="preserve"> 83 99168-9907                                      </t>
  </si>
  <si>
    <t xml:space="preserve"> 83 99677-6682                                      </t>
  </si>
  <si>
    <t xml:space="preserve"> 83 98656-4700                                      </t>
  </si>
  <si>
    <t xml:space="preserve"> 83 99942-4101                                      </t>
  </si>
  <si>
    <t xml:space="preserve"> 83 99946-7802                                      </t>
  </si>
  <si>
    <t xml:space="preserve"> 83 99653-3099                                      </t>
  </si>
  <si>
    <t xml:space="preserve"> 83 99693-4112                                      </t>
  </si>
  <si>
    <t xml:space="preserve"> 83 99827-1499                                      </t>
  </si>
  <si>
    <t xml:space="preserve"> 83 98130-3039                                      </t>
  </si>
  <si>
    <t xml:space="preserve"> 83 98821-1423                                      </t>
  </si>
  <si>
    <t xml:space="preserve"> 11 95468-4502                                      </t>
  </si>
  <si>
    <t xml:space="preserve"> 83 99952-1637                                      </t>
  </si>
  <si>
    <t xml:space="preserve"> 83 99653-0286                                      </t>
  </si>
  <si>
    <t xml:space="preserve"> 83 99892-1138                                      </t>
  </si>
  <si>
    <t xml:space="preserve"> 83 99888-3217                                      </t>
  </si>
  <si>
    <t xml:space="preserve"> 83 99983-3863                                      </t>
  </si>
  <si>
    <t xml:space="preserve"> 83 98136-9152                                      </t>
  </si>
  <si>
    <t xml:space="preserve"> 84 98873-0541                                      </t>
  </si>
  <si>
    <t xml:space="preserve"> 83 99801-1769                                      </t>
  </si>
  <si>
    <t xml:space="preserve"> 83 98134-6318                                      </t>
  </si>
  <si>
    <t xml:space="preserve"> 81  0231-5665                                      </t>
  </si>
  <si>
    <t xml:space="preserve"> 83 99915-7582                                      </t>
  </si>
  <si>
    <t xml:space="preserve"> 83 99949-5817                                      </t>
  </si>
  <si>
    <t xml:space="preserve"> 81  0015-5151                                      </t>
  </si>
  <si>
    <t xml:space="preserve"> 83 99694-4561                                      </t>
  </si>
  <si>
    <t xml:space="preserve"> 83 99803-3753                                      </t>
  </si>
  <si>
    <t xml:space="preserve"> 83 99890-9044                                      </t>
  </si>
  <si>
    <t xml:space="preserve"> 83 99836-0414                                      </t>
  </si>
  <si>
    <t xml:space="preserve"> 83 99130-4359                                      </t>
  </si>
  <si>
    <t xml:space="preserve"> 83 99978-4375                                      </t>
  </si>
  <si>
    <t xml:space="preserve"> 83 99843-2477                                      </t>
  </si>
  <si>
    <t xml:space="preserve"> 83 99654-4707                                      </t>
  </si>
  <si>
    <t xml:space="preserve"> 83 99643-3310                                      </t>
  </si>
  <si>
    <t xml:space="preserve"> 83 98856-6774                                      </t>
  </si>
  <si>
    <t xml:space="preserve"> 83 99883-0529                                      </t>
  </si>
  <si>
    <t xml:space="preserve"> 83 98872-2228                                      </t>
  </si>
  <si>
    <t xml:space="preserve"> 83  9000-0000                                      </t>
  </si>
  <si>
    <t xml:space="preserve"> 83 98182-2983                                      </t>
  </si>
  <si>
    <t xml:space="preserve"> 83 99869-1628                                      </t>
  </si>
  <si>
    <t xml:space="preserve"> 83 98141-7850                                      </t>
  </si>
  <si>
    <t xml:space="preserve"> 83 99845-4715                                      </t>
  </si>
  <si>
    <t xml:space="preserve"> 83 99611-1354                                      </t>
  </si>
  <si>
    <t xml:space="preserve"> 83 98873-1250                                      </t>
  </si>
  <si>
    <t xml:space="preserve"> 83 98186-9831                                      </t>
  </si>
  <si>
    <t xml:space="preserve"> 83 99695-9040                                      </t>
  </si>
  <si>
    <t xml:space="preserve"> 83 98149-4204                                      </t>
  </si>
  <si>
    <t xml:space="preserve"> 43 90000-0000  |   83 99148-6220                   </t>
  </si>
  <si>
    <t xml:space="preserve"> 83 98177-3695                                      </t>
  </si>
  <si>
    <t xml:space="preserve"> 83 98874-4063                                      </t>
  </si>
  <si>
    <t xml:space="preserve"> 83 98149-1596                                      </t>
  </si>
  <si>
    <t xml:space="preserve"> 43 90000-0000  |   83 99623-8334                   </t>
  </si>
  <si>
    <t xml:space="preserve"> 83 99175-9489                                      </t>
  </si>
  <si>
    <t xml:space="preserve"> 83 99623-9135                                      </t>
  </si>
  <si>
    <t xml:space="preserve"> 83 99618-3340                                      </t>
  </si>
  <si>
    <t xml:space="preserve"> 83 99858-1625  |   83 99637-5516                   </t>
  </si>
  <si>
    <t xml:space="preserve"> 83 98129-9447                                      </t>
  </si>
  <si>
    <t xml:space="preserve"> 83 99869-3914                                      </t>
  </si>
  <si>
    <t xml:space="preserve"> 83 98182-7092                                      </t>
  </si>
  <si>
    <t xml:space="preserve"> 83 98793-1250                                      </t>
  </si>
  <si>
    <t xml:space="preserve"> 83 90000-0000                                      </t>
  </si>
  <si>
    <t xml:space="preserve"> 83 98217-6058                                      </t>
  </si>
  <si>
    <t xml:space="preserve"> 83 98138-2199                                      </t>
  </si>
  <si>
    <t xml:space="preserve"> 43 90000-0000  |   83 99600-0093                   </t>
  </si>
  <si>
    <t xml:space="preserve"> 83 99632-0777                                      </t>
  </si>
  <si>
    <t xml:space="preserve"> 83 99925-7946                                      </t>
  </si>
  <si>
    <t xml:space="preserve"> 83 98210-3308                                      </t>
  </si>
  <si>
    <t xml:space="preserve"> 83 99933-8100                                      </t>
  </si>
  <si>
    <t xml:space="preserve"> 83 99891-4162                                      </t>
  </si>
  <si>
    <t xml:space="preserve"> 83 99690-9290                                      </t>
  </si>
  <si>
    <t xml:space="preserve"> 83 98198-2455                                      </t>
  </si>
  <si>
    <t xml:space="preserve"> 83 98119-9106                                      </t>
  </si>
  <si>
    <t xml:space="preserve"> 83 99810-2142                                      </t>
  </si>
  <si>
    <t xml:space="preserve"> 83 99186-1109                                      </t>
  </si>
  <si>
    <t xml:space="preserve"> 83 99881-4635                                      </t>
  </si>
  <si>
    <t xml:space="preserve"> 83 99693-7977                                      </t>
  </si>
  <si>
    <t xml:space="preserve"> 83 98755-5381  |   83 98120-3559                   </t>
  </si>
  <si>
    <t xml:space="preserve"> 83 99954-8118                                      </t>
  </si>
  <si>
    <t xml:space="preserve"> 83 99175-9870                                      </t>
  </si>
  <si>
    <t xml:space="preserve"> 83 99834-3162                                      </t>
  </si>
  <si>
    <t xml:space="preserve"> 83 99878-2583                                      </t>
  </si>
  <si>
    <t xml:space="preserve"> 83 98127-4494                                      </t>
  </si>
  <si>
    <t xml:space="preserve"> 83 99889-2175                                      </t>
  </si>
  <si>
    <t xml:space="preserve"> 11 98503-7275                                      </t>
  </si>
  <si>
    <t xml:space="preserve"> 83 99194-0133                                      </t>
  </si>
  <si>
    <t xml:space="preserve"> 87 99978-2920                                      </t>
  </si>
  <si>
    <t xml:space="preserve"> 83 98185-8368                                      </t>
  </si>
  <si>
    <t xml:space="preserve"> 83 99860-9330                                      </t>
  </si>
  <si>
    <t xml:space="preserve"> 43 90000-0000  |   11 97728-8574                   </t>
  </si>
  <si>
    <t xml:space="preserve"> 83 99967-2143                                      </t>
  </si>
  <si>
    <t xml:space="preserve"> 84 99618-9809                                      </t>
  </si>
  <si>
    <t xml:space="preserve"> 83 99889-1578                                      </t>
  </si>
  <si>
    <t xml:space="preserve"> 83 98117-7364                                      </t>
  </si>
  <si>
    <t xml:space="preserve"> 83 99980-0927                                      </t>
  </si>
  <si>
    <t xml:space="preserve"> 83 99802-4810                                      </t>
  </si>
  <si>
    <t xml:space="preserve"> 83 99620-8002                                      </t>
  </si>
  <si>
    <t xml:space="preserve"> 83 98145-4959                                      </t>
  </si>
  <si>
    <t xml:space="preserve"> 83 99959-7390                                      </t>
  </si>
  <si>
    <t xml:space="preserve"> 11 91228-0859                                      </t>
  </si>
  <si>
    <t xml:space="preserve"> 83 99644-2801                                      </t>
  </si>
  <si>
    <t xml:space="preserve"> 83 99858-2061                                      </t>
  </si>
  <si>
    <t xml:space="preserve"> 83 99115-8570                                      </t>
  </si>
  <si>
    <t xml:space="preserve"> 83 98738-0188                                      </t>
  </si>
  <si>
    <t xml:space="preserve"> 11 98421-4229                                      </t>
  </si>
  <si>
    <t xml:space="preserve"> 84 99605-5633                                      </t>
  </si>
  <si>
    <t xml:space="preserve"> 83 99979-9286                                      </t>
  </si>
  <si>
    <t xml:space="preserve"> 83 99603-4541                                      </t>
  </si>
  <si>
    <t xml:space="preserve"> 83 98609-8313                                      </t>
  </si>
  <si>
    <t xml:space="preserve"> 83 98787-1018                                      </t>
  </si>
  <si>
    <t xml:space="preserve"> 83 98642-6134                                      </t>
  </si>
  <si>
    <t xml:space="preserve"> 83 99997-1123                                      </t>
  </si>
  <si>
    <t xml:space="preserve"> 83 98141-0717                                      </t>
  </si>
  <si>
    <t xml:space="preserve"> 83 99884-0175                                      </t>
  </si>
  <si>
    <t xml:space="preserve"> 83 98114-2704                                      </t>
  </si>
  <si>
    <t xml:space="preserve"> 83 99834-9828                                      </t>
  </si>
  <si>
    <t xml:space="preserve"> 83 99848-9195                                      </t>
  </si>
  <si>
    <t xml:space="preserve"> 83 98227-2637                                      </t>
  </si>
  <si>
    <t xml:space="preserve"> 83 98102-5387                                      </t>
  </si>
  <si>
    <t xml:space="preserve"> 83 99967-3537                                      </t>
  </si>
  <si>
    <t xml:space="preserve"> 83 99121-3503                                      </t>
  </si>
  <si>
    <t xml:space="preserve"> 83 98830-2547                                      </t>
  </si>
  <si>
    <t xml:space="preserve"> 83 99854-2438                                      </t>
  </si>
  <si>
    <t xml:space="preserve"> 83 98878-0168                                      </t>
  </si>
  <si>
    <t xml:space="preserve"> 83 98808-7395                                      </t>
  </si>
  <si>
    <t xml:space="preserve"> 83 99360-3659                                      </t>
  </si>
  <si>
    <t xml:space="preserve"> 83 98220-1167                                      </t>
  </si>
  <si>
    <t xml:space="preserve"> 83 98881-8687                                      </t>
  </si>
  <si>
    <t xml:space="preserve"> 83 99997-1891                                      </t>
  </si>
  <si>
    <t xml:space="preserve"> 83 98143-7568                                      </t>
  </si>
  <si>
    <t xml:space="preserve"> 83 99831-3675                                      </t>
  </si>
  <si>
    <t xml:space="preserve"> 11 91339-5913                                      </t>
  </si>
  <si>
    <t xml:space="preserve"> 83 99989-2834                                      </t>
  </si>
  <si>
    <t xml:space="preserve"> 83 99107-3987                                      </t>
  </si>
  <si>
    <t xml:space="preserve"> 83 99922-6754                                      </t>
  </si>
  <si>
    <t xml:space="preserve"> 83 98214-9039                                      </t>
  </si>
  <si>
    <t xml:space="preserve"> 83 99624-6021                                      </t>
  </si>
  <si>
    <t xml:space="preserve"> 83 99983-3689                                      </t>
  </si>
  <si>
    <t xml:space="preserve"> 83 98744-9409                                      </t>
  </si>
  <si>
    <t xml:space="preserve"> 83 98140-4435                                      </t>
  </si>
  <si>
    <t xml:space="preserve"> 83 99971-7542                                      </t>
  </si>
  <si>
    <t xml:space="preserve"> 83 99158-0568                                      </t>
  </si>
  <si>
    <t xml:space="preserve"> 83 99902-3864                                      </t>
  </si>
  <si>
    <t xml:space="preserve"> 83 99890-6011                                      </t>
  </si>
  <si>
    <t xml:space="preserve"> 83 99933-6880                                      </t>
  </si>
  <si>
    <t xml:space="preserve"> 83 98213-6588                                      </t>
  </si>
  <si>
    <t xml:space="preserve"> 83 98107-7432                                      </t>
  </si>
  <si>
    <t xml:space="preserve"> 83 99955-0511                                      </t>
  </si>
  <si>
    <t xml:space="preserve"> 83 99908-3499                                      </t>
  </si>
  <si>
    <t xml:space="preserve"> 83 99954-6325                                      </t>
  </si>
  <si>
    <t xml:space="preserve"> 83 99826-8881                                      </t>
  </si>
  <si>
    <t xml:space="preserve"> 83 99656-4914                                      </t>
  </si>
  <si>
    <t xml:space="preserve"> 83 99970-5193                                      </t>
  </si>
  <si>
    <t xml:space="preserve"> 83 98193-4229                                      </t>
  </si>
  <si>
    <t xml:space="preserve"> 83 99907-7432                                      </t>
  </si>
  <si>
    <t xml:space="preserve"> 83 99802-6868                                      </t>
  </si>
  <si>
    <t xml:space="preserve"> 83 99328-4056                                      </t>
  </si>
  <si>
    <t xml:space="preserve"> 83 98114-7655                                      </t>
  </si>
  <si>
    <t xml:space="preserve"> 83 98164-9562                                      </t>
  </si>
  <si>
    <t xml:space="preserve"> 83 98129-9547                                      </t>
  </si>
  <si>
    <t xml:space="preserve"> 83 99373-9885                                      </t>
  </si>
  <si>
    <t xml:space="preserve"> 83 99982-5276                                      </t>
  </si>
  <si>
    <t xml:space="preserve"> 83 98116-1812                                      </t>
  </si>
  <si>
    <t xml:space="preserve"> 83 98121-0164                                      </t>
  </si>
  <si>
    <t xml:space="preserve"> 12 98269-2238                                      </t>
  </si>
  <si>
    <t xml:space="preserve"> 83 98106-7093                                      </t>
  </si>
  <si>
    <t xml:space="preserve"> 83 98201-6254                                      </t>
  </si>
  <si>
    <t xml:space="preserve"> 83 99948-6908                                      </t>
  </si>
  <si>
    <t xml:space="preserve"> 83 99684-7417                                      </t>
  </si>
  <si>
    <t xml:space="preserve"> 83 99872-5373                                      </t>
  </si>
  <si>
    <t xml:space="preserve"> 83 98724-2230                                      </t>
  </si>
  <si>
    <t xml:space="preserve"> 87 99619-6920                                      </t>
  </si>
  <si>
    <t xml:space="preserve"> 83 99645-9103                                      </t>
  </si>
  <si>
    <t xml:space="preserve"> 83 99612-5777                                      </t>
  </si>
  <si>
    <t xml:space="preserve"> 83 99919-1418                                      </t>
  </si>
  <si>
    <t xml:space="preserve"> 83 99884-9510                                      </t>
  </si>
  <si>
    <t xml:space="preserve"> 83 98191-9560                                      </t>
  </si>
  <si>
    <t xml:space="preserve"> 83 99863-7695                                      </t>
  </si>
  <si>
    <t xml:space="preserve"> 83 98660-8601                                      </t>
  </si>
  <si>
    <t xml:space="preserve"> 83 99620-4608                                      </t>
  </si>
  <si>
    <t xml:space="preserve"> 83 99633-6302                                      </t>
  </si>
  <si>
    <t xml:space="preserve"> 83 99900-7057                                      </t>
  </si>
  <si>
    <t xml:space="preserve"> 83 99872-2583                                      </t>
  </si>
  <si>
    <t xml:space="preserve"> 83 99802-1416                                      </t>
  </si>
  <si>
    <t xml:space="preserve"> 83 98129-0186                                      </t>
  </si>
  <si>
    <t xml:space="preserve"> 83  3421-2289                                      </t>
  </si>
  <si>
    <t xml:space="preserve"> 83 98103-4423                                      </t>
  </si>
  <si>
    <t xml:space="preserve"> 83 99934-9204                                      </t>
  </si>
  <si>
    <t xml:space="preserve"> 83 99694-6444                                      </t>
  </si>
  <si>
    <t xml:space="preserve"> 11 93016-4913                                      </t>
  </si>
  <si>
    <t xml:space="preserve"> 83 99381-3438                                      </t>
  </si>
  <si>
    <t xml:space="preserve"> 83 99128-8792                                      </t>
  </si>
  <si>
    <t xml:space="preserve"> 83 98203-6045                                      </t>
  </si>
  <si>
    <t xml:space="preserve"> 83 99145-3613                                      </t>
  </si>
  <si>
    <t xml:space="preserve"> 83 99931-8826                                      </t>
  </si>
  <si>
    <t xml:space="preserve"> 83 98110-6248                                      </t>
  </si>
  <si>
    <t xml:space="preserve"> 83 99163-1745                                      </t>
  </si>
  <si>
    <t xml:space="preserve"> 83 99853-4706                                      </t>
  </si>
  <si>
    <t xml:space="preserve"> 83 99841-6329                                      </t>
  </si>
  <si>
    <t xml:space="preserve"> 83 99674-1724                                      </t>
  </si>
  <si>
    <t xml:space="preserve"> 83 99694-9063                                      </t>
  </si>
  <si>
    <t xml:space="preserve"> 83 99317-1113                                      </t>
  </si>
  <si>
    <t xml:space="preserve"> 83 98198-1238                                      </t>
  </si>
  <si>
    <t xml:space="preserve"> 83 99178-9127                                      </t>
  </si>
  <si>
    <t xml:space="preserve"> 83 99878-4158                                      </t>
  </si>
  <si>
    <t xml:space="preserve"> 83 99148-3850                                      </t>
  </si>
  <si>
    <t xml:space="preserve"> 83 99964-6869                                      </t>
  </si>
  <si>
    <t xml:space="preserve"> 83 99664-4166                                      </t>
  </si>
  <si>
    <t xml:space="preserve"> 83 99699-4886                                      </t>
  </si>
  <si>
    <t xml:space="preserve"> 83 99350-8499                                      </t>
  </si>
  <si>
    <t xml:space="preserve"> 83 99921-4095                                      </t>
  </si>
  <si>
    <t xml:space="preserve"> 83 99687-1309                                      </t>
  </si>
  <si>
    <t xml:space="preserve"> 61 98126-8995                                      </t>
  </si>
  <si>
    <t xml:space="preserve"> 83 98174-4730                                      </t>
  </si>
  <si>
    <t xml:space="preserve"> 83 99389-3240                                      </t>
  </si>
  <si>
    <t xml:space="preserve"> 83 99946-5554                                      </t>
  </si>
  <si>
    <t xml:space="preserve"> 83 99854-2016                                      </t>
  </si>
  <si>
    <t xml:space="preserve"> 83 99840-5896                                      </t>
  </si>
  <si>
    <t xml:space="preserve"> 83 98103-7355                                      </t>
  </si>
  <si>
    <t xml:space="preserve"> 83 99160-4062                                      </t>
  </si>
  <si>
    <t xml:space="preserve"> 83 99678-5711                                      </t>
  </si>
  <si>
    <t xml:space="preserve"> 83 99608-7658                                      </t>
  </si>
  <si>
    <t xml:space="preserve"> 83 98854-0249                                      </t>
  </si>
  <si>
    <t xml:space="preserve"> 83 98183-4160                                      </t>
  </si>
  <si>
    <t xml:space="preserve"> 83 99607-6199                                      </t>
  </si>
  <si>
    <t xml:space="preserve"> 83 99108-6526                                      </t>
  </si>
  <si>
    <t xml:space="preserve"> 83 98866-2790                                      </t>
  </si>
  <si>
    <t xml:space="preserve"> 83 99919-5309                                      </t>
  </si>
  <si>
    <t xml:space="preserve"> 83 99667-4331                                      </t>
  </si>
  <si>
    <t xml:space="preserve"> 83 99687-4010                                      </t>
  </si>
  <si>
    <t xml:space="preserve"> 83 99196-7912                                      </t>
  </si>
  <si>
    <t xml:space="preserve"> 83 98778-8400                                      </t>
  </si>
  <si>
    <t xml:space="preserve"> 83 99857-6234                                      </t>
  </si>
  <si>
    <t xml:space="preserve"> 83 99969-3535                                      </t>
  </si>
  <si>
    <t xml:space="preserve"> 83 99997-9958                                      </t>
  </si>
  <si>
    <t xml:space="preserve"> 83 99847-2784                                      </t>
  </si>
  <si>
    <t xml:space="preserve"> 13 13291-6222                                      </t>
  </si>
  <si>
    <t xml:space="preserve"> 83 99942-8931                                      </t>
  </si>
  <si>
    <t xml:space="preserve"> 83 99828-1447                                      </t>
  </si>
  <si>
    <t xml:space="preserve"> 83 99967-4083                                      </t>
  </si>
  <si>
    <t xml:space="preserve"> 83 98101-5355                                      </t>
  </si>
  <si>
    <t xml:space="preserve"> 83 98212-0676                                      </t>
  </si>
  <si>
    <t xml:space="preserve"> 83 98131-8253                                      </t>
  </si>
  <si>
    <t xml:space="preserve"> 83 98136-8999                                      </t>
  </si>
  <si>
    <t xml:space="preserve"> 83 99892-6723                                      </t>
  </si>
  <si>
    <t xml:space="preserve"> 87 99962-3296                                      </t>
  </si>
  <si>
    <t xml:space="preserve"> 83 99824-2152                                      </t>
  </si>
  <si>
    <t xml:space="preserve"> 83 99630-3284                                      </t>
  </si>
  <si>
    <t xml:space="preserve"> 83 99695-2946                                      </t>
  </si>
  <si>
    <t xml:space="preserve"> 81 99500-0379  |   83 98908-9195                   </t>
  </si>
  <si>
    <t xml:space="preserve"> 83 99932-2985                                      </t>
  </si>
  <si>
    <t xml:space="preserve"> 83 99844-9791                                      </t>
  </si>
  <si>
    <t xml:space="preserve"> 83 99656-7456                                      </t>
  </si>
  <si>
    <t xml:space="preserve"> 83 98741-3811                                      </t>
  </si>
  <si>
    <t xml:space="preserve"> 83 99820-0020                                      </t>
  </si>
  <si>
    <t xml:space="preserve"> 83 99140-0373                                      </t>
  </si>
  <si>
    <t xml:space="preserve"> 47 98886-2091                                      </t>
  </si>
  <si>
    <t xml:space="preserve"> 83 99986-1019                                      </t>
  </si>
  <si>
    <t xml:space="preserve"> 83 98217-2567                                      </t>
  </si>
  <si>
    <t xml:space="preserve"> 83 99671-0093                                      </t>
  </si>
  <si>
    <t xml:space="preserve"> 83 99956-8128                                      </t>
  </si>
  <si>
    <t xml:space="preserve"> 83 99640-5665                                      </t>
  </si>
  <si>
    <t xml:space="preserve"> 83 99616-5316                                      </t>
  </si>
  <si>
    <t xml:space="preserve"> 83 99617-3508                                      </t>
  </si>
  <si>
    <t xml:space="preserve"> 84 98810-7225                                      </t>
  </si>
  <si>
    <t xml:space="preserve"> 83 99808-4478                                      </t>
  </si>
  <si>
    <t xml:space="preserve"> 83 98107-0060                                      </t>
  </si>
  <si>
    <t xml:space="preserve"> 83 98737-6575                                      </t>
  </si>
  <si>
    <t xml:space="preserve"> 84 98812-1864                                      </t>
  </si>
  <si>
    <t xml:space="preserve"> 83 99656-9014                                      </t>
  </si>
  <si>
    <t xml:space="preserve"> 83 99339-1915                                      </t>
  </si>
  <si>
    <t xml:space="preserve"> 83 98192-0111                                      </t>
  </si>
  <si>
    <t xml:space="preserve"> 83 99803-7246                                      </t>
  </si>
  <si>
    <t xml:space="preserve"> 83 98904-7481                                      </t>
  </si>
  <si>
    <t xml:space="preserve"> 83 98132-2548                                      </t>
  </si>
  <si>
    <t xml:space="preserve"> 83 99341-5875                                      </t>
  </si>
  <si>
    <t xml:space="preserve"> 83 98705-2654                                      </t>
  </si>
  <si>
    <t xml:space="preserve"> 49 99123-8382                                      </t>
  </si>
  <si>
    <t xml:space="preserve"> 83 99663-9745                                      </t>
  </si>
  <si>
    <t xml:space="preserve"> 83 99623-3096                                      </t>
  </si>
  <si>
    <t xml:space="preserve"> 83 98140-7607                                      </t>
  </si>
  <si>
    <t xml:space="preserve"> 83 98150-0988                                      </t>
  </si>
  <si>
    <t xml:space="preserve"> 83 98146-1874                                      </t>
  </si>
  <si>
    <t xml:space="preserve"> 83 99402-5629                                      </t>
  </si>
  <si>
    <t xml:space="preserve"> 83 99668-6676                                      </t>
  </si>
  <si>
    <t xml:space="preserve"> 83 98177-3253                                      </t>
  </si>
  <si>
    <t xml:space="preserve"> 83 99911-6880                                      </t>
  </si>
  <si>
    <t xml:space="preserve"> 83 99800-8752                                      </t>
  </si>
  <si>
    <t xml:space="preserve"> 83 98169-3304                                      </t>
  </si>
  <si>
    <t xml:space="preserve"> 83 98187-9048                                      </t>
  </si>
  <si>
    <t xml:space="preserve"> 83 99672-3391                                      </t>
  </si>
  <si>
    <t xml:space="preserve"> 83 98157-5847  |   67 98403-3233                   </t>
  </si>
  <si>
    <t xml:space="preserve"> 83 99647-9714                                      </t>
  </si>
  <si>
    <t xml:space="preserve"> 83 99850-0425                                      </t>
  </si>
  <si>
    <t xml:space="preserve"> 83 99844-3661                                      </t>
  </si>
  <si>
    <t xml:space="preserve"> 83 99954-4797                                      </t>
  </si>
  <si>
    <t xml:space="preserve"> 83 99362-8504                                      </t>
  </si>
  <si>
    <t xml:space="preserve"> 83 99160-6227                                      </t>
  </si>
  <si>
    <t xml:space="preserve"> 83 98119-8075                                      </t>
  </si>
  <si>
    <t xml:space="preserve"> 84 99655-9417                                      </t>
  </si>
  <si>
    <t xml:space="preserve"> 11 98105-8808                                      </t>
  </si>
  <si>
    <t xml:space="preserve"> 83 99115-3479                                      </t>
  </si>
  <si>
    <t xml:space="preserve"> 83 99174-7011                                      </t>
  </si>
  <si>
    <t xml:space="preserve"> 83 99914-2503                                      </t>
  </si>
  <si>
    <t xml:space="preserve"> 83 99121-9556                                      </t>
  </si>
  <si>
    <t xml:space="preserve"> 83 99956-0567                                      </t>
  </si>
  <si>
    <t xml:space="preserve"> 83 98151-9595                                      </t>
  </si>
  <si>
    <t xml:space="preserve"> 83 98667-3638                                      </t>
  </si>
  <si>
    <t xml:space="preserve"> 83 99890-7596                                      </t>
  </si>
  <si>
    <t xml:space="preserve"> 83 99885-4517                                      </t>
  </si>
  <si>
    <t xml:space="preserve"> 19  3313-5680                                      </t>
  </si>
  <si>
    <t xml:space="preserve"> 83 99691-2803                                      </t>
  </si>
  <si>
    <t xml:space="preserve"> 83 99690-8765                                      </t>
  </si>
  <si>
    <t xml:space="preserve"> 61 99419-4932                                      </t>
  </si>
  <si>
    <t xml:space="preserve"> 83 98603-6426                                      </t>
  </si>
  <si>
    <t xml:space="preserve"> 83 98209-0183                                      </t>
  </si>
  <si>
    <t xml:space="preserve"> 83 99906-0331                                      </t>
  </si>
  <si>
    <t xml:space="preserve"> 84 99978-9077                                      </t>
  </si>
  <si>
    <t xml:space="preserve"> 83 99924-8216                                      </t>
  </si>
  <si>
    <t xml:space="preserve"> 83 98232-4293                                      </t>
  </si>
  <si>
    <t xml:space="preserve"> 83 99868-0304                                      </t>
  </si>
  <si>
    <t xml:space="preserve"> 83 98139-2435                                      </t>
  </si>
  <si>
    <t xml:space="preserve"> 83 98107-1903                                      </t>
  </si>
  <si>
    <t xml:space="preserve"> 83 98154-1689  |   84 99942-8471                   </t>
  </si>
  <si>
    <t xml:space="preserve"> 83 98853-4270                                      </t>
  </si>
  <si>
    <t xml:space="preserve"> 83 99113-4852                                      </t>
  </si>
  <si>
    <t xml:space="preserve"> 83 98845-2910                                      </t>
  </si>
  <si>
    <t xml:space="preserve"> 83 99604-3033                                      </t>
  </si>
  <si>
    <t xml:space="preserve"> 83 99801-6355                                      </t>
  </si>
  <si>
    <t xml:space="preserve"> 83 98210-5814                                      </t>
  </si>
  <si>
    <t xml:space="preserve"> 83 99903-8341                                      </t>
  </si>
  <si>
    <t xml:space="preserve"> 83 99938-4832                                      </t>
  </si>
  <si>
    <t xml:space="preserve"> 83 99642-7720                                      </t>
  </si>
  <si>
    <t xml:space="preserve"> 83 98201-7642                                      </t>
  </si>
  <si>
    <t xml:space="preserve"> 83 99967-1536                                      </t>
  </si>
  <si>
    <t xml:space="preserve"> 83 99954-0114                                      </t>
  </si>
  <si>
    <t xml:space="preserve"> 83 98855-0577                                      </t>
  </si>
  <si>
    <t xml:space="preserve"> 83 99930-7686                                      </t>
  </si>
  <si>
    <t xml:space="preserve"> 83 98205-2339                                      </t>
  </si>
  <si>
    <t xml:space="preserve"> 83 99925-1578                                      </t>
  </si>
  <si>
    <t xml:space="preserve"> 83 99801-6244                                      </t>
  </si>
  <si>
    <t xml:space="preserve"> 83 99650-9651                                      </t>
  </si>
  <si>
    <t xml:space="preserve"> 83 92001-1531                                      </t>
  </si>
  <si>
    <t xml:space="preserve"> 83 99927-9017                                      </t>
  </si>
  <si>
    <t xml:space="preserve"> 83 99643-7951                                      </t>
  </si>
  <si>
    <t xml:space="preserve"> 83 99857-4062                                      </t>
  </si>
  <si>
    <t xml:space="preserve"> 21 96901-2453                                      </t>
  </si>
  <si>
    <t xml:space="preserve"> 83 98760-7406                                      </t>
  </si>
  <si>
    <t xml:space="preserve"> 83 99674-8922                                      </t>
  </si>
  <si>
    <t xml:space="preserve"> 83 99933-9178                                      </t>
  </si>
  <si>
    <t xml:space="preserve"> 83 99654-2199                                      </t>
  </si>
  <si>
    <t xml:space="preserve"> 21 96971-8482                                      </t>
  </si>
  <si>
    <t xml:space="preserve"> 83 98146-7065                                      </t>
  </si>
  <si>
    <t xml:space="preserve"> 11 99508-8146                                      </t>
  </si>
  <si>
    <t xml:space="preserve"> 83 99654-8517                                      </t>
  </si>
  <si>
    <t xml:space="preserve"> 83 98177-8611                                      </t>
  </si>
  <si>
    <t xml:space="preserve"> 83 99630-8683                                      </t>
  </si>
  <si>
    <t xml:space="preserve"> 83 98117-7968                                      </t>
  </si>
  <si>
    <t xml:space="preserve"> 83 98725-0207                                      </t>
  </si>
  <si>
    <t xml:space="preserve"> 83 99917-0066                                      </t>
  </si>
  <si>
    <t xml:space="preserve"> 83 98122-2864                                      </t>
  </si>
  <si>
    <t xml:space="preserve"> 83 98216-2289                                      </t>
  </si>
  <si>
    <t xml:space="preserve"> 83 98181-7519                                      </t>
  </si>
  <si>
    <t xml:space="preserve"> 83 99650-6178                                      </t>
  </si>
  <si>
    <t xml:space="preserve"> 83 99967-2418                                      </t>
  </si>
  <si>
    <t xml:space="preserve"> 83 99801-9179                                      </t>
  </si>
  <si>
    <t xml:space="preserve"> 83 99908-9883                                      </t>
  </si>
  <si>
    <t xml:space="preserve"> 83 99961-5211                                      </t>
  </si>
  <si>
    <t xml:space="preserve"> 83 98604-7117                                      </t>
  </si>
  <si>
    <t xml:space="preserve"> 11 96442-3271                                      </t>
  </si>
  <si>
    <t xml:space="preserve"> 83 99858-2274                                      </t>
  </si>
  <si>
    <t xml:space="preserve"> 83 99854-0066                                      </t>
  </si>
  <si>
    <t xml:space="preserve"> 83 99909-0506                                      </t>
  </si>
  <si>
    <t xml:space="preserve"> 83 98222-7858                                      </t>
  </si>
  <si>
    <t xml:space="preserve"> 83 99913-9452                                      </t>
  </si>
  <si>
    <t xml:space="preserve"> 83 98139-4297                                      </t>
  </si>
  <si>
    <t xml:space="preserve"> 83 99992-3005                                      </t>
  </si>
  <si>
    <t xml:space="preserve"> 83 99928-4569                                      </t>
  </si>
  <si>
    <t xml:space="preserve"> 83 98159-6261                                      </t>
  </si>
  <si>
    <t xml:space="preserve"> 83 99405-7499                                      </t>
  </si>
  <si>
    <t xml:space="preserve"> 83 98141-9222                                      </t>
  </si>
  <si>
    <t xml:space="preserve"> 83 98224-2338                                      </t>
  </si>
  <si>
    <t xml:space="preserve"> 83 98129-9587                                      </t>
  </si>
  <si>
    <t xml:space="preserve"> 83 99903-3533                                      </t>
  </si>
  <si>
    <t xml:space="preserve"> 83 98127-1291                                      </t>
  </si>
  <si>
    <t xml:space="preserve"> 83 98151-1451                                      </t>
  </si>
  <si>
    <t xml:space="preserve"> 83 99918-2059                                      </t>
  </si>
  <si>
    <t xml:space="preserve"> 83 99170-7076                                      </t>
  </si>
  <si>
    <t xml:space="preserve"> 83 99811-6186                                      </t>
  </si>
  <si>
    <t xml:space="preserve"> 83 99621-3030                                      </t>
  </si>
  <si>
    <t xml:space="preserve"> 83 99885-1220                                      </t>
  </si>
  <si>
    <t xml:space="preserve"> 83 99833-6565                                      </t>
  </si>
  <si>
    <t xml:space="preserve"> 83 99130-7513                                      </t>
  </si>
  <si>
    <t xml:space="preserve"> 83 99604-6831                                      </t>
  </si>
  <si>
    <t xml:space="preserve"> 83 99670-4855                                      </t>
  </si>
  <si>
    <t xml:space="preserve"> 83 99691-1254                                      </t>
  </si>
  <si>
    <t xml:space="preserve"> 21 99459-0564                                      </t>
  </si>
  <si>
    <t xml:space="preserve"> 84 99614-5814                                      </t>
  </si>
  <si>
    <t xml:space="preserve"> 21 98534-7067                                      </t>
  </si>
  <si>
    <t xml:space="preserve"> 83 99654-5535                                      </t>
  </si>
  <si>
    <t xml:space="preserve"> 65 99641-3359                                      </t>
  </si>
  <si>
    <t xml:space="preserve"> 83 99345-3616                                      </t>
  </si>
  <si>
    <t xml:space="preserve"> 83 99884-3700                                      </t>
  </si>
  <si>
    <t xml:space="preserve"> 83 98108-6073                                      </t>
  </si>
  <si>
    <t xml:space="preserve"> 83 99313-7440                                      </t>
  </si>
  <si>
    <t xml:space="preserve"> 83 99961-1254                                      </t>
  </si>
  <si>
    <t xml:space="preserve"> 11 97254-4607                                      </t>
  </si>
  <si>
    <t xml:space="preserve"> 83 98154-5489                                      </t>
  </si>
  <si>
    <t xml:space="preserve"> 83 99859-6297                                      </t>
  </si>
  <si>
    <t xml:space="preserve"> 83 98220-6605                                      </t>
  </si>
  <si>
    <t xml:space="preserve"> 83 99683-1494                                      </t>
  </si>
  <si>
    <t xml:space="preserve"> 83 99946-0135                                      </t>
  </si>
  <si>
    <t xml:space="preserve"> 83 98148-2327                                      </t>
  </si>
  <si>
    <t xml:space="preserve"> 83 99959-2182                                      </t>
  </si>
  <si>
    <t xml:space="preserve"> 83 99179-1201                                      </t>
  </si>
  <si>
    <t xml:space="preserve"> 83 98197-5511                                      </t>
  </si>
  <si>
    <t xml:space="preserve"> 83 98109-5598                                      </t>
  </si>
  <si>
    <t xml:space="preserve"> 83 99655-4165                                      </t>
  </si>
  <si>
    <t xml:space="preserve"> 83 99699-7617                                      </t>
  </si>
  <si>
    <t xml:space="preserve"> 71 99399-7047                                      </t>
  </si>
  <si>
    <t xml:space="preserve"> 83 99608-2029                                      </t>
  </si>
  <si>
    <t xml:space="preserve"> 83 99198-4738                                      </t>
  </si>
  <si>
    <t xml:space="preserve"> 83 99833-1515                                      </t>
  </si>
  <si>
    <t xml:space="preserve"> 83 99687-4576                                      </t>
  </si>
  <si>
    <t xml:space="preserve"> 83 98232-3054                                      </t>
  </si>
  <si>
    <t xml:space="preserve"> 83 99836-3258                                      </t>
  </si>
  <si>
    <t xml:space="preserve"> 83 99851-3141                                      </t>
  </si>
  <si>
    <t xml:space="preserve"> 83 98192-1487                                      </t>
  </si>
  <si>
    <t xml:space="preserve"> 83 98705-2395                                      </t>
  </si>
  <si>
    <t xml:space="preserve"> 83 99677-6238                                      </t>
  </si>
  <si>
    <t xml:space="preserve"> 83 99618-7461                                      </t>
  </si>
  <si>
    <t xml:space="preserve"> 83 99105-7879                                      </t>
  </si>
  <si>
    <t xml:space="preserve"> 83 99895-3941                                      </t>
  </si>
  <si>
    <t xml:space="preserve"> 83 99146-3756                                      </t>
  </si>
  <si>
    <t xml:space="preserve"> 83 98147-5749                                      </t>
  </si>
  <si>
    <t xml:space="preserve"> 83 99835-3960                                      </t>
  </si>
  <si>
    <t xml:space="preserve"> 83 98173-1072                                      </t>
  </si>
  <si>
    <t xml:space="preserve"> 83 98211-3644                                      </t>
  </si>
  <si>
    <t xml:space="preserve"> 48 99651-2953                                      </t>
  </si>
  <si>
    <t xml:space="preserve"> 83 98133-8186                                      </t>
  </si>
  <si>
    <t xml:space="preserve"> 83 99184-6481                                      </t>
  </si>
  <si>
    <t xml:space="preserve"> 83 98760-7322                                      </t>
  </si>
  <si>
    <t xml:space="preserve"> 83 99891-8191                                      </t>
  </si>
  <si>
    <t xml:space="preserve"> 83 99811-9782                                      </t>
  </si>
  <si>
    <t xml:space="preserve"> 83 99126-6560                                      </t>
  </si>
  <si>
    <t xml:space="preserve"> 83 99958-6956                                      </t>
  </si>
  <si>
    <t xml:space="preserve"> 83 99699-7643                                      </t>
  </si>
  <si>
    <t xml:space="preserve"> 83 98143-5926                                      </t>
  </si>
  <si>
    <t xml:space="preserve"> 87 99610-9994                                      </t>
  </si>
  <si>
    <t xml:space="preserve"> 83 99972-2508                                      </t>
  </si>
  <si>
    <t xml:space="preserve"> 83 99116-4200                                      </t>
  </si>
  <si>
    <t xml:space="preserve"> 83 99869-2822                                      </t>
  </si>
  <si>
    <t xml:space="preserve"> 11 98655-6830                                      </t>
  </si>
  <si>
    <t xml:space="preserve"> 83 99175-0721                                      </t>
  </si>
  <si>
    <t xml:space="preserve"> 83 98756-4392                                      </t>
  </si>
  <si>
    <t xml:space="preserve"> 83 99924-3559                                      </t>
  </si>
  <si>
    <t xml:space="preserve"> 83 99690-8599                                      </t>
  </si>
  <si>
    <t xml:space="preserve"> 83 99619-2129                                      </t>
  </si>
  <si>
    <t xml:space="preserve"> 83 99955-5474                                      </t>
  </si>
  <si>
    <t xml:space="preserve"> 83 99933-6039                                      </t>
  </si>
  <si>
    <t xml:space="preserve"> 83 99171-3069                                      </t>
  </si>
  <si>
    <t xml:space="preserve"> 83 99860-9468                                      </t>
  </si>
  <si>
    <t xml:space="preserve"> 83 99608-0143                                      </t>
  </si>
  <si>
    <t xml:space="preserve"> 83 99843-9266                                      </t>
  </si>
  <si>
    <t xml:space="preserve"> 83 99963-5347                                      </t>
  </si>
  <si>
    <t xml:space="preserve"> 83 99160-6051                                      </t>
  </si>
  <si>
    <t xml:space="preserve"> 83 98670-1522                                      </t>
  </si>
  <si>
    <t xml:space="preserve"> 83 98820-7836                                      </t>
  </si>
  <si>
    <t xml:space="preserve"> 83 99903-3182                                      </t>
  </si>
  <si>
    <t xml:space="preserve"> 83 98169-5491                                      </t>
  </si>
  <si>
    <t xml:space="preserve"> 83 99928-8388                                      </t>
  </si>
  <si>
    <t xml:space="preserve"> 83 98771-7257  |   83 98771-7257                   </t>
  </si>
  <si>
    <t xml:space="preserve"> 83 99636-1302                                      </t>
  </si>
  <si>
    <t xml:space="preserve"> 83 99654-9795                                      </t>
  </si>
  <si>
    <t xml:space="preserve"> 83 99111-9342                                      </t>
  </si>
  <si>
    <t xml:space="preserve"> 83 98168-4149                                      </t>
  </si>
  <si>
    <t xml:space="preserve"> 83 99861-5776                                      </t>
  </si>
  <si>
    <t xml:space="preserve"> 83 99415-1149                                      </t>
  </si>
  <si>
    <t xml:space="preserve"> 83 99962-4322                                      </t>
  </si>
  <si>
    <t xml:space="preserve"> 83 99966-0558                                      </t>
  </si>
  <si>
    <t xml:space="preserve"> 83 99685-1073                                      </t>
  </si>
  <si>
    <t xml:space="preserve"> 83 99895-9885                                      </t>
  </si>
  <si>
    <t xml:space="preserve"> 83 99883-3704                                      </t>
  </si>
  <si>
    <t xml:space="preserve"> 83 99988-9773                                      </t>
  </si>
  <si>
    <t xml:space="preserve"> 83 98145-9122                                      </t>
  </si>
  <si>
    <t xml:space="preserve"> 83 99972-5256                                      </t>
  </si>
  <si>
    <t xml:space="preserve"> 83 99642-4976                                      </t>
  </si>
  <si>
    <t xml:space="preserve"> 83 99637-8694                                      </t>
  </si>
  <si>
    <t xml:space="preserve"> 83 99629-4046                                      </t>
  </si>
  <si>
    <t xml:space="preserve"> 83 99171-2631                                      </t>
  </si>
  <si>
    <t xml:space="preserve"> 83 99672-0999                                      </t>
  </si>
  <si>
    <t xml:space="preserve"> 83 99886-4196                                      </t>
  </si>
  <si>
    <t xml:space="preserve"> 83 99877-2942                                      </t>
  </si>
  <si>
    <t xml:space="preserve"> 83 99863-1552                                      </t>
  </si>
  <si>
    <t xml:space="preserve"> 83 98708-1371                                      </t>
  </si>
  <si>
    <t xml:space="preserve"> 83 98175-6766                                      </t>
  </si>
  <si>
    <t xml:space="preserve"> 83 99300-1755                                      </t>
  </si>
  <si>
    <t xml:space="preserve"> 83 99364-2278                                      </t>
  </si>
  <si>
    <t xml:space="preserve"> 83 98113-3435                                      </t>
  </si>
  <si>
    <t xml:space="preserve"> 83 98200-6335                                      </t>
  </si>
  <si>
    <t xml:space="preserve"> 83 98737-7172                                      </t>
  </si>
  <si>
    <t xml:space="preserve"> 83 98686-1348                                      </t>
  </si>
  <si>
    <t xml:space="preserve"> 83 98170-0504                                      </t>
  </si>
  <si>
    <t xml:space="preserve"> 83 99830-6310                                      </t>
  </si>
  <si>
    <t xml:space="preserve"> 83 99843-6711                                      </t>
  </si>
  <si>
    <t xml:space="preserve"> 83 99841-4506                                      </t>
  </si>
  <si>
    <t xml:space="preserve"> 83 99163-8007                                      </t>
  </si>
  <si>
    <t xml:space="preserve"> 83 99695-4128                                      </t>
  </si>
  <si>
    <t xml:space="preserve"> 83  3421-7300                                      </t>
  </si>
  <si>
    <t xml:space="preserve"> 83 98153-7097                                      </t>
  </si>
  <si>
    <t xml:space="preserve"> 83 98144-0540                                      </t>
  </si>
  <si>
    <t xml:space="preserve"> 83 99659-7029                                      </t>
  </si>
  <si>
    <t xml:space="preserve"> 21 99183-0034                                      </t>
  </si>
  <si>
    <t xml:space="preserve"> 83 99971-7425                                      </t>
  </si>
  <si>
    <t xml:space="preserve"> 83 99818-8022                                      </t>
  </si>
  <si>
    <t xml:space="preserve"> 83 98155-2526                                      </t>
  </si>
  <si>
    <t xml:space="preserve"> 83 99640-7493                                      </t>
  </si>
  <si>
    <t xml:space="preserve"> 83 98211-9403                                      </t>
  </si>
  <si>
    <t xml:space="preserve"> 21 98307-0861                                      </t>
  </si>
  <si>
    <t xml:space="preserve"> 83 99117-2354                                      </t>
  </si>
  <si>
    <t xml:space="preserve"> 83 99811-5086                                      </t>
  </si>
  <si>
    <t xml:space="preserve"> 83 99667-6110                                      </t>
  </si>
  <si>
    <t xml:space="preserve"> 83 98657-8097  |   83 98183-8930                   </t>
  </si>
  <si>
    <t xml:space="preserve"> 83 98623-6039                                      </t>
  </si>
  <si>
    <t xml:space="preserve"> 83 99664-2625                                      </t>
  </si>
  <si>
    <t xml:space="preserve"> 83 98174-2110                                      </t>
  </si>
  <si>
    <t xml:space="preserve"> 83 98192-3959                                      </t>
  </si>
  <si>
    <t xml:space="preserve"> 12 98175-9538                                      </t>
  </si>
  <si>
    <t xml:space="preserve"> 83 99986-2061                                      </t>
  </si>
  <si>
    <t xml:space="preserve"> 83 98102-6709                                      </t>
  </si>
  <si>
    <t xml:space="preserve"> 83 98129-3698                                      </t>
  </si>
  <si>
    <t xml:space="preserve"> 83 98210-7782                                      </t>
  </si>
  <si>
    <t xml:space="preserve"> 83 99943-3359                                      </t>
  </si>
  <si>
    <t xml:space="preserve"> 83 99630-7601                                      </t>
  </si>
  <si>
    <t xml:space="preserve"> 83 99689-5137                                      </t>
  </si>
  <si>
    <t xml:space="preserve"> 83 99831-8703                                      </t>
  </si>
  <si>
    <t xml:space="preserve"> 83 99631-3007                                      </t>
  </si>
  <si>
    <t xml:space="preserve"> 83 99688-7608                                      </t>
  </si>
  <si>
    <t xml:space="preserve"> 83 99681-2873                                      </t>
  </si>
  <si>
    <t xml:space="preserve"> 83 99646-9244                                      </t>
  </si>
  <si>
    <t xml:space="preserve"> 83 98208-9608                                      </t>
  </si>
  <si>
    <t xml:space="preserve"> 83 99909-3622                                      </t>
  </si>
  <si>
    <t xml:space="preserve"> 83 99632-1211                                      </t>
  </si>
  <si>
    <t xml:space="preserve"> 83 99618-2594                                      </t>
  </si>
  <si>
    <t xml:space="preserve"> 83 99917-0088                                      </t>
  </si>
  <si>
    <t xml:space="preserve"> 83 99843-8510                                      </t>
  </si>
  <si>
    <t xml:space="preserve"> 83 99602-9406                                      </t>
  </si>
  <si>
    <t xml:space="preserve"> 83 99152-1914                                      </t>
  </si>
  <si>
    <t xml:space="preserve"> 83 99830-9562                                      </t>
  </si>
  <si>
    <t xml:space="preserve"> 83 99982-2979                                      </t>
  </si>
  <si>
    <t xml:space="preserve"> 83 99996-2176                                      </t>
  </si>
  <si>
    <t xml:space="preserve"> 83 98824-5326                                      </t>
  </si>
  <si>
    <t xml:space="preserve"> 83 98915-9622                                      </t>
  </si>
  <si>
    <t xml:space="preserve"> 83 99927-8080                                      </t>
  </si>
  <si>
    <t xml:space="preserve"> 83 99609-9553                                      </t>
  </si>
  <si>
    <t xml:space="preserve"> 83 99821-7538                                      </t>
  </si>
  <si>
    <t xml:space="preserve"> 83 99655-4485                                      </t>
  </si>
  <si>
    <t xml:space="preserve"> 83 99378-1386                                      </t>
  </si>
  <si>
    <t xml:space="preserve"> 83 98687-8102                                      </t>
  </si>
  <si>
    <t xml:space="preserve"> 83 99888-8648                                      </t>
  </si>
  <si>
    <t xml:space="preserve"> 83 99831-3859                                      </t>
  </si>
  <si>
    <t xml:space="preserve"> 83 98814-4693                                      </t>
  </si>
  <si>
    <t xml:space="preserve"> 83 99681-1747                                      </t>
  </si>
  <si>
    <t xml:space="preserve"> 83 98132-0580                                      </t>
  </si>
  <si>
    <t xml:space="preserve"> 83 99652-6158                                      </t>
  </si>
  <si>
    <t xml:space="preserve"> 83 99403-4845                                      </t>
  </si>
  <si>
    <t xml:space="preserve"> 83 99819-1629                                      </t>
  </si>
  <si>
    <t xml:space="preserve"> 83 99845-3572                                      </t>
  </si>
  <si>
    <t xml:space="preserve"> 83 98695-7226                                      </t>
  </si>
  <si>
    <t xml:space="preserve"> 83 99928-3956                                      </t>
  </si>
  <si>
    <t xml:space="preserve"> 83 98620-9424                                      </t>
  </si>
  <si>
    <t xml:space="preserve"> 83 99391-0350                                      </t>
  </si>
  <si>
    <t xml:space="preserve"> 83 99949-5579                                      </t>
  </si>
  <si>
    <t xml:space="preserve"> 83 99925-5425                                      </t>
  </si>
  <si>
    <t xml:space="preserve"> 83 99149-1695                                      </t>
  </si>
  <si>
    <t xml:space="preserve"> 83 99158-8761                                      </t>
  </si>
  <si>
    <t xml:space="preserve"> 83 98722-5320                                      </t>
  </si>
  <si>
    <t xml:space="preserve"> 83 98204-0050                                      </t>
  </si>
  <si>
    <t xml:space="preserve"> 83 98106-8543                                      </t>
  </si>
  <si>
    <t xml:space="preserve"> 83 98850-9149                                      </t>
  </si>
  <si>
    <t xml:space="preserve"> 83 99902-4460                                      </t>
  </si>
  <si>
    <t xml:space="preserve"> 83 99843-7796                                      </t>
  </si>
  <si>
    <t xml:space="preserve"> 83 98133-5577                                      </t>
  </si>
  <si>
    <t xml:space="preserve"> 83 98870-1648                                      </t>
  </si>
  <si>
    <t xml:space="preserve"> 83 99930-1815                                      </t>
  </si>
  <si>
    <t xml:space="preserve"> 83 98874-9903                                      </t>
  </si>
  <si>
    <t xml:space="preserve"> 83 99896-9939                                      </t>
  </si>
  <si>
    <t xml:space="preserve"> 83 98143-9567                                      </t>
  </si>
  <si>
    <t xml:space="preserve"> 83 98632-5434                                      </t>
  </si>
  <si>
    <t xml:space="preserve"> 83 99665-8396                                      </t>
  </si>
  <si>
    <t xml:space="preserve"> 83 99198-2169                                      </t>
  </si>
  <si>
    <t xml:space="preserve"> 83 99877-5767                                      </t>
  </si>
  <si>
    <t xml:space="preserve"> 83 99990-1206                                      </t>
  </si>
  <si>
    <t xml:space="preserve"> 83 99634-4659                                      </t>
  </si>
  <si>
    <t xml:space="preserve"> 83 99873-4037                                      </t>
  </si>
  <si>
    <t xml:space="preserve"> 83 99808-8262                                      </t>
  </si>
  <si>
    <t xml:space="preserve"> 11 93282-6602                                      </t>
  </si>
  <si>
    <t xml:space="preserve"> 83 98143-3099                                      </t>
  </si>
  <si>
    <t xml:space="preserve"> 83 99634-2892                                      </t>
  </si>
  <si>
    <t xml:space="preserve"> 83 99623-4351                                      </t>
  </si>
  <si>
    <t xml:space="preserve"> 83 99844-0066                                      </t>
  </si>
  <si>
    <t xml:space="preserve"> 43 99629-3664                                      </t>
  </si>
  <si>
    <t xml:space="preserve"> 83 99405-2412                                      </t>
  </si>
  <si>
    <t xml:space="preserve"> 83 98847-1359                                      </t>
  </si>
  <si>
    <t xml:space="preserve"> 83 98155-6868                                      </t>
  </si>
  <si>
    <t xml:space="preserve"> 83 99636-1790                                      </t>
  </si>
  <si>
    <t xml:space="preserve"> 83 99617-2154                                      </t>
  </si>
  <si>
    <t xml:space="preserve"> 83 99144-3641                                      </t>
  </si>
  <si>
    <t xml:space="preserve"> 83 99921-5064                                      </t>
  </si>
  <si>
    <t xml:space="preserve"> 83 98122-2557                                      </t>
  </si>
  <si>
    <t xml:space="preserve"> 83 99996-9462                                      </t>
  </si>
  <si>
    <t xml:space="preserve"> 83 99814-6181                                      </t>
  </si>
  <si>
    <t xml:space="preserve"> 83 98207-4835                                      </t>
  </si>
  <si>
    <t xml:space="preserve"> 83 99168-2699                                      </t>
  </si>
  <si>
    <t xml:space="preserve"> 83 98815-0715                                      </t>
  </si>
  <si>
    <t xml:space="preserve"> 83 99602-5249                                      </t>
  </si>
  <si>
    <t xml:space="preserve"> 83 99837-4989                                      </t>
  </si>
  <si>
    <t xml:space="preserve"> 83 99981-3892                                      </t>
  </si>
  <si>
    <t xml:space="preserve"> 11 97737-8412                                      </t>
  </si>
  <si>
    <t xml:space="preserve"> 83 98671-2309                                      </t>
  </si>
  <si>
    <t xml:space="preserve"> 83 99852-8221                                      </t>
  </si>
  <si>
    <t xml:space="preserve"> 83 99630-6833                                      </t>
  </si>
  <si>
    <t xml:space="preserve"> 83 99610-0363                                      </t>
  </si>
  <si>
    <t xml:space="preserve"> 83 99906-7570                                      </t>
  </si>
  <si>
    <t xml:space="preserve"> 83 99101-4218                                      </t>
  </si>
  <si>
    <t xml:space="preserve"> 83 99973-5870                                      </t>
  </si>
  <si>
    <t xml:space="preserve"> 83 99871-3157                                      </t>
  </si>
  <si>
    <t xml:space="preserve"> 83 99140-5345                                      </t>
  </si>
  <si>
    <t xml:space="preserve"> 83 99800-0584                                      </t>
  </si>
  <si>
    <t xml:space="preserve"> 83 99996-0205                                      </t>
  </si>
  <si>
    <t xml:space="preserve"> 83 99903-9007                                      </t>
  </si>
  <si>
    <t xml:space="preserve"> 83 99894-9465                                      </t>
  </si>
  <si>
    <t xml:space="preserve"> 83 99669-9087                                      </t>
  </si>
  <si>
    <t xml:space="preserve"> 83 98132-5920                                      </t>
  </si>
  <si>
    <t xml:space="preserve"> 83 98136-3509                                      </t>
  </si>
  <si>
    <t xml:space="preserve"> 83 99660-4643                                      </t>
  </si>
  <si>
    <t xml:space="preserve"> 83 99639-6582                                      </t>
  </si>
  <si>
    <t xml:space="preserve"> 83 99652-1471                                      </t>
  </si>
  <si>
    <t xml:space="preserve"> 83 98652-1614                                      </t>
  </si>
  <si>
    <t xml:space="preserve"> 83 98118-0881                                      </t>
  </si>
  <si>
    <t xml:space="preserve"> 83 99952-3344                                      </t>
  </si>
  <si>
    <t xml:space="preserve"> 83 99116-4180                                      </t>
  </si>
  <si>
    <t xml:space="preserve"> 83 99311-9928                                      </t>
  </si>
  <si>
    <t xml:space="preserve"> 83 99926-6648                                      </t>
  </si>
  <si>
    <t xml:space="preserve"> 83 98652-5446                                      </t>
  </si>
  <si>
    <t xml:space="preserve"> 11 98344-1087                                      </t>
  </si>
  <si>
    <t xml:space="preserve"> 83 99919-5392                                      </t>
  </si>
  <si>
    <t xml:space="preserve"> 83 98190-0365                                      </t>
  </si>
  <si>
    <t xml:space="preserve"> 61 98112-8432                                      </t>
  </si>
  <si>
    <t xml:space="preserve"> 83 99631-0634                                      </t>
  </si>
  <si>
    <t xml:space="preserve"> 83 99962-9447                                      </t>
  </si>
  <si>
    <t xml:space="preserve"> 83 99338-5425                                      </t>
  </si>
  <si>
    <t xml:space="preserve"> 83 99907-5093                                      </t>
  </si>
  <si>
    <t xml:space="preserve"> 83 99326-5417                                      </t>
  </si>
  <si>
    <t xml:space="preserve"> 83 99845-5809                                      </t>
  </si>
  <si>
    <t xml:space="preserve"> 83 99929-0698                                      </t>
  </si>
  <si>
    <t xml:space="preserve"> 83 99814-3219                                      </t>
  </si>
  <si>
    <t xml:space="preserve"> 83 99600-3655                                      </t>
  </si>
  <si>
    <t xml:space="preserve"> 83 98820-9303                                      </t>
  </si>
  <si>
    <t xml:space="preserve"> 83 98136-0861                                      </t>
  </si>
  <si>
    <t xml:space="preserve"> 83 99933-7608                                      </t>
  </si>
  <si>
    <t xml:space="preserve"> 83 99114-4220                                      </t>
  </si>
  <si>
    <t xml:space="preserve"> 83 98202-7683                                      </t>
  </si>
  <si>
    <t xml:space="preserve"> 83 99985-1982                                      </t>
  </si>
  <si>
    <t xml:space="preserve"> 83 99679-1119                                      </t>
  </si>
  <si>
    <t xml:space="preserve"> 83 99620-8427                                      </t>
  </si>
  <si>
    <t xml:space="preserve"> 83 98611-1561                                      </t>
  </si>
  <si>
    <t xml:space="preserve"> 83 99186-0963                                      </t>
  </si>
  <si>
    <t xml:space="preserve"> 83 99806-6164                                      </t>
  </si>
  <si>
    <t xml:space="preserve"> 83 99127-6366                                      </t>
  </si>
  <si>
    <t xml:space="preserve"> 83 99974-3709                                      </t>
  </si>
  <si>
    <t xml:space="preserve"> 83 99696-0733                                      </t>
  </si>
  <si>
    <t xml:space="preserve"> 83 99395-0042                                      </t>
  </si>
  <si>
    <t xml:space="preserve"> 83 99845-3585                                      </t>
  </si>
  <si>
    <t xml:space="preserve"> 83 99964-7656                                      </t>
  </si>
  <si>
    <t xml:space="preserve"> 83 98207-1656                                      </t>
  </si>
  <si>
    <t xml:space="preserve"> 83 99883-3829                                      </t>
  </si>
  <si>
    <t xml:space="preserve"> 83 98149-1176                                      </t>
  </si>
  <si>
    <t xml:space="preserve"> 83 99149-2978                                      </t>
  </si>
  <si>
    <t xml:space="preserve"> 83 98101-9018                                      </t>
  </si>
  <si>
    <t xml:space="preserve"> 83 98652-9328                                      </t>
  </si>
  <si>
    <t xml:space="preserve"> 83 99198-7589                                      </t>
  </si>
  <si>
    <t xml:space="preserve"> 83 99616-8291                                      </t>
  </si>
  <si>
    <t xml:space="preserve"> 83 98839-7273                                      </t>
  </si>
  <si>
    <t xml:space="preserve"> 83 99821-8161                                      </t>
  </si>
  <si>
    <t xml:space="preserve"> 83 98128-3961                                      </t>
  </si>
  <si>
    <t xml:space="preserve"> 83 98146-4727                                      </t>
  </si>
  <si>
    <t xml:space="preserve"> 83 98606-3806                                      </t>
  </si>
  <si>
    <t xml:space="preserve"> 83 99645-5200                                      </t>
  </si>
  <si>
    <t xml:space="preserve"> 84 98723-3935                                      </t>
  </si>
  <si>
    <t xml:space="preserve"> 83 99884-1145                                      </t>
  </si>
  <si>
    <t xml:space="preserve"> 83 99995-3422                                      </t>
  </si>
  <si>
    <t xml:space="preserve"> 84 99474-3414                                      </t>
  </si>
  <si>
    <t xml:space="preserve"> 83 98710-8648                                      </t>
  </si>
  <si>
    <t xml:space="preserve"> 83 99626-5021                                      </t>
  </si>
  <si>
    <t xml:space="preserve"> 83 99957-8072                                      </t>
  </si>
  <si>
    <t xml:space="preserve"> 83 99605-3711                                      </t>
  </si>
  <si>
    <t xml:space="preserve"> 83 98690-1750                                      </t>
  </si>
  <si>
    <t xml:space="preserve"> 83 99810-9585                                      </t>
  </si>
  <si>
    <t xml:space="preserve"> 83 99127-1390                                      </t>
  </si>
  <si>
    <t xml:space="preserve"> 21 97625-4797                                      </t>
  </si>
  <si>
    <t xml:space="preserve"> 83 98224-5198                                      </t>
  </si>
  <si>
    <t xml:space="preserve"> 83 98145-7707                                      </t>
  </si>
  <si>
    <t xml:space="preserve"> 61 98110-0961                                      </t>
  </si>
  <si>
    <t xml:space="preserve"> 83 99864-3886                                      </t>
  </si>
  <si>
    <t xml:space="preserve"> 83 99608-4064                                      </t>
  </si>
  <si>
    <t xml:space="preserve"> 94 99126-3057                                      </t>
  </si>
  <si>
    <t xml:space="preserve"> 11 96073-5827                                      </t>
  </si>
  <si>
    <t xml:space="preserve"> 83 99603-7679                                      </t>
  </si>
  <si>
    <t xml:space="preserve"> 83 99375-6642                                      </t>
  </si>
  <si>
    <t xml:space="preserve"> 87 99184-3695                                      </t>
  </si>
  <si>
    <t xml:space="preserve"> 83 99941-8919                                      </t>
  </si>
  <si>
    <t xml:space="preserve"> 83 99643-4507                                      </t>
  </si>
  <si>
    <t xml:space="preserve"> 83 99149-4748                                      </t>
  </si>
  <si>
    <t xml:space="preserve"> 83 99626-8498                                      </t>
  </si>
  <si>
    <t xml:space="preserve"> 83 99909-6119                                      </t>
  </si>
  <si>
    <t xml:space="preserve"> 83 99854-9793                                      </t>
  </si>
  <si>
    <t xml:space="preserve"> 83 98210-3979                                      </t>
  </si>
  <si>
    <t xml:space="preserve"> 83 99999-9471                                      </t>
  </si>
  <si>
    <t xml:space="preserve"> 83 99641-7552                                      </t>
  </si>
  <si>
    <t xml:space="preserve"> 87 99810-2684                                      </t>
  </si>
  <si>
    <t xml:space="preserve"> 83 99815-4737                                      </t>
  </si>
  <si>
    <t xml:space="preserve"> 83 99115-7211                                      </t>
  </si>
  <si>
    <t xml:space="preserve"> 83 98233-8436                                      </t>
  </si>
  <si>
    <t xml:space="preserve"> 83 99679-3646                                      </t>
  </si>
  <si>
    <t xml:space="preserve"> 83 99631-3866                                      </t>
  </si>
  <si>
    <t xml:space="preserve"> 83 99823-3960                                      </t>
  </si>
  <si>
    <t xml:space="preserve"> 83 99907-6447                                      </t>
  </si>
  <si>
    <t xml:space="preserve"> 83 98210-9563                                      </t>
  </si>
  <si>
    <t xml:space="preserve"> 83 98707-7088                                      </t>
  </si>
  <si>
    <t xml:space="preserve"> 83 98190-1164                                      </t>
  </si>
  <si>
    <t xml:space="preserve"> 83 98723-4069                                      </t>
  </si>
  <si>
    <t xml:space="preserve"> 83 98192-3578                                      </t>
  </si>
  <si>
    <t xml:space="preserve"> 83 98654-1127                                      </t>
  </si>
  <si>
    <t xml:space="preserve"> 83 98186-5326                                      </t>
  </si>
  <si>
    <t xml:space="preserve"> 83 99989-8553                                      </t>
  </si>
  <si>
    <t xml:space="preserve"> 83 98179-3886                                      </t>
  </si>
  <si>
    <t xml:space="preserve"> 83 98217-9754                                      </t>
  </si>
  <si>
    <t xml:space="preserve"> 83 98173-7198                                      </t>
  </si>
  <si>
    <t xml:space="preserve"> 83 99110-3673                                      </t>
  </si>
  <si>
    <t xml:space="preserve"> 83 98180-1355                                      </t>
  </si>
  <si>
    <t xml:space="preserve"> 83 99854-9872                                      </t>
  </si>
  <si>
    <t xml:space="preserve"> 83 98138-2409                                      </t>
  </si>
  <si>
    <t xml:space="preserve"> 16 98174-7473                                      </t>
  </si>
  <si>
    <t xml:space="preserve"> 83 99982-4700                                      </t>
  </si>
  <si>
    <t xml:space="preserve"> 83 98702-3858                                      </t>
  </si>
  <si>
    <t xml:space="preserve"> 83 99650-6573                                      </t>
  </si>
  <si>
    <t xml:space="preserve"> 61 98380-8130                                      </t>
  </si>
  <si>
    <t xml:space="preserve"> 83 98102-4018                                      </t>
  </si>
  <si>
    <t xml:space="preserve"> 83 99636-0661                                      </t>
  </si>
  <si>
    <t xml:space="preserve"> 83 99335-6387                                      </t>
  </si>
  <si>
    <t xml:space="preserve"> 83 98183-9907                                      </t>
  </si>
  <si>
    <t xml:space="preserve"> 83 98894-7815                                      </t>
  </si>
  <si>
    <t xml:space="preserve"> 83 99609-0255                                      </t>
  </si>
  <si>
    <t xml:space="preserve"> 83 99918-8542                                      </t>
  </si>
  <si>
    <t xml:space="preserve"> 83 99873-2554                                      </t>
  </si>
  <si>
    <t xml:space="preserve"> 83 99995-2514                                      </t>
  </si>
  <si>
    <t xml:space="preserve"> 83 99676-6949                                      </t>
  </si>
  <si>
    <t xml:space="preserve"> 83 99944-4584                                      </t>
  </si>
  <si>
    <t xml:space="preserve"> 83 98137-6036                                      </t>
  </si>
  <si>
    <t xml:space="preserve"> 83 99967-0724                                      </t>
  </si>
  <si>
    <t xml:space="preserve"> 21 97317-7591                                      </t>
  </si>
  <si>
    <t xml:space="preserve"> 83 99614-6879                                      </t>
  </si>
  <si>
    <t xml:space="preserve"> 83 99913-3794                                      </t>
  </si>
  <si>
    <t xml:space="preserve"> 83 99612-4153                                      </t>
  </si>
  <si>
    <t xml:space="preserve"> 83 99967-9142                                      </t>
  </si>
  <si>
    <t xml:space="preserve"> 83 99864-2039                                      </t>
  </si>
  <si>
    <t xml:space="preserve"> 83 99828-8712                                      </t>
  </si>
  <si>
    <t xml:space="preserve"> 83 99377-0871                                      </t>
  </si>
  <si>
    <t xml:space="preserve"> 83 99612-0531                                      </t>
  </si>
  <si>
    <t xml:space="preserve"> 83 99875-0156                                      </t>
  </si>
  <si>
    <t xml:space="preserve"> 83 99633-8431                                      </t>
  </si>
  <si>
    <t xml:space="preserve"> 83 99619-2714                                      </t>
  </si>
  <si>
    <t xml:space="preserve"> 83 99808-8863                                      </t>
  </si>
  <si>
    <t xml:space="preserve"> 83 98704-4199                                      </t>
  </si>
  <si>
    <t xml:space="preserve"> 83 99861-0086                                      </t>
  </si>
  <si>
    <t xml:space="preserve"> 83 99835-6475                                      </t>
  </si>
  <si>
    <t xml:space="preserve"> 83 98214-1974                                      </t>
  </si>
  <si>
    <t xml:space="preserve"> 83 98730-5068                                      </t>
  </si>
  <si>
    <t xml:space="preserve"> 83 99922-4288                                      </t>
  </si>
  <si>
    <t xml:space="preserve"> 83 98905-1096                                      </t>
  </si>
  <si>
    <t xml:space="preserve"> 83 98882-9481                                      </t>
  </si>
  <si>
    <t xml:space="preserve"> 83 99851-0601                                      </t>
  </si>
  <si>
    <t xml:space="preserve"> 83 98157-1920                                      </t>
  </si>
  <si>
    <t xml:space="preserve"> 11 98476-2744                                      </t>
  </si>
  <si>
    <t xml:space="preserve"> 83 99631-8123                                      </t>
  </si>
  <si>
    <t xml:space="preserve"> 83 98135-9994                                      </t>
  </si>
  <si>
    <t xml:space="preserve"> 83 99934-1429                                      </t>
  </si>
  <si>
    <t xml:space="preserve"> 83 99687-1142                                      </t>
  </si>
  <si>
    <t xml:space="preserve"> 83 99169-8311                                      </t>
  </si>
  <si>
    <t xml:space="preserve"> 83 99694-1600                                      </t>
  </si>
  <si>
    <t xml:space="preserve"> 83 98130-5466                                      </t>
  </si>
  <si>
    <t xml:space="preserve"> 83 99618-4352                                      </t>
  </si>
  <si>
    <t xml:space="preserve"> 87 99963-8108                                      </t>
  </si>
  <si>
    <t xml:space="preserve"> 61 98209-0278                                      </t>
  </si>
  <si>
    <t xml:space="preserve"> 83 99943-6638                                      </t>
  </si>
  <si>
    <t xml:space="preserve"> 83 99627-9133                                      </t>
  </si>
  <si>
    <t xml:space="preserve"> 83 99967-8069                                      </t>
  </si>
  <si>
    <t xml:space="preserve"> 83 99956-8480                                      </t>
  </si>
  <si>
    <t xml:space="preserve"> 83 98120-7078                                      </t>
  </si>
  <si>
    <t xml:space="preserve"> 83 98123-1950                                      </t>
  </si>
  <si>
    <t xml:space="preserve"> 83 99633-1818                                      </t>
  </si>
  <si>
    <t xml:space="preserve"> 83 98171-1806                                      </t>
  </si>
  <si>
    <t xml:space="preserve"> 83 99825-5209                                      </t>
  </si>
  <si>
    <t xml:space="preserve"> 83 98158-5147                                      </t>
  </si>
  <si>
    <t xml:space="preserve"> 83 99939-7658                                      </t>
  </si>
  <si>
    <t xml:space="preserve"> 83 99407-9883                                      </t>
  </si>
  <si>
    <t xml:space="preserve"> 83 98733-9850                                      </t>
  </si>
  <si>
    <t xml:space="preserve"> 83 99983-2579                                      </t>
  </si>
  <si>
    <t xml:space="preserve"> 83 99690-8371                                      </t>
  </si>
  <si>
    <t xml:space="preserve"> 83 98878-7495                                      </t>
  </si>
  <si>
    <t xml:space="preserve"> 83 98158-2533                                      </t>
  </si>
  <si>
    <t xml:space="preserve"> 83 99965-4481                                      </t>
  </si>
  <si>
    <t xml:space="preserve"> 83 98173-6741                                      </t>
  </si>
  <si>
    <t xml:space="preserve"> 83 99918-8949                                      </t>
  </si>
  <si>
    <t xml:space="preserve"> 83 99851-9485                                      </t>
  </si>
  <si>
    <t xml:space="preserve"> 83 99150-0200                                      </t>
  </si>
  <si>
    <t xml:space="preserve"> 83 99681-0533                                      </t>
  </si>
  <si>
    <t xml:space="preserve"> 87 99609-2763                                      </t>
  </si>
  <si>
    <t xml:space="preserve"> 83 99192-2756                                      </t>
  </si>
  <si>
    <t xml:space="preserve"> 83 99910-7884                                      </t>
  </si>
  <si>
    <t xml:space="preserve"> 83 98121-9075                                      </t>
  </si>
  <si>
    <t xml:space="preserve"> 83 99359-8588                                      </t>
  </si>
  <si>
    <t xml:space="preserve"> 83 99628-0285                                      </t>
  </si>
  <si>
    <t xml:space="preserve"> 83 99336-3931                                      </t>
  </si>
  <si>
    <t xml:space="preserve"> 83 99861-6468                                      </t>
  </si>
  <si>
    <t xml:space="preserve"> 83 83991-7470                                      </t>
  </si>
  <si>
    <t xml:space="preserve"> 83 98616-4684                                      </t>
  </si>
  <si>
    <t xml:space="preserve"> 11 93466-1753                                      </t>
  </si>
  <si>
    <t xml:space="preserve"> 83 98125-6828                                      </t>
  </si>
  <si>
    <t xml:space="preserve"> 83 98124-1500                                      </t>
  </si>
  <si>
    <t xml:space="preserve"> 17 98137-4479                                      </t>
  </si>
  <si>
    <t xml:space="preserve"> 83 98843-7381                                      </t>
  </si>
  <si>
    <t xml:space="preserve"> 83 99667-4773                                      </t>
  </si>
  <si>
    <t xml:space="preserve"> 83 99948-0595                                      </t>
  </si>
  <si>
    <t xml:space="preserve"> 83 99618-6196                                      </t>
  </si>
  <si>
    <t xml:space="preserve"> 11 98207-7873                                      </t>
  </si>
  <si>
    <t xml:space="preserve"> 83 99657-7222                                      </t>
  </si>
  <si>
    <t xml:space="preserve"> 83 98167-9579                                      </t>
  </si>
  <si>
    <t xml:space="preserve"> 83 98186-6728                                      </t>
  </si>
  <si>
    <t xml:space="preserve"> 83 99200-0000                                      </t>
  </si>
  <si>
    <t xml:space="preserve"> 19 98128-8597                                      </t>
  </si>
  <si>
    <t xml:space="preserve"> 83 98615-4530                                      </t>
  </si>
  <si>
    <t xml:space="preserve"> 83 98233-7915                                      </t>
  </si>
  <si>
    <t xml:space="preserve"> 83 99607-4867                                      </t>
  </si>
  <si>
    <t xml:space="preserve"> 83 99609-4530                                      </t>
  </si>
  <si>
    <t xml:space="preserve"> 83 99646-0632                                      </t>
  </si>
  <si>
    <t xml:space="preserve"> 83 99314-2959                                      </t>
  </si>
  <si>
    <t xml:space="preserve"> 83 99643-3865                                      </t>
  </si>
  <si>
    <t xml:space="preserve"> 83 99635-0720                                      </t>
  </si>
  <si>
    <t xml:space="preserve"> 83 99168-0187                                      </t>
  </si>
  <si>
    <t xml:space="preserve"> 83 98166-8882                                      </t>
  </si>
  <si>
    <t xml:space="preserve"> 83 99685-4550                                      </t>
  </si>
  <si>
    <t xml:space="preserve"> 83 98603-7104                                      </t>
  </si>
  <si>
    <t xml:space="preserve"> 83 98797-4875                                      </t>
  </si>
  <si>
    <t xml:space="preserve"> 31 99427-3687                                      </t>
  </si>
  <si>
    <t xml:space="preserve"> 83 98121-1159                                      </t>
  </si>
  <si>
    <t xml:space="preserve"> 83 99885-3556                                      </t>
  </si>
  <si>
    <t xml:space="preserve"> 83 98749-2177                                      </t>
  </si>
  <si>
    <t xml:space="preserve"> 21 97987-3926                                      </t>
  </si>
  <si>
    <t xml:space="preserve"> 83 98189-9987                                      </t>
  </si>
  <si>
    <t xml:space="preserve"> 83 99979-2396                                      </t>
  </si>
  <si>
    <t xml:space="preserve"> 83 99323-2780                                      </t>
  </si>
  <si>
    <t xml:space="preserve"> 83 99900-6817                                      </t>
  </si>
  <si>
    <t xml:space="preserve"> 83 99666-4007                                      </t>
  </si>
  <si>
    <t xml:space="preserve"> 83 99983-1901                                      </t>
  </si>
  <si>
    <t xml:space="preserve"> 83 99906-9263                                      </t>
  </si>
  <si>
    <t xml:space="preserve"> 83 99965-6418                                      </t>
  </si>
  <si>
    <t xml:space="preserve"> 83 99987-9776                                      </t>
  </si>
  <si>
    <t xml:space="preserve"> 83 99391-6478                                      </t>
  </si>
  <si>
    <t xml:space="preserve"> 83 99914-0000                                      </t>
  </si>
  <si>
    <t xml:space="preserve"> 83 99654-8367                                      </t>
  </si>
  <si>
    <t xml:space="preserve"> 83 99688-1976                                      </t>
  </si>
  <si>
    <t xml:space="preserve"> 83 99809-5954                                      </t>
  </si>
  <si>
    <t xml:space="preserve"> 83 92001-2714                                      </t>
  </si>
  <si>
    <t xml:space="preserve"> 83 98854-4659                                      </t>
  </si>
  <si>
    <t xml:space="preserve"> 83 99828-0822                                      </t>
  </si>
  <si>
    <t xml:space="preserve"> 83 98125-4649                                      </t>
  </si>
  <si>
    <t xml:space="preserve"> 83 99693-2822                                      </t>
  </si>
  <si>
    <t xml:space="preserve"> 83 98148-7316                                      </t>
  </si>
  <si>
    <t xml:space="preserve"> 83 99145-5541                                      </t>
  </si>
  <si>
    <t xml:space="preserve"> 83 99971-5180                                      </t>
  </si>
  <si>
    <t xml:space="preserve"> 83 99408-1562                                      </t>
  </si>
  <si>
    <t xml:space="preserve"> 83 98170-5774                                      </t>
  </si>
  <si>
    <t xml:space="preserve"> 83 99825-2252                                      </t>
  </si>
  <si>
    <t xml:space="preserve"> 83 99856-9867                                      </t>
  </si>
  <si>
    <t xml:space="preserve"> 83 98220-5422                                      </t>
  </si>
  <si>
    <t xml:space="preserve"> 83 99958-0362                                      </t>
  </si>
  <si>
    <t xml:space="preserve"> 61 99387-1165                                      </t>
  </si>
  <si>
    <t xml:space="preserve"> 83 99172-2509                                      </t>
  </si>
  <si>
    <t xml:space="preserve"> 13 98155-1992                                      </t>
  </si>
  <si>
    <t xml:space="preserve"> 83 98812-8637                                      </t>
  </si>
  <si>
    <t xml:space="preserve"> 11 93900-6005                                      </t>
  </si>
  <si>
    <t xml:space="preserve"> 83 98230-5930                                      </t>
  </si>
  <si>
    <t xml:space="preserve"> 83 99919-5129                                      </t>
  </si>
  <si>
    <t xml:space="preserve"> 83 99965-7513                                      </t>
  </si>
  <si>
    <t xml:space="preserve"> 83 98179-6676                                      </t>
  </si>
  <si>
    <t xml:space="preserve"> 83 98192-8998                                      </t>
  </si>
  <si>
    <t xml:space="preserve"> 83 99895-2367                                      </t>
  </si>
  <si>
    <t xml:space="preserve"> 83 99609-0908                                      </t>
  </si>
  <si>
    <t xml:space="preserve"> 83 98234-5808                                      </t>
  </si>
  <si>
    <t xml:space="preserve"> 83 99163-2192                                      </t>
  </si>
  <si>
    <t xml:space="preserve"> 83 98147-8702                                      </t>
  </si>
  <si>
    <t xml:space="preserve"> 83 98894-7345                                      </t>
  </si>
  <si>
    <t xml:space="preserve"> 83 98115-4699                                      </t>
  </si>
  <si>
    <t xml:space="preserve"> 83 99124-4462                                      </t>
  </si>
  <si>
    <t xml:space="preserve"> 83 98132-8856                                      </t>
  </si>
  <si>
    <t xml:space="preserve"> 83 99375-6745                                      </t>
  </si>
  <si>
    <t xml:space="preserve"> 11 99951-4169                                      </t>
  </si>
  <si>
    <t xml:space="preserve"> 83 99940-6030                                      </t>
  </si>
  <si>
    <t xml:space="preserve"> 83 98157-0432                                      </t>
  </si>
  <si>
    <t xml:space="preserve"> 83 99803-9017                                      </t>
  </si>
  <si>
    <t xml:space="preserve"> 83 99631-4166                                      </t>
  </si>
  <si>
    <t xml:space="preserve"> 83 98107-7627                                      </t>
  </si>
  <si>
    <t xml:space="preserve"> 83 99600-6251                                      </t>
  </si>
  <si>
    <t xml:space="preserve"> 83 98159-4318                                      </t>
  </si>
  <si>
    <t xml:space="preserve"> 84 99818-1389                                      </t>
  </si>
  <si>
    <t xml:space="preserve"> 83 99984-9786                                      </t>
  </si>
  <si>
    <t xml:space="preserve"> 83 99815-3521                                      </t>
  </si>
  <si>
    <t xml:space="preserve"> 83 98215-0093                                      </t>
  </si>
  <si>
    <t xml:space="preserve"> 83 99125-7088                                      </t>
  </si>
  <si>
    <t xml:space="preserve"> 83 99928-1707                                      </t>
  </si>
  <si>
    <t xml:space="preserve"> 83 99921-3955                                      </t>
  </si>
  <si>
    <t xml:space="preserve"> 83 98651-0792                                      </t>
  </si>
  <si>
    <t xml:space="preserve"> 83 98697-6309                                      </t>
  </si>
  <si>
    <t xml:space="preserve"> 83 99914-0581                                      </t>
  </si>
  <si>
    <t xml:space="preserve"> 83 99161-8971                                      </t>
  </si>
  <si>
    <t xml:space="preserve"> 83 99808-2200                                      </t>
  </si>
  <si>
    <t xml:space="preserve"> 83 98134-6284                                      </t>
  </si>
  <si>
    <t xml:space="preserve"> 83 99955-7049                                      </t>
  </si>
  <si>
    <t xml:space="preserve"> 83 98763-6846                                      </t>
  </si>
  <si>
    <t xml:space="preserve"> 83 98853-6765                                      </t>
  </si>
  <si>
    <t xml:space="preserve"> 83 99944-7854                                      </t>
  </si>
  <si>
    <t xml:space="preserve"> 83 99614-7410                                      </t>
  </si>
  <si>
    <t xml:space="preserve"> 83 98629-6058                                      </t>
  </si>
  <si>
    <t xml:space="preserve"> 83 99907-7320                                      </t>
  </si>
  <si>
    <t xml:space="preserve"> 83 99983-9926                                      </t>
  </si>
  <si>
    <t xml:space="preserve"> 83 99876-3297                                      </t>
  </si>
  <si>
    <t xml:space="preserve"> 83 99932-6572                                      </t>
  </si>
  <si>
    <t xml:space="preserve"> 83 99130-4638                                      </t>
  </si>
  <si>
    <t xml:space="preserve"> 83 99941-5078                                      </t>
  </si>
  <si>
    <t xml:space="preserve"> 83 99961-1976                                      </t>
  </si>
  <si>
    <t xml:space="preserve"> 83 99913-1318                                      </t>
  </si>
  <si>
    <t xml:space="preserve"> 83 99699-5065                                      </t>
  </si>
  <si>
    <t xml:space="preserve"> 83 99891-6423                                      </t>
  </si>
  <si>
    <t xml:space="preserve"> 83 99935-2346                                      </t>
  </si>
  <si>
    <t xml:space="preserve"> 83 99368-2759                                      </t>
  </si>
  <si>
    <t xml:space="preserve"> 83 99967-3848                                      </t>
  </si>
  <si>
    <t xml:space="preserve"> 11 95406-5323                                      </t>
  </si>
  <si>
    <t xml:space="preserve"> 83 99413-2231                                      </t>
  </si>
  <si>
    <t xml:space="preserve"> 83 99893-0917                                      </t>
  </si>
  <si>
    <t xml:space="preserve"> 83 99977-8216                                      </t>
  </si>
  <si>
    <t xml:space="preserve"> 83 99889-6730                                      </t>
  </si>
  <si>
    <t xml:space="preserve"> 83 98194-9197                                      </t>
  </si>
  <si>
    <t xml:space="preserve"> 83 99984-1309                                      </t>
  </si>
  <si>
    <t xml:space="preserve"> 11 95959-1357                                      </t>
  </si>
  <si>
    <t xml:space="preserve"> 83 99975-1819                                      </t>
  </si>
  <si>
    <t xml:space="preserve"> 83 99868-8626                                      </t>
  </si>
  <si>
    <t xml:space="preserve"> 83 99989-4737                                      </t>
  </si>
  <si>
    <t xml:space="preserve"> 83 99894-6004                                      </t>
  </si>
  <si>
    <t xml:space="preserve"> 83 96915-3872                                      </t>
  </si>
  <si>
    <t xml:space="preserve"> 83 99996-4303                                      </t>
  </si>
  <si>
    <t xml:space="preserve"> 83 98128-7664                                      </t>
  </si>
  <si>
    <t xml:space="preserve"> 83 99808-7646                                      </t>
  </si>
  <si>
    <t xml:space="preserve"> 83 99900-0000                                      </t>
  </si>
  <si>
    <t xml:space="preserve"> 17 98113-2282                                      </t>
  </si>
  <si>
    <t xml:space="preserve"> 83 99656-8082                                      </t>
  </si>
  <si>
    <t xml:space="preserve"> 83 98232-8245                                      </t>
  </si>
  <si>
    <t xml:space="preserve"> 83 99642-7207                                      </t>
  </si>
  <si>
    <t xml:space="preserve"> 12 99742-5132                                      </t>
  </si>
  <si>
    <t xml:space="preserve"> 21 99807-8824                                      </t>
  </si>
  <si>
    <t xml:space="preserve"> 21 99759-3033                                      </t>
  </si>
  <si>
    <t xml:space="preserve"> 83  9671-8895                                      </t>
  </si>
  <si>
    <t xml:space="preserve"> 83 99413-8029                                      </t>
  </si>
  <si>
    <t xml:space="preserve"> 83 98214-2399                                      </t>
  </si>
  <si>
    <t xml:space="preserve"> 83 99697-9506                                      </t>
  </si>
  <si>
    <t xml:space="preserve"> 83 99846-7598                                      </t>
  </si>
  <si>
    <t xml:space="preserve"> 87 99993-1649                                      </t>
  </si>
  <si>
    <t xml:space="preserve"> 83 99915-9960                                      </t>
  </si>
  <si>
    <t xml:space="preserve"> 83 99853-0984                                      </t>
  </si>
  <si>
    <t xml:space="preserve"> 83 99873-3514                                      </t>
  </si>
  <si>
    <t xml:space="preserve"> 83 99987-8332                                      </t>
  </si>
  <si>
    <t xml:space="preserve"> 83 99657-0686                                      </t>
  </si>
  <si>
    <t xml:space="preserve"> 83 99915-7961                                      </t>
  </si>
  <si>
    <t xml:space="preserve"> 83 99860-1752                                      </t>
  </si>
  <si>
    <t xml:space="preserve"> 83 99644-4803                                      </t>
  </si>
  <si>
    <t xml:space="preserve"> 83 99653-4365                                      </t>
  </si>
  <si>
    <t xml:space="preserve"> 83 99338-1513                                      </t>
  </si>
  <si>
    <t xml:space="preserve"> 83 98191-8464                                      </t>
  </si>
  <si>
    <t xml:space="preserve"> 87 99207-1304                                      </t>
  </si>
  <si>
    <t xml:space="preserve"> 83 98672-3199                                      </t>
  </si>
  <si>
    <t xml:space="preserve"> 83 98202-4373                                      </t>
  </si>
  <si>
    <t xml:space="preserve"> 83 99945-3017                                      </t>
  </si>
  <si>
    <t xml:space="preserve"> 83 98180-2801                                      </t>
  </si>
  <si>
    <t xml:space="preserve"> 83 99949-1173                                      </t>
  </si>
  <si>
    <t xml:space="preserve"> 83 99639-1882                                      </t>
  </si>
  <si>
    <t xml:space="preserve"> 83 99175-2341                                      </t>
  </si>
  <si>
    <t xml:space="preserve"> 83 99805-9442                                      </t>
  </si>
  <si>
    <t xml:space="preserve"> 83 98161-7437                                      </t>
  </si>
  <si>
    <t xml:space="preserve"> 83 99953-5000                                      </t>
  </si>
  <si>
    <t xml:space="preserve"> 83 99932-4111                                      </t>
  </si>
  <si>
    <t xml:space="preserve"> 83 99821-6343                                      </t>
  </si>
  <si>
    <t xml:space="preserve"> 83 99128-1528                                      </t>
  </si>
  <si>
    <t xml:space="preserve"> 83 99904-8851                                      </t>
  </si>
  <si>
    <t xml:space="preserve"> 83 99323-3973                                      </t>
  </si>
  <si>
    <t xml:space="preserve"> 83 98625-7406                                      </t>
  </si>
  <si>
    <t xml:space="preserve"> 83 98189-1811                                      </t>
  </si>
  <si>
    <t xml:space="preserve"> 83 98171-6222                                      </t>
  </si>
  <si>
    <t xml:space="preserve"> 83 98126-7522                                      </t>
  </si>
  <si>
    <t xml:space="preserve"> 11 95404-4881                                      </t>
  </si>
  <si>
    <t xml:space="preserve"> 83 99395-5806                                      </t>
  </si>
  <si>
    <t xml:space="preserve"> 83 99660-7836                                      </t>
  </si>
  <si>
    <t xml:space="preserve"> 83 99310-5496                                      </t>
  </si>
  <si>
    <t xml:space="preserve"> 83 99352-9932                                      </t>
  </si>
  <si>
    <t xml:space="preserve"> 83 98805-2385                                      </t>
  </si>
  <si>
    <t xml:space="preserve"> 83 99334-1108                                      </t>
  </si>
  <si>
    <t xml:space="preserve"> 83 99319-5943                                      </t>
  </si>
  <si>
    <t xml:space="preserve"> 83 99334-3655                                      </t>
  </si>
  <si>
    <t xml:space="preserve"> 83 98199-8882                                      </t>
  </si>
  <si>
    <t xml:space="preserve"> 83 98183-7252                                      </t>
  </si>
  <si>
    <t xml:space="preserve"> 83 99814-9680                                      </t>
  </si>
  <si>
    <t xml:space="preserve"> 83 98147-9160                                      </t>
  </si>
  <si>
    <t xml:space="preserve"> 83 98174-6804                                      </t>
  </si>
  <si>
    <t xml:space="preserve"> 83 98853-4274                                      </t>
  </si>
  <si>
    <t xml:space="preserve"> 83 98178-1886                                      </t>
  </si>
  <si>
    <t xml:space="preserve"> 83  9911-9792  |   83 99904-9114  |   83 99961-6346</t>
  </si>
  <si>
    <t xml:space="preserve"> 83 99673-0829                                      </t>
  </si>
  <si>
    <t xml:space="preserve"> 83 99937-9410                                      </t>
  </si>
  <si>
    <t xml:space="preserve"> 83 98183-7496                                      </t>
  </si>
  <si>
    <t xml:space="preserve"> 19 98110-4024                                      </t>
  </si>
  <si>
    <t xml:space="preserve"> 83 99996-9999                                      </t>
  </si>
  <si>
    <t xml:space="preserve"> 13 98170-2542                                      </t>
  </si>
  <si>
    <t xml:space="preserve"> 83 99950-8038                                      </t>
  </si>
  <si>
    <t xml:space="preserve"> 83 99387-2397                                      </t>
  </si>
  <si>
    <t xml:space="preserve"> 83 99402-1703                                      </t>
  </si>
  <si>
    <t xml:space="preserve"> 83 99652-4961                                      </t>
  </si>
  <si>
    <t xml:space="preserve"> 83 99999-9099                                      </t>
  </si>
  <si>
    <t xml:space="preserve"> 83 98170-4161                                      </t>
  </si>
  <si>
    <t xml:space="preserve"> 22 99972-1509                                      </t>
  </si>
  <si>
    <t xml:space="preserve"> 83 99956-6783                                      </t>
  </si>
  <si>
    <t xml:space="preserve"> 83 99610-0784                                      </t>
  </si>
  <si>
    <t xml:space="preserve"> 83 99698-6327                                      </t>
  </si>
  <si>
    <t xml:space="preserve"> 83 98227-9998                                      </t>
  </si>
  <si>
    <t xml:space="preserve"> 83 99622-3735                                      </t>
  </si>
  <si>
    <t xml:space="preserve"> 83 98117-1225                                      </t>
  </si>
  <si>
    <t xml:space="preserve"> 83 99817-8579                                      </t>
  </si>
  <si>
    <t xml:space="preserve"> 84 99678-1097                                      </t>
  </si>
  <si>
    <t xml:space="preserve"> 83 98842-6967                                      </t>
  </si>
  <si>
    <t xml:space="preserve"> 83 99970-7732                                      </t>
  </si>
  <si>
    <t xml:space="preserve"> 83 99944-3245                                      </t>
  </si>
  <si>
    <t xml:space="preserve"> 83 99815-7584                                      </t>
  </si>
  <si>
    <t xml:space="preserve"> 83 99868-4563                                      </t>
  </si>
  <si>
    <t xml:space="preserve"> 83 99187-7842                                      </t>
  </si>
  <si>
    <t xml:space="preserve"> 83 98657-4050                                      </t>
  </si>
  <si>
    <t xml:space="preserve"> 83 99137-3444                                      </t>
  </si>
  <si>
    <t xml:space="preserve"> 83 99979-7284                                      </t>
  </si>
  <si>
    <t xml:space="preserve"> 83 99986-0092                                      </t>
  </si>
  <si>
    <t xml:space="preserve"> 83 98189-7042                                      </t>
  </si>
  <si>
    <t xml:space="preserve"> 83 99608-6435                                      </t>
  </si>
  <si>
    <t xml:space="preserve"> 83 99856-8739                                      </t>
  </si>
  <si>
    <t xml:space="preserve"> 83 98154-1535                                      </t>
  </si>
  <si>
    <t xml:space="preserve"> 83 99989-2408                                      </t>
  </si>
  <si>
    <t xml:space="preserve"> 83 98197-0655                                      </t>
  </si>
  <si>
    <t xml:space="preserve"> 83 98222-8960                                      </t>
  </si>
  <si>
    <t xml:space="preserve"> 83 99900-2439                                      </t>
  </si>
  <si>
    <t xml:space="preserve"> 83 99322-5284                                      </t>
  </si>
  <si>
    <t xml:space="preserve"> 83 99992-9999                                      </t>
  </si>
  <si>
    <t xml:space="preserve"> 83 98185-4555                                      </t>
  </si>
  <si>
    <t xml:space="preserve"> 83 98204-3000                                      </t>
  </si>
  <si>
    <t xml:space="preserve"> 83 99940-5722                                      </t>
  </si>
  <si>
    <t xml:space="preserve"> 83 99856-7950                                      </t>
  </si>
  <si>
    <t xml:space="preserve"> 83 99997-9999                                      </t>
  </si>
  <si>
    <t xml:space="preserve"> 83 98187-1929  |   83 98123-4035                   </t>
  </si>
  <si>
    <t xml:space="preserve"> 83 99859-8332                                      </t>
  </si>
  <si>
    <t xml:space="preserve"> 83 98861-9061                                      </t>
  </si>
  <si>
    <t xml:space="preserve"> 83 99637-3432                                      </t>
  </si>
  <si>
    <t xml:space="preserve"> 83 99802-6948                                      </t>
  </si>
  <si>
    <t xml:space="preserve"> 83 99990-8086                                      </t>
  </si>
  <si>
    <t xml:space="preserve"> 83 99815-6107                                      </t>
  </si>
  <si>
    <t xml:space="preserve"> 83 99942-0860                                      </t>
  </si>
  <si>
    <t xml:space="preserve"> 83 98701-1815                                      </t>
  </si>
  <si>
    <t xml:space="preserve"> 83 98119-2987                                      </t>
  </si>
  <si>
    <t xml:space="preserve"> 83 99913-6177                                      </t>
  </si>
  <si>
    <t xml:space="preserve"> 83 99941-4853                                      </t>
  </si>
  <si>
    <t xml:space="preserve"> 83 99959-7960                                      </t>
  </si>
  <si>
    <t xml:space="preserve"> 83 98896-1348                                      </t>
  </si>
  <si>
    <t xml:space="preserve"> 83 98126-6187                                      </t>
  </si>
  <si>
    <t xml:space="preserve"> 83 99370-2460                                      </t>
  </si>
  <si>
    <t xml:space="preserve"> 83 99128-6320                                      </t>
  </si>
  <si>
    <t xml:space="preserve"> 83 99946-0569                                      </t>
  </si>
  <si>
    <t xml:space="preserve"> 83 99187-0619                                      </t>
  </si>
  <si>
    <t xml:space="preserve"> 83 99638-4740                                      </t>
  </si>
  <si>
    <t xml:space="preserve"> 83 99927-3319                                      </t>
  </si>
  <si>
    <t xml:space="preserve"> 83 99638-1352                                      </t>
  </si>
  <si>
    <t xml:space="preserve"> 83 99672-8560                                      </t>
  </si>
  <si>
    <t xml:space="preserve"> 11 98786-8133                                      </t>
  </si>
  <si>
    <t xml:space="preserve"> 83 99655-8887                                      </t>
  </si>
  <si>
    <t xml:space="preserve"> 88 99727-4782                                      </t>
  </si>
  <si>
    <t xml:space="preserve"> 83 99661-2068                                      </t>
  </si>
  <si>
    <t xml:space="preserve"> 83 99654-4906                                      </t>
  </si>
  <si>
    <t xml:space="preserve"> 83 98623-2900                                      </t>
  </si>
  <si>
    <t xml:space="preserve"> 83 99964-5988                                      </t>
  </si>
  <si>
    <t xml:space="preserve"> 83 98738-9727                                      </t>
  </si>
  <si>
    <t xml:space="preserve"> 83 98215-3165                                      </t>
  </si>
  <si>
    <t xml:space="preserve"> 83 99862-1036                                      </t>
  </si>
  <si>
    <t xml:space="preserve"> 83 99391-4961                                      </t>
  </si>
  <si>
    <t xml:space="preserve"> 83 99656-3312                                      </t>
  </si>
  <si>
    <t xml:space="preserve"> 83 99395-4282                                      </t>
  </si>
  <si>
    <t xml:space="preserve"> 83 98802-7262                                      </t>
  </si>
  <si>
    <t xml:space="preserve"> 83  9817-1034                                      </t>
  </si>
  <si>
    <t xml:space="preserve"> 83 99966-7575                                      </t>
  </si>
  <si>
    <t xml:space="preserve"> 83 98779-2185                                      </t>
  </si>
  <si>
    <t xml:space="preserve"> 83 99656-1049                                      </t>
  </si>
  <si>
    <t xml:space="preserve"> 83 99667-8087                                      </t>
  </si>
  <si>
    <t xml:space="preserve"> 83 99820-6801                                      </t>
  </si>
  <si>
    <t xml:space="preserve"> 83 99977-6860                                      </t>
  </si>
  <si>
    <t xml:space="preserve"> 83 99654-4314                                      </t>
  </si>
  <si>
    <t xml:space="preserve"> 83 99411-8419                                      </t>
  </si>
  <si>
    <t xml:space="preserve"> 83 99821-6974                                      </t>
  </si>
  <si>
    <t xml:space="preserve"> 83 99841-5710                                      </t>
  </si>
  <si>
    <t xml:space="preserve"> 83 99927-7020                                      </t>
  </si>
  <si>
    <t xml:space="preserve"> 83 99891-8412                                      </t>
  </si>
  <si>
    <t xml:space="preserve"> 83 99998-9996                                      </t>
  </si>
  <si>
    <t xml:space="preserve"> 83 99922-1133                                      </t>
  </si>
  <si>
    <t xml:space="preserve"> 83 98114-1167                                      </t>
  </si>
  <si>
    <t xml:space="preserve"> 83 99649-4986                                      </t>
  </si>
  <si>
    <t xml:space="preserve"> 83 99603-7844                                      </t>
  </si>
  <si>
    <t xml:space="preserve"> 83 99994-9980                                      </t>
  </si>
  <si>
    <t xml:space="preserve"> 83 99659-8071                                      </t>
  </si>
  <si>
    <t xml:space="preserve"> 83 98650-9998                                      </t>
  </si>
  <si>
    <t xml:space="preserve"> 83 99655-5587                                      </t>
  </si>
  <si>
    <t xml:space="preserve"> 83 99947-8643                                      </t>
  </si>
  <si>
    <t xml:space="preserve"> 83 98713-8876                                      </t>
  </si>
  <si>
    <t xml:space="preserve"> 83 98658-5553                                      </t>
  </si>
  <si>
    <t xml:space="preserve"> 83 99672-7209                                      </t>
  </si>
  <si>
    <t xml:space="preserve"> 83 99825-3610                                      </t>
  </si>
  <si>
    <t xml:space="preserve"> 83 99640-1678                                      </t>
  </si>
  <si>
    <t xml:space="preserve"> 83 99827-7724                                      </t>
  </si>
  <si>
    <t xml:space="preserve"> 83  9843-2772                                      </t>
  </si>
  <si>
    <t xml:space="preserve"> 83 99664-6808                                      </t>
  </si>
  <si>
    <t xml:space="preserve"> 83 99615-2194                                      </t>
  </si>
  <si>
    <t xml:space="preserve"> 83 99616-9541                                      </t>
  </si>
  <si>
    <t xml:space="preserve"> 83 99809-7107                                      </t>
  </si>
  <si>
    <t xml:space="preserve"> 83 99361-6760                                      </t>
  </si>
  <si>
    <t xml:space="preserve"> 11 95922-3278                                      </t>
  </si>
  <si>
    <t xml:space="preserve"> 83 99913-0011                                      </t>
  </si>
  <si>
    <t xml:space="preserve"> 83 98916-1497                                      </t>
  </si>
  <si>
    <t xml:space="preserve"> 83 99948-9194                                      </t>
  </si>
  <si>
    <t xml:space="preserve"> 83 99949-0423                                      </t>
  </si>
  <si>
    <t xml:space="preserve"> 83 99626-9319  |   83 99856-7269                   </t>
  </si>
  <si>
    <t xml:space="preserve"> 83 98159-0661                                      </t>
  </si>
  <si>
    <t xml:space="preserve"> 83 99903-7603                                      </t>
  </si>
  <si>
    <t xml:space="preserve"> 83 98807-6676                                      </t>
  </si>
  <si>
    <t xml:space="preserve"> 83 99815-6585                                      </t>
  </si>
  <si>
    <t xml:space="preserve"> 83 99601-0506                                      </t>
  </si>
  <si>
    <t xml:space="preserve"> 83 99413-8921                                      </t>
  </si>
  <si>
    <t xml:space="preserve"> 83 99635-5696                                      </t>
  </si>
  <si>
    <t xml:space="preserve"> 83 99889-7698                                      </t>
  </si>
  <si>
    <t xml:space="preserve"> 83 99615-7897                                      </t>
  </si>
  <si>
    <t xml:space="preserve"> 83 98174-6406                                      </t>
  </si>
  <si>
    <t xml:space="preserve"> 83 99915-2800                                      </t>
  </si>
  <si>
    <t xml:space="preserve"> 83 98868-2845                                      </t>
  </si>
  <si>
    <t xml:space="preserve"> 83  3400-0211                                      </t>
  </si>
  <si>
    <t xml:space="preserve"> 83 99933-0074                                      </t>
  </si>
  <si>
    <t xml:space="preserve"> 83 99330-2219                                      </t>
  </si>
  <si>
    <t xml:space="preserve"> 83 99871-6415                                      </t>
  </si>
  <si>
    <t xml:space="preserve"> 83 99998-9999                                      </t>
  </si>
  <si>
    <t xml:space="preserve"> 83 99674-4676                                      </t>
  </si>
  <si>
    <t xml:space="preserve"> 83 99826-0471                                      </t>
  </si>
  <si>
    <t xml:space="preserve"> 83 98884-2585                                      </t>
  </si>
  <si>
    <t xml:space="preserve"> 83 99999-3999                                      </t>
  </si>
  <si>
    <t xml:space="preserve"> 83 98215-4477                                      </t>
  </si>
  <si>
    <t xml:space="preserve"> 11 95944-0726                                      </t>
  </si>
  <si>
    <t xml:space="preserve"> 75 99915-7062                                      </t>
  </si>
  <si>
    <t xml:space="preserve"> 83 99627-6693                                      </t>
  </si>
  <si>
    <t xml:space="preserve"> 83 99108-6542                                      </t>
  </si>
  <si>
    <t xml:space="preserve"> 83 99195-8618                                      </t>
  </si>
  <si>
    <t xml:space="preserve"> 81 99760-7242                                      </t>
  </si>
  <si>
    <t xml:space="preserve"> 83 99670-7143                                      </t>
  </si>
  <si>
    <t xml:space="preserve"> 83 98114-8529                                      </t>
  </si>
  <si>
    <t xml:space="preserve"> 83 99989-1958                                      </t>
  </si>
  <si>
    <t xml:space="preserve"> 83 98790-5575                                      </t>
  </si>
  <si>
    <t xml:space="preserve"> 83 98827-3080                                      </t>
  </si>
  <si>
    <t xml:space="preserve"> 83 98151-5521                                      </t>
  </si>
  <si>
    <t xml:space="preserve"> 83 98197-8374                                      </t>
  </si>
  <si>
    <t xml:space="preserve"> 83 99882-5898                                      </t>
  </si>
  <si>
    <t xml:space="preserve"> 83 99980-6519                                      </t>
  </si>
  <si>
    <t xml:space="preserve"> 83 98672-9722                                      </t>
  </si>
  <si>
    <t xml:space="preserve"> 83 98110-5430                                      </t>
  </si>
  <si>
    <t xml:space="preserve"> 83 99804-8218                                      </t>
  </si>
  <si>
    <t xml:space="preserve"> 83 98705-1436                                      </t>
  </si>
  <si>
    <t xml:space="preserve"> 83 98718-1625                                      </t>
  </si>
  <si>
    <t xml:space="preserve"> 83 99154-3074                                      </t>
  </si>
  <si>
    <t xml:space="preserve"> 83 98635-9220                                      </t>
  </si>
  <si>
    <t xml:space="preserve"> 83 99996-9998                                      </t>
  </si>
  <si>
    <t xml:space="preserve"> 83 99984-5198                                      </t>
  </si>
  <si>
    <t xml:space="preserve"> 83 99667-2280                                      </t>
  </si>
  <si>
    <t xml:space="preserve"> 83 98222-8978                                      </t>
  </si>
  <si>
    <t xml:space="preserve"> 83 98724-3629                                      </t>
  </si>
  <si>
    <t xml:space="preserve"> 83 98121-2402                                      </t>
  </si>
  <si>
    <t xml:space="preserve"> 83 99376-7935                                      </t>
  </si>
  <si>
    <t xml:space="preserve"> 83 99937-4544                                      </t>
  </si>
  <si>
    <t xml:space="preserve"> 83 99865-5598                                      </t>
  </si>
  <si>
    <t xml:space="preserve"> 83 98196-1521                                      </t>
  </si>
  <si>
    <t xml:space="preserve"> 83 99644-6577                                      </t>
  </si>
  <si>
    <t xml:space="preserve"> 83 99628-7609                                      </t>
  </si>
  <si>
    <t xml:space="preserve"> 83 99802-2541                                      </t>
  </si>
  <si>
    <t xml:space="preserve"> 83 98686-7780                                      </t>
  </si>
  <si>
    <t xml:space="preserve"> 83  9999-6998                                      </t>
  </si>
  <si>
    <t xml:space="preserve"> 83 99953-9432                                      </t>
  </si>
  <si>
    <t xml:space="preserve"> 83 99987-9999                                      </t>
  </si>
  <si>
    <t xml:space="preserve"> 83 99839-1322                                      </t>
  </si>
  <si>
    <t xml:space="preserve"> 83 99159-3123                                      </t>
  </si>
  <si>
    <t xml:space="preserve"> 83 99809-5036                                      </t>
  </si>
  <si>
    <t xml:space="preserve"> 83 99977-5442                                      </t>
  </si>
  <si>
    <t xml:space="preserve"> 84 98809-5224                                      </t>
  </si>
  <si>
    <t xml:space="preserve"> 85  3275-3070                                      </t>
  </si>
  <si>
    <t xml:space="preserve"> 83 99403-0140                                      </t>
  </si>
  <si>
    <t xml:space="preserve"> 83 99844-5104                                      </t>
  </si>
  <si>
    <t xml:space="preserve"> 83 98693-3586                                      </t>
  </si>
  <si>
    <t xml:space="preserve"> 83  9936-2211                                      </t>
  </si>
  <si>
    <t xml:space="preserve"> 83 99624-8491                                      </t>
  </si>
  <si>
    <t xml:space="preserve"> 83 99993-9999                                      </t>
  </si>
  <si>
    <t xml:space="preserve"> 83  9137-5400                                      </t>
  </si>
  <si>
    <t xml:space="preserve"> 83 99924-7515                                      </t>
  </si>
  <si>
    <t xml:space="preserve"> 83 99933-9853                                      </t>
  </si>
  <si>
    <t xml:space="preserve"> 83 99955-9999                                      </t>
  </si>
  <si>
    <t xml:space="preserve"> 83 99933-9999                                      </t>
  </si>
  <si>
    <t xml:space="preserve"> 83 98206-0300                                      </t>
  </si>
  <si>
    <t xml:space="preserve"> 83 99852-1926                                      </t>
  </si>
  <si>
    <t xml:space="preserve"> 83 98160-4903                                      </t>
  </si>
  <si>
    <t xml:space="preserve"> 83 99910-3580                                      </t>
  </si>
  <si>
    <t xml:space="preserve"> 83 99996-0352                                      </t>
  </si>
  <si>
    <t xml:space="preserve"> 83 98807-1809                                      </t>
  </si>
  <si>
    <t xml:space="preserve"> 83 98118-8245                                      </t>
  </si>
  <si>
    <t xml:space="preserve"> 21 98473-7287                                      </t>
  </si>
  <si>
    <t xml:space="preserve"> 84 99905-5111                                      </t>
  </si>
  <si>
    <t xml:space="preserve"> 83 98164-5476                                      </t>
  </si>
  <si>
    <t xml:space="preserve"> 83 99979-1909                                      </t>
  </si>
  <si>
    <t xml:space="preserve"> 83 98212-0912                                      </t>
  </si>
  <si>
    <t xml:space="preserve"> 83 99979-7019                                      </t>
  </si>
  <si>
    <t xml:space="preserve"> 83 99102-6354                                      </t>
  </si>
  <si>
    <t xml:space="preserve"> 84 98898-5656                                      </t>
  </si>
  <si>
    <t xml:space="preserve"> 83 98622-3663                                      </t>
  </si>
  <si>
    <t xml:space="preserve"> 83 99879-8100                                      </t>
  </si>
  <si>
    <t xml:space="preserve"> 83 99617-3223                                      </t>
  </si>
  <si>
    <t xml:space="preserve"> 83 99820-7368                                      </t>
  </si>
  <si>
    <t xml:space="preserve"> 83 99179-0503                                      </t>
  </si>
  <si>
    <t xml:space="preserve"> 83 99696-6856                                      </t>
  </si>
  <si>
    <t xml:space="preserve"> 83 98215-9541                                      </t>
  </si>
  <si>
    <t xml:space="preserve"> 21 98028-3683                                      </t>
  </si>
  <si>
    <t xml:space="preserve"> 83 99871-2818                                      </t>
  </si>
  <si>
    <t xml:space="preserve"> 83 99356-0940                                      </t>
  </si>
  <si>
    <t xml:space="preserve"> 83 98181-3432                                      </t>
  </si>
  <si>
    <t xml:space="preserve"> 83  9887-1830                                      </t>
  </si>
  <si>
    <t xml:space="preserve"> 83 98687-1494                                      </t>
  </si>
  <si>
    <t xml:space="preserve"> 83 99365-4416                                      </t>
  </si>
  <si>
    <t xml:space="preserve"> 11 93260-3659                                      </t>
  </si>
  <si>
    <t xml:space="preserve"> 83 99677-3738                                      </t>
  </si>
  <si>
    <t xml:space="preserve"> 83 99970-4094                                      </t>
  </si>
  <si>
    <t xml:space="preserve"> 83 99905-5951                                      </t>
  </si>
  <si>
    <t xml:space="preserve"> 83 98148-2004                                      </t>
  </si>
  <si>
    <t xml:space="preserve"> 83 98840-0535                                      </t>
  </si>
  <si>
    <t xml:space="preserve"> 81 99975-5821                                      </t>
  </si>
  <si>
    <t xml:space="preserve"> 83 99908-9066                                      </t>
  </si>
  <si>
    <t xml:space="preserve"> 83 98915-6878  |   83 93300-9286                   </t>
  </si>
  <si>
    <t xml:space="preserve"> 83 99644-0100                                      </t>
  </si>
  <si>
    <t xml:space="preserve"> 83 98667-7098                                      </t>
  </si>
  <si>
    <t xml:space="preserve"> 83 98664-2159                                      </t>
  </si>
  <si>
    <t xml:space="preserve"> 83 99400-7444                                      </t>
  </si>
  <si>
    <t xml:space="preserve"> 84 98782-9169                                      </t>
  </si>
  <si>
    <t xml:space="preserve"> 83 99136-7547                                      </t>
  </si>
  <si>
    <t xml:space="preserve"> 83 98735-2293                                      </t>
  </si>
  <si>
    <t xml:space="preserve"> 83 99811-0527                                      </t>
  </si>
  <si>
    <t xml:space="preserve"> 83 98617-3301                                      </t>
  </si>
  <si>
    <t xml:space="preserve"> 83 99996-9399                                      </t>
  </si>
  <si>
    <t xml:space="preserve"> 83 98113-0623                                      </t>
  </si>
  <si>
    <t xml:space="preserve"> 83 99909-8873                                      </t>
  </si>
  <si>
    <t xml:space="preserve"> 83 98797-4785                                      </t>
  </si>
  <si>
    <t xml:space="preserve"> 43  3342-2207                                      </t>
  </si>
  <si>
    <t xml:space="preserve"> 83 99652-9174                                      </t>
  </si>
  <si>
    <t xml:space="preserve"> 83 99662-9797                                      </t>
  </si>
  <si>
    <t xml:space="preserve"> 83 99989-6106                                      </t>
  </si>
  <si>
    <t xml:space="preserve"> 83 99859-8328                                      </t>
  </si>
  <si>
    <t xml:space="preserve"> 83 99190-5922                                      </t>
  </si>
  <si>
    <t xml:space="preserve"> 83 98862-6329                                      </t>
  </si>
  <si>
    <t xml:space="preserve"> 83 99659-9010                                      </t>
  </si>
  <si>
    <t xml:space="preserve"> 83 98140-9340                                      </t>
  </si>
  <si>
    <t xml:space="preserve"> 83 98818-2515                                      </t>
  </si>
  <si>
    <t xml:space="preserve"> 83 99334-9306                                      </t>
  </si>
  <si>
    <t xml:space="preserve"> 83 99302-4210                                      </t>
  </si>
  <si>
    <t xml:space="preserve"> 83 99984-4599                                      </t>
  </si>
  <si>
    <t xml:space="preserve"> 81 99840-9837                                      </t>
  </si>
  <si>
    <t xml:space="preserve"> 83 99869-2240                                      </t>
  </si>
  <si>
    <t xml:space="preserve"> 83 99977-3562                                      </t>
  </si>
  <si>
    <t xml:space="preserve"> 61 98212-6820                                      </t>
  </si>
  <si>
    <t xml:space="preserve"> 83 98193-7224                                      </t>
  </si>
  <si>
    <t xml:space="preserve"> 21 97067-3887                                      </t>
  </si>
  <si>
    <t xml:space="preserve"> 83 99962-8153                                      </t>
  </si>
  <si>
    <t xml:space="preserve"> 83 99996-3999                                      </t>
  </si>
  <si>
    <t xml:space="preserve"> 83 99855-5509                                      </t>
  </si>
  <si>
    <t xml:space="preserve"> 83 99996-7861                                      </t>
  </si>
  <si>
    <t xml:space="preserve"> 83 98199-9438                                      </t>
  </si>
  <si>
    <t xml:space="preserve"> 83 99967-1407                                      </t>
  </si>
  <si>
    <t xml:space="preserve"> 84 98188-3792                                      </t>
  </si>
  <si>
    <t xml:space="preserve"> 83 99614-6537                                      </t>
  </si>
  <si>
    <t xml:space="preserve"> 11  9805-6102                                      </t>
  </si>
  <si>
    <t xml:space="preserve"> 19 98157-4458                                      </t>
  </si>
  <si>
    <t xml:space="preserve"> 83 98663-9216                                      </t>
  </si>
  <si>
    <t xml:space="preserve"> 84 99658-2137                                      </t>
  </si>
  <si>
    <t xml:space="preserve"> 83 98117-8789                                      </t>
  </si>
  <si>
    <t xml:space="preserve"> 83 99327-9612                                      </t>
  </si>
  <si>
    <t xml:space="preserve"> 83 98113-0248                                      </t>
  </si>
  <si>
    <t xml:space="preserve"> 83 98118-8451                                      </t>
  </si>
  <si>
    <t xml:space="preserve"> 84 99694-1491                                      </t>
  </si>
  <si>
    <t xml:space="preserve"> 83 99996-9989                                      </t>
  </si>
  <si>
    <t xml:space="preserve"> 83 99946-4152                                      </t>
  </si>
  <si>
    <t xml:space="preserve"> 21 98213-1249                                      </t>
  </si>
  <si>
    <t xml:space="preserve"> 83 98700-0260                                      </t>
  </si>
  <si>
    <t xml:space="preserve"> 83 99936-0221                                      </t>
  </si>
  <si>
    <t xml:space="preserve"> 83 99638-4300                                      </t>
  </si>
  <si>
    <t xml:space="preserve"> 83 98150-0731                                      </t>
  </si>
  <si>
    <t xml:space="preserve"> 83 99896-9546                                      </t>
  </si>
  <si>
    <t xml:space="preserve"> 83 98198-4856                                      </t>
  </si>
  <si>
    <t xml:space="preserve"> 83 99991-9999                                      </t>
  </si>
  <si>
    <t xml:space="preserve"> 83 99863-8253                                      </t>
  </si>
  <si>
    <t xml:space="preserve"> 83 98188-5139                                      </t>
  </si>
  <si>
    <t xml:space="preserve"> 83 99910-9305                                      </t>
  </si>
  <si>
    <t xml:space="preserve"> 83 98164-3874                                      </t>
  </si>
  <si>
    <t xml:space="preserve"> 83 99940-5407                                      </t>
  </si>
  <si>
    <t xml:space="preserve"> 83 99982-8597                                      </t>
  </si>
  <si>
    <t xml:space="preserve"> 83 98172-8890                                      </t>
  </si>
  <si>
    <t xml:space="preserve"> 55 98189-4506                                      </t>
  </si>
  <si>
    <t xml:space="preserve"> 55 98396-0749                                      </t>
  </si>
  <si>
    <t xml:space="preserve"> 83 98216-2778                                      </t>
  </si>
  <si>
    <t xml:space="preserve"> 83  3371-2784                                      </t>
  </si>
  <si>
    <t xml:space="preserve"> 83 98179-2428                                      </t>
  </si>
  <si>
    <t xml:space="preserve"> 83 99199-9999                                      </t>
  </si>
  <si>
    <t xml:space="preserve"> 83 99399-9999                                      </t>
  </si>
  <si>
    <t xml:space="preserve"> 83 98153-0599                                      </t>
  </si>
  <si>
    <t xml:space="preserve"> 83 99653-8728                                      </t>
  </si>
  <si>
    <t xml:space="preserve"> 83 98787-5056                                      </t>
  </si>
  <si>
    <t xml:space="preserve"> 83 98604-0931                                      </t>
  </si>
  <si>
    <t xml:space="preserve"> 83 99199-9699                                      </t>
  </si>
  <si>
    <t xml:space="preserve"> 83 98148-0886                                      </t>
  </si>
  <si>
    <t xml:space="preserve"> 83 99659-4063                                      </t>
  </si>
  <si>
    <t xml:space="preserve"> 19 99851-0224                                      </t>
  </si>
  <si>
    <t xml:space="preserve"> 83 99833-1283                                      </t>
  </si>
  <si>
    <t xml:space="preserve"> 83 99927-2765                                      </t>
  </si>
  <si>
    <t xml:space="preserve"> 83 99645-6063                                      </t>
  </si>
  <si>
    <t xml:space="preserve"> 83 99672-8214                                      </t>
  </si>
  <si>
    <t xml:space="preserve"> 83 99613-8693                                      </t>
  </si>
  <si>
    <t xml:space="preserve"> 83 99657-9732                                      </t>
  </si>
  <si>
    <t xml:space="preserve"> 71 99953-2551                                      </t>
  </si>
  <si>
    <t xml:space="preserve"> 83 99986-8948                                      </t>
  </si>
  <si>
    <t xml:space="preserve"> 11 97973-5546                                      </t>
  </si>
  <si>
    <t xml:space="preserve"> 83 98125-0926                                      </t>
  </si>
  <si>
    <t xml:space="preserve"> 83 99951-4701                                      </t>
  </si>
  <si>
    <t xml:space="preserve"> 83 99799-9999                                      </t>
  </si>
  <si>
    <t xml:space="preserve"> 83 98873-0859                                      </t>
  </si>
  <si>
    <t xml:space="preserve"> 83 99599-9999                                      </t>
  </si>
  <si>
    <t xml:space="preserve"> 83 98192-9258                                      </t>
  </si>
  <si>
    <t xml:space="preserve"> 83 99627-5531                                      </t>
  </si>
  <si>
    <t xml:space="preserve"> 81 98753-3663                                      </t>
  </si>
  <si>
    <t xml:space="preserve"> 83 98619-4323  |   83 98839-9902                   </t>
  </si>
  <si>
    <t xml:space="preserve"> 83 98185-8981                                      </t>
  </si>
  <si>
    <t xml:space="preserve"> 83 99958-4272                                      </t>
  </si>
  <si>
    <t xml:space="preserve"> 11 96033-3717                                      </t>
  </si>
  <si>
    <t xml:space="preserve"> 83 99600-9742                                      </t>
  </si>
  <si>
    <t xml:space="preserve"> 83 99644-4598                                      </t>
  </si>
  <si>
    <t xml:space="preserve"> 83 99623-4847                                      </t>
  </si>
  <si>
    <t xml:space="preserve"> 83 99860-8412                                      </t>
  </si>
  <si>
    <t xml:space="preserve"> 83 99390-5949                                      </t>
  </si>
  <si>
    <t xml:space="preserve"> 83 98705-9020                                      </t>
  </si>
  <si>
    <t xml:space="preserve"> 83 99105-2758                                      </t>
  </si>
  <si>
    <t xml:space="preserve"> 83 99645-9189                                      </t>
  </si>
  <si>
    <t xml:space="preserve"> 83 98795-1812                                      </t>
  </si>
  <si>
    <t xml:space="preserve"> 83 98653-7683                                      </t>
  </si>
  <si>
    <t xml:space="preserve"> 83 99699-5999                                      </t>
  </si>
  <si>
    <t xml:space="preserve"> 83 99802-4275                                      </t>
  </si>
  <si>
    <t xml:space="preserve"> 83 98131-1764                                      </t>
  </si>
  <si>
    <t xml:space="preserve"> 83  9673-2652                                      </t>
  </si>
  <si>
    <t xml:space="preserve"> 83 99681-9507                                      </t>
  </si>
  <si>
    <t xml:space="preserve"> 83 98127-5170                                      </t>
  </si>
  <si>
    <t xml:space="preserve"> 83 98148-3376                                      </t>
  </si>
  <si>
    <t xml:space="preserve"> 83 99937-4817                                      </t>
  </si>
  <si>
    <t xml:space="preserve"> 83 98754-9063                                      </t>
  </si>
  <si>
    <t xml:space="preserve"> 83 99869-8301                                      </t>
  </si>
  <si>
    <t xml:space="preserve"> 83 99777-9999                                      </t>
  </si>
  <si>
    <t xml:space="preserve"> 83 98698-5208                                      </t>
  </si>
  <si>
    <t xml:space="preserve"> 83 98824-2628                                      </t>
  </si>
  <si>
    <t xml:space="preserve"> 11 94353-9528                                      </t>
  </si>
  <si>
    <t xml:space="preserve"> 83 98227-4408                                      </t>
  </si>
  <si>
    <t xml:space="preserve"> 83 99197-6385                                      </t>
  </si>
  <si>
    <t xml:space="preserve"> 83 99334-8046                                      </t>
  </si>
  <si>
    <t xml:space="preserve"> 83 98718-7526                                      </t>
  </si>
  <si>
    <t xml:space="preserve"> 83 99970-4968                                      </t>
  </si>
  <si>
    <t xml:space="preserve"> 83 98174-3735                                      </t>
  </si>
  <si>
    <t xml:space="preserve"> 83 99954-0057                                      </t>
  </si>
  <si>
    <t xml:space="preserve"> 83 99861-6571                                      </t>
  </si>
  <si>
    <t xml:space="preserve"> 83 99659-7793                                      </t>
  </si>
  <si>
    <t xml:space="preserve"> 83 98122-4003                                      </t>
  </si>
  <si>
    <t xml:space="preserve"> 83 99601-8113                                      </t>
  </si>
  <si>
    <t xml:space="preserve"> 83 99925-6285                                      </t>
  </si>
  <si>
    <t xml:space="preserve"> 83 99635-5254                                      </t>
  </si>
  <si>
    <t xml:space="preserve"> 83 99609-3132                                      </t>
  </si>
  <si>
    <t xml:space="preserve"> 83 98202-2338                                      </t>
  </si>
  <si>
    <t xml:space="preserve"> 11 97457-4762                                      </t>
  </si>
  <si>
    <t xml:space="preserve"> 83 99619-3552                                      </t>
  </si>
  <si>
    <t xml:space="preserve"> 83 99139-9171                                      </t>
  </si>
  <si>
    <t xml:space="preserve"> 83 98768-1667                                      </t>
  </si>
  <si>
    <t xml:space="preserve"> 21 98159-7473                                      </t>
  </si>
  <si>
    <t xml:space="preserve"> 83 98185-9338                                      </t>
  </si>
  <si>
    <t xml:space="preserve"> 83 99402-5880                                      </t>
  </si>
  <si>
    <t xml:space="preserve"> 83 99618-4678                                      </t>
  </si>
  <si>
    <t xml:space="preserve"> 83 99346-8865                                      </t>
  </si>
  <si>
    <t xml:space="preserve"> 83 98162-7049                                      </t>
  </si>
  <si>
    <t xml:space="preserve"> 13 99653-9469                                      </t>
  </si>
  <si>
    <t xml:space="preserve"> 83 99810-0598                                      </t>
  </si>
  <si>
    <t xml:space="preserve"> 83 99996-6022                                      </t>
  </si>
  <si>
    <t xml:space="preserve"> 83 98695-0254                                      </t>
  </si>
  <si>
    <t xml:space="preserve"> 83 99694-9249                                      </t>
  </si>
  <si>
    <t xml:space="preserve"> 83 99614-1495                                      </t>
  </si>
  <si>
    <t xml:space="preserve"> 83 99651-2193                                      </t>
  </si>
  <si>
    <t xml:space="preserve"> 83 99601-8969                                      </t>
  </si>
  <si>
    <t xml:space="preserve"> 83 99939-5764                                      </t>
  </si>
  <si>
    <t xml:space="preserve"> 83 99885-1515                                      </t>
  </si>
  <si>
    <t xml:space="preserve"> 83 99663-8591                                      </t>
  </si>
  <si>
    <t xml:space="preserve"> 83 99390-7916                                      </t>
  </si>
  <si>
    <t xml:space="preserve"> 83 99922-1301                                      </t>
  </si>
  <si>
    <t xml:space="preserve"> 81 98980-4179                                      </t>
  </si>
  <si>
    <t xml:space="preserve"> 83 99843-3566                                      </t>
  </si>
  <si>
    <t xml:space="preserve"> 83 98667-9275                                      </t>
  </si>
  <si>
    <t xml:space="preserve"> 83 98623-7992                                      </t>
  </si>
  <si>
    <t xml:space="preserve"> 83 98618-1819                                      </t>
  </si>
  <si>
    <t xml:space="preserve"> 83 99662-4715                                      </t>
  </si>
  <si>
    <t xml:space="preserve"> 83 99170-7219                                      </t>
  </si>
  <si>
    <t xml:space="preserve"> 83 99131-1137                                      </t>
  </si>
  <si>
    <t xml:space="preserve"> 83 99838-5422                                      </t>
  </si>
  <si>
    <t xml:space="preserve"> 11 98778-8996                                      </t>
  </si>
  <si>
    <t xml:space="preserve"> 83 99907-7417                                      </t>
  </si>
  <si>
    <t xml:space="preserve"> 83 99844-9798                                      </t>
  </si>
  <si>
    <t xml:space="preserve"> 83 99858-2125                                      </t>
  </si>
  <si>
    <t xml:space="preserve"> 83 98835-8320                                      </t>
  </si>
  <si>
    <t xml:space="preserve"> 83 99618-3875                                      </t>
  </si>
  <si>
    <t xml:space="preserve"> 83 98643-6914                                      </t>
  </si>
  <si>
    <t xml:space="preserve"> 83 99319-0377                                      </t>
  </si>
  <si>
    <t xml:space="preserve"> 83 99898-9898                                      </t>
  </si>
  <si>
    <t xml:space="preserve"> 83 98615-8545                                      </t>
  </si>
  <si>
    <t xml:space="preserve"> 83 99696-9696                                      </t>
  </si>
  <si>
    <t xml:space="preserve"> 83 99419-2342                                      </t>
  </si>
  <si>
    <t xml:space="preserve"> 83 99919-3282                                      </t>
  </si>
  <si>
    <t xml:space="preserve"> 83 99595-9595                                      </t>
  </si>
  <si>
    <t xml:space="preserve"> 83 99861-2148                                      </t>
  </si>
  <si>
    <t xml:space="preserve"> 83 99904-9527                                      </t>
  </si>
  <si>
    <t xml:space="preserve"> 83 99826-8331                                      </t>
  </si>
  <si>
    <t xml:space="preserve"> 83 99970-1592                                      </t>
  </si>
  <si>
    <t xml:space="preserve"> 83 98871-9509                                      </t>
  </si>
  <si>
    <t xml:space="preserve"> 83 99954-7908                                      </t>
  </si>
  <si>
    <t xml:space="preserve"> 19 98352-8232                                      </t>
  </si>
  <si>
    <t xml:space="preserve"> 83 98900-7158                                      </t>
  </si>
  <si>
    <t xml:space="preserve"> 83 99993-8174                                      </t>
  </si>
  <si>
    <t xml:space="preserve"> 83 99665-1312                                      </t>
  </si>
  <si>
    <t xml:space="preserve"> 83 99393-9393                                      </t>
  </si>
  <si>
    <t xml:space="preserve"> 83 99090-9191                                      </t>
  </si>
  <si>
    <t xml:space="preserve"> 83 99634-1979                                      </t>
  </si>
  <si>
    <t xml:space="preserve"> 83 99890-2375                                      </t>
  </si>
  <si>
    <t xml:space="preserve"> 83 99967-7929                                      </t>
  </si>
  <si>
    <t xml:space="preserve"> 83 98736-9056                                      </t>
  </si>
  <si>
    <t xml:space="preserve"> 83 98600-5216                                      </t>
  </si>
  <si>
    <t xml:space="preserve"> 83 99694-1078                                      </t>
  </si>
  <si>
    <t xml:space="preserve"> 83 99681-0809                                      </t>
  </si>
  <si>
    <t xml:space="preserve"> 83 98684-2483                                      </t>
  </si>
  <si>
    <t xml:space="preserve"> 83 99695-4169                                      </t>
  </si>
  <si>
    <t xml:space="preserve"> 83 99834-7565                                      </t>
  </si>
  <si>
    <t xml:space="preserve"> 83 98193-0924                                      </t>
  </si>
  <si>
    <t xml:space="preserve"> 83 98876-3384                                      </t>
  </si>
  <si>
    <t xml:space="preserve"> 83 98173-0535                                      </t>
  </si>
  <si>
    <t xml:space="preserve"> 83 99695-7115                                      </t>
  </si>
  <si>
    <t xml:space="preserve"> 83 99677-8965                                      </t>
  </si>
  <si>
    <t xml:space="preserve"> 83 99676-2792                                      </t>
  </si>
  <si>
    <t xml:space="preserve"> 83 99616-7413                                      </t>
  </si>
  <si>
    <t xml:space="preserve"> 83 99596-9596                                      </t>
  </si>
  <si>
    <t xml:space="preserve"> 83 99797-9797                                      </t>
  </si>
  <si>
    <t xml:space="preserve"> 83 98106-6667                                      </t>
  </si>
  <si>
    <t xml:space="preserve"> 83 99622-3105                                      </t>
  </si>
  <si>
    <t xml:space="preserve"> 83 99697-8057                                      </t>
  </si>
  <si>
    <t xml:space="preserve"> 83 99880-6768                                      </t>
  </si>
  <si>
    <t xml:space="preserve"> 83 99884-6544                                      </t>
  </si>
  <si>
    <t xml:space="preserve"> 83 99652-0003                                      </t>
  </si>
  <si>
    <t xml:space="preserve"> 83 99919-7245                                      </t>
  </si>
  <si>
    <t xml:space="preserve"> 83 98189-1388                                      </t>
  </si>
  <si>
    <t xml:space="preserve"> 81 98667-6084                                      </t>
  </si>
  <si>
    <t xml:space="preserve"> 83 99334-1840                                      </t>
  </si>
  <si>
    <t xml:space="preserve"> 83 99108-9155                                      </t>
  </si>
  <si>
    <t xml:space="preserve"> 83 99675-6641                                      </t>
  </si>
  <si>
    <t xml:space="preserve"> 81 99834-2190                                      </t>
  </si>
  <si>
    <t xml:space="preserve"> 83 99912-3040                                      </t>
  </si>
  <si>
    <t xml:space="preserve"> 83 99959-0416                                      </t>
  </si>
  <si>
    <t xml:space="preserve"> 83 99381-9038                                      </t>
  </si>
  <si>
    <t xml:space="preserve"> 83 98144-5177                                      </t>
  </si>
  <si>
    <t xml:space="preserve"> 83 98725-1065                                      </t>
  </si>
  <si>
    <t xml:space="preserve"> 71 99187-2069                                      </t>
  </si>
  <si>
    <t xml:space="preserve"> 11 99023-6073                                      </t>
  </si>
  <si>
    <t xml:space="preserve"> 83 99856-2793                                      </t>
  </si>
  <si>
    <t xml:space="preserve"> 83 99292-9292                                      </t>
  </si>
  <si>
    <t xml:space="preserve"> 83 98101-4101                                      </t>
  </si>
  <si>
    <t xml:space="preserve"> 83 98772-5427                                      </t>
  </si>
  <si>
    <t xml:space="preserve"> 83 99677-0014                                      </t>
  </si>
  <si>
    <t xml:space="preserve"> 83 99693-9326                                      </t>
  </si>
  <si>
    <t xml:space="preserve"> 11 98979-3797                                      </t>
  </si>
  <si>
    <t xml:space="preserve"> 83 99919-7030                                      </t>
  </si>
  <si>
    <t xml:space="preserve"> 83 99196-7199                                      </t>
  </si>
  <si>
    <t xml:space="preserve"> 83 99965-2208                                      </t>
  </si>
  <si>
    <t xml:space="preserve"> 83 93421-2847                                      </t>
  </si>
  <si>
    <t xml:space="preserve"> 83 99971-2141                                      </t>
  </si>
  <si>
    <t xml:space="preserve"> 83 99494-9494                                      </t>
  </si>
  <si>
    <t xml:space="preserve"> 83 99967-8262                                      </t>
  </si>
  <si>
    <t xml:space="preserve"> 83 98162-9186                                      </t>
  </si>
  <si>
    <t xml:space="preserve"> 83 99644-7878                                      </t>
  </si>
  <si>
    <t xml:space="preserve"> 83 99816-8558                                      </t>
  </si>
  <si>
    <t xml:space="preserve"> 83 98646-3170                                      </t>
  </si>
  <si>
    <t xml:space="preserve"> 83 99853-8519                                      </t>
  </si>
  <si>
    <t xml:space="preserve"> 83 99970-3155                                      </t>
  </si>
  <si>
    <t xml:space="preserve"> 83 98144-3258                                      </t>
  </si>
  <si>
    <t xml:space="preserve"> 83 99961-4397                                      </t>
  </si>
  <si>
    <t xml:space="preserve"> 83 99693-0746                                      </t>
  </si>
  <si>
    <t xml:space="preserve"> 83 99198-9198                                      </t>
  </si>
  <si>
    <t xml:space="preserve"> 83 99862-2432                                      </t>
  </si>
  <si>
    <t xml:space="preserve"> 92 98614-6697                                      </t>
  </si>
  <si>
    <t xml:space="preserve"> 83 99924-7436                                      </t>
  </si>
  <si>
    <t xml:space="preserve"> 83 98137-8774                                      </t>
  </si>
  <si>
    <t xml:space="preserve"> 83 99153-0488                                      </t>
  </si>
  <si>
    <t xml:space="preserve"> 61 98546-1126                                      </t>
  </si>
  <si>
    <t xml:space="preserve"> 83 99803-2881                                      </t>
  </si>
  <si>
    <t xml:space="preserve"> 83 99623-3703                                      </t>
  </si>
  <si>
    <t xml:space="preserve"> 83 98104-1139                                      </t>
  </si>
  <si>
    <t xml:space="preserve"> 83 99919-3169  |   83 99193-1694                   </t>
  </si>
  <si>
    <t xml:space="preserve"> 83 99657-5902                                      </t>
  </si>
  <si>
    <t xml:space="preserve"> 83 99631-7776                                      </t>
  </si>
  <si>
    <t xml:space="preserve"> 83 98221-2494                                      </t>
  </si>
  <si>
    <t xml:space="preserve"> 83 99608-3635                                      </t>
  </si>
  <si>
    <t xml:space="preserve"> 83 99666-6191                                      </t>
  </si>
  <si>
    <t xml:space="preserve"> 83 99416-7448                                      </t>
  </si>
  <si>
    <t xml:space="preserve"> 83 99932-3545                                      </t>
  </si>
  <si>
    <t xml:space="preserve"> 83 98890-5279                                      </t>
  </si>
  <si>
    <t xml:space="preserve"> 83 98877-9609                                      </t>
  </si>
  <si>
    <t xml:space="preserve"> 83 99831-2436                                      </t>
  </si>
  <si>
    <t xml:space="preserve"> 83 99667-6408                                      </t>
  </si>
  <si>
    <t xml:space="preserve"> 83 98165-1350                                      </t>
  </si>
  <si>
    <t xml:space="preserve"> 83 98121-6286                                      </t>
  </si>
  <si>
    <t xml:space="preserve"> 83 99808-8559                                      </t>
  </si>
  <si>
    <t xml:space="preserve"> 83 99154-2915                                      </t>
  </si>
  <si>
    <t xml:space="preserve"> 83 99646-2410                                      </t>
  </si>
  <si>
    <t xml:space="preserve"> 83 99396-9396                                      </t>
  </si>
  <si>
    <t xml:space="preserve"> 83 99612-1066                                      </t>
  </si>
  <si>
    <t xml:space="preserve"> 64 99911-4143                                      </t>
  </si>
  <si>
    <t xml:space="preserve"> 83 99843-2411                                      </t>
  </si>
  <si>
    <t xml:space="preserve"> 83 98221-6790                                      </t>
  </si>
  <si>
    <t xml:space="preserve"> 84 98882-1540                                      </t>
  </si>
  <si>
    <t xml:space="preserve"> 83 99839-7533                                      </t>
  </si>
  <si>
    <t xml:space="preserve"> 83 99300-9032                                      </t>
  </si>
  <si>
    <t xml:space="preserve"> 48 99984-6250                                      </t>
  </si>
  <si>
    <t xml:space="preserve"> 83 99192-9394                                      </t>
  </si>
  <si>
    <t xml:space="preserve"> 83 99192-5995                                      </t>
  </si>
  <si>
    <t xml:space="preserve"> 83  3382-1327                                      </t>
  </si>
  <si>
    <t xml:space="preserve"> 83  3383-1406                                      </t>
  </si>
  <si>
    <t xml:space="preserve"> 83  3382-1226                                      </t>
  </si>
  <si>
    <t xml:space="preserve"> 83  0383-1930                                      </t>
  </si>
  <si>
    <t xml:space="preserve"> 83  9623-6016                                      </t>
  </si>
  <si>
    <t xml:space="preserve"> 83  9308-3407                                      </t>
  </si>
  <si>
    <t xml:space="preserve"> 83  9142-7577                                      </t>
  </si>
  <si>
    <t xml:space="preserve"> 83  9342-0886                                      </t>
  </si>
  <si>
    <t xml:space="preserve"> 83  3371-2065                                      </t>
  </si>
  <si>
    <t xml:space="preserve"> 83  9943-0872                                      </t>
  </si>
  <si>
    <t xml:space="preserve"> 83  9641-1128                                      </t>
  </si>
  <si>
    <t xml:space="preserve"> 83  9142-7793                                      </t>
  </si>
  <si>
    <t xml:space="preserve"> 83  8769-9034                                      </t>
  </si>
  <si>
    <t xml:space="preserve"> 83  3376-1275                                      </t>
  </si>
  <si>
    <t xml:space="preserve"> 83  3371-2604                                      </t>
  </si>
  <si>
    <t xml:space="preserve"> 83  3371-2211                                      </t>
  </si>
  <si>
    <t xml:space="preserve"> 83  3372-1229                                      </t>
  </si>
  <si>
    <t xml:space="preserve"> 83  8703-8245                                      </t>
  </si>
  <si>
    <t xml:space="preserve"> 83 19928-1885                                      </t>
  </si>
  <si>
    <t xml:space="preserve"> 83  9920-4854                                      </t>
  </si>
  <si>
    <t xml:space="preserve"> 83 13371-2604  |   83 13371-2604                   </t>
  </si>
  <si>
    <t xml:space="preserve"> 83  3371-2195                                      </t>
  </si>
  <si>
    <t xml:space="preserve"> 83  3631-1111                                      </t>
  </si>
  <si>
    <t xml:space="preserve"> 83  3636-1131                                      </t>
  </si>
  <si>
    <t xml:space="preserve"> 83  3636-1131  |   83  8712-9554                   </t>
  </si>
  <si>
    <t xml:space="preserve"> 83  9110-0205                                      </t>
  </si>
  <si>
    <t xml:space="preserve"> 83 99947-0288                                      </t>
  </si>
  <si>
    <t xml:space="preserve"> 83  8891-2061                                      </t>
  </si>
  <si>
    <t xml:space="preserve"> 83 99104-7305                                      </t>
  </si>
  <si>
    <t xml:space="preserve"> 83  9930-0087                                      </t>
  </si>
  <si>
    <t xml:space="preserve"> 83  8732-9686                                      </t>
  </si>
  <si>
    <t xml:space="preserve"> 83  9859-0203  |   83  9993-9981                   </t>
  </si>
  <si>
    <t xml:space="preserve"> 83  3383-1402  |   83  9963-9192                   </t>
  </si>
  <si>
    <t xml:space="preserve"> 83  9606-6555                                      </t>
  </si>
  <si>
    <t xml:space="preserve"> 83  0383-1513                                      </t>
  </si>
  <si>
    <t xml:space="preserve"> 83 99634-2747                                      </t>
  </si>
  <si>
    <t xml:space="preserve"> 83  9989-8684                                      </t>
  </si>
  <si>
    <t xml:space="preserve"> 83  3458-4587                                      </t>
  </si>
  <si>
    <t xml:space="preserve"> 83  3385-1204  |   83  8844-3075                   </t>
  </si>
  <si>
    <t xml:space="preserve"> 83  3371-3291  |   83  3371-2335                   </t>
  </si>
  <si>
    <t xml:space="preserve"> 83  3385-1007  |   83 98682-1809                   </t>
  </si>
  <si>
    <t xml:space="preserve"> 83  3371-0000                                      </t>
  </si>
  <si>
    <t xml:space="preserve"> 83  3382-1784                                      </t>
  </si>
  <si>
    <t xml:space="preserve"> 83 99367-5868  |   83 99416-7607                   </t>
  </si>
  <si>
    <t xml:space="preserve"> 83  3385-1018  |   83 98787-1018                   </t>
  </si>
  <si>
    <t xml:space="preserve"> 83  3371-2466                                      </t>
  </si>
  <si>
    <t xml:space="preserve"> 83  3382-1462                                      </t>
  </si>
  <si>
    <t xml:space="preserve"> 83  3222-1815                                      </t>
  </si>
  <si>
    <t xml:space="preserve"> 83  3321-7881  |   83  8801-9587                   </t>
  </si>
  <si>
    <t xml:space="preserve"> 83  3374-1020  |   83  8804-8974                   </t>
  </si>
  <si>
    <t xml:space="preserve"> 83  3385-1007                                      </t>
  </si>
  <si>
    <t xml:space="preserve"> 83  9914-7640                                      </t>
  </si>
  <si>
    <t xml:space="preserve"> 83  3636-1080                                      </t>
  </si>
  <si>
    <t xml:space="preserve"> 83  3376-1466                                      </t>
  </si>
  <si>
    <t xml:space="preserve"> 83  9984-3556                                      </t>
  </si>
  <si>
    <t xml:space="preserve"> 83 99927-1136  |   83 99996-6356                   </t>
  </si>
  <si>
    <t xml:space="preserve"> 83  3376-1671                                      </t>
  </si>
  <si>
    <t xml:space="preserve"> 83  3372-1230  |   83 99911-8266                   </t>
  </si>
  <si>
    <t xml:space="preserve"> 83  3635-1041                                      </t>
  </si>
  <si>
    <t xml:space="preserve"> 83  3371-2382                                      </t>
  </si>
  <si>
    <t xml:space="preserve"> 83  3376-1697                                      </t>
  </si>
  <si>
    <t xml:space="preserve"> 83  3371-2279  |   83  9642-0550                   </t>
  </si>
  <si>
    <t xml:space="preserve"> 83 13659-7895  |   83 98702-4694                   </t>
  </si>
  <si>
    <t xml:space="preserve"> 83  8895-7426                                      </t>
  </si>
  <si>
    <t xml:space="preserve"> 83  3522-1294                                      </t>
  </si>
  <si>
    <t xml:space="preserve"> 83  9947-0548                                      </t>
  </si>
  <si>
    <t xml:space="preserve"> 83  3376-1161                                      </t>
  </si>
  <si>
    <t xml:space="preserve"> 83  9934-6060                                      </t>
  </si>
  <si>
    <t xml:space="preserve"> 83  3319-4098                                      </t>
  </si>
  <si>
    <t xml:space="preserve"> 83  3371-2054                                      </t>
  </si>
  <si>
    <t xml:space="preserve"> 83  6598-7458                                      </t>
  </si>
  <si>
    <t xml:space="preserve"> 83  9602-2861                                      </t>
  </si>
  <si>
    <t xml:space="preserve"> 83  3373-1556  |   83 99131-5047                   </t>
  </si>
  <si>
    <t xml:space="preserve"> 83  3376-1635                                      </t>
  </si>
  <si>
    <t xml:space="preserve"> 83  9988-6686  |   83 99992-1592                   </t>
  </si>
  <si>
    <t xml:space="preserve"> 83  3376-1704                                      </t>
  </si>
  <si>
    <t xml:space="preserve"> 83  3522-3381                                      </t>
  </si>
  <si>
    <t xml:space="preserve"> 83  3383-1509                                      </t>
  </si>
  <si>
    <t xml:space="preserve"> 83  9900-2956                                      </t>
  </si>
  <si>
    <t xml:space="preserve"> 83  3376-2614                                      </t>
  </si>
  <si>
    <t xml:space="preserve"> 83  3635-1028                                      </t>
  </si>
  <si>
    <t xml:space="preserve"> 83  3375-4132                                      </t>
  </si>
  <si>
    <t xml:space="preserve"> 83  3375-4002                                      </t>
  </si>
  <si>
    <t xml:space="preserve"> 83  3322-4568                                      </t>
  </si>
  <si>
    <t xml:space="preserve"> 83  3375-4193                                      </t>
  </si>
  <si>
    <t xml:space="preserve"> 83 99821-6398                                      </t>
  </si>
  <si>
    <t xml:space="preserve"> 83  3374-4002                                      </t>
  </si>
  <si>
    <t xml:space="preserve"> 83  9956-5663                                      </t>
  </si>
  <si>
    <t xml:space="preserve"> 83  3633-1030                                      </t>
  </si>
  <si>
    <t xml:space="preserve"> 83  3635-1063                                      </t>
  </si>
  <si>
    <t xml:space="preserve"> 83  3375-4004                                      </t>
  </si>
  <si>
    <t xml:space="preserve"> 83  3374-1020                                      </t>
  </si>
  <si>
    <t xml:space="preserve"> 83  3372-2010                                      </t>
  </si>
  <si>
    <t xml:space="preserve"> 83  9955-8223                                      </t>
  </si>
  <si>
    <t xml:space="preserve"> 83  3371-2609                                      </t>
  </si>
  <si>
    <t xml:space="preserve"> 83 99909-9526                                      </t>
  </si>
  <si>
    <t xml:space="preserve"> 83 98759-7940  |   83  3633-1073  |   83 98160-5465</t>
  </si>
  <si>
    <t xml:space="preserve"> 83  3633-1133                                      </t>
  </si>
  <si>
    <t xml:space="preserve"> 83  9978-7061                                      </t>
  </si>
  <si>
    <t xml:space="preserve"> 83  3382-1223                                      </t>
  </si>
  <si>
    <t xml:space="preserve"> 83  3383-1880  |   83  3383-1513                   </t>
  </si>
  <si>
    <t xml:space="preserve"> 83  3998-5624                                      </t>
  </si>
  <si>
    <t xml:space="preserve"> 83  3385-1204  |   83  8808-9334                   </t>
  </si>
  <si>
    <t xml:space="preserve"> 83 99661-0770                                      </t>
  </si>
  <si>
    <t xml:space="preserve"> 83  3371-2190                                      </t>
  </si>
  <si>
    <t xml:space="preserve"> 83  9920-3854                                      </t>
  </si>
  <si>
    <t xml:space="preserve"> 83  8723-6620                                      </t>
  </si>
  <si>
    <t xml:space="preserve"> 83  3374-1358                                      </t>
  </si>
  <si>
    <t xml:space="preserve"> 83  3371-2635  |   83  9915-3937  |   83 99985-3465</t>
  </si>
  <si>
    <t xml:space="preserve"> 83  0385-1218                                      </t>
  </si>
  <si>
    <t xml:space="preserve"> 83  0633-1069                                      </t>
  </si>
  <si>
    <t xml:space="preserve"> 83 99905-4212                                      </t>
  </si>
  <si>
    <t xml:space="preserve"> 83 99913-9488                                      </t>
  </si>
  <si>
    <t xml:space="preserve"> 83  0636-1131  |   84  9991-4296                   </t>
  </si>
  <si>
    <t xml:space="preserve"> 83  3375-4207                                      </t>
  </si>
  <si>
    <t xml:space="preserve"> 83  3383-1091                                      </t>
  </si>
  <si>
    <t xml:space="preserve"> 83  0375-4216                                      </t>
  </si>
  <si>
    <t xml:space="preserve"> 83  0385-1120                                      </t>
  </si>
  <si>
    <t xml:space="preserve"> 83  3643-1057                                      </t>
  </si>
  <si>
    <t xml:space="preserve"> 83  3389-1027                                      </t>
  </si>
  <si>
    <t xml:space="preserve"> 83  0371-2598                                      </t>
  </si>
  <si>
    <t xml:space="preserve"> 83  0345-4110                                      </t>
  </si>
  <si>
    <t xml:space="preserve"> 83  3638-1203                                      </t>
  </si>
  <si>
    <t xml:space="preserve"> 83  0371-2119                                      </t>
  </si>
  <si>
    <t xml:space="preserve"> 83  0375-4239                                      </t>
  </si>
  <si>
    <t xml:space="preserve"> 83  0376-1679                                      </t>
  </si>
  <si>
    <t xml:space="preserve"> 83  3371-2504  |   83 99605-0407                   </t>
  </si>
  <si>
    <t xml:space="preserve"> 83  0375-4069  |   83  0375-4100                   </t>
  </si>
  <si>
    <t xml:space="preserve"> 83  3374-1087                                      </t>
  </si>
  <si>
    <t xml:space="preserve"> 83  3375-4008                                      </t>
  </si>
  <si>
    <t xml:space="preserve"> 83  0389-1122                                      </t>
  </si>
  <si>
    <t xml:space="preserve"> 83  3372-1244                                      </t>
  </si>
  <si>
    <t xml:space="preserve"> 83  3376-1731                                      </t>
  </si>
  <si>
    <t xml:space="preserve"> 83 99667-4429  |   83 99667-4429                   </t>
  </si>
  <si>
    <t xml:space="preserve"> 83  0374-1572                                      </t>
  </si>
  <si>
    <t xml:space="preserve"> 83  3382-1089                                      </t>
  </si>
  <si>
    <t xml:space="preserve"> 83  0382-1207                                      </t>
  </si>
  <si>
    <t xml:space="preserve"> 83  0371-2065                                      </t>
  </si>
  <si>
    <t xml:space="preserve"> 83  0382-1415                                      </t>
  </si>
  <si>
    <t xml:space="preserve"> 83  0383-1072                                      </t>
  </si>
  <si>
    <t xml:space="preserve"> 83  3382-1263                                      </t>
  </si>
  <si>
    <t xml:space="preserve"> 83  3371-2573  |   83  3371-2573                   </t>
  </si>
  <si>
    <t xml:space="preserve"> 83  3371-2504                                      </t>
  </si>
  <si>
    <t xml:space="preserve"> 83  3371-2157                                      </t>
  </si>
  <si>
    <t xml:space="preserve"> 83 99904-0541                                      </t>
  </si>
  <si>
    <t xml:space="preserve"> 83 99820-9210  |   83  3421-5587                   </t>
  </si>
  <si>
    <t xml:space="preserve"> 83  0374-1081                                      </t>
  </si>
  <si>
    <t xml:space="preserve"> 83  0263-2212  |   83  0263-2212                   </t>
  </si>
  <si>
    <t xml:space="preserve"> 83  9962-3315  |   83  9966-4473                   </t>
  </si>
  <si>
    <t xml:space="preserve"> 83  0623-1512                                      </t>
  </si>
  <si>
    <t xml:space="preserve"> 83  9999-0402                                      </t>
  </si>
  <si>
    <t xml:space="preserve"> 83  9302-1562                                      </t>
  </si>
  <si>
    <t xml:space="preserve"> 83  0372-2132                                      </t>
  </si>
  <si>
    <t xml:space="preserve"> 83 19802-0859                                      </t>
  </si>
  <si>
    <t xml:space="preserve"> 83  0372-2041                                      </t>
  </si>
  <si>
    <t xml:space="preserve"> 83  0372-2581                                      </t>
  </si>
  <si>
    <t xml:space="preserve"> 83  3376-1683                                      </t>
  </si>
  <si>
    <t xml:space="preserve"> 83 99152-6793  |   83 99359-6553                   </t>
  </si>
  <si>
    <t xml:space="preserve"> 83  0382-1313                                      </t>
  </si>
  <si>
    <t xml:space="preserve"> 83  0382-1351                                      </t>
  </si>
  <si>
    <t xml:space="preserve"> 83  0382-1254                                      </t>
  </si>
  <si>
    <t xml:space="preserve"> 83  0383-1321                                      </t>
  </si>
  <si>
    <t xml:space="preserve"> 83  0383-1265                                      </t>
  </si>
  <si>
    <t xml:space="preserve"> 83  3383-1441                                      </t>
  </si>
  <si>
    <t xml:space="preserve"> 83  0383-1101  |   83  9968-2417                   </t>
  </si>
  <si>
    <t xml:space="preserve"> 83  3375-4051                                      </t>
  </si>
  <si>
    <t xml:space="preserve"> 83  3375-4036                                      </t>
  </si>
  <si>
    <t xml:space="preserve"> 83  9304-9968                                      </t>
  </si>
  <si>
    <t xml:space="preserve"> 83  9112-6738                                      </t>
  </si>
  <si>
    <t xml:space="preserve"> 83  3636-1024                                      </t>
  </si>
  <si>
    <t xml:space="preserve"> 83  0389-1071  |   83  9157-9143                   </t>
  </si>
  <si>
    <t xml:space="preserve"> 83  0389-1066  |   83  9963-0183                   </t>
  </si>
  <si>
    <t xml:space="preserve"> 83  0389-1068                                      </t>
  </si>
  <si>
    <t xml:space="preserve"> 83  3389-1050                                      </t>
  </si>
  <si>
    <t xml:space="preserve"> 83  0385-1060                                      </t>
  </si>
  <si>
    <t xml:space="preserve"> 83  0385-1344                                      </t>
  </si>
  <si>
    <t xml:space="preserve"> 83 99102-4008                                      </t>
  </si>
  <si>
    <t xml:space="preserve"> 83 98629-1586                                      </t>
  </si>
  <si>
    <t xml:space="preserve"> 83  3633-1073                                      </t>
  </si>
  <si>
    <t xml:space="preserve"> 83  3371-3140  |   83  9910-1773                   </t>
  </si>
  <si>
    <t xml:space="preserve"> 83  3371-2642                                      </t>
  </si>
  <si>
    <t xml:space="preserve"> 83  3371-2074                                      </t>
  </si>
  <si>
    <t xml:space="preserve"> 83  0371-2151                                      </t>
  </si>
  <si>
    <t xml:space="preserve"> 83  0371-2716                                      </t>
  </si>
  <si>
    <t xml:space="preserve"> 83  3375-4166                                      </t>
  </si>
  <si>
    <t xml:space="preserve"> 83  0375-4264                                      </t>
  </si>
  <si>
    <t xml:space="preserve"> 83  0375-4110                                      </t>
  </si>
  <si>
    <t xml:space="preserve"> 83  3375-4032                                      </t>
  </si>
  <si>
    <t xml:space="preserve"> 83  0375-4018                                      </t>
  </si>
  <si>
    <t xml:space="preserve"> 83  0389-1108                                      </t>
  </si>
  <si>
    <t xml:space="preserve"> 83  0372-2664                                      </t>
  </si>
  <si>
    <t xml:space="preserve"> 83  3372-2470                                      </t>
  </si>
  <si>
    <t xml:space="preserve"> 83  3376-1371                                      </t>
  </si>
  <si>
    <t xml:space="preserve"> 83  3635-1071  |   83  9972-0817                   </t>
  </si>
  <si>
    <t xml:space="preserve"> 83  3374-1473                                      </t>
  </si>
  <si>
    <t xml:space="preserve"> 83  0374-1200                                      </t>
  </si>
  <si>
    <t xml:space="preserve"> 83  3372-2409                                      </t>
  </si>
  <si>
    <t xml:space="preserve"> 83  3372-2181  |   83  3372-2181                   </t>
  </si>
  <si>
    <t xml:space="preserve"> 83  3382-1279  |   83  9116-8646                   </t>
  </si>
  <si>
    <t xml:space="preserve"> 83  0382-1349                                      </t>
  </si>
  <si>
    <t xml:space="preserve"> 83  8831-6610                                      </t>
  </si>
  <si>
    <t xml:space="preserve"> 83  3383-1228  |   83 33831-2289                   </t>
  </si>
  <si>
    <t xml:space="preserve"> 83  0383-1101                                      </t>
  </si>
  <si>
    <t xml:space="preserve"> 83 99628-1213  |   83 99628-1213  |   83  3383-1201</t>
  </si>
  <si>
    <t xml:space="preserve"> 83  9963-0183                                      </t>
  </si>
  <si>
    <t xml:space="preserve"> 83  0372-2405                                      </t>
  </si>
  <si>
    <t xml:space="preserve"> 83  8372-2446                                      </t>
  </si>
  <si>
    <t xml:space="preserve"> 83  3372-2354                                      </t>
  </si>
  <si>
    <t xml:space="preserve"> 83  9301-1221                                      </t>
  </si>
  <si>
    <t xml:space="preserve"> 83  0372-2215  |   83  9999-2579                   </t>
  </si>
  <si>
    <t xml:space="preserve"> 83  3372-2394  |   83 99938-0317                   </t>
  </si>
  <si>
    <t xml:space="preserve"> 83  0372-2191                                      </t>
  </si>
  <si>
    <t xml:space="preserve"> 83  9902-3739                                      </t>
  </si>
  <si>
    <t xml:space="preserve"> 83 92541-5203                                      </t>
  </si>
  <si>
    <t xml:space="preserve"> 83  0371-2032                                      </t>
  </si>
  <si>
    <t xml:space="preserve"> 83  3638-1209                                      </t>
  </si>
  <si>
    <t xml:space="preserve"> 83  3376-1084  |   83  8854-2389                   </t>
  </si>
  <si>
    <t xml:space="preserve"> 83  9920-4845  |   83  3371-2280                   </t>
  </si>
  <si>
    <t xml:space="preserve"> 83  3371-2892                                      </t>
  </si>
  <si>
    <t xml:space="preserve"> 83  3371-3170                                      </t>
  </si>
  <si>
    <t xml:space="preserve"> 83  0371-2244                                      </t>
  </si>
  <si>
    <t xml:space="preserve"> 08  3372-2148                                      </t>
  </si>
  <si>
    <t xml:space="preserve"> 83  3371-2496  |   83 99981-1216                   </t>
  </si>
  <si>
    <t xml:space="preserve"> 83  3332-3232  |   83 99934-0777                   </t>
  </si>
  <si>
    <t xml:space="preserve"> 83  3363-1111  |   83  8703-8245                   </t>
  </si>
  <si>
    <t xml:space="preserve"> 83 99992-1592                                      </t>
  </si>
  <si>
    <t xml:space="preserve"> 83  3376-1262                                      </t>
  </si>
  <si>
    <t xml:space="preserve"> 83  3385-1009  |   83 98775-1306                   </t>
  </si>
  <si>
    <t xml:space="preserve"> 83  0385-1088                                      </t>
  </si>
  <si>
    <t xml:space="preserve"> 83  0371-2195  |   83  0371-2195                   </t>
  </si>
  <si>
    <t xml:space="preserve"> 83  0383-1077                                      </t>
  </si>
  <si>
    <t xml:space="preserve"> 83  0383-1781                                      </t>
  </si>
  <si>
    <t xml:space="preserve"> 83  1382-1263                                      </t>
  </si>
  <si>
    <t xml:space="preserve"> 83  0376-1059  |   83  0376-1059                   </t>
  </si>
  <si>
    <t xml:space="preserve"> 83  3382-1549  |   83  9139-2109                   </t>
  </si>
  <si>
    <t xml:space="preserve"> 83  3382-1724  |   83  3382-1724                   </t>
  </si>
  <si>
    <t xml:space="preserve"> 83  7777-7777                                      </t>
  </si>
  <si>
    <t xml:space="preserve"> 83  3371-2216  |   83  9935-1146                   </t>
  </si>
  <si>
    <t xml:space="preserve"> 83  3382-1137                                      </t>
  </si>
  <si>
    <t xml:space="preserve"> 83  0382-1016  |   83  9382-1046                   </t>
  </si>
  <si>
    <t xml:space="preserve"> 83  3383-1010  |   83  9954-0081                   </t>
  </si>
  <si>
    <t xml:space="preserve"> 83  0383-1143  |   83  0383-1857                   </t>
  </si>
  <si>
    <t xml:space="preserve"> 83  0383-1223                                      </t>
  </si>
  <si>
    <t xml:space="preserve"> 83  3308-1048                                      </t>
  </si>
  <si>
    <t xml:space="preserve"> 83  3355-1498                                      </t>
  </si>
  <si>
    <t xml:space="preserve"> 83  3386-1076                                      </t>
  </si>
  <si>
    <t xml:space="preserve"> 83  8808-7234  |   83  8808-7782                   </t>
  </si>
  <si>
    <t xml:space="preserve"> 83  3313-1034                                      </t>
  </si>
  <si>
    <t xml:space="preserve"> 83  8735-6551                                      </t>
  </si>
  <si>
    <t xml:space="preserve"> 83  3339-5170                                      </t>
  </si>
  <si>
    <t xml:space="preserve"> 83  8770-7175                                      </t>
  </si>
  <si>
    <t xml:space="preserve"> 83  8139-2047                                      </t>
  </si>
  <si>
    <t xml:space="preserve"> 83  8813-5814                                      </t>
  </si>
  <si>
    <t xml:space="preserve"> 83  9997-9280                                      </t>
  </si>
  <si>
    <t xml:space="preserve"> 83  3313-1322                                      </t>
  </si>
  <si>
    <t xml:space="preserve"> 83  8726-7174                                      </t>
  </si>
  <si>
    <t xml:space="preserve"> 83  9955-1574                                      </t>
  </si>
  <si>
    <t xml:space="preserve"> 83  9650-1042                                      </t>
  </si>
  <si>
    <t xml:space="preserve"> 83  8756-3116                                      </t>
  </si>
  <si>
    <t xml:space="preserve"> 83  9944-7074                                      </t>
  </si>
  <si>
    <t xml:space="preserve"> 83  8887-2111                                      </t>
  </si>
  <si>
    <t xml:space="preserve"> 83  3645-1005                                      </t>
  </si>
  <si>
    <t xml:space="preserve"> 83  3355-1120                                      </t>
  </si>
  <si>
    <t xml:space="preserve"> 83  3313-1014                                      </t>
  </si>
  <si>
    <t xml:space="preserve"> 83  9628-3210                                      </t>
  </si>
  <si>
    <t xml:space="preserve"> 83  3390-1166                                      </t>
  </si>
  <si>
    <t xml:space="preserve"> 83  8723-8970  |   83  8890-1687                   </t>
  </si>
  <si>
    <t xml:space="preserve"> 83  3645-1050  |   83  8818-7174                   </t>
  </si>
  <si>
    <t xml:space="preserve"> 83  3355-1049                                      </t>
  </si>
  <si>
    <t xml:space="preserve"> 83  8804-4891                                      </t>
  </si>
  <si>
    <t xml:space="preserve"> 83  8711-3534  |   83  8645-4990                   </t>
  </si>
  <si>
    <t xml:space="preserve"> 83  8783-0797  |   83  8614-3676                   </t>
  </si>
  <si>
    <t xml:space="preserve"> 83  3313-1083                                      </t>
  </si>
  <si>
    <t xml:space="preserve"> 83  0390-1062                                      </t>
  </si>
  <si>
    <t xml:space="preserve"> 83  3390-1137                                      </t>
  </si>
  <si>
    <t xml:space="preserve"> 83  9981-0407                                      </t>
  </si>
  <si>
    <t xml:space="preserve"> 83  9965-4687                                      </t>
  </si>
  <si>
    <t xml:space="preserve"> 83  3313-1214  |   83  8879-8799                   </t>
  </si>
  <si>
    <t xml:space="preserve"> 83  8807-6461                                      </t>
  </si>
  <si>
    <t xml:space="preserve"> 83  8793-1175                                      </t>
  </si>
  <si>
    <t xml:space="preserve"> 83  8616-8942                                      </t>
  </si>
  <si>
    <t xml:space="preserve"> 83  9698-4172                                      </t>
  </si>
  <si>
    <t xml:space="preserve"> 83  8632-8250                                      </t>
  </si>
  <si>
    <t xml:space="preserve"> 83  8882-4905  |   83  8755-9512                   </t>
  </si>
  <si>
    <t xml:space="preserve"> 83  8746-7594                                      </t>
  </si>
  <si>
    <t xml:space="preserve"> 83  9911-6730  |   83  9911-2353                   </t>
  </si>
  <si>
    <t xml:space="preserve"> 83  9929-1124                                      </t>
  </si>
  <si>
    <t xml:space="preserve"> 83  3313-1086                                      </t>
  </si>
  <si>
    <t xml:space="preserve"> 83  3383-1181                                      </t>
  </si>
  <si>
    <t xml:space="preserve"> 83  3355-1297                                      </t>
  </si>
  <si>
    <t xml:space="preserve"> 83  3308-1041                                      </t>
  </si>
  <si>
    <t xml:space="preserve"> 83  3390-1004                                      </t>
  </si>
  <si>
    <t xml:space="preserve"> 83  3390-1114                                      </t>
  </si>
  <si>
    <t xml:space="preserve"> 83  3351-1554                                      </t>
  </si>
  <si>
    <t xml:space="preserve"> 83  3313-1180                                      </t>
  </si>
  <si>
    <t xml:space="preserve"> 83  3386-1112                                      </t>
  </si>
  <si>
    <t xml:space="preserve"> 83  3355-1005  |   83  3355-1119                   </t>
  </si>
  <si>
    <t xml:space="preserve"> 83  3308-1069  |   83  3308-1060                   </t>
  </si>
  <si>
    <t xml:space="preserve"> 83  3390-1111                                      </t>
  </si>
  <si>
    <t xml:space="preserve"> 83  3390-1116                                      </t>
  </si>
  <si>
    <t xml:space="preserve"> 83  8896-5647  |   83  9972-3151                   </t>
  </si>
  <si>
    <t xml:space="preserve"> 83  3313-1397                                      </t>
  </si>
  <si>
    <t xml:space="preserve"> 83  3313-1355                                      </t>
  </si>
  <si>
    <t xml:space="preserve"> 83  3390-1110                                      </t>
  </si>
  <si>
    <t xml:space="preserve"> 83  8702-2997                                      </t>
  </si>
  <si>
    <t xml:space="preserve"> 83  3311-1111                                      </t>
  </si>
  <si>
    <t xml:space="preserve"> 83  9943-4033                                      </t>
  </si>
  <si>
    <t xml:space="preserve"> 83  3311-0000                                      </t>
  </si>
  <si>
    <t xml:space="preserve"> 83  3313-1214                                      </t>
  </si>
  <si>
    <t xml:space="preserve"> 83  3390-1080                                      </t>
  </si>
  <si>
    <t xml:space="preserve"> 83  3313-1134                                      </t>
  </si>
  <si>
    <t xml:space="preserve"> 83  9980-3184                                      </t>
  </si>
  <si>
    <t xml:space="preserve"> 83  8737-0566                                      </t>
  </si>
  <si>
    <t xml:space="preserve"> 83  3339-1152                                      </t>
  </si>
  <si>
    <t xml:space="preserve"> 83  3390-1202                                      </t>
  </si>
  <si>
    <t xml:space="preserve"> 83  9966-7860                                      </t>
  </si>
  <si>
    <t xml:space="preserve"> 83  3355-1047                                      </t>
  </si>
  <si>
    <t xml:space="preserve"> 83  8712-7243                                      </t>
  </si>
  <si>
    <t xml:space="preserve"> 83  3390-1152                                      </t>
  </si>
  <si>
    <t xml:space="preserve"> 83  9905-7521                                      </t>
  </si>
  <si>
    <t xml:space="preserve"> 83  9635-8547                                      </t>
  </si>
  <si>
    <t xml:space="preserve"> 83  8737-0964                                      </t>
  </si>
  <si>
    <t xml:space="preserve"> 83  0308-1069  |   83  8803-0086                   </t>
  </si>
  <si>
    <t xml:space="preserve"> 83  3308-1080  |   83  8703-5883                   </t>
  </si>
  <si>
    <t xml:space="preserve"> 83  3390-1099                                      </t>
  </si>
  <si>
    <t xml:space="preserve"> 83  3351-4010                                      </t>
  </si>
  <si>
    <t xml:space="preserve"> 83  3313-1343  |   83  9104-8403                   </t>
  </si>
  <si>
    <t xml:space="preserve"> 83  0390-1112                                      </t>
  </si>
  <si>
    <t xml:space="preserve"> 83  9998-0315                                      </t>
  </si>
  <si>
    <t xml:space="preserve"> 83  3645-1063  |   83  3645-1022                   </t>
  </si>
  <si>
    <t xml:space="preserve"> 83  3390-1027                                      </t>
  </si>
  <si>
    <t xml:space="preserve"> 83  3641-1006                                      </t>
  </si>
  <si>
    <t xml:space="preserve"> 83  0390-1055                                      </t>
  </si>
  <si>
    <t xml:space="preserve"> 83  0645-1021                                      </t>
  </si>
  <si>
    <t xml:space="preserve"> 83  0390-1103                                      </t>
  </si>
  <si>
    <t xml:space="preserve"> 83  0390-1028                                      </t>
  </si>
  <si>
    <t xml:space="preserve"> 83  3645-1042                                      </t>
  </si>
  <si>
    <t xml:space="preserve"> 83  0390-1211                                      </t>
  </si>
  <si>
    <t xml:space="preserve"> 83  0390-1080                                      </t>
  </si>
  <si>
    <t xml:space="preserve"> 83  9968-7332                                      </t>
  </si>
  <si>
    <t xml:space="preserve"> 83  9991-5580  |   83  9991-5580                   </t>
  </si>
  <si>
    <t xml:space="preserve"> 83  3313-0180                                      </t>
  </si>
  <si>
    <t xml:space="preserve"> 83  3386-1203                                      </t>
  </si>
  <si>
    <t xml:space="preserve"> 83  3355-1176                                      </t>
  </si>
  <si>
    <t xml:space="preserve"> 83  3354-2364                                      </t>
  </si>
  <si>
    <t xml:space="preserve"> 83  9976-3908                                      </t>
  </si>
  <si>
    <t xml:space="preserve"> 83  3313-1009                                      </t>
  </si>
  <si>
    <t xml:space="preserve"> 83  3390-1190  |   83  3390-1190                   </t>
  </si>
  <si>
    <t xml:space="preserve"> 83  3390-2022                                      </t>
  </si>
  <si>
    <t xml:space="preserve"> 83  3355-1061                                      </t>
  </si>
  <si>
    <t xml:space="preserve"> 83  3390-1237                                      </t>
  </si>
  <si>
    <t xml:space="preserve"> 83  3131-0180                                      </t>
  </si>
  <si>
    <t xml:space="preserve"> 83  3313-3221                                      </t>
  </si>
  <si>
    <t xml:space="preserve"> 83  3313-1456                                      </t>
  </si>
  <si>
    <t xml:space="preserve"> 81  3390-1110                                      </t>
  </si>
  <si>
    <t xml:space="preserve"> 83  0359-1004                                      </t>
  </si>
  <si>
    <t xml:space="preserve"> 83  0390-1056                                      </t>
  </si>
  <si>
    <t xml:space="preserve"> 83  0390-1116                                      </t>
  </si>
  <si>
    <t xml:space="preserve"> 83  0390-1151                                      </t>
  </si>
  <si>
    <t xml:space="preserve"> 83  0390-1049                                      </t>
  </si>
  <si>
    <t xml:space="preserve"> 83  0390-1008                                      </t>
  </si>
  <si>
    <t xml:space="preserve"> 83  0390-1175                                      </t>
  </si>
  <si>
    <t xml:space="preserve"> 83  3386-1025  |   83  9972-3797                   </t>
  </si>
  <si>
    <t xml:space="preserve"> 83  0313-1252                                      </t>
  </si>
  <si>
    <t xml:space="preserve"> 83  0313-1418                                      </t>
  </si>
  <si>
    <t xml:space="preserve"> 83  0313-1009                                      </t>
  </si>
  <si>
    <t xml:space="preserve"> 83  0355-1169                                      </t>
  </si>
  <si>
    <t xml:space="preserve"> 83  0355-1030                                      </t>
  </si>
  <si>
    <t xml:space="preserve"> 83  3355-1235                                      </t>
  </si>
  <si>
    <t xml:space="preserve"> 83  3313-1246                                      </t>
  </si>
  <si>
    <t xml:space="preserve"> 83  0313-1361                                      </t>
  </si>
  <si>
    <t xml:space="preserve"> 83  0313-1235                                      </t>
  </si>
  <si>
    <t xml:space="preserve"> 83 13522-4090                                      </t>
  </si>
  <si>
    <t xml:space="preserve"> 83 98751-4044                                      </t>
  </si>
  <si>
    <t xml:space="preserve"> 83 98666-2085  |   83 98666-2085                   </t>
  </si>
  <si>
    <t xml:space="preserve"> 83 98642-9805  |   83 98618-0298                   </t>
  </si>
  <si>
    <t xml:space="preserve"> 83 99685-4259                                      </t>
  </si>
  <si>
    <t xml:space="preserve"> 83 98885-4549                                      </t>
  </si>
  <si>
    <t xml:space="preserve"> 83 98641-3945                                      </t>
  </si>
  <si>
    <t xml:space="preserve"> 83 98600-7058                                      </t>
  </si>
  <si>
    <t xml:space="preserve"> 83 99697-8059  |   83 98816-8406  |   83 98838-5152</t>
  </si>
  <si>
    <t xml:space="preserve"> 83 98714-7796  |   83 98709-0480                   </t>
  </si>
  <si>
    <t xml:space="preserve"> 83 99660-5292                                      </t>
  </si>
  <si>
    <t xml:space="preserve"> 83 98807-8445                                      </t>
  </si>
  <si>
    <t xml:space="preserve"> 83 98775-4672                                      </t>
  </si>
  <si>
    <t xml:space="preserve"> 83  3463-2183                                      </t>
  </si>
  <si>
    <t xml:space="preserve"> 83 98803-6613  |   83 98781-6017                   </t>
  </si>
  <si>
    <t xml:space="preserve"> 83 98712-2846                                      </t>
  </si>
  <si>
    <t xml:space="preserve"> 83 98639-0080                                      </t>
  </si>
  <si>
    <t xml:space="preserve"> 83 99660-8852                                      </t>
  </si>
  <si>
    <t xml:space="preserve"> 83 98865-5850                                      </t>
  </si>
  <si>
    <t xml:space="preserve"> 83 98719-9846                                      </t>
  </si>
  <si>
    <t xml:space="preserve"> 83 98735-1068  |   83 99675-5065  |   83 98615-0100</t>
  </si>
  <si>
    <t xml:space="preserve"> 83  3522-4090  |   83  3522-4090  |   83 99637-3977</t>
  </si>
  <si>
    <t xml:space="preserve"> 83 98742-8649  |   83 98865-5850                   </t>
  </si>
  <si>
    <t xml:space="preserve"> 83 98855-5201                                      </t>
  </si>
  <si>
    <t xml:space="preserve"> 83 99882-7825                                      </t>
  </si>
  <si>
    <t xml:space="preserve"> 83 98873-2625                                      </t>
  </si>
  <si>
    <t xml:space="preserve"> 83 98711-0459                                      </t>
  </si>
  <si>
    <t xml:space="preserve"> 83 98851-6179  |   83 98664-5867                   </t>
  </si>
  <si>
    <t xml:space="preserve"> 83 98660-0214                                      </t>
  </si>
  <si>
    <t xml:space="preserve"> 83 98719-8513                                      </t>
  </si>
  <si>
    <t xml:space="preserve"> 83  3463-2271                                      </t>
  </si>
  <si>
    <t xml:space="preserve"> 83 98712-4058  |   83 98716-9145                   </t>
  </si>
  <si>
    <t xml:space="preserve"> 83  3463-2478  |   83 98896-8127  |   83 98896-8127</t>
  </si>
  <si>
    <t xml:space="preserve"> 83 99915-0891  |   83 98718-5988  |   83 98864-9068</t>
  </si>
  <si>
    <t xml:space="preserve"> 83 98754-2880                                      </t>
  </si>
  <si>
    <t xml:space="preserve"> 83 99695-2691                                      </t>
  </si>
  <si>
    <t xml:space="preserve"> 83 99655-7810                                      </t>
  </si>
  <si>
    <t xml:space="preserve"> 83  0376-1077                                      </t>
  </si>
  <si>
    <t xml:space="preserve"> 83  3233-4756                                      </t>
  </si>
  <si>
    <t xml:space="preserve"> 83  0376-1053  |   83  0376-1053                   </t>
  </si>
  <si>
    <t xml:space="preserve"> 83  0376-1184                                      </t>
  </si>
  <si>
    <t xml:space="preserve"> 83  3382-1724  |   83  9175-6971                   </t>
  </si>
  <si>
    <t xml:space="preserve"> 83 99606-7429  |   83 99606-7429  |   83 98672-5121</t>
  </si>
  <si>
    <t xml:space="preserve"> 83 99687-5997  |   83 99890-9726                   </t>
  </si>
  <si>
    <t xml:space="preserve"> 83 99312-6600                                      </t>
  </si>
  <si>
    <t xml:space="preserve"> 83 99643-4921  |   83 99614-5393                   </t>
  </si>
  <si>
    <t xml:space="preserve"> 83 99848-5895                                      </t>
  </si>
  <si>
    <t xml:space="preserve"> 83 99944-3941                                      </t>
  </si>
  <si>
    <t xml:space="preserve"> 83 99392-9300                                      </t>
  </si>
  <si>
    <t xml:space="preserve"> 83 99982-0278                                      </t>
  </si>
  <si>
    <t xml:space="preserve"> 83 99188-1829  |   83 99609-2127                   </t>
  </si>
  <si>
    <t xml:space="preserve"> 83 98114-5167                                      </t>
  </si>
  <si>
    <t xml:space="preserve"> 83 99182-3024                                      </t>
  </si>
  <si>
    <t xml:space="preserve"> 83 99835-9938                                      </t>
  </si>
  <si>
    <t xml:space="preserve"> 83 99985-4559                                      </t>
  </si>
  <si>
    <t xml:space="preserve"> 83 99944-5762                                      </t>
  </si>
  <si>
    <t xml:space="preserve"> 83 99936-8691                                      </t>
  </si>
  <si>
    <t xml:space="preserve"> 39  9669-4171                                      </t>
  </si>
  <si>
    <t xml:space="preserve"> 83 99862-1091                                      </t>
  </si>
  <si>
    <t xml:space="preserve"> 83 99909-2661                                      </t>
  </si>
  <si>
    <t xml:space="preserve"> 83 99631-8875  |   83 98726-7953                   </t>
  </si>
  <si>
    <t xml:space="preserve"> 83  9910-9830                                      </t>
  </si>
  <si>
    <t xml:space="preserve"> 39  9676-9619  |   83 99676-9619  |   83 99676-9619</t>
  </si>
  <si>
    <t xml:space="preserve"> 83 98163-5458                                      </t>
  </si>
  <si>
    <t xml:space="preserve"> 83 98195-2034                                      </t>
  </si>
  <si>
    <t xml:space="preserve"> 83 99908-2292  |   83 99912-7702  |   83 99656-2874</t>
  </si>
  <si>
    <t xml:space="preserve"> 83  9942-8570                                      </t>
  </si>
  <si>
    <t xml:space="preserve"> 83 98770-3922  |   83  3421-7386  |   83 99642-2426</t>
  </si>
  <si>
    <t xml:space="preserve"> 83 99875-1296                                      </t>
  </si>
  <si>
    <t xml:space="preserve"> 83 99662-4189                                      </t>
  </si>
  <si>
    <t xml:space="preserve"> 83 99635-6654  |   83 99635-6654  |   83 99635-6654</t>
  </si>
  <si>
    <t xml:space="preserve"> 83 99959-5008                                      </t>
  </si>
  <si>
    <t xml:space="preserve"> 83 99830-5597                                      </t>
  </si>
  <si>
    <t xml:space="preserve"> 83  9882-3730                                      </t>
  </si>
  <si>
    <t xml:space="preserve"> 83 99839-6619                                      </t>
  </si>
  <si>
    <t xml:space="preserve"> 83 99649-6085                                      </t>
  </si>
  <si>
    <t xml:space="preserve"> 83 98658-6182                                      </t>
  </si>
  <si>
    <t xml:space="preserve"> 83 99194-0861                                      </t>
  </si>
  <si>
    <t xml:space="preserve"> 83 99368-2414                                      </t>
  </si>
  <si>
    <t xml:space="preserve"> 83 99350-7154                                      </t>
  </si>
  <si>
    <t xml:space="preserve"> 83  3382-1158                                      </t>
  </si>
  <si>
    <t xml:space="preserve"> 83 99167-0474  |   83 99358-9119                   </t>
  </si>
  <si>
    <t xml:space="preserve"> 83 98610-9080                                      </t>
  </si>
  <si>
    <t xml:space="preserve"> 83  9863-6338                                      </t>
  </si>
  <si>
    <t xml:space="preserve"> 83 98109-0087                                      </t>
  </si>
  <si>
    <t xml:space="preserve"> 83 99629-3713                                      </t>
  </si>
  <si>
    <t xml:space="preserve"> 83  3461-2020  |   83 99136-6142                   </t>
  </si>
  <si>
    <t xml:space="preserve"> 83 99104-7305  |   83 99104-7305  |   83 99182-6008</t>
  </si>
  <si>
    <t xml:space="preserve"> 83 99918-6915                                      </t>
  </si>
  <si>
    <t xml:space="preserve"> 83 99693-7881                                      </t>
  </si>
  <si>
    <t xml:space="preserve"> 83 99662-5183                                      </t>
  </si>
  <si>
    <t xml:space="preserve"> 83 99821-3168  |   83 98851-9675                   </t>
  </si>
  <si>
    <t xml:space="preserve"> 83 99884-0559                                      </t>
  </si>
  <si>
    <t xml:space="preserve"> 83 99887-4505  |   83 99887-4505                   </t>
  </si>
  <si>
    <t xml:space="preserve"> 83 99909-7890  |   83  9631-0477                   </t>
  </si>
  <si>
    <t xml:space="preserve"> 89 98168-3110                                      </t>
  </si>
  <si>
    <t xml:space="preserve"> 83  9873-4946  |   83 98822-8280                   </t>
  </si>
  <si>
    <t xml:space="preserve"> 83 98837-3275                                      </t>
  </si>
  <si>
    <t xml:space="preserve"> 83 98607-0897  |   83 98851-5912                   </t>
  </si>
  <si>
    <t xml:space="preserve"> 83 99411-4915                                      </t>
  </si>
  <si>
    <t xml:space="preserve"> 83 99189-9769                                      </t>
  </si>
  <si>
    <t xml:space="preserve"> 83 99108-9487                                      </t>
  </si>
  <si>
    <t xml:space="preserve"> 83  9984-8372  |   83  9984-8372                   </t>
  </si>
  <si>
    <t xml:space="preserve"> 83 99986-9051                                      </t>
  </si>
  <si>
    <t xml:space="preserve"> 83 98861-5417                                      </t>
  </si>
  <si>
    <t xml:space="preserve"> 83 99404-9573  |   83 99404-9573                   </t>
  </si>
  <si>
    <t xml:space="preserve"> 83 99972-3561                                      </t>
  </si>
  <si>
    <t xml:space="preserve"> 83 99689-6786  |   83 99689-6786                   </t>
  </si>
  <si>
    <t xml:space="preserve"> 83 98638-6687  |   83 98719-0923                   </t>
  </si>
  <si>
    <t xml:space="preserve"> 83 99633-0884  |   83 99633-0884                   </t>
  </si>
  <si>
    <t xml:space="preserve"> 83 99939-6203  |   83 99939-6203                   </t>
  </si>
  <si>
    <t xml:space="preserve"> 83 99866-9266  |   83 99866-9266                   </t>
  </si>
  <si>
    <t xml:space="preserve"> 83 99903-7738  |   83 99926-0792                   </t>
  </si>
  <si>
    <t xml:space="preserve"> 83 98156-1971  |   83 98156-1971  |   83 98156-1970</t>
  </si>
  <si>
    <t xml:space="preserve"> 83 98157-9063  |   83 98157-9063                   </t>
  </si>
  <si>
    <t xml:space="preserve"> 83 99659-7793  |   83 99659-7793                   </t>
  </si>
  <si>
    <t xml:space="preserve"> 83 99811-5179  |   83 99847-4835  |   83 99850-6760</t>
  </si>
  <si>
    <t xml:space="preserve"> 83 99973-4344  |   83 99681-2447  |   83 99973-4344</t>
  </si>
  <si>
    <t xml:space="preserve"> 83 98715-9813                                      </t>
  </si>
  <si>
    <t xml:space="preserve"> 83  9647-9616  |   83  9647-9616                   </t>
  </si>
  <si>
    <t xml:space="preserve"> 83 99829-7834  |   83 99829-7834                   </t>
  </si>
  <si>
    <t xml:space="preserve"> 83 98220-6605  |   83 98220-6605                   </t>
  </si>
  <si>
    <t xml:space="preserve"> 83 99913-0533                                      </t>
  </si>
  <si>
    <t xml:space="preserve"> 83 99658-2290  |   83 99658-2290                   </t>
  </si>
  <si>
    <t xml:space="preserve"> 83 99908-5673  |   83  3474-1059  |   83 99908-5673</t>
  </si>
  <si>
    <t xml:space="preserve"> 83 99908-8065  |   83 99824-2447                   </t>
  </si>
  <si>
    <t xml:space="preserve"> 83 99942-7588  |   83 99942-7588                   </t>
  </si>
  <si>
    <t xml:space="preserve"> 83 99821-9700  |   83 99821-9700  |   83 99964-1293</t>
  </si>
  <si>
    <t xml:space="preserve"> 83 98657-7795  |   83  9883-1386                   </t>
  </si>
  <si>
    <t xml:space="preserve"> 83 99845-1549                                      </t>
  </si>
  <si>
    <t xml:space="preserve"> 83 98130-2163  |   83 98133-0844                   </t>
  </si>
  <si>
    <t xml:space="preserve"> 83  9992-0798  |   83  9992-0798                   </t>
  </si>
  <si>
    <t xml:space="preserve"> 83 99800-7452  |   83  9916-3346  |   83  9820-2310</t>
  </si>
  <si>
    <t xml:space="preserve"> 83 98119-9857  |   83 98119-9857                   </t>
  </si>
  <si>
    <t xml:space="preserve"> 83 99615-0077  |   83 99615-0077  |   83 99859-1354</t>
  </si>
  <si>
    <t xml:space="preserve"> 83 99619-1854  |   83 99619-1854                   </t>
  </si>
  <si>
    <t xml:space="preserve"> 83 98220-4128  |   83 98114-9883  |   83 98220-4128</t>
  </si>
  <si>
    <t xml:space="preserve"> 83  9885-5255  |   83  9885-5255  |   83  9885-5255</t>
  </si>
  <si>
    <t xml:space="preserve"> 83 99130-7283  |   83 99909-2774                   </t>
  </si>
  <si>
    <t xml:space="preserve"> 83  9833-4359  |   83 99695-8994                   </t>
  </si>
  <si>
    <t xml:space="preserve"> 83  9967-8464  |   83 99667-8464                   </t>
  </si>
  <si>
    <t xml:space="preserve"> 83 99672-6962  |   83 99672-6962                   </t>
  </si>
  <si>
    <t xml:space="preserve"> 83 99908-2205                                      </t>
  </si>
  <si>
    <t xml:space="preserve"> 83 99945-6003  |   83 99945-6003                   </t>
  </si>
  <si>
    <t xml:space="preserve"> 83 99840-0709  |   83 99849-4924                   </t>
  </si>
  <si>
    <t xml:space="preserve"> 83 19862-4380  |   83 19936-7872                   </t>
  </si>
  <si>
    <t xml:space="preserve"> 83  9905-5827  |   83 99138-1398  |   83 99305-9925</t>
  </si>
  <si>
    <t xml:space="preserve"> 83 98867-3132  |   83 98867-3132  |   83 98669-9572</t>
  </si>
  <si>
    <t xml:space="preserve"> 83 98745-4086                                      </t>
  </si>
  <si>
    <t xml:space="preserve"> 83 99802-2979  |   83 99802-2979                   </t>
  </si>
  <si>
    <t xml:space="preserve"> 83 98196-9565  |   83 98196-9565                   </t>
  </si>
  <si>
    <t xml:space="preserve"> 83 98104-7982                                      </t>
  </si>
  <si>
    <t xml:space="preserve"> 83 98152-4662  |   83 98166-5991                   </t>
  </si>
  <si>
    <t xml:space="preserve"> 83  9833-4617  |   83  9833-4617                   </t>
  </si>
  <si>
    <t xml:space="preserve"> 83 98164-5434  |   83 98164-5434  |   83 98164-5434</t>
  </si>
  <si>
    <t xml:space="preserve"> 83 99699-8113  |   83 99699-8113                   </t>
  </si>
  <si>
    <t xml:space="preserve"> 83 99924-2440  |   83  9372-6303  |   83  9911-5696</t>
  </si>
  <si>
    <t xml:space="preserve"> 83 99632-6515  |   83 99632-6415  |   83 99607-1669</t>
  </si>
  <si>
    <t xml:space="preserve"> 83  9886-9815  |   83  9886-9815                   </t>
  </si>
  <si>
    <t xml:space="preserve"> 83 99698-1119  |   83 99870-0063                   </t>
  </si>
  <si>
    <t xml:space="preserve"> 83 99654-2618  |   83 99654-2618                   </t>
  </si>
  <si>
    <t xml:space="preserve"> 83 98177-2335  |   83 98177-2335                   </t>
  </si>
  <si>
    <t xml:space="preserve"> 83 99693-3528                                      </t>
  </si>
  <si>
    <t xml:space="preserve"> 83 99626-2910  |   83 99924-1789  |   83 99870-0063</t>
  </si>
  <si>
    <t xml:space="preserve"> 83 99900-4225                                      </t>
  </si>
  <si>
    <t xml:space="preserve"> 83  8896-7489  |   83 98830-6403  |   83 98720-0062</t>
  </si>
  <si>
    <t xml:space="preserve"> 83 98811-4317  |   83 98811-4317                   </t>
  </si>
  <si>
    <t xml:space="preserve"> 83 99935-0862  |   83 98807-4495  |   83 98134-9824</t>
  </si>
  <si>
    <t xml:space="preserve"> 83  9962-7983  |   83  9950-2168                   </t>
  </si>
  <si>
    <t xml:space="preserve"> 83 98887-7106  |   83 98887-7106                   </t>
  </si>
  <si>
    <t xml:space="preserve"> 83 98680-4883  |   83 99840-3644  |   83 99989-5623</t>
  </si>
  <si>
    <t xml:space="preserve"> 83 99904-9752                                      </t>
  </si>
  <si>
    <t xml:space="preserve"> 83 99674-8958  |   83 99971-7224                   </t>
  </si>
  <si>
    <t xml:space="preserve"> 83 98726-2631  |   83 98726-2631                   </t>
  </si>
  <si>
    <t xml:space="preserve"> 83 98675-1660  |   83 98675-1660                   </t>
  </si>
  <si>
    <t xml:space="preserve"> 83 98164-5434  |   83 98184-1367  |   83 98207-4155</t>
  </si>
  <si>
    <t xml:space="preserve"> 83 98188-0719                                      </t>
  </si>
  <si>
    <t xml:space="preserve"> 83  9935-5343  |   83  9935-5343  |   83 98105-2012</t>
  </si>
  <si>
    <t xml:space="preserve"> 83 99858-3848                                      </t>
  </si>
  <si>
    <t xml:space="preserve"> 83 99925-9868                                      </t>
  </si>
  <si>
    <t xml:space="preserve"> 87  8822-9161  |   87  8844-1629                   </t>
  </si>
  <si>
    <t xml:space="preserve"> 83 98210-5077  |   83 99961-1059                   </t>
  </si>
  <si>
    <t xml:space="preserve"> 83 98164-2733  |   83 98164-2733                   </t>
  </si>
  <si>
    <t xml:space="preserve"> 83 98161-1072  |   83 98161-1072                   </t>
  </si>
  <si>
    <t xml:space="preserve"> 83 98179-9591                                      </t>
  </si>
  <si>
    <t xml:space="preserve"> 83 99603-7312  |   83 99603-7312                   </t>
  </si>
  <si>
    <t xml:space="preserve"> 83 99671-2355  |   83 99671-2355                   </t>
  </si>
  <si>
    <t xml:space="preserve"> 83 98867-2721                                      </t>
  </si>
  <si>
    <t xml:space="preserve"> 83 99635-0430  |   83 99635-0430                   </t>
  </si>
  <si>
    <t xml:space="preserve"> 83 99672-1256  |   83 99806-5487  |   83 98141-4272</t>
  </si>
  <si>
    <t xml:space="preserve"> 83 99313-4357  |   83 99313-4357                   </t>
  </si>
  <si>
    <t xml:space="preserve"> 83 99947-2028                                      </t>
  </si>
  <si>
    <t xml:space="preserve"> 83 99913-3813                                      </t>
  </si>
  <si>
    <t xml:space="preserve"> 83 99604-2248                                      </t>
  </si>
  <si>
    <t xml:space="preserve"> 83 98136-9008                                      </t>
  </si>
  <si>
    <t xml:space="preserve"> 85 99704-7915                                      </t>
  </si>
  <si>
    <t xml:space="preserve"> 83 99663-8451                                      </t>
  </si>
  <si>
    <t xml:space="preserve"> 83 99381-9003                                      </t>
  </si>
  <si>
    <t xml:space="preserve"> 83 98702-5215                                      </t>
  </si>
  <si>
    <t xml:space="preserve"> 95 99161-3622                                      </t>
  </si>
  <si>
    <t xml:space="preserve"> 83 98810-0018                                      </t>
  </si>
  <si>
    <t xml:space="preserve"> 83 98805-7043                                      </t>
  </si>
  <si>
    <t xml:space="preserve"> 11 98041-0818                                      </t>
  </si>
  <si>
    <t xml:space="preserve"> 83 98210-3605                                      </t>
  </si>
  <si>
    <t xml:space="preserve"> 83 99600-3906                                      </t>
  </si>
  <si>
    <t xml:space="preserve"> 83 90130-1801                                      </t>
  </si>
  <si>
    <t xml:space="preserve"> 83 99647-6840                                      </t>
  </si>
  <si>
    <t xml:space="preserve"> 83 98115-3489                                      </t>
  </si>
  <si>
    <t xml:space="preserve"> 83 99658-8936                                      </t>
  </si>
  <si>
    <t xml:space="preserve"> 83 86464-1511                                      </t>
  </si>
  <si>
    <t xml:space="preserve"> 83 98195-3441                                      </t>
  </si>
  <si>
    <t xml:space="preserve"> 83 99622-3566                                      </t>
  </si>
  <si>
    <t xml:space="preserve"> 21 98054-4111                                      </t>
  </si>
  <si>
    <t xml:space="preserve"> 83 99623-9329                                      </t>
  </si>
  <si>
    <t xml:space="preserve"> 83 99912-8176                                      </t>
  </si>
  <si>
    <t xml:space="preserve"> 83 99621-0033                                      </t>
  </si>
  <si>
    <t xml:space="preserve"> 83 99608-5528                                      </t>
  </si>
  <si>
    <t xml:space="preserve"> 83 98181-1238                                      </t>
  </si>
  <si>
    <t xml:space="preserve"> 83 99944-2622                                      </t>
  </si>
  <si>
    <t xml:space="preserve"> 83 98117-7795                                      </t>
  </si>
  <si>
    <t xml:space="preserve"> 83 99632-5319                                      </t>
  </si>
  <si>
    <t xml:space="preserve"> 83 99659-5968                                      </t>
  </si>
  <si>
    <t xml:space="preserve"> 83 99983-0812                                      </t>
  </si>
  <si>
    <t xml:space="preserve"> 83 99905-4732                                      </t>
  </si>
  <si>
    <t xml:space="preserve"> 83 98176-9214                                      </t>
  </si>
  <si>
    <t xml:space="preserve"> 83 99642-1385                                      </t>
  </si>
  <si>
    <t xml:space="preserve"> 83 98188-0687                                      </t>
  </si>
  <si>
    <t xml:space="preserve"> 83 98111-6448                                      </t>
  </si>
  <si>
    <t xml:space="preserve"> 83 98662-5212                                      </t>
  </si>
  <si>
    <t xml:space="preserve"> 83 99627-9652                                      </t>
  </si>
  <si>
    <t xml:space="preserve"> 83 98131-6645                                      </t>
  </si>
  <si>
    <t xml:space="preserve"> 83 98884-2970                                      </t>
  </si>
  <si>
    <t xml:space="preserve"> 83 99906-3123                                      </t>
  </si>
  <si>
    <t xml:space="preserve"> 83 99835-0998                                      </t>
  </si>
  <si>
    <t xml:space="preserve"> 83 99959-7671                                      </t>
  </si>
  <si>
    <t xml:space="preserve"> 83 98114-8872                                      </t>
  </si>
  <si>
    <t xml:space="preserve"> 83 99993-4158                                      </t>
  </si>
  <si>
    <t xml:space="preserve"> 83 98211-4835                                      </t>
  </si>
  <si>
    <t xml:space="preserve"> 83 98184-9595                                      </t>
  </si>
  <si>
    <t xml:space="preserve"> 83 99931-3555                                      </t>
  </si>
  <si>
    <t xml:space="preserve"> 83 99665-7106                                      </t>
  </si>
  <si>
    <t xml:space="preserve"> 83 98127-6421                                      </t>
  </si>
  <si>
    <t xml:space="preserve"> 83 99990-5614                                      </t>
  </si>
  <si>
    <t xml:space="preserve"> 83 99963-0755                                      </t>
  </si>
  <si>
    <t xml:space="preserve"> 83 99641-2766                                      </t>
  </si>
  <si>
    <t xml:space="preserve"> 83 98140-1344                                      </t>
  </si>
  <si>
    <t xml:space="preserve"> 83 99806-5882                                      </t>
  </si>
  <si>
    <t xml:space="preserve"> 83 98183-8616                                      </t>
  </si>
  <si>
    <t xml:space="preserve"> 83 98102-5391                                      </t>
  </si>
  <si>
    <t xml:space="preserve"> 83 99960-1662                                      </t>
  </si>
  <si>
    <t xml:space="preserve"> 83 99405-4252                                      </t>
  </si>
  <si>
    <t xml:space="preserve"> 83 98204-0006                                      </t>
  </si>
  <si>
    <t xml:space="preserve"> 83 98113-7405                                      </t>
  </si>
  <si>
    <t xml:space="preserve"> 83 99896-9045                                      </t>
  </si>
  <si>
    <t xml:space="preserve"> 83 99347-7009                                      </t>
  </si>
  <si>
    <t xml:space="preserve"> 83 99957-7981                                      </t>
  </si>
  <si>
    <t xml:space="preserve"> 83 99984-6790                                      </t>
  </si>
  <si>
    <t xml:space="preserve"> 83 99617-7791                                      </t>
  </si>
  <si>
    <t xml:space="preserve"> 83 98175-9486                                      </t>
  </si>
  <si>
    <t xml:space="preserve"> 11 95449-8751                                      </t>
  </si>
  <si>
    <t xml:space="preserve"> 83 99941-2314                                      </t>
  </si>
  <si>
    <t xml:space="preserve"> 83 98731-2090                                      </t>
  </si>
  <si>
    <t xml:space="preserve"> 83 98128-3791                                      </t>
  </si>
  <si>
    <t xml:space="preserve"> 83 98826-7243                                      </t>
  </si>
  <si>
    <t xml:space="preserve"> 81 98665-5964                                      </t>
  </si>
  <si>
    <t xml:space="preserve"> 83 98161-0704                                      </t>
  </si>
  <si>
    <t xml:space="preserve"> 83 99980-3711                                      </t>
  </si>
  <si>
    <t xml:space="preserve"> 83 98122-9982                                      </t>
  </si>
  <si>
    <t xml:space="preserve"> 83 99645-4871  |   83  9171-6102  |   83  8177-3783</t>
  </si>
  <si>
    <t xml:space="preserve"> 83 99119-1436                                      </t>
  </si>
  <si>
    <t xml:space="preserve"> 83 99640-5482                                      </t>
  </si>
  <si>
    <t xml:space="preserve"> 83 98144-8605                                      </t>
  </si>
  <si>
    <t xml:space="preserve"> 83 99643-4960                                      </t>
  </si>
  <si>
    <t xml:space="preserve"> 83 99311-3912                                      </t>
  </si>
  <si>
    <t xml:space="preserve"> 83 98655-6449                                      </t>
  </si>
  <si>
    <t xml:space="preserve"> 83 99958-4295                                      </t>
  </si>
  <si>
    <t xml:space="preserve"> 83 99632-1006                                      </t>
  </si>
  <si>
    <t xml:space="preserve"> 83 99635-9125                                      </t>
  </si>
  <si>
    <t xml:space="preserve"> 83 98197-4003                                      </t>
  </si>
  <si>
    <t xml:space="preserve"> 83 99920-0705                                      </t>
  </si>
  <si>
    <t xml:space="preserve"> 83 99822-6439                                      </t>
  </si>
  <si>
    <t xml:space="preserve"> 11 94700-9009                                      </t>
  </si>
  <si>
    <t xml:space="preserve"> 83 99112-7168                                      </t>
  </si>
  <si>
    <t xml:space="preserve"> 83 99622-7652                                      </t>
  </si>
  <si>
    <t xml:space="preserve"> 83 99626-4926                                      </t>
  </si>
  <si>
    <t xml:space="preserve"> 55 83981-4377                                      </t>
  </si>
  <si>
    <t xml:space="preserve"> 83 99936-8678                                      </t>
  </si>
  <si>
    <t xml:space="preserve"> 83 99403-2809                                      </t>
  </si>
  <si>
    <t xml:space="preserve"> 83 99408-9774                                      </t>
  </si>
  <si>
    <t xml:space="preserve"> 83 99971-0649                                      </t>
  </si>
  <si>
    <t xml:space="preserve"> 83 98660-4025                                      </t>
  </si>
  <si>
    <t xml:space="preserve"> 83 99666-8094                                      </t>
  </si>
  <si>
    <t xml:space="preserve"> 83 98175-6386                                      </t>
  </si>
  <si>
    <t xml:space="preserve"> 83 99841-6859                                      </t>
  </si>
  <si>
    <t xml:space="preserve"> 83 98626-3795                                      </t>
  </si>
  <si>
    <t xml:space="preserve"> 83 99821-4425                                      </t>
  </si>
  <si>
    <t xml:space="preserve"> 83 98119-1282                                      </t>
  </si>
  <si>
    <t xml:space="preserve"> 83 99102-9333                                      </t>
  </si>
  <si>
    <t xml:space="preserve"> 83 99613-1421                                      </t>
  </si>
  <si>
    <t xml:space="preserve"> 83 99659-6884                                      </t>
  </si>
  <si>
    <t xml:space="preserve"> 83  3331-3900                                      </t>
  </si>
  <si>
    <t xml:space="preserve"> 83 98165-9943                                      </t>
  </si>
  <si>
    <t xml:space="preserve"> 39  9891-2877                                      </t>
  </si>
  <si>
    <t xml:space="preserve"> 39 98715-7641  |   83 99608-5497  |   83 99608-5497</t>
  </si>
  <si>
    <t xml:space="preserve"> 83 98627-9940  |   83 98684-0769                   </t>
  </si>
  <si>
    <t xml:space="preserve"> 83 99676-1301                                      </t>
  </si>
  <si>
    <t xml:space="preserve"> 83 99935-0382                                      </t>
  </si>
  <si>
    <t xml:space="preserve"> 83 99644-5393                                      </t>
  </si>
  <si>
    <t>VENDEDOR</t>
  </si>
  <si>
    <t>NB:</t>
  </si>
  <si>
    <t>CIDADE:</t>
  </si>
  <si>
    <t>CONTATO:</t>
  </si>
  <si>
    <t>CATEGORIA:</t>
  </si>
  <si>
    <t>FANTASIA:</t>
  </si>
  <si>
    <t>RELATÓRIO DE DEVOLUÇÃO</t>
  </si>
  <si>
    <t>020220</t>
  </si>
  <si>
    <t>STATUS DOS RELATORIOS</t>
  </si>
  <si>
    <t>0105070402</t>
  </si>
  <si>
    <t>030237</t>
  </si>
  <si>
    <t>SETOR</t>
  </si>
  <si>
    <t>NOME</t>
  </si>
  <si>
    <t>01200124</t>
  </si>
  <si>
    <t>RETORNO DE RECOLHAS</t>
  </si>
  <si>
    <t>Tipo</t>
  </si>
  <si>
    <t>Garrafeira</t>
  </si>
  <si>
    <t>Vasilhame</t>
  </si>
  <si>
    <t>Qtd</t>
  </si>
  <si>
    <t>Preço</t>
  </si>
  <si>
    <t>Litrinho</t>
  </si>
  <si>
    <t>Inteira</t>
  </si>
  <si>
    <t>Litro</t>
  </si>
  <si>
    <t>PLACA</t>
  </si>
  <si>
    <t>RETORNO DE VASILHAMES</t>
  </si>
  <si>
    <t>COND</t>
  </si>
  <si>
    <t>VALOR TOTAL</t>
  </si>
  <si>
    <t>cx</t>
  </si>
  <si>
    <t>uni</t>
  </si>
  <si>
    <t>Código</t>
  </si>
  <si>
    <t>Ordem de Carga</t>
  </si>
  <si>
    <t>tipo</t>
  </si>
  <si>
    <t>ocp</t>
  </si>
  <si>
    <t xml:space="preserve">un  </t>
  </si>
  <si>
    <t xml:space="preserve">cx  </t>
  </si>
  <si>
    <t xml:space="preserve">Dz  </t>
  </si>
  <si>
    <t xml:space="preserve">L   </t>
  </si>
  <si>
    <t xml:space="preserve">mil </t>
  </si>
  <si>
    <t>dev</t>
  </si>
  <si>
    <t>0111</t>
  </si>
  <si>
    <t>020502</t>
  </si>
  <si>
    <t>UNB</t>
  </si>
  <si>
    <t>UNB:</t>
  </si>
  <si>
    <t>RELATORIO DO MAPA</t>
  </si>
  <si>
    <t>NBS</t>
  </si>
  <si>
    <t>SETOR:</t>
  </si>
  <si>
    <t>NOK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</si>
</sst>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\ #,##0.0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sz val="12"/>
      <color theme="1"/>
      <name val="Calibri"/>
      <family val="2"/>
      <scheme val="minor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4"/>
      <name val="Verdana"/>
      <family val="2"/>
    </font>
    <font>
      <sz val="14"/>
      <name val="Verdana"/>
      <family val="2"/>
    </font>
    <font>
      <b/>
      <sz val="14"/>
      <color theme="1"/>
      <name val="Verdana"/>
      <family val="2"/>
    </font>
    <font>
      <sz val="14"/>
      <color theme="1"/>
      <name val="Verdana"/>
      <family val="2"/>
    </font>
    <font>
      <sz val="11"/>
      <color theme="1"/>
      <name val="Calibri"/>
      <family val="2"/>
      <scheme val="minor"/>
    </font>
    <font>
      <b/>
      <sz val="12"/>
      <name val="Verdana"/>
      <family val="2"/>
    </font>
    <font>
      <sz val="24"/>
      <color theme="0"/>
      <name val="Segoe UI"/>
      <family val="2"/>
    </font>
    <font>
      <b/>
      <sz val="24"/>
      <color theme="0"/>
      <name val="Segoe UI Black"/>
      <family val="2"/>
    </font>
    <font>
      <b/>
      <sz val="24"/>
      <color theme="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FF214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12840"/>
        <bgColor indexed="64"/>
      </patternFill>
    </fill>
    <fill>
      <patternFill patternType="solid">
        <fgColor rgb="FF051524"/>
        <bgColor indexed="64"/>
      </patternFill>
    </fill>
    <fill>
      <patternFill patternType="solid">
        <fgColor rgb="FF99663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051524"/>
      </left>
      <right/>
      <top style="thick">
        <color rgb="FF051524"/>
      </top>
      <bottom/>
      <diagonal/>
    </border>
    <border>
      <left style="thick">
        <color rgb="FF051524"/>
      </left>
      <right/>
      <top style="thick">
        <color rgb="FF051524"/>
      </top>
      <bottom style="thick">
        <color rgb="FF051524"/>
      </bottom>
      <diagonal/>
    </border>
    <border>
      <left/>
      <right/>
      <top style="thick">
        <color rgb="FF051524"/>
      </top>
      <bottom style="thick">
        <color rgb="FF051524"/>
      </bottom>
      <diagonal/>
    </border>
    <border>
      <left/>
      <right style="thick">
        <color rgb="FF051524"/>
      </right>
      <top style="thick">
        <color rgb="FF051524"/>
      </top>
      <bottom style="thick">
        <color rgb="FF051524"/>
      </bottom>
      <diagonal/>
    </border>
    <border>
      <left style="thick">
        <color rgb="FF051524"/>
      </left>
      <right/>
      <top/>
      <bottom style="thick">
        <color rgb="FF051524"/>
      </bottom>
      <diagonal/>
    </border>
    <border>
      <left style="thick">
        <color rgb="FF051524"/>
      </left>
      <right style="thick">
        <color rgb="FF051524"/>
      </right>
      <top style="thick">
        <color rgb="FF051524"/>
      </top>
      <bottom style="thick">
        <color rgb="FF051524"/>
      </bottom>
      <diagonal/>
    </border>
    <border>
      <left style="thick">
        <color rgb="FF051524"/>
      </left>
      <right/>
      <top style="thick">
        <color rgb="FF051524"/>
      </top>
      <bottom style="thin">
        <color rgb="FF112840"/>
      </bottom>
      <diagonal/>
    </border>
    <border>
      <left/>
      <right/>
      <top style="thick">
        <color rgb="FF051524"/>
      </top>
      <bottom style="thin">
        <color rgb="FF112840"/>
      </bottom>
      <diagonal/>
    </border>
    <border>
      <left/>
      <right style="thick">
        <color rgb="FF051524"/>
      </right>
      <top style="thick">
        <color rgb="FF051524"/>
      </top>
      <bottom style="thin">
        <color rgb="FF112840"/>
      </bottom>
      <diagonal/>
    </border>
    <border>
      <left style="thick">
        <color rgb="FF051524"/>
      </left>
      <right/>
      <top style="thin">
        <color rgb="FF112840"/>
      </top>
      <bottom style="thin">
        <color rgb="FF112840"/>
      </bottom>
      <diagonal/>
    </border>
    <border>
      <left/>
      <right/>
      <top style="thin">
        <color rgb="FF112840"/>
      </top>
      <bottom style="thin">
        <color rgb="FF112840"/>
      </bottom>
      <diagonal/>
    </border>
    <border>
      <left/>
      <right style="thick">
        <color rgb="FF051524"/>
      </right>
      <top style="thin">
        <color rgb="FF112840"/>
      </top>
      <bottom style="thin">
        <color rgb="FF112840"/>
      </bottom>
      <diagonal/>
    </border>
    <border>
      <left style="thick">
        <color rgb="FF051524"/>
      </left>
      <right/>
      <top style="thin">
        <color rgb="FF112840"/>
      </top>
      <bottom style="thick">
        <color rgb="FF051524"/>
      </bottom>
      <diagonal/>
    </border>
    <border>
      <left/>
      <right/>
      <top style="thin">
        <color rgb="FF112840"/>
      </top>
      <bottom style="thick">
        <color rgb="FF051524"/>
      </bottom>
      <diagonal/>
    </border>
    <border>
      <left/>
      <right style="thick">
        <color rgb="FF051524"/>
      </right>
      <top style="thin">
        <color rgb="FF112840"/>
      </top>
      <bottom style="thick">
        <color rgb="FF05152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0" fillId="0" borderId="0" applyFont="0" applyFill="0" applyBorder="0" applyAlignment="0" applyProtection="0"/>
  </cellStyleXfs>
  <cellXfs count="146">
    <xf numFmtId="0" fontId="0" fillId="0" borderId="0" xfId="0"/>
    <xf numFmtId="0" fontId="1" fillId="2" borderId="0" xfId="0" applyFont="1" applyFill="1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vertical="center"/>
    </xf>
    <xf numFmtId="0" fontId="2" fillId="2" borderId="0" xfId="0" quotePrefix="1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3" borderId="0" xfId="0" applyFont="1" applyFill="1"/>
    <xf numFmtId="0" fontId="3" fillId="2" borderId="0" xfId="0" applyFont="1" applyFill="1"/>
    <xf numFmtId="0" fontId="3" fillId="0" borderId="1" xfId="0" applyFont="1" applyBorder="1"/>
    <xf numFmtId="14" fontId="0" fillId="0" borderId="0" xfId="0" applyNumberFormat="1"/>
    <xf numFmtId="3" fontId="0" fillId="0" borderId="0" xfId="0" applyNumberFormat="1"/>
    <xf numFmtId="21" fontId="0" fillId="0" borderId="0" xfId="0" applyNumberFormat="1"/>
    <xf numFmtId="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4" fontId="1" fillId="0" borderId="11" xfId="0" applyNumberFormat="1" applyFont="1" applyBorder="1" applyAlignment="1">
      <alignment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49" fontId="4" fillId="4" borderId="10" xfId="0" applyNumberFormat="1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9" fillId="2" borderId="19" xfId="0" applyFont="1" applyFill="1" applyBorder="1" applyAlignment="1">
      <alignment horizontal="center" vertical="top"/>
    </xf>
    <xf numFmtId="0" fontId="9" fillId="2" borderId="20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top"/>
    </xf>
    <xf numFmtId="0" fontId="9" fillId="2" borderId="22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top"/>
    </xf>
    <xf numFmtId="0" fontId="9" fillId="2" borderId="17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2" borderId="0" xfId="0" applyFill="1"/>
    <xf numFmtId="0" fontId="9" fillId="0" borderId="1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9" fillId="0" borderId="16" xfId="0" applyNumberFormat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" fontId="9" fillId="2" borderId="0" xfId="0" applyNumberFormat="1" applyFont="1" applyFill="1" applyAlignment="1">
      <alignment horizontal="center" vertical="center"/>
    </xf>
    <xf numFmtId="0" fontId="1" fillId="0" borderId="0" xfId="0" applyFont="1"/>
    <xf numFmtId="0" fontId="1" fillId="2" borderId="28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8" xfId="0" applyFont="1" applyFill="1" applyBorder="1" applyAlignment="1">
      <alignment horizontal="left" vertical="center"/>
    </xf>
    <xf numFmtId="0" fontId="1" fillId="8" borderId="25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9" borderId="0" xfId="0" applyFont="1" applyFill="1"/>
    <xf numFmtId="14" fontId="1" fillId="2" borderId="27" xfId="0" applyNumberFormat="1" applyFont="1" applyFill="1" applyBorder="1" applyAlignment="1">
      <alignment horizontal="center" vertical="center"/>
    </xf>
    <xf numFmtId="14" fontId="1" fillId="8" borderId="26" xfId="0" applyNumberFormat="1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10" borderId="0" xfId="0" applyFont="1" applyFill="1"/>
    <xf numFmtId="0" fontId="1" fillId="10" borderId="0" xfId="0" applyFont="1" applyFill="1" applyAlignment="1">
      <alignment horizontal="center" vertical="center"/>
    </xf>
    <xf numFmtId="0" fontId="2" fillId="10" borderId="23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0" borderId="0" xfId="1" applyNumberFormat="1" applyFont="1" applyFill="1" applyBorder="1" applyAlignment="1">
      <alignment horizontal="center" vertical="center"/>
    </xf>
    <xf numFmtId="0" fontId="2" fillId="10" borderId="0" xfId="0" applyFont="1" applyFill="1"/>
    <xf numFmtId="0" fontId="2" fillId="2" borderId="30" xfId="0" applyFont="1" applyFill="1" applyBorder="1" applyAlignment="1">
      <alignment horizontal="center" vertical="center"/>
    </xf>
    <xf numFmtId="0" fontId="2" fillId="2" borderId="2" xfId="1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7" fontId="4" fillId="11" borderId="16" xfId="0" applyNumberFormat="1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center" vertical="center"/>
    </xf>
    <xf numFmtId="7" fontId="4" fillId="12" borderId="4" xfId="0" applyNumberFormat="1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2" fillId="6" borderId="29" xfId="0" applyFont="1" applyFill="1" applyBorder="1" applyAlignment="1">
      <alignment horizontal="center" vertical="center"/>
    </xf>
    <xf numFmtId="0" fontId="2" fillId="14" borderId="21" xfId="0" quotePrefix="1" applyFont="1" applyFill="1" applyBorder="1" applyAlignment="1">
      <alignment horizontal="center" vertical="center"/>
    </xf>
    <xf numFmtId="0" fontId="11" fillId="14" borderId="22" xfId="0" applyFont="1" applyFill="1" applyBorder="1" applyAlignment="1">
      <alignment horizontal="center" vertical="center"/>
    </xf>
    <xf numFmtId="0" fontId="2" fillId="14" borderId="15" xfId="0" quotePrefix="1" applyFont="1" applyFill="1" applyBorder="1" applyAlignment="1">
      <alignment horizontal="center" vertical="center"/>
    </xf>
    <xf numFmtId="0" fontId="11" fillId="14" borderId="17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2" fontId="12" fillId="15" borderId="0" xfId="0" applyNumberFormat="1" applyFont="1" applyFill="1" applyAlignment="1">
      <alignment horizontal="center" vertical="center"/>
    </xf>
    <xf numFmtId="0" fontId="13" fillId="15" borderId="0" xfId="0" applyFont="1" applyFill="1" applyAlignment="1">
      <alignment horizontal="centerContinuous" vertical="center"/>
    </xf>
    <xf numFmtId="0" fontId="12" fillId="15" borderId="0" xfId="0" applyFont="1" applyFill="1" applyAlignment="1">
      <alignment horizontal="centerContinuous" vertical="center"/>
    </xf>
    <xf numFmtId="0" fontId="12" fillId="15" borderId="0" xfId="0" applyFont="1" applyFill="1" applyAlignment="1">
      <alignment vertical="center"/>
    </xf>
    <xf numFmtId="0" fontId="14" fillId="15" borderId="34" xfId="0" applyFont="1" applyFill="1" applyBorder="1" applyAlignment="1">
      <alignment horizontal="centerContinuous" vertical="center" wrapText="1"/>
    </xf>
    <xf numFmtId="0" fontId="14" fillId="15" borderId="35" xfId="0" applyFont="1" applyFill="1" applyBorder="1" applyAlignment="1">
      <alignment horizontal="centerContinuous" vertical="center" wrapText="1"/>
    </xf>
    <xf numFmtId="0" fontId="14" fillId="15" borderId="36" xfId="0" applyFont="1" applyFill="1" applyBorder="1" applyAlignment="1">
      <alignment horizontal="centerContinuous" vertical="center" wrapText="1"/>
    </xf>
    <xf numFmtId="0" fontId="12" fillId="15" borderId="0" xfId="0" applyFont="1" applyFill="1" applyAlignment="1">
      <alignment horizontal="center" vertical="center"/>
    </xf>
    <xf numFmtId="0" fontId="14" fillId="15" borderId="38" xfId="0" applyFont="1" applyFill="1" applyBorder="1" applyAlignment="1">
      <alignment horizontal="center" vertical="center" wrapText="1"/>
    </xf>
    <xf numFmtId="0" fontId="12" fillId="16" borderId="39" xfId="0" applyFont="1" applyFill="1" applyBorder="1" applyAlignment="1">
      <alignment horizontal="center" vertical="center"/>
    </xf>
    <xf numFmtId="1" fontId="12" fillId="16" borderId="40" xfId="1" applyNumberFormat="1" applyFont="1" applyFill="1" applyBorder="1" applyAlignment="1">
      <alignment horizontal="center" vertical="center"/>
    </xf>
    <xf numFmtId="164" fontId="12" fillId="16" borderId="40" xfId="1" applyNumberFormat="1" applyFont="1" applyFill="1" applyBorder="1" applyAlignment="1">
      <alignment horizontal="center" vertical="center"/>
    </xf>
    <xf numFmtId="164" fontId="12" fillId="16" borderId="41" xfId="1" applyNumberFormat="1" applyFont="1" applyFill="1" applyBorder="1" applyAlignment="1">
      <alignment horizontal="center" vertical="center"/>
    </xf>
    <xf numFmtId="0" fontId="12" fillId="16" borderId="42" xfId="0" applyFont="1" applyFill="1" applyBorder="1" applyAlignment="1">
      <alignment horizontal="center" vertical="center"/>
    </xf>
    <xf numFmtId="1" fontId="12" fillId="16" borderId="43" xfId="1" applyNumberFormat="1" applyFont="1" applyFill="1" applyBorder="1" applyAlignment="1">
      <alignment horizontal="center" vertical="center"/>
    </xf>
    <xf numFmtId="164" fontId="12" fillId="16" borderId="43" xfId="1" applyNumberFormat="1" applyFont="1" applyFill="1" applyBorder="1" applyAlignment="1">
      <alignment horizontal="center" vertical="center"/>
    </xf>
    <xf numFmtId="164" fontId="12" fillId="16" borderId="44" xfId="1" applyNumberFormat="1" applyFont="1" applyFill="1" applyBorder="1" applyAlignment="1">
      <alignment horizontal="center" vertical="center"/>
    </xf>
    <xf numFmtId="0" fontId="12" fillId="16" borderId="45" xfId="0" applyFont="1" applyFill="1" applyBorder="1" applyAlignment="1">
      <alignment horizontal="center" vertical="center"/>
    </xf>
    <xf numFmtId="1" fontId="12" fillId="16" borderId="46" xfId="1" applyNumberFormat="1" applyFont="1" applyFill="1" applyBorder="1" applyAlignment="1">
      <alignment horizontal="center" vertical="center"/>
    </xf>
    <xf numFmtId="164" fontId="12" fillId="16" borderId="46" xfId="1" applyNumberFormat="1" applyFont="1" applyFill="1" applyBorder="1" applyAlignment="1">
      <alignment horizontal="center" vertical="center"/>
    </xf>
    <xf numFmtId="164" fontId="12" fillId="16" borderId="47" xfId="1" applyNumberFormat="1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49" fontId="1" fillId="2" borderId="21" xfId="0" applyNumberFormat="1" applyFont="1" applyFill="1" applyBorder="1" applyAlignment="1">
      <alignment horizontal="center" vertical="center"/>
    </xf>
    <xf numFmtId="49" fontId="1" fillId="2" borderId="15" xfId="0" applyNumberFormat="1" applyFont="1" applyFill="1" applyBorder="1" applyAlignment="1">
      <alignment horizontal="center" vertical="center"/>
    </xf>
    <xf numFmtId="0" fontId="3" fillId="0" borderId="11" xfId="0" applyFont="1" applyBorder="1"/>
    <xf numFmtId="0" fontId="3" fillId="0" borderId="1" xfId="0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0" fontId="4" fillId="4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4" fontId="7" fillId="0" borderId="22" xfId="0" applyNumberFormat="1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1" fillId="2" borderId="1" xfId="0" applyFont="1" applyFill="1" applyBorder="1"/>
    <xf numFmtId="0" fontId="0" fillId="0" borderId="0" xfId="0" quotePrefix="1"/>
    <xf numFmtId="0" fontId="4" fillId="17" borderId="1" xfId="0" applyFont="1" applyFill="1" applyBorder="1" applyAlignment="1">
      <alignment horizontal="center" vertical="center"/>
    </xf>
    <xf numFmtId="0" fontId="1" fillId="10" borderId="30" xfId="0" applyFont="1" applyFill="1" applyBorder="1" applyAlignment="1">
      <alignment horizontal="center" vertical="center"/>
    </xf>
    <xf numFmtId="20" fontId="4" fillId="4" borderId="48" xfId="0" applyNumberFormat="1" applyFont="1" applyFill="1" applyBorder="1" applyAlignment="1">
      <alignment horizontal="center" vertical="center"/>
    </xf>
    <xf numFmtId="20" fontId="3" fillId="2" borderId="27" xfId="0" applyNumberFormat="1" applyFont="1" applyFill="1" applyBorder="1" applyAlignment="1">
      <alignment horizontal="center" vertical="center"/>
    </xf>
    <xf numFmtId="20" fontId="3" fillId="2" borderId="0" xfId="0" applyNumberFormat="1" applyFont="1" applyFill="1"/>
    <xf numFmtId="0" fontId="1" fillId="2" borderId="27" xfId="0" applyFont="1" applyFill="1" applyBorder="1"/>
    <xf numFmtId="0" fontId="4" fillId="17" borderId="51" xfId="0" applyFont="1" applyFill="1" applyBorder="1" applyAlignment="1">
      <alignment horizontal="center" vertical="center"/>
    </xf>
    <xf numFmtId="49" fontId="1" fillId="2" borderId="52" xfId="1" applyNumberFormat="1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5" fillId="12" borderId="7" xfId="0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/>
    </xf>
    <xf numFmtId="0" fontId="4" fillId="7" borderId="27" xfId="0" applyFont="1" applyFill="1" applyBorder="1" applyAlignment="1">
      <alignment horizontal="center" vertical="center"/>
    </xf>
    <xf numFmtId="0" fontId="4" fillId="7" borderId="28" xfId="0" applyFont="1" applyFill="1" applyBorder="1" applyAlignment="1">
      <alignment horizontal="center" vertical="center"/>
    </xf>
    <xf numFmtId="0" fontId="4" fillId="7" borderId="29" xfId="0" applyFont="1" applyFill="1" applyBorder="1" applyAlignment="1">
      <alignment horizontal="center" vertical="center"/>
    </xf>
    <xf numFmtId="0" fontId="4" fillId="11" borderId="12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4" fillId="11" borderId="14" xfId="0" applyFont="1" applyFill="1" applyBorder="1" applyAlignment="1">
      <alignment horizontal="center" vertical="center"/>
    </xf>
    <xf numFmtId="0" fontId="4" fillId="17" borderId="50" xfId="0" applyFont="1" applyFill="1" applyBorder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2" fillId="13" borderId="26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14" fillId="15" borderId="33" xfId="0" applyFont="1" applyFill="1" applyBorder="1" applyAlignment="1">
      <alignment horizontal="center" vertical="center"/>
    </xf>
    <xf numFmtId="0" fontId="14" fillId="15" borderId="37" xfId="0" applyFont="1" applyFill="1" applyBorder="1" applyAlignment="1">
      <alignment horizontal="center" vertical="center"/>
    </xf>
    <xf numFmtId="164" fontId="12" fillId="16" borderId="34" xfId="1" applyNumberFormat="1" applyFont="1" applyFill="1" applyBorder="1" applyAlignment="1">
      <alignment horizontal="center" vertical="center"/>
    </xf>
    <xf numFmtId="164" fontId="12" fillId="16" borderId="36" xfId="1" applyNumberFormat="1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49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" fillId="14" borderId="31" xfId="0" applyFont="1" applyFill="1" applyBorder="1" applyAlignment="1">
      <alignment horizontal="center" vertical="center"/>
    </xf>
    <xf numFmtId="0" fontId="2" fillId="14" borderId="32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 patternType="lightGray">
          <fgColor theme="9" tint="0.39991454817346722"/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6633"/>
      <color rgb="FF663300"/>
      <color rgb="FFCC0000"/>
      <color rgb="FFFF214B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358140</xdr:colOff>
      <xdr:row>0</xdr:row>
      <xdr:rowOff>131445</xdr:rowOff>
    </xdr:from>
    <xdr:to>
      <xdr:col>7</xdr:col>
      <xdr:colOff>514351</xdr:colOff>
      <xdr:row>3</xdr:row>
      <xdr:rowOff>91440</xdr:rowOff>
    </xdr:to>
    <xdr:sp macro="[0]!PreencherRelatorio_Otimizada" textlink="">
      <xdr:nvSpPr>
        <xdr:cNvPr id="2" name="Retângulo 1">
          <a:extLst>
            <a:ext uri="{FF2B5EF4-FFF2-40B4-BE49-F238E27FC236}">
              <a16:creationId xmlns:a16="http://schemas.microsoft.com/office/drawing/2014/main" id="{568EAC95-96BB-41E7-8C86-6BC9E4E3DC30}"/>
            </a:ext>
          </a:extLst>
        </xdr:cNvPr>
        <xdr:cNvSpPr/>
      </xdr:nvSpPr>
      <xdr:spPr>
        <a:xfrm>
          <a:off x="6372225" y="142875"/>
          <a:ext cx="1381126" cy="523875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RELATÓRIO</a:t>
          </a:r>
        </a:p>
      </xdr:txBody>
    </xdr:sp>
    <xdr:clientData/>
  </xdr:twoCellAnchor>
  <xdr:twoCellAnchor editAs="absolute">
    <xdr:from>
      <xdr:col>5</xdr:col>
      <xdr:colOff>358140</xdr:colOff>
      <xdr:row>3</xdr:row>
      <xdr:rowOff>169545</xdr:rowOff>
    </xdr:from>
    <xdr:to>
      <xdr:col>7</xdr:col>
      <xdr:colOff>800100</xdr:colOff>
      <xdr:row>15</xdr:row>
      <xdr:rowOff>167640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8312596B-94B2-02AD-DEE4-BF26F5F13B59}"/>
            </a:ext>
          </a:extLst>
        </xdr:cNvPr>
        <xdr:cNvSpPr/>
      </xdr:nvSpPr>
      <xdr:spPr>
        <a:xfrm>
          <a:off x="6372225" y="762000"/>
          <a:ext cx="1666875" cy="226695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2/600: DINHEIRO/PIX P.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10: PIX TOTAL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601/621: BOLETO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52: BONIFICAÇÃO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64: TROCA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56: SIMPLES REM.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285748</xdr:colOff>
      <xdr:row>0</xdr:row>
      <xdr:rowOff>55469</xdr:rowOff>
    </xdr:from>
    <xdr:to>
      <xdr:col>13</xdr:col>
      <xdr:colOff>364398</xdr:colOff>
      <xdr:row>2</xdr:row>
      <xdr:rowOff>148739</xdr:rowOff>
    </xdr:to>
    <xdr:sp macro="[0]!DefinirFormulas" textlink="">
      <xdr:nvSpPr>
        <xdr:cNvPr id="2" name="Retângulo 1">
          <a:extLst>
            <a:ext uri="{FF2B5EF4-FFF2-40B4-BE49-F238E27FC236}">
              <a16:creationId xmlns:a16="http://schemas.microsoft.com/office/drawing/2014/main" id="{4293670E-FA17-4029-BCA7-F65C1965AFCA}"/>
            </a:ext>
          </a:extLst>
        </xdr:cNvPr>
        <xdr:cNvSpPr/>
      </xdr:nvSpPr>
      <xdr:spPr>
        <a:xfrm>
          <a:off x="20784092" y="55469"/>
          <a:ext cx="1292135" cy="572241"/>
        </a:xfrm>
        <a:prstGeom prst="rect">
          <a:avLst/>
        </a:prstGeom>
        <a:solidFill>
          <a:schemeClr val="accent6">
            <a:lumMod val="75000"/>
          </a:schemeClr>
        </a:solidFill>
        <a:ln w="22225"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SETAR FORMULAS</a:t>
          </a:r>
        </a:p>
      </xdr:txBody>
    </xdr:sp>
    <xdr:clientData/>
  </xdr:twoCellAnchor>
  <xdr:twoCellAnchor editAs="absolute">
    <xdr:from>
      <xdr:col>11</xdr:col>
      <xdr:colOff>321401</xdr:colOff>
      <xdr:row>3</xdr:row>
      <xdr:rowOff>54429</xdr:rowOff>
    </xdr:from>
    <xdr:to>
      <xdr:col>13</xdr:col>
      <xdr:colOff>400051</xdr:colOff>
      <xdr:row>5</xdr:row>
      <xdr:rowOff>133547</xdr:rowOff>
    </xdr:to>
    <xdr:sp macro="[0]!PRINTAR" textlink="">
      <xdr:nvSpPr>
        <xdr:cNvPr id="3" name="Retângulo 2">
          <a:extLst>
            <a:ext uri="{FF2B5EF4-FFF2-40B4-BE49-F238E27FC236}">
              <a16:creationId xmlns:a16="http://schemas.microsoft.com/office/drawing/2014/main" id="{13498A04-BB23-48C5-9850-714F5F3B16F1}"/>
            </a:ext>
          </a:extLst>
        </xdr:cNvPr>
        <xdr:cNvSpPr/>
      </xdr:nvSpPr>
      <xdr:spPr>
        <a:xfrm>
          <a:off x="20802600" y="783772"/>
          <a:ext cx="1292135" cy="572241"/>
        </a:xfrm>
        <a:prstGeom prst="rect">
          <a:avLst/>
        </a:prstGeom>
        <a:solidFill>
          <a:schemeClr val="accent6">
            <a:lumMod val="75000"/>
          </a:schemeClr>
        </a:solidFill>
        <a:ln w="22225"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PRINTAR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321945</xdr:colOff>
      <xdr:row>0</xdr:row>
      <xdr:rowOff>129540</xdr:rowOff>
    </xdr:from>
    <xdr:to>
      <xdr:col>8</xdr:col>
      <xdr:colOff>534862</xdr:colOff>
      <xdr:row>2</xdr:row>
      <xdr:rowOff>170511</xdr:rowOff>
    </xdr:to>
    <xdr:sp macro="[0]!PreencherClientes" textlink="">
      <xdr:nvSpPr>
        <xdr:cNvPr id="2" name="Retângulo 1">
          <a:extLst>
            <a:ext uri="{FF2B5EF4-FFF2-40B4-BE49-F238E27FC236}">
              <a16:creationId xmlns:a16="http://schemas.microsoft.com/office/drawing/2014/main" id="{71CF41FF-2AB3-43C0-80ED-C27817EC6C8F}"/>
            </a:ext>
          </a:extLst>
        </xdr:cNvPr>
        <xdr:cNvSpPr/>
      </xdr:nvSpPr>
      <xdr:spPr>
        <a:xfrm>
          <a:off x="7313295" y="133350"/>
          <a:ext cx="1382587" cy="4524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PESQUISAR</a:t>
          </a:r>
        </a:p>
      </xdr:txBody>
    </xdr:sp>
    <xdr:clientData/>
  </xdr:twoCellAnchor>
  <xdr:twoCellAnchor editAs="absolute">
    <xdr:from>
      <xdr:col>6</xdr:col>
      <xdr:colOff>247650</xdr:colOff>
      <xdr:row>10</xdr:row>
      <xdr:rowOff>57150</xdr:rowOff>
    </xdr:from>
    <xdr:to>
      <xdr:col>8</xdr:col>
      <xdr:colOff>777240</xdr:colOff>
      <xdr:row>21</xdr:row>
      <xdr:rowOff>93345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30929A4-2FC0-4D19-90F0-D48C18D66A73}"/>
            </a:ext>
          </a:extLst>
        </xdr:cNvPr>
        <xdr:cNvSpPr/>
      </xdr:nvSpPr>
      <xdr:spPr>
        <a:xfrm>
          <a:off x="7038975" y="2047875"/>
          <a:ext cx="1666875" cy="226695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2/600: DINHEIRO/PIX P.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10: PIX TOTAL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601/621: BOLETO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52: BONIFICAÇÃO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64: TROCA</a:t>
          </a:r>
        </a:p>
        <a:p>
          <a:pPr algn="l"/>
          <a:endParaRPr lang="pt-BR" sz="1100" b="1" kern="1200" baseline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1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56: SIMPLES REM.</a:t>
          </a:r>
        </a:p>
      </xdr:txBody>
    </xdr:sp>
    <xdr:clientData/>
  </xdr:twoCellAnchor>
  <xdr:twoCellAnchor editAs="absolute">
    <xdr:from>
      <xdr:col>6</xdr:col>
      <xdr:colOff>321945</xdr:colOff>
      <xdr:row>3</xdr:row>
      <xdr:rowOff>95250</xdr:rowOff>
    </xdr:from>
    <xdr:to>
      <xdr:col>8</xdr:col>
      <xdr:colOff>514103</xdr:colOff>
      <xdr:row>5</xdr:row>
      <xdr:rowOff>152372</xdr:rowOff>
    </xdr:to>
    <xdr:sp macro="[0]!ApagarClientes" textlink="">
      <xdr:nvSpPr>
        <xdr:cNvPr id="4" name="Retângulo 3">
          <a:extLst>
            <a:ext uri="{FF2B5EF4-FFF2-40B4-BE49-F238E27FC236}">
              <a16:creationId xmlns:a16="http://schemas.microsoft.com/office/drawing/2014/main" id="{47D4F141-972A-4F20-8D4D-8465697D9E47}"/>
            </a:ext>
          </a:extLst>
        </xdr:cNvPr>
        <xdr:cNvSpPr/>
      </xdr:nvSpPr>
      <xdr:spPr>
        <a:xfrm>
          <a:off x="7313295" y="708660"/>
          <a:ext cx="1375163" cy="472412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LIMPAR</a:t>
          </a:r>
        </a:p>
      </xdr:txBody>
    </xdr:sp>
    <xdr:clientData/>
  </xdr:twoCellAnchor>
  <xdr:twoCellAnchor editAs="absolute">
    <xdr:from>
      <xdr:col>6</xdr:col>
      <xdr:colOff>321945</xdr:colOff>
      <xdr:row>6</xdr:row>
      <xdr:rowOff>55245</xdr:rowOff>
    </xdr:from>
    <xdr:to>
      <xdr:col>8</xdr:col>
      <xdr:colOff>514350</xdr:colOff>
      <xdr:row>8</xdr:row>
      <xdr:rowOff>95250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1E158EB-C679-42B3-A440-512211E9DD26}"/>
            </a:ext>
          </a:extLst>
        </xdr:cNvPr>
        <xdr:cNvSpPr/>
      </xdr:nvSpPr>
      <xdr:spPr>
        <a:xfrm>
          <a:off x="7313295" y="1285875"/>
          <a:ext cx="1365885" cy="45910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TRADUZIR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16382</xdr:col>
      <xdr:colOff>974197</xdr:colOff>
      <xdr:row>0</xdr:row>
      <xdr:rowOff>145111</xdr:rowOff>
    </xdr:from>
    <xdr:to>
      <xdr:col>16382</xdr:col>
      <xdr:colOff>2412209</xdr:colOff>
      <xdr:row>3</xdr:row>
      <xdr:rowOff>68222</xdr:rowOff>
    </xdr:to>
    <xdr:sp macro="[0]!PreencherTroca" textlink="">
      <xdr:nvSpPr>
        <xdr:cNvPr id="2" name="Retângulo 1">
          <a:extLst>
            <a:ext uri="{FF2B5EF4-FFF2-40B4-BE49-F238E27FC236}">
              <a16:creationId xmlns:a16="http://schemas.microsoft.com/office/drawing/2014/main" id="{2ACB73AD-D3B8-457B-968E-351E897D8FDE}"/>
            </a:ext>
          </a:extLst>
        </xdr:cNvPr>
        <xdr:cNvSpPr/>
      </xdr:nvSpPr>
      <xdr:spPr>
        <a:xfrm>
          <a:off x="7547275" y="145111"/>
          <a:ext cx="1438012" cy="539337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PREENCHER</a:t>
          </a:r>
        </a:p>
      </xdr:txBody>
    </xdr:sp>
    <xdr:clientData/>
  </xdr:twoCellAnchor>
  <xdr:twoCellAnchor editAs="absolute">
    <xdr:from>
      <xdr:col>16382</xdr:col>
      <xdr:colOff>2451651</xdr:colOff>
      <xdr:row>3</xdr:row>
      <xdr:rowOff>102373</xdr:rowOff>
    </xdr:from>
    <xdr:to>
      <xdr:col>16382</xdr:col>
      <xdr:colOff>3889332</xdr:colOff>
      <xdr:row>6</xdr:row>
      <xdr:rowOff>25484</xdr:rowOff>
    </xdr:to>
    <xdr:sp macro="[0]!ConsolidarTroca" textlink="">
      <xdr:nvSpPr>
        <xdr:cNvPr id="3" name="Retângulo 2">
          <a:extLst>
            <a:ext uri="{FF2B5EF4-FFF2-40B4-BE49-F238E27FC236}">
              <a16:creationId xmlns:a16="http://schemas.microsoft.com/office/drawing/2014/main" id="{B9B2BA61-28AF-44A0-9570-2CA10D8AB101}"/>
            </a:ext>
          </a:extLst>
        </xdr:cNvPr>
        <xdr:cNvSpPr/>
      </xdr:nvSpPr>
      <xdr:spPr>
        <a:xfrm flipH="1">
          <a:off x="9024729" y="718599"/>
          <a:ext cx="1437681" cy="539337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CONSOLIDAR</a:t>
          </a:r>
        </a:p>
      </xdr:txBody>
    </xdr:sp>
    <xdr:clientData/>
  </xdr:twoCellAnchor>
  <xdr:twoCellAnchor editAs="absolute">
    <xdr:from>
      <xdr:col>16382</xdr:col>
      <xdr:colOff>2446019</xdr:colOff>
      <xdr:row>0</xdr:row>
      <xdr:rowOff>145111</xdr:rowOff>
    </xdr:from>
    <xdr:to>
      <xdr:col>16382</xdr:col>
      <xdr:colOff>3883700</xdr:colOff>
      <xdr:row>3</xdr:row>
      <xdr:rowOff>68222</xdr:rowOff>
    </xdr:to>
    <xdr:sp macro="[0]!LimparTroca" textlink="">
      <xdr:nvSpPr>
        <xdr:cNvPr id="5" name="Retângulo 4">
          <a:extLst>
            <a:ext uri="{FF2B5EF4-FFF2-40B4-BE49-F238E27FC236}">
              <a16:creationId xmlns:a16="http://schemas.microsoft.com/office/drawing/2014/main" id="{DFF42D3B-8837-43C0-BFEA-A4161880160F}"/>
            </a:ext>
          </a:extLst>
        </xdr:cNvPr>
        <xdr:cNvSpPr/>
      </xdr:nvSpPr>
      <xdr:spPr>
        <a:xfrm flipH="1">
          <a:off x="9019097" y="145111"/>
          <a:ext cx="1437681" cy="539337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LIMPAR</a:t>
          </a:r>
        </a:p>
      </xdr:txBody>
    </xdr:sp>
    <xdr:clientData/>
  </xdr:twoCellAnchor>
  <xdr:twoCellAnchor editAs="absolute">
    <xdr:from>
      <xdr:col>16382</xdr:col>
      <xdr:colOff>974034</xdr:colOff>
      <xdr:row>3</xdr:row>
      <xdr:rowOff>99391</xdr:rowOff>
    </xdr:from>
    <xdr:to>
      <xdr:col>16382</xdr:col>
      <xdr:colOff>2411895</xdr:colOff>
      <xdr:row>6</xdr:row>
      <xdr:rowOff>22502</xdr:rowOff>
    </xdr:to>
    <xdr:sp macro="[0]!PreencherTrocaDev" textlink="">
      <xdr:nvSpPr>
        <xdr:cNvPr id="6" name="Retângulo 5">
          <a:extLst>
            <a:ext uri="{FF2B5EF4-FFF2-40B4-BE49-F238E27FC236}">
              <a16:creationId xmlns:a16="http://schemas.microsoft.com/office/drawing/2014/main" id="{83D22CE3-3B3B-4808-8647-551BDF06E407}"/>
            </a:ext>
          </a:extLst>
        </xdr:cNvPr>
        <xdr:cNvSpPr/>
      </xdr:nvSpPr>
      <xdr:spPr>
        <a:xfrm>
          <a:off x="7547112" y="715617"/>
          <a:ext cx="1437861" cy="539337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ADD</a:t>
          </a:r>
          <a:b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NOTA</a:t>
          </a:r>
        </a:p>
      </xdr:txBody>
    </xdr:sp>
    <xdr:clientData/>
  </xdr:twoCellAnchor>
  <xdr:twoCellAnchor editAs="absolute">
    <xdr:from>
      <xdr:col>7</xdr:col>
      <xdr:colOff>192158</xdr:colOff>
      <xdr:row>0</xdr:row>
      <xdr:rowOff>172280</xdr:rowOff>
    </xdr:from>
    <xdr:to>
      <xdr:col>16382</xdr:col>
      <xdr:colOff>192158</xdr:colOff>
      <xdr:row>3</xdr:row>
      <xdr:rowOff>95391</xdr:rowOff>
    </xdr:to>
    <xdr:sp macro="[0]!AplicarFormulaDinamica" textlink="">
      <xdr:nvSpPr>
        <xdr:cNvPr id="7" name="Retângulo 6">
          <a:extLst>
            <a:ext uri="{FF2B5EF4-FFF2-40B4-BE49-F238E27FC236}">
              <a16:creationId xmlns:a16="http://schemas.microsoft.com/office/drawing/2014/main" id="{F373434A-7B53-46B8-82BC-9E30DF6CE77E}"/>
            </a:ext>
          </a:extLst>
        </xdr:cNvPr>
        <xdr:cNvSpPr/>
      </xdr:nvSpPr>
      <xdr:spPr>
        <a:xfrm>
          <a:off x="5327375" y="172280"/>
          <a:ext cx="1437861" cy="539337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ADD</a:t>
          </a:r>
          <a:r>
            <a:rPr lang="pt-BR" sz="12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FORMULA</a:t>
          </a:r>
        </a:p>
      </xdr:txBody>
    </xdr:sp>
    <xdr:clientData/>
  </xdr:twoCellAnchor>
  <xdr:twoCellAnchor editAs="absolute">
    <xdr:from>
      <xdr:col>7</xdr:col>
      <xdr:colOff>192158</xdr:colOff>
      <xdr:row>3</xdr:row>
      <xdr:rowOff>119272</xdr:rowOff>
    </xdr:from>
    <xdr:to>
      <xdr:col>16382</xdr:col>
      <xdr:colOff>192158</xdr:colOff>
      <xdr:row>6</xdr:row>
      <xdr:rowOff>42383</xdr:rowOff>
    </xdr:to>
    <xdr:sp macro="[0]!ClassificarDados" textlink="">
      <xdr:nvSpPr>
        <xdr:cNvPr id="9" name="Retângulo 8">
          <a:extLst>
            <a:ext uri="{FF2B5EF4-FFF2-40B4-BE49-F238E27FC236}">
              <a16:creationId xmlns:a16="http://schemas.microsoft.com/office/drawing/2014/main" id="{665E1361-A6EF-4A19-8782-3857ED46B8D9}"/>
            </a:ext>
          </a:extLst>
        </xdr:cNvPr>
        <xdr:cNvSpPr/>
      </xdr:nvSpPr>
      <xdr:spPr>
        <a:xfrm>
          <a:off x="5327375" y="735498"/>
          <a:ext cx="1437861" cy="539337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CLASSIFICAR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114299</xdr:colOff>
      <xdr:row>0</xdr:row>
      <xdr:rowOff>167640</xdr:rowOff>
    </xdr:from>
    <xdr:to>
      <xdr:col>10</xdr:col>
      <xdr:colOff>278130</xdr:colOff>
      <xdr:row>3</xdr:row>
      <xdr:rowOff>121920</xdr:rowOff>
    </xdr:to>
    <xdr:sp macro="[0]!PreencherDevs" textlink="">
      <xdr:nvSpPr>
        <xdr:cNvPr id="2" name="Retângulo 1">
          <a:extLst>
            <a:ext uri="{FF2B5EF4-FFF2-40B4-BE49-F238E27FC236}">
              <a16:creationId xmlns:a16="http://schemas.microsoft.com/office/drawing/2014/main" id="{5A45184F-CF4E-CC31-124F-DC2485B4B813}"/>
            </a:ext>
          </a:extLst>
        </xdr:cNvPr>
        <xdr:cNvSpPr/>
      </xdr:nvSpPr>
      <xdr:spPr>
        <a:xfrm>
          <a:off x="10218419" y="167640"/>
          <a:ext cx="1413511" cy="571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</a:rPr>
            <a:t>PREENCHER</a:t>
          </a:r>
        </a:p>
      </xdr:txBody>
    </xdr:sp>
    <xdr:clientData/>
  </xdr:twoCellAnchor>
  <xdr:twoCellAnchor editAs="absolute">
    <xdr:from>
      <xdr:col>8</xdr:col>
      <xdr:colOff>114300</xdr:colOff>
      <xdr:row>3</xdr:row>
      <xdr:rowOff>175260</xdr:rowOff>
    </xdr:from>
    <xdr:to>
      <xdr:col>10</xdr:col>
      <xdr:colOff>278130</xdr:colOff>
      <xdr:row>6</xdr:row>
      <xdr:rowOff>133350</xdr:rowOff>
    </xdr:to>
    <xdr:sp macro="[0]!ConsolidarProdutos" textlink="">
      <xdr:nvSpPr>
        <xdr:cNvPr id="3" name="Retângulo 2">
          <a:extLst>
            <a:ext uri="{FF2B5EF4-FFF2-40B4-BE49-F238E27FC236}">
              <a16:creationId xmlns:a16="http://schemas.microsoft.com/office/drawing/2014/main" id="{C88CFFE8-8DBE-4D31-8FBC-03152DFB97F0}"/>
            </a:ext>
          </a:extLst>
        </xdr:cNvPr>
        <xdr:cNvSpPr/>
      </xdr:nvSpPr>
      <xdr:spPr>
        <a:xfrm>
          <a:off x="10218420" y="792480"/>
          <a:ext cx="1413510" cy="57531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</a:rPr>
            <a:t>CONSOLIDAR</a:t>
          </a:r>
        </a:p>
      </xdr:txBody>
    </xdr:sp>
    <xdr:clientData/>
  </xdr:twoCellAnchor>
  <xdr:twoCellAnchor editAs="absolute">
    <xdr:from>
      <xdr:col>10</xdr:col>
      <xdr:colOff>407669</xdr:colOff>
      <xdr:row>0</xdr:row>
      <xdr:rowOff>163831</xdr:rowOff>
    </xdr:from>
    <xdr:to>
      <xdr:col>11</xdr:col>
      <xdr:colOff>731520</xdr:colOff>
      <xdr:row>6</xdr:row>
      <xdr:rowOff>133350</xdr:rowOff>
    </xdr:to>
    <xdr:sp macro="[0]!Limpar" textlink="">
      <xdr:nvSpPr>
        <xdr:cNvPr id="4" name="Retângulo 3">
          <a:extLst>
            <a:ext uri="{FF2B5EF4-FFF2-40B4-BE49-F238E27FC236}">
              <a16:creationId xmlns:a16="http://schemas.microsoft.com/office/drawing/2014/main" id="{682E4B67-BED8-4907-9DE8-A24D556B7FB7}"/>
            </a:ext>
          </a:extLst>
        </xdr:cNvPr>
        <xdr:cNvSpPr/>
      </xdr:nvSpPr>
      <xdr:spPr>
        <a:xfrm>
          <a:off x="11761469" y="163831"/>
          <a:ext cx="948691" cy="120395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</a:rPr>
            <a:t>LIMPAR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16809</xdr:colOff>
      <xdr:row>0</xdr:row>
      <xdr:rowOff>25437</xdr:rowOff>
    </xdr:from>
    <xdr:to>
      <xdr:col>9</xdr:col>
      <xdr:colOff>1653541</xdr:colOff>
      <xdr:row>3</xdr:row>
      <xdr:rowOff>125506</xdr:rowOff>
    </xdr:to>
    <xdr:sp macro="[0]!ProcessarCEMC_Otimizada" textlink="">
      <xdr:nvSpPr>
        <xdr:cNvPr id="2" name="Retângulo 1">
          <a:extLst>
            <a:ext uri="{FF2B5EF4-FFF2-40B4-BE49-F238E27FC236}">
              <a16:creationId xmlns:a16="http://schemas.microsoft.com/office/drawing/2014/main" id="{782CD5FC-530D-4A62-AA8A-970F2344D7ED}"/>
            </a:ext>
          </a:extLst>
        </xdr:cNvPr>
        <xdr:cNvSpPr/>
      </xdr:nvSpPr>
      <xdr:spPr>
        <a:xfrm>
          <a:off x="9286315" y="25437"/>
          <a:ext cx="1636732" cy="70070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PIX</a:t>
          </a:r>
        </a:p>
        <a:p>
          <a:pPr algn="ctr"/>
          <a:r>
            <a:rPr lang="pt-BR" sz="1200" b="1">
              <a:solidFill>
                <a:schemeClr val="bg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QUICK</a:t>
          </a:r>
          <a:endParaRPr lang="pt-BR" sz="120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9</xdr:col>
      <xdr:colOff>15578</xdr:colOff>
      <xdr:row>4</xdr:row>
      <xdr:rowOff>4481</xdr:rowOff>
    </xdr:from>
    <xdr:to>
      <xdr:col>9</xdr:col>
      <xdr:colOff>1652310</xdr:colOff>
      <xdr:row>7</xdr:row>
      <xdr:rowOff>99731</xdr:rowOff>
    </xdr:to>
    <xdr:sp macro="[0]!ApagarHora" textlink="">
      <xdr:nvSpPr>
        <xdr:cNvPr id="3" name="Retângulo 2">
          <a:extLst>
            <a:ext uri="{FF2B5EF4-FFF2-40B4-BE49-F238E27FC236}">
              <a16:creationId xmlns:a16="http://schemas.microsoft.com/office/drawing/2014/main" id="{CBB5F9DE-437A-4CD8-BBFE-5834616BC525}"/>
            </a:ext>
          </a:extLst>
        </xdr:cNvPr>
        <xdr:cNvSpPr/>
      </xdr:nvSpPr>
      <xdr:spPr>
        <a:xfrm>
          <a:off x="9285084" y="802340"/>
          <a:ext cx="1636732" cy="6869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FILTRAR</a:t>
          </a:r>
          <a:endParaRPr lang="pt-BR" sz="1200" b="1" baseline="0">
            <a:solidFill>
              <a:schemeClr val="bg1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  <a:p>
          <a:pPr algn="ctr"/>
          <a:r>
            <a:rPr lang="pt-BR" sz="1200" b="1" baseline="0">
              <a:solidFill>
                <a:schemeClr val="bg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POR</a:t>
          </a:r>
        </a:p>
        <a:p>
          <a:pPr algn="ctr"/>
          <a:r>
            <a:rPr lang="pt-BR" sz="1200" b="1" baseline="0">
              <a:solidFill>
                <a:schemeClr val="bg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HORA</a:t>
          </a:r>
          <a:endParaRPr lang="pt-BR" sz="120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9</xdr:col>
      <xdr:colOff>0</xdr:colOff>
      <xdr:row>8</xdr:row>
      <xdr:rowOff>0</xdr:rowOff>
    </xdr:from>
    <xdr:to>
      <xdr:col>9</xdr:col>
      <xdr:colOff>1636732</xdr:colOff>
      <xdr:row>11</xdr:row>
      <xdr:rowOff>95249</xdr:rowOff>
    </xdr:to>
    <xdr:sp macro="[0]!AplicarProcxCEMC" textlink="">
      <xdr:nvSpPr>
        <xdr:cNvPr id="4" name="Retângulo 3">
          <a:extLst>
            <a:ext uri="{FF2B5EF4-FFF2-40B4-BE49-F238E27FC236}">
              <a16:creationId xmlns:a16="http://schemas.microsoft.com/office/drawing/2014/main" id="{E1C159B7-C7BD-437F-9137-D2FEC0F3E003}"/>
            </a:ext>
          </a:extLst>
        </xdr:cNvPr>
        <xdr:cNvSpPr/>
      </xdr:nvSpPr>
      <xdr:spPr>
        <a:xfrm>
          <a:off x="9269506" y="1586753"/>
          <a:ext cx="1636732" cy="6869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ATUALIZAR</a:t>
          </a:r>
          <a:r>
            <a:rPr lang="pt-BR" sz="1200" b="1" baseline="0">
              <a:solidFill>
                <a:schemeClr val="bg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FORMULAS</a:t>
          </a:r>
          <a:endParaRPr lang="pt-BR" sz="120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327662</xdr:colOff>
      <xdr:row>1</xdr:row>
      <xdr:rowOff>62865</xdr:rowOff>
    </xdr:from>
    <xdr:to>
      <xdr:col>19</xdr:col>
      <xdr:colOff>788671</xdr:colOff>
      <xdr:row>11</xdr:row>
      <xdr:rowOff>156210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58BF719-2607-406D-8657-45332C662871}"/>
            </a:ext>
          </a:extLst>
        </xdr:cNvPr>
        <xdr:cNvSpPr/>
      </xdr:nvSpPr>
      <xdr:spPr>
        <a:xfrm>
          <a:off x="12237722" y="283845"/>
          <a:ext cx="1924049" cy="2059305"/>
        </a:xfrm>
        <a:prstGeom prst="rect">
          <a:avLst/>
        </a:prstGeom>
        <a:solidFill>
          <a:srgbClr val="63A4F7"/>
        </a:solidFill>
        <a:ln w="222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ROTINA = 030237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300 = 296156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pt-BR" sz="12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r>
            <a:rPr lang="pt-BR" sz="12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600</a:t>
          </a:r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 = 30486, 30491 e 138165</a:t>
          </a:r>
          <a:b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b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1L = 188005</a:t>
          </a:r>
        </a:p>
        <a:p>
          <a:pPr algn="l"/>
          <a:endParaRPr lang="pt-BR" sz="1200" b="1" baseline="0">
            <a:ln>
              <a:noFill/>
            </a:ln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51 = 857679</a:t>
          </a:r>
          <a:endParaRPr lang="pt-BR" sz="1200" b="1"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absolute">
    <xdr:from>
      <xdr:col>15</xdr:col>
      <xdr:colOff>289560</xdr:colOff>
      <xdr:row>1</xdr:row>
      <xdr:rowOff>62865</xdr:rowOff>
    </xdr:from>
    <xdr:to>
      <xdr:col>17</xdr:col>
      <xdr:colOff>297180</xdr:colOff>
      <xdr:row>4</xdr:row>
      <xdr:rowOff>80010</xdr:rowOff>
    </xdr:to>
    <xdr:sp macro="[0]!ConferirVasilhames" textlink="">
      <xdr:nvSpPr>
        <xdr:cNvPr id="3" name="Retângulo 2">
          <a:extLst>
            <a:ext uri="{FF2B5EF4-FFF2-40B4-BE49-F238E27FC236}">
              <a16:creationId xmlns:a16="http://schemas.microsoft.com/office/drawing/2014/main" id="{95733C99-676E-43D8-98F1-97319E5D9B40}"/>
            </a:ext>
          </a:extLst>
        </xdr:cNvPr>
        <xdr:cNvSpPr/>
      </xdr:nvSpPr>
      <xdr:spPr>
        <a:xfrm>
          <a:off x="10736580" y="283845"/>
          <a:ext cx="1470660" cy="649605"/>
        </a:xfrm>
        <a:prstGeom prst="rect">
          <a:avLst/>
        </a:prstGeom>
        <a:solidFill>
          <a:srgbClr val="63A4F7"/>
        </a:solidFill>
        <a:ln w="22225"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PREENCHER</a:t>
          </a:r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 PLANILHA</a:t>
          </a:r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200"/>
            <a:t> </a:t>
          </a:r>
          <a:endParaRPr lang="pt-BR" sz="1200" b="1" baseline="0"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absolute">
    <xdr:from>
      <xdr:col>15</xdr:col>
      <xdr:colOff>289560</xdr:colOff>
      <xdr:row>4</xdr:row>
      <xdr:rowOff>118110</xdr:rowOff>
    </xdr:from>
    <xdr:to>
      <xdr:col>17</xdr:col>
      <xdr:colOff>297180</xdr:colOff>
      <xdr:row>8</xdr:row>
      <xdr:rowOff>1905</xdr:rowOff>
    </xdr:to>
    <xdr:sp macro="[0]!AtualizarColunas" textlink="">
      <xdr:nvSpPr>
        <xdr:cNvPr id="4" name="Retângulo 3">
          <a:extLst>
            <a:ext uri="{FF2B5EF4-FFF2-40B4-BE49-F238E27FC236}">
              <a16:creationId xmlns:a16="http://schemas.microsoft.com/office/drawing/2014/main" id="{7C5FEF55-E8C0-4BD9-B5A8-7436904B093A}"/>
            </a:ext>
          </a:extLst>
        </xdr:cNvPr>
        <xdr:cNvSpPr/>
      </xdr:nvSpPr>
      <xdr:spPr>
        <a:xfrm>
          <a:off x="10736580" y="971550"/>
          <a:ext cx="1470660" cy="645795"/>
        </a:xfrm>
        <a:prstGeom prst="rect">
          <a:avLst/>
        </a:prstGeom>
        <a:solidFill>
          <a:srgbClr val="63A4F7"/>
        </a:solidFill>
        <a:ln w="22225"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ATUALIZAR</a:t>
          </a:r>
          <a:br>
            <a:rPr lang="pt-BR" sz="12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r>
            <a:rPr lang="pt-BR" sz="12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FORMULAS</a:t>
          </a:r>
          <a:endParaRPr lang="pt-BR" sz="1200" b="1" baseline="0"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absolute">
    <xdr:from>
      <xdr:col>15</xdr:col>
      <xdr:colOff>289560</xdr:colOff>
      <xdr:row>8</xdr:row>
      <xdr:rowOff>76200</xdr:rowOff>
    </xdr:from>
    <xdr:to>
      <xdr:col>17</xdr:col>
      <xdr:colOff>297180</xdr:colOff>
      <xdr:row>11</xdr:row>
      <xdr:rowOff>156210</xdr:rowOff>
    </xdr:to>
    <xdr:sp macro="[0]!ApagarVASILHAME" textlink="">
      <xdr:nvSpPr>
        <xdr:cNvPr id="5" name="Retângulo 4">
          <a:extLst>
            <a:ext uri="{FF2B5EF4-FFF2-40B4-BE49-F238E27FC236}">
              <a16:creationId xmlns:a16="http://schemas.microsoft.com/office/drawing/2014/main" id="{0295D754-DAEA-47B9-9E70-3D67833CD508}"/>
            </a:ext>
          </a:extLst>
        </xdr:cNvPr>
        <xdr:cNvSpPr/>
      </xdr:nvSpPr>
      <xdr:spPr>
        <a:xfrm>
          <a:off x="10736580" y="1691640"/>
          <a:ext cx="1470660" cy="651510"/>
        </a:xfrm>
        <a:prstGeom prst="rect">
          <a:avLst/>
        </a:prstGeom>
        <a:solidFill>
          <a:srgbClr val="63A4F7"/>
        </a:solidFill>
        <a:ln w="22225"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LIMPAR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102870</xdr:colOff>
      <xdr:row>1</xdr:row>
      <xdr:rowOff>38100</xdr:rowOff>
    </xdr:from>
    <xdr:to>
      <xdr:col>2</xdr:col>
      <xdr:colOff>494775</xdr:colOff>
      <xdr:row>4</xdr:row>
      <xdr:rowOff>125730</xdr:rowOff>
    </xdr:to>
    <xdr:sp macro="[0]!ProcessarRecolhas_Otimizada" textlink="">
      <xdr:nvSpPr>
        <xdr:cNvPr id="2" name="Retângulo 1">
          <a:extLst>
            <a:ext uri="{FF2B5EF4-FFF2-40B4-BE49-F238E27FC236}">
              <a16:creationId xmlns:a16="http://schemas.microsoft.com/office/drawing/2014/main" id="{9EAFC110-C5C3-41A4-8A54-C0D1B878730E}"/>
            </a:ext>
          </a:extLst>
        </xdr:cNvPr>
        <xdr:cNvSpPr/>
      </xdr:nvSpPr>
      <xdr:spPr>
        <a:xfrm>
          <a:off x="104775" y="228600"/>
          <a:ext cx="1609200" cy="657225"/>
        </a:xfrm>
        <a:prstGeom prst="rect">
          <a:avLst/>
        </a:prstGeom>
        <a:solidFill>
          <a:schemeClr val="bg2"/>
        </a:solidFill>
        <a:ln w="22225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02.02.20|</a:t>
          </a:r>
          <a:b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RECOLHAS</a:t>
          </a:r>
        </a:p>
      </xdr:txBody>
    </xdr:sp>
    <xdr:clientData/>
  </xdr:twoCellAnchor>
  <xdr:twoCellAnchor editAs="absolute">
    <xdr:from>
      <xdr:col>3</xdr:col>
      <xdr:colOff>26669</xdr:colOff>
      <xdr:row>1</xdr:row>
      <xdr:rowOff>38100</xdr:rowOff>
    </xdr:from>
    <xdr:to>
      <xdr:col>5</xdr:col>
      <xdr:colOff>419099</xdr:colOff>
      <xdr:row>4</xdr:row>
      <xdr:rowOff>125730</xdr:rowOff>
    </xdr:to>
    <xdr:sp macro="[0]!ProcessarClientes_Otimizada" textlink="">
      <xdr:nvSpPr>
        <xdr:cNvPr id="3" name="Retângulo 2">
          <a:extLst>
            <a:ext uri="{FF2B5EF4-FFF2-40B4-BE49-F238E27FC236}">
              <a16:creationId xmlns:a16="http://schemas.microsoft.com/office/drawing/2014/main" id="{D68DD7CB-25A8-4C05-8AC8-FE921D020CC6}"/>
            </a:ext>
          </a:extLst>
        </xdr:cNvPr>
        <xdr:cNvSpPr/>
      </xdr:nvSpPr>
      <xdr:spPr>
        <a:xfrm>
          <a:off x="1857374" y="228600"/>
          <a:ext cx="1609725" cy="657225"/>
        </a:xfrm>
        <a:prstGeom prst="rect">
          <a:avLst/>
        </a:prstGeom>
        <a:solidFill>
          <a:schemeClr val="bg2"/>
        </a:solidFill>
        <a:ln w="22225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01.05.07.04.02|</a:t>
          </a:r>
          <a:b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BASE CLIENTES</a:t>
          </a:r>
        </a:p>
      </xdr:txBody>
    </xdr:sp>
    <xdr:clientData/>
  </xdr:twoCellAnchor>
  <xdr:twoCellAnchor editAs="absolute">
    <xdr:from>
      <xdr:col>0</xdr:col>
      <xdr:colOff>99059</xdr:colOff>
      <xdr:row>5</xdr:row>
      <xdr:rowOff>38100</xdr:rowOff>
    </xdr:from>
    <xdr:to>
      <xdr:col>5</xdr:col>
      <xdr:colOff>430529</xdr:colOff>
      <xdr:row>8</xdr:row>
      <xdr:rowOff>125730</xdr:rowOff>
    </xdr:to>
    <xdr:sp macro="[0]!CarregarPedidos" textlink="">
      <xdr:nvSpPr>
        <xdr:cNvPr id="4" name="Retângulo 3">
          <a:extLst>
            <a:ext uri="{FF2B5EF4-FFF2-40B4-BE49-F238E27FC236}">
              <a16:creationId xmlns:a16="http://schemas.microsoft.com/office/drawing/2014/main" id="{96DE8826-C3CE-4317-B63C-0FFCFC723899}"/>
            </a:ext>
          </a:extLst>
        </xdr:cNvPr>
        <xdr:cNvSpPr/>
      </xdr:nvSpPr>
      <xdr:spPr>
        <a:xfrm>
          <a:off x="95249" y="990600"/>
          <a:ext cx="3381375" cy="657225"/>
        </a:xfrm>
        <a:prstGeom prst="rect">
          <a:avLst/>
        </a:prstGeom>
        <a:solidFill>
          <a:schemeClr val="bg2"/>
        </a:solidFill>
        <a:ln w="22225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03.02.37 | BASE DIARIA</a:t>
          </a:r>
        </a:p>
      </xdr:txBody>
    </xdr:sp>
    <xdr:clientData/>
  </xdr:twoCellAnchor>
  <xdr:twoCellAnchor editAs="absolute">
    <xdr:from>
      <xdr:col>0</xdr:col>
      <xdr:colOff>87630</xdr:colOff>
      <xdr:row>9</xdr:row>
      <xdr:rowOff>11429</xdr:rowOff>
    </xdr:from>
    <xdr:to>
      <xdr:col>5</xdr:col>
      <xdr:colOff>430530</xdr:colOff>
      <xdr:row>17</xdr:row>
      <xdr:rowOff>102870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320D8F4-13A0-4DF2-8EFC-ABFE8486C25B}"/>
            </a:ext>
          </a:extLst>
        </xdr:cNvPr>
        <xdr:cNvSpPr/>
      </xdr:nvSpPr>
      <xdr:spPr>
        <a:xfrm>
          <a:off x="85725" y="1724024"/>
          <a:ext cx="3390900" cy="1619251"/>
        </a:xfrm>
        <a:prstGeom prst="rect">
          <a:avLst/>
        </a:prstGeom>
        <a:solidFill>
          <a:schemeClr val="bg2"/>
        </a:solidFill>
        <a:ln w="22225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01.05.07.04.02|</a:t>
          </a:r>
          <a:b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02.02.20 </a:t>
          </a:r>
        </a:p>
        <a:p>
          <a:pPr algn="ctr"/>
          <a:endParaRPr lang="pt-BR" sz="1200" b="1" baseline="0"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Não precisam ser atualizadas constantemente, pois são bases pesadas. Atualize apenas quando necessário.</a:t>
          </a:r>
        </a:p>
        <a:p>
          <a:pPr algn="ctr"/>
          <a:endParaRPr lang="pt-BR" sz="1200" b="1" baseline="0"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absolute">
    <xdr:from>
      <xdr:col>5</xdr:col>
      <xdr:colOff>541020</xdr:colOff>
      <xdr:row>1</xdr:row>
      <xdr:rowOff>45720</xdr:rowOff>
    </xdr:from>
    <xdr:to>
      <xdr:col>8</xdr:col>
      <xdr:colOff>1184385</xdr:colOff>
      <xdr:row>4</xdr:row>
      <xdr:rowOff>133350</xdr:rowOff>
    </xdr:to>
    <xdr:sp macro="[0]!ImportarBaseVendedores" textlink="">
      <xdr:nvSpPr>
        <xdr:cNvPr id="6" name="Retângulo 5">
          <a:extLst>
            <a:ext uri="{FF2B5EF4-FFF2-40B4-BE49-F238E27FC236}">
              <a16:creationId xmlns:a16="http://schemas.microsoft.com/office/drawing/2014/main" id="{033E2284-E33C-4A94-888C-C575DC689DF2}"/>
            </a:ext>
          </a:extLst>
        </xdr:cNvPr>
        <xdr:cNvSpPr/>
      </xdr:nvSpPr>
      <xdr:spPr>
        <a:xfrm>
          <a:off x="3665220" y="236220"/>
          <a:ext cx="1641585" cy="659130"/>
        </a:xfrm>
        <a:prstGeom prst="rect">
          <a:avLst/>
        </a:prstGeom>
        <a:solidFill>
          <a:schemeClr val="bg2"/>
        </a:solidFill>
        <a:ln w="22225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01.20.01.24|</a:t>
          </a:r>
          <a:b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r>
            <a:rPr lang="pt-BR" sz="12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VENDEDORES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2"/>
        </a:solidFill>
        <a:ln w="22225">
          <a:solidFill>
            <a:schemeClr val="accent1">
              <a:shade val="15000"/>
            </a:schemeClr>
          </a:solidFill>
        </a:ln>
      </a:spPr>
      <a:bodyPr vertOverflow="clip" horzOverflow="clip" rtlCol="0" anchor="ctr"/>
      <a:lstStyle>
        <a:defPPr algn="ctr">
          <a:defRPr sz="1200" b="1" baseline="0"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BF184-0A48-4DDE-BD8C-3B18F10E22BE}">
  <sheetPr codeName="Planilha3">
    <tabColor theme="8" tint="-0.499984740745262"/>
    <pageSetUpPr fitToPage="1"/>
  </sheetPr>
  <dimension ref="A1:H2"/>
  <sheetViews>
    <sheetView workbookViewId="0">
      <selection activeCell="A3" sqref="A3:E59"/>
    </sheetView>
  </sheetViews>
  <sheetFormatPr defaultColWidth="0" defaultRowHeight="15" x14ac:dyDescent="0.2"/>
  <cols>
    <col min="1" max="1" width="11.140625" style="2" customWidth="1"/>
    <col min="2" max="2" width="34.28515625" style="66" customWidth="1"/>
    <col min="3" max="3" width="12.28515625" style="2" customWidth="1"/>
    <col min="4" max="4" width="19.42578125" style="3" customWidth="1"/>
    <col min="5" max="5" width="13.140625" style="2" customWidth="1"/>
    <col min="6" max="7" width="9.140625" style="1" customWidth="1"/>
    <col min="8" max="8" width="16.85546875" style="1" customWidth="1"/>
    <col min="9" max="16384" width="9.140625" style="1" hidden="1"/>
  </cols>
  <sheetData>
    <row r="1" spans="1:5" x14ac:dyDescent="0.2">
      <c r="A1" s="119" t="s">
        <v>3337</v>
      </c>
      <c r="B1" s="120"/>
      <c r="C1" s="120"/>
      <c r="D1" s="120"/>
      <c r="E1" s="121"/>
    </row>
    <row r="2" spans="1:5" ht="15.75" thickBot="1" x14ac:dyDescent="0.25">
      <c r="A2" s="60" t="s">
        <v>3338</v>
      </c>
      <c r="B2" s="61" t="s">
        <v>3</v>
      </c>
      <c r="C2" s="61" t="s">
        <v>2</v>
      </c>
      <c r="D2" s="62" t="s">
        <v>11</v>
      </c>
      <c r="E2" s="63"/>
    </row>
  </sheetData>
  <autoFilter ref="A2:E4" xr:uid="{D5FBF184-0A48-4DDE-BD8C-3B18F10E22BE}">
    <sortState xmlns:xlrd2="http://schemas.microsoft.com/office/spreadsheetml/2017/richdata2" ref="A3:E4">
      <sortCondition ref="A2:A3"/>
    </sortState>
  </autoFilter>
  <sortState xmlns:xlrd2="http://schemas.microsoft.com/office/spreadsheetml/2017/richdata2" ref="A2:G3">
    <sortCondition ref="G2:G3"/>
  </sortState>
  <mergeCells count="1">
    <mergeCell ref="A1:E1"/>
  </mergeCells>
  <conditionalFormatting sqref="B3">
    <cfRule type="duplicateValues" dxfId="19" priority="226"/>
  </conditionalFormatting>
  <conditionalFormatting sqref="B3:B1048576">
    <cfRule type="duplicateValues" dxfId="18" priority="1"/>
  </conditionalFormatting>
  <pageMargins left="0.511811024" right="0.511811024" top="0.78740157499999996" bottom="0.78740157499999996" header="0.31496062000000002" footer="0.31496062000000002"/>
  <pageSetup paperSize="9" scale="73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F4C87-1B2D-4985-A0D2-A418C166182D}">
  <sheetPr codeName="Planilha11">
    <tabColor rgb="FF92D050"/>
  </sheetPr>
  <dimension ref="A1:G13"/>
  <sheetViews>
    <sheetView workbookViewId="0">
      <selection activeCell="C14" sqref="C14"/>
    </sheetView>
  </sheetViews>
  <sheetFormatPr defaultColWidth="9.140625" defaultRowHeight="15" x14ac:dyDescent="0.2"/>
  <cols>
    <col min="1" max="1" width="17.7109375" style="47" bestFit="1" customWidth="1"/>
    <col min="2" max="2" width="63.5703125" style="47" bestFit="1" customWidth="1"/>
    <col min="3" max="3" width="9.42578125" style="47" customWidth="1"/>
    <col min="4" max="4" width="33.140625" style="47" customWidth="1"/>
    <col min="5" max="5" width="3.28515625" style="47" customWidth="1"/>
    <col min="6" max="6" width="33.140625" style="47" customWidth="1"/>
    <col min="7" max="7" width="9.140625" style="47" customWidth="1"/>
    <col min="8" max="16384" width="9.140625" style="47"/>
  </cols>
  <sheetData>
    <row r="1" spans="1:7" ht="15.75" thickBot="1" x14ac:dyDescent="0.25">
      <c r="A1" s="49" t="s">
        <v>3295</v>
      </c>
      <c r="B1" s="55"/>
      <c r="C1" s="112" t="s">
        <v>3336</v>
      </c>
      <c r="D1" s="53">
        <v>3</v>
      </c>
    </row>
    <row r="2" spans="1:7" ht="15.75" thickBot="1" x14ac:dyDescent="0.25">
      <c r="A2" s="48"/>
    </row>
    <row r="3" spans="1:7" ht="15.75" thickBot="1" x14ac:dyDescent="0.25">
      <c r="A3" s="49" t="s">
        <v>3296</v>
      </c>
      <c r="B3" s="54" t="str" cm="1">
        <f t="array" ref="B3">IFERROR(INDEX(BaseClientes!D:D, MATCH(1, (BaseClientes!A:A=B1)*(BaseClientes!J:J=D1), 0)), "")</f>
        <v/>
      </c>
      <c r="D3" s="51"/>
    </row>
    <row r="4" spans="1:7" ht="15.75" thickBot="1" x14ac:dyDescent="0.25">
      <c r="A4" s="50"/>
    </row>
    <row r="5" spans="1:7" ht="15.75" thickBot="1" x14ac:dyDescent="0.25">
      <c r="A5" s="49" t="s">
        <v>3299</v>
      </c>
      <c r="B5" s="54" t="str" cm="1">
        <f t="array" ref="B5">IFERROR(INDEX(BaseClientes!B:B, MATCH(1, (BaseClientes!A:A=B1)*(BaseClientes!J:J=D1), 0)), "")</f>
        <v/>
      </c>
      <c r="G5" s="47" t="str">
        <f>SUBSTITUTE(E5,"/","")</f>
        <v/>
      </c>
    </row>
    <row r="6" spans="1:7" ht="15.75" thickBot="1" x14ac:dyDescent="0.25">
      <c r="A6" s="50"/>
      <c r="B6" s="51"/>
    </row>
    <row r="7" spans="1:7" ht="15.75" thickBot="1" x14ac:dyDescent="0.25">
      <c r="A7" s="49" t="s">
        <v>29</v>
      </c>
      <c r="B7" s="54" t="str" cm="1">
        <f t="array" ref="B7">IFERROR(INDEX(BaseClientes!C:C, MATCH(1, (BaseClientes!A:A=B1)*(BaseClientes!J:J=D1), 0)), "")</f>
        <v/>
      </c>
    </row>
    <row r="8" spans="1:7" ht="15.75" thickBot="1" x14ac:dyDescent="0.25">
      <c r="A8" s="50"/>
      <c r="B8" s="51"/>
    </row>
    <row r="9" spans="1:7" ht="15.75" thickBot="1" x14ac:dyDescent="0.25">
      <c r="A9" s="49" t="s">
        <v>3298</v>
      </c>
      <c r="B9" s="54" t="str" cm="1">
        <f t="array" ref="B9">IFERROR(INDEX(BaseClientes!E:E, MATCH(1, (BaseClientes!A:A=B1)*(BaseClientes!J:J=D1), 0)), "")</f>
        <v/>
      </c>
    </row>
    <row r="10" spans="1:7" ht="15.75" thickBot="1" x14ac:dyDescent="0.25">
      <c r="A10" s="48"/>
    </row>
    <row r="11" spans="1:7" ht="15.75" thickBot="1" x14ac:dyDescent="0.25">
      <c r="A11" s="49" t="s">
        <v>3297</v>
      </c>
      <c r="B11" s="55" t="str" cm="1">
        <f t="array" ref="B11">IFERROR(INDEX(BaseClientes!F:F, MATCH(1, (BaseClientes!A:A=B1)*(BaseClientes!J:J=D1), 0)), "")</f>
        <v/>
      </c>
      <c r="C11" s="52"/>
      <c r="D11" s="53" t="str" cm="1">
        <f t="array" ref="D11">IFERROR(INDEX(BaseClientes!F:F, MATCH(1, (BaseClientes!A:A=B1)*(BaseClientes!J:J=D1), 0)), "")</f>
        <v/>
      </c>
      <c r="E11" s="52"/>
      <c r="F11" s="53" t="str" cm="1">
        <f t="array" ref="F11">IFERROR(INDEX(BaseClientes!G:G, MATCH(1, (BaseClientes!A:A=B1)*(BaseClientes!J:J=D1), 0)), "")</f>
        <v/>
      </c>
    </row>
    <row r="12" spans="1:7" ht="15.75" thickBot="1" x14ac:dyDescent="0.25"/>
    <row r="13" spans="1:7" ht="15.75" thickBot="1" x14ac:dyDescent="0.25">
      <c r="A13" s="49" t="s">
        <v>3294</v>
      </c>
      <c r="B13" s="54" t="str">
        <f>IFERROR(IF(D13="", "", INDEX(BaseVendedores!B:B, MATCH(D13, BaseVendedores!A:A, 0))), "")</f>
        <v/>
      </c>
      <c r="C13" s="47" t="s">
        <v>3339</v>
      </c>
      <c r="D13" s="53" t="str" cm="1">
        <f t="array" ref="D13">IFERROR(INDEX(BaseClientes!I:I, MATCH(1, (BaseClientes!A:A=B1)*(BaseClientes!J:J=D1), 0)), "")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3FC82-AB56-4038-8408-E22B08F52484}">
  <sheetPr codeName="Planilha7">
    <tabColor theme="9" tint="-0.249977111117893"/>
  </sheetPr>
  <dimension ref="A1:O41"/>
  <sheetViews>
    <sheetView zoomScale="55" zoomScaleNormal="55" workbookViewId="0">
      <selection activeCell="A2" sqref="A2"/>
    </sheetView>
  </sheetViews>
  <sheetFormatPr defaultColWidth="0" defaultRowHeight="0" customHeight="1" zeroHeight="1" x14ac:dyDescent="0.2"/>
  <cols>
    <col min="1" max="1" width="8.85546875" style="36" customWidth="1"/>
    <col min="2" max="2" width="17.28515625" style="36" customWidth="1"/>
    <col min="3" max="3" width="11.28515625" style="36" customWidth="1"/>
    <col min="4" max="4" width="15.7109375" style="36" customWidth="1"/>
    <col min="5" max="5" width="37.28515625" style="36" customWidth="1"/>
    <col min="6" max="6" width="32.28515625" style="36" bestFit="1" customWidth="1"/>
    <col min="7" max="7" width="62.7109375" style="36" customWidth="1"/>
    <col min="8" max="8" width="8.85546875" style="36" customWidth="1"/>
    <col min="9" max="9" width="34" style="36" customWidth="1"/>
    <col min="10" max="10" width="20.28515625" style="36" customWidth="1"/>
    <col min="11" max="11" width="50.28515625" style="36" customWidth="1"/>
    <col min="12" max="14" width="8.85546875" style="36" customWidth="1"/>
    <col min="15" max="15" width="0" style="36" hidden="1" customWidth="1"/>
    <col min="16" max="16384" width="8.85546875" style="36" hidden="1"/>
  </cols>
  <sheetData>
    <row r="1" spans="2:13" ht="19.5" customHeight="1" x14ac:dyDescent="0.2">
      <c r="B1" s="122" t="s">
        <v>3308</v>
      </c>
      <c r="C1" s="123"/>
      <c r="D1" s="123"/>
      <c r="E1" s="123"/>
      <c r="F1" s="123"/>
      <c r="G1" s="123"/>
      <c r="H1" s="123"/>
      <c r="I1" s="123"/>
      <c r="J1" s="123"/>
      <c r="K1" s="124"/>
    </row>
    <row r="2" spans="2:13" ht="18.75" customHeight="1" x14ac:dyDescent="0.2">
      <c r="B2" s="65" t="s">
        <v>19</v>
      </c>
      <c r="C2" s="65" t="s">
        <v>1</v>
      </c>
      <c r="D2" s="65" t="s">
        <v>20</v>
      </c>
      <c r="E2" s="65" t="s">
        <v>21</v>
      </c>
      <c r="F2" s="65" t="s">
        <v>22</v>
      </c>
      <c r="G2" s="65" t="s">
        <v>23</v>
      </c>
      <c r="H2" s="65" t="s">
        <v>26</v>
      </c>
      <c r="I2" s="65" t="s">
        <v>3294</v>
      </c>
      <c r="J2" s="65" t="s">
        <v>24</v>
      </c>
      <c r="K2" s="65" t="s">
        <v>25</v>
      </c>
    </row>
    <row r="3" spans="2:13" ht="20.100000000000001" customHeight="1" x14ac:dyDescent="0.2">
      <c r="B3" s="44" t="str">
        <f t="shared" ref="B3:B40" ca="1" si="0">IF(D3&lt;&gt;"", TODAY(), "")</f>
        <v/>
      </c>
      <c r="C3" s="37" t="str">
        <f>IF(D3="", "", INDEX(BaseRecolhas!A:A, MATCH(D3, BaseRecolhas!B:B, 0)))</f>
        <v/>
      </c>
      <c r="D3" s="37"/>
      <c r="E3" s="37" t="str">
        <f>IF(C3="", "", INDEX(BaseClientes!B:B, MATCH(C3, BaseClientes!A:A, 0)))</f>
        <v/>
      </c>
      <c r="F3" s="37" t="str">
        <f>IF(C3="", "", INDEX(BaseClientes!D:D, MATCH(C3, BaseClientes!A:A, 0)))</f>
        <v/>
      </c>
      <c r="G3" s="40" t="str">
        <f>IF(D3="", "", INDEX(BaseRecolhas!C:C, MATCH(D3, BaseRecolhas!B:B, 0)))</f>
        <v/>
      </c>
      <c r="H3" s="37" t="str">
        <f>IF(D3="", "", INDEX(BaseRecolhas!D:D, MATCH(D3, BaseRecolhas!B:B, 0)) * -1)</f>
        <v/>
      </c>
      <c r="I3" s="72" t="str">
        <f>IFERROR(IF(M3="", "", INDEX(BaseVendedores!B:B, MATCH(M3, BaseVendedores!A:A, 0))), "")</f>
        <v/>
      </c>
      <c r="J3" s="38"/>
      <c r="K3" s="67"/>
      <c r="M3" s="36" t="str">
        <f>IF(C3="", "", INDEX(BaseClientes!I:I, MATCH(C3, BaseClientes!A:A, 0)))</f>
        <v/>
      </c>
    </row>
    <row r="4" spans="2:13" ht="20.100000000000001" customHeight="1" x14ac:dyDescent="0.2">
      <c r="B4" s="45" t="str">
        <f t="shared" ca="1" si="0"/>
        <v/>
      </c>
      <c r="C4" s="38" t="str">
        <f>IF(D4="", "", INDEX(BaseRecolhas!A:A, MATCH(D4, BaseRecolhas!B:B, 0)))</f>
        <v/>
      </c>
      <c r="D4" s="38"/>
      <c r="E4" s="38" t="str">
        <f>IF(C4="", "", INDEX(BaseClientes!B:B, MATCH(C4, BaseClientes!A:A, 0)))</f>
        <v/>
      </c>
      <c r="F4" s="38" t="str">
        <f>IF(C4="", "", INDEX(BaseClientes!D:D, MATCH(C4, BaseClientes!A:A, 0)))</f>
        <v/>
      </c>
      <c r="G4" s="41" t="str">
        <f>IF(D4="", "", INDEX(BaseRecolhas!C:C, MATCH(D4, BaseRecolhas!B:B, 0)))</f>
        <v/>
      </c>
      <c r="H4" s="38" t="str">
        <f>IF(D4="", "", INDEX(BaseRecolhas!D:D, MATCH(D4, BaseRecolhas!B:B, 0)) * -1)</f>
        <v/>
      </c>
      <c r="I4" s="38" t="str">
        <f>IFERROR(IF(M4="", "", INDEX(BaseVendedores!B:B, MATCH(M4, BaseVendedores!A:A, 0))), "")</f>
        <v/>
      </c>
      <c r="J4" s="38"/>
      <c r="K4" s="67"/>
      <c r="M4" s="36" t="str">
        <f>IF(C4="", "", INDEX(BaseClientes!I:I, MATCH(C4, BaseClientes!A:A, 0)))</f>
        <v/>
      </c>
    </row>
    <row r="5" spans="2:13" ht="20.100000000000001" customHeight="1" x14ac:dyDescent="0.2">
      <c r="B5" s="44" t="str">
        <f t="shared" ca="1" si="0"/>
        <v/>
      </c>
      <c r="C5" s="37" t="str">
        <f>IF(D5="", "", INDEX(BaseRecolhas!A:A, MATCH(D5, BaseRecolhas!B:B, 0)))</f>
        <v/>
      </c>
      <c r="D5" s="37"/>
      <c r="E5" s="37" t="str">
        <f>IF(C5="", "", INDEX(BaseClientes!B:B, MATCH(C5, BaseClientes!A:A, 0)))</f>
        <v/>
      </c>
      <c r="F5" s="37" t="str">
        <f>IF(C5="", "", INDEX(BaseClientes!D:D, MATCH(C5, BaseClientes!A:A, 0)))</f>
        <v/>
      </c>
      <c r="G5" s="40" t="str">
        <f>IF(D5="", "", INDEX(BaseRecolhas!C:C, MATCH(D5, BaseRecolhas!B:B, 0)))</f>
        <v/>
      </c>
      <c r="H5" s="37" t="str">
        <f>IF(D5="", "", INDEX(BaseRecolhas!D:D, MATCH(D5, BaseRecolhas!B:B, 0)) * -1)</f>
        <v/>
      </c>
      <c r="I5" s="72" t="str">
        <f>IFERROR(IF(M5="", "", INDEX(BaseVendedores!B:B, MATCH(M5, BaseVendedores!A:A, 0))), "")</f>
        <v/>
      </c>
      <c r="J5" s="38"/>
      <c r="K5" s="67"/>
      <c r="M5" s="36" t="str">
        <f>IF(C5="", "", INDEX(BaseClientes!I:I, MATCH(C5, BaseClientes!A:A, 0)))</f>
        <v/>
      </c>
    </row>
    <row r="6" spans="2:13" ht="20.100000000000001" customHeight="1" x14ac:dyDescent="0.2">
      <c r="B6" s="45" t="str">
        <f t="shared" ca="1" si="0"/>
        <v/>
      </c>
      <c r="C6" s="38" t="str">
        <f>IF(D6="", "", INDEX(BaseRecolhas!A:A, MATCH(D6, BaseRecolhas!B:B, 0)))</f>
        <v/>
      </c>
      <c r="D6" s="38"/>
      <c r="E6" s="38" t="str">
        <f>IF(C6="", "", INDEX(BaseClientes!B:B, MATCH(C6, BaseClientes!A:A, 0)))</f>
        <v/>
      </c>
      <c r="F6" s="38" t="str">
        <f>IF(C6="", "", INDEX(BaseClientes!D:D, MATCH(C6, BaseClientes!A:A, 0)))</f>
        <v/>
      </c>
      <c r="G6" s="41" t="str">
        <f>IF(D6="", "", INDEX(BaseRecolhas!C:C, MATCH(D6, BaseRecolhas!B:B, 0)))</f>
        <v/>
      </c>
      <c r="H6" s="38" t="str">
        <f>IF(D6="", "", INDEX(BaseRecolhas!D:D, MATCH(D6, BaseRecolhas!B:B, 0)) * -1)</f>
        <v/>
      </c>
      <c r="I6" s="38" t="str">
        <f>IFERROR(IF(M6="", "", INDEX(BaseVendedores!B:B, MATCH(M6, BaseVendedores!A:A, 0))), "")</f>
        <v/>
      </c>
      <c r="J6" s="38"/>
      <c r="K6" s="67"/>
      <c r="M6" s="36" t="str">
        <f>IF(C6="", "", INDEX(BaseClientes!I:I, MATCH(C6, BaseClientes!A:A, 0)))</f>
        <v/>
      </c>
    </row>
    <row r="7" spans="2:13" ht="20.100000000000001" customHeight="1" x14ac:dyDescent="0.2">
      <c r="B7" s="44" t="str">
        <f t="shared" ca="1" si="0"/>
        <v/>
      </c>
      <c r="C7" s="37" t="str">
        <f>IF(D7="", "", INDEX(BaseRecolhas!A:A, MATCH(D7, BaseRecolhas!B:B, 0)))</f>
        <v/>
      </c>
      <c r="D7" s="37"/>
      <c r="E7" s="37" t="str">
        <f>IF(C7="", "", INDEX(BaseClientes!B:B, MATCH(C7, BaseClientes!A:A, 0)))</f>
        <v/>
      </c>
      <c r="F7" s="37" t="str">
        <f>IF(C7="", "", INDEX(BaseClientes!D:D, MATCH(C7, BaseClientes!A:A, 0)))</f>
        <v/>
      </c>
      <c r="G7" s="40" t="str">
        <f>IF(D7="", "", INDEX(BaseRecolhas!C:C, MATCH(D7, BaseRecolhas!B:B, 0)))</f>
        <v/>
      </c>
      <c r="H7" s="37" t="str">
        <f>IF(D7="", "", INDEX(BaseRecolhas!D:D, MATCH(D7, BaseRecolhas!B:B, 0)) * -1)</f>
        <v/>
      </c>
      <c r="I7" s="72" t="str">
        <f>IFERROR(IF(M7="", "", INDEX(BaseVendedores!B:B, MATCH(M7, BaseVendedores!A:A, 0))), "")</f>
        <v/>
      </c>
      <c r="J7" s="38"/>
      <c r="K7" s="67"/>
      <c r="M7" s="36" t="str">
        <f>IF(C7="", "", INDEX(BaseClientes!I:I, MATCH(C7, BaseClientes!A:A, 0)))</f>
        <v/>
      </c>
    </row>
    <row r="8" spans="2:13" ht="20.100000000000001" customHeight="1" x14ac:dyDescent="0.2">
      <c r="B8" s="45" t="str">
        <f t="shared" ca="1" si="0"/>
        <v/>
      </c>
      <c r="C8" s="38" t="str">
        <f>IF(D8="", "", INDEX(BaseRecolhas!A:A, MATCH(D8, BaseRecolhas!B:B, 0)))</f>
        <v/>
      </c>
      <c r="D8" s="38"/>
      <c r="E8" s="38" t="str">
        <f>IF(C8="", "", INDEX(BaseClientes!B:B, MATCH(C8, BaseClientes!A:A, 0)))</f>
        <v/>
      </c>
      <c r="F8" s="38" t="str">
        <f>IF(C8="", "", INDEX(BaseClientes!D:D, MATCH(C8, BaseClientes!A:A, 0)))</f>
        <v/>
      </c>
      <c r="G8" s="41" t="str">
        <f>IF(D8="", "", INDEX(BaseRecolhas!C:C, MATCH(D8, BaseRecolhas!B:B, 0)))</f>
        <v/>
      </c>
      <c r="H8" s="38" t="str">
        <f>IF(D8="", "", INDEX(BaseRecolhas!D:D, MATCH(D8, BaseRecolhas!B:B, 0)) * -1)</f>
        <v/>
      </c>
      <c r="I8" s="38" t="str">
        <f>IFERROR(IF(M8="", "", INDEX(BaseVendedores!B:B, MATCH(M8, BaseVendedores!A:A, 0))), "")</f>
        <v/>
      </c>
      <c r="J8" s="38"/>
      <c r="K8" s="67"/>
      <c r="M8" s="36" t="str">
        <f>IF(C8="", "", INDEX(BaseClientes!I:I, MATCH(C8, BaseClientes!A:A, 0)))</f>
        <v/>
      </c>
    </row>
    <row r="9" spans="2:13" ht="20.100000000000001" customHeight="1" x14ac:dyDescent="0.2">
      <c r="B9" s="44" t="str">
        <f t="shared" ca="1" si="0"/>
        <v/>
      </c>
      <c r="C9" s="37" t="str">
        <f>IF(D9="", "", INDEX(BaseRecolhas!A:A, MATCH(D9, BaseRecolhas!B:B, 0)))</f>
        <v/>
      </c>
      <c r="D9" s="37"/>
      <c r="E9" s="37" t="str">
        <f>IF(C9="", "", INDEX(BaseClientes!B:B, MATCH(C9, BaseClientes!A:A, 0)))</f>
        <v/>
      </c>
      <c r="F9" s="37" t="str">
        <f>IF(C9="", "", INDEX(BaseClientes!D:D, MATCH(C9, BaseClientes!A:A, 0)))</f>
        <v/>
      </c>
      <c r="G9" s="40" t="str">
        <f>IF(D9="", "", INDEX(BaseRecolhas!C:C, MATCH(D9, BaseRecolhas!B:B, 0)))</f>
        <v/>
      </c>
      <c r="H9" s="37" t="str">
        <f>IF(D9="", "", INDEX(BaseRecolhas!D:D, MATCH(D9, BaseRecolhas!B:B, 0)) * -1)</f>
        <v/>
      </c>
      <c r="I9" s="72" t="str">
        <f>IFERROR(IF(M9="", "", INDEX(BaseVendedores!B:B, MATCH(M9, BaseVendedores!A:A, 0))), "")</f>
        <v/>
      </c>
      <c r="J9" s="38"/>
      <c r="K9" s="67"/>
      <c r="M9" s="36" t="str">
        <f>IF(C9="", "", INDEX(BaseClientes!I:I, MATCH(C9, BaseClientes!A:A, 0)))</f>
        <v/>
      </c>
    </row>
    <row r="10" spans="2:13" ht="20.100000000000001" customHeight="1" x14ac:dyDescent="0.2">
      <c r="B10" s="45" t="str">
        <f t="shared" ca="1" si="0"/>
        <v/>
      </c>
      <c r="C10" s="38" t="str">
        <f>IF(D10="", "", INDEX(BaseRecolhas!A:A, MATCH(D10, BaseRecolhas!B:B, 0)))</f>
        <v/>
      </c>
      <c r="D10" s="38"/>
      <c r="E10" s="38" t="str">
        <f>IF(C10="", "", INDEX(BaseClientes!B:B, MATCH(C10, BaseClientes!A:A, 0)))</f>
        <v/>
      </c>
      <c r="F10" s="38" t="str">
        <f>IF(C10="", "", INDEX(BaseClientes!D:D, MATCH(C10, BaseClientes!A:A, 0)))</f>
        <v/>
      </c>
      <c r="G10" s="41" t="str">
        <f>IF(D10="", "", INDEX(BaseRecolhas!C:C, MATCH(D10, BaseRecolhas!B:B, 0)))</f>
        <v/>
      </c>
      <c r="H10" s="38" t="str">
        <f>IF(D10="", "", INDEX(BaseRecolhas!D:D, MATCH(D10, BaseRecolhas!B:B, 0)) * -1)</f>
        <v/>
      </c>
      <c r="I10" s="38" t="str">
        <f>IFERROR(IF(M10="", "", INDEX(BaseVendedores!B:B, MATCH(M10, BaseVendedores!A:A, 0))), "")</f>
        <v/>
      </c>
      <c r="J10" s="38"/>
      <c r="K10" s="67"/>
      <c r="M10" s="36" t="str">
        <f>IF(C10="", "", INDEX(BaseClientes!I:I, MATCH(C10, BaseClientes!A:A, 0)))</f>
        <v/>
      </c>
    </row>
    <row r="11" spans="2:13" ht="20.100000000000001" customHeight="1" x14ac:dyDescent="0.2">
      <c r="B11" s="44" t="str">
        <f t="shared" ca="1" si="0"/>
        <v/>
      </c>
      <c r="C11" s="37" t="str">
        <f>IF(D11="", "", INDEX(BaseRecolhas!A:A, MATCH(D11, BaseRecolhas!B:B, 0)))</f>
        <v/>
      </c>
      <c r="D11" s="37"/>
      <c r="E11" s="37" t="str">
        <f>IF(C11="", "", INDEX(BaseClientes!B:B, MATCH(C11, BaseClientes!A:A, 0)))</f>
        <v/>
      </c>
      <c r="F11" s="37" t="str">
        <f>IF(C11="", "", INDEX(BaseClientes!D:D, MATCH(C11, BaseClientes!A:A, 0)))</f>
        <v/>
      </c>
      <c r="G11" s="40" t="str">
        <f>IF(D11="", "", INDEX(BaseRecolhas!C:C, MATCH(D11, BaseRecolhas!B:B, 0)))</f>
        <v/>
      </c>
      <c r="H11" s="37" t="str">
        <f>IF(D11="", "", INDEX(BaseRecolhas!D:D, MATCH(D11, BaseRecolhas!B:B, 0)) * -1)</f>
        <v/>
      </c>
      <c r="I11" s="72" t="str">
        <f>IFERROR(IF(M11="", "", INDEX(BaseVendedores!B:B, MATCH(M11, BaseVendedores!A:A, 0))), "")</f>
        <v/>
      </c>
      <c r="J11" s="38"/>
      <c r="K11" s="67"/>
      <c r="M11" s="36" t="str">
        <f>IF(C11="", "", INDEX(BaseClientes!I:I, MATCH(C11, BaseClientes!A:A, 0)))</f>
        <v/>
      </c>
    </row>
    <row r="12" spans="2:13" ht="20.100000000000001" customHeight="1" x14ac:dyDescent="0.2">
      <c r="B12" s="45" t="str">
        <f t="shared" ca="1" si="0"/>
        <v/>
      </c>
      <c r="C12" s="38" t="str">
        <f>IF(D12="", "", INDEX(BaseRecolhas!A:A, MATCH(D12, BaseRecolhas!B:B, 0)))</f>
        <v/>
      </c>
      <c r="D12" s="38"/>
      <c r="E12" s="38" t="str">
        <f>IF(C12="", "", INDEX(BaseClientes!B:B, MATCH(C12, BaseClientes!A:A, 0)))</f>
        <v/>
      </c>
      <c r="F12" s="38" t="str">
        <f>IF(C12="", "", INDEX(BaseClientes!D:D, MATCH(C12, BaseClientes!A:A, 0)))</f>
        <v/>
      </c>
      <c r="G12" s="41" t="str">
        <f>IF(D12="", "", INDEX(BaseRecolhas!C:C, MATCH(D12, BaseRecolhas!B:B, 0)))</f>
        <v/>
      </c>
      <c r="H12" s="38" t="str">
        <f>IF(D12="", "", INDEX(BaseRecolhas!D:D, MATCH(D12, BaseRecolhas!B:B, 0)) * -1)</f>
        <v/>
      </c>
      <c r="I12" s="38" t="str">
        <f>IFERROR(IF(M12="", "", INDEX(BaseVendedores!B:B, MATCH(M12, BaseVendedores!A:A, 0))), "")</f>
        <v/>
      </c>
      <c r="J12" s="38"/>
      <c r="K12" s="67"/>
      <c r="M12" s="36" t="str">
        <f>IF(C12="", "", INDEX(BaseClientes!I:I, MATCH(C12, BaseClientes!A:A, 0)))</f>
        <v/>
      </c>
    </row>
    <row r="13" spans="2:13" ht="20.100000000000001" customHeight="1" x14ac:dyDescent="0.2">
      <c r="B13" s="44" t="str">
        <f t="shared" ca="1" si="0"/>
        <v/>
      </c>
      <c r="C13" s="37" t="str">
        <f>IF(D13="", "", INDEX(BaseRecolhas!A:A, MATCH(D13, BaseRecolhas!B:B, 0)))</f>
        <v/>
      </c>
      <c r="D13" s="37"/>
      <c r="E13" s="37" t="str">
        <f>IF(C13="", "", INDEX(BaseClientes!B:B, MATCH(C13, BaseClientes!A:A, 0)))</f>
        <v/>
      </c>
      <c r="F13" s="37" t="str">
        <f>IF(C13="", "", INDEX(BaseClientes!D:D, MATCH(C13, BaseClientes!A:A, 0)))</f>
        <v/>
      </c>
      <c r="G13" s="40" t="str">
        <f>IF(D13="", "", INDEX(BaseRecolhas!C:C, MATCH(D13, BaseRecolhas!B:B, 0)))</f>
        <v/>
      </c>
      <c r="H13" s="37" t="str">
        <f>IF(D13="", "", INDEX(BaseRecolhas!D:D, MATCH(D13, BaseRecolhas!B:B, 0)) * -1)</f>
        <v/>
      </c>
      <c r="I13" s="72" t="str">
        <f>IFERROR(IF(M13="", "", INDEX(BaseVendedores!B:B, MATCH(M13, BaseVendedores!A:A, 0))), "")</f>
        <v/>
      </c>
      <c r="J13" s="38"/>
      <c r="K13" s="67"/>
      <c r="M13" s="36" t="str">
        <f>IF(C13="", "", INDEX(BaseClientes!I:I, MATCH(C13, BaseClientes!A:A, 0)))</f>
        <v/>
      </c>
    </row>
    <row r="14" spans="2:13" ht="20.100000000000001" customHeight="1" x14ac:dyDescent="0.2">
      <c r="B14" s="45" t="str">
        <f t="shared" ca="1" si="0"/>
        <v/>
      </c>
      <c r="C14" s="38" t="str">
        <f>IF(D14="", "", INDEX(BaseRecolhas!A:A, MATCH(D14, BaseRecolhas!B:B, 0)))</f>
        <v/>
      </c>
      <c r="D14" s="38"/>
      <c r="E14" s="38" t="str">
        <f>IF(C14="", "", INDEX(BaseClientes!B:B, MATCH(C14, BaseClientes!A:A, 0)))</f>
        <v/>
      </c>
      <c r="F14" s="38" t="str">
        <f>IF(C14="", "", INDEX(BaseClientes!D:D, MATCH(C14, BaseClientes!A:A, 0)))</f>
        <v/>
      </c>
      <c r="G14" s="41" t="str">
        <f>IF(D14="", "", INDEX(BaseRecolhas!C:C, MATCH(D14, BaseRecolhas!B:B, 0)))</f>
        <v/>
      </c>
      <c r="H14" s="38" t="str">
        <f>IF(D14="", "", INDEX(BaseRecolhas!D:D, MATCH(D14, BaseRecolhas!B:B, 0)) * -1)</f>
        <v/>
      </c>
      <c r="I14" s="38" t="str">
        <f>IFERROR(IF(M14="", "", INDEX(BaseVendedores!B:B, MATCH(M14, BaseVendedores!A:A, 0))), "")</f>
        <v/>
      </c>
      <c r="J14" s="38"/>
      <c r="K14" s="67"/>
      <c r="M14" s="36" t="str">
        <f>IF(C14="", "", INDEX(BaseClientes!I:I, MATCH(C14, BaseClientes!A:A, 0)))</f>
        <v/>
      </c>
    </row>
    <row r="15" spans="2:13" ht="20.100000000000001" customHeight="1" x14ac:dyDescent="0.2">
      <c r="B15" s="44" t="str">
        <f t="shared" ca="1" si="0"/>
        <v/>
      </c>
      <c r="C15" s="37" t="str">
        <f>IF(D15="", "", INDEX(BaseRecolhas!A:A, MATCH(D15, BaseRecolhas!B:B, 0)))</f>
        <v/>
      </c>
      <c r="D15" s="37"/>
      <c r="E15" s="37" t="str">
        <f>IF(C15="", "", INDEX(BaseClientes!B:B, MATCH(C15, BaseClientes!A:A, 0)))</f>
        <v/>
      </c>
      <c r="F15" s="37" t="str">
        <f>IF(C15="", "", INDEX(BaseClientes!D:D, MATCH(C15, BaseClientes!A:A, 0)))</f>
        <v/>
      </c>
      <c r="G15" s="40" t="str">
        <f>IF(D15="", "", INDEX(BaseRecolhas!C:C, MATCH(D15, BaseRecolhas!B:B, 0)))</f>
        <v/>
      </c>
      <c r="H15" s="37" t="str">
        <f>IF(D15="", "", INDEX(BaseRecolhas!D:D, MATCH(D15, BaseRecolhas!B:B, 0)) * -1)</f>
        <v/>
      </c>
      <c r="I15" s="72" t="str">
        <f>IFERROR(IF(M15="", "", INDEX(BaseVendedores!B:B, MATCH(M15, BaseVendedores!A:A, 0))), "")</f>
        <v/>
      </c>
      <c r="J15" s="38"/>
      <c r="K15" s="67"/>
      <c r="M15" s="36" t="str">
        <f>IF(C15="", "", INDEX(BaseClientes!I:I, MATCH(C15, BaseClientes!A:A, 0)))</f>
        <v/>
      </c>
    </row>
    <row r="16" spans="2:13" ht="20.100000000000001" customHeight="1" x14ac:dyDescent="0.2">
      <c r="B16" s="45" t="str">
        <f t="shared" ca="1" si="0"/>
        <v/>
      </c>
      <c r="C16" s="38" t="str">
        <f>IF(D16="", "", INDEX(BaseRecolhas!A:A, MATCH(D16, BaseRecolhas!B:B, 0)))</f>
        <v/>
      </c>
      <c r="D16" s="38"/>
      <c r="E16" s="38" t="str">
        <f>IF(C16="", "", INDEX(BaseClientes!B:B, MATCH(C16, BaseClientes!A:A, 0)))</f>
        <v/>
      </c>
      <c r="F16" s="38" t="str">
        <f>IF(C16="", "", INDEX(BaseClientes!D:D, MATCH(C16, BaseClientes!A:A, 0)))</f>
        <v/>
      </c>
      <c r="G16" s="41" t="str">
        <f>IF(D16="", "", INDEX(BaseRecolhas!C:C, MATCH(D16, BaseRecolhas!B:B, 0)))</f>
        <v/>
      </c>
      <c r="H16" s="38" t="str">
        <f>IF(D16="", "", INDEX(BaseRecolhas!D:D, MATCH(D16, BaseRecolhas!B:B, 0)) * -1)</f>
        <v/>
      </c>
      <c r="I16" s="38" t="str">
        <f>IFERROR(IF(M16="", "", INDEX(BaseVendedores!B:B, MATCH(M16, BaseVendedores!A:A, 0))), "")</f>
        <v/>
      </c>
      <c r="J16" s="38"/>
      <c r="K16" s="67"/>
      <c r="M16" s="36" t="str">
        <f>IF(C16="", "", INDEX(BaseClientes!I:I, MATCH(C16, BaseClientes!A:A, 0)))</f>
        <v/>
      </c>
    </row>
    <row r="17" spans="2:13" ht="20.100000000000001" customHeight="1" x14ac:dyDescent="0.2">
      <c r="B17" s="44" t="str">
        <f t="shared" ca="1" si="0"/>
        <v/>
      </c>
      <c r="C17" s="37" t="str">
        <f>IF(D17="", "", INDEX(BaseRecolhas!A:A, MATCH(D17, BaseRecolhas!B:B, 0)))</f>
        <v/>
      </c>
      <c r="D17" s="37"/>
      <c r="E17" s="37" t="str">
        <f>IF(C17="", "", INDEX(BaseClientes!B:B, MATCH(C17, BaseClientes!A:A, 0)))</f>
        <v/>
      </c>
      <c r="F17" s="37" t="str">
        <f>IF(C17="", "", INDEX(BaseClientes!D:D, MATCH(C17, BaseClientes!A:A, 0)))</f>
        <v/>
      </c>
      <c r="G17" s="40" t="str">
        <f>IF(D17="", "", INDEX(BaseRecolhas!C:C, MATCH(D17, BaseRecolhas!B:B, 0)))</f>
        <v/>
      </c>
      <c r="H17" s="37" t="str">
        <f>IF(D17="", "", INDEX(BaseRecolhas!D:D, MATCH(D17, BaseRecolhas!B:B, 0)) * -1)</f>
        <v/>
      </c>
      <c r="I17" s="72" t="str">
        <f>IFERROR(IF(M17="", "", INDEX(BaseVendedores!B:B, MATCH(M17, BaseVendedores!A:A, 0))), "")</f>
        <v/>
      </c>
      <c r="J17" s="38"/>
      <c r="K17" s="67"/>
      <c r="M17" s="36" t="str">
        <f>IF(C17="", "", INDEX(BaseClientes!I:I, MATCH(C17, BaseClientes!A:A, 0)))</f>
        <v/>
      </c>
    </row>
    <row r="18" spans="2:13" ht="20.100000000000001" customHeight="1" x14ac:dyDescent="0.2">
      <c r="B18" s="45" t="str">
        <f t="shared" ca="1" si="0"/>
        <v/>
      </c>
      <c r="C18" s="38" t="str">
        <f>IF(D18="", "", INDEX(BaseRecolhas!A:A, MATCH(D18, BaseRecolhas!B:B, 0)))</f>
        <v/>
      </c>
      <c r="D18" s="38"/>
      <c r="E18" s="38" t="str">
        <f>IF(C18="", "", INDEX(BaseClientes!B:B, MATCH(C18, BaseClientes!A:A, 0)))</f>
        <v/>
      </c>
      <c r="F18" s="38" t="str">
        <f>IF(C18="", "", INDEX(BaseClientes!D:D, MATCH(C18, BaseClientes!A:A, 0)))</f>
        <v/>
      </c>
      <c r="G18" s="41" t="str">
        <f>IF(D18="", "", INDEX(BaseRecolhas!C:C, MATCH(D18, BaseRecolhas!B:B, 0)))</f>
        <v/>
      </c>
      <c r="H18" s="38" t="str">
        <f>IF(D18="", "", INDEX(BaseRecolhas!D:D, MATCH(D18, BaseRecolhas!B:B, 0)) * -1)</f>
        <v/>
      </c>
      <c r="I18" s="38" t="str">
        <f>IFERROR(IF(M18="", "", INDEX(BaseVendedores!B:B, MATCH(M18, BaseVendedores!A:A, 0))), "")</f>
        <v/>
      </c>
      <c r="J18" s="38"/>
      <c r="K18" s="67"/>
      <c r="M18" s="36" t="str">
        <f>IF(C18="", "", INDEX(BaseClientes!I:I, MATCH(C18, BaseClientes!A:A, 0)))</f>
        <v/>
      </c>
    </row>
    <row r="19" spans="2:13" ht="20.100000000000001" customHeight="1" x14ac:dyDescent="0.2">
      <c r="B19" s="44" t="str">
        <f t="shared" ca="1" si="0"/>
        <v/>
      </c>
      <c r="C19" s="37" t="str">
        <f>IF(D19="", "", INDEX(BaseRecolhas!A:A, MATCH(D19, BaseRecolhas!B:B, 0)))</f>
        <v/>
      </c>
      <c r="D19" s="37"/>
      <c r="E19" s="37" t="str">
        <f>IF(C19="", "", INDEX(BaseClientes!B:B, MATCH(C19, BaseClientes!A:A, 0)))</f>
        <v/>
      </c>
      <c r="F19" s="37" t="str">
        <f>IF(C19="", "", INDEX(BaseClientes!D:D, MATCH(C19, BaseClientes!A:A, 0)))</f>
        <v/>
      </c>
      <c r="G19" s="40" t="str">
        <f>IF(D19="", "", INDEX(BaseRecolhas!C:C, MATCH(D19, BaseRecolhas!B:B, 0)))</f>
        <v/>
      </c>
      <c r="H19" s="37" t="str">
        <f>IF(D19="", "", INDEX(BaseRecolhas!D:D, MATCH(D19, BaseRecolhas!B:B, 0)) * -1)</f>
        <v/>
      </c>
      <c r="I19" s="72" t="str">
        <f>IFERROR(IF(M19="", "", INDEX(BaseVendedores!B:B, MATCH(M19, BaseVendedores!A:A, 0))), "")</f>
        <v/>
      </c>
      <c r="J19" s="38"/>
      <c r="K19" s="67"/>
      <c r="M19" s="36" t="str">
        <f>IF(C19="", "", INDEX(BaseClientes!I:I, MATCH(C19, BaseClientes!A:A, 0)))</f>
        <v/>
      </c>
    </row>
    <row r="20" spans="2:13" ht="20.100000000000001" customHeight="1" x14ac:dyDescent="0.2">
      <c r="B20" s="45" t="str">
        <f t="shared" ca="1" si="0"/>
        <v/>
      </c>
      <c r="C20" s="38" t="str">
        <f>IF(D20="", "", INDEX(BaseRecolhas!A:A, MATCH(D20, BaseRecolhas!B:B, 0)))</f>
        <v/>
      </c>
      <c r="D20" s="38"/>
      <c r="E20" s="38" t="str">
        <f>IF(C20="", "", INDEX(BaseClientes!B:B, MATCH(C20, BaseClientes!A:A, 0)))</f>
        <v/>
      </c>
      <c r="F20" s="38" t="str">
        <f>IF(C20="", "", INDEX(BaseClientes!D:D, MATCH(C20, BaseClientes!A:A, 0)))</f>
        <v/>
      </c>
      <c r="G20" s="41" t="str">
        <f>IF(D20="", "", INDEX(BaseRecolhas!C:C, MATCH(D20, BaseRecolhas!B:B, 0)))</f>
        <v/>
      </c>
      <c r="H20" s="38" t="str">
        <f>IF(D20="", "", INDEX(BaseRecolhas!D:D, MATCH(D20, BaseRecolhas!B:B, 0)) * -1)</f>
        <v/>
      </c>
      <c r="I20" s="38" t="str">
        <f>IFERROR(IF(M20="", "", INDEX(BaseVendedores!B:B, MATCH(M20, BaseVendedores!A:A, 0))), "")</f>
        <v/>
      </c>
      <c r="J20" s="38"/>
      <c r="K20" s="67"/>
      <c r="M20" s="36" t="str">
        <f>IF(C20="", "", INDEX(BaseClientes!I:I, MATCH(C20, BaseClientes!A:A, 0)))</f>
        <v/>
      </c>
    </row>
    <row r="21" spans="2:13" ht="20.100000000000001" customHeight="1" x14ac:dyDescent="0.2">
      <c r="B21" s="44" t="str">
        <f t="shared" ca="1" si="0"/>
        <v/>
      </c>
      <c r="C21" s="37" t="str">
        <f>IF(D21="", "", INDEX(BaseRecolhas!A:A, MATCH(D21, BaseRecolhas!B:B, 0)))</f>
        <v/>
      </c>
      <c r="D21" s="37"/>
      <c r="E21" s="37" t="str">
        <f>IF(C21="", "", INDEX(BaseClientes!B:B, MATCH(C21, BaseClientes!A:A, 0)))</f>
        <v/>
      </c>
      <c r="F21" s="37" t="str">
        <f>IF(C21="", "", INDEX(BaseClientes!D:D, MATCH(C21, BaseClientes!A:A, 0)))</f>
        <v/>
      </c>
      <c r="G21" s="40" t="str">
        <f>IF(D21="", "", INDEX(BaseRecolhas!C:C, MATCH(D21, BaseRecolhas!B:B, 0)))</f>
        <v/>
      </c>
      <c r="H21" s="37" t="str">
        <f>IF(D21="", "", INDEX(BaseRecolhas!D:D, MATCH(D21, BaseRecolhas!B:B, 0)) * -1)</f>
        <v/>
      </c>
      <c r="I21" s="72" t="str">
        <f>IFERROR(IF(M21="", "", INDEX(BaseVendedores!B:B, MATCH(M21, BaseVendedores!A:A, 0))), "")</f>
        <v/>
      </c>
      <c r="J21" s="38"/>
      <c r="K21" s="67"/>
      <c r="M21" s="36" t="str">
        <f>IF(C21="", "", INDEX(BaseClientes!I:I, MATCH(C21, BaseClientes!A:A, 0)))</f>
        <v/>
      </c>
    </row>
    <row r="22" spans="2:13" ht="20.100000000000001" customHeight="1" x14ac:dyDescent="0.2">
      <c r="B22" s="45" t="str">
        <f t="shared" ca="1" si="0"/>
        <v/>
      </c>
      <c r="C22" s="38" t="str">
        <f>IF(D22="", "", INDEX(BaseRecolhas!A:A, MATCH(D22, BaseRecolhas!B:B, 0)))</f>
        <v/>
      </c>
      <c r="D22" s="38"/>
      <c r="E22" s="38" t="str">
        <f>IF(C22="", "", INDEX(BaseClientes!B:B, MATCH(C22, BaseClientes!A:A, 0)))</f>
        <v/>
      </c>
      <c r="F22" s="38" t="str">
        <f>IF(C22="", "", INDEX(BaseClientes!D:D, MATCH(C22, BaseClientes!A:A, 0)))</f>
        <v/>
      </c>
      <c r="G22" s="41" t="str">
        <f>IF(D22="", "", INDEX(BaseRecolhas!C:C, MATCH(D22, BaseRecolhas!B:B, 0)))</f>
        <v/>
      </c>
      <c r="H22" s="38" t="str">
        <f>IF(D22="", "", INDEX(BaseRecolhas!D:D, MATCH(D22, BaseRecolhas!B:B, 0)) * -1)</f>
        <v/>
      </c>
      <c r="I22" s="38" t="str">
        <f>IFERROR(IF(M22="", "", INDEX(BaseVendedores!B:B, MATCH(M22, BaseVendedores!A:A, 0))), "")</f>
        <v/>
      </c>
      <c r="J22" s="38"/>
      <c r="K22" s="67"/>
      <c r="M22" s="36" t="str">
        <f>IF(C22="", "", INDEX(BaseClientes!I:I, MATCH(C22, BaseClientes!A:A, 0)))</f>
        <v/>
      </c>
    </row>
    <row r="23" spans="2:13" ht="20.100000000000001" customHeight="1" x14ac:dyDescent="0.2">
      <c r="B23" s="44" t="str">
        <f t="shared" ca="1" si="0"/>
        <v/>
      </c>
      <c r="C23" s="37" t="str">
        <f>IF(D23="", "", INDEX(BaseRecolhas!A:A, MATCH(D23, BaseRecolhas!B:B, 0)))</f>
        <v/>
      </c>
      <c r="D23" s="37"/>
      <c r="E23" s="37" t="str">
        <f>IF(C23="", "", INDEX(BaseClientes!B:B, MATCH(C23, BaseClientes!A:A, 0)))</f>
        <v/>
      </c>
      <c r="F23" s="37" t="str">
        <f>IF(C23="", "", INDEX(BaseClientes!D:D, MATCH(C23, BaseClientes!A:A, 0)))</f>
        <v/>
      </c>
      <c r="G23" s="40" t="str">
        <f>IF(D23="", "", INDEX(BaseRecolhas!C:C, MATCH(D23, BaseRecolhas!B:B, 0)))</f>
        <v/>
      </c>
      <c r="H23" s="37" t="str">
        <f>IF(D23="", "", INDEX(BaseRecolhas!D:D, MATCH(D23, BaseRecolhas!B:B, 0)) * -1)</f>
        <v/>
      </c>
      <c r="I23" s="72" t="str">
        <f>IFERROR(IF(M23="", "", INDEX(BaseVendedores!B:B, MATCH(M23, BaseVendedores!A:A, 0))), "")</f>
        <v/>
      </c>
      <c r="J23" s="38"/>
      <c r="K23" s="67"/>
      <c r="M23" s="36" t="str">
        <f>IF(C23="", "", INDEX(BaseClientes!I:I, MATCH(C23, BaseClientes!A:A, 0)))</f>
        <v/>
      </c>
    </row>
    <row r="24" spans="2:13" ht="20.100000000000001" customHeight="1" x14ac:dyDescent="0.2">
      <c r="B24" s="45" t="str">
        <f t="shared" ca="1" si="0"/>
        <v/>
      </c>
      <c r="C24" s="38" t="str">
        <f>IF(D24="", "", INDEX(BaseRecolhas!A:A, MATCH(D24, BaseRecolhas!B:B, 0)))</f>
        <v/>
      </c>
      <c r="D24" s="38"/>
      <c r="E24" s="38" t="str">
        <f>IF(C24="", "", INDEX(BaseClientes!B:B, MATCH(C24, BaseClientes!A:A, 0)))</f>
        <v/>
      </c>
      <c r="F24" s="38" t="str">
        <f>IF(C24="", "", INDEX(BaseClientes!D:D, MATCH(C24, BaseClientes!A:A, 0)))</f>
        <v/>
      </c>
      <c r="G24" s="41" t="str">
        <f>IF(D24="", "", INDEX(BaseRecolhas!C:C, MATCH(D24, BaseRecolhas!B:B, 0)))</f>
        <v/>
      </c>
      <c r="H24" s="38" t="str">
        <f>IF(D24="", "", INDEX(BaseRecolhas!D:D, MATCH(D24, BaseRecolhas!B:B, 0)) * -1)</f>
        <v/>
      </c>
      <c r="I24" s="38" t="str">
        <f>IFERROR(IF(M24="", "", INDEX(BaseVendedores!B:B, MATCH(M24, BaseVendedores!A:A, 0))), "")</f>
        <v/>
      </c>
      <c r="J24" s="38"/>
      <c r="K24" s="67"/>
      <c r="M24" s="36" t="str">
        <f>IF(C24="", "", INDEX(BaseClientes!I:I, MATCH(C24, BaseClientes!A:A, 0)))</f>
        <v/>
      </c>
    </row>
    <row r="25" spans="2:13" ht="20.100000000000001" customHeight="1" x14ac:dyDescent="0.2">
      <c r="B25" s="44" t="str">
        <f t="shared" ca="1" si="0"/>
        <v/>
      </c>
      <c r="C25" s="37" t="str">
        <f>IF(D25="", "", INDEX(BaseRecolhas!A:A, MATCH(D25, BaseRecolhas!B:B, 0)))</f>
        <v/>
      </c>
      <c r="D25" s="37"/>
      <c r="E25" s="37" t="str">
        <f>IF(C25="", "", INDEX(BaseClientes!B:B, MATCH(C25, BaseClientes!A:A, 0)))</f>
        <v/>
      </c>
      <c r="F25" s="37" t="str">
        <f>IF(C25="", "", INDEX(BaseClientes!D:D, MATCH(C25, BaseClientes!A:A, 0)))</f>
        <v/>
      </c>
      <c r="G25" s="40" t="str">
        <f>IF(D25="", "", INDEX(BaseRecolhas!C:C, MATCH(D25, BaseRecolhas!B:B, 0)))</f>
        <v/>
      </c>
      <c r="H25" s="37" t="str">
        <f>IF(D25="", "", INDEX(BaseRecolhas!D:D, MATCH(D25, BaseRecolhas!B:B, 0)) * -1)</f>
        <v/>
      </c>
      <c r="I25" s="72" t="str">
        <f>IFERROR(IF(M25="", "", INDEX(BaseVendedores!B:B, MATCH(M25, BaseVendedores!A:A, 0))), "")</f>
        <v/>
      </c>
      <c r="J25" s="38"/>
      <c r="K25" s="67"/>
      <c r="M25" s="36" t="str">
        <f>IF(C25="", "", INDEX(BaseClientes!I:I, MATCH(C25, BaseClientes!A:A, 0)))</f>
        <v/>
      </c>
    </row>
    <row r="26" spans="2:13" ht="20.100000000000001" customHeight="1" x14ac:dyDescent="0.2">
      <c r="B26" s="45" t="str">
        <f t="shared" ca="1" si="0"/>
        <v/>
      </c>
      <c r="C26" s="38" t="str">
        <f>IF(D26="", "", INDEX(BaseRecolhas!A:A, MATCH(D26, BaseRecolhas!B:B, 0)))</f>
        <v/>
      </c>
      <c r="D26" s="38"/>
      <c r="E26" s="38" t="str">
        <f>IF(C26="", "", INDEX(BaseClientes!B:B, MATCH(C26, BaseClientes!A:A, 0)))</f>
        <v/>
      </c>
      <c r="F26" s="38" t="str">
        <f>IF(C26="", "", INDEX(BaseClientes!D:D, MATCH(C26, BaseClientes!A:A, 0)))</f>
        <v/>
      </c>
      <c r="G26" s="41" t="str">
        <f>IF(D26="", "", INDEX(BaseRecolhas!C:C, MATCH(D26, BaseRecolhas!B:B, 0)))</f>
        <v/>
      </c>
      <c r="H26" s="38" t="str">
        <f>IF(D26="", "", INDEX(BaseRecolhas!D:D, MATCH(D26, BaseRecolhas!B:B, 0)) * -1)</f>
        <v/>
      </c>
      <c r="I26" s="38" t="str">
        <f>IFERROR(IF(M26="", "", INDEX(BaseVendedores!B:B, MATCH(M26, BaseVendedores!A:A, 0))), "")</f>
        <v/>
      </c>
      <c r="J26" s="38"/>
      <c r="K26" s="67"/>
      <c r="M26" s="36" t="str">
        <f>IF(C26="", "", INDEX(BaseClientes!I:I, MATCH(C26, BaseClientes!A:A, 0)))</f>
        <v/>
      </c>
    </row>
    <row r="27" spans="2:13" ht="20.100000000000001" customHeight="1" x14ac:dyDescent="0.2">
      <c r="B27" s="44" t="str">
        <f t="shared" ca="1" si="0"/>
        <v/>
      </c>
      <c r="C27" s="37" t="str">
        <f>IF(D27="", "", INDEX(BaseRecolhas!A:A, MATCH(D27, BaseRecolhas!B:B, 0)))</f>
        <v/>
      </c>
      <c r="D27" s="37"/>
      <c r="E27" s="37" t="str">
        <f>IF(C27="", "", INDEX(BaseClientes!B:B, MATCH(C27, BaseClientes!A:A, 0)))</f>
        <v/>
      </c>
      <c r="F27" s="37" t="str">
        <f>IF(C27="", "", INDEX(BaseClientes!D:D, MATCH(C27, BaseClientes!A:A, 0)))</f>
        <v/>
      </c>
      <c r="G27" s="40" t="str">
        <f>IF(D27="", "", INDEX(BaseRecolhas!C:C, MATCH(D27, BaseRecolhas!B:B, 0)))</f>
        <v/>
      </c>
      <c r="H27" s="37" t="str">
        <f>IF(D27="", "", INDEX(BaseRecolhas!D:D, MATCH(D27, BaseRecolhas!B:B, 0)) * -1)</f>
        <v/>
      </c>
      <c r="I27" s="72" t="str">
        <f>IFERROR(IF(M27="", "", INDEX(BaseVendedores!B:B, MATCH(M27, BaseVendedores!A:A, 0))), "")</f>
        <v/>
      </c>
      <c r="J27" s="38"/>
      <c r="K27" s="67"/>
      <c r="M27" s="36" t="str">
        <f>IF(C27="", "", INDEX(BaseClientes!I:I, MATCH(C27, BaseClientes!A:A, 0)))</f>
        <v/>
      </c>
    </row>
    <row r="28" spans="2:13" ht="20.100000000000001" customHeight="1" x14ac:dyDescent="0.2">
      <c r="B28" s="45" t="str">
        <f t="shared" ca="1" si="0"/>
        <v/>
      </c>
      <c r="C28" s="38" t="str">
        <f>IF(D28="", "", INDEX(BaseRecolhas!A:A, MATCH(D28, BaseRecolhas!B:B, 0)))</f>
        <v/>
      </c>
      <c r="D28" s="38"/>
      <c r="E28" s="38" t="str">
        <f>IF(C28="", "", INDEX(BaseClientes!B:B, MATCH(C28, BaseClientes!A:A, 0)))</f>
        <v/>
      </c>
      <c r="F28" s="38" t="str">
        <f>IF(C28="", "", INDEX(BaseClientes!D:D, MATCH(C28, BaseClientes!A:A, 0)))</f>
        <v/>
      </c>
      <c r="G28" s="41" t="str">
        <f>IF(D28="", "", INDEX(BaseRecolhas!C:C, MATCH(D28, BaseRecolhas!B:B, 0)))</f>
        <v/>
      </c>
      <c r="H28" s="38" t="str">
        <f>IF(D28="", "", INDEX(BaseRecolhas!D:D, MATCH(D28, BaseRecolhas!B:B, 0)) * -1)</f>
        <v/>
      </c>
      <c r="I28" s="38" t="str">
        <f>IFERROR(IF(M28="", "", INDEX(BaseVendedores!B:B, MATCH(M28, BaseVendedores!A:A, 0))), "")</f>
        <v/>
      </c>
      <c r="J28" s="38"/>
      <c r="K28" s="67"/>
      <c r="M28" s="36" t="str">
        <f>IF(C28="", "", INDEX(BaseClientes!I:I, MATCH(C28, BaseClientes!A:A, 0)))</f>
        <v/>
      </c>
    </row>
    <row r="29" spans="2:13" ht="20.100000000000001" customHeight="1" x14ac:dyDescent="0.2">
      <c r="B29" s="44" t="str">
        <f t="shared" ca="1" si="0"/>
        <v/>
      </c>
      <c r="C29" s="37" t="str">
        <f>IF(D29="", "", INDEX(BaseRecolhas!A:A, MATCH(D29, BaseRecolhas!B:B, 0)))</f>
        <v/>
      </c>
      <c r="D29" s="37"/>
      <c r="E29" s="37" t="str">
        <f>IF(C29="", "", INDEX(BaseClientes!B:B, MATCH(C29, BaseClientes!A:A, 0)))</f>
        <v/>
      </c>
      <c r="F29" s="37" t="str">
        <f>IF(C29="", "", INDEX(BaseClientes!D:D, MATCH(C29, BaseClientes!A:A, 0)))</f>
        <v/>
      </c>
      <c r="G29" s="40" t="str">
        <f>IF(D29="", "", INDEX(BaseRecolhas!C:C, MATCH(D29, BaseRecolhas!B:B, 0)))</f>
        <v/>
      </c>
      <c r="H29" s="37" t="str">
        <f>IF(D29="", "", INDEX(BaseRecolhas!D:D, MATCH(D29, BaseRecolhas!B:B, 0)) * -1)</f>
        <v/>
      </c>
      <c r="I29" s="72" t="str">
        <f>IFERROR(IF(M29="", "", INDEX(BaseVendedores!B:B, MATCH(M29, BaseVendedores!A:A, 0))), "")</f>
        <v/>
      </c>
      <c r="J29" s="38"/>
      <c r="K29" s="67"/>
      <c r="M29" s="36" t="str">
        <f>IF(C29="", "", INDEX(BaseClientes!I:I, MATCH(C29, BaseClientes!A:A, 0)))</f>
        <v/>
      </c>
    </row>
    <row r="30" spans="2:13" ht="20.100000000000001" customHeight="1" x14ac:dyDescent="0.2">
      <c r="B30" s="45" t="str">
        <f t="shared" ca="1" si="0"/>
        <v/>
      </c>
      <c r="C30" s="38" t="str">
        <f>IF(D30="", "", INDEX(BaseRecolhas!A:A, MATCH(D30, BaseRecolhas!B:B, 0)))</f>
        <v/>
      </c>
      <c r="D30" s="38"/>
      <c r="E30" s="38" t="str">
        <f>IF(C30="", "", INDEX(BaseClientes!B:B, MATCH(C30, BaseClientes!A:A, 0)))</f>
        <v/>
      </c>
      <c r="F30" s="38" t="str">
        <f>IF(C30="", "", INDEX(BaseClientes!D:D, MATCH(C30, BaseClientes!A:A, 0)))</f>
        <v/>
      </c>
      <c r="G30" s="41" t="str">
        <f>IF(D30="", "", INDEX(BaseRecolhas!C:C, MATCH(D30, BaseRecolhas!B:B, 0)))</f>
        <v/>
      </c>
      <c r="H30" s="38" t="str">
        <f>IF(D30="", "", INDEX(BaseRecolhas!D:D, MATCH(D30, BaseRecolhas!B:B, 0)) * -1)</f>
        <v/>
      </c>
      <c r="I30" s="38" t="str">
        <f>IFERROR(IF(M30="", "", INDEX(BaseVendedores!B:B, MATCH(M30, BaseVendedores!A:A, 0))), "")</f>
        <v/>
      </c>
      <c r="J30" s="38"/>
      <c r="K30" s="67"/>
      <c r="M30" s="36" t="str">
        <f>IF(C30="", "", INDEX(BaseClientes!I:I, MATCH(C30, BaseClientes!A:A, 0)))</f>
        <v/>
      </c>
    </row>
    <row r="31" spans="2:13" ht="20.100000000000001" customHeight="1" x14ac:dyDescent="0.2">
      <c r="B31" s="44" t="str">
        <f t="shared" ca="1" si="0"/>
        <v/>
      </c>
      <c r="C31" s="37" t="str">
        <f>IF(D31="", "", INDEX(BaseRecolhas!A:A, MATCH(D31, BaseRecolhas!B:B, 0)))</f>
        <v/>
      </c>
      <c r="D31" s="37"/>
      <c r="E31" s="37" t="str">
        <f>IF(C31="", "", INDEX(BaseClientes!B:B, MATCH(C31, BaseClientes!A:A, 0)))</f>
        <v/>
      </c>
      <c r="F31" s="37" t="str">
        <f>IF(C31="", "", INDEX(BaseClientes!D:D, MATCH(C31, BaseClientes!A:A, 0)))</f>
        <v/>
      </c>
      <c r="G31" s="40" t="str">
        <f>IF(D31="", "", INDEX(BaseRecolhas!C:C, MATCH(D31, BaseRecolhas!B:B, 0)))</f>
        <v/>
      </c>
      <c r="H31" s="37" t="str">
        <f>IF(D31="", "", INDEX(BaseRecolhas!D:D, MATCH(D31, BaseRecolhas!B:B, 0)) * -1)</f>
        <v/>
      </c>
      <c r="I31" s="72" t="str">
        <f>IFERROR(IF(M31="", "", INDEX(BaseVendedores!B:B, MATCH(M31, BaseVendedores!A:A, 0))), "")</f>
        <v/>
      </c>
      <c r="J31" s="38"/>
      <c r="K31" s="67"/>
      <c r="M31" s="36" t="str">
        <f>IF(C31="", "", INDEX(BaseClientes!I:I, MATCH(C31, BaseClientes!A:A, 0)))</f>
        <v/>
      </c>
    </row>
    <row r="32" spans="2:13" ht="20.100000000000001" customHeight="1" x14ac:dyDescent="0.2">
      <c r="B32" s="45" t="str">
        <f t="shared" ca="1" si="0"/>
        <v/>
      </c>
      <c r="C32" s="38" t="str">
        <f>IF(D32="", "", INDEX(BaseRecolhas!A:A, MATCH(D32, BaseRecolhas!B:B, 0)))</f>
        <v/>
      </c>
      <c r="D32" s="38"/>
      <c r="E32" s="38" t="str">
        <f>IF(C32="", "", INDEX(BaseClientes!B:B, MATCH(C32, BaseClientes!A:A, 0)))</f>
        <v/>
      </c>
      <c r="F32" s="38" t="str">
        <f>IF(C32="", "", INDEX(BaseClientes!D:D, MATCH(C32, BaseClientes!A:A, 0)))</f>
        <v/>
      </c>
      <c r="G32" s="41" t="str">
        <f>IF(D32="", "", INDEX(BaseRecolhas!C:C, MATCH(D32, BaseRecolhas!B:B, 0)))</f>
        <v/>
      </c>
      <c r="H32" s="38" t="str">
        <f>IF(D32="", "", INDEX(BaseRecolhas!D:D, MATCH(D32, BaseRecolhas!B:B, 0)) * -1)</f>
        <v/>
      </c>
      <c r="I32" s="38" t="str">
        <f>IFERROR(IF(M32="", "", INDEX(BaseVendedores!B:B, MATCH(M32, BaseVendedores!A:A, 0))), "")</f>
        <v/>
      </c>
      <c r="J32" s="38"/>
      <c r="K32" s="67"/>
      <c r="M32" s="36" t="str">
        <f>IF(C32="", "", INDEX(BaseClientes!I:I, MATCH(C32, BaseClientes!A:A, 0)))</f>
        <v/>
      </c>
    </row>
    <row r="33" spans="2:13" ht="20.100000000000001" customHeight="1" x14ac:dyDescent="0.2">
      <c r="B33" s="44" t="str">
        <f t="shared" ca="1" si="0"/>
        <v/>
      </c>
      <c r="C33" s="37" t="str">
        <f>IF(D33="", "", INDEX(BaseRecolhas!A:A, MATCH(D33, BaseRecolhas!B:B, 0)))</f>
        <v/>
      </c>
      <c r="D33" s="37"/>
      <c r="E33" s="37" t="str">
        <f>IF(C33="", "", INDEX(BaseClientes!B:B, MATCH(C33, BaseClientes!A:A, 0)))</f>
        <v/>
      </c>
      <c r="F33" s="37" t="str">
        <f>IF(C33="", "", INDEX(BaseClientes!D:D, MATCH(C33, BaseClientes!A:A, 0)))</f>
        <v/>
      </c>
      <c r="G33" s="40" t="str">
        <f>IF(D33="", "", INDEX(BaseRecolhas!C:C, MATCH(D33, BaseRecolhas!B:B, 0)))</f>
        <v/>
      </c>
      <c r="H33" s="37" t="str">
        <f>IF(D33="", "", INDEX(BaseRecolhas!D:D, MATCH(D33, BaseRecolhas!B:B, 0)) * -1)</f>
        <v/>
      </c>
      <c r="I33" s="72" t="str">
        <f>IFERROR(IF(M33="", "", INDEX(BaseVendedores!B:B, MATCH(M33, BaseVendedores!A:A, 0))), "")</f>
        <v/>
      </c>
      <c r="J33" s="38"/>
      <c r="K33" s="67"/>
      <c r="M33" s="36" t="str">
        <f>IF(C33="", "", INDEX(BaseClientes!I:I, MATCH(C33, BaseClientes!A:A, 0)))</f>
        <v/>
      </c>
    </row>
    <row r="34" spans="2:13" ht="20.100000000000001" customHeight="1" x14ac:dyDescent="0.2">
      <c r="B34" s="45" t="str">
        <f t="shared" ca="1" si="0"/>
        <v/>
      </c>
      <c r="C34" s="38" t="str">
        <f>IF(D34="", "", INDEX(BaseRecolhas!A:A, MATCH(D34, BaseRecolhas!B:B, 0)))</f>
        <v/>
      </c>
      <c r="D34" s="38"/>
      <c r="E34" s="38" t="str">
        <f>IF(C34="", "", INDEX(BaseClientes!B:B, MATCH(C34, BaseClientes!A:A, 0)))</f>
        <v/>
      </c>
      <c r="F34" s="38" t="str">
        <f>IF(C34="", "", INDEX(BaseClientes!D:D, MATCH(C34, BaseClientes!A:A, 0)))</f>
        <v/>
      </c>
      <c r="G34" s="41" t="str">
        <f>IF(D34="", "", INDEX(BaseRecolhas!C:C, MATCH(D34, BaseRecolhas!B:B, 0)))</f>
        <v/>
      </c>
      <c r="H34" s="38" t="str">
        <f>IF(D34="", "", INDEX(BaseRecolhas!D:D, MATCH(D34, BaseRecolhas!B:B, 0)) * -1)</f>
        <v/>
      </c>
      <c r="I34" s="38" t="str">
        <f>IFERROR(IF(M34="", "", INDEX(BaseVendedores!B:B, MATCH(M34, BaseVendedores!A:A, 0))), "")</f>
        <v/>
      </c>
      <c r="J34" s="38"/>
      <c r="K34" s="67"/>
      <c r="M34" s="36" t="str">
        <f>IF(C34="", "", INDEX(BaseClientes!I:I, MATCH(C34, BaseClientes!A:A, 0)))</f>
        <v/>
      </c>
    </row>
    <row r="35" spans="2:13" ht="20.100000000000001" customHeight="1" x14ac:dyDescent="0.2">
      <c r="B35" s="44" t="str">
        <f t="shared" ca="1" si="0"/>
        <v/>
      </c>
      <c r="C35" s="37" t="str">
        <f>IF(D35="", "", INDEX(BaseRecolhas!A:A, MATCH(D35, BaseRecolhas!B:B, 0)))</f>
        <v/>
      </c>
      <c r="D35" s="37"/>
      <c r="E35" s="37" t="str">
        <f>IF(C35="", "", INDEX(BaseClientes!B:B, MATCH(C35, BaseClientes!A:A, 0)))</f>
        <v/>
      </c>
      <c r="F35" s="37" t="str">
        <f>IF(C35="", "", INDEX(BaseClientes!D:D, MATCH(C35, BaseClientes!A:A, 0)))</f>
        <v/>
      </c>
      <c r="G35" s="40" t="str">
        <f>IF(D35="", "", INDEX(BaseRecolhas!C:C, MATCH(D35, BaseRecolhas!B:B, 0)))</f>
        <v/>
      </c>
      <c r="H35" s="37" t="str">
        <f>IF(D35="", "", INDEX(BaseRecolhas!D:D, MATCH(D35, BaseRecolhas!B:B, 0)) * -1)</f>
        <v/>
      </c>
      <c r="I35" s="72" t="str">
        <f>IFERROR(IF(M35="", "", INDEX(BaseVendedores!B:B, MATCH(M35, BaseVendedores!A:A, 0))), "")</f>
        <v/>
      </c>
      <c r="J35" s="38"/>
      <c r="K35" s="67"/>
      <c r="M35" s="36" t="str">
        <f>IF(C35="", "", INDEX(BaseClientes!I:I, MATCH(C35, BaseClientes!A:A, 0)))</f>
        <v/>
      </c>
    </row>
    <row r="36" spans="2:13" ht="20.100000000000001" customHeight="1" x14ac:dyDescent="0.2">
      <c r="B36" s="45" t="str">
        <f t="shared" ca="1" si="0"/>
        <v/>
      </c>
      <c r="C36" s="38" t="str">
        <f>IF(D36="", "", INDEX(BaseRecolhas!A:A, MATCH(D36, BaseRecolhas!B:B, 0)))</f>
        <v/>
      </c>
      <c r="D36" s="38"/>
      <c r="E36" s="38" t="str">
        <f>IF(C36="", "", INDEX(BaseClientes!B:B, MATCH(C36, BaseClientes!A:A, 0)))</f>
        <v/>
      </c>
      <c r="F36" s="38" t="str">
        <f>IF(C36="", "", INDEX(BaseClientes!D:D, MATCH(C36, BaseClientes!A:A, 0)))</f>
        <v/>
      </c>
      <c r="G36" s="41" t="str">
        <f>IF(D36="", "", INDEX(BaseRecolhas!C:C, MATCH(D36, BaseRecolhas!B:B, 0)))</f>
        <v/>
      </c>
      <c r="H36" s="38" t="str">
        <f>IF(D36="", "", INDEX(BaseRecolhas!D:D, MATCH(D36, BaseRecolhas!B:B, 0)) * -1)</f>
        <v/>
      </c>
      <c r="I36" s="38" t="str">
        <f>IFERROR(IF(M36="", "", INDEX(BaseVendedores!B:B, MATCH(M36, BaseVendedores!A:A, 0))), "")</f>
        <v/>
      </c>
      <c r="J36" s="38"/>
      <c r="K36" s="67"/>
      <c r="M36" s="36" t="str">
        <f>IF(C36="", "", INDEX(BaseClientes!I:I, MATCH(C36, BaseClientes!A:A, 0)))</f>
        <v/>
      </c>
    </row>
    <row r="37" spans="2:13" ht="20.100000000000001" customHeight="1" x14ac:dyDescent="0.2">
      <c r="B37" s="44" t="str">
        <f t="shared" ca="1" si="0"/>
        <v/>
      </c>
      <c r="C37" s="37" t="str">
        <f>IF(D37="", "", INDEX(BaseRecolhas!A:A, MATCH(D37, BaseRecolhas!B:B, 0)))</f>
        <v/>
      </c>
      <c r="D37" s="37"/>
      <c r="E37" s="37" t="str">
        <f>IF(C37="", "", INDEX(BaseClientes!B:B, MATCH(C37, BaseClientes!A:A, 0)))</f>
        <v/>
      </c>
      <c r="F37" s="37" t="str">
        <f>IF(C37="", "", INDEX(BaseClientes!D:D, MATCH(C37, BaseClientes!A:A, 0)))</f>
        <v/>
      </c>
      <c r="G37" s="40" t="str">
        <f>IF(D37="", "", INDEX(BaseRecolhas!C:C, MATCH(D37, BaseRecolhas!B:B, 0)))</f>
        <v/>
      </c>
      <c r="H37" s="37" t="str">
        <f>IF(D37="", "", INDEX(BaseRecolhas!D:D, MATCH(D37, BaseRecolhas!B:B, 0)) * -1)</f>
        <v/>
      </c>
      <c r="I37" s="72" t="str">
        <f>IFERROR(IF(M37="", "", INDEX(BaseVendedores!B:B, MATCH(M37, BaseVendedores!A:A, 0))), "")</f>
        <v/>
      </c>
      <c r="J37" s="38"/>
      <c r="K37" s="67"/>
      <c r="M37" s="36" t="str">
        <f>IF(C37="", "", INDEX(BaseClientes!I:I, MATCH(C37, BaseClientes!A:A, 0)))</f>
        <v/>
      </c>
    </row>
    <row r="38" spans="2:13" ht="20.100000000000001" customHeight="1" x14ac:dyDescent="0.2">
      <c r="B38" s="45" t="str">
        <f t="shared" ca="1" si="0"/>
        <v/>
      </c>
      <c r="C38" s="38" t="str">
        <f>IF(D38="", "", INDEX(BaseRecolhas!A:A, MATCH(D38, BaseRecolhas!B:B, 0)))</f>
        <v/>
      </c>
      <c r="D38" s="38"/>
      <c r="E38" s="38" t="str">
        <f>IF(C38="", "", INDEX(BaseClientes!B:B, MATCH(C38, BaseClientes!A:A, 0)))</f>
        <v/>
      </c>
      <c r="F38" s="38" t="str">
        <f>IF(C38="", "", INDEX(BaseClientes!D:D, MATCH(C38, BaseClientes!A:A, 0)))</f>
        <v/>
      </c>
      <c r="G38" s="41" t="str">
        <f>IF(D38="", "", INDEX(BaseRecolhas!C:C, MATCH(D38, BaseRecolhas!B:B, 0)))</f>
        <v/>
      </c>
      <c r="H38" s="38" t="str">
        <f>IF(D38="", "", INDEX(BaseRecolhas!D:D, MATCH(D38, BaseRecolhas!B:B, 0)) * -1)</f>
        <v/>
      </c>
      <c r="I38" s="38" t="str">
        <f>IFERROR(IF(M38="", "", INDEX(BaseVendedores!B:B, MATCH(M38, BaseVendedores!A:A, 0))), "")</f>
        <v/>
      </c>
      <c r="J38" s="38"/>
      <c r="K38" s="67"/>
      <c r="M38" s="36" t="str">
        <f>IF(C38="", "", INDEX(BaseClientes!I:I, MATCH(C38, BaseClientes!A:A, 0)))</f>
        <v/>
      </c>
    </row>
    <row r="39" spans="2:13" ht="20.100000000000001" customHeight="1" x14ac:dyDescent="0.2">
      <c r="B39" s="44" t="str">
        <f t="shared" ca="1" si="0"/>
        <v/>
      </c>
      <c r="C39" s="37" t="str">
        <f>IF(D39="", "", INDEX(BaseRecolhas!A:A, MATCH(D39, BaseRecolhas!B:B, 0)))</f>
        <v/>
      </c>
      <c r="D39" s="37"/>
      <c r="E39" s="37" t="str">
        <f>IF(C39="", "", INDEX(BaseClientes!B:B, MATCH(C39, BaseClientes!A:A, 0)))</f>
        <v/>
      </c>
      <c r="F39" s="37" t="str">
        <f>IF(C39="", "", INDEX(BaseClientes!D:D, MATCH(C39, BaseClientes!A:A, 0)))</f>
        <v/>
      </c>
      <c r="G39" s="40" t="str">
        <f>IF(D39="", "", INDEX(BaseRecolhas!C:C, MATCH(D39, BaseRecolhas!B:B, 0)))</f>
        <v/>
      </c>
      <c r="H39" s="37" t="str">
        <f>IF(D39="", "", INDEX(BaseRecolhas!D:D, MATCH(D39, BaseRecolhas!B:B, 0)) * -1)</f>
        <v/>
      </c>
      <c r="I39" s="72" t="str">
        <f>IFERROR(IF(M39="", "", INDEX(BaseVendedores!B:B, MATCH(M39, BaseVendedores!A:A, 0))), "")</f>
        <v/>
      </c>
      <c r="J39" s="38"/>
      <c r="K39" s="67"/>
      <c r="M39" s="36" t="str">
        <f>IF(C39="", "", INDEX(BaseClientes!I:I, MATCH(C39, BaseClientes!A:A, 0)))</f>
        <v/>
      </c>
    </row>
    <row r="40" spans="2:13" ht="20.100000000000001" customHeight="1" x14ac:dyDescent="0.2">
      <c r="B40" s="45" t="str">
        <f t="shared" ca="1" si="0"/>
        <v/>
      </c>
      <c r="C40" s="38" t="str">
        <f>IF(D40="", "", INDEX(BaseRecolhas!A:A, MATCH(D40, BaseRecolhas!B:B, 0)))</f>
        <v/>
      </c>
      <c r="D40" s="38"/>
      <c r="E40" s="38" t="str">
        <f>IF(C40="", "", INDEX(BaseClientes!B:B, MATCH(C40, BaseClientes!A:A, 0)))</f>
        <v/>
      </c>
      <c r="F40" s="38" t="str">
        <f>IF(C40="", "", INDEX(BaseClientes!D:D, MATCH(C40, BaseClientes!A:A, 0)))</f>
        <v/>
      </c>
      <c r="G40" s="41" t="str">
        <f>IF(D40="", "", INDEX(BaseRecolhas!C:C, MATCH(D40, BaseRecolhas!B:B, 0)))</f>
        <v/>
      </c>
      <c r="H40" s="38" t="str">
        <f>IF(D40="", "", INDEX(BaseRecolhas!D:D, MATCH(D40, BaseRecolhas!B:B, 0)) * -1)</f>
        <v/>
      </c>
      <c r="I40" s="38" t="str">
        <f>IFERROR(IF(M40="", "", INDEX(BaseVendedores!B:B, MATCH(M40, BaseVendedores!A:A, 0))), "")</f>
        <v/>
      </c>
      <c r="J40" s="38"/>
      <c r="K40" s="67"/>
      <c r="M40" s="36" t="str">
        <f>IF(C40="", "", INDEX(BaseClientes!I:I, MATCH(C40, BaseClientes!A:A, 0)))</f>
        <v/>
      </c>
    </row>
    <row r="41" spans="2:13" ht="15" x14ac:dyDescent="0.2">
      <c r="B41" s="46"/>
      <c r="C41" s="39"/>
      <c r="D41" s="39"/>
      <c r="E41" s="39"/>
      <c r="F41" s="39"/>
      <c r="G41" s="42"/>
      <c r="H41" s="39"/>
      <c r="I41" s="39"/>
      <c r="J41" s="39"/>
      <c r="K41" s="39"/>
    </row>
  </sheetData>
  <mergeCells count="1">
    <mergeCell ref="B1:K1"/>
  </mergeCells>
  <conditionalFormatting sqref="K3:K40">
    <cfRule type="containsText" dxfId="17" priority="3" operator="containsText" text="RECOLHIDO">
      <formula>NOT(ISERROR(SEARCH("RECOLHIDO",K3)))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C0963-8581-4670-A25D-2DE2272BD65B}">
  <sheetPr codeName="Planilha5">
    <tabColor rgb="FF7030A0"/>
  </sheetPr>
  <dimension ref="A1:M3588"/>
  <sheetViews>
    <sheetView workbookViewId="0">
      <selection activeCell="D3" sqref="D3"/>
    </sheetView>
  </sheetViews>
  <sheetFormatPr defaultColWidth="0" defaultRowHeight="15" x14ac:dyDescent="0.2"/>
  <cols>
    <col min="1" max="1" width="11.5703125" style="13" customWidth="1"/>
    <col min="2" max="2" width="11.140625" style="2" customWidth="1"/>
    <col min="3" max="3" width="34.28515625" style="2" customWidth="1"/>
    <col min="4" max="4" width="12.28515625" style="2" customWidth="1"/>
    <col min="5" max="5" width="19.42578125" style="3" customWidth="1"/>
    <col min="6" max="6" width="13.140625" style="2" customWidth="1"/>
    <col min="7" max="7" width="9.140625" style="1" customWidth="1"/>
    <col min="8" max="8" width="8" style="1" customWidth="1"/>
    <col min="9" max="9" width="16.85546875" style="1" customWidth="1"/>
    <col min="10" max="16384" width="9.140625" style="1" hidden="1"/>
  </cols>
  <sheetData>
    <row r="1" spans="1:13" ht="15.75" customHeight="1" x14ac:dyDescent="0.2">
      <c r="A1" s="125" t="s">
        <v>14</v>
      </c>
      <c r="B1" s="126"/>
      <c r="C1" s="126"/>
      <c r="D1" s="126"/>
      <c r="E1" s="126"/>
      <c r="F1" s="127"/>
    </row>
    <row r="2" spans="1:13" ht="16.5" thickBot="1" x14ac:dyDescent="0.3">
      <c r="A2" s="56" t="s">
        <v>0</v>
      </c>
      <c r="B2" s="57" t="s">
        <v>1</v>
      </c>
      <c r="C2" s="57" t="s">
        <v>3</v>
      </c>
      <c r="D2" s="57" t="s">
        <v>2</v>
      </c>
      <c r="E2" s="58" t="s">
        <v>11</v>
      </c>
      <c r="F2" s="59" t="s">
        <v>12</v>
      </c>
      <c r="M2" t="s">
        <v>34</v>
      </c>
    </row>
    <row r="3" spans="1:13" ht="15.75" x14ac:dyDescent="0.25">
      <c r="A3" s="14"/>
      <c r="B3" s="15"/>
      <c r="C3" s="15"/>
      <c r="D3" s="15"/>
      <c r="E3" s="16"/>
      <c r="F3" s="15"/>
      <c r="M3" t="s">
        <v>35</v>
      </c>
    </row>
    <row r="4" spans="1:13" ht="15.75" x14ac:dyDescent="0.25">
      <c r="M4" t="s">
        <v>117</v>
      </c>
    </row>
    <row r="5" spans="1:13" ht="15.75" x14ac:dyDescent="0.25">
      <c r="M5" t="s">
        <v>95</v>
      </c>
    </row>
    <row r="6" spans="1:13" ht="15.75" x14ac:dyDescent="0.25">
      <c r="M6" t="s">
        <v>119</v>
      </c>
    </row>
    <row r="7" spans="1:13" ht="15.75" x14ac:dyDescent="0.25">
      <c r="M7" t="s">
        <v>120</v>
      </c>
    </row>
    <row r="8" spans="1:13" ht="15.75" x14ac:dyDescent="0.25">
      <c r="M8" t="s">
        <v>121</v>
      </c>
    </row>
    <row r="9" spans="1:13" ht="15.75" x14ac:dyDescent="0.25">
      <c r="M9" t="s">
        <v>122</v>
      </c>
    </row>
    <row r="10" spans="1:13" ht="15.75" x14ac:dyDescent="0.25">
      <c r="M10" t="s">
        <v>123</v>
      </c>
    </row>
    <row r="11" spans="1:13" ht="15.75" x14ac:dyDescent="0.25">
      <c r="M11" t="s">
        <v>124</v>
      </c>
    </row>
    <row r="12" spans="1:13" ht="15.75" x14ac:dyDescent="0.25">
      <c r="M12" t="s">
        <v>125</v>
      </c>
    </row>
    <row r="13" spans="1:13" ht="15.75" x14ac:dyDescent="0.25">
      <c r="M13" t="s">
        <v>126</v>
      </c>
    </row>
    <row r="14" spans="1:13" ht="15.75" x14ac:dyDescent="0.25">
      <c r="M14" t="s">
        <v>127</v>
      </c>
    </row>
    <row r="15" spans="1:13" ht="15.75" x14ac:dyDescent="0.25">
      <c r="M15" t="s">
        <v>128</v>
      </c>
    </row>
    <row r="16" spans="1:13" ht="15.75" x14ac:dyDescent="0.25">
      <c r="M16" t="s">
        <v>129</v>
      </c>
    </row>
    <row r="17" spans="13:13" ht="15.75" x14ac:dyDescent="0.25">
      <c r="M17" t="s">
        <v>130</v>
      </c>
    </row>
    <row r="18" spans="13:13" ht="15.75" x14ac:dyDescent="0.25">
      <c r="M18" t="s">
        <v>131</v>
      </c>
    </row>
    <row r="19" spans="13:13" ht="15.75" x14ac:dyDescent="0.25">
      <c r="M19" t="s">
        <v>132</v>
      </c>
    </row>
    <row r="20" spans="13:13" ht="15.75" x14ac:dyDescent="0.25">
      <c r="M20" t="s">
        <v>133</v>
      </c>
    </row>
    <row r="21" spans="13:13" ht="15.75" x14ac:dyDescent="0.25">
      <c r="M21" t="s">
        <v>134</v>
      </c>
    </row>
    <row r="22" spans="13:13" ht="15.75" x14ac:dyDescent="0.25">
      <c r="M22" t="s">
        <v>135</v>
      </c>
    </row>
    <row r="23" spans="13:13" ht="15.75" x14ac:dyDescent="0.25">
      <c r="M23" t="s">
        <v>136</v>
      </c>
    </row>
    <row r="24" spans="13:13" ht="15.75" x14ac:dyDescent="0.25">
      <c r="M24" t="s">
        <v>137</v>
      </c>
    </row>
    <row r="25" spans="13:13" ht="15.75" x14ac:dyDescent="0.25">
      <c r="M25" t="s">
        <v>138</v>
      </c>
    </row>
    <row r="26" spans="13:13" ht="15.75" x14ac:dyDescent="0.25">
      <c r="M26" t="s">
        <v>139</v>
      </c>
    </row>
    <row r="27" spans="13:13" ht="15.75" x14ac:dyDescent="0.25">
      <c r="M27" t="s">
        <v>140</v>
      </c>
    </row>
    <row r="28" spans="13:13" ht="15.75" x14ac:dyDescent="0.25">
      <c r="M28" t="s">
        <v>141</v>
      </c>
    </row>
    <row r="29" spans="13:13" ht="15.75" x14ac:dyDescent="0.25">
      <c r="M29" t="s">
        <v>142</v>
      </c>
    </row>
    <row r="30" spans="13:13" ht="15.75" x14ac:dyDescent="0.25">
      <c r="M30" t="s">
        <v>143</v>
      </c>
    </row>
    <row r="31" spans="13:13" ht="15.75" x14ac:dyDescent="0.25">
      <c r="M31" t="s">
        <v>144</v>
      </c>
    </row>
    <row r="32" spans="13:13" ht="15.75" x14ac:dyDescent="0.25">
      <c r="M32" t="s">
        <v>85</v>
      </c>
    </row>
    <row r="33" spans="13:13" ht="15.75" x14ac:dyDescent="0.25">
      <c r="M33" t="s">
        <v>145</v>
      </c>
    </row>
    <row r="34" spans="13:13" ht="15.75" x14ac:dyDescent="0.25">
      <c r="M34" t="s">
        <v>146</v>
      </c>
    </row>
    <row r="35" spans="13:13" ht="15.75" x14ac:dyDescent="0.25">
      <c r="M35" t="s">
        <v>147</v>
      </c>
    </row>
    <row r="36" spans="13:13" ht="15.75" x14ac:dyDescent="0.25">
      <c r="M36" t="s">
        <v>148</v>
      </c>
    </row>
    <row r="37" spans="13:13" ht="15.75" x14ac:dyDescent="0.25">
      <c r="M37" t="s">
        <v>149</v>
      </c>
    </row>
    <row r="38" spans="13:13" ht="15.75" x14ac:dyDescent="0.25">
      <c r="M38" t="s">
        <v>150</v>
      </c>
    </row>
    <row r="39" spans="13:13" ht="15.75" x14ac:dyDescent="0.25">
      <c r="M39" t="s">
        <v>151</v>
      </c>
    </row>
    <row r="40" spans="13:13" ht="15.75" x14ac:dyDescent="0.25">
      <c r="M40" t="s">
        <v>152</v>
      </c>
    </row>
    <row r="41" spans="13:13" ht="15.75" x14ac:dyDescent="0.25">
      <c r="M41" t="s">
        <v>153</v>
      </c>
    </row>
    <row r="42" spans="13:13" ht="15.75" x14ac:dyDescent="0.25">
      <c r="M42" t="s">
        <v>154</v>
      </c>
    </row>
    <row r="43" spans="13:13" ht="15.75" x14ac:dyDescent="0.25">
      <c r="M43" t="s">
        <v>155</v>
      </c>
    </row>
    <row r="44" spans="13:13" ht="15.75" x14ac:dyDescent="0.25">
      <c r="M44" t="s">
        <v>156</v>
      </c>
    </row>
    <row r="45" spans="13:13" ht="15.75" x14ac:dyDescent="0.25">
      <c r="M45" t="s">
        <v>157</v>
      </c>
    </row>
    <row r="46" spans="13:13" ht="15.75" x14ac:dyDescent="0.25">
      <c r="M46" t="s">
        <v>158</v>
      </c>
    </row>
    <row r="47" spans="13:13" ht="15.75" x14ac:dyDescent="0.25">
      <c r="M47" t="s">
        <v>91</v>
      </c>
    </row>
    <row r="48" spans="13:13" ht="15.75" x14ac:dyDescent="0.25">
      <c r="M48" t="s">
        <v>159</v>
      </c>
    </row>
    <row r="49" spans="13:13" ht="15.75" x14ac:dyDescent="0.25">
      <c r="M49" t="s">
        <v>160</v>
      </c>
    </row>
    <row r="50" spans="13:13" ht="15.75" x14ac:dyDescent="0.25">
      <c r="M50" t="s">
        <v>161</v>
      </c>
    </row>
    <row r="51" spans="13:13" ht="15.75" x14ac:dyDescent="0.25">
      <c r="M51" t="s">
        <v>162</v>
      </c>
    </row>
    <row r="52" spans="13:13" ht="15.75" x14ac:dyDescent="0.25">
      <c r="M52" t="s">
        <v>163</v>
      </c>
    </row>
    <row r="53" spans="13:13" ht="15.75" x14ac:dyDescent="0.25">
      <c r="M53" t="s">
        <v>164</v>
      </c>
    </row>
    <row r="54" spans="13:13" ht="15.75" x14ac:dyDescent="0.25">
      <c r="M54" t="s">
        <v>165</v>
      </c>
    </row>
    <row r="55" spans="13:13" ht="15.75" x14ac:dyDescent="0.25">
      <c r="M55" t="s">
        <v>166</v>
      </c>
    </row>
    <row r="56" spans="13:13" ht="15.75" x14ac:dyDescent="0.25">
      <c r="M56" t="s">
        <v>167</v>
      </c>
    </row>
    <row r="57" spans="13:13" ht="15.75" x14ac:dyDescent="0.25">
      <c r="M57" t="s">
        <v>168</v>
      </c>
    </row>
    <row r="58" spans="13:13" ht="15.75" x14ac:dyDescent="0.25">
      <c r="M58" t="s">
        <v>169</v>
      </c>
    </row>
    <row r="59" spans="13:13" ht="15.75" x14ac:dyDescent="0.25">
      <c r="M59" t="s">
        <v>170</v>
      </c>
    </row>
    <row r="60" spans="13:13" ht="15.75" x14ac:dyDescent="0.25">
      <c r="M60" t="s">
        <v>161</v>
      </c>
    </row>
    <row r="61" spans="13:13" ht="15.75" x14ac:dyDescent="0.25">
      <c r="M61" t="s">
        <v>171</v>
      </c>
    </row>
    <row r="62" spans="13:13" ht="15.75" x14ac:dyDescent="0.25">
      <c r="M62" t="s">
        <v>161</v>
      </c>
    </row>
    <row r="63" spans="13:13" ht="15.75" x14ac:dyDescent="0.25">
      <c r="M63" t="s">
        <v>172</v>
      </c>
    </row>
    <row r="64" spans="13:13" ht="15.75" x14ac:dyDescent="0.25">
      <c r="M64" t="s">
        <v>173</v>
      </c>
    </row>
    <row r="65" spans="13:13" ht="15.75" x14ac:dyDescent="0.25">
      <c r="M65" t="s">
        <v>174</v>
      </c>
    </row>
    <row r="66" spans="13:13" ht="15.75" x14ac:dyDescent="0.25">
      <c r="M66" t="s">
        <v>175</v>
      </c>
    </row>
    <row r="67" spans="13:13" ht="15.75" x14ac:dyDescent="0.25">
      <c r="M67" t="s">
        <v>176</v>
      </c>
    </row>
    <row r="68" spans="13:13" ht="15.75" x14ac:dyDescent="0.25">
      <c r="M68" t="s">
        <v>62</v>
      </c>
    </row>
    <row r="69" spans="13:13" ht="15.75" x14ac:dyDescent="0.25">
      <c r="M69" t="s">
        <v>112</v>
      </c>
    </row>
    <row r="70" spans="13:13" ht="15.75" x14ac:dyDescent="0.25">
      <c r="M70" t="s">
        <v>177</v>
      </c>
    </row>
    <row r="71" spans="13:13" ht="15.75" x14ac:dyDescent="0.25">
      <c r="M71" t="s">
        <v>178</v>
      </c>
    </row>
    <row r="72" spans="13:13" ht="15.75" x14ac:dyDescent="0.25">
      <c r="M72" t="s">
        <v>179</v>
      </c>
    </row>
    <row r="73" spans="13:13" ht="15.75" x14ac:dyDescent="0.25">
      <c r="M73" t="s">
        <v>161</v>
      </c>
    </row>
    <row r="74" spans="13:13" ht="15.75" x14ac:dyDescent="0.25">
      <c r="M74" t="s">
        <v>180</v>
      </c>
    </row>
    <row r="75" spans="13:13" ht="15.75" x14ac:dyDescent="0.25">
      <c r="M75" t="s">
        <v>181</v>
      </c>
    </row>
    <row r="76" spans="13:13" ht="15.75" x14ac:dyDescent="0.25">
      <c r="M76" t="s">
        <v>182</v>
      </c>
    </row>
    <row r="77" spans="13:13" ht="15.75" x14ac:dyDescent="0.25">
      <c r="M77" t="s">
        <v>183</v>
      </c>
    </row>
    <row r="78" spans="13:13" ht="15.75" x14ac:dyDescent="0.25">
      <c r="M78" t="s">
        <v>184</v>
      </c>
    </row>
    <row r="79" spans="13:13" ht="15.75" x14ac:dyDescent="0.25">
      <c r="M79" t="s">
        <v>185</v>
      </c>
    </row>
    <row r="80" spans="13:13" ht="15.75" x14ac:dyDescent="0.25">
      <c r="M80" t="s">
        <v>114</v>
      </c>
    </row>
    <row r="81" spans="13:13" ht="15.75" x14ac:dyDescent="0.25">
      <c r="M81" t="s">
        <v>186</v>
      </c>
    </row>
    <row r="82" spans="13:13" ht="15.75" x14ac:dyDescent="0.25">
      <c r="M82" t="s">
        <v>187</v>
      </c>
    </row>
    <row r="83" spans="13:13" ht="15.75" x14ac:dyDescent="0.25">
      <c r="M83" t="s">
        <v>188</v>
      </c>
    </row>
    <row r="84" spans="13:13" ht="15.75" x14ac:dyDescent="0.25">
      <c r="M84" t="s">
        <v>189</v>
      </c>
    </row>
    <row r="85" spans="13:13" ht="15.75" x14ac:dyDescent="0.25">
      <c r="M85" t="s">
        <v>190</v>
      </c>
    </row>
    <row r="86" spans="13:13" ht="15.75" x14ac:dyDescent="0.25">
      <c r="M86" t="s">
        <v>161</v>
      </c>
    </row>
    <row r="87" spans="13:13" ht="15.75" x14ac:dyDescent="0.25">
      <c r="M87" t="s">
        <v>191</v>
      </c>
    </row>
    <row r="88" spans="13:13" ht="15.75" x14ac:dyDescent="0.25">
      <c r="M88" t="s">
        <v>192</v>
      </c>
    </row>
    <row r="89" spans="13:13" ht="15.75" x14ac:dyDescent="0.25">
      <c r="M89" t="s">
        <v>193</v>
      </c>
    </row>
    <row r="90" spans="13:13" ht="15.75" x14ac:dyDescent="0.25">
      <c r="M90" t="s">
        <v>194</v>
      </c>
    </row>
    <row r="91" spans="13:13" ht="15.75" x14ac:dyDescent="0.25">
      <c r="M91" t="s">
        <v>195</v>
      </c>
    </row>
    <row r="92" spans="13:13" ht="15.75" x14ac:dyDescent="0.25">
      <c r="M92" t="s">
        <v>196</v>
      </c>
    </row>
    <row r="93" spans="13:13" ht="15.75" x14ac:dyDescent="0.25">
      <c r="M93" t="s">
        <v>197</v>
      </c>
    </row>
    <row r="94" spans="13:13" ht="15.75" x14ac:dyDescent="0.25">
      <c r="M94" t="s">
        <v>198</v>
      </c>
    </row>
    <row r="95" spans="13:13" ht="15.75" x14ac:dyDescent="0.25">
      <c r="M95" t="s">
        <v>199</v>
      </c>
    </row>
    <row r="96" spans="13:13" ht="15.75" x14ac:dyDescent="0.25">
      <c r="M96" t="s">
        <v>200</v>
      </c>
    </row>
    <row r="97" spans="13:13" ht="15.75" x14ac:dyDescent="0.25">
      <c r="M97" t="s">
        <v>97</v>
      </c>
    </row>
    <row r="98" spans="13:13" ht="15.75" x14ac:dyDescent="0.25">
      <c r="M98" t="s">
        <v>201</v>
      </c>
    </row>
    <row r="99" spans="13:13" ht="15.75" x14ac:dyDescent="0.25">
      <c r="M99" t="s">
        <v>202</v>
      </c>
    </row>
    <row r="100" spans="13:13" ht="15.75" x14ac:dyDescent="0.25">
      <c r="M100" t="s">
        <v>203</v>
      </c>
    </row>
    <row r="101" spans="13:13" ht="15.75" x14ac:dyDescent="0.25">
      <c r="M101" t="s">
        <v>204</v>
      </c>
    </row>
    <row r="102" spans="13:13" ht="15.75" x14ac:dyDescent="0.25">
      <c r="M102" t="s">
        <v>205</v>
      </c>
    </row>
    <row r="103" spans="13:13" ht="15.75" x14ac:dyDescent="0.25">
      <c r="M103" t="s">
        <v>206</v>
      </c>
    </row>
    <row r="104" spans="13:13" ht="15.75" x14ac:dyDescent="0.25">
      <c r="M104" t="s">
        <v>207</v>
      </c>
    </row>
    <row r="105" spans="13:13" ht="15.75" x14ac:dyDescent="0.25">
      <c r="M105" t="s">
        <v>208</v>
      </c>
    </row>
    <row r="106" spans="13:13" ht="15.75" x14ac:dyDescent="0.25">
      <c r="M106" t="s">
        <v>161</v>
      </c>
    </row>
    <row r="107" spans="13:13" ht="15.75" x14ac:dyDescent="0.25">
      <c r="M107" t="s">
        <v>209</v>
      </c>
    </row>
    <row r="108" spans="13:13" ht="15.75" x14ac:dyDescent="0.25">
      <c r="M108" t="s">
        <v>210</v>
      </c>
    </row>
    <row r="109" spans="13:13" ht="15.75" x14ac:dyDescent="0.25">
      <c r="M109" t="s">
        <v>211</v>
      </c>
    </row>
    <row r="110" spans="13:13" ht="15.75" x14ac:dyDescent="0.25">
      <c r="M110" t="s">
        <v>212</v>
      </c>
    </row>
    <row r="111" spans="13:13" ht="15.75" x14ac:dyDescent="0.25">
      <c r="M111" t="s">
        <v>213</v>
      </c>
    </row>
    <row r="112" spans="13:13" ht="15.75" x14ac:dyDescent="0.25">
      <c r="M112" t="s">
        <v>214</v>
      </c>
    </row>
    <row r="113" spans="13:13" ht="15.75" x14ac:dyDescent="0.25">
      <c r="M113" t="s">
        <v>215</v>
      </c>
    </row>
    <row r="114" spans="13:13" ht="15.75" x14ac:dyDescent="0.25">
      <c r="M114" t="s">
        <v>216</v>
      </c>
    </row>
    <row r="115" spans="13:13" ht="15.75" x14ac:dyDescent="0.25">
      <c r="M115" t="s">
        <v>217</v>
      </c>
    </row>
    <row r="116" spans="13:13" ht="15.75" x14ac:dyDescent="0.25">
      <c r="M116" t="s">
        <v>218</v>
      </c>
    </row>
    <row r="117" spans="13:13" ht="15.75" x14ac:dyDescent="0.25">
      <c r="M117" t="s">
        <v>195</v>
      </c>
    </row>
    <row r="118" spans="13:13" ht="15.75" x14ac:dyDescent="0.25">
      <c r="M118" t="s">
        <v>219</v>
      </c>
    </row>
    <row r="119" spans="13:13" ht="15.75" x14ac:dyDescent="0.25">
      <c r="M119" t="s">
        <v>220</v>
      </c>
    </row>
    <row r="120" spans="13:13" ht="15.75" x14ac:dyDescent="0.25">
      <c r="M120" t="s">
        <v>221</v>
      </c>
    </row>
    <row r="121" spans="13:13" ht="15.75" x14ac:dyDescent="0.25">
      <c r="M121" t="s">
        <v>222</v>
      </c>
    </row>
    <row r="122" spans="13:13" ht="15.75" x14ac:dyDescent="0.25">
      <c r="M122" t="s">
        <v>223</v>
      </c>
    </row>
    <row r="123" spans="13:13" ht="15.75" x14ac:dyDescent="0.25">
      <c r="M123" t="s">
        <v>224</v>
      </c>
    </row>
    <row r="124" spans="13:13" ht="15.75" x14ac:dyDescent="0.25">
      <c r="M124" t="s">
        <v>225</v>
      </c>
    </row>
    <row r="125" spans="13:13" ht="15.75" x14ac:dyDescent="0.25">
      <c r="M125" t="s">
        <v>226</v>
      </c>
    </row>
    <row r="126" spans="13:13" ht="15.75" x14ac:dyDescent="0.25">
      <c r="M126" t="s">
        <v>227</v>
      </c>
    </row>
    <row r="127" spans="13:13" ht="15.75" x14ac:dyDescent="0.25">
      <c r="M127" t="s">
        <v>228</v>
      </c>
    </row>
    <row r="128" spans="13:13" ht="15.75" x14ac:dyDescent="0.25">
      <c r="M128" t="s">
        <v>229</v>
      </c>
    </row>
    <row r="129" spans="13:13" ht="15.75" x14ac:dyDescent="0.25">
      <c r="M129" t="s">
        <v>230</v>
      </c>
    </row>
    <row r="130" spans="13:13" ht="15.75" x14ac:dyDescent="0.25">
      <c r="M130" t="s">
        <v>231</v>
      </c>
    </row>
    <row r="131" spans="13:13" ht="15.75" x14ac:dyDescent="0.25">
      <c r="M131" t="s">
        <v>232</v>
      </c>
    </row>
    <row r="132" spans="13:13" ht="15.75" x14ac:dyDescent="0.25">
      <c r="M132" t="s">
        <v>233</v>
      </c>
    </row>
    <row r="133" spans="13:13" ht="15.75" x14ac:dyDescent="0.25">
      <c r="M133" t="s">
        <v>234</v>
      </c>
    </row>
    <row r="134" spans="13:13" ht="15.75" x14ac:dyDescent="0.25">
      <c r="M134" t="s">
        <v>235</v>
      </c>
    </row>
    <row r="135" spans="13:13" ht="15.75" x14ac:dyDescent="0.25">
      <c r="M135" t="s">
        <v>236</v>
      </c>
    </row>
    <row r="136" spans="13:13" ht="15.75" x14ac:dyDescent="0.25">
      <c r="M136" t="s">
        <v>237</v>
      </c>
    </row>
    <row r="137" spans="13:13" ht="15.75" x14ac:dyDescent="0.25">
      <c r="M137" t="s">
        <v>238</v>
      </c>
    </row>
    <row r="138" spans="13:13" ht="15.75" x14ac:dyDescent="0.25">
      <c r="M138" t="s">
        <v>239</v>
      </c>
    </row>
    <row r="139" spans="13:13" ht="15.75" x14ac:dyDescent="0.25">
      <c r="M139" t="s">
        <v>240</v>
      </c>
    </row>
    <row r="140" spans="13:13" ht="15.75" x14ac:dyDescent="0.25">
      <c r="M140" t="s">
        <v>241</v>
      </c>
    </row>
    <row r="141" spans="13:13" ht="15.75" x14ac:dyDescent="0.25">
      <c r="M141" t="s">
        <v>242</v>
      </c>
    </row>
    <row r="142" spans="13:13" ht="15.75" x14ac:dyDescent="0.25">
      <c r="M142" t="s">
        <v>243</v>
      </c>
    </row>
    <row r="143" spans="13:13" ht="15.75" x14ac:dyDescent="0.25">
      <c r="M143" t="s">
        <v>244</v>
      </c>
    </row>
    <row r="144" spans="13:13" ht="15.75" x14ac:dyDescent="0.25">
      <c r="M144" t="s">
        <v>245</v>
      </c>
    </row>
    <row r="145" spans="13:13" ht="15.75" x14ac:dyDescent="0.25">
      <c r="M145" t="s">
        <v>246</v>
      </c>
    </row>
    <row r="146" spans="13:13" ht="15.75" x14ac:dyDescent="0.25">
      <c r="M146" t="s">
        <v>247</v>
      </c>
    </row>
    <row r="147" spans="13:13" ht="15.75" x14ac:dyDescent="0.25">
      <c r="M147" t="s">
        <v>248</v>
      </c>
    </row>
    <row r="148" spans="13:13" ht="15.75" x14ac:dyDescent="0.25">
      <c r="M148" t="s">
        <v>249</v>
      </c>
    </row>
    <row r="149" spans="13:13" ht="15.75" x14ac:dyDescent="0.25">
      <c r="M149" t="s">
        <v>250</v>
      </c>
    </row>
    <row r="150" spans="13:13" ht="15.75" x14ac:dyDescent="0.25">
      <c r="M150" t="s">
        <v>251</v>
      </c>
    </row>
    <row r="151" spans="13:13" ht="15.75" x14ac:dyDescent="0.25">
      <c r="M151" t="s">
        <v>252</v>
      </c>
    </row>
    <row r="152" spans="13:13" ht="15.75" x14ac:dyDescent="0.25">
      <c r="M152" t="s">
        <v>253</v>
      </c>
    </row>
    <row r="153" spans="13:13" ht="15.75" x14ac:dyDescent="0.25">
      <c r="M153" t="s">
        <v>254</v>
      </c>
    </row>
    <row r="154" spans="13:13" ht="15.75" x14ac:dyDescent="0.25">
      <c r="M154" t="s">
        <v>255</v>
      </c>
    </row>
    <row r="155" spans="13:13" ht="15.75" x14ac:dyDescent="0.25">
      <c r="M155" t="s">
        <v>256</v>
      </c>
    </row>
    <row r="156" spans="13:13" ht="15.75" x14ac:dyDescent="0.25">
      <c r="M156" t="s">
        <v>257</v>
      </c>
    </row>
    <row r="157" spans="13:13" ht="15.75" x14ac:dyDescent="0.25">
      <c r="M157" t="s">
        <v>258</v>
      </c>
    </row>
    <row r="158" spans="13:13" ht="15.75" x14ac:dyDescent="0.25">
      <c r="M158" t="s">
        <v>259</v>
      </c>
    </row>
    <row r="159" spans="13:13" ht="15.75" x14ac:dyDescent="0.25">
      <c r="M159" t="s">
        <v>260</v>
      </c>
    </row>
    <row r="160" spans="13:13" ht="15.75" x14ac:dyDescent="0.25">
      <c r="M160" t="s">
        <v>261</v>
      </c>
    </row>
    <row r="161" spans="13:13" ht="15.75" x14ac:dyDescent="0.25">
      <c r="M161" t="s">
        <v>262</v>
      </c>
    </row>
    <row r="162" spans="13:13" ht="15.75" x14ac:dyDescent="0.25">
      <c r="M162" t="s">
        <v>263</v>
      </c>
    </row>
    <row r="163" spans="13:13" ht="15.75" x14ac:dyDescent="0.25">
      <c r="M163" t="s">
        <v>264</v>
      </c>
    </row>
    <row r="164" spans="13:13" ht="15.75" x14ac:dyDescent="0.25">
      <c r="M164" t="s">
        <v>265</v>
      </c>
    </row>
    <row r="165" spans="13:13" ht="15.75" x14ac:dyDescent="0.25">
      <c r="M165" t="s">
        <v>266</v>
      </c>
    </row>
    <row r="166" spans="13:13" ht="15.75" x14ac:dyDescent="0.25">
      <c r="M166" t="s">
        <v>267</v>
      </c>
    </row>
    <row r="167" spans="13:13" ht="15.75" x14ac:dyDescent="0.25">
      <c r="M167" t="s">
        <v>268</v>
      </c>
    </row>
    <row r="168" spans="13:13" ht="15.75" x14ac:dyDescent="0.25">
      <c r="M168" t="s">
        <v>269</v>
      </c>
    </row>
    <row r="169" spans="13:13" ht="15.75" x14ac:dyDescent="0.25">
      <c r="M169" t="s">
        <v>270</v>
      </c>
    </row>
    <row r="170" spans="13:13" ht="15.75" x14ac:dyDescent="0.25">
      <c r="M170" t="s">
        <v>271</v>
      </c>
    </row>
    <row r="171" spans="13:13" ht="15.75" x14ac:dyDescent="0.25">
      <c r="M171" t="s">
        <v>272</v>
      </c>
    </row>
    <row r="172" spans="13:13" ht="15.75" x14ac:dyDescent="0.25">
      <c r="M172" t="s">
        <v>273</v>
      </c>
    </row>
    <row r="173" spans="13:13" ht="15.75" x14ac:dyDescent="0.25">
      <c r="M173" t="s">
        <v>274</v>
      </c>
    </row>
    <row r="174" spans="13:13" ht="15.75" x14ac:dyDescent="0.25">
      <c r="M174" t="s">
        <v>275</v>
      </c>
    </row>
    <row r="175" spans="13:13" ht="15.75" x14ac:dyDescent="0.25">
      <c r="M175" t="s">
        <v>276</v>
      </c>
    </row>
    <row r="176" spans="13:13" ht="15.75" x14ac:dyDescent="0.25">
      <c r="M176" t="s">
        <v>277</v>
      </c>
    </row>
    <row r="177" spans="13:13" ht="15.75" x14ac:dyDescent="0.25">
      <c r="M177" t="s">
        <v>278</v>
      </c>
    </row>
    <row r="178" spans="13:13" ht="15.75" x14ac:dyDescent="0.25">
      <c r="M178" t="s">
        <v>279</v>
      </c>
    </row>
    <row r="179" spans="13:13" ht="15.75" x14ac:dyDescent="0.25">
      <c r="M179" t="s">
        <v>280</v>
      </c>
    </row>
    <row r="180" spans="13:13" ht="15.75" x14ac:dyDescent="0.25">
      <c r="M180" t="s">
        <v>281</v>
      </c>
    </row>
    <row r="181" spans="13:13" ht="15.75" x14ac:dyDescent="0.25">
      <c r="M181" t="s">
        <v>282</v>
      </c>
    </row>
    <row r="182" spans="13:13" ht="15.75" x14ac:dyDescent="0.25">
      <c r="M182" t="s">
        <v>283</v>
      </c>
    </row>
    <row r="183" spans="13:13" ht="15.75" x14ac:dyDescent="0.25">
      <c r="M183" t="s">
        <v>90</v>
      </c>
    </row>
    <row r="184" spans="13:13" ht="15.75" x14ac:dyDescent="0.25">
      <c r="M184" t="s">
        <v>284</v>
      </c>
    </row>
    <row r="185" spans="13:13" ht="15.75" x14ac:dyDescent="0.25">
      <c r="M185" t="s">
        <v>285</v>
      </c>
    </row>
    <row r="186" spans="13:13" ht="15.75" x14ac:dyDescent="0.25">
      <c r="M186" t="s">
        <v>286</v>
      </c>
    </row>
    <row r="187" spans="13:13" ht="15.75" x14ac:dyDescent="0.25">
      <c r="M187" t="s">
        <v>287</v>
      </c>
    </row>
    <row r="188" spans="13:13" ht="15.75" x14ac:dyDescent="0.25">
      <c r="M188" t="s">
        <v>288</v>
      </c>
    </row>
    <row r="189" spans="13:13" ht="15.75" x14ac:dyDescent="0.25">
      <c r="M189" t="s">
        <v>289</v>
      </c>
    </row>
    <row r="190" spans="13:13" ht="15.75" x14ac:dyDescent="0.25">
      <c r="M190" t="s">
        <v>290</v>
      </c>
    </row>
    <row r="191" spans="13:13" ht="15.75" x14ac:dyDescent="0.25">
      <c r="M191" t="s">
        <v>291</v>
      </c>
    </row>
    <row r="192" spans="13:13" ht="15.75" x14ac:dyDescent="0.25">
      <c r="M192" t="s">
        <v>292</v>
      </c>
    </row>
    <row r="193" spans="13:13" ht="15.75" x14ac:dyDescent="0.25">
      <c r="M193" t="s">
        <v>161</v>
      </c>
    </row>
    <row r="194" spans="13:13" ht="15.75" x14ac:dyDescent="0.25">
      <c r="M194" t="s">
        <v>293</v>
      </c>
    </row>
    <row r="195" spans="13:13" ht="15.75" x14ac:dyDescent="0.25">
      <c r="M195" t="s">
        <v>294</v>
      </c>
    </row>
    <row r="196" spans="13:13" ht="15.75" x14ac:dyDescent="0.25">
      <c r="M196" t="s">
        <v>295</v>
      </c>
    </row>
    <row r="197" spans="13:13" ht="15.75" x14ac:dyDescent="0.25">
      <c r="M197" t="s">
        <v>296</v>
      </c>
    </row>
    <row r="198" spans="13:13" ht="15.75" x14ac:dyDescent="0.25">
      <c r="M198" t="s">
        <v>297</v>
      </c>
    </row>
    <row r="199" spans="13:13" ht="15.75" x14ac:dyDescent="0.25">
      <c r="M199" t="s">
        <v>298</v>
      </c>
    </row>
    <row r="200" spans="13:13" ht="15.75" x14ac:dyDescent="0.25">
      <c r="M200" t="s">
        <v>299</v>
      </c>
    </row>
    <row r="201" spans="13:13" ht="15.75" x14ac:dyDescent="0.25">
      <c r="M201" t="s">
        <v>300</v>
      </c>
    </row>
    <row r="202" spans="13:13" ht="15.75" x14ac:dyDescent="0.25">
      <c r="M202" t="s">
        <v>301</v>
      </c>
    </row>
    <row r="203" spans="13:13" ht="15.75" x14ac:dyDescent="0.25">
      <c r="M203" t="s">
        <v>302</v>
      </c>
    </row>
    <row r="204" spans="13:13" ht="15.75" x14ac:dyDescent="0.25">
      <c r="M204" t="s">
        <v>303</v>
      </c>
    </row>
    <row r="205" spans="13:13" ht="15.75" x14ac:dyDescent="0.25">
      <c r="M205" t="s">
        <v>73</v>
      </c>
    </row>
    <row r="206" spans="13:13" ht="15.75" x14ac:dyDescent="0.25">
      <c r="M206" t="s">
        <v>304</v>
      </c>
    </row>
    <row r="207" spans="13:13" ht="15.75" x14ac:dyDescent="0.25">
      <c r="M207" t="s">
        <v>53</v>
      </c>
    </row>
    <row r="208" spans="13:13" ht="15.75" x14ac:dyDescent="0.25">
      <c r="M208" t="s">
        <v>305</v>
      </c>
    </row>
    <row r="209" spans="13:13" ht="15.75" x14ac:dyDescent="0.25">
      <c r="M209" t="s">
        <v>306</v>
      </c>
    </row>
    <row r="210" spans="13:13" ht="15.75" x14ac:dyDescent="0.25">
      <c r="M210" t="s">
        <v>307</v>
      </c>
    </row>
    <row r="211" spans="13:13" ht="15.75" x14ac:dyDescent="0.25">
      <c r="M211" t="s">
        <v>308</v>
      </c>
    </row>
    <row r="212" spans="13:13" ht="15.75" x14ac:dyDescent="0.25">
      <c r="M212" t="s">
        <v>309</v>
      </c>
    </row>
    <row r="213" spans="13:13" ht="15.75" x14ac:dyDescent="0.25">
      <c r="M213" t="s">
        <v>310</v>
      </c>
    </row>
    <row r="214" spans="13:13" ht="15.75" x14ac:dyDescent="0.25">
      <c r="M214" t="s">
        <v>311</v>
      </c>
    </row>
    <row r="215" spans="13:13" ht="15.75" x14ac:dyDescent="0.25">
      <c r="M215" t="s">
        <v>312</v>
      </c>
    </row>
    <row r="216" spans="13:13" ht="15.75" x14ac:dyDescent="0.25">
      <c r="M216" t="s">
        <v>313</v>
      </c>
    </row>
    <row r="217" spans="13:13" ht="15.75" x14ac:dyDescent="0.25">
      <c r="M217" t="s">
        <v>314</v>
      </c>
    </row>
    <row r="218" spans="13:13" ht="15.75" x14ac:dyDescent="0.25">
      <c r="M218" t="s">
        <v>315</v>
      </c>
    </row>
    <row r="219" spans="13:13" ht="15.75" x14ac:dyDescent="0.25">
      <c r="M219" t="s">
        <v>316</v>
      </c>
    </row>
    <row r="220" spans="13:13" ht="15.75" x14ac:dyDescent="0.25">
      <c r="M220" t="s">
        <v>317</v>
      </c>
    </row>
    <row r="221" spans="13:13" ht="15.75" x14ac:dyDescent="0.25">
      <c r="M221" t="s">
        <v>318</v>
      </c>
    </row>
    <row r="222" spans="13:13" ht="15.75" x14ac:dyDescent="0.25">
      <c r="M222" t="s">
        <v>319</v>
      </c>
    </row>
    <row r="223" spans="13:13" ht="15.75" x14ac:dyDescent="0.25">
      <c r="M223" t="s">
        <v>320</v>
      </c>
    </row>
    <row r="224" spans="13:13" ht="15.75" x14ac:dyDescent="0.25">
      <c r="M224" t="s">
        <v>321</v>
      </c>
    </row>
    <row r="225" spans="13:13" ht="15.75" x14ac:dyDescent="0.25">
      <c r="M225" t="s">
        <v>322</v>
      </c>
    </row>
    <row r="226" spans="13:13" ht="15.75" x14ac:dyDescent="0.25">
      <c r="M226" t="s">
        <v>323</v>
      </c>
    </row>
    <row r="227" spans="13:13" ht="15.75" x14ac:dyDescent="0.25">
      <c r="M227" t="s">
        <v>324</v>
      </c>
    </row>
    <row r="228" spans="13:13" ht="15.75" x14ac:dyDescent="0.25">
      <c r="M228" t="s">
        <v>325</v>
      </c>
    </row>
    <row r="229" spans="13:13" ht="15.75" x14ac:dyDescent="0.25">
      <c r="M229" t="s">
        <v>326</v>
      </c>
    </row>
    <row r="230" spans="13:13" ht="15.75" x14ac:dyDescent="0.25">
      <c r="M230" t="s">
        <v>318</v>
      </c>
    </row>
    <row r="231" spans="13:13" ht="15.75" x14ac:dyDescent="0.25">
      <c r="M231" t="s">
        <v>327</v>
      </c>
    </row>
    <row r="232" spans="13:13" ht="15.75" x14ac:dyDescent="0.25">
      <c r="M232" t="s">
        <v>161</v>
      </c>
    </row>
    <row r="233" spans="13:13" ht="15.75" x14ac:dyDescent="0.25">
      <c r="M233" t="s">
        <v>328</v>
      </c>
    </row>
    <row r="234" spans="13:13" ht="15.75" x14ac:dyDescent="0.25">
      <c r="M234" t="s">
        <v>329</v>
      </c>
    </row>
    <row r="235" spans="13:13" ht="15.75" x14ac:dyDescent="0.25">
      <c r="M235" t="s">
        <v>330</v>
      </c>
    </row>
    <row r="236" spans="13:13" ht="15.75" x14ac:dyDescent="0.25">
      <c r="M236" t="s">
        <v>331</v>
      </c>
    </row>
    <row r="237" spans="13:13" ht="15.75" x14ac:dyDescent="0.25">
      <c r="M237" t="s">
        <v>332</v>
      </c>
    </row>
    <row r="238" spans="13:13" ht="15.75" x14ac:dyDescent="0.25">
      <c r="M238" t="s">
        <v>333</v>
      </c>
    </row>
    <row r="239" spans="13:13" ht="15.75" x14ac:dyDescent="0.25">
      <c r="M239" t="s">
        <v>334</v>
      </c>
    </row>
    <row r="240" spans="13:13" ht="15.75" x14ac:dyDescent="0.25">
      <c r="M240" t="s">
        <v>335</v>
      </c>
    </row>
    <row r="241" spans="13:13" ht="15.75" x14ac:dyDescent="0.25">
      <c r="M241" t="s">
        <v>336</v>
      </c>
    </row>
    <row r="242" spans="13:13" ht="15.75" x14ac:dyDescent="0.25">
      <c r="M242" t="s">
        <v>337</v>
      </c>
    </row>
    <row r="243" spans="13:13" ht="15.75" x14ac:dyDescent="0.25">
      <c r="M243" t="s">
        <v>338</v>
      </c>
    </row>
    <row r="244" spans="13:13" ht="15.75" x14ac:dyDescent="0.25">
      <c r="M244" t="s">
        <v>339</v>
      </c>
    </row>
    <row r="245" spans="13:13" ht="15.75" x14ac:dyDescent="0.25">
      <c r="M245" t="s">
        <v>340</v>
      </c>
    </row>
    <row r="246" spans="13:13" ht="15.75" x14ac:dyDescent="0.25">
      <c r="M246" t="s">
        <v>341</v>
      </c>
    </row>
    <row r="247" spans="13:13" ht="15.75" x14ac:dyDescent="0.25">
      <c r="M247" t="s">
        <v>342</v>
      </c>
    </row>
    <row r="248" spans="13:13" ht="15.75" x14ac:dyDescent="0.25">
      <c r="M248" t="s">
        <v>343</v>
      </c>
    </row>
    <row r="249" spans="13:13" ht="15.75" x14ac:dyDescent="0.25">
      <c r="M249" t="s">
        <v>344</v>
      </c>
    </row>
    <row r="250" spans="13:13" ht="15.75" x14ac:dyDescent="0.25">
      <c r="M250" t="s">
        <v>345</v>
      </c>
    </row>
    <row r="251" spans="13:13" ht="15.75" x14ac:dyDescent="0.25">
      <c r="M251" t="s">
        <v>346</v>
      </c>
    </row>
    <row r="252" spans="13:13" ht="15.75" x14ac:dyDescent="0.25">
      <c r="M252" t="s">
        <v>347</v>
      </c>
    </row>
    <row r="253" spans="13:13" ht="15.75" x14ac:dyDescent="0.25">
      <c r="M253" t="s">
        <v>348</v>
      </c>
    </row>
    <row r="254" spans="13:13" ht="15.75" x14ac:dyDescent="0.25">
      <c r="M254" t="s">
        <v>349</v>
      </c>
    </row>
    <row r="255" spans="13:13" ht="15.75" x14ac:dyDescent="0.25">
      <c r="M255" t="s">
        <v>350</v>
      </c>
    </row>
    <row r="256" spans="13:13" ht="15.75" x14ac:dyDescent="0.25">
      <c r="M256" t="s">
        <v>351</v>
      </c>
    </row>
    <row r="257" spans="13:13" ht="15.75" x14ac:dyDescent="0.25">
      <c r="M257" t="s">
        <v>352</v>
      </c>
    </row>
    <row r="258" spans="13:13" ht="15.75" x14ac:dyDescent="0.25">
      <c r="M258" t="s">
        <v>353</v>
      </c>
    </row>
    <row r="259" spans="13:13" ht="15.75" x14ac:dyDescent="0.25">
      <c r="M259" t="s">
        <v>354</v>
      </c>
    </row>
    <row r="260" spans="13:13" ht="15.75" x14ac:dyDescent="0.25">
      <c r="M260" t="s">
        <v>355</v>
      </c>
    </row>
    <row r="261" spans="13:13" ht="15.75" x14ac:dyDescent="0.25">
      <c r="M261" t="s">
        <v>356</v>
      </c>
    </row>
    <row r="262" spans="13:13" ht="15.75" x14ac:dyDescent="0.25">
      <c r="M262" t="s">
        <v>357</v>
      </c>
    </row>
    <row r="263" spans="13:13" ht="15.75" x14ac:dyDescent="0.25">
      <c r="M263" t="s">
        <v>358</v>
      </c>
    </row>
    <row r="264" spans="13:13" ht="15.75" x14ac:dyDescent="0.25">
      <c r="M264" t="s">
        <v>359</v>
      </c>
    </row>
    <row r="265" spans="13:13" ht="15.75" x14ac:dyDescent="0.25">
      <c r="M265" t="s">
        <v>360</v>
      </c>
    </row>
    <row r="266" spans="13:13" ht="15.75" x14ac:dyDescent="0.25">
      <c r="M266" t="s">
        <v>361</v>
      </c>
    </row>
    <row r="267" spans="13:13" ht="15.75" x14ac:dyDescent="0.25">
      <c r="M267" t="s">
        <v>362</v>
      </c>
    </row>
    <row r="268" spans="13:13" ht="15.75" x14ac:dyDescent="0.25">
      <c r="M268" t="s">
        <v>363</v>
      </c>
    </row>
    <row r="269" spans="13:13" ht="15.75" x14ac:dyDescent="0.25">
      <c r="M269" t="s">
        <v>364</v>
      </c>
    </row>
    <row r="270" spans="13:13" ht="15.75" x14ac:dyDescent="0.25">
      <c r="M270" t="s">
        <v>365</v>
      </c>
    </row>
    <row r="271" spans="13:13" ht="15.75" x14ac:dyDescent="0.25">
      <c r="M271" t="s">
        <v>366</v>
      </c>
    </row>
    <row r="272" spans="13:13" ht="15.75" x14ac:dyDescent="0.25">
      <c r="M272" t="s">
        <v>367</v>
      </c>
    </row>
    <row r="273" spans="13:13" ht="15.75" x14ac:dyDescent="0.25">
      <c r="M273" t="s">
        <v>368</v>
      </c>
    </row>
    <row r="274" spans="13:13" ht="15.75" x14ac:dyDescent="0.25">
      <c r="M274" t="s">
        <v>369</v>
      </c>
    </row>
    <row r="275" spans="13:13" ht="15.75" x14ac:dyDescent="0.25">
      <c r="M275" t="s">
        <v>370</v>
      </c>
    </row>
    <row r="276" spans="13:13" ht="15.75" x14ac:dyDescent="0.25">
      <c r="M276" t="s">
        <v>371</v>
      </c>
    </row>
    <row r="277" spans="13:13" ht="15.75" x14ac:dyDescent="0.25">
      <c r="M277" t="s">
        <v>372</v>
      </c>
    </row>
    <row r="278" spans="13:13" ht="15.75" x14ac:dyDescent="0.25">
      <c r="M278" t="s">
        <v>373</v>
      </c>
    </row>
    <row r="279" spans="13:13" ht="15.75" x14ac:dyDescent="0.25">
      <c r="M279" t="s">
        <v>374</v>
      </c>
    </row>
    <row r="280" spans="13:13" ht="15.75" x14ac:dyDescent="0.25">
      <c r="M280" t="s">
        <v>375</v>
      </c>
    </row>
    <row r="281" spans="13:13" ht="15.75" x14ac:dyDescent="0.25">
      <c r="M281" t="s">
        <v>376</v>
      </c>
    </row>
    <row r="282" spans="13:13" ht="15.75" x14ac:dyDescent="0.25">
      <c r="M282" t="s">
        <v>377</v>
      </c>
    </row>
    <row r="283" spans="13:13" ht="15.75" x14ac:dyDescent="0.25">
      <c r="M283" t="s">
        <v>57</v>
      </c>
    </row>
    <row r="284" spans="13:13" ht="15.75" x14ac:dyDescent="0.25">
      <c r="M284" t="s">
        <v>378</v>
      </c>
    </row>
    <row r="285" spans="13:13" ht="15.75" x14ac:dyDescent="0.25">
      <c r="M285" t="s">
        <v>379</v>
      </c>
    </row>
    <row r="286" spans="13:13" ht="15.75" x14ac:dyDescent="0.25">
      <c r="M286" t="s">
        <v>380</v>
      </c>
    </row>
    <row r="287" spans="13:13" ht="15.75" x14ac:dyDescent="0.25">
      <c r="M287" t="s">
        <v>381</v>
      </c>
    </row>
    <row r="288" spans="13:13" ht="15.75" x14ac:dyDescent="0.25">
      <c r="M288" t="s">
        <v>382</v>
      </c>
    </row>
    <row r="289" spans="13:13" ht="15.75" x14ac:dyDescent="0.25">
      <c r="M289" t="s">
        <v>383</v>
      </c>
    </row>
    <row r="290" spans="13:13" ht="15.75" x14ac:dyDescent="0.25">
      <c r="M290" t="s">
        <v>384</v>
      </c>
    </row>
    <row r="291" spans="13:13" ht="15.75" x14ac:dyDescent="0.25">
      <c r="M291" t="s">
        <v>385</v>
      </c>
    </row>
    <row r="292" spans="13:13" ht="15.75" x14ac:dyDescent="0.25">
      <c r="M292" t="s">
        <v>386</v>
      </c>
    </row>
    <row r="293" spans="13:13" ht="15.75" x14ac:dyDescent="0.25">
      <c r="M293" t="s">
        <v>387</v>
      </c>
    </row>
    <row r="294" spans="13:13" ht="15.75" x14ac:dyDescent="0.25">
      <c r="M294" t="s">
        <v>388</v>
      </c>
    </row>
    <row r="295" spans="13:13" ht="15.75" x14ac:dyDescent="0.25">
      <c r="M295" t="s">
        <v>389</v>
      </c>
    </row>
    <row r="296" spans="13:13" ht="15.75" x14ac:dyDescent="0.25">
      <c r="M296" t="s">
        <v>390</v>
      </c>
    </row>
    <row r="297" spans="13:13" ht="15.75" x14ac:dyDescent="0.25">
      <c r="M297" t="s">
        <v>391</v>
      </c>
    </row>
    <row r="298" spans="13:13" ht="15.75" x14ac:dyDescent="0.25">
      <c r="M298" t="s">
        <v>392</v>
      </c>
    </row>
    <row r="299" spans="13:13" ht="15.75" x14ac:dyDescent="0.25">
      <c r="M299" t="s">
        <v>393</v>
      </c>
    </row>
    <row r="300" spans="13:13" ht="15.75" x14ac:dyDescent="0.25">
      <c r="M300" t="s">
        <v>47</v>
      </c>
    </row>
    <row r="301" spans="13:13" ht="15.75" x14ac:dyDescent="0.25">
      <c r="M301" t="s">
        <v>394</v>
      </c>
    </row>
    <row r="302" spans="13:13" ht="15.75" x14ac:dyDescent="0.25">
      <c r="M302" t="s">
        <v>395</v>
      </c>
    </row>
    <row r="303" spans="13:13" ht="15.75" x14ac:dyDescent="0.25">
      <c r="M303" t="s">
        <v>396</v>
      </c>
    </row>
    <row r="304" spans="13:13" ht="15.75" x14ac:dyDescent="0.25">
      <c r="M304" t="s">
        <v>397</v>
      </c>
    </row>
    <row r="305" spans="13:13" ht="15.75" x14ac:dyDescent="0.25">
      <c r="M305" t="s">
        <v>398</v>
      </c>
    </row>
    <row r="306" spans="13:13" ht="15.75" x14ac:dyDescent="0.25">
      <c r="M306" t="s">
        <v>399</v>
      </c>
    </row>
    <row r="307" spans="13:13" ht="15.75" x14ac:dyDescent="0.25">
      <c r="M307" t="s">
        <v>400</v>
      </c>
    </row>
    <row r="308" spans="13:13" ht="15.75" x14ac:dyDescent="0.25">
      <c r="M308" t="s">
        <v>401</v>
      </c>
    </row>
    <row r="309" spans="13:13" ht="15.75" x14ac:dyDescent="0.25">
      <c r="M309" t="s">
        <v>402</v>
      </c>
    </row>
    <row r="310" spans="13:13" ht="15.75" x14ac:dyDescent="0.25">
      <c r="M310" t="s">
        <v>403</v>
      </c>
    </row>
    <row r="311" spans="13:13" ht="15.75" x14ac:dyDescent="0.25">
      <c r="M311" t="s">
        <v>404</v>
      </c>
    </row>
    <row r="312" spans="13:13" ht="15.75" x14ac:dyDescent="0.25">
      <c r="M312" t="s">
        <v>405</v>
      </c>
    </row>
    <row r="313" spans="13:13" ht="15.75" x14ac:dyDescent="0.25">
      <c r="M313" t="s">
        <v>406</v>
      </c>
    </row>
    <row r="314" spans="13:13" ht="15.75" x14ac:dyDescent="0.25">
      <c r="M314" t="s">
        <v>407</v>
      </c>
    </row>
    <row r="315" spans="13:13" ht="15.75" x14ac:dyDescent="0.25">
      <c r="M315" t="s">
        <v>408</v>
      </c>
    </row>
    <row r="316" spans="13:13" ht="15.75" x14ac:dyDescent="0.25">
      <c r="M316" t="s">
        <v>409</v>
      </c>
    </row>
    <row r="317" spans="13:13" ht="15.75" x14ac:dyDescent="0.25">
      <c r="M317" t="s">
        <v>410</v>
      </c>
    </row>
    <row r="318" spans="13:13" ht="15.75" x14ac:dyDescent="0.25">
      <c r="M318" t="s">
        <v>411</v>
      </c>
    </row>
    <row r="319" spans="13:13" ht="15.75" x14ac:dyDescent="0.25">
      <c r="M319" t="s">
        <v>412</v>
      </c>
    </row>
    <row r="320" spans="13:13" ht="15.75" x14ac:dyDescent="0.25">
      <c r="M320" t="s">
        <v>413</v>
      </c>
    </row>
    <row r="321" spans="13:13" ht="15.75" x14ac:dyDescent="0.25">
      <c r="M321" t="s">
        <v>414</v>
      </c>
    </row>
    <row r="322" spans="13:13" ht="15.75" x14ac:dyDescent="0.25">
      <c r="M322" t="s">
        <v>415</v>
      </c>
    </row>
    <row r="323" spans="13:13" ht="15.75" x14ac:dyDescent="0.25">
      <c r="M323" t="s">
        <v>416</v>
      </c>
    </row>
    <row r="324" spans="13:13" ht="15.75" x14ac:dyDescent="0.25">
      <c r="M324" t="s">
        <v>417</v>
      </c>
    </row>
    <row r="325" spans="13:13" ht="15.75" x14ac:dyDescent="0.25">
      <c r="M325" t="s">
        <v>418</v>
      </c>
    </row>
    <row r="326" spans="13:13" ht="15.75" x14ac:dyDescent="0.25">
      <c r="M326" t="s">
        <v>419</v>
      </c>
    </row>
    <row r="327" spans="13:13" ht="15.75" x14ac:dyDescent="0.25">
      <c r="M327" t="s">
        <v>420</v>
      </c>
    </row>
    <row r="328" spans="13:13" ht="15.75" x14ac:dyDescent="0.25">
      <c r="M328" t="s">
        <v>421</v>
      </c>
    </row>
    <row r="329" spans="13:13" ht="15.75" x14ac:dyDescent="0.25">
      <c r="M329" t="s">
        <v>422</v>
      </c>
    </row>
    <row r="330" spans="13:13" ht="15.75" x14ac:dyDescent="0.25">
      <c r="M330" t="s">
        <v>423</v>
      </c>
    </row>
    <row r="331" spans="13:13" ht="15.75" x14ac:dyDescent="0.25">
      <c r="M331" t="s">
        <v>424</v>
      </c>
    </row>
    <row r="332" spans="13:13" ht="15.75" x14ac:dyDescent="0.25">
      <c r="M332" t="s">
        <v>425</v>
      </c>
    </row>
    <row r="333" spans="13:13" ht="15.75" x14ac:dyDescent="0.25">
      <c r="M333" t="s">
        <v>426</v>
      </c>
    </row>
    <row r="334" spans="13:13" ht="15.75" x14ac:dyDescent="0.25">
      <c r="M334" t="s">
        <v>427</v>
      </c>
    </row>
    <row r="335" spans="13:13" ht="15.75" x14ac:dyDescent="0.25">
      <c r="M335" t="s">
        <v>428</v>
      </c>
    </row>
    <row r="336" spans="13:13" ht="15.75" x14ac:dyDescent="0.25">
      <c r="M336" t="s">
        <v>429</v>
      </c>
    </row>
    <row r="337" spans="13:13" ht="15.75" x14ac:dyDescent="0.25">
      <c r="M337" t="s">
        <v>430</v>
      </c>
    </row>
    <row r="338" spans="13:13" ht="15.75" x14ac:dyDescent="0.25">
      <c r="M338" t="s">
        <v>431</v>
      </c>
    </row>
    <row r="339" spans="13:13" ht="15.75" x14ac:dyDescent="0.25">
      <c r="M339" t="s">
        <v>432</v>
      </c>
    </row>
    <row r="340" spans="13:13" ht="15.75" x14ac:dyDescent="0.25">
      <c r="M340" t="s">
        <v>433</v>
      </c>
    </row>
    <row r="341" spans="13:13" ht="15.75" x14ac:dyDescent="0.25">
      <c r="M341" t="s">
        <v>434</v>
      </c>
    </row>
    <row r="342" spans="13:13" ht="15.75" x14ac:dyDescent="0.25">
      <c r="M342" t="s">
        <v>435</v>
      </c>
    </row>
    <row r="343" spans="13:13" ht="15.75" x14ac:dyDescent="0.25">
      <c r="M343" t="s">
        <v>436</v>
      </c>
    </row>
    <row r="344" spans="13:13" ht="15.75" x14ac:dyDescent="0.25">
      <c r="M344" t="s">
        <v>437</v>
      </c>
    </row>
    <row r="345" spans="13:13" ht="15.75" x14ac:dyDescent="0.25">
      <c r="M345" t="s">
        <v>438</v>
      </c>
    </row>
    <row r="346" spans="13:13" ht="15.75" x14ac:dyDescent="0.25">
      <c r="M346" t="s">
        <v>439</v>
      </c>
    </row>
    <row r="347" spans="13:13" ht="15.75" x14ac:dyDescent="0.25">
      <c r="M347" t="s">
        <v>440</v>
      </c>
    </row>
    <row r="348" spans="13:13" ht="15.75" x14ac:dyDescent="0.25">
      <c r="M348" t="s">
        <v>441</v>
      </c>
    </row>
    <row r="349" spans="13:13" ht="15.75" x14ac:dyDescent="0.25">
      <c r="M349" t="s">
        <v>442</v>
      </c>
    </row>
    <row r="350" spans="13:13" ht="15.75" x14ac:dyDescent="0.25">
      <c r="M350" t="s">
        <v>443</v>
      </c>
    </row>
    <row r="351" spans="13:13" ht="15.75" x14ac:dyDescent="0.25">
      <c r="M351" t="s">
        <v>438</v>
      </c>
    </row>
    <row r="352" spans="13:13" ht="15.75" x14ac:dyDescent="0.25">
      <c r="M352" t="s">
        <v>444</v>
      </c>
    </row>
    <row r="353" spans="13:13" ht="15.75" x14ac:dyDescent="0.25">
      <c r="M353" t="s">
        <v>445</v>
      </c>
    </row>
    <row r="354" spans="13:13" ht="15.75" x14ac:dyDescent="0.25">
      <c r="M354" t="s">
        <v>446</v>
      </c>
    </row>
    <row r="355" spans="13:13" ht="15.75" x14ac:dyDescent="0.25">
      <c r="M355" t="s">
        <v>447</v>
      </c>
    </row>
    <row r="356" spans="13:13" ht="15.75" x14ac:dyDescent="0.25">
      <c r="M356" t="s">
        <v>448</v>
      </c>
    </row>
    <row r="357" spans="13:13" ht="15.75" x14ac:dyDescent="0.25">
      <c r="M357" t="s">
        <v>449</v>
      </c>
    </row>
    <row r="358" spans="13:13" ht="15.75" x14ac:dyDescent="0.25">
      <c r="M358" t="s">
        <v>450</v>
      </c>
    </row>
    <row r="359" spans="13:13" ht="15.75" x14ac:dyDescent="0.25">
      <c r="M359" t="s">
        <v>451</v>
      </c>
    </row>
    <row r="360" spans="13:13" ht="15.75" x14ac:dyDescent="0.25">
      <c r="M360" t="s">
        <v>452</v>
      </c>
    </row>
    <row r="361" spans="13:13" ht="15.75" x14ac:dyDescent="0.25">
      <c r="M361" t="s">
        <v>453</v>
      </c>
    </row>
    <row r="362" spans="13:13" ht="15.75" x14ac:dyDescent="0.25">
      <c r="M362" t="s">
        <v>454</v>
      </c>
    </row>
    <row r="363" spans="13:13" ht="15.75" x14ac:dyDescent="0.25">
      <c r="M363" t="s">
        <v>455</v>
      </c>
    </row>
    <row r="364" spans="13:13" ht="15.75" x14ac:dyDescent="0.25">
      <c r="M364" t="s">
        <v>456</v>
      </c>
    </row>
    <row r="365" spans="13:13" ht="15.75" x14ac:dyDescent="0.25">
      <c r="M365" t="s">
        <v>353</v>
      </c>
    </row>
    <row r="366" spans="13:13" ht="15.75" x14ac:dyDescent="0.25">
      <c r="M366" t="s">
        <v>457</v>
      </c>
    </row>
    <row r="367" spans="13:13" ht="15.75" x14ac:dyDescent="0.25">
      <c r="M367" t="s">
        <v>458</v>
      </c>
    </row>
    <row r="368" spans="13:13" ht="15.75" x14ac:dyDescent="0.25">
      <c r="M368" t="s">
        <v>459</v>
      </c>
    </row>
    <row r="369" spans="13:13" ht="15.75" x14ac:dyDescent="0.25">
      <c r="M369" t="s">
        <v>460</v>
      </c>
    </row>
    <row r="370" spans="13:13" ht="15.75" x14ac:dyDescent="0.25">
      <c r="M370" t="s">
        <v>461</v>
      </c>
    </row>
    <row r="371" spans="13:13" ht="15.75" x14ac:dyDescent="0.25">
      <c r="M371" t="s">
        <v>462</v>
      </c>
    </row>
    <row r="372" spans="13:13" ht="15.75" x14ac:dyDescent="0.25">
      <c r="M372" t="s">
        <v>463</v>
      </c>
    </row>
    <row r="373" spans="13:13" ht="15.75" x14ac:dyDescent="0.25">
      <c r="M373" t="s">
        <v>464</v>
      </c>
    </row>
    <row r="374" spans="13:13" ht="15.75" x14ac:dyDescent="0.25">
      <c r="M374" t="s">
        <v>465</v>
      </c>
    </row>
    <row r="375" spans="13:13" ht="15.75" x14ac:dyDescent="0.25">
      <c r="M375" t="s">
        <v>466</v>
      </c>
    </row>
    <row r="376" spans="13:13" ht="15.75" x14ac:dyDescent="0.25">
      <c r="M376" t="s">
        <v>467</v>
      </c>
    </row>
    <row r="377" spans="13:13" ht="15.75" x14ac:dyDescent="0.25">
      <c r="M377" t="s">
        <v>468</v>
      </c>
    </row>
    <row r="378" spans="13:13" ht="15.75" x14ac:dyDescent="0.25">
      <c r="M378" t="s">
        <v>469</v>
      </c>
    </row>
    <row r="379" spans="13:13" ht="15.75" x14ac:dyDescent="0.25">
      <c r="M379" t="s">
        <v>470</v>
      </c>
    </row>
    <row r="380" spans="13:13" ht="15.75" x14ac:dyDescent="0.25">
      <c r="M380" t="s">
        <v>471</v>
      </c>
    </row>
    <row r="381" spans="13:13" ht="15.75" x14ac:dyDescent="0.25">
      <c r="M381" t="s">
        <v>472</v>
      </c>
    </row>
    <row r="382" spans="13:13" ht="15.75" x14ac:dyDescent="0.25">
      <c r="M382" t="s">
        <v>473</v>
      </c>
    </row>
    <row r="383" spans="13:13" ht="15.75" x14ac:dyDescent="0.25">
      <c r="M383" t="s">
        <v>473</v>
      </c>
    </row>
    <row r="384" spans="13:13" ht="15.75" x14ac:dyDescent="0.25">
      <c r="M384" t="s">
        <v>133</v>
      </c>
    </row>
    <row r="385" spans="13:13" ht="15.75" x14ac:dyDescent="0.25">
      <c r="M385" t="s">
        <v>474</v>
      </c>
    </row>
    <row r="386" spans="13:13" ht="15.75" x14ac:dyDescent="0.25">
      <c r="M386" t="s">
        <v>475</v>
      </c>
    </row>
    <row r="387" spans="13:13" ht="15.75" x14ac:dyDescent="0.25">
      <c r="M387" t="s">
        <v>476</v>
      </c>
    </row>
    <row r="388" spans="13:13" ht="15.75" x14ac:dyDescent="0.25">
      <c r="M388" t="s">
        <v>477</v>
      </c>
    </row>
    <row r="389" spans="13:13" ht="15.75" x14ac:dyDescent="0.25">
      <c r="M389" t="s">
        <v>478</v>
      </c>
    </row>
    <row r="390" spans="13:13" ht="15.75" x14ac:dyDescent="0.25">
      <c r="M390" t="s">
        <v>479</v>
      </c>
    </row>
    <row r="391" spans="13:13" ht="15.75" x14ac:dyDescent="0.25">
      <c r="M391" t="s">
        <v>480</v>
      </c>
    </row>
    <row r="392" spans="13:13" ht="15.75" x14ac:dyDescent="0.25">
      <c r="M392" t="s">
        <v>481</v>
      </c>
    </row>
    <row r="393" spans="13:13" ht="15.75" x14ac:dyDescent="0.25">
      <c r="M393" t="s">
        <v>482</v>
      </c>
    </row>
    <row r="394" spans="13:13" ht="15.75" x14ac:dyDescent="0.25">
      <c r="M394" t="s">
        <v>99</v>
      </c>
    </row>
    <row r="395" spans="13:13" ht="15.75" x14ac:dyDescent="0.25">
      <c r="M395" t="s">
        <v>483</v>
      </c>
    </row>
    <row r="396" spans="13:13" ht="15.75" x14ac:dyDescent="0.25">
      <c r="M396" t="s">
        <v>484</v>
      </c>
    </row>
    <row r="397" spans="13:13" ht="15.75" x14ac:dyDescent="0.25">
      <c r="M397" t="s">
        <v>485</v>
      </c>
    </row>
    <row r="398" spans="13:13" ht="15.75" x14ac:dyDescent="0.25">
      <c r="M398" t="s">
        <v>486</v>
      </c>
    </row>
    <row r="399" spans="13:13" ht="15.75" x14ac:dyDescent="0.25">
      <c r="M399" t="s">
        <v>487</v>
      </c>
    </row>
    <row r="400" spans="13:13" ht="15.75" x14ac:dyDescent="0.25">
      <c r="M400" t="s">
        <v>488</v>
      </c>
    </row>
    <row r="401" spans="13:13" ht="15.75" x14ac:dyDescent="0.25">
      <c r="M401" t="s">
        <v>489</v>
      </c>
    </row>
    <row r="402" spans="13:13" ht="15.75" x14ac:dyDescent="0.25">
      <c r="M402" t="s">
        <v>490</v>
      </c>
    </row>
    <row r="403" spans="13:13" ht="15.75" x14ac:dyDescent="0.25">
      <c r="M403" t="s">
        <v>491</v>
      </c>
    </row>
    <row r="404" spans="13:13" ht="15.75" x14ac:dyDescent="0.25">
      <c r="M404" t="s">
        <v>492</v>
      </c>
    </row>
    <row r="405" spans="13:13" ht="15.75" x14ac:dyDescent="0.25">
      <c r="M405" t="s">
        <v>161</v>
      </c>
    </row>
    <row r="406" spans="13:13" ht="15.75" x14ac:dyDescent="0.25">
      <c r="M406" t="s">
        <v>493</v>
      </c>
    </row>
    <row r="407" spans="13:13" ht="15.75" x14ac:dyDescent="0.25">
      <c r="M407" t="s">
        <v>494</v>
      </c>
    </row>
    <row r="408" spans="13:13" ht="15.75" x14ac:dyDescent="0.25">
      <c r="M408" t="s">
        <v>495</v>
      </c>
    </row>
    <row r="409" spans="13:13" ht="15.75" x14ac:dyDescent="0.25">
      <c r="M409" t="s">
        <v>496</v>
      </c>
    </row>
    <row r="410" spans="13:13" ht="15.75" x14ac:dyDescent="0.25">
      <c r="M410" t="s">
        <v>497</v>
      </c>
    </row>
    <row r="411" spans="13:13" ht="15.75" x14ac:dyDescent="0.25">
      <c r="M411" t="s">
        <v>498</v>
      </c>
    </row>
    <row r="412" spans="13:13" ht="15.75" x14ac:dyDescent="0.25">
      <c r="M412" t="s">
        <v>499</v>
      </c>
    </row>
    <row r="413" spans="13:13" ht="15.75" x14ac:dyDescent="0.25">
      <c r="M413" t="s">
        <v>111</v>
      </c>
    </row>
    <row r="414" spans="13:13" ht="15.75" x14ac:dyDescent="0.25">
      <c r="M414" t="s">
        <v>500</v>
      </c>
    </row>
    <row r="415" spans="13:13" ht="15.75" x14ac:dyDescent="0.25">
      <c r="M415" t="s">
        <v>501</v>
      </c>
    </row>
    <row r="416" spans="13:13" ht="15.75" x14ac:dyDescent="0.25">
      <c r="M416" t="s">
        <v>502</v>
      </c>
    </row>
    <row r="417" spans="13:13" ht="15.75" x14ac:dyDescent="0.25">
      <c r="M417" t="s">
        <v>503</v>
      </c>
    </row>
    <row r="418" spans="13:13" ht="15.75" x14ac:dyDescent="0.25">
      <c r="M418" t="s">
        <v>504</v>
      </c>
    </row>
    <row r="419" spans="13:13" ht="15.75" x14ac:dyDescent="0.25">
      <c r="M419" t="s">
        <v>505</v>
      </c>
    </row>
    <row r="420" spans="13:13" ht="15.75" x14ac:dyDescent="0.25">
      <c r="M420" t="s">
        <v>506</v>
      </c>
    </row>
    <row r="421" spans="13:13" ht="15.75" x14ac:dyDescent="0.25">
      <c r="M421" t="s">
        <v>507</v>
      </c>
    </row>
    <row r="422" spans="13:13" ht="15.75" x14ac:dyDescent="0.25">
      <c r="M422" t="s">
        <v>508</v>
      </c>
    </row>
    <row r="423" spans="13:13" ht="15.75" x14ac:dyDescent="0.25">
      <c r="M423" t="s">
        <v>509</v>
      </c>
    </row>
    <row r="424" spans="13:13" ht="15.75" x14ac:dyDescent="0.25">
      <c r="M424" t="s">
        <v>510</v>
      </c>
    </row>
    <row r="425" spans="13:13" ht="15.75" x14ac:dyDescent="0.25">
      <c r="M425" t="s">
        <v>511</v>
      </c>
    </row>
    <row r="426" spans="13:13" ht="15.75" x14ac:dyDescent="0.25">
      <c r="M426" t="s">
        <v>512</v>
      </c>
    </row>
    <row r="427" spans="13:13" ht="15.75" x14ac:dyDescent="0.25">
      <c r="M427" t="s">
        <v>513</v>
      </c>
    </row>
    <row r="428" spans="13:13" ht="15.75" x14ac:dyDescent="0.25">
      <c r="M428" t="s">
        <v>514</v>
      </c>
    </row>
    <row r="429" spans="13:13" ht="15.75" x14ac:dyDescent="0.25">
      <c r="M429" t="s">
        <v>515</v>
      </c>
    </row>
    <row r="430" spans="13:13" ht="15.75" x14ac:dyDescent="0.25">
      <c r="M430" t="s">
        <v>516</v>
      </c>
    </row>
    <row r="431" spans="13:13" ht="15.75" x14ac:dyDescent="0.25">
      <c r="M431" t="s">
        <v>517</v>
      </c>
    </row>
    <row r="432" spans="13:13" ht="15.75" x14ac:dyDescent="0.25">
      <c r="M432" t="s">
        <v>518</v>
      </c>
    </row>
    <row r="433" spans="13:13" ht="15.75" x14ac:dyDescent="0.25">
      <c r="M433" t="s">
        <v>519</v>
      </c>
    </row>
    <row r="434" spans="13:13" ht="15.75" x14ac:dyDescent="0.25">
      <c r="M434" t="s">
        <v>520</v>
      </c>
    </row>
    <row r="435" spans="13:13" ht="15.75" x14ac:dyDescent="0.25">
      <c r="M435" t="s">
        <v>521</v>
      </c>
    </row>
    <row r="436" spans="13:13" ht="15.75" x14ac:dyDescent="0.25">
      <c r="M436" t="s">
        <v>522</v>
      </c>
    </row>
    <row r="437" spans="13:13" ht="15.75" x14ac:dyDescent="0.25">
      <c r="M437" t="s">
        <v>523</v>
      </c>
    </row>
    <row r="438" spans="13:13" ht="15.75" x14ac:dyDescent="0.25">
      <c r="M438" t="s">
        <v>524</v>
      </c>
    </row>
    <row r="439" spans="13:13" ht="15.75" x14ac:dyDescent="0.25">
      <c r="M439" t="s">
        <v>525</v>
      </c>
    </row>
    <row r="440" spans="13:13" ht="15.75" x14ac:dyDescent="0.25">
      <c r="M440" t="s">
        <v>526</v>
      </c>
    </row>
    <row r="441" spans="13:13" ht="15.75" x14ac:dyDescent="0.25">
      <c r="M441" t="s">
        <v>518</v>
      </c>
    </row>
    <row r="442" spans="13:13" ht="15.75" x14ac:dyDescent="0.25">
      <c r="M442" t="s">
        <v>527</v>
      </c>
    </row>
    <row r="443" spans="13:13" ht="15.75" x14ac:dyDescent="0.25">
      <c r="M443" t="s">
        <v>528</v>
      </c>
    </row>
    <row r="444" spans="13:13" ht="15.75" x14ac:dyDescent="0.25">
      <c r="M444" t="s">
        <v>529</v>
      </c>
    </row>
    <row r="445" spans="13:13" ht="15.75" x14ac:dyDescent="0.25">
      <c r="M445" t="s">
        <v>518</v>
      </c>
    </row>
    <row r="446" spans="13:13" ht="15.75" x14ac:dyDescent="0.25">
      <c r="M446" t="s">
        <v>530</v>
      </c>
    </row>
    <row r="447" spans="13:13" ht="15.75" x14ac:dyDescent="0.25">
      <c r="M447" t="s">
        <v>531</v>
      </c>
    </row>
    <row r="448" spans="13:13" ht="15.75" x14ac:dyDescent="0.25">
      <c r="M448" t="s">
        <v>532</v>
      </c>
    </row>
    <row r="449" spans="13:13" ht="15.75" x14ac:dyDescent="0.25">
      <c r="M449" t="s">
        <v>533</v>
      </c>
    </row>
    <row r="450" spans="13:13" ht="15.75" x14ac:dyDescent="0.25">
      <c r="M450" t="s">
        <v>534</v>
      </c>
    </row>
    <row r="451" spans="13:13" ht="15.75" x14ac:dyDescent="0.25">
      <c r="M451" t="s">
        <v>533</v>
      </c>
    </row>
    <row r="452" spans="13:13" ht="15.75" x14ac:dyDescent="0.25">
      <c r="M452" t="s">
        <v>535</v>
      </c>
    </row>
    <row r="453" spans="13:13" ht="15.75" x14ac:dyDescent="0.25">
      <c r="M453" t="s">
        <v>536</v>
      </c>
    </row>
    <row r="454" spans="13:13" ht="15.75" x14ac:dyDescent="0.25">
      <c r="M454" t="s">
        <v>537</v>
      </c>
    </row>
    <row r="455" spans="13:13" ht="15.75" x14ac:dyDescent="0.25">
      <c r="M455" t="s">
        <v>538</v>
      </c>
    </row>
    <row r="456" spans="13:13" ht="15.75" x14ac:dyDescent="0.25">
      <c r="M456" t="s">
        <v>539</v>
      </c>
    </row>
    <row r="457" spans="13:13" ht="15.75" x14ac:dyDescent="0.25">
      <c r="M457" t="s">
        <v>540</v>
      </c>
    </row>
    <row r="458" spans="13:13" ht="15.75" x14ac:dyDescent="0.25">
      <c r="M458" t="s">
        <v>539</v>
      </c>
    </row>
    <row r="459" spans="13:13" ht="15.75" x14ac:dyDescent="0.25">
      <c r="M459" t="s">
        <v>529</v>
      </c>
    </row>
    <row r="460" spans="13:13" ht="15.75" x14ac:dyDescent="0.25">
      <c r="M460" t="s">
        <v>541</v>
      </c>
    </row>
    <row r="461" spans="13:13" ht="15.75" x14ac:dyDescent="0.25">
      <c r="M461" t="s">
        <v>530</v>
      </c>
    </row>
    <row r="462" spans="13:13" ht="15.75" x14ac:dyDescent="0.25">
      <c r="M462" t="s">
        <v>542</v>
      </c>
    </row>
    <row r="463" spans="13:13" ht="15.75" x14ac:dyDescent="0.25">
      <c r="M463" t="s">
        <v>543</v>
      </c>
    </row>
    <row r="464" spans="13:13" ht="15.75" x14ac:dyDescent="0.25">
      <c r="M464" t="s">
        <v>544</v>
      </c>
    </row>
    <row r="465" spans="13:13" ht="15.75" x14ac:dyDescent="0.25">
      <c r="M465" t="s">
        <v>540</v>
      </c>
    </row>
    <row r="466" spans="13:13" ht="15.75" x14ac:dyDescent="0.25">
      <c r="M466" t="s">
        <v>545</v>
      </c>
    </row>
    <row r="467" spans="13:13" ht="15.75" x14ac:dyDescent="0.25">
      <c r="M467" t="s">
        <v>546</v>
      </c>
    </row>
    <row r="468" spans="13:13" ht="15.75" x14ac:dyDescent="0.25">
      <c r="M468" t="s">
        <v>547</v>
      </c>
    </row>
    <row r="469" spans="13:13" ht="15.75" x14ac:dyDescent="0.25">
      <c r="M469" t="s">
        <v>548</v>
      </c>
    </row>
    <row r="470" spans="13:13" ht="15.75" x14ac:dyDescent="0.25">
      <c r="M470" t="s">
        <v>549</v>
      </c>
    </row>
    <row r="471" spans="13:13" ht="15.75" x14ac:dyDescent="0.25">
      <c r="M471" t="s">
        <v>550</v>
      </c>
    </row>
    <row r="472" spans="13:13" ht="15.75" x14ac:dyDescent="0.25">
      <c r="M472" t="s">
        <v>551</v>
      </c>
    </row>
    <row r="473" spans="13:13" ht="15.75" x14ac:dyDescent="0.25">
      <c r="M473" t="s">
        <v>552</v>
      </c>
    </row>
    <row r="474" spans="13:13" ht="15.75" x14ac:dyDescent="0.25">
      <c r="M474" t="s">
        <v>553</v>
      </c>
    </row>
    <row r="475" spans="13:13" ht="15.75" x14ac:dyDescent="0.25">
      <c r="M475" t="s">
        <v>554</v>
      </c>
    </row>
    <row r="476" spans="13:13" ht="15.75" x14ac:dyDescent="0.25">
      <c r="M476" t="s">
        <v>102</v>
      </c>
    </row>
    <row r="477" spans="13:13" ht="15.75" x14ac:dyDescent="0.25">
      <c r="M477" t="s">
        <v>555</v>
      </c>
    </row>
    <row r="478" spans="13:13" ht="15.75" x14ac:dyDescent="0.25">
      <c r="M478" t="s">
        <v>556</v>
      </c>
    </row>
    <row r="479" spans="13:13" ht="15.75" x14ac:dyDescent="0.25">
      <c r="M479" t="s">
        <v>557</v>
      </c>
    </row>
    <row r="480" spans="13:13" ht="15.75" x14ac:dyDescent="0.25">
      <c r="M480" t="s">
        <v>558</v>
      </c>
    </row>
    <row r="481" spans="13:13" ht="15.75" x14ac:dyDescent="0.25">
      <c r="M481" t="s">
        <v>559</v>
      </c>
    </row>
    <row r="482" spans="13:13" ht="15.75" x14ac:dyDescent="0.25">
      <c r="M482" t="s">
        <v>313</v>
      </c>
    </row>
    <row r="483" spans="13:13" ht="15.75" x14ac:dyDescent="0.25">
      <c r="M483" t="s">
        <v>560</v>
      </c>
    </row>
    <row r="484" spans="13:13" ht="15.75" x14ac:dyDescent="0.25">
      <c r="M484" t="s">
        <v>561</v>
      </c>
    </row>
    <row r="485" spans="13:13" ht="15.75" x14ac:dyDescent="0.25">
      <c r="M485" t="s">
        <v>562</v>
      </c>
    </row>
    <row r="486" spans="13:13" ht="15.75" x14ac:dyDescent="0.25">
      <c r="M486" t="s">
        <v>563</v>
      </c>
    </row>
    <row r="487" spans="13:13" ht="15.75" x14ac:dyDescent="0.25">
      <c r="M487" t="s">
        <v>564</v>
      </c>
    </row>
    <row r="488" spans="13:13" ht="15.75" x14ac:dyDescent="0.25">
      <c r="M488" t="s">
        <v>161</v>
      </c>
    </row>
    <row r="489" spans="13:13" ht="15.75" x14ac:dyDescent="0.25">
      <c r="M489" t="s">
        <v>565</v>
      </c>
    </row>
    <row r="490" spans="13:13" ht="15.75" x14ac:dyDescent="0.25">
      <c r="M490" t="s">
        <v>161</v>
      </c>
    </row>
    <row r="491" spans="13:13" ht="15.75" x14ac:dyDescent="0.25">
      <c r="M491" t="s">
        <v>161</v>
      </c>
    </row>
    <row r="492" spans="13:13" ht="15.75" x14ac:dyDescent="0.25">
      <c r="M492" t="s">
        <v>566</v>
      </c>
    </row>
    <row r="493" spans="13:13" ht="15.75" x14ac:dyDescent="0.25">
      <c r="M493" t="s">
        <v>567</v>
      </c>
    </row>
    <row r="494" spans="13:13" ht="15.75" x14ac:dyDescent="0.25">
      <c r="M494" t="s">
        <v>568</v>
      </c>
    </row>
    <row r="495" spans="13:13" ht="15.75" x14ac:dyDescent="0.25">
      <c r="M495" t="s">
        <v>569</v>
      </c>
    </row>
    <row r="496" spans="13:13" ht="15.75" x14ac:dyDescent="0.25">
      <c r="M496" t="s">
        <v>570</v>
      </c>
    </row>
    <row r="497" spans="13:13" ht="15.75" x14ac:dyDescent="0.25">
      <c r="M497" t="s">
        <v>571</v>
      </c>
    </row>
    <row r="498" spans="13:13" ht="15.75" x14ac:dyDescent="0.25">
      <c r="M498" t="s">
        <v>572</v>
      </c>
    </row>
    <row r="499" spans="13:13" ht="15.75" x14ac:dyDescent="0.25">
      <c r="M499" t="s">
        <v>573</v>
      </c>
    </row>
    <row r="500" spans="13:13" ht="15.75" x14ac:dyDescent="0.25">
      <c r="M500" t="s">
        <v>574</v>
      </c>
    </row>
    <row r="501" spans="13:13" ht="15.75" x14ac:dyDescent="0.25">
      <c r="M501" t="s">
        <v>575</v>
      </c>
    </row>
    <row r="502" spans="13:13" ht="15.75" x14ac:dyDescent="0.25">
      <c r="M502" t="s">
        <v>313</v>
      </c>
    </row>
    <row r="503" spans="13:13" ht="15.75" x14ac:dyDescent="0.25">
      <c r="M503" t="s">
        <v>576</v>
      </c>
    </row>
    <row r="504" spans="13:13" ht="15.75" x14ac:dyDescent="0.25">
      <c r="M504" t="s">
        <v>161</v>
      </c>
    </row>
    <row r="505" spans="13:13" ht="15.75" x14ac:dyDescent="0.25">
      <c r="M505" t="s">
        <v>577</v>
      </c>
    </row>
    <row r="506" spans="13:13" ht="15.75" x14ac:dyDescent="0.25">
      <c r="M506" t="s">
        <v>578</v>
      </c>
    </row>
    <row r="507" spans="13:13" ht="15.75" x14ac:dyDescent="0.25">
      <c r="M507" t="s">
        <v>579</v>
      </c>
    </row>
    <row r="508" spans="13:13" ht="15.75" x14ac:dyDescent="0.25">
      <c r="M508" t="s">
        <v>580</v>
      </c>
    </row>
    <row r="509" spans="13:13" ht="15.75" x14ac:dyDescent="0.25">
      <c r="M509" t="s">
        <v>581</v>
      </c>
    </row>
    <row r="510" spans="13:13" ht="15.75" x14ac:dyDescent="0.25">
      <c r="M510" t="s">
        <v>582</v>
      </c>
    </row>
    <row r="511" spans="13:13" ht="15.75" x14ac:dyDescent="0.25">
      <c r="M511" t="s">
        <v>161</v>
      </c>
    </row>
    <row r="512" spans="13:13" ht="15.75" x14ac:dyDescent="0.25">
      <c r="M512" t="s">
        <v>583</v>
      </c>
    </row>
    <row r="513" spans="13:13" ht="15.75" x14ac:dyDescent="0.25">
      <c r="M513" t="s">
        <v>584</v>
      </c>
    </row>
    <row r="514" spans="13:13" ht="15.75" x14ac:dyDescent="0.25">
      <c r="M514" t="s">
        <v>585</v>
      </c>
    </row>
    <row r="515" spans="13:13" ht="15.75" x14ac:dyDescent="0.25">
      <c r="M515" t="s">
        <v>586</v>
      </c>
    </row>
    <row r="516" spans="13:13" ht="15.75" x14ac:dyDescent="0.25">
      <c r="M516" t="s">
        <v>587</v>
      </c>
    </row>
    <row r="517" spans="13:13" ht="15.75" x14ac:dyDescent="0.25">
      <c r="M517" t="s">
        <v>588</v>
      </c>
    </row>
    <row r="518" spans="13:13" ht="15.75" x14ac:dyDescent="0.25">
      <c r="M518" t="s">
        <v>589</v>
      </c>
    </row>
    <row r="519" spans="13:13" ht="15.75" x14ac:dyDescent="0.25">
      <c r="M519" t="s">
        <v>590</v>
      </c>
    </row>
    <row r="520" spans="13:13" ht="15.75" x14ac:dyDescent="0.25">
      <c r="M520" t="s">
        <v>591</v>
      </c>
    </row>
    <row r="521" spans="13:13" ht="15.75" x14ac:dyDescent="0.25">
      <c r="M521" t="s">
        <v>592</v>
      </c>
    </row>
    <row r="522" spans="13:13" ht="15.75" x14ac:dyDescent="0.25">
      <c r="M522" t="s">
        <v>593</v>
      </c>
    </row>
    <row r="523" spans="13:13" ht="15.75" x14ac:dyDescent="0.25">
      <c r="M523" t="s">
        <v>594</v>
      </c>
    </row>
    <row r="524" spans="13:13" ht="15.75" x14ac:dyDescent="0.25">
      <c r="M524" t="s">
        <v>595</v>
      </c>
    </row>
    <row r="525" spans="13:13" ht="15.75" x14ac:dyDescent="0.25">
      <c r="M525" t="s">
        <v>89</v>
      </c>
    </row>
    <row r="526" spans="13:13" ht="15.75" x14ac:dyDescent="0.25">
      <c r="M526" t="s">
        <v>596</v>
      </c>
    </row>
    <row r="527" spans="13:13" ht="15.75" x14ac:dyDescent="0.25">
      <c r="M527" t="s">
        <v>597</v>
      </c>
    </row>
    <row r="528" spans="13:13" ht="15.75" x14ac:dyDescent="0.25">
      <c r="M528" t="s">
        <v>598</v>
      </c>
    </row>
    <row r="529" spans="13:13" ht="15.75" x14ac:dyDescent="0.25">
      <c r="M529" t="s">
        <v>599</v>
      </c>
    </row>
    <row r="530" spans="13:13" ht="15.75" x14ac:dyDescent="0.25">
      <c r="M530" t="s">
        <v>600</v>
      </c>
    </row>
    <row r="531" spans="13:13" ht="15.75" x14ac:dyDescent="0.25">
      <c r="M531" t="s">
        <v>601</v>
      </c>
    </row>
    <row r="532" spans="13:13" ht="15.75" x14ac:dyDescent="0.25">
      <c r="M532" t="s">
        <v>602</v>
      </c>
    </row>
    <row r="533" spans="13:13" ht="15.75" x14ac:dyDescent="0.25">
      <c r="M533" t="s">
        <v>603</v>
      </c>
    </row>
    <row r="534" spans="13:13" ht="15.75" x14ac:dyDescent="0.25">
      <c r="M534" t="s">
        <v>604</v>
      </c>
    </row>
    <row r="535" spans="13:13" ht="15.75" x14ac:dyDescent="0.25">
      <c r="M535" t="s">
        <v>605</v>
      </c>
    </row>
    <row r="536" spans="13:13" ht="15.75" x14ac:dyDescent="0.25">
      <c r="M536" t="s">
        <v>88</v>
      </c>
    </row>
    <row r="537" spans="13:13" ht="15.75" x14ac:dyDescent="0.25">
      <c r="M537" t="s">
        <v>606</v>
      </c>
    </row>
    <row r="538" spans="13:13" ht="15.75" x14ac:dyDescent="0.25">
      <c r="M538" t="s">
        <v>607</v>
      </c>
    </row>
    <row r="539" spans="13:13" ht="15.75" x14ac:dyDescent="0.25">
      <c r="M539" t="s">
        <v>608</v>
      </c>
    </row>
    <row r="540" spans="13:13" ht="15.75" x14ac:dyDescent="0.25">
      <c r="M540" t="s">
        <v>609</v>
      </c>
    </row>
    <row r="541" spans="13:13" ht="15.75" x14ac:dyDescent="0.25">
      <c r="M541" t="s">
        <v>295</v>
      </c>
    </row>
    <row r="542" spans="13:13" ht="15.75" x14ac:dyDescent="0.25">
      <c r="M542" t="s">
        <v>610</v>
      </c>
    </row>
    <row r="543" spans="13:13" ht="15.75" x14ac:dyDescent="0.25">
      <c r="M543" t="s">
        <v>611</v>
      </c>
    </row>
    <row r="544" spans="13:13" ht="15.75" x14ac:dyDescent="0.25">
      <c r="M544" t="s">
        <v>612</v>
      </c>
    </row>
    <row r="545" spans="13:13" ht="15.75" x14ac:dyDescent="0.25">
      <c r="M545" t="s">
        <v>613</v>
      </c>
    </row>
    <row r="546" spans="13:13" ht="15.75" x14ac:dyDescent="0.25">
      <c r="M546" t="s">
        <v>614</v>
      </c>
    </row>
    <row r="547" spans="13:13" ht="15.75" x14ac:dyDescent="0.25">
      <c r="M547" t="s">
        <v>615</v>
      </c>
    </row>
    <row r="548" spans="13:13" ht="15.75" x14ac:dyDescent="0.25">
      <c r="M548" t="s">
        <v>616</v>
      </c>
    </row>
    <row r="549" spans="13:13" ht="15.75" x14ac:dyDescent="0.25">
      <c r="M549" t="s">
        <v>617</v>
      </c>
    </row>
    <row r="550" spans="13:13" ht="15.75" x14ac:dyDescent="0.25">
      <c r="M550" t="s">
        <v>618</v>
      </c>
    </row>
    <row r="551" spans="13:13" ht="15.75" x14ac:dyDescent="0.25">
      <c r="M551" t="s">
        <v>619</v>
      </c>
    </row>
    <row r="552" spans="13:13" ht="15.75" x14ac:dyDescent="0.25">
      <c r="M552" t="s">
        <v>620</v>
      </c>
    </row>
    <row r="553" spans="13:13" ht="15.75" x14ac:dyDescent="0.25">
      <c r="M553" t="s">
        <v>621</v>
      </c>
    </row>
    <row r="554" spans="13:13" ht="15.75" x14ac:dyDescent="0.25">
      <c r="M554" t="s">
        <v>622</v>
      </c>
    </row>
    <row r="555" spans="13:13" ht="15.75" x14ac:dyDescent="0.25">
      <c r="M555" t="s">
        <v>623</v>
      </c>
    </row>
    <row r="556" spans="13:13" ht="15.75" x14ac:dyDescent="0.25">
      <c r="M556" t="s">
        <v>624</v>
      </c>
    </row>
    <row r="557" spans="13:13" ht="15.75" x14ac:dyDescent="0.25">
      <c r="M557" t="s">
        <v>625</v>
      </c>
    </row>
    <row r="558" spans="13:13" ht="15.75" x14ac:dyDescent="0.25">
      <c r="M558" t="s">
        <v>626</v>
      </c>
    </row>
    <row r="559" spans="13:13" ht="15.75" x14ac:dyDescent="0.25">
      <c r="M559" t="s">
        <v>627</v>
      </c>
    </row>
    <row r="560" spans="13:13" ht="15.75" x14ac:dyDescent="0.25">
      <c r="M560" t="s">
        <v>628</v>
      </c>
    </row>
    <row r="561" spans="13:13" ht="15.75" x14ac:dyDescent="0.25">
      <c r="M561" t="s">
        <v>629</v>
      </c>
    </row>
    <row r="562" spans="13:13" ht="15.75" x14ac:dyDescent="0.25">
      <c r="M562" t="s">
        <v>630</v>
      </c>
    </row>
    <row r="563" spans="13:13" ht="15.75" x14ac:dyDescent="0.25">
      <c r="M563" t="s">
        <v>631</v>
      </c>
    </row>
    <row r="564" spans="13:13" ht="15.75" x14ac:dyDescent="0.25">
      <c r="M564" t="s">
        <v>632</v>
      </c>
    </row>
    <row r="565" spans="13:13" ht="15.75" x14ac:dyDescent="0.25">
      <c r="M565" t="s">
        <v>161</v>
      </c>
    </row>
    <row r="566" spans="13:13" ht="15.75" x14ac:dyDescent="0.25">
      <c r="M566" t="s">
        <v>633</v>
      </c>
    </row>
    <row r="567" spans="13:13" ht="15.75" x14ac:dyDescent="0.25">
      <c r="M567" t="s">
        <v>634</v>
      </c>
    </row>
    <row r="568" spans="13:13" ht="15.75" x14ac:dyDescent="0.25">
      <c r="M568" t="s">
        <v>635</v>
      </c>
    </row>
    <row r="569" spans="13:13" ht="15.75" x14ac:dyDescent="0.25">
      <c r="M569" t="s">
        <v>636</v>
      </c>
    </row>
    <row r="570" spans="13:13" ht="15.75" x14ac:dyDescent="0.25">
      <c r="M570" t="s">
        <v>637</v>
      </c>
    </row>
    <row r="571" spans="13:13" ht="15.75" x14ac:dyDescent="0.25">
      <c r="M571" t="s">
        <v>638</v>
      </c>
    </row>
    <row r="572" spans="13:13" ht="15.75" x14ac:dyDescent="0.25">
      <c r="M572" t="s">
        <v>639</v>
      </c>
    </row>
    <row r="573" spans="13:13" ht="15.75" x14ac:dyDescent="0.25">
      <c r="M573" t="s">
        <v>640</v>
      </c>
    </row>
    <row r="574" spans="13:13" ht="15.75" x14ac:dyDescent="0.25">
      <c r="M574" t="s">
        <v>641</v>
      </c>
    </row>
    <row r="575" spans="13:13" ht="15.75" x14ac:dyDescent="0.25">
      <c r="M575" t="s">
        <v>642</v>
      </c>
    </row>
    <row r="576" spans="13:13" ht="15.75" x14ac:dyDescent="0.25">
      <c r="M576" t="s">
        <v>643</v>
      </c>
    </row>
    <row r="577" spans="13:13" ht="15.75" x14ac:dyDescent="0.25">
      <c r="M577" t="s">
        <v>644</v>
      </c>
    </row>
    <row r="578" spans="13:13" ht="15.75" x14ac:dyDescent="0.25">
      <c r="M578" t="s">
        <v>645</v>
      </c>
    </row>
    <row r="579" spans="13:13" ht="15.75" x14ac:dyDescent="0.25">
      <c r="M579" t="s">
        <v>646</v>
      </c>
    </row>
    <row r="580" spans="13:13" ht="15.75" x14ac:dyDescent="0.25">
      <c r="M580" t="s">
        <v>647</v>
      </c>
    </row>
    <row r="581" spans="13:13" ht="15.75" x14ac:dyDescent="0.25">
      <c r="M581" t="s">
        <v>648</v>
      </c>
    </row>
    <row r="582" spans="13:13" ht="15.75" x14ac:dyDescent="0.25">
      <c r="M582" t="s">
        <v>48</v>
      </c>
    </row>
    <row r="583" spans="13:13" ht="15.75" x14ac:dyDescent="0.25">
      <c r="M583" t="s">
        <v>649</v>
      </c>
    </row>
    <row r="584" spans="13:13" ht="15.75" x14ac:dyDescent="0.25">
      <c r="M584" t="s">
        <v>650</v>
      </c>
    </row>
    <row r="585" spans="13:13" ht="15.75" x14ac:dyDescent="0.25">
      <c r="M585" t="s">
        <v>651</v>
      </c>
    </row>
    <row r="586" spans="13:13" ht="15.75" x14ac:dyDescent="0.25">
      <c r="M586" t="s">
        <v>652</v>
      </c>
    </row>
    <row r="587" spans="13:13" ht="15.75" x14ac:dyDescent="0.25">
      <c r="M587" t="s">
        <v>653</v>
      </c>
    </row>
    <row r="588" spans="13:13" ht="15.75" x14ac:dyDescent="0.25">
      <c r="M588" t="s">
        <v>654</v>
      </c>
    </row>
    <row r="589" spans="13:13" ht="15.75" x14ac:dyDescent="0.25">
      <c r="M589" t="s">
        <v>655</v>
      </c>
    </row>
    <row r="590" spans="13:13" ht="15.75" x14ac:dyDescent="0.25">
      <c r="M590" t="s">
        <v>656</v>
      </c>
    </row>
    <row r="591" spans="13:13" ht="15.75" x14ac:dyDescent="0.25">
      <c r="M591" t="s">
        <v>657</v>
      </c>
    </row>
    <row r="592" spans="13:13" ht="15.75" x14ac:dyDescent="0.25">
      <c r="M592" t="s">
        <v>658</v>
      </c>
    </row>
    <row r="593" spans="13:13" ht="15.75" x14ac:dyDescent="0.25">
      <c r="M593" t="s">
        <v>659</v>
      </c>
    </row>
    <row r="594" spans="13:13" ht="15.75" x14ac:dyDescent="0.25">
      <c r="M594" t="s">
        <v>660</v>
      </c>
    </row>
    <row r="595" spans="13:13" ht="15.75" x14ac:dyDescent="0.25">
      <c r="M595" t="s">
        <v>661</v>
      </c>
    </row>
    <row r="596" spans="13:13" ht="15.75" x14ac:dyDescent="0.25">
      <c r="M596" t="s">
        <v>662</v>
      </c>
    </row>
    <row r="597" spans="13:13" ht="15.75" x14ac:dyDescent="0.25">
      <c r="M597" t="s">
        <v>663</v>
      </c>
    </row>
    <row r="598" spans="13:13" ht="15.75" x14ac:dyDescent="0.25">
      <c r="M598" t="s">
        <v>664</v>
      </c>
    </row>
    <row r="599" spans="13:13" ht="15.75" x14ac:dyDescent="0.25">
      <c r="M599" t="s">
        <v>665</v>
      </c>
    </row>
    <row r="600" spans="13:13" ht="15.75" x14ac:dyDescent="0.25">
      <c r="M600" t="s">
        <v>666</v>
      </c>
    </row>
    <row r="601" spans="13:13" ht="15.75" x14ac:dyDescent="0.25">
      <c r="M601" t="s">
        <v>667</v>
      </c>
    </row>
    <row r="602" spans="13:13" ht="15.75" x14ac:dyDescent="0.25">
      <c r="M602" t="s">
        <v>194</v>
      </c>
    </row>
    <row r="603" spans="13:13" ht="15.75" x14ac:dyDescent="0.25">
      <c r="M603" t="s">
        <v>161</v>
      </c>
    </row>
    <row r="604" spans="13:13" ht="15.75" x14ac:dyDescent="0.25">
      <c r="M604" t="s">
        <v>668</v>
      </c>
    </row>
    <row r="605" spans="13:13" ht="15.75" x14ac:dyDescent="0.25">
      <c r="M605" t="s">
        <v>669</v>
      </c>
    </row>
    <row r="606" spans="13:13" ht="15.75" x14ac:dyDescent="0.25">
      <c r="M606" t="s">
        <v>670</v>
      </c>
    </row>
    <row r="607" spans="13:13" ht="15.75" x14ac:dyDescent="0.25">
      <c r="M607" t="s">
        <v>671</v>
      </c>
    </row>
    <row r="608" spans="13:13" ht="15.75" x14ac:dyDescent="0.25">
      <c r="M608" t="s">
        <v>672</v>
      </c>
    </row>
    <row r="609" spans="13:13" ht="15.75" x14ac:dyDescent="0.25">
      <c r="M609" t="s">
        <v>673</v>
      </c>
    </row>
    <row r="610" spans="13:13" ht="15.75" x14ac:dyDescent="0.25">
      <c r="M610" t="s">
        <v>161</v>
      </c>
    </row>
    <row r="611" spans="13:13" ht="15.75" x14ac:dyDescent="0.25">
      <c r="M611" t="s">
        <v>674</v>
      </c>
    </row>
    <row r="612" spans="13:13" ht="15.75" x14ac:dyDescent="0.25">
      <c r="M612" t="s">
        <v>675</v>
      </c>
    </row>
    <row r="613" spans="13:13" ht="15.75" x14ac:dyDescent="0.25">
      <c r="M613" t="s">
        <v>676</v>
      </c>
    </row>
    <row r="614" spans="13:13" ht="15.75" x14ac:dyDescent="0.25">
      <c r="M614" t="s">
        <v>677</v>
      </c>
    </row>
    <row r="615" spans="13:13" ht="15.75" x14ac:dyDescent="0.25">
      <c r="M615" t="s">
        <v>678</v>
      </c>
    </row>
    <row r="616" spans="13:13" ht="15.75" x14ac:dyDescent="0.25">
      <c r="M616" t="s">
        <v>87</v>
      </c>
    </row>
    <row r="617" spans="13:13" ht="15.75" x14ac:dyDescent="0.25">
      <c r="M617" t="s">
        <v>679</v>
      </c>
    </row>
    <row r="618" spans="13:13" ht="15.75" x14ac:dyDescent="0.25">
      <c r="M618" t="s">
        <v>680</v>
      </c>
    </row>
    <row r="619" spans="13:13" ht="15.75" x14ac:dyDescent="0.25">
      <c r="M619" t="s">
        <v>681</v>
      </c>
    </row>
    <row r="620" spans="13:13" ht="15.75" x14ac:dyDescent="0.25">
      <c r="M620" t="s">
        <v>682</v>
      </c>
    </row>
    <row r="621" spans="13:13" ht="15.75" x14ac:dyDescent="0.25">
      <c r="M621" t="s">
        <v>683</v>
      </c>
    </row>
    <row r="622" spans="13:13" ht="15.75" x14ac:dyDescent="0.25">
      <c r="M622" t="s">
        <v>684</v>
      </c>
    </row>
    <row r="623" spans="13:13" ht="15.75" x14ac:dyDescent="0.25">
      <c r="M623" t="s">
        <v>685</v>
      </c>
    </row>
    <row r="624" spans="13:13" ht="15.75" x14ac:dyDescent="0.25">
      <c r="M624" t="s">
        <v>686</v>
      </c>
    </row>
    <row r="625" spans="13:13" ht="15.75" x14ac:dyDescent="0.25">
      <c r="M625" t="s">
        <v>687</v>
      </c>
    </row>
    <row r="626" spans="13:13" ht="15.75" x14ac:dyDescent="0.25">
      <c r="M626" t="s">
        <v>688</v>
      </c>
    </row>
    <row r="627" spans="13:13" ht="15.75" x14ac:dyDescent="0.25">
      <c r="M627" t="s">
        <v>689</v>
      </c>
    </row>
    <row r="628" spans="13:13" ht="15.75" x14ac:dyDescent="0.25">
      <c r="M628" t="s">
        <v>690</v>
      </c>
    </row>
    <row r="629" spans="13:13" ht="15.75" x14ac:dyDescent="0.25">
      <c r="M629" t="s">
        <v>691</v>
      </c>
    </row>
    <row r="630" spans="13:13" ht="15.75" x14ac:dyDescent="0.25">
      <c r="M630" t="s">
        <v>692</v>
      </c>
    </row>
    <row r="631" spans="13:13" ht="15.75" x14ac:dyDescent="0.25">
      <c r="M631" t="s">
        <v>693</v>
      </c>
    </row>
    <row r="632" spans="13:13" ht="15.75" x14ac:dyDescent="0.25">
      <c r="M632" t="s">
        <v>694</v>
      </c>
    </row>
    <row r="633" spans="13:13" ht="15.75" x14ac:dyDescent="0.25">
      <c r="M633" t="s">
        <v>695</v>
      </c>
    </row>
    <row r="634" spans="13:13" ht="15.75" x14ac:dyDescent="0.25">
      <c r="M634" t="s">
        <v>696</v>
      </c>
    </row>
    <row r="635" spans="13:13" ht="15.75" x14ac:dyDescent="0.25">
      <c r="M635" t="s">
        <v>697</v>
      </c>
    </row>
    <row r="636" spans="13:13" ht="15.75" x14ac:dyDescent="0.25">
      <c r="M636" t="s">
        <v>698</v>
      </c>
    </row>
    <row r="637" spans="13:13" ht="15.75" x14ac:dyDescent="0.25">
      <c r="M637" t="s">
        <v>699</v>
      </c>
    </row>
    <row r="638" spans="13:13" ht="15.75" x14ac:dyDescent="0.25">
      <c r="M638" t="s">
        <v>700</v>
      </c>
    </row>
    <row r="639" spans="13:13" ht="15.75" x14ac:dyDescent="0.25">
      <c r="M639" t="s">
        <v>701</v>
      </c>
    </row>
    <row r="640" spans="13:13" ht="15.75" x14ac:dyDescent="0.25">
      <c r="M640" t="s">
        <v>702</v>
      </c>
    </row>
    <row r="641" spans="13:13" ht="15.75" x14ac:dyDescent="0.25">
      <c r="M641" t="s">
        <v>161</v>
      </c>
    </row>
    <row r="642" spans="13:13" ht="15.75" x14ac:dyDescent="0.25">
      <c r="M642" t="s">
        <v>703</v>
      </c>
    </row>
    <row r="643" spans="13:13" ht="15.75" x14ac:dyDescent="0.25">
      <c r="M643" t="s">
        <v>704</v>
      </c>
    </row>
    <row r="644" spans="13:13" ht="15.75" x14ac:dyDescent="0.25">
      <c r="M644" t="s">
        <v>161</v>
      </c>
    </row>
    <row r="645" spans="13:13" ht="15.75" x14ac:dyDescent="0.25">
      <c r="M645" t="s">
        <v>705</v>
      </c>
    </row>
    <row r="646" spans="13:13" ht="15.75" x14ac:dyDescent="0.25">
      <c r="M646" t="s">
        <v>706</v>
      </c>
    </row>
    <row r="647" spans="13:13" ht="15.75" x14ac:dyDescent="0.25">
      <c r="M647" t="s">
        <v>707</v>
      </c>
    </row>
    <row r="648" spans="13:13" ht="15.75" x14ac:dyDescent="0.25">
      <c r="M648" t="s">
        <v>708</v>
      </c>
    </row>
    <row r="649" spans="13:13" ht="15.75" x14ac:dyDescent="0.25">
      <c r="M649" t="s">
        <v>709</v>
      </c>
    </row>
    <row r="650" spans="13:13" ht="15.75" x14ac:dyDescent="0.25">
      <c r="M650" t="s">
        <v>710</v>
      </c>
    </row>
    <row r="651" spans="13:13" ht="15.75" x14ac:dyDescent="0.25">
      <c r="M651" t="s">
        <v>711</v>
      </c>
    </row>
    <row r="652" spans="13:13" ht="15.75" x14ac:dyDescent="0.25">
      <c r="M652" t="s">
        <v>712</v>
      </c>
    </row>
    <row r="653" spans="13:13" ht="15.75" x14ac:dyDescent="0.25">
      <c r="M653" t="s">
        <v>713</v>
      </c>
    </row>
    <row r="654" spans="13:13" ht="15.75" x14ac:dyDescent="0.25">
      <c r="M654" t="s">
        <v>714</v>
      </c>
    </row>
    <row r="655" spans="13:13" ht="15.75" x14ac:dyDescent="0.25">
      <c r="M655" t="s">
        <v>715</v>
      </c>
    </row>
    <row r="656" spans="13:13" ht="15.75" x14ac:dyDescent="0.25">
      <c r="M656" t="s">
        <v>716</v>
      </c>
    </row>
    <row r="657" spans="13:13" ht="15.75" x14ac:dyDescent="0.25">
      <c r="M657" t="s">
        <v>717</v>
      </c>
    </row>
    <row r="658" spans="13:13" ht="15.75" x14ac:dyDescent="0.25">
      <c r="M658" t="s">
        <v>718</v>
      </c>
    </row>
    <row r="659" spans="13:13" ht="15.75" x14ac:dyDescent="0.25">
      <c r="M659" t="s">
        <v>719</v>
      </c>
    </row>
    <row r="660" spans="13:13" ht="15.75" x14ac:dyDescent="0.25">
      <c r="M660" t="s">
        <v>720</v>
      </c>
    </row>
    <row r="661" spans="13:13" ht="15.75" x14ac:dyDescent="0.25">
      <c r="M661" t="s">
        <v>161</v>
      </c>
    </row>
    <row r="662" spans="13:13" ht="15.75" x14ac:dyDescent="0.25">
      <c r="M662" t="s">
        <v>161</v>
      </c>
    </row>
    <row r="663" spans="13:13" ht="15.75" x14ac:dyDescent="0.25">
      <c r="M663" t="s">
        <v>721</v>
      </c>
    </row>
    <row r="664" spans="13:13" ht="15.75" x14ac:dyDescent="0.25">
      <c r="M664" t="s">
        <v>722</v>
      </c>
    </row>
    <row r="665" spans="13:13" ht="15.75" x14ac:dyDescent="0.25">
      <c r="M665" t="s">
        <v>723</v>
      </c>
    </row>
    <row r="666" spans="13:13" ht="15.75" x14ac:dyDescent="0.25">
      <c r="M666" t="s">
        <v>724</v>
      </c>
    </row>
    <row r="667" spans="13:13" ht="15.75" x14ac:dyDescent="0.25">
      <c r="M667" t="s">
        <v>441</v>
      </c>
    </row>
    <row r="668" spans="13:13" ht="15.75" x14ac:dyDescent="0.25">
      <c r="M668" t="s">
        <v>725</v>
      </c>
    </row>
    <row r="669" spans="13:13" ht="15.75" x14ac:dyDescent="0.25">
      <c r="M669" t="s">
        <v>726</v>
      </c>
    </row>
    <row r="670" spans="13:13" ht="15.75" x14ac:dyDescent="0.25">
      <c r="M670" t="s">
        <v>727</v>
      </c>
    </row>
    <row r="671" spans="13:13" ht="15.75" x14ac:dyDescent="0.25">
      <c r="M671" t="s">
        <v>728</v>
      </c>
    </row>
    <row r="672" spans="13:13" ht="15.75" x14ac:dyDescent="0.25">
      <c r="M672" t="s">
        <v>729</v>
      </c>
    </row>
    <row r="673" spans="13:13" ht="15.75" x14ac:dyDescent="0.25">
      <c r="M673" t="s">
        <v>730</v>
      </c>
    </row>
    <row r="674" spans="13:13" ht="15.75" x14ac:dyDescent="0.25">
      <c r="M674" t="s">
        <v>731</v>
      </c>
    </row>
    <row r="675" spans="13:13" ht="15.75" x14ac:dyDescent="0.25">
      <c r="M675" t="s">
        <v>732</v>
      </c>
    </row>
    <row r="676" spans="13:13" ht="15.75" x14ac:dyDescent="0.25">
      <c r="M676" t="s">
        <v>733</v>
      </c>
    </row>
    <row r="677" spans="13:13" ht="15.75" x14ac:dyDescent="0.25">
      <c r="M677" t="s">
        <v>734</v>
      </c>
    </row>
    <row r="678" spans="13:13" ht="15.75" x14ac:dyDescent="0.25">
      <c r="M678" t="s">
        <v>735</v>
      </c>
    </row>
    <row r="679" spans="13:13" ht="15.75" x14ac:dyDescent="0.25">
      <c r="M679" t="s">
        <v>736</v>
      </c>
    </row>
    <row r="680" spans="13:13" ht="15.75" x14ac:dyDescent="0.25">
      <c r="M680" t="s">
        <v>737</v>
      </c>
    </row>
    <row r="681" spans="13:13" ht="15.75" x14ac:dyDescent="0.25">
      <c r="M681" t="s">
        <v>738</v>
      </c>
    </row>
    <row r="682" spans="13:13" ht="15.75" x14ac:dyDescent="0.25">
      <c r="M682" t="s">
        <v>739</v>
      </c>
    </row>
    <row r="683" spans="13:13" ht="15.75" x14ac:dyDescent="0.25">
      <c r="M683" t="s">
        <v>740</v>
      </c>
    </row>
    <row r="684" spans="13:13" ht="15.75" x14ac:dyDescent="0.25">
      <c r="M684" t="s">
        <v>741</v>
      </c>
    </row>
    <row r="685" spans="13:13" ht="15.75" x14ac:dyDescent="0.25">
      <c r="M685" t="s">
        <v>742</v>
      </c>
    </row>
    <row r="686" spans="13:13" ht="15.75" x14ac:dyDescent="0.25">
      <c r="M686" t="s">
        <v>743</v>
      </c>
    </row>
    <row r="687" spans="13:13" ht="15.75" x14ac:dyDescent="0.25">
      <c r="M687" t="s">
        <v>744</v>
      </c>
    </row>
    <row r="688" spans="13:13" ht="15.75" x14ac:dyDescent="0.25">
      <c r="M688" t="s">
        <v>745</v>
      </c>
    </row>
    <row r="689" spans="13:13" ht="15.75" x14ac:dyDescent="0.25">
      <c r="M689" t="s">
        <v>161</v>
      </c>
    </row>
    <row r="690" spans="13:13" ht="15.75" x14ac:dyDescent="0.25">
      <c r="M690" t="s">
        <v>746</v>
      </c>
    </row>
    <row r="691" spans="13:13" ht="15.75" x14ac:dyDescent="0.25">
      <c r="M691" t="s">
        <v>747</v>
      </c>
    </row>
    <row r="692" spans="13:13" ht="15.75" x14ac:dyDescent="0.25">
      <c r="M692" t="s">
        <v>748</v>
      </c>
    </row>
    <row r="693" spans="13:13" ht="15.75" x14ac:dyDescent="0.25">
      <c r="M693" t="s">
        <v>749</v>
      </c>
    </row>
    <row r="694" spans="13:13" ht="15.75" x14ac:dyDescent="0.25">
      <c r="M694" t="s">
        <v>750</v>
      </c>
    </row>
    <row r="695" spans="13:13" ht="15.75" x14ac:dyDescent="0.25">
      <c r="M695" t="s">
        <v>751</v>
      </c>
    </row>
    <row r="696" spans="13:13" ht="15.75" x14ac:dyDescent="0.25">
      <c r="M696" t="s">
        <v>752</v>
      </c>
    </row>
    <row r="697" spans="13:13" ht="15.75" x14ac:dyDescent="0.25">
      <c r="M697" t="s">
        <v>753</v>
      </c>
    </row>
    <row r="698" spans="13:13" ht="15.75" x14ac:dyDescent="0.25">
      <c r="M698" t="s">
        <v>754</v>
      </c>
    </row>
    <row r="699" spans="13:13" ht="15.75" x14ac:dyDescent="0.25">
      <c r="M699" t="s">
        <v>755</v>
      </c>
    </row>
    <row r="700" spans="13:13" ht="15.75" x14ac:dyDescent="0.25">
      <c r="M700" t="s">
        <v>756</v>
      </c>
    </row>
    <row r="701" spans="13:13" ht="15.75" x14ac:dyDescent="0.25">
      <c r="M701" t="s">
        <v>757</v>
      </c>
    </row>
    <row r="702" spans="13:13" ht="15.75" x14ac:dyDescent="0.25">
      <c r="M702" t="s">
        <v>758</v>
      </c>
    </row>
    <row r="703" spans="13:13" ht="15.75" x14ac:dyDescent="0.25">
      <c r="M703" t="s">
        <v>759</v>
      </c>
    </row>
    <row r="704" spans="13:13" ht="15.75" x14ac:dyDescent="0.25">
      <c r="M704" t="s">
        <v>760</v>
      </c>
    </row>
    <row r="705" spans="13:13" ht="15.75" x14ac:dyDescent="0.25">
      <c r="M705" t="s">
        <v>761</v>
      </c>
    </row>
    <row r="706" spans="13:13" ht="15.75" x14ac:dyDescent="0.25">
      <c r="M706" t="s">
        <v>762</v>
      </c>
    </row>
    <row r="707" spans="13:13" ht="15.75" x14ac:dyDescent="0.25">
      <c r="M707" t="s">
        <v>763</v>
      </c>
    </row>
    <row r="708" spans="13:13" ht="15.75" x14ac:dyDescent="0.25">
      <c r="M708" t="s">
        <v>764</v>
      </c>
    </row>
    <row r="709" spans="13:13" ht="15.75" x14ac:dyDescent="0.25">
      <c r="M709" t="s">
        <v>765</v>
      </c>
    </row>
    <row r="710" spans="13:13" ht="15.75" x14ac:dyDescent="0.25">
      <c r="M710" t="s">
        <v>766</v>
      </c>
    </row>
    <row r="711" spans="13:13" ht="15.75" x14ac:dyDescent="0.25">
      <c r="M711" t="s">
        <v>767</v>
      </c>
    </row>
    <row r="712" spans="13:13" ht="15.75" x14ac:dyDescent="0.25">
      <c r="M712" t="s">
        <v>768</v>
      </c>
    </row>
    <row r="713" spans="13:13" ht="15.75" x14ac:dyDescent="0.25">
      <c r="M713" t="s">
        <v>769</v>
      </c>
    </row>
    <row r="714" spans="13:13" ht="15.75" x14ac:dyDescent="0.25">
      <c r="M714" t="s">
        <v>770</v>
      </c>
    </row>
    <row r="715" spans="13:13" ht="15.75" x14ac:dyDescent="0.25">
      <c r="M715" t="s">
        <v>771</v>
      </c>
    </row>
    <row r="716" spans="13:13" ht="15.75" x14ac:dyDescent="0.25">
      <c r="M716" t="s">
        <v>119</v>
      </c>
    </row>
    <row r="717" spans="13:13" ht="15.75" x14ac:dyDescent="0.25">
      <c r="M717" t="s">
        <v>772</v>
      </c>
    </row>
    <row r="718" spans="13:13" ht="15.75" x14ac:dyDescent="0.25">
      <c r="M718" t="s">
        <v>773</v>
      </c>
    </row>
    <row r="719" spans="13:13" ht="15.75" x14ac:dyDescent="0.25">
      <c r="M719" t="s">
        <v>741</v>
      </c>
    </row>
    <row r="720" spans="13:13" ht="15.75" x14ac:dyDescent="0.25">
      <c r="M720" t="s">
        <v>774</v>
      </c>
    </row>
    <row r="721" spans="13:13" ht="15.75" x14ac:dyDescent="0.25">
      <c r="M721" t="s">
        <v>775</v>
      </c>
    </row>
    <row r="722" spans="13:13" ht="15.75" x14ac:dyDescent="0.25">
      <c r="M722" t="s">
        <v>776</v>
      </c>
    </row>
    <row r="723" spans="13:13" ht="15.75" x14ac:dyDescent="0.25">
      <c r="M723" t="s">
        <v>777</v>
      </c>
    </row>
    <row r="724" spans="13:13" ht="15.75" x14ac:dyDescent="0.25">
      <c r="M724" t="s">
        <v>778</v>
      </c>
    </row>
    <row r="725" spans="13:13" ht="15.75" x14ac:dyDescent="0.25">
      <c r="M725" t="s">
        <v>396</v>
      </c>
    </row>
    <row r="726" spans="13:13" ht="15.75" x14ac:dyDescent="0.25">
      <c r="M726" t="s">
        <v>779</v>
      </c>
    </row>
    <row r="727" spans="13:13" ht="15.75" x14ac:dyDescent="0.25">
      <c r="M727" t="s">
        <v>780</v>
      </c>
    </row>
    <row r="728" spans="13:13" ht="15.75" x14ac:dyDescent="0.25">
      <c r="M728" t="s">
        <v>781</v>
      </c>
    </row>
    <row r="729" spans="13:13" ht="15.75" x14ac:dyDescent="0.25">
      <c r="M729" t="s">
        <v>782</v>
      </c>
    </row>
    <row r="730" spans="13:13" ht="15.75" x14ac:dyDescent="0.25">
      <c r="M730" t="s">
        <v>71</v>
      </c>
    </row>
    <row r="731" spans="13:13" ht="15.75" x14ac:dyDescent="0.25">
      <c r="M731" t="s">
        <v>783</v>
      </c>
    </row>
    <row r="732" spans="13:13" ht="15.75" x14ac:dyDescent="0.25">
      <c r="M732" t="s">
        <v>784</v>
      </c>
    </row>
    <row r="733" spans="13:13" ht="15.75" x14ac:dyDescent="0.25">
      <c r="M733" t="s">
        <v>785</v>
      </c>
    </row>
    <row r="734" spans="13:13" ht="15.75" x14ac:dyDescent="0.25">
      <c r="M734" t="s">
        <v>786</v>
      </c>
    </row>
    <row r="735" spans="13:13" ht="15.75" x14ac:dyDescent="0.25">
      <c r="M735" t="s">
        <v>52</v>
      </c>
    </row>
    <row r="736" spans="13:13" ht="15.75" x14ac:dyDescent="0.25">
      <c r="M736" t="s">
        <v>787</v>
      </c>
    </row>
    <row r="737" spans="13:13" ht="15.75" x14ac:dyDescent="0.25">
      <c r="M737" t="s">
        <v>788</v>
      </c>
    </row>
    <row r="738" spans="13:13" ht="15.75" x14ac:dyDescent="0.25">
      <c r="M738" t="s">
        <v>313</v>
      </c>
    </row>
    <row r="739" spans="13:13" ht="15.75" x14ac:dyDescent="0.25">
      <c r="M739" t="s">
        <v>789</v>
      </c>
    </row>
    <row r="740" spans="13:13" ht="15.75" x14ac:dyDescent="0.25">
      <c r="M740" t="s">
        <v>790</v>
      </c>
    </row>
    <row r="741" spans="13:13" ht="15.75" x14ac:dyDescent="0.25">
      <c r="M741" t="s">
        <v>791</v>
      </c>
    </row>
    <row r="742" spans="13:13" ht="15.75" x14ac:dyDescent="0.25">
      <c r="M742" t="s">
        <v>792</v>
      </c>
    </row>
    <row r="743" spans="13:13" ht="15.75" x14ac:dyDescent="0.25">
      <c r="M743" t="s">
        <v>793</v>
      </c>
    </row>
    <row r="744" spans="13:13" ht="15.75" x14ac:dyDescent="0.25">
      <c r="M744" t="s">
        <v>794</v>
      </c>
    </row>
    <row r="745" spans="13:13" ht="15.75" x14ac:dyDescent="0.25">
      <c r="M745" t="s">
        <v>49</v>
      </c>
    </row>
    <row r="746" spans="13:13" ht="15.75" x14ac:dyDescent="0.25">
      <c r="M746" t="s">
        <v>795</v>
      </c>
    </row>
    <row r="747" spans="13:13" ht="15.75" x14ac:dyDescent="0.25">
      <c r="M747" t="s">
        <v>796</v>
      </c>
    </row>
    <row r="748" spans="13:13" ht="15.75" x14ac:dyDescent="0.25">
      <c r="M748" t="s">
        <v>797</v>
      </c>
    </row>
    <row r="749" spans="13:13" ht="15.75" x14ac:dyDescent="0.25">
      <c r="M749" t="s">
        <v>798</v>
      </c>
    </row>
    <row r="750" spans="13:13" ht="15.75" x14ac:dyDescent="0.25">
      <c r="M750" t="s">
        <v>799</v>
      </c>
    </row>
    <row r="751" spans="13:13" ht="15.75" x14ac:dyDescent="0.25">
      <c r="M751" t="s">
        <v>54</v>
      </c>
    </row>
    <row r="752" spans="13:13" ht="15.75" x14ac:dyDescent="0.25">
      <c r="M752" t="s">
        <v>800</v>
      </c>
    </row>
    <row r="753" spans="13:13" ht="15.75" x14ac:dyDescent="0.25">
      <c r="M753" t="s">
        <v>801</v>
      </c>
    </row>
    <row r="754" spans="13:13" ht="15.75" x14ac:dyDescent="0.25">
      <c r="M754" t="s">
        <v>802</v>
      </c>
    </row>
    <row r="755" spans="13:13" ht="15.75" x14ac:dyDescent="0.25">
      <c r="M755" t="s">
        <v>803</v>
      </c>
    </row>
    <row r="756" spans="13:13" ht="15.75" x14ac:dyDescent="0.25">
      <c r="M756" t="s">
        <v>804</v>
      </c>
    </row>
    <row r="757" spans="13:13" ht="15.75" x14ac:dyDescent="0.25">
      <c r="M757" t="s">
        <v>805</v>
      </c>
    </row>
    <row r="758" spans="13:13" ht="15.75" x14ac:dyDescent="0.25">
      <c r="M758" t="s">
        <v>806</v>
      </c>
    </row>
    <row r="759" spans="13:13" ht="15.75" x14ac:dyDescent="0.25">
      <c r="M759" t="s">
        <v>807</v>
      </c>
    </row>
    <row r="760" spans="13:13" ht="15.75" x14ac:dyDescent="0.25">
      <c r="M760" t="s">
        <v>808</v>
      </c>
    </row>
    <row r="761" spans="13:13" ht="15.75" x14ac:dyDescent="0.25">
      <c r="M761" t="s">
        <v>809</v>
      </c>
    </row>
    <row r="762" spans="13:13" ht="15.75" x14ac:dyDescent="0.25">
      <c r="M762" t="s">
        <v>810</v>
      </c>
    </row>
    <row r="763" spans="13:13" ht="15.75" x14ac:dyDescent="0.25">
      <c r="M763" t="s">
        <v>811</v>
      </c>
    </row>
    <row r="764" spans="13:13" ht="15.75" x14ac:dyDescent="0.25">
      <c r="M764" t="s">
        <v>812</v>
      </c>
    </row>
    <row r="765" spans="13:13" ht="15.75" x14ac:dyDescent="0.25">
      <c r="M765" t="s">
        <v>259</v>
      </c>
    </row>
    <row r="766" spans="13:13" ht="15.75" x14ac:dyDescent="0.25">
      <c r="M766" t="s">
        <v>813</v>
      </c>
    </row>
    <row r="767" spans="13:13" ht="15.75" x14ac:dyDescent="0.25">
      <c r="M767" t="s">
        <v>814</v>
      </c>
    </row>
    <row r="768" spans="13:13" ht="15.75" x14ac:dyDescent="0.25">
      <c r="M768" t="s">
        <v>815</v>
      </c>
    </row>
    <row r="769" spans="13:13" ht="15.75" x14ac:dyDescent="0.25">
      <c r="M769" t="s">
        <v>816</v>
      </c>
    </row>
    <row r="770" spans="13:13" ht="15.75" x14ac:dyDescent="0.25">
      <c r="M770" t="s">
        <v>817</v>
      </c>
    </row>
    <row r="771" spans="13:13" ht="15.75" x14ac:dyDescent="0.25">
      <c r="M771" t="s">
        <v>818</v>
      </c>
    </row>
    <row r="772" spans="13:13" ht="15.75" x14ac:dyDescent="0.25">
      <c r="M772" t="s">
        <v>819</v>
      </c>
    </row>
    <row r="773" spans="13:13" ht="15.75" x14ac:dyDescent="0.25">
      <c r="M773" t="s">
        <v>820</v>
      </c>
    </row>
    <row r="774" spans="13:13" ht="15.75" x14ac:dyDescent="0.25">
      <c r="M774" t="s">
        <v>161</v>
      </c>
    </row>
    <row r="775" spans="13:13" ht="15.75" x14ac:dyDescent="0.25">
      <c r="M775" t="s">
        <v>821</v>
      </c>
    </row>
    <row r="776" spans="13:13" ht="15.75" x14ac:dyDescent="0.25">
      <c r="M776" t="s">
        <v>822</v>
      </c>
    </row>
    <row r="777" spans="13:13" ht="15.75" x14ac:dyDescent="0.25">
      <c r="M777" t="s">
        <v>823</v>
      </c>
    </row>
    <row r="778" spans="13:13" ht="15.75" x14ac:dyDescent="0.25">
      <c r="M778" t="s">
        <v>824</v>
      </c>
    </row>
    <row r="779" spans="13:13" ht="15.75" x14ac:dyDescent="0.25">
      <c r="M779" t="s">
        <v>825</v>
      </c>
    </row>
    <row r="780" spans="13:13" ht="15.75" x14ac:dyDescent="0.25">
      <c r="M780" t="s">
        <v>826</v>
      </c>
    </row>
    <row r="781" spans="13:13" ht="15.75" x14ac:dyDescent="0.25">
      <c r="M781" t="s">
        <v>827</v>
      </c>
    </row>
    <row r="782" spans="13:13" ht="15.75" x14ac:dyDescent="0.25">
      <c r="M782" t="s">
        <v>828</v>
      </c>
    </row>
    <row r="783" spans="13:13" ht="15.75" x14ac:dyDescent="0.25">
      <c r="M783" t="s">
        <v>829</v>
      </c>
    </row>
    <row r="784" spans="13:13" ht="15.75" x14ac:dyDescent="0.25">
      <c r="M784" t="s">
        <v>830</v>
      </c>
    </row>
    <row r="785" spans="13:13" ht="15.75" x14ac:dyDescent="0.25">
      <c r="M785" t="s">
        <v>831</v>
      </c>
    </row>
    <row r="786" spans="13:13" ht="15.75" x14ac:dyDescent="0.25">
      <c r="M786" t="s">
        <v>832</v>
      </c>
    </row>
    <row r="787" spans="13:13" ht="15.75" x14ac:dyDescent="0.25">
      <c r="M787" t="s">
        <v>833</v>
      </c>
    </row>
    <row r="788" spans="13:13" ht="15.75" x14ac:dyDescent="0.25">
      <c r="M788" t="s">
        <v>834</v>
      </c>
    </row>
    <row r="789" spans="13:13" ht="15.75" x14ac:dyDescent="0.25">
      <c r="M789" t="s">
        <v>835</v>
      </c>
    </row>
    <row r="790" spans="13:13" ht="15.75" x14ac:dyDescent="0.25">
      <c r="M790" t="s">
        <v>836</v>
      </c>
    </row>
    <row r="791" spans="13:13" ht="15.75" x14ac:dyDescent="0.25">
      <c r="M791" t="s">
        <v>837</v>
      </c>
    </row>
    <row r="792" spans="13:13" ht="15.75" x14ac:dyDescent="0.25">
      <c r="M792" t="s">
        <v>838</v>
      </c>
    </row>
    <row r="793" spans="13:13" ht="15.75" x14ac:dyDescent="0.25">
      <c r="M793" t="s">
        <v>161</v>
      </c>
    </row>
    <row r="794" spans="13:13" ht="15.75" x14ac:dyDescent="0.25">
      <c r="M794" t="s">
        <v>839</v>
      </c>
    </row>
    <row r="795" spans="13:13" ht="15.75" x14ac:dyDescent="0.25">
      <c r="M795" t="s">
        <v>161</v>
      </c>
    </row>
    <row r="796" spans="13:13" ht="15.75" x14ac:dyDescent="0.25">
      <c r="M796" t="s">
        <v>840</v>
      </c>
    </row>
    <row r="797" spans="13:13" ht="15.75" x14ac:dyDescent="0.25">
      <c r="M797" t="s">
        <v>841</v>
      </c>
    </row>
    <row r="798" spans="13:13" ht="15.75" x14ac:dyDescent="0.25">
      <c r="M798" t="s">
        <v>842</v>
      </c>
    </row>
    <row r="799" spans="13:13" ht="15.75" x14ac:dyDescent="0.25">
      <c r="M799" t="s">
        <v>843</v>
      </c>
    </row>
    <row r="800" spans="13:13" ht="15.75" x14ac:dyDescent="0.25">
      <c r="M800" t="s">
        <v>78</v>
      </c>
    </row>
    <row r="801" spans="13:13" ht="15.75" x14ac:dyDescent="0.25">
      <c r="M801" t="s">
        <v>844</v>
      </c>
    </row>
    <row r="802" spans="13:13" ht="15.75" x14ac:dyDescent="0.25">
      <c r="M802" t="s">
        <v>845</v>
      </c>
    </row>
    <row r="803" spans="13:13" ht="15.75" x14ac:dyDescent="0.25">
      <c r="M803" t="s">
        <v>846</v>
      </c>
    </row>
    <row r="804" spans="13:13" ht="15.75" x14ac:dyDescent="0.25">
      <c r="M804" t="s">
        <v>847</v>
      </c>
    </row>
    <row r="805" spans="13:13" ht="15.75" x14ac:dyDescent="0.25">
      <c r="M805" t="s">
        <v>848</v>
      </c>
    </row>
    <row r="806" spans="13:13" ht="15.75" x14ac:dyDescent="0.25">
      <c r="M806" t="s">
        <v>849</v>
      </c>
    </row>
    <row r="807" spans="13:13" ht="15.75" x14ac:dyDescent="0.25">
      <c r="M807" t="s">
        <v>850</v>
      </c>
    </row>
    <row r="808" spans="13:13" ht="15.75" x14ac:dyDescent="0.25">
      <c r="M808" t="s">
        <v>851</v>
      </c>
    </row>
    <row r="809" spans="13:13" ht="15.75" x14ac:dyDescent="0.25">
      <c r="M809" t="s">
        <v>852</v>
      </c>
    </row>
    <row r="810" spans="13:13" ht="15.75" x14ac:dyDescent="0.25">
      <c r="M810" t="s">
        <v>853</v>
      </c>
    </row>
    <row r="811" spans="13:13" ht="15.75" x14ac:dyDescent="0.25">
      <c r="M811" t="s">
        <v>854</v>
      </c>
    </row>
    <row r="812" spans="13:13" ht="15.75" x14ac:dyDescent="0.25">
      <c r="M812" t="s">
        <v>855</v>
      </c>
    </row>
    <row r="813" spans="13:13" ht="15.75" x14ac:dyDescent="0.25">
      <c r="M813" t="s">
        <v>856</v>
      </c>
    </row>
    <row r="814" spans="13:13" ht="15.75" x14ac:dyDescent="0.25">
      <c r="M814" t="s">
        <v>857</v>
      </c>
    </row>
    <row r="815" spans="13:13" ht="15.75" x14ac:dyDescent="0.25">
      <c r="M815" t="s">
        <v>858</v>
      </c>
    </row>
    <row r="816" spans="13:13" ht="15.75" x14ac:dyDescent="0.25">
      <c r="M816" t="s">
        <v>489</v>
      </c>
    </row>
    <row r="817" spans="13:13" ht="15.75" x14ac:dyDescent="0.25">
      <c r="M817" t="s">
        <v>859</v>
      </c>
    </row>
    <row r="818" spans="13:13" ht="15.75" x14ac:dyDescent="0.25">
      <c r="M818" t="s">
        <v>860</v>
      </c>
    </row>
    <row r="819" spans="13:13" ht="15.75" x14ac:dyDescent="0.25">
      <c r="M819" t="s">
        <v>861</v>
      </c>
    </row>
    <row r="820" spans="13:13" ht="15.75" x14ac:dyDescent="0.25">
      <c r="M820" t="s">
        <v>862</v>
      </c>
    </row>
    <row r="821" spans="13:13" ht="15.75" x14ac:dyDescent="0.25">
      <c r="M821" t="s">
        <v>863</v>
      </c>
    </row>
    <row r="822" spans="13:13" ht="15.75" x14ac:dyDescent="0.25">
      <c r="M822" t="s">
        <v>864</v>
      </c>
    </row>
    <row r="823" spans="13:13" ht="15.75" x14ac:dyDescent="0.25">
      <c r="M823" t="s">
        <v>865</v>
      </c>
    </row>
    <row r="824" spans="13:13" ht="15.75" x14ac:dyDescent="0.25">
      <c r="M824" t="s">
        <v>866</v>
      </c>
    </row>
    <row r="825" spans="13:13" ht="15.75" x14ac:dyDescent="0.25">
      <c r="M825" t="s">
        <v>867</v>
      </c>
    </row>
    <row r="826" spans="13:13" ht="15.75" x14ac:dyDescent="0.25">
      <c r="M826" t="s">
        <v>868</v>
      </c>
    </row>
    <row r="827" spans="13:13" ht="15.75" x14ac:dyDescent="0.25">
      <c r="M827" t="s">
        <v>869</v>
      </c>
    </row>
    <row r="828" spans="13:13" ht="15.75" x14ac:dyDescent="0.25">
      <c r="M828" t="s">
        <v>870</v>
      </c>
    </row>
    <row r="829" spans="13:13" ht="15.75" x14ac:dyDescent="0.25">
      <c r="M829" t="s">
        <v>871</v>
      </c>
    </row>
    <row r="830" spans="13:13" ht="15.75" x14ac:dyDescent="0.25">
      <c r="M830" t="s">
        <v>872</v>
      </c>
    </row>
    <row r="831" spans="13:13" ht="15.75" x14ac:dyDescent="0.25">
      <c r="M831" t="s">
        <v>873</v>
      </c>
    </row>
    <row r="832" spans="13:13" ht="15.75" x14ac:dyDescent="0.25">
      <c r="M832" t="s">
        <v>874</v>
      </c>
    </row>
    <row r="833" spans="13:13" ht="15.75" x14ac:dyDescent="0.25">
      <c r="M833" t="s">
        <v>875</v>
      </c>
    </row>
    <row r="834" spans="13:13" ht="15.75" x14ac:dyDescent="0.25">
      <c r="M834" t="s">
        <v>502</v>
      </c>
    </row>
    <row r="835" spans="13:13" ht="15.75" x14ac:dyDescent="0.25">
      <c r="M835" t="s">
        <v>876</v>
      </c>
    </row>
    <row r="836" spans="13:13" ht="15.75" x14ac:dyDescent="0.25">
      <c r="M836" t="s">
        <v>877</v>
      </c>
    </row>
    <row r="837" spans="13:13" ht="15.75" x14ac:dyDescent="0.25">
      <c r="M837" t="s">
        <v>878</v>
      </c>
    </row>
    <row r="838" spans="13:13" ht="15.75" x14ac:dyDescent="0.25">
      <c r="M838" t="s">
        <v>879</v>
      </c>
    </row>
    <row r="839" spans="13:13" ht="15.75" x14ac:dyDescent="0.25">
      <c r="M839" t="s">
        <v>316</v>
      </c>
    </row>
    <row r="840" spans="13:13" ht="15.75" x14ac:dyDescent="0.25">
      <c r="M840" t="s">
        <v>118</v>
      </c>
    </row>
    <row r="841" spans="13:13" ht="15.75" x14ac:dyDescent="0.25">
      <c r="M841" t="s">
        <v>880</v>
      </c>
    </row>
    <row r="842" spans="13:13" ht="15.75" x14ac:dyDescent="0.25">
      <c r="M842" t="s">
        <v>881</v>
      </c>
    </row>
    <row r="843" spans="13:13" ht="15.75" x14ac:dyDescent="0.25">
      <c r="M843" t="s">
        <v>882</v>
      </c>
    </row>
    <row r="844" spans="13:13" ht="15.75" x14ac:dyDescent="0.25">
      <c r="M844" t="s">
        <v>883</v>
      </c>
    </row>
    <row r="845" spans="13:13" ht="15.75" x14ac:dyDescent="0.25">
      <c r="M845" t="s">
        <v>884</v>
      </c>
    </row>
    <row r="846" spans="13:13" ht="15.75" x14ac:dyDescent="0.25">
      <c r="M846" t="s">
        <v>885</v>
      </c>
    </row>
    <row r="847" spans="13:13" ht="15.75" x14ac:dyDescent="0.25">
      <c r="M847" t="s">
        <v>886</v>
      </c>
    </row>
    <row r="848" spans="13:13" ht="15.75" x14ac:dyDescent="0.25">
      <c r="M848" t="s">
        <v>887</v>
      </c>
    </row>
    <row r="849" spans="13:13" ht="15.75" x14ac:dyDescent="0.25">
      <c r="M849" t="s">
        <v>888</v>
      </c>
    </row>
    <row r="850" spans="13:13" ht="15.75" x14ac:dyDescent="0.25">
      <c r="M850" t="s">
        <v>889</v>
      </c>
    </row>
    <row r="851" spans="13:13" ht="15.75" x14ac:dyDescent="0.25">
      <c r="M851" t="s">
        <v>512</v>
      </c>
    </row>
    <row r="852" spans="13:13" ht="15.75" x14ac:dyDescent="0.25">
      <c r="M852" t="s">
        <v>890</v>
      </c>
    </row>
    <row r="853" spans="13:13" ht="15.75" x14ac:dyDescent="0.25">
      <c r="M853" t="s">
        <v>891</v>
      </c>
    </row>
    <row r="854" spans="13:13" ht="15.75" x14ac:dyDescent="0.25">
      <c r="M854" t="s">
        <v>892</v>
      </c>
    </row>
    <row r="855" spans="13:13" ht="15.75" x14ac:dyDescent="0.25">
      <c r="M855" t="s">
        <v>893</v>
      </c>
    </row>
    <row r="856" spans="13:13" ht="15.75" x14ac:dyDescent="0.25">
      <c r="M856" t="s">
        <v>894</v>
      </c>
    </row>
    <row r="857" spans="13:13" ht="15.75" x14ac:dyDescent="0.25">
      <c r="M857" t="s">
        <v>895</v>
      </c>
    </row>
    <row r="858" spans="13:13" ht="15.75" x14ac:dyDescent="0.25">
      <c r="M858" t="s">
        <v>896</v>
      </c>
    </row>
    <row r="859" spans="13:13" ht="15.75" x14ac:dyDescent="0.25">
      <c r="M859" t="s">
        <v>897</v>
      </c>
    </row>
    <row r="860" spans="13:13" ht="15.75" x14ac:dyDescent="0.25">
      <c r="M860" t="s">
        <v>898</v>
      </c>
    </row>
    <row r="861" spans="13:13" ht="15.75" x14ac:dyDescent="0.25">
      <c r="M861" t="s">
        <v>899</v>
      </c>
    </row>
    <row r="862" spans="13:13" ht="15.75" x14ac:dyDescent="0.25">
      <c r="M862" t="s">
        <v>900</v>
      </c>
    </row>
    <row r="863" spans="13:13" ht="15.75" x14ac:dyDescent="0.25">
      <c r="M863" t="s">
        <v>901</v>
      </c>
    </row>
    <row r="864" spans="13:13" ht="15.75" x14ac:dyDescent="0.25">
      <c r="M864" t="s">
        <v>161</v>
      </c>
    </row>
    <row r="865" spans="13:13" ht="15.75" x14ac:dyDescent="0.25">
      <c r="M865" t="s">
        <v>902</v>
      </c>
    </row>
    <row r="866" spans="13:13" ht="15.75" x14ac:dyDescent="0.25">
      <c r="M866" t="s">
        <v>903</v>
      </c>
    </row>
    <row r="867" spans="13:13" ht="15.75" x14ac:dyDescent="0.25">
      <c r="M867" t="s">
        <v>904</v>
      </c>
    </row>
    <row r="868" spans="13:13" ht="15.75" x14ac:dyDescent="0.25">
      <c r="M868" t="s">
        <v>905</v>
      </c>
    </row>
    <row r="869" spans="13:13" ht="15.75" x14ac:dyDescent="0.25">
      <c r="M869" t="s">
        <v>906</v>
      </c>
    </row>
    <row r="870" spans="13:13" ht="15.75" x14ac:dyDescent="0.25">
      <c r="M870" t="s">
        <v>907</v>
      </c>
    </row>
    <row r="871" spans="13:13" ht="15.75" x14ac:dyDescent="0.25">
      <c r="M871" t="s">
        <v>161</v>
      </c>
    </row>
    <row r="872" spans="13:13" ht="15.75" x14ac:dyDescent="0.25">
      <c r="M872" t="s">
        <v>908</v>
      </c>
    </row>
    <row r="873" spans="13:13" ht="15.75" x14ac:dyDescent="0.25">
      <c r="M873" t="s">
        <v>909</v>
      </c>
    </row>
    <row r="874" spans="13:13" ht="15.75" x14ac:dyDescent="0.25">
      <c r="M874" t="s">
        <v>910</v>
      </c>
    </row>
    <row r="875" spans="13:13" ht="15.75" x14ac:dyDescent="0.25">
      <c r="M875" t="s">
        <v>911</v>
      </c>
    </row>
    <row r="876" spans="13:13" ht="15.75" x14ac:dyDescent="0.25">
      <c r="M876" t="s">
        <v>912</v>
      </c>
    </row>
    <row r="877" spans="13:13" ht="15.75" x14ac:dyDescent="0.25">
      <c r="M877" t="s">
        <v>913</v>
      </c>
    </row>
    <row r="878" spans="13:13" ht="15.75" x14ac:dyDescent="0.25">
      <c r="M878" t="s">
        <v>914</v>
      </c>
    </row>
    <row r="879" spans="13:13" ht="15.75" x14ac:dyDescent="0.25">
      <c r="M879" t="s">
        <v>915</v>
      </c>
    </row>
    <row r="880" spans="13:13" ht="15.75" x14ac:dyDescent="0.25">
      <c r="M880" t="s">
        <v>916</v>
      </c>
    </row>
    <row r="881" spans="13:13" ht="15.75" x14ac:dyDescent="0.25">
      <c r="M881" t="s">
        <v>917</v>
      </c>
    </row>
    <row r="882" spans="13:13" ht="15.75" x14ac:dyDescent="0.25">
      <c r="M882" t="s">
        <v>918</v>
      </c>
    </row>
    <row r="883" spans="13:13" ht="15.75" x14ac:dyDescent="0.25">
      <c r="M883" t="s">
        <v>919</v>
      </c>
    </row>
    <row r="884" spans="13:13" ht="15.75" x14ac:dyDescent="0.25">
      <c r="M884" t="s">
        <v>45</v>
      </c>
    </row>
    <row r="885" spans="13:13" ht="15.75" x14ac:dyDescent="0.25">
      <c r="M885" t="s">
        <v>608</v>
      </c>
    </row>
    <row r="886" spans="13:13" ht="15.75" x14ac:dyDescent="0.25">
      <c r="M886" t="s">
        <v>920</v>
      </c>
    </row>
    <row r="887" spans="13:13" ht="15.75" x14ac:dyDescent="0.25">
      <c r="M887" t="s">
        <v>921</v>
      </c>
    </row>
    <row r="888" spans="13:13" ht="15.75" x14ac:dyDescent="0.25">
      <c r="M888" t="s">
        <v>161</v>
      </c>
    </row>
    <row r="889" spans="13:13" ht="15.75" x14ac:dyDescent="0.25">
      <c r="M889" t="s">
        <v>922</v>
      </c>
    </row>
    <row r="890" spans="13:13" ht="15.75" x14ac:dyDescent="0.25">
      <c r="M890" t="s">
        <v>923</v>
      </c>
    </row>
    <row r="891" spans="13:13" ht="15.75" x14ac:dyDescent="0.25">
      <c r="M891" t="s">
        <v>924</v>
      </c>
    </row>
    <row r="892" spans="13:13" ht="15.75" x14ac:dyDescent="0.25">
      <c r="M892" t="s">
        <v>925</v>
      </c>
    </row>
    <row r="893" spans="13:13" ht="15.75" x14ac:dyDescent="0.25">
      <c r="M893" t="s">
        <v>926</v>
      </c>
    </row>
    <row r="894" spans="13:13" ht="15.75" x14ac:dyDescent="0.25">
      <c r="M894" t="s">
        <v>927</v>
      </c>
    </row>
    <row r="895" spans="13:13" ht="15.75" x14ac:dyDescent="0.25">
      <c r="M895" t="s">
        <v>928</v>
      </c>
    </row>
    <row r="896" spans="13:13" ht="15.75" x14ac:dyDescent="0.25">
      <c r="M896" t="s">
        <v>929</v>
      </c>
    </row>
    <row r="897" spans="13:13" ht="15.75" x14ac:dyDescent="0.25">
      <c r="M897" t="s">
        <v>930</v>
      </c>
    </row>
    <row r="898" spans="13:13" ht="15.75" x14ac:dyDescent="0.25">
      <c r="M898" t="s">
        <v>931</v>
      </c>
    </row>
    <row r="899" spans="13:13" ht="15.75" x14ac:dyDescent="0.25">
      <c r="M899" t="s">
        <v>932</v>
      </c>
    </row>
    <row r="900" spans="13:13" ht="15.75" x14ac:dyDescent="0.25">
      <c r="M900" t="s">
        <v>933</v>
      </c>
    </row>
    <row r="901" spans="13:13" ht="15.75" x14ac:dyDescent="0.25">
      <c r="M901" t="s">
        <v>934</v>
      </c>
    </row>
    <row r="902" spans="13:13" ht="15.75" x14ac:dyDescent="0.25">
      <c r="M902" t="s">
        <v>935</v>
      </c>
    </row>
    <row r="903" spans="13:13" ht="15.75" x14ac:dyDescent="0.25">
      <c r="M903" t="s">
        <v>563</v>
      </c>
    </row>
    <row r="904" spans="13:13" ht="15.75" x14ac:dyDescent="0.25">
      <c r="M904" t="s">
        <v>936</v>
      </c>
    </row>
    <row r="905" spans="13:13" ht="15.75" x14ac:dyDescent="0.25">
      <c r="M905" t="s">
        <v>937</v>
      </c>
    </row>
    <row r="906" spans="13:13" ht="15.75" x14ac:dyDescent="0.25">
      <c r="M906" t="s">
        <v>161</v>
      </c>
    </row>
    <row r="907" spans="13:13" ht="15.75" x14ac:dyDescent="0.25">
      <c r="M907" t="s">
        <v>938</v>
      </c>
    </row>
    <row r="908" spans="13:13" ht="15.75" x14ac:dyDescent="0.25">
      <c r="M908" t="s">
        <v>939</v>
      </c>
    </row>
    <row r="909" spans="13:13" ht="15.75" x14ac:dyDescent="0.25">
      <c r="M909" t="s">
        <v>940</v>
      </c>
    </row>
    <row r="910" spans="13:13" ht="15.75" x14ac:dyDescent="0.25">
      <c r="M910" t="s">
        <v>941</v>
      </c>
    </row>
    <row r="911" spans="13:13" ht="15.75" x14ac:dyDescent="0.25">
      <c r="M911" t="s">
        <v>942</v>
      </c>
    </row>
    <row r="912" spans="13:13" ht="15.75" x14ac:dyDescent="0.25">
      <c r="M912" t="s">
        <v>943</v>
      </c>
    </row>
    <row r="913" spans="13:13" ht="15.75" x14ac:dyDescent="0.25">
      <c r="M913" t="s">
        <v>944</v>
      </c>
    </row>
    <row r="914" spans="13:13" ht="15.75" x14ac:dyDescent="0.25">
      <c r="M914" t="s">
        <v>945</v>
      </c>
    </row>
    <row r="915" spans="13:13" ht="15.75" x14ac:dyDescent="0.25">
      <c r="M915" t="s">
        <v>161</v>
      </c>
    </row>
    <row r="916" spans="13:13" ht="15.75" x14ac:dyDescent="0.25">
      <c r="M916" t="s">
        <v>946</v>
      </c>
    </row>
    <row r="917" spans="13:13" ht="15.75" x14ac:dyDescent="0.25">
      <c r="M917" t="s">
        <v>946</v>
      </c>
    </row>
    <row r="918" spans="13:13" ht="15.75" x14ac:dyDescent="0.25">
      <c r="M918" t="s">
        <v>947</v>
      </c>
    </row>
    <row r="919" spans="13:13" ht="15.75" x14ac:dyDescent="0.25">
      <c r="M919" t="s">
        <v>948</v>
      </c>
    </row>
    <row r="920" spans="13:13" ht="15.75" x14ac:dyDescent="0.25">
      <c r="M920" t="s">
        <v>949</v>
      </c>
    </row>
    <row r="921" spans="13:13" ht="15.75" x14ac:dyDescent="0.25">
      <c r="M921" t="s">
        <v>950</v>
      </c>
    </row>
    <row r="922" spans="13:13" ht="15.75" x14ac:dyDescent="0.25">
      <c r="M922" t="s">
        <v>951</v>
      </c>
    </row>
    <row r="923" spans="13:13" ht="15.75" x14ac:dyDescent="0.25">
      <c r="M923" t="s">
        <v>952</v>
      </c>
    </row>
    <row r="924" spans="13:13" ht="15.75" x14ac:dyDescent="0.25">
      <c r="M924" t="s">
        <v>953</v>
      </c>
    </row>
    <row r="925" spans="13:13" ht="15.75" x14ac:dyDescent="0.25">
      <c r="M925" t="s">
        <v>954</v>
      </c>
    </row>
    <row r="926" spans="13:13" ht="15.75" x14ac:dyDescent="0.25">
      <c r="M926" t="s">
        <v>955</v>
      </c>
    </row>
    <row r="927" spans="13:13" ht="15.75" x14ac:dyDescent="0.25">
      <c r="M927" t="s">
        <v>956</v>
      </c>
    </row>
    <row r="928" spans="13:13" ht="15.75" x14ac:dyDescent="0.25">
      <c r="M928" t="s">
        <v>957</v>
      </c>
    </row>
    <row r="929" spans="13:13" ht="15.75" x14ac:dyDescent="0.25">
      <c r="M929" t="s">
        <v>958</v>
      </c>
    </row>
    <row r="930" spans="13:13" ht="15.75" x14ac:dyDescent="0.25">
      <c r="M930" t="s">
        <v>959</v>
      </c>
    </row>
    <row r="931" spans="13:13" ht="15.75" x14ac:dyDescent="0.25">
      <c r="M931" t="s">
        <v>960</v>
      </c>
    </row>
    <row r="932" spans="13:13" ht="15.75" x14ac:dyDescent="0.25">
      <c r="M932" t="s">
        <v>961</v>
      </c>
    </row>
    <row r="933" spans="13:13" ht="15.75" x14ac:dyDescent="0.25">
      <c r="M933" t="s">
        <v>161</v>
      </c>
    </row>
    <row r="934" spans="13:13" ht="15.75" x14ac:dyDescent="0.25">
      <c r="M934" t="s">
        <v>962</v>
      </c>
    </row>
    <row r="935" spans="13:13" ht="15.75" x14ac:dyDescent="0.25">
      <c r="M935" t="s">
        <v>963</v>
      </c>
    </row>
    <row r="936" spans="13:13" ht="15.75" x14ac:dyDescent="0.25">
      <c r="M936" t="s">
        <v>964</v>
      </c>
    </row>
    <row r="937" spans="13:13" ht="15.75" x14ac:dyDescent="0.25">
      <c r="M937" t="s">
        <v>965</v>
      </c>
    </row>
    <row r="938" spans="13:13" ht="15.75" x14ac:dyDescent="0.25">
      <c r="M938" t="s">
        <v>966</v>
      </c>
    </row>
    <row r="939" spans="13:13" ht="15.75" x14ac:dyDescent="0.25">
      <c r="M939" t="s">
        <v>940</v>
      </c>
    </row>
    <row r="940" spans="13:13" ht="15.75" x14ac:dyDescent="0.25">
      <c r="M940" t="s">
        <v>967</v>
      </c>
    </row>
    <row r="941" spans="13:13" ht="15.75" x14ac:dyDescent="0.25">
      <c r="M941" t="s">
        <v>968</v>
      </c>
    </row>
    <row r="942" spans="13:13" ht="15.75" x14ac:dyDescent="0.25">
      <c r="M942" t="s">
        <v>969</v>
      </c>
    </row>
    <row r="943" spans="13:13" ht="15.75" x14ac:dyDescent="0.25">
      <c r="M943" t="s">
        <v>970</v>
      </c>
    </row>
    <row r="944" spans="13:13" ht="15.75" x14ac:dyDescent="0.25">
      <c r="M944" t="s">
        <v>971</v>
      </c>
    </row>
    <row r="945" spans="13:13" ht="15.75" x14ac:dyDescent="0.25">
      <c r="M945" t="s">
        <v>972</v>
      </c>
    </row>
    <row r="946" spans="13:13" ht="15.75" x14ac:dyDescent="0.25">
      <c r="M946" t="s">
        <v>973</v>
      </c>
    </row>
    <row r="947" spans="13:13" ht="15.75" x14ac:dyDescent="0.25">
      <c r="M947" t="s">
        <v>974</v>
      </c>
    </row>
    <row r="948" spans="13:13" ht="15.75" x14ac:dyDescent="0.25">
      <c r="M948" t="s">
        <v>975</v>
      </c>
    </row>
    <row r="949" spans="13:13" ht="15.75" x14ac:dyDescent="0.25">
      <c r="M949" t="s">
        <v>976</v>
      </c>
    </row>
    <row r="950" spans="13:13" ht="15.75" x14ac:dyDescent="0.25">
      <c r="M950" t="s">
        <v>977</v>
      </c>
    </row>
    <row r="951" spans="13:13" ht="15.75" x14ac:dyDescent="0.25">
      <c r="M951" t="s">
        <v>978</v>
      </c>
    </row>
    <row r="952" spans="13:13" ht="15.75" x14ac:dyDescent="0.25">
      <c r="M952" t="s">
        <v>979</v>
      </c>
    </row>
    <row r="953" spans="13:13" ht="15.75" x14ac:dyDescent="0.25">
      <c r="M953" t="s">
        <v>980</v>
      </c>
    </row>
    <row r="954" spans="13:13" ht="15.75" x14ac:dyDescent="0.25">
      <c r="M954" t="s">
        <v>981</v>
      </c>
    </row>
    <row r="955" spans="13:13" ht="15.75" x14ac:dyDescent="0.25">
      <c r="M955" t="s">
        <v>982</v>
      </c>
    </row>
    <row r="956" spans="13:13" ht="15.75" x14ac:dyDescent="0.25">
      <c r="M956" t="s">
        <v>983</v>
      </c>
    </row>
    <row r="957" spans="13:13" ht="15.75" x14ac:dyDescent="0.25">
      <c r="M957" t="s">
        <v>984</v>
      </c>
    </row>
    <row r="958" spans="13:13" ht="15.75" x14ac:dyDescent="0.25">
      <c r="M958" t="s">
        <v>985</v>
      </c>
    </row>
    <row r="959" spans="13:13" ht="15.75" x14ac:dyDescent="0.25">
      <c r="M959" t="s">
        <v>986</v>
      </c>
    </row>
    <row r="960" spans="13:13" ht="15.75" x14ac:dyDescent="0.25">
      <c r="M960" t="s">
        <v>987</v>
      </c>
    </row>
    <row r="961" spans="13:13" ht="15.75" x14ac:dyDescent="0.25">
      <c r="M961" t="s">
        <v>988</v>
      </c>
    </row>
    <row r="962" spans="13:13" ht="15.75" x14ac:dyDescent="0.25">
      <c r="M962" t="s">
        <v>989</v>
      </c>
    </row>
    <row r="963" spans="13:13" ht="15.75" x14ac:dyDescent="0.25">
      <c r="M963" t="s">
        <v>990</v>
      </c>
    </row>
    <row r="964" spans="13:13" ht="15.75" x14ac:dyDescent="0.25">
      <c r="M964" t="s">
        <v>991</v>
      </c>
    </row>
    <row r="965" spans="13:13" ht="15.75" x14ac:dyDescent="0.25">
      <c r="M965" t="s">
        <v>992</v>
      </c>
    </row>
    <row r="966" spans="13:13" ht="15.75" x14ac:dyDescent="0.25">
      <c r="M966" t="s">
        <v>993</v>
      </c>
    </row>
    <row r="967" spans="13:13" ht="15.75" x14ac:dyDescent="0.25">
      <c r="M967" t="s">
        <v>994</v>
      </c>
    </row>
    <row r="968" spans="13:13" ht="15.75" x14ac:dyDescent="0.25">
      <c r="M968" t="s">
        <v>995</v>
      </c>
    </row>
    <row r="969" spans="13:13" ht="15.75" x14ac:dyDescent="0.25">
      <c r="M969" t="s">
        <v>996</v>
      </c>
    </row>
    <row r="970" spans="13:13" ht="15.75" x14ac:dyDescent="0.25">
      <c r="M970" t="s">
        <v>997</v>
      </c>
    </row>
    <row r="971" spans="13:13" ht="15.75" x14ac:dyDescent="0.25">
      <c r="M971" t="s">
        <v>994</v>
      </c>
    </row>
    <row r="972" spans="13:13" ht="15.75" x14ac:dyDescent="0.25">
      <c r="M972" t="s">
        <v>998</v>
      </c>
    </row>
    <row r="973" spans="13:13" ht="15.75" x14ac:dyDescent="0.25">
      <c r="M973" t="s">
        <v>999</v>
      </c>
    </row>
    <row r="974" spans="13:13" ht="15.75" x14ac:dyDescent="0.25">
      <c r="M974" t="s">
        <v>1000</v>
      </c>
    </row>
    <row r="975" spans="13:13" ht="15.75" x14ac:dyDescent="0.25">
      <c r="M975" t="s">
        <v>1001</v>
      </c>
    </row>
    <row r="976" spans="13:13" ht="15.75" x14ac:dyDescent="0.25">
      <c r="M976" t="s">
        <v>1002</v>
      </c>
    </row>
    <row r="977" spans="13:13" ht="15.75" x14ac:dyDescent="0.25">
      <c r="M977" t="s">
        <v>950</v>
      </c>
    </row>
    <row r="978" spans="13:13" ht="15.75" x14ac:dyDescent="0.25">
      <c r="M978" t="s">
        <v>1003</v>
      </c>
    </row>
    <row r="979" spans="13:13" ht="15.75" x14ac:dyDescent="0.25">
      <c r="M979" t="s">
        <v>1004</v>
      </c>
    </row>
    <row r="980" spans="13:13" ht="15.75" x14ac:dyDescent="0.25">
      <c r="M980" t="s">
        <v>1005</v>
      </c>
    </row>
    <row r="981" spans="13:13" ht="15.75" x14ac:dyDescent="0.25">
      <c r="M981" t="s">
        <v>1006</v>
      </c>
    </row>
    <row r="982" spans="13:13" ht="15.75" x14ac:dyDescent="0.25">
      <c r="M982" t="s">
        <v>1007</v>
      </c>
    </row>
    <row r="983" spans="13:13" ht="15.75" x14ac:dyDescent="0.25">
      <c r="M983" t="s">
        <v>1008</v>
      </c>
    </row>
    <row r="984" spans="13:13" ht="15.75" x14ac:dyDescent="0.25">
      <c r="M984" t="s">
        <v>1009</v>
      </c>
    </row>
    <row r="985" spans="13:13" ht="15.75" x14ac:dyDescent="0.25">
      <c r="M985" t="s">
        <v>1010</v>
      </c>
    </row>
    <row r="986" spans="13:13" ht="15.75" x14ac:dyDescent="0.25">
      <c r="M986" t="s">
        <v>1011</v>
      </c>
    </row>
    <row r="987" spans="13:13" ht="15.75" x14ac:dyDescent="0.25">
      <c r="M987" t="s">
        <v>1012</v>
      </c>
    </row>
    <row r="988" spans="13:13" ht="15.75" x14ac:dyDescent="0.25">
      <c r="M988" t="s">
        <v>115</v>
      </c>
    </row>
    <row r="989" spans="13:13" ht="15.75" x14ac:dyDescent="0.25">
      <c r="M989" t="s">
        <v>1013</v>
      </c>
    </row>
    <row r="990" spans="13:13" ht="15.75" x14ac:dyDescent="0.25">
      <c r="M990" t="s">
        <v>1014</v>
      </c>
    </row>
    <row r="991" spans="13:13" ht="15.75" x14ac:dyDescent="0.25">
      <c r="M991" t="s">
        <v>1015</v>
      </c>
    </row>
    <row r="992" spans="13:13" ht="15.75" x14ac:dyDescent="0.25">
      <c r="M992" t="s">
        <v>1016</v>
      </c>
    </row>
    <row r="993" spans="13:13" ht="15.75" x14ac:dyDescent="0.25">
      <c r="M993" t="s">
        <v>1017</v>
      </c>
    </row>
    <row r="994" spans="13:13" ht="15.75" x14ac:dyDescent="0.25">
      <c r="M994" t="s">
        <v>1018</v>
      </c>
    </row>
    <row r="995" spans="13:13" ht="15.75" x14ac:dyDescent="0.25">
      <c r="M995" t="s">
        <v>1019</v>
      </c>
    </row>
    <row r="996" spans="13:13" ht="15.75" x14ac:dyDescent="0.25">
      <c r="M996" t="s">
        <v>1020</v>
      </c>
    </row>
    <row r="997" spans="13:13" ht="15.75" x14ac:dyDescent="0.25">
      <c r="M997" t="s">
        <v>1021</v>
      </c>
    </row>
    <row r="998" spans="13:13" ht="15.75" x14ac:dyDescent="0.25">
      <c r="M998" t="s">
        <v>1022</v>
      </c>
    </row>
    <row r="999" spans="13:13" ht="15.75" x14ac:dyDescent="0.25">
      <c r="M999" t="s">
        <v>1023</v>
      </c>
    </row>
    <row r="1000" spans="13:13" ht="15.75" x14ac:dyDescent="0.25">
      <c r="M1000" t="s">
        <v>161</v>
      </c>
    </row>
    <row r="1001" spans="13:13" ht="15.75" x14ac:dyDescent="0.25">
      <c r="M1001" t="s">
        <v>1024</v>
      </c>
    </row>
    <row r="1002" spans="13:13" ht="15.75" x14ac:dyDescent="0.25">
      <c r="M1002" t="s">
        <v>734</v>
      </c>
    </row>
    <row r="1003" spans="13:13" ht="15.75" x14ac:dyDescent="0.25">
      <c r="M1003" t="s">
        <v>1025</v>
      </c>
    </row>
    <row r="1004" spans="13:13" ht="15.75" x14ac:dyDescent="0.25">
      <c r="M1004" t="s">
        <v>1026</v>
      </c>
    </row>
    <row r="1005" spans="13:13" ht="15.75" x14ac:dyDescent="0.25">
      <c r="M1005" t="s">
        <v>1027</v>
      </c>
    </row>
    <row r="1006" spans="13:13" ht="15.75" x14ac:dyDescent="0.25">
      <c r="M1006" t="s">
        <v>1028</v>
      </c>
    </row>
    <row r="1007" spans="13:13" ht="15.75" x14ac:dyDescent="0.25">
      <c r="M1007" t="s">
        <v>1029</v>
      </c>
    </row>
    <row r="1008" spans="13:13" ht="15.75" x14ac:dyDescent="0.25">
      <c r="M1008" t="s">
        <v>161</v>
      </c>
    </row>
    <row r="1009" spans="13:13" ht="15.75" x14ac:dyDescent="0.25">
      <c r="M1009" t="s">
        <v>1030</v>
      </c>
    </row>
    <row r="1010" spans="13:13" ht="15.75" x14ac:dyDescent="0.25">
      <c r="M1010" t="s">
        <v>1031</v>
      </c>
    </row>
    <row r="1011" spans="13:13" ht="15.75" x14ac:dyDescent="0.25">
      <c r="M1011" t="s">
        <v>1032</v>
      </c>
    </row>
    <row r="1012" spans="13:13" ht="15.75" x14ac:dyDescent="0.25">
      <c r="M1012" t="s">
        <v>1033</v>
      </c>
    </row>
    <row r="1013" spans="13:13" ht="15.75" x14ac:dyDescent="0.25">
      <c r="M1013" t="s">
        <v>1034</v>
      </c>
    </row>
    <row r="1014" spans="13:13" ht="15.75" x14ac:dyDescent="0.25">
      <c r="M1014" t="s">
        <v>440</v>
      </c>
    </row>
    <row r="1015" spans="13:13" ht="15.75" x14ac:dyDescent="0.25">
      <c r="M1015" t="s">
        <v>1035</v>
      </c>
    </row>
    <row r="1016" spans="13:13" ht="15.75" x14ac:dyDescent="0.25">
      <c r="M1016" t="s">
        <v>752</v>
      </c>
    </row>
    <row r="1017" spans="13:13" ht="15.75" x14ac:dyDescent="0.25">
      <c r="M1017" t="s">
        <v>1036</v>
      </c>
    </row>
    <row r="1018" spans="13:13" ht="15.75" x14ac:dyDescent="0.25">
      <c r="M1018" t="s">
        <v>1037</v>
      </c>
    </row>
    <row r="1019" spans="13:13" ht="15.75" x14ac:dyDescent="0.25">
      <c r="M1019" t="s">
        <v>1038</v>
      </c>
    </row>
    <row r="1020" spans="13:13" ht="15.75" x14ac:dyDescent="0.25">
      <c r="M1020" t="s">
        <v>1039</v>
      </c>
    </row>
    <row r="1021" spans="13:13" ht="15.75" x14ac:dyDescent="0.25">
      <c r="M1021" t="s">
        <v>1040</v>
      </c>
    </row>
    <row r="1022" spans="13:13" ht="15.75" x14ac:dyDescent="0.25">
      <c r="M1022" t="s">
        <v>161</v>
      </c>
    </row>
    <row r="1023" spans="13:13" ht="15.75" x14ac:dyDescent="0.25">
      <c r="M1023" t="s">
        <v>1041</v>
      </c>
    </row>
    <row r="1024" spans="13:13" ht="15.75" x14ac:dyDescent="0.25">
      <c r="M1024" t="s">
        <v>1042</v>
      </c>
    </row>
    <row r="1025" spans="13:13" ht="15.75" x14ac:dyDescent="0.25">
      <c r="M1025" t="s">
        <v>1043</v>
      </c>
    </row>
    <row r="1026" spans="13:13" ht="15.75" x14ac:dyDescent="0.25">
      <c r="M1026" t="s">
        <v>1044</v>
      </c>
    </row>
    <row r="1027" spans="13:13" ht="15.75" x14ac:dyDescent="0.25">
      <c r="M1027" t="s">
        <v>1045</v>
      </c>
    </row>
    <row r="1028" spans="13:13" ht="15.75" x14ac:dyDescent="0.25">
      <c r="M1028" t="s">
        <v>1046</v>
      </c>
    </row>
    <row r="1029" spans="13:13" ht="15.75" x14ac:dyDescent="0.25">
      <c r="M1029" t="s">
        <v>1047</v>
      </c>
    </row>
    <row r="1030" spans="13:13" ht="15.75" x14ac:dyDescent="0.25">
      <c r="M1030" t="s">
        <v>1048</v>
      </c>
    </row>
    <row r="1031" spans="13:13" ht="15.75" x14ac:dyDescent="0.25">
      <c r="M1031" t="s">
        <v>1049</v>
      </c>
    </row>
    <row r="1032" spans="13:13" ht="15.75" x14ac:dyDescent="0.25">
      <c r="M1032" t="s">
        <v>1050</v>
      </c>
    </row>
    <row r="1033" spans="13:13" ht="15.75" x14ac:dyDescent="0.25">
      <c r="M1033" t="s">
        <v>161</v>
      </c>
    </row>
    <row r="1034" spans="13:13" ht="15.75" x14ac:dyDescent="0.25">
      <c r="M1034" t="s">
        <v>1051</v>
      </c>
    </row>
    <row r="1035" spans="13:13" ht="15.75" x14ac:dyDescent="0.25">
      <c r="M1035" t="s">
        <v>1052</v>
      </c>
    </row>
    <row r="1036" spans="13:13" ht="15.75" x14ac:dyDescent="0.25">
      <c r="M1036" t="s">
        <v>913</v>
      </c>
    </row>
    <row r="1037" spans="13:13" ht="15.75" x14ac:dyDescent="0.25">
      <c r="M1037" t="s">
        <v>1053</v>
      </c>
    </row>
    <row r="1038" spans="13:13" ht="15.75" x14ac:dyDescent="0.25">
      <c r="M1038" t="s">
        <v>1054</v>
      </c>
    </row>
    <row r="1039" spans="13:13" ht="15.75" x14ac:dyDescent="0.25">
      <c r="M1039" t="s">
        <v>1055</v>
      </c>
    </row>
    <row r="1040" spans="13:13" ht="15.75" x14ac:dyDescent="0.25">
      <c r="M1040" t="s">
        <v>1056</v>
      </c>
    </row>
    <row r="1041" spans="13:13" ht="15.75" x14ac:dyDescent="0.25">
      <c r="M1041" t="s">
        <v>1057</v>
      </c>
    </row>
    <row r="1042" spans="13:13" ht="15.75" x14ac:dyDescent="0.25">
      <c r="M1042" t="s">
        <v>1058</v>
      </c>
    </row>
    <row r="1043" spans="13:13" ht="15.75" x14ac:dyDescent="0.25">
      <c r="M1043" t="s">
        <v>1059</v>
      </c>
    </row>
    <row r="1044" spans="13:13" ht="15.75" x14ac:dyDescent="0.25">
      <c r="M1044" t="s">
        <v>1060</v>
      </c>
    </row>
    <row r="1045" spans="13:13" ht="15.75" x14ac:dyDescent="0.25">
      <c r="M1045" t="s">
        <v>1061</v>
      </c>
    </row>
    <row r="1046" spans="13:13" ht="15.75" x14ac:dyDescent="0.25">
      <c r="M1046" t="s">
        <v>1062</v>
      </c>
    </row>
    <row r="1047" spans="13:13" ht="15.75" x14ac:dyDescent="0.25">
      <c r="M1047" t="s">
        <v>1063</v>
      </c>
    </row>
    <row r="1048" spans="13:13" ht="15.75" x14ac:dyDescent="0.25">
      <c r="M1048" t="s">
        <v>1064</v>
      </c>
    </row>
    <row r="1049" spans="13:13" ht="15.75" x14ac:dyDescent="0.25">
      <c r="M1049" t="s">
        <v>1065</v>
      </c>
    </row>
    <row r="1050" spans="13:13" ht="15.75" x14ac:dyDescent="0.25">
      <c r="M1050" t="s">
        <v>1066</v>
      </c>
    </row>
    <row r="1051" spans="13:13" ht="15.75" x14ac:dyDescent="0.25">
      <c r="M1051" t="s">
        <v>94</v>
      </c>
    </row>
    <row r="1052" spans="13:13" ht="15.75" x14ac:dyDescent="0.25">
      <c r="M1052" t="s">
        <v>1067</v>
      </c>
    </row>
    <row r="1053" spans="13:13" ht="15.75" x14ac:dyDescent="0.25">
      <c r="M1053" t="s">
        <v>1068</v>
      </c>
    </row>
    <row r="1054" spans="13:13" ht="15.75" x14ac:dyDescent="0.25">
      <c r="M1054" t="s">
        <v>1069</v>
      </c>
    </row>
    <row r="1055" spans="13:13" ht="15.75" x14ac:dyDescent="0.25">
      <c r="M1055" t="s">
        <v>1070</v>
      </c>
    </row>
    <row r="1056" spans="13:13" ht="15.75" x14ac:dyDescent="0.25">
      <c r="M1056" t="s">
        <v>1071</v>
      </c>
    </row>
    <row r="1057" spans="13:13" ht="15.75" x14ac:dyDescent="0.25">
      <c r="M1057" t="s">
        <v>1072</v>
      </c>
    </row>
    <row r="1058" spans="13:13" ht="15.75" x14ac:dyDescent="0.25">
      <c r="M1058" t="s">
        <v>161</v>
      </c>
    </row>
    <row r="1059" spans="13:13" ht="15.75" x14ac:dyDescent="0.25">
      <c r="M1059" t="s">
        <v>1073</v>
      </c>
    </row>
    <row r="1060" spans="13:13" ht="15.75" x14ac:dyDescent="0.25">
      <c r="M1060" t="s">
        <v>1074</v>
      </c>
    </row>
    <row r="1061" spans="13:13" ht="15.75" x14ac:dyDescent="0.25">
      <c r="M1061" t="s">
        <v>1075</v>
      </c>
    </row>
    <row r="1062" spans="13:13" ht="15.75" x14ac:dyDescent="0.25">
      <c r="M1062" t="s">
        <v>1076</v>
      </c>
    </row>
    <row r="1063" spans="13:13" ht="15.75" x14ac:dyDescent="0.25">
      <c r="M1063" t="s">
        <v>161</v>
      </c>
    </row>
    <row r="1064" spans="13:13" ht="15.75" x14ac:dyDescent="0.25">
      <c r="M1064" t="s">
        <v>1077</v>
      </c>
    </row>
    <row r="1065" spans="13:13" ht="15.75" x14ac:dyDescent="0.25">
      <c r="M1065" t="s">
        <v>1078</v>
      </c>
    </row>
    <row r="1066" spans="13:13" ht="15.75" x14ac:dyDescent="0.25">
      <c r="M1066" t="s">
        <v>1079</v>
      </c>
    </row>
    <row r="1067" spans="13:13" ht="15.75" x14ac:dyDescent="0.25">
      <c r="M1067" t="s">
        <v>1080</v>
      </c>
    </row>
    <row r="1068" spans="13:13" ht="15.75" x14ac:dyDescent="0.25">
      <c r="M1068" t="s">
        <v>1081</v>
      </c>
    </row>
    <row r="1069" spans="13:13" ht="15.75" x14ac:dyDescent="0.25">
      <c r="M1069" t="s">
        <v>1082</v>
      </c>
    </row>
    <row r="1070" spans="13:13" ht="15.75" x14ac:dyDescent="0.25">
      <c r="M1070" t="s">
        <v>1083</v>
      </c>
    </row>
    <row r="1071" spans="13:13" ht="15.75" x14ac:dyDescent="0.25">
      <c r="M1071" t="s">
        <v>161</v>
      </c>
    </row>
    <row r="1072" spans="13:13" ht="15.75" x14ac:dyDescent="0.25">
      <c r="M1072" t="s">
        <v>1084</v>
      </c>
    </row>
    <row r="1073" spans="13:13" ht="15.75" x14ac:dyDescent="0.25">
      <c r="M1073" t="s">
        <v>1085</v>
      </c>
    </row>
    <row r="1074" spans="13:13" ht="15.75" x14ac:dyDescent="0.25">
      <c r="M1074" t="s">
        <v>1086</v>
      </c>
    </row>
    <row r="1075" spans="13:13" ht="15.75" x14ac:dyDescent="0.25">
      <c r="M1075" t="s">
        <v>40</v>
      </c>
    </row>
    <row r="1076" spans="13:13" ht="15.75" x14ac:dyDescent="0.25">
      <c r="M1076" t="s">
        <v>1087</v>
      </c>
    </row>
    <row r="1077" spans="13:13" ht="15.75" x14ac:dyDescent="0.25">
      <c r="M1077" t="s">
        <v>1088</v>
      </c>
    </row>
    <row r="1078" spans="13:13" ht="15.75" x14ac:dyDescent="0.25">
      <c r="M1078" t="s">
        <v>1089</v>
      </c>
    </row>
    <row r="1079" spans="13:13" ht="15.75" x14ac:dyDescent="0.25">
      <c r="M1079" t="s">
        <v>1090</v>
      </c>
    </row>
    <row r="1080" spans="13:13" ht="15.75" x14ac:dyDescent="0.25">
      <c r="M1080" t="s">
        <v>1091</v>
      </c>
    </row>
    <row r="1081" spans="13:13" ht="15.75" x14ac:dyDescent="0.25">
      <c r="M1081" t="s">
        <v>1092</v>
      </c>
    </row>
    <row r="1082" spans="13:13" ht="15.75" x14ac:dyDescent="0.25">
      <c r="M1082" t="s">
        <v>1093</v>
      </c>
    </row>
    <row r="1083" spans="13:13" ht="15.75" x14ac:dyDescent="0.25">
      <c r="M1083" t="s">
        <v>1094</v>
      </c>
    </row>
    <row r="1084" spans="13:13" ht="15.75" x14ac:dyDescent="0.25">
      <c r="M1084" t="s">
        <v>1095</v>
      </c>
    </row>
    <row r="1085" spans="13:13" ht="15.75" x14ac:dyDescent="0.25">
      <c r="M1085" t="s">
        <v>1096</v>
      </c>
    </row>
    <row r="1086" spans="13:13" ht="15.75" x14ac:dyDescent="0.25">
      <c r="M1086" t="s">
        <v>1097</v>
      </c>
    </row>
    <row r="1087" spans="13:13" ht="15.75" x14ac:dyDescent="0.25">
      <c r="M1087" t="s">
        <v>1098</v>
      </c>
    </row>
    <row r="1088" spans="13:13" ht="15.75" x14ac:dyDescent="0.25">
      <c r="M1088" t="s">
        <v>1099</v>
      </c>
    </row>
    <row r="1089" spans="13:13" ht="15.75" x14ac:dyDescent="0.25">
      <c r="M1089" t="s">
        <v>1100</v>
      </c>
    </row>
    <row r="1090" spans="13:13" ht="15.75" x14ac:dyDescent="0.25">
      <c r="M1090" t="s">
        <v>1101</v>
      </c>
    </row>
    <row r="1091" spans="13:13" ht="15.75" x14ac:dyDescent="0.25">
      <c r="M1091" t="s">
        <v>1102</v>
      </c>
    </row>
    <row r="1092" spans="13:13" ht="15.75" x14ac:dyDescent="0.25">
      <c r="M1092" t="s">
        <v>1103</v>
      </c>
    </row>
    <row r="1093" spans="13:13" ht="15.75" x14ac:dyDescent="0.25">
      <c r="M1093" t="s">
        <v>1104</v>
      </c>
    </row>
    <row r="1094" spans="13:13" ht="15.75" x14ac:dyDescent="0.25">
      <c r="M1094" t="s">
        <v>161</v>
      </c>
    </row>
    <row r="1095" spans="13:13" ht="15.75" x14ac:dyDescent="0.25">
      <c r="M1095" t="s">
        <v>1105</v>
      </c>
    </row>
    <row r="1096" spans="13:13" ht="15.75" x14ac:dyDescent="0.25">
      <c r="M1096" t="s">
        <v>1106</v>
      </c>
    </row>
    <row r="1097" spans="13:13" ht="15.75" x14ac:dyDescent="0.25">
      <c r="M1097" t="s">
        <v>1107</v>
      </c>
    </row>
    <row r="1098" spans="13:13" ht="15.75" x14ac:dyDescent="0.25">
      <c r="M1098" t="s">
        <v>161</v>
      </c>
    </row>
    <row r="1099" spans="13:13" ht="15.75" x14ac:dyDescent="0.25">
      <c r="M1099" t="s">
        <v>1108</v>
      </c>
    </row>
    <row r="1100" spans="13:13" ht="15.75" x14ac:dyDescent="0.25">
      <c r="M1100" t="s">
        <v>1109</v>
      </c>
    </row>
    <row r="1101" spans="13:13" ht="15.75" x14ac:dyDescent="0.25">
      <c r="M1101" t="s">
        <v>1110</v>
      </c>
    </row>
    <row r="1102" spans="13:13" ht="15.75" x14ac:dyDescent="0.25">
      <c r="M1102" t="s">
        <v>1087</v>
      </c>
    </row>
    <row r="1103" spans="13:13" ht="15.75" x14ac:dyDescent="0.25">
      <c r="M1103" t="s">
        <v>1111</v>
      </c>
    </row>
    <row r="1104" spans="13:13" ht="15.75" x14ac:dyDescent="0.25">
      <c r="M1104" t="s">
        <v>1112</v>
      </c>
    </row>
    <row r="1105" spans="13:13" ht="15.75" x14ac:dyDescent="0.25">
      <c r="M1105" t="s">
        <v>1113</v>
      </c>
    </row>
    <row r="1106" spans="13:13" ht="15.75" x14ac:dyDescent="0.25">
      <c r="M1106" t="s">
        <v>1114</v>
      </c>
    </row>
    <row r="1107" spans="13:13" ht="15.75" x14ac:dyDescent="0.25">
      <c r="M1107" t="s">
        <v>161</v>
      </c>
    </row>
    <row r="1108" spans="13:13" ht="15.75" x14ac:dyDescent="0.25">
      <c r="M1108" t="s">
        <v>1115</v>
      </c>
    </row>
    <row r="1109" spans="13:13" ht="15.75" x14ac:dyDescent="0.25">
      <c r="M1109" t="s">
        <v>1116</v>
      </c>
    </row>
    <row r="1110" spans="13:13" ht="15.75" x14ac:dyDescent="0.25">
      <c r="M1110" t="s">
        <v>1117</v>
      </c>
    </row>
    <row r="1111" spans="13:13" ht="15.75" x14ac:dyDescent="0.25">
      <c r="M1111" t="s">
        <v>161</v>
      </c>
    </row>
    <row r="1112" spans="13:13" ht="15.75" x14ac:dyDescent="0.25">
      <c r="M1112" t="s">
        <v>1118</v>
      </c>
    </row>
    <row r="1113" spans="13:13" ht="15.75" x14ac:dyDescent="0.25">
      <c r="M1113" t="s">
        <v>1119</v>
      </c>
    </row>
    <row r="1114" spans="13:13" ht="15.75" x14ac:dyDescent="0.25">
      <c r="M1114" t="s">
        <v>1120</v>
      </c>
    </row>
    <row r="1115" spans="13:13" ht="15.75" x14ac:dyDescent="0.25">
      <c r="M1115" t="s">
        <v>1121</v>
      </c>
    </row>
    <row r="1116" spans="13:13" ht="15.75" x14ac:dyDescent="0.25">
      <c r="M1116" t="s">
        <v>1122</v>
      </c>
    </row>
    <row r="1117" spans="13:13" ht="15.75" x14ac:dyDescent="0.25">
      <c r="M1117" t="s">
        <v>1123</v>
      </c>
    </row>
    <row r="1118" spans="13:13" ht="15.75" x14ac:dyDescent="0.25">
      <c r="M1118" t="s">
        <v>161</v>
      </c>
    </row>
    <row r="1119" spans="13:13" ht="15.75" x14ac:dyDescent="0.25">
      <c r="M1119" t="s">
        <v>161</v>
      </c>
    </row>
    <row r="1120" spans="13:13" ht="15.75" x14ac:dyDescent="0.25">
      <c r="M1120" t="s">
        <v>1124</v>
      </c>
    </row>
    <row r="1121" spans="13:13" ht="15.75" x14ac:dyDescent="0.25">
      <c r="M1121" t="s">
        <v>161</v>
      </c>
    </row>
    <row r="1122" spans="13:13" ht="15.75" x14ac:dyDescent="0.25">
      <c r="M1122" t="s">
        <v>1125</v>
      </c>
    </row>
    <row r="1123" spans="13:13" ht="15.75" x14ac:dyDescent="0.25">
      <c r="M1123" t="s">
        <v>1126</v>
      </c>
    </row>
    <row r="1124" spans="13:13" ht="15.75" x14ac:dyDescent="0.25">
      <c r="M1124" t="s">
        <v>1127</v>
      </c>
    </row>
    <row r="1125" spans="13:13" ht="15.75" x14ac:dyDescent="0.25">
      <c r="M1125" t="s">
        <v>1128</v>
      </c>
    </row>
    <row r="1126" spans="13:13" ht="15.75" x14ac:dyDescent="0.25">
      <c r="M1126" t="s">
        <v>161</v>
      </c>
    </row>
    <row r="1127" spans="13:13" ht="15.75" x14ac:dyDescent="0.25">
      <c r="M1127" t="s">
        <v>552</v>
      </c>
    </row>
    <row r="1128" spans="13:13" ht="15.75" x14ac:dyDescent="0.25">
      <c r="M1128" t="s">
        <v>161</v>
      </c>
    </row>
    <row r="1129" spans="13:13" ht="15.75" x14ac:dyDescent="0.25">
      <c r="M1129" t="s">
        <v>161</v>
      </c>
    </row>
    <row r="1130" spans="13:13" ht="15.75" x14ac:dyDescent="0.25">
      <c r="M1130" t="s">
        <v>1129</v>
      </c>
    </row>
    <row r="1131" spans="13:13" ht="15.75" x14ac:dyDescent="0.25">
      <c r="M1131" t="s">
        <v>1130</v>
      </c>
    </row>
    <row r="1132" spans="13:13" ht="15.75" x14ac:dyDescent="0.25">
      <c r="M1132" t="s">
        <v>100</v>
      </c>
    </row>
    <row r="1133" spans="13:13" ht="15.75" x14ac:dyDescent="0.25">
      <c r="M1133" t="s">
        <v>1131</v>
      </c>
    </row>
    <row r="1134" spans="13:13" ht="15.75" x14ac:dyDescent="0.25">
      <c r="M1134" t="s">
        <v>1132</v>
      </c>
    </row>
    <row r="1135" spans="13:13" ht="15.75" x14ac:dyDescent="0.25">
      <c r="M1135" t="s">
        <v>1133</v>
      </c>
    </row>
    <row r="1136" spans="13:13" ht="15.75" x14ac:dyDescent="0.25">
      <c r="M1136" t="s">
        <v>1134</v>
      </c>
    </row>
    <row r="1137" spans="13:13" ht="15.75" x14ac:dyDescent="0.25">
      <c r="M1137" t="s">
        <v>1135</v>
      </c>
    </row>
    <row r="1138" spans="13:13" ht="15.75" x14ac:dyDescent="0.25">
      <c r="M1138" t="s">
        <v>1136</v>
      </c>
    </row>
    <row r="1139" spans="13:13" ht="15.75" x14ac:dyDescent="0.25">
      <c r="M1139" t="s">
        <v>1137</v>
      </c>
    </row>
    <row r="1140" spans="13:13" ht="15.75" x14ac:dyDescent="0.25">
      <c r="M1140" t="s">
        <v>1138</v>
      </c>
    </row>
    <row r="1141" spans="13:13" ht="15.75" x14ac:dyDescent="0.25">
      <c r="M1141" t="s">
        <v>1139</v>
      </c>
    </row>
    <row r="1142" spans="13:13" ht="15.75" x14ac:dyDescent="0.25">
      <c r="M1142" t="s">
        <v>1140</v>
      </c>
    </row>
    <row r="1143" spans="13:13" ht="15.75" x14ac:dyDescent="0.25">
      <c r="M1143" t="s">
        <v>161</v>
      </c>
    </row>
    <row r="1144" spans="13:13" ht="15.75" x14ac:dyDescent="0.25">
      <c r="M1144" t="s">
        <v>423</v>
      </c>
    </row>
    <row r="1145" spans="13:13" ht="15.75" x14ac:dyDescent="0.25">
      <c r="M1145" t="s">
        <v>161</v>
      </c>
    </row>
    <row r="1146" spans="13:13" ht="15.75" x14ac:dyDescent="0.25">
      <c r="M1146" t="s">
        <v>1141</v>
      </c>
    </row>
    <row r="1147" spans="13:13" ht="15.75" x14ac:dyDescent="0.25">
      <c r="M1147" t="s">
        <v>1142</v>
      </c>
    </row>
    <row r="1148" spans="13:13" ht="15.75" x14ac:dyDescent="0.25">
      <c r="M1148" t="s">
        <v>1143</v>
      </c>
    </row>
    <row r="1149" spans="13:13" ht="15.75" x14ac:dyDescent="0.25">
      <c r="M1149" t="s">
        <v>1144</v>
      </c>
    </row>
    <row r="1150" spans="13:13" ht="15.75" x14ac:dyDescent="0.25">
      <c r="M1150" t="s">
        <v>67</v>
      </c>
    </row>
    <row r="1151" spans="13:13" ht="15.75" x14ac:dyDescent="0.25">
      <c r="M1151" t="s">
        <v>161</v>
      </c>
    </row>
    <row r="1152" spans="13:13" ht="15.75" x14ac:dyDescent="0.25">
      <c r="M1152" t="s">
        <v>1145</v>
      </c>
    </row>
    <row r="1153" spans="13:13" ht="15.75" x14ac:dyDescent="0.25">
      <c r="M1153" t="s">
        <v>1146</v>
      </c>
    </row>
    <row r="1154" spans="13:13" ht="15.75" x14ac:dyDescent="0.25">
      <c r="M1154" t="s">
        <v>1147</v>
      </c>
    </row>
    <row r="1155" spans="13:13" ht="15.75" x14ac:dyDescent="0.25">
      <c r="M1155" t="s">
        <v>1148</v>
      </c>
    </row>
    <row r="1156" spans="13:13" ht="15.75" x14ac:dyDescent="0.25">
      <c r="M1156" t="s">
        <v>920</v>
      </c>
    </row>
    <row r="1157" spans="13:13" ht="15.75" x14ac:dyDescent="0.25">
      <c r="M1157" t="s">
        <v>1149</v>
      </c>
    </row>
    <row r="1158" spans="13:13" ht="15.75" x14ac:dyDescent="0.25">
      <c r="M1158" t="s">
        <v>161</v>
      </c>
    </row>
    <row r="1159" spans="13:13" ht="15.75" x14ac:dyDescent="0.25">
      <c r="M1159" t="s">
        <v>1150</v>
      </c>
    </row>
    <row r="1160" spans="13:13" ht="15.75" x14ac:dyDescent="0.25">
      <c r="M1160" t="s">
        <v>1151</v>
      </c>
    </row>
    <row r="1161" spans="13:13" ht="15.75" x14ac:dyDescent="0.25">
      <c r="M1161" t="s">
        <v>1152</v>
      </c>
    </row>
    <row r="1162" spans="13:13" ht="15.75" x14ac:dyDescent="0.25">
      <c r="M1162" t="s">
        <v>1153</v>
      </c>
    </row>
    <row r="1163" spans="13:13" ht="15.75" x14ac:dyDescent="0.25">
      <c r="M1163" t="s">
        <v>1154</v>
      </c>
    </row>
    <row r="1164" spans="13:13" ht="15.75" x14ac:dyDescent="0.25">
      <c r="M1164" t="s">
        <v>1155</v>
      </c>
    </row>
    <row r="1165" spans="13:13" ht="15.75" x14ac:dyDescent="0.25">
      <c r="M1165" t="s">
        <v>1156</v>
      </c>
    </row>
    <row r="1166" spans="13:13" ht="15.75" x14ac:dyDescent="0.25">
      <c r="M1166" t="s">
        <v>161</v>
      </c>
    </row>
    <row r="1167" spans="13:13" ht="15.75" x14ac:dyDescent="0.25">
      <c r="M1167" t="s">
        <v>1093</v>
      </c>
    </row>
    <row r="1168" spans="13:13" ht="15.75" x14ac:dyDescent="0.25">
      <c r="M1168" t="s">
        <v>1061</v>
      </c>
    </row>
    <row r="1169" spans="13:13" ht="15.75" x14ac:dyDescent="0.25">
      <c r="M1169" t="s">
        <v>1157</v>
      </c>
    </row>
    <row r="1170" spans="13:13" ht="15.75" x14ac:dyDescent="0.25">
      <c r="M1170" t="s">
        <v>1158</v>
      </c>
    </row>
    <row r="1171" spans="13:13" ht="15.75" x14ac:dyDescent="0.25">
      <c r="M1171" t="s">
        <v>1159</v>
      </c>
    </row>
    <row r="1172" spans="13:13" ht="15.75" x14ac:dyDescent="0.25">
      <c r="M1172" t="s">
        <v>1160</v>
      </c>
    </row>
    <row r="1173" spans="13:13" ht="15.75" x14ac:dyDescent="0.25">
      <c r="M1173" t="s">
        <v>1161</v>
      </c>
    </row>
    <row r="1174" spans="13:13" ht="15.75" x14ac:dyDescent="0.25">
      <c r="M1174" t="s">
        <v>1162</v>
      </c>
    </row>
    <row r="1175" spans="13:13" ht="15.75" x14ac:dyDescent="0.25">
      <c r="M1175" t="s">
        <v>1163</v>
      </c>
    </row>
    <row r="1176" spans="13:13" ht="15.75" x14ac:dyDescent="0.25">
      <c r="M1176" t="s">
        <v>161</v>
      </c>
    </row>
    <row r="1177" spans="13:13" ht="15.75" x14ac:dyDescent="0.25">
      <c r="M1177" t="s">
        <v>1164</v>
      </c>
    </row>
    <row r="1178" spans="13:13" ht="15.75" x14ac:dyDescent="0.25">
      <c r="M1178" t="s">
        <v>1165</v>
      </c>
    </row>
    <row r="1179" spans="13:13" ht="15.75" x14ac:dyDescent="0.25">
      <c r="M1179" t="s">
        <v>161</v>
      </c>
    </row>
    <row r="1180" spans="13:13" ht="15.75" x14ac:dyDescent="0.25">
      <c r="M1180" t="s">
        <v>1166</v>
      </c>
    </row>
    <row r="1181" spans="13:13" ht="15.75" x14ac:dyDescent="0.25">
      <c r="M1181" t="s">
        <v>1167</v>
      </c>
    </row>
    <row r="1182" spans="13:13" ht="15.75" x14ac:dyDescent="0.25">
      <c r="M1182" t="s">
        <v>1168</v>
      </c>
    </row>
    <row r="1183" spans="13:13" ht="15.75" x14ac:dyDescent="0.25">
      <c r="M1183" t="s">
        <v>161</v>
      </c>
    </row>
    <row r="1184" spans="13:13" ht="15.75" x14ac:dyDescent="0.25">
      <c r="M1184" t="s">
        <v>1169</v>
      </c>
    </row>
    <row r="1185" spans="13:13" ht="15.75" x14ac:dyDescent="0.25">
      <c r="M1185" t="s">
        <v>1170</v>
      </c>
    </row>
    <row r="1186" spans="13:13" ht="15.75" x14ac:dyDescent="0.25">
      <c r="M1186" t="s">
        <v>1171</v>
      </c>
    </row>
    <row r="1187" spans="13:13" ht="15.75" x14ac:dyDescent="0.25">
      <c r="M1187" t="s">
        <v>1172</v>
      </c>
    </row>
    <row r="1188" spans="13:13" ht="15.75" x14ac:dyDescent="0.25">
      <c r="M1188" t="s">
        <v>1087</v>
      </c>
    </row>
    <row r="1189" spans="13:13" ht="15.75" x14ac:dyDescent="0.25">
      <c r="M1189" t="s">
        <v>1087</v>
      </c>
    </row>
    <row r="1190" spans="13:13" ht="15.75" x14ac:dyDescent="0.25">
      <c r="M1190" t="s">
        <v>1173</v>
      </c>
    </row>
    <row r="1191" spans="13:13" ht="15.75" x14ac:dyDescent="0.25">
      <c r="M1191" t="s">
        <v>1174</v>
      </c>
    </row>
    <row r="1192" spans="13:13" ht="15.75" x14ac:dyDescent="0.25">
      <c r="M1192" t="s">
        <v>1175</v>
      </c>
    </row>
    <row r="1193" spans="13:13" ht="15.75" x14ac:dyDescent="0.25">
      <c r="M1193" t="s">
        <v>1176</v>
      </c>
    </row>
    <row r="1194" spans="13:13" ht="15.75" x14ac:dyDescent="0.25">
      <c r="M1194" t="s">
        <v>1177</v>
      </c>
    </row>
    <row r="1195" spans="13:13" ht="15.75" x14ac:dyDescent="0.25">
      <c r="M1195" t="s">
        <v>1178</v>
      </c>
    </row>
    <row r="1196" spans="13:13" ht="15.75" x14ac:dyDescent="0.25">
      <c r="M1196" t="s">
        <v>161</v>
      </c>
    </row>
    <row r="1197" spans="13:13" ht="15.75" x14ac:dyDescent="0.25">
      <c r="M1197" t="s">
        <v>1179</v>
      </c>
    </row>
    <row r="1198" spans="13:13" ht="15.75" x14ac:dyDescent="0.25">
      <c r="M1198" t="s">
        <v>1180</v>
      </c>
    </row>
    <row r="1199" spans="13:13" ht="15.75" x14ac:dyDescent="0.25">
      <c r="M1199" t="s">
        <v>1181</v>
      </c>
    </row>
    <row r="1200" spans="13:13" ht="15.75" x14ac:dyDescent="0.25">
      <c r="M1200" t="s">
        <v>1182</v>
      </c>
    </row>
    <row r="1201" spans="13:13" ht="15.75" x14ac:dyDescent="0.25">
      <c r="M1201" t="s">
        <v>1183</v>
      </c>
    </row>
    <row r="1202" spans="13:13" ht="15.75" x14ac:dyDescent="0.25">
      <c r="M1202" t="s">
        <v>1184</v>
      </c>
    </row>
    <row r="1203" spans="13:13" ht="15.75" x14ac:dyDescent="0.25">
      <c r="M1203" t="s">
        <v>1185</v>
      </c>
    </row>
    <row r="1204" spans="13:13" ht="15.75" x14ac:dyDescent="0.25">
      <c r="M1204" t="s">
        <v>161</v>
      </c>
    </row>
    <row r="1205" spans="13:13" ht="15.75" x14ac:dyDescent="0.25">
      <c r="M1205" t="s">
        <v>1186</v>
      </c>
    </row>
    <row r="1206" spans="13:13" ht="15.75" x14ac:dyDescent="0.25">
      <c r="M1206" t="s">
        <v>1187</v>
      </c>
    </row>
    <row r="1207" spans="13:13" ht="15.75" x14ac:dyDescent="0.25">
      <c r="M1207" t="s">
        <v>1188</v>
      </c>
    </row>
    <row r="1208" spans="13:13" ht="15.75" x14ac:dyDescent="0.25">
      <c r="M1208" t="s">
        <v>1189</v>
      </c>
    </row>
    <row r="1209" spans="13:13" ht="15.75" x14ac:dyDescent="0.25">
      <c r="M1209" t="s">
        <v>1190</v>
      </c>
    </row>
    <row r="1210" spans="13:13" ht="15.75" x14ac:dyDescent="0.25">
      <c r="M1210" t="s">
        <v>1191</v>
      </c>
    </row>
    <row r="1211" spans="13:13" ht="15.75" x14ac:dyDescent="0.25">
      <c r="M1211" t="s">
        <v>1192</v>
      </c>
    </row>
    <row r="1212" spans="13:13" ht="15.75" x14ac:dyDescent="0.25">
      <c r="M1212" t="s">
        <v>1193</v>
      </c>
    </row>
    <row r="1213" spans="13:13" ht="15.75" x14ac:dyDescent="0.25">
      <c r="M1213" t="s">
        <v>333</v>
      </c>
    </row>
    <row r="1214" spans="13:13" ht="15.75" x14ac:dyDescent="0.25">
      <c r="M1214" t="s">
        <v>1194</v>
      </c>
    </row>
    <row r="1215" spans="13:13" ht="15.75" x14ac:dyDescent="0.25">
      <c r="M1215" t="s">
        <v>1195</v>
      </c>
    </row>
    <row r="1216" spans="13:13" ht="15.75" x14ac:dyDescent="0.25">
      <c r="M1216" t="s">
        <v>1196</v>
      </c>
    </row>
    <row r="1217" spans="13:13" ht="15.75" x14ac:dyDescent="0.25">
      <c r="M1217" t="s">
        <v>1197</v>
      </c>
    </row>
    <row r="1218" spans="13:13" ht="15.75" x14ac:dyDescent="0.25">
      <c r="M1218" t="s">
        <v>1198</v>
      </c>
    </row>
    <row r="1219" spans="13:13" ht="15.75" x14ac:dyDescent="0.25">
      <c r="M1219" t="s">
        <v>1199</v>
      </c>
    </row>
    <row r="1220" spans="13:13" ht="15.75" x14ac:dyDescent="0.25">
      <c r="M1220" t="s">
        <v>1200</v>
      </c>
    </row>
    <row r="1221" spans="13:13" ht="15.75" x14ac:dyDescent="0.25">
      <c r="M1221" t="s">
        <v>1201</v>
      </c>
    </row>
    <row r="1222" spans="13:13" ht="15.75" x14ac:dyDescent="0.25">
      <c r="M1222" t="s">
        <v>1202</v>
      </c>
    </row>
    <row r="1223" spans="13:13" ht="15.75" x14ac:dyDescent="0.25">
      <c r="M1223" t="s">
        <v>1203</v>
      </c>
    </row>
    <row r="1224" spans="13:13" ht="15.75" x14ac:dyDescent="0.25">
      <c r="M1224" t="s">
        <v>1204</v>
      </c>
    </row>
    <row r="1225" spans="13:13" ht="15.75" x14ac:dyDescent="0.25">
      <c r="M1225" t="s">
        <v>1205</v>
      </c>
    </row>
    <row r="1226" spans="13:13" ht="15.75" x14ac:dyDescent="0.25">
      <c r="M1226" t="s">
        <v>1206</v>
      </c>
    </row>
    <row r="1227" spans="13:13" ht="15.75" x14ac:dyDescent="0.25">
      <c r="M1227" t="s">
        <v>38</v>
      </c>
    </row>
    <row r="1228" spans="13:13" ht="15.75" x14ac:dyDescent="0.25">
      <c r="M1228" t="s">
        <v>1207</v>
      </c>
    </row>
    <row r="1229" spans="13:13" ht="15.75" x14ac:dyDescent="0.25">
      <c r="M1229" t="s">
        <v>1208</v>
      </c>
    </row>
    <row r="1230" spans="13:13" ht="15.75" x14ac:dyDescent="0.25">
      <c r="M1230" t="s">
        <v>1209</v>
      </c>
    </row>
    <row r="1231" spans="13:13" ht="15.75" x14ac:dyDescent="0.25">
      <c r="M1231" t="s">
        <v>1210</v>
      </c>
    </row>
    <row r="1232" spans="13:13" ht="15.75" x14ac:dyDescent="0.25">
      <c r="M1232" t="s">
        <v>41</v>
      </c>
    </row>
    <row r="1233" spans="13:13" ht="15.75" x14ac:dyDescent="0.25">
      <c r="M1233" t="s">
        <v>1211</v>
      </c>
    </row>
    <row r="1234" spans="13:13" ht="15.75" x14ac:dyDescent="0.25">
      <c r="M1234" t="s">
        <v>1212</v>
      </c>
    </row>
    <row r="1235" spans="13:13" ht="15.75" x14ac:dyDescent="0.25">
      <c r="M1235" t="s">
        <v>1213</v>
      </c>
    </row>
    <row r="1236" spans="13:13" ht="15.75" x14ac:dyDescent="0.25">
      <c r="M1236" t="s">
        <v>1214</v>
      </c>
    </row>
    <row r="1237" spans="13:13" ht="15.75" x14ac:dyDescent="0.25">
      <c r="M1237" t="s">
        <v>161</v>
      </c>
    </row>
    <row r="1238" spans="13:13" ht="15.75" x14ac:dyDescent="0.25">
      <c r="M1238" t="s">
        <v>1215</v>
      </c>
    </row>
    <row r="1239" spans="13:13" ht="15.75" x14ac:dyDescent="0.25">
      <c r="M1239" t="s">
        <v>1216</v>
      </c>
    </row>
    <row r="1240" spans="13:13" ht="15.75" x14ac:dyDescent="0.25">
      <c r="M1240" t="s">
        <v>1216</v>
      </c>
    </row>
    <row r="1241" spans="13:13" ht="15.75" x14ac:dyDescent="0.25">
      <c r="M1241" t="s">
        <v>1061</v>
      </c>
    </row>
    <row r="1242" spans="13:13" ht="15.75" x14ac:dyDescent="0.25">
      <c r="M1242" t="s">
        <v>1217</v>
      </c>
    </row>
    <row r="1243" spans="13:13" ht="15.75" x14ac:dyDescent="0.25">
      <c r="M1243" t="s">
        <v>1218</v>
      </c>
    </row>
    <row r="1244" spans="13:13" ht="15.75" x14ac:dyDescent="0.25">
      <c r="M1244" t="s">
        <v>1219</v>
      </c>
    </row>
    <row r="1245" spans="13:13" ht="15.75" x14ac:dyDescent="0.25">
      <c r="M1245" t="s">
        <v>161</v>
      </c>
    </row>
    <row r="1246" spans="13:13" ht="15.75" x14ac:dyDescent="0.25">
      <c r="M1246" t="s">
        <v>1220</v>
      </c>
    </row>
    <row r="1247" spans="13:13" ht="15.75" x14ac:dyDescent="0.25">
      <c r="M1247" t="s">
        <v>1221</v>
      </c>
    </row>
    <row r="1248" spans="13:13" ht="15.75" x14ac:dyDescent="0.25">
      <c r="M1248" t="s">
        <v>1222</v>
      </c>
    </row>
    <row r="1249" spans="13:13" ht="15.75" x14ac:dyDescent="0.25">
      <c r="M1249" t="s">
        <v>1223</v>
      </c>
    </row>
    <row r="1250" spans="13:13" ht="15.75" x14ac:dyDescent="0.25">
      <c r="M1250" t="s">
        <v>1224</v>
      </c>
    </row>
    <row r="1251" spans="13:13" ht="15.75" x14ac:dyDescent="0.25">
      <c r="M1251" t="s">
        <v>1225</v>
      </c>
    </row>
    <row r="1252" spans="13:13" ht="15.75" x14ac:dyDescent="0.25">
      <c r="M1252" t="s">
        <v>1226</v>
      </c>
    </row>
    <row r="1253" spans="13:13" ht="15.75" x14ac:dyDescent="0.25">
      <c r="M1253" t="s">
        <v>1227</v>
      </c>
    </row>
    <row r="1254" spans="13:13" ht="15.75" x14ac:dyDescent="0.25">
      <c r="M1254" t="s">
        <v>1228</v>
      </c>
    </row>
    <row r="1255" spans="13:13" ht="15.75" x14ac:dyDescent="0.25">
      <c r="M1255" t="s">
        <v>1229</v>
      </c>
    </row>
    <row r="1256" spans="13:13" ht="15.75" x14ac:dyDescent="0.25">
      <c r="M1256" t="s">
        <v>161</v>
      </c>
    </row>
    <row r="1257" spans="13:13" ht="15.75" x14ac:dyDescent="0.25">
      <c r="M1257" t="s">
        <v>1230</v>
      </c>
    </row>
    <row r="1258" spans="13:13" ht="15.75" x14ac:dyDescent="0.25">
      <c r="M1258" t="s">
        <v>1231</v>
      </c>
    </row>
    <row r="1259" spans="13:13" ht="15.75" x14ac:dyDescent="0.25">
      <c r="M1259" t="s">
        <v>161</v>
      </c>
    </row>
    <row r="1260" spans="13:13" ht="15.75" x14ac:dyDescent="0.25">
      <c r="M1260" t="s">
        <v>1232</v>
      </c>
    </row>
    <row r="1261" spans="13:13" ht="15.75" x14ac:dyDescent="0.25">
      <c r="M1261" t="s">
        <v>1233</v>
      </c>
    </row>
    <row r="1262" spans="13:13" ht="15.75" x14ac:dyDescent="0.25">
      <c r="M1262" t="s">
        <v>41</v>
      </c>
    </row>
    <row r="1263" spans="13:13" ht="15.75" x14ac:dyDescent="0.25">
      <c r="M1263" t="s">
        <v>161</v>
      </c>
    </row>
    <row r="1264" spans="13:13" ht="15.75" x14ac:dyDescent="0.25">
      <c r="M1264" t="s">
        <v>1234</v>
      </c>
    </row>
    <row r="1265" spans="13:13" ht="15.75" x14ac:dyDescent="0.25">
      <c r="M1265" t="s">
        <v>1235</v>
      </c>
    </row>
    <row r="1266" spans="13:13" ht="15.75" x14ac:dyDescent="0.25">
      <c r="M1266" t="s">
        <v>1236</v>
      </c>
    </row>
    <row r="1267" spans="13:13" ht="15.75" x14ac:dyDescent="0.25">
      <c r="M1267" t="s">
        <v>1237</v>
      </c>
    </row>
    <row r="1268" spans="13:13" ht="15.75" x14ac:dyDescent="0.25">
      <c r="M1268" t="s">
        <v>1238</v>
      </c>
    </row>
    <row r="1269" spans="13:13" ht="15.75" x14ac:dyDescent="0.25">
      <c r="M1269" t="s">
        <v>161</v>
      </c>
    </row>
    <row r="1270" spans="13:13" ht="15.75" x14ac:dyDescent="0.25">
      <c r="M1270" t="s">
        <v>1239</v>
      </c>
    </row>
    <row r="1271" spans="13:13" ht="15.75" x14ac:dyDescent="0.25">
      <c r="M1271" t="s">
        <v>1240</v>
      </c>
    </row>
    <row r="1272" spans="13:13" ht="15.75" x14ac:dyDescent="0.25">
      <c r="M1272" t="s">
        <v>1241</v>
      </c>
    </row>
    <row r="1273" spans="13:13" ht="15.75" x14ac:dyDescent="0.25">
      <c r="M1273" t="s">
        <v>1242</v>
      </c>
    </row>
    <row r="1274" spans="13:13" ht="15.75" x14ac:dyDescent="0.25">
      <c r="M1274" t="s">
        <v>1243</v>
      </c>
    </row>
    <row r="1275" spans="13:13" ht="15.75" x14ac:dyDescent="0.25">
      <c r="M1275" t="s">
        <v>41</v>
      </c>
    </row>
    <row r="1276" spans="13:13" ht="15.75" x14ac:dyDescent="0.25">
      <c r="M1276" t="s">
        <v>1244</v>
      </c>
    </row>
    <row r="1277" spans="13:13" ht="15.75" x14ac:dyDescent="0.25">
      <c r="M1277" t="s">
        <v>1245</v>
      </c>
    </row>
    <row r="1278" spans="13:13" ht="15.75" x14ac:dyDescent="0.25">
      <c r="M1278" t="s">
        <v>1246</v>
      </c>
    </row>
    <row r="1279" spans="13:13" ht="15.75" x14ac:dyDescent="0.25">
      <c r="M1279" t="s">
        <v>1247</v>
      </c>
    </row>
    <row r="1280" spans="13:13" ht="15.75" x14ac:dyDescent="0.25">
      <c r="M1280" t="s">
        <v>1248</v>
      </c>
    </row>
    <row r="1281" spans="13:13" ht="15.75" x14ac:dyDescent="0.25">
      <c r="M1281" t="s">
        <v>1249</v>
      </c>
    </row>
    <row r="1282" spans="13:13" ht="15.75" x14ac:dyDescent="0.25">
      <c r="M1282" t="s">
        <v>953</v>
      </c>
    </row>
    <row r="1283" spans="13:13" ht="15.75" x14ac:dyDescent="0.25">
      <c r="M1283" t="s">
        <v>1250</v>
      </c>
    </row>
    <row r="1284" spans="13:13" ht="15.75" x14ac:dyDescent="0.25">
      <c r="M1284" t="s">
        <v>1251</v>
      </c>
    </row>
    <row r="1285" spans="13:13" ht="15.75" x14ac:dyDescent="0.25">
      <c r="M1285" t="s">
        <v>1252</v>
      </c>
    </row>
    <row r="1286" spans="13:13" ht="15.75" x14ac:dyDescent="0.25">
      <c r="M1286" t="s">
        <v>161</v>
      </c>
    </row>
    <row r="1287" spans="13:13" ht="15.75" x14ac:dyDescent="0.25">
      <c r="M1287" t="s">
        <v>161</v>
      </c>
    </row>
    <row r="1288" spans="13:13" ht="15.75" x14ac:dyDescent="0.25">
      <c r="M1288" t="s">
        <v>1253</v>
      </c>
    </row>
    <row r="1289" spans="13:13" ht="15.75" x14ac:dyDescent="0.25">
      <c r="M1289" t="s">
        <v>1254</v>
      </c>
    </row>
    <row r="1290" spans="13:13" ht="15.75" x14ac:dyDescent="0.25">
      <c r="M1290" t="s">
        <v>1255</v>
      </c>
    </row>
    <row r="1291" spans="13:13" ht="15.75" x14ac:dyDescent="0.25">
      <c r="M1291" t="s">
        <v>1256</v>
      </c>
    </row>
    <row r="1292" spans="13:13" ht="15.75" x14ac:dyDescent="0.25">
      <c r="M1292" t="s">
        <v>1257</v>
      </c>
    </row>
    <row r="1293" spans="13:13" ht="15.75" x14ac:dyDescent="0.25">
      <c r="M1293" t="s">
        <v>1258</v>
      </c>
    </row>
    <row r="1294" spans="13:13" ht="15.75" x14ac:dyDescent="0.25">
      <c r="M1294" t="s">
        <v>1259</v>
      </c>
    </row>
    <row r="1295" spans="13:13" ht="15.75" x14ac:dyDescent="0.25">
      <c r="M1295" t="s">
        <v>1260</v>
      </c>
    </row>
    <row r="1296" spans="13:13" ht="15.75" x14ac:dyDescent="0.25">
      <c r="M1296" t="s">
        <v>1261</v>
      </c>
    </row>
    <row r="1297" spans="13:13" ht="15.75" x14ac:dyDescent="0.25">
      <c r="M1297" t="s">
        <v>1262</v>
      </c>
    </row>
    <row r="1298" spans="13:13" ht="15.75" x14ac:dyDescent="0.25">
      <c r="M1298" t="s">
        <v>1263</v>
      </c>
    </row>
    <row r="1299" spans="13:13" ht="15.75" x14ac:dyDescent="0.25">
      <c r="M1299" t="s">
        <v>1264</v>
      </c>
    </row>
    <row r="1300" spans="13:13" ht="15.75" x14ac:dyDescent="0.25">
      <c r="M1300" t="s">
        <v>1090</v>
      </c>
    </row>
    <row r="1301" spans="13:13" ht="15.75" x14ac:dyDescent="0.25">
      <c r="M1301" t="s">
        <v>1265</v>
      </c>
    </row>
    <row r="1302" spans="13:13" ht="15.75" x14ac:dyDescent="0.25">
      <c r="M1302" t="s">
        <v>1266</v>
      </c>
    </row>
    <row r="1303" spans="13:13" ht="15.75" x14ac:dyDescent="0.25">
      <c r="M1303" t="s">
        <v>1267</v>
      </c>
    </row>
    <row r="1304" spans="13:13" ht="15.75" x14ac:dyDescent="0.25">
      <c r="M1304" t="s">
        <v>1268</v>
      </c>
    </row>
    <row r="1305" spans="13:13" ht="15.75" x14ac:dyDescent="0.25">
      <c r="M1305" t="s">
        <v>1269</v>
      </c>
    </row>
    <row r="1306" spans="13:13" ht="15.75" x14ac:dyDescent="0.25">
      <c r="M1306" t="s">
        <v>1270</v>
      </c>
    </row>
    <row r="1307" spans="13:13" ht="15.75" x14ac:dyDescent="0.25">
      <c r="M1307" t="s">
        <v>1271</v>
      </c>
    </row>
    <row r="1308" spans="13:13" ht="15.75" x14ac:dyDescent="0.25">
      <c r="M1308" t="s">
        <v>1272</v>
      </c>
    </row>
    <row r="1309" spans="13:13" ht="15.75" x14ac:dyDescent="0.25">
      <c r="M1309" t="s">
        <v>1273</v>
      </c>
    </row>
    <row r="1310" spans="13:13" ht="15.75" x14ac:dyDescent="0.25">
      <c r="M1310" t="s">
        <v>1274</v>
      </c>
    </row>
    <row r="1311" spans="13:13" ht="15.75" x14ac:dyDescent="0.25">
      <c r="M1311" t="s">
        <v>1275</v>
      </c>
    </row>
    <row r="1312" spans="13:13" ht="15.75" x14ac:dyDescent="0.25">
      <c r="M1312" t="s">
        <v>1276</v>
      </c>
    </row>
    <row r="1313" spans="13:13" ht="15.75" x14ac:dyDescent="0.25">
      <c r="M1313" t="s">
        <v>161</v>
      </c>
    </row>
    <row r="1314" spans="13:13" ht="15.75" x14ac:dyDescent="0.25">
      <c r="M1314" t="s">
        <v>1277</v>
      </c>
    </row>
    <row r="1315" spans="13:13" ht="15.75" x14ac:dyDescent="0.25">
      <c r="M1315" t="s">
        <v>1278</v>
      </c>
    </row>
    <row r="1316" spans="13:13" ht="15.75" x14ac:dyDescent="0.25">
      <c r="M1316" t="s">
        <v>1279</v>
      </c>
    </row>
    <row r="1317" spans="13:13" ht="15.75" x14ac:dyDescent="0.25">
      <c r="M1317" t="s">
        <v>1280</v>
      </c>
    </row>
    <row r="1318" spans="13:13" ht="15.75" x14ac:dyDescent="0.25">
      <c r="M1318" t="s">
        <v>1281</v>
      </c>
    </row>
    <row r="1319" spans="13:13" ht="15.75" x14ac:dyDescent="0.25">
      <c r="M1319" t="s">
        <v>1282</v>
      </c>
    </row>
    <row r="1320" spans="13:13" ht="15.75" x14ac:dyDescent="0.25">
      <c r="M1320" t="s">
        <v>1283</v>
      </c>
    </row>
    <row r="1321" spans="13:13" ht="15.75" x14ac:dyDescent="0.25">
      <c r="M1321" t="s">
        <v>333</v>
      </c>
    </row>
    <row r="1322" spans="13:13" ht="15.75" x14ac:dyDescent="0.25">
      <c r="M1322" t="s">
        <v>161</v>
      </c>
    </row>
    <row r="1323" spans="13:13" ht="15.75" x14ac:dyDescent="0.25">
      <c r="M1323" t="s">
        <v>1284</v>
      </c>
    </row>
    <row r="1324" spans="13:13" ht="15.75" x14ac:dyDescent="0.25">
      <c r="M1324" t="s">
        <v>161</v>
      </c>
    </row>
    <row r="1325" spans="13:13" ht="15.75" x14ac:dyDescent="0.25">
      <c r="M1325" t="s">
        <v>1285</v>
      </c>
    </row>
    <row r="1326" spans="13:13" ht="15.75" x14ac:dyDescent="0.25">
      <c r="M1326" t="s">
        <v>1286</v>
      </c>
    </row>
    <row r="1327" spans="13:13" ht="15.75" x14ac:dyDescent="0.25">
      <c r="M1327" t="s">
        <v>161</v>
      </c>
    </row>
    <row r="1328" spans="13:13" ht="15.75" x14ac:dyDescent="0.25">
      <c r="M1328" t="s">
        <v>1287</v>
      </c>
    </row>
    <row r="1329" spans="13:13" ht="15.75" x14ac:dyDescent="0.25">
      <c r="M1329" t="s">
        <v>1288</v>
      </c>
    </row>
    <row r="1330" spans="13:13" ht="15.75" x14ac:dyDescent="0.25">
      <c r="M1330" t="s">
        <v>1289</v>
      </c>
    </row>
    <row r="1331" spans="13:13" ht="15.75" x14ac:dyDescent="0.25">
      <c r="M1331" t="s">
        <v>1290</v>
      </c>
    </row>
    <row r="1332" spans="13:13" ht="15.75" x14ac:dyDescent="0.25">
      <c r="M1332" t="s">
        <v>1291</v>
      </c>
    </row>
    <row r="1333" spans="13:13" ht="15.75" x14ac:dyDescent="0.25">
      <c r="M1333" t="s">
        <v>1292</v>
      </c>
    </row>
    <row r="1334" spans="13:13" ht="15.75" x14ac:dyDescent="0.25">
      <c r="M1334" t="s">
        <v>1293</v>
      </c>
    </row>
    <row r="1335" spans="13:13" ht="15.75" x14ac:dyDescent="0.25">
      <c r="M1335" t="s">
        <v>1294</v>
      </c>
    </row>
    <row r="1336" spans="13:13" ht="15.75" x14ac:dyDescent="0.25">
      <c r="M1336" t="s">
        <v>1295</v>
      </c>
    </row>
    <row r="1337" spans="13:13" ht="15.75" x14ac:dyDescent="0.25">
      <c r="M1337" t="s">
        <v>1296</v>
      </c>
    </row>
    <row r="1338" spans="13:13" ht="15.75" x14ac:dyDescent="0.25">
      <c r="M1338" t="s">
        <v>1297</v>
      </c>
    </row>
    <row r="1339" spans="13:13" ht="15.75" x14ac:dyDescent="0.25">
      <c r="M1339" t="s">
        <v>1298</v>
      </c>
    </row>
    <row r="1340" spans="13:13" ht="15.75" x14ac:dyDescent="0.25">
      <c r="M1340" t="s">
        <v>1299</v>
      </c>
    </row>
    <row r="1341" spans="13:13" ht="15.75" x14ac:dyDescent="0.25">
      <c r="M1341" t="s">
        <v>1300</v>
      </c>
    </row>
    <row r="1342" spans="13:13" ht="15.75" x14ac:dyDescent="0.25">
      <c r="M1342" t="s">
        <v>1301</v>
      </c>
    </row>
    <row r="1343" spans="13:13" ht="15.75" x14ac:dyDescent="0.25">
      <c r="M1343" t="s">
        <v>1302</v>
      </c>
    </row>
    <row r="1344" spans="13:13" ht="15.75" x14ac:dyDescent="0.25">
      <c r="M1344" t="s">
        <v>1303</v>
      </c>
    </row>
    <row r="1345" spans="13:13" ht="15.75" x14ac:dyDescent="0.25">
      <c r="M1345" t="s">
        <v>93</v>
      </c>
    </row>
    <row r="1346" spans="13:13" ht="15.75" x14ac:dyDescent="0.25">
      <c r="M1346" t="s">
        <v>1304</v>
      </c>
    </row>
    <row r="1347" spans="13:13" ht="15.75" x14ac:dyDescent="0.25">
      <c r="M1347" t="s">
        <v>1305</v>
      </c>
    </row>
    <row r="1348" spans="13:13" ht="15.75" x14ac:dyDescent="0.25">
      <c r="M1348" t="s">
        <v>286</v>
      </c>
    </row>
    <row r="1349" spans="13:13" ht="15.75" x14ac:dyDescent="0.25">
      <c r="M1349" t="s">
        <v>1306</v>
      </c>
    </row>
    <row r="1350" spans="13:13" ht="15.75" x14ac:dyDescent="0.25">
      <c r="M1350" t="s">
        <v>161</v>
      </c>
    </row>
    <row r="1351" spans="13:13" ht="15.75" x14ac:dyDescent="0.25">
      <c r="M1351" t="s">
        <v>1307</v>
      </c>
    </row>
    <row r="1352" spans="13:13" ht="15.75" x14ac:dyDescent="0.25">
      <c r="M1352" t="s">
        <v>1308</v>
      </c>
    </row>
    <row r="1353" spans="13:13" ht="15.75" x14ac:dyDescent="0.25">
      <c r="M1353" t="s">
        <v>1309</v>
      </c>
    </row>
    <row r="1354" spans="13:13" ht="15.75" x14ac:dyDescent="0.25">
      <c r="M1354" t="s">
        <v>1310</v>
      </c>
    </row>
    <row r="1355" spans="13:13" ht="15.75" x14ac:dyDescent="0.25">
      <c r="M1355" t="s">
        <v>41</v>
      </c>
    </row>
    <row r="1356" spans="13:13" ht="15.75" x14ac:dyDescent="0.25">
      <c r="M1356" t="s">
        <v>41</v>
      </c>
    </row>
    <row r="1357" spans="13:13" ht="15.75" x14ac:dyDescent="0.25">
      <c r="M1357" t="s">
        <v>1311</v>
      </c>
    </row>
    <row r="1358" spans="13:13" ht="15.75" x14ac:dyDescent="0.25">
      <c r="M1358" t="s">
        <v>1312</v>
      </c>
    </row>
    <row r="1359" spans="13:13" ht="15.75" x14ac:dyDescent="0.25">
      <c r="M1359" t="s">
        <v>1313</v>
      </c>
    </row>
    <row r="1360" spans="13:13" ht="15.75" x14ac:dyDescent="0.25">
      <c r="M1360" t="s">
        <v>1314</v>
      </c>
    </row>
    <row r="1361" spans="13:13" ht="15.75" x14ac:dyDescent="0.25">
      <c r="M1361" t="s">
        <v>161</v>
      </c>
    </row>
    <row r="1362" spans="13:13" ht="15.75" x14ac:dyDescent="0.25">
      <c r="M1362" t="s">
        <v>1315</v>
      </c>
    </row>
    <row r="1363" spans="13:13" ht="15.75" x14ac:dyDescent="0.25">
      <c r="M1363" t="s">
        <v>1316</v>
      </c>
    </row>
    <row r="1364" spans="13:13" ht="15.75" x14ac:dyDescent="0.25">
      <c r="M1364" t="s">
        <v>1317</v>
      </c>
    </row>
    <row r="1365" spans="13:13" ht="15.75" x14ac:dyDescent="0.25">
      <c r="M1365" t="s">
        <v>1318</v>
      </c>
    </row>
    <row r="1366" spans="13:13" ht="15.75" x14ac:dyDescent="0.25">
      <c r="M1366" t="s">
        <v>1319</v>
      </c>
    </row>
    <row r="1367" spans="13:13" ht="15.75" x14ac:dyDescent="0.25">
      <c r="M1367" t="s">
        <v>1320</v>
      </c>
    </row>
    <row r="1368" spans="13:13" ht="15.75" x14ac:dyDescent="0.25">
      <c r="M1368" t="s">
        <v>1321</v>
      </c>
    </row>
    <row r="1369" spans="13:13" ht="15.75" x14ac:dyDescent="0.25">
      <c r="M1369" t="s">
        <v>1322</v>
      </c>
    </row>
    <row r="1370" spans="13:13" ht="15.75" x14ac:dyDescent="0.25">
      <c r="M1370" t="s">
        <v>1323</v>
      </c>
    </row>
    <row r="1371" spans="13:13" ht="15.75" x14ac:dyDescent="0.25">
      <c r="M1371" t="s">
        <v>1324</v>
      </c>
    </row>
    <row r="1372" spans="13:13" ht="15.75" x14ac:dyDescent="0.25">
      <c r="M1372" t="s">
        <v>1325</v>
      </c>
    </row>
    <row r="1373" spans="13:13" ht="15.75" x14ac:dyDescent="0.25">
      <c r="M1373" t="s">
        <v>41</v>
      </c>
    </row>
    <row r="1374" spans="13:13" ht="15.75" x14ac:dyDescent="0.25">
      <c r="M1374" t="s">
        <v>1326</v>
      </c>
    </row>
    <row r="1375" spans="13:13" ht="15.75" x14ac:dyDescent="0.25">
      <c r="M1375" t="s">
        <v>1327</v>
      </c>
    </row>
    <row r="1376" spans="13:13" ht="15.75" x14ac:dyDescent="0.25">
      <c r="M1376" t="s">
        <v>1328</v>
      </c>
    </row>
    <row r="1377" spans="13:13" ht="15.75" x14ac:dyDescent="0.25">
      <c r="M1377" t="s">
        <v>1329</v>
      </c>
    </row>
    <row r="1378" spans="13:13" ht="15.75" x14ac:dyDescent="0.25">
      <c r="M1378" t="s">
        <v>1330</v>
      </c>
    </row>
    <row r="1379" spans="13:13" ht="15.75" x14ac:dyDescent="0.25">
      <c r="M1379" t="s">
        <v>1331</v>
      </c>
    </row>
    <row r="1380" spans="13:13" ht="15.75" x14ac:dyDescent="0.25">
      <c r="M1380" t="s">
        <v>1332</v>
      </c>
    </row>
    <row r="1381" spans="13:13" ht="15.75" x14ac:dyDescent="0.25">
      <c r="M1381" t="s">
        <v>1333</v>
      </c>
    </row>
    <row r="1382" spans="13:13" ht="15.75" x14ac:dyDescent="0.25">
      <c r="M1382" t="s">
        <v>1334</v>
      </c>
    </row>
    <row r="1383" spans="13:13" ht="15.75" x14ac:dyDescent="0.25">
      <c r="M1383" t="s">
        <v>1335</v>
      </c>
    </row>
    <row r="1384" spans="13:13" ht="15.75" x14ac:dyDescent="0.25">
      <c r="M1384" t="s">
        <v>1336</v>
      </c>
    </row>
    <row r="1385" spans="13:13" ht="15.75" x14ac:dyDescent="0.25">
      <c r="M1385" t="s">
        <v>1337</v>
      </c>
    </row>
    <row r="1386" spans="13:13" ht="15.75" x14ac:dyDescent="0.25">
      <c r="M1386" t="s">
        <v>1338</v>
      </c>
    </row>
    <row r="1387" spans="13:13" ht="15.75" x14ac:dyDescent="0.25">
      <c r="M1387" t="s">
        <v>1339</v>
      </c>
    </row>
    <row r="1388" spans="13:13" ht="15.75" x14ac:dyDescent="0.25">
      <c r="M1388" t="s">
        <v>1340</v>
      </c>
    </row>
    <row r="1389" spans="13:13" ht="15.75" x14ac:dyDescent="0.25">
      <c r="M1389" t="s">
        <v>1341</v>
      </c>
    </row>
    <row r="1390" spans="13:13" ht="15.75" x14ac:dyDescent="0.25">
      <c r="M1390" t="s">
        <v>1342</v>
      </c>
    </row>
    <row r="1391" spans="13:13" ht="15.75" x14ac:dyDescent="0.25">
      <c r="M1391" t="s">
        <v>1343</v>
      </c>
    </row>
    <row r="1392" spans="13:13" ht="15.75" x14ac:dyDescent="0.25">
      <c r="M1392" t="s">
        <v>1090</v>
      </c>
    </row>
    <row r="1393" spans="13:13" ht="15.75" x14ac:dyDescent="0.25">
      <c r="M1393" t="s">
        <v>1344</v>
      </c>
    </row>
    <row r="1394" spans="13:13" ht="15.75" x14ac:dyDescent="0.25">
      <c r="M1394" t="s">
        <v>1345</v>
      </c>
    </row>
    <row r="1395" spans="13:13" ht="15.75" x14ac:dyDescent="0.25">
      <c r="M1395" t="s">
        <v>1345</v>
      </c>
    </row>
    <row r="1396" spans="13:13" ht="15.75" x14ac:dyDescent="0.25">
      <c r="M1396" t="s">
        <v>1346</v>
      </c>
    </row>
    <row r="1397" spans="13:13" ht="15.75" x14ac:dyDescent="0.25">
      <c r="M1397" t="s">
        <v>1347</v>
      </c>
    </row>
    <row r="1398" spans="13:13" ht="15.75" x14ac:dyDescent="0.25">
      <c r="M1398" t="s">
        <v>1348</v>
      </c>
    </row>
    <row r="1399" spans="13:13" ht="15.75" x14ac:dyDescent="0.25">
      <c r="M1399" t="s">
        <v>1349</v>
      </c>
    </row>
    <row r="1400" spans="13:13" ht="15.75" x14ac:dyDescent="0.25">
      <c r="M1400" t="s">
        <v>1350</v>
      </c>
    </row>
    <row r="1401" spans="13:13" ht="15.75" x14ac:dyDescent="0.25">
      <c r="M1401" t="s">
        <v>1351</v>
      </c>
    </row>
    <row r="1402" spans="13:13" ht="15.75" x14ac:dyDescent="0.25">
      <c r="M1402" t="s">
        <v>1352</v>
      </c>
    </row>
    <row r="1403" spans="13:13" ht="15.75" x14ac:dyDescent="0.25">
      <c r="M1403" t="s">
        <v>1353</v>
      </c>
    </row>
    <row r="1404" spans="13:13" ht="15.75" x14ac:dyDescent="0.25">
      <c r="M1404" t="s">
        <v>259</v>
      </c>
    </row>
    <row r="1405" spans="13:13" ht="15.75" x14ac:dyDescent="0.25">
      <c r="M1405" t="s">
        <v>1354</v>
      </c>
    </row>
    <row r="1406" spans="13:13" ht="15.75" x14ac:dyDescent="0.25">
      <c r="M1406" t="s">
        <v>41</v>
      </c>
    </row>
    <row r="1407" spans="13:13" ht="15.75" x14ac:dyDescent="0.25">
      <c r="M1407" t="s">
        <v>1355</v>
      </c>
    </row>
    <row r="1408" spans="13:13" ht="15.75" x14ac:dyDescent="0.25">
      <c r="M1408" t="s">
        <v>100</v>
      </c>
    </row>
    <row r="1409" spans="13:13" ht="15.75" x14ac:dyDescent="0.25">
      <c r="M1409" t="s">
        <v>1356</v>
      </c>
    </row>
    <row r="1410" spans="13:13" ht="15.75" x14ac:dyDescent="0.25">
      <c r="M1410" t="s">
        <v>1357</v>
      </c>
    </row>
    <row r="1411" spans="13:13" ht="15.75" x14ac:dyDescent="0.25">
      <c r="M1411" t="s">
        <v>1358</v>
      </c>
    </row>
    <row r="1412" spans="13:13" ht="15.75" x14ac:dyDescent="0.25">
      <c r="M1412" t="s">
        <v>1359</v>
      </c>
    </row>
    <row r="1413" spans="13:13" ht="15.75" x14ac:dyDescent="0.25">
      <c r="M1413" t="s">
        <v>1360</v>
      </c>
    </row>
    <row r="1414" spans="13:13" ht="15.75" x14ac:dyDescent="0.25">
      <c r="M1414" t="s">
        <v>1361</v>
      </c>
    </row>
    <row r="1415" spans="13:13" ht="15.75" x14ac:dyDescent="0.25">
      <c r="M1415" t="s">
        <v>1362</v>
      </c>
    </row>
    <row r="1416" spans="13:13" ht="15.75" x14ac:dyDescent="0.25">
      <c r="M1416" t="s">
        <v>1363</v>
      </c>
    </row>
    <row r="1417" spans="13:13" ht="15.75" x14ac:dyDescent="0.25">
      <c r="M1417" t="s">
        <v>1364</v>
      </c>
    </row>
    <row r="1418" spans="13:13" ht="15.75" x14ac:dyDescent="0.25">
      <c r="M1418" t="s">
        <v>1365</v>
      </c>
    </row>
    <row r="1419" spans="13:13" ht="15.75" x14ac:dyDescent="0.25">
      <c r="M1419" t="s">
        <v>1366</v>
      </c>
    </row>
    <row r="1420" spans="13:13" ht="15.75" x14ac:dyDescent="0.25">
      <c r="M1420" t="s">
        <v>1367</v>
      </c>
    </row>
    <row r="1421" spans="13:13" ht="15.75" x14ac:dyDescent="0.25">
      <c r="M1421" t="s">
        <v>1368</v>
      </c>
    </row>
    <row r="1422" spans="13:13" ht="15.75" x14ac:dyDescent="0.25">
      <c r="M1422" t="s">
        <v>1369</v>
      </c>
    </row>
    <row r="1423" spans="13:13" ht="15.75" x14ac:dyDescent="0.25">
      <c r="M1423" t="s">
        <v>1370</v>
      </c>
    </row>
    <row r="1424" spans="13:13" ht="15.75" x14ac:dyDescent="0.25">
      <c r="M1424" t="s">
        <v>889</v>
      </c>
    </row>
    <row r="1425" spans="13:13" ht="15.75" x14ac:dyDescent="0.25">
      <c r="M1425" t="s">
        <v>1371</v>
      </c>
    </row>
    <row r="1426" spans="13:13" ht="15.75" x14ac:dyDescent="0.25">
      <c r="M1426" t="s">
        <v>1372</v>
      </c>
    </row>
    <row r="1427" spans="13:13" ht="15.75" x14ac:dyDescent="0.25">
      <c r="M1427" t="s">
        <v>1373</v>
      </c>
    </row>
    <row r="1428" spans="13:13" ht="15.75" x14ac:dyDescent="0.25">
      <c r="M1428" t="s">
        <v>1374</v>
      </c>
    </row>
    <row r="1429" spans="13:13" ht="15.75" x14ac:dyDescent="0.25">
      <c r="M1429" t="s">
        <v>1375</v>
      </c>
    </row>
    <row r="1430" spans="13:13" ht="15.75" x14ac:dyDescent="0.25">
      <c r="M1430" t="s">
        <v>1376</v>
      </c>
    </row>
    <row r="1431" spans="13:13" ht="15.75" x14ac:dyDescent="0.25">
      <c r="M1431" t="s">
        <v>1377</v>
      </c>
    </row>
    <row r="1432" spans="13:13" ht="15.75" x14ac:dyDescent="0.25">
      <c r="M1432" t="s">
        <v>1378</v>
      </c>
    </row>
    <row r="1433" spans="13:13" ht="15.75" x14ac:dyDescent="0.25">
      <c r="M1433" t="s">
        <v>1379</v>
      </c>
    </row>
    <row r="1434" spans="13:13" ht="15.75" x14ac:dyDescent="0.25">
      <c r="M1434" t="s">
        <v>1380</v>
      </c>
    </row>
    <row r="1435" spans="13:13" ht="15.75" x14ac:dyDescent="0.25">
      <c r="M1435" t="s">
        <v>41</v>
      </c>
    </row>
    <row r="1436" spans="13:13" ht="15.75" x14ac:dyDescent="0.25">
      <c r="M1436" t="s">
        <v>1381</v>
      </c>
    </row>
    <row r="1437" spans="13:13" ht="15.75" x14ac:dyDescent="0.25">
      <c r="M1437" t="s">
        <v>1382</v>
      </c>
    </row>
    <row r="1438" spans="13:13" ht="15.75" x14ac:dyDescent="0.25">
      <c r="M1438" t="s">
        <v>1383</v>
      </c>
    </row>
    <row r="1439" spans="13:13" ht="15.75" x14ac:dyDescent="0.25">
      <c r="M1439" t="s">
        <v>1384</v>
      </c>
    </row>
    <row r="1440" spans="13:13" ht="15.75" x14ac:dyDescent="0.25">
      <c r="M1440" t="s">
        <v>1385</v>
      </c>
    </row>
    <row r="1441" spans="13:13" ht="15.75" x14ac:dyDescent="0.25">
      <c r="M1441" t="s">
        <v>1386</v>
      </c>
    </row>
    <row r="1442" spans="13:13" ht="15.75" x14ac:dyDescent="0.25">
      <c r="M1442" t="s">
        <v>1387</v>
      </c>
    </row>
    <row r="1443" spans="13:13" ht="15.75" x14ac:dyDescent="0.25">
      <c r="M1443" t="s">
        <v>1388</v>
      </c>
    </row>
    <row r="1444" spans="13:13" ht="15.75" x14ac:dyDescent="0.25">
      <c r="M1444" t="s">
        <v>1389</v>
      </c>
    </row>
    <row r="1445" spans="13:13" ht="15.75" x14ac:dyDescent="0.25">
      <c r="M1445" t="s">
        <v>1390</v>
      </c>
    </row>
    <row r="1446" spans="13:13" ht="15.75" x14ac:dyDescent="0.25">
      <c r="M1446" t="s">
        <v>1391</v>
      </c>
    </row>
    <row r="1447" spans="13:13" ht="15.75" x14ac:dyDescent="0.25">
      <c r="M1447" t="s">
        <v>1392</v>
      </c>
    </row>
    <row r="1448" spans="13:13" ht="15.75" x14ac:dyDescent="0.25">
      <c r="M1448" t="s">
        <v>92</v>
      </c>
    </row>
    <row r="1449" spans="13:13" ht="15.75" x14ac:dyDescent="0.25">
      <c r="M1449" t="s">
        <v>1393</v>
      </c>
    </row>
    <row r="1450" spans="13:13" ht="15.75" x14ac:dyDescent="0.25">
      <c r="M1450" t="s">
        <v>1394</v>
      </c>
    </row>
    <row r="1451" spans="13:13" ht="15.75" x14ac:dyDescent="0.25">
      <c r="M1451" t="s">
        <v>1395</v>
      </c>
    </row>
    <row r="1452" spans="13:13" ht="15.75" x14ac:dyDescent="0.25">
      <c r="M1452" t="s">
        <v>1396</v>
      </c>
    </row>
    <row r="1453" spans="13:13" ht="15.75" x14ac:dyDescent="0.25">
      <c r="M1453" t="s">
        <v>333</v>
      </c>
    </row>
    <row r="1454" spans="13:13" ht="15.75" x14ac:dyDescent="0.25">
      <c r="M1454" t="s">
        <v>1397</v>
      </c>
    </row>
    <row r="1455" spans="13:13" ht="15.75" x14ac:dyDescent="0.25">
      <c r="M1455" t="s">
        <v>1398</v>
      </c>
    </row>
    <row r="1456" spans="13:13" ht="15.75" x14ac:dyDescent="0.25">
      <c r="M1456" t="s">
        <v>1399</v>
      </c>
    </row>
    <row r="1457" spans="13:13" ht="15.75" x14ac:dyDescent="0.25">
      <c r="M1457" t="s">
        <v>1400</v>
      </c>
    </row>
    <row r="1458" spans="13:13" ht="15.75" x14ac:dyDescent="0.25">
      <c r="M1458" t="s">
        <v>1401</v>
      </c>
    </row>
    <row r="1459" spans="13:13" ht="15.75" x14ac:dyDescent="0.25">
      <c r="M1459" t="s">
        <v>1402</v>
      </c>
    </row>
    <row r="1460" spans="13:13" ht="15.75" x14ac:dyDescent="0.25">
      <c r="M1460" t="s">
        <v>1403</v>
      </c>
    </row>
    <row r="1461" spans="13:13" ht="15.75" x14ac:dyDescent="0.25">
      <c r="M1461" t="s">
        <v>1404</v>
      </c>
    </row>
    <row r="1462" spans="13:13" ht="15.75" x14ac:dyDescent="0.25">
      <c r="M1462" t="s">
        <v>1405</v>
      </c>
    </row>
    <row r="1463" spans="13:13" ht="15.75" x14ac:dyDescent="0.25">
      <c r="M1463" t="s">
        <v>1406</v>
      </c>
    </row>
    <row r="1464" spans="13:13" ht="15.75" x14ac:dyDescent="0.25">
      <c r="M1464" t="s">
        <v>1407</v>
      </c>
    </row>
    <row r="1465" spans="13:13" ht="15.75" x14ac:dyDescent="0.25">
      <c r="M1465" t="s">
        <v>1199</v>
      </c>
    </row>
    <row r="1466" spans="13:13" ht="15.75" x14ac:dyDescent="0.25">
      <c r="M1466" t="s">
        <v>1408</v>
      </c>
    </row>
    <row r="1467" spans="13:13" ht="15.75" x14ac:dyDescent="0.25">
      <c r="M1467" t="s">
        <v>1409</v>
      </c>
    </row>
    <row r="1468" spans="13:13" ht="15.75" x14ac:dyDescent="0.25">
      <c r="M1468" t="s">
        <v>1410</v>
      </c>
    </row>
    <row r="1469" spans="13:13" ht="15.75" x14ac:dyDescent="0.25">
      <c r="M1469" t="s">
        <v>1411</v>
      </c>
    </row>
    <row r="1470" spans="13:13" ht="15.75" x14ac:dyDescent="0.25">
      <c r="M1470" t="s">
        <v>1412</v>
      </c>
    </row>
    <row r="1471" spans="13:13" ht="15.75" x14ac:dyDescent="0.25">
      <c r="M1471" t="s">
        <v>1413</v>
      </c>
    </row>
    <row r="1472" spans="13:13" ht="15.75" x14ac:dyDescent="0.25">
      <c r="M1472" t="s">
        <v>1087</v>
      </c>
    </row>
    <row r="1473" spans="13:13" ht="15.75" x14ac:dyDescent="0.25">
      <c r="M1473" t="s">
        <v>1414</v>
      </c>
    </row>
    <row r="1474" spans="13:13" ht="15.75" x14ac:dyDescent="0.25">
      <c r="M1474" t="s">
        <v>1415</v>
      </c>
    </row>
    <row r="1475" spans="13:13" ht="15.75" x14ac:dyDescent="0.25">
      <c r="M1475" t="s">
        <v>1416</v>
      </c>
    </row>
    <row r="1476" spans="13:13" ht="15.75" x14ac:dyDescent="0.25">
      <c r="M1476" t="s">
        <v>1417</v>
      </c>
    </row>
    <row r="1477" spans="13:13" ht="15.75" x14ac:dyDescent="0.25">
      <c r="M1477" t="s">
        <v>1418</v>
      </c>
    </row>
    <row r="1478" spans="13:13" ht="15.75" x14ac:dyDescent="0.25">
      <c r="M1478" t="s">
        <v>1419</v>
      </c>
    </row>
    <row r="1479" spans="13:13" ht="15.75" x14ac:dyDescent="0.25">
      <c r="M1479" t="s">
        <v>1420</v>
      </c>
    </row>
    <row r="1480" spans="13:13" ht="15.75" x14ac:dyDescent="0.25">
      <c r="M1480" t="s">
        <v>1421</v>
      </c>
    </row>
    <row r="1481" spans="13:13" ht="15.75" x14ac:dyDescent="0.25">
      <c r="M1481" t="s">
        <v>1422</v>
      </c>
    </row>
    <row r="1482" spans="13:13" ht="15.75" x14ac:dyDescent="0.25">
      <c r="M1482" t="s">
        <v>423</v>
      </c>
    </row>
    <row r="1483" spans="13:13" ht="15.75" x14ac:dyDescent="0.25">
      <c r="M1483" t="s">
        <v>1423</v>
      </c>
    </row>
    <row r="1484" spans="13:13" ht="15.75" x14ac:dyDescent="0.25">
      <c r="M1484" t="s">
        <v>1424</v>
      </c>
    </row>
    <row r="1485" spans="13:13" ht="15.75" x14ac:dyDescent="0.25">
      <c r="M1485" t="s">
        <v>1425</v>
      </c>
    </row>
    <row r="1486" spans="13:13" ht="15.75" x14ac:dyDescent="0.25">
      <c r="M1486" t="s">
        <v>1426</v>
      </c>
    </row>
    <row r="1487" spans="13:13" ht="15.75" x14ac:dyDescent="0.25">
      <c r="M1487" t="s">
        <v>1427</v>
      </c>
    </row>
    <row r="1488" spans="13:13" ht="15.75" x14ac:dyDescent="0.25">
      <c r="M1488" t="s">
        <v>1428</v>
      </c>
    </row>
    <row r="1489" spans="13:13" ht="15.75" x14ac:dyDescent="0.25">
      <c r="M1489" t="s">
        <v>1429</v>
      </c>
    </row>
    <row r="1490" spans="13:13" ht="15.75" x14ac:dyDescent="0.25">
      <c r="M1490" t="s">
        <v>1430</v>
      </c>
    </row>
    <row r="1491" spans="13:13" ht="15.75" x14ac:dyDescent="0.25">
      <c r="M1491" t="s">
        <v>1431</v>
      </c>
    </row>
    <row r="1492" spans="13:13" ht="15.75" x14ac:dyDescent="0.25">
      <c r="M1492" t="s">
        <v>1432</v>
      </c>
    </row>
    <row r="1493" spans="13:13" ht="15.75" x14ac:dyDescent="0.25">
      <c r="M1493" t="s">
        <v>1433</v>
      </c>
    </row>
    <row r="1494" spans="13:13" ht="15.75" x14ac:dyDescent="0.25">
      <c r="M1494" t="s">
        <v>1434</v>
      </c>
    </row>
    <row r="1495" spans="13:13" ht="15.75" x14ac:dyDescent="0.25">
      <c r="M1495" t="s">
        <v>1435</v>
      </c>
    </row>
    <row r="1496" spans="13:13" ht="15.75" x14ac:dyDescent="0.25">
      <c r="M1496" t="s">
        <v>161</v>
      </c>
    </row>
    <row r="1497" spans="13:13" ht="15.75" x14ac:dyDescent="0.25">
      <c r="M1497" t="s">
        <v>1436</v>
      </c>
    </row>
    <row r="1498" spans="13:13" ht="15.75" x14ac:dyDescent="0.25">
      <c r="M1498" t="s">
        <v>1437</v>
      </c>
    </row>
    <row r="1499" spans="13:13" ht="15.75" x14ac:dyDescent="0.25">
      <c r="M1499" t="s">
        <v>849</v>
      </c>
    </row>
    <row r="1500" spans="13:13" ht="15.75" x14ac:dyDescent="0.25">
      <c r="M1500" t="s">
        <v>1438</v>
      </c>
    </row>
    <row r="1501" spans="13:13" ht="15.75" x14ac:dyDescent="0.25">
      <c r="M1501" t="s">
        <v>1439</v>
      </c>
    </row>
    <row r="1502" spans="13:13" ht="15.75" x14ac:dyDescent="0.25">
      <c r="M1502" t="s">
        <v>1440</v>
      </c>
    </row>
    <row r="1503" spans="13:13" ht="15.75" x14ac:dyDescent="0.25">
      <c r="M1503" t="s">
        <v>1441</v>
      </c>
    </row>
    <row r="1504" spans="13:13" ht="15.75" x14ac:dyDescent="0.25">
      <c r="M1504" t="s">
        <v>1442</v>
      </c>
    </row>
    <row r="1505" spans="13:13" ht="15.75" x14ac:dyDescent="0.25">
      <c r="M1505" t="s">
        <v>1443</v>
      </c>
    </row>
    <row r="1506" spans="13:13" ht="15.75" x14ac:dyDescent="0.25">
      <c r="M1506" t="s">
        <v>1444</v>
      </c>
    </row>
    <row r="1507" spans="13:13" ht="15.75" x14ac:dyDescent="0.25">
      <c r="M1507" t="s">
        <v>1445</v>
      </c>
    </row>
    <row r="1508" spans="13:13" ht="15.75" x14ac:dyDescent="0.25">
      <c r="M1508" t="s">
        <v>1446</v>
      </c>
    </row>
    <row r="1509" spans="13:13" ht="15.75" x14ac:dyDescent="0.25">
      <c r="M1509" t="s">
        <v>1447</v>
      </c>
    </row>
    <row r="1510" spans="13:13" ht="15.75" x14ac:dyDescent="0.25">
      <c r="M1510" t="s">
        <v>1448</v>
      </c>
    </row>
    <row r="1511" spans="13:13" ht="15.75" x14ac:dyDescent="0.25">
      <c r="M1511" t="s">
        <v>1449</v>
      </c>
    </row>
    <row r="1512" spans="13:13" ht="15.75" x14ac:dyDescent="0.25">
      <c r="M1512" t="s">
        <v>1450</v>
      </c>
    </row>
    <row r="1513" spans="13:13" ht="15.75" x14ac:dyDescent="0.25">
      <c r="M1513" t="s">
        <v>1451</v>
      </c>
    </row>
    <row r="1514" spans="13:13" ht="15.75" x14ac:dyDescent="0.25">
      <c r="M1514" t="s">
        <v>1452</v>
      </c>
    </row>
    <row r="1515" spans="13:13" ht="15.75" x14ac:dyDescent="0.25">
      <c r="M1515" t="s">
        <v>1453</v>
      </c>
    </row>
    <row r="1516" spans="13:13" ht="15.75" x14ac:dyDescent="0.25">
      <c r="M1516" t="s">
        <v>1454</v>
      </c>
    </row>
    <row r="1517" spans="13:13" ht="15.75" x14ac:dyDescent="0.25">
      <c r="M1517" t="s">
        <v>1455</v>
      </c>
    </row>
    <row r="1518" spans="13:13" ht="15.75" x14ac:dyDescent="0.25">
      <c r="M1518" t="s">
        <v>1456</v>
      </c>
    </row>
    <row r="1519" spans="13:13" ht="15.75" x14ac:dyDescent="0.25">
      <c r="M1519" t="s">
        <v>1457</v>
      </c>
    </row>
    <row r="1520" spans="13:13" ht="15.75" x14ac:dyDescent="0.25">
      <c r="M1520" t="s">
        <v>1458</v>
      </c>
    </row>
    <row r="1521" spans="13:13" ht="15.75" x14ac:dyDescent="0.25">
      <c r="M1521" t="s">
        <v>1459</v>
      </c>
    </row>
    <row r="1522" spans="13:13" ht="15.75" x14ac:dyDescent="0.25">
      <c r="M1522" t="s">
        <v>1460</v>
      </c>
    </row>
    <row r="1523" spans="13:13" ht="15.75" x14ac:dyDescent="0.25">
      <c r="M1523" t="s">
        <v>1461</v>
      </c>
    </row>
    <row r="1524" spans="13:13" ht="15.75" x14ac:dyDescent="0.25">
      <c r="M1524" t="s">
        <v>1462</v>
      </c>
    </row>
    <row r="1525" spans="13:13" ht="15.75" x14ac:dyDescent="0.25">
      <c r="M1525" t="s">
        <v>1463</v>
      </c>
    </row>
    <row r="1526" spans="13:13" ht="15.75" x14ac:dyDescent="0.25">
      <c r="M1526" t="s">
        <v>1464</v>
      </c>
    </row>
    <row r="1527" spans="13:13" ht="15.75" x14ac:dyDescent="0.25">
      <c r="M1527" t="s">
        <v>1465</v>
      </c>
    </row>
    <row r="1528" spans="13:13" ht="15.75" x14ac:dyDescent="0.25">
      <c r="M1528" t="s">
        <v>1466</v>
      </c>
    </row>
    <row r="1529" spans="13:13" ht="15.75" x14ac:dyDescent="0.25">
      <c r="M1529" t="s">
        <v>1467</v>
      </c>
    </row>
    <row r="1530" spans="13:13" ht="15.75" x14ac:dyDescent="0.25">
      <c r="M1530" t="s">
        <v>1468</v>
      </c>
    </row>
    <row r="1531" spans="13:13" ht="15.75" x14ac:dyDescent="0.25">
      <c r="M1531" t="s">
        <v>1469</v>
      </c>
    </row>
    <row r="1532" spans="13:13" ht="15.75" x14ac:dyDescent="0.25">
      <c r="M1532" t="s">
        <v>1470</v>
      </c>
    </row>
    <row r="1533" spans="13:13" ht="15.75" x14ac:dyDescent="0.25">
      <c r="M1533" t="s">
        <v>1471</v>
      </c>
    </row>
    <row r="1534" spans="13:13" ht="15.75" x14ac:dyDescent="0.25">
      <c r="M1534" t="s">
        <v>1472</v>
      </c>
    </row>
    <row r="1535" spans="13:13" ht="15.75" x14ac:dyDescent="0.25">
      <c r="M1535" t="s">
        <v>1473</v>
      </c>
    </row>
    <row r="1536" spans="13:13" ht="15.75" x14ac:dyDescent="0.25">
      <c r="M1536" t="s">
        <v>1474</v>
      </c>
    </row>
    <row r="1537" spans="13:13" ht="15.75" x14ac:dyDescent="0.25">
      <c r="M1537" t="s">
        <v>1475</v>
      </c>
    </row>
    <row r="1538" spans="13:13" ht="15.75" x14ac:dyDescent="0.25">
      <c r="M1538" t="s">
        <v>1476</v>
      </c>
    </row>
    <row r="1539" spans="13:13" ht="15.75" x14ac:dyDescent="0.25">
      <c r="M1539" t="s">
        <v>161</v>
      </c>
    </row>
    <row r="1540" spans="13:13" ht="15.75" x14ac:dyDescent="0.25">
      <c r="M1540" t="s">
        <v>1477</v>
      </c>
    </row>
    <row r="1541" spans="13:13" ht="15.75" x14ac:dyDescent="0.25">
      <c r="M1541" t="s">
        <v>1478</v>
      </c>
    </row>
    <row r="1542" spans="13:13" ht="15.75" x14ac:dyDescent="0.25">
      <c r="M1542" t="s">
        <v>1479</v>
      </c>
    </row>
    <row r="1543" spans="13:13" ht="15.75" x14ac:dyDescent="0.25">
      <c r="M1543" t="s">
        <v>1480</v>
      </c>
    </row>
    <row r="1544" spans="13:13" ht="15.75" x14ac:dyDescent="0.25">
      <c r="M1544" t="s">
        <v>1481</v>
      </c>
    </row>
    <row r="1545" spans="13:13" ht="15.75" x14ac:dyDescent="0.25">
      <c r="M1545" t="s">
        <v>1482</v>
      </c>
    </row>
    <row r="1546" spans="13:13" ht="15.75" x14ac:dyDescent="0.25">
      <c r="M1546" t="s">
        <v>1483</v>
      </c>
    </row>
    <row r="1547" spans="13:13" ht="15.75" x14ac:dyDescent="0.25">
      <c r="M1547" t="s">
        <v>1484</v>
      </c>
    </row>
    <row r="1548" spans="13:13" ht="15.75" x14ac:dyDescent="0.25">
      <c r="M1548" t="s">
        <v>1485</v>
      </c>
    </row>
    <row r="1549" spans="13:13" ht="15.75" x14ac:dyDescent="0.25">
      <c r="M1549" t="s">
        <v>1486</v>
      </c>
    </row>
    <row r="1550" spans="13:13" ht="15.75" x14ac:dyDescent="0.25">
      <c r="M1550" t="s">
        <v>1487</v>
      </c>
    </row>
    <row r="1551" spans="13:13" ht="15.75" x14ac:dyDescent="0.25">
      <c r="M1551" t="s">
        <v>1488</v>
      </c>
    </row>
    <row r="1552" spans="13:13" ht="15.75" x14ac:dyDescent="0.25">
      <c r="M1552" t="s">
        <v>1489</v>
      </c>
    </row>
    <row r="1553" spans="13:13" ht="15.75" x14ac:dyDescent="0.25">
      <c r="M1553" t="s">
        <v>161</v>
      </c>
    </row>
    <row r="1554" spans="13:13" ht="15.75" x14ac:dyDescent="0.25">
      <c r="M1554" t="s">
        <v>1490</v>
      </c>
    </row>
    <row r="1555" spans="13:13" ht="15.75" x14ac:dyDescent="0.25">
      <c r="M1555" t="s">
        <v>1052</v>
      </c>
    </row>
    <row r="1556" spans="13:13" ht="15.75" x14ac:dyDescent="0.25">
      <c r="M1556" t="s">
        <v>1491</v>
      </c>
    </row>
    <row r="1557" spans="13:13" ht="15.75" x14ac:dyDescent="0.25">
      <c r="M1557" t="s">
        <v>1492</v>
      </c>
    </row>
    <row r="1558" spans="13:13" ht="15.75" x14ac:dyDescent="0.25">
      <c r="M1558" t="s">
        <v>1493</v>
      </c>
    </row>
    <row r="1559" spans="13:13" ht="15.75" x14ac:dyDescent="0.25">
      <c r="M1559" t="s">
        <v>1494</v>
      </c>
    </row>
    <row r="1560" spans="13:13" ht="15.75" x14ac:dyDescent="0.25">
      <c r="M1560" t="s">
        <v>1495</v>
      </c>
    </row>
    <row r="1561" spans="13:13" ht="15.75" x14ac:dyDescent="0.25">
      <c r="M1561" t="s">
        <v>1087</v>
      </c>
    </row>
    <row r="1562" spans="13:13" ht="15.75" x14ac:dyDescent="0.25">
      <c r="M1562" t="s">
        <v>1496</v>
      </c>
    </row>
    <row r="1563" spans="13:13" ht="15.75" x14ac:dyDescent="0.25">
      <c r="M1563" t="s">
        <v>1497</v>
      </c>
    </row>
    <row r="1564" spans="13:13" ht="15.75" x14ac:dyDescent="0.25">
      <c r="M1564" t="s">
        <v>1498</v>
      </c>
    </row>
    <row r="1565" spans="13:13" ht="15.75" x14ac:dyDescent="0.25">
      <c r="M1565" t="s">
        <v>1499</v>
      </c>
    </row>
    <row r="1566" spans="13:13" ht="15.75" x14ac:dyDescent="0.25">
      <c r="M1566" t="s">
        <v>1500</v>
      </c>
    </row>
    <row r="1567" spans="13:13" ht="15.75" x14ac:dyDescent="0.25">
      <c r="M1567" t="s">
        <v>1501</v>
      </c>
    </row>
    <row r="1568" spans="13:13" ht="15.75" x14ac:dyDescent="0.25">
      <c r="M1568" t="s">
        <v>1502</v>
      </c>
    </row>
    <row r="1569" spans="13:13" ht="15.75" x14ac:dyDescent="0.25">
      <c r="M1569" t="s">
        <v>1503</v>
      </c>
    </row>
    <row r="1570" spans="13:13" ht="15.75" x14ac:dyDescent="0.25">
      <c r="M1570" t="s">
        <v>1504</v>
      </c>
    </row>
    <row r="1571" spans="13:13" ht="15.75" x14ac:dyDescent="0.25">
      <c r="M1571" t="s">
        <v>1505</v>
      </c>
    </row>
    <row r="1572" spans="13:13" ht="15.75" x14ac:dyDescent="0.25">
      <c r="M1572" t="s">
        <v>161</v>
      </c>
    </row>
    <row r="1573" spans="13:13" ht="15.75" x14ac:dyDescent="0.25">
      <c r="M1573" t="s">
        <v>1506</v>
      </c>
    </row>
    <row r="1574" spans="13:13" ht="15.75" x14ac:dyDescent="0.25">
      <c r="M1574" t="s">
        <v>1507</v>
      </c>
    </row>
    <row r="1575" spans="13:13" ht="15.75" x14ac:dyDescent="0.25">
      <c r="M1575" t="s">
        <v>1508</v>
      </c>
    </row>
    <row r="1576" spans="13:13" ht="15.75" x14ac:dyDescent="0.25">
      <c r="M1576" t="s">
        <v>1509</v>
      </c>
    </row>
    <row r="1577" spans="13:13" ht="15.75" x14ac:dyDescent="0.25">
      <c r="M1577" t="s">
        <v>1506</v>
      </c>
    </row>
    <row r="1578" spans="13:13" ht="15.75" x14ac:dyDescent="0.25">
      <c r="M1578" t="s">
        <v>161</v>
      </c>
    </row>
    <row r="1579" spans="13:13" ht="15.75" x14ac:dyDescent="0.25">
      <c r="M1579" t="s">
        <v>1510</v>
      </c>
    </row>
    <row r="1580" spans="13:13" ht="15.75" x14ac:dyDescent="0.25">
      <c r="M1580" t="s">
        <v>1511</v>
      </c>
    </row>
    <row r="1581" spans="13:13" ht="15.75" x14ac:dyDescent="0.25">
      <c r="M1581" t="s">
        <v>1512</v>
      </c>
    </row>
    <row r="1582" spans="13:13" ht="15.75" x14ac:dyDescent="0.25">
      <c r="M1582" t="s">
        <v>1087</v>
      </c>
    </row>
    <row r="1583" spans="13:13" ht="15.75" x14ac:dyDescent="0.25">
      <c r="M1583" t="s">
        <v>1513</v>
      </c>
    </row>
    <row r="1584" spans="13:13" ht="15.75" x14ac:dyDescent="0.25">
      <c r="M1584" t="s">
        <v>1514</v>
      </c>
    </row>
    <row r="1585" spans="13:13" ht="15.75" x14ac:dyDescent="0.25">
      <c r="M1585" t="s">
        <v>44</v>
      </c>
    </row>
    <row r="1586" spans="13:13" ht="15.75" x14ac:dyDescent="0.25">
      <c r="M1586" t="s">
        <v>1515</v>
      </c>
    </row>
    <row r="1587" spans="13:13" ht="15.75" x14ac:dyDescent="0.25">
      <c r="M1587" t="s">
        <v>1516</v>
      </c>
    </row>
    <row r="1588" spans="13:13" ht="15.75" x14ac:dyDescent="0.25">
      <c r="M1588" t="s">
        <v>1517</v>
      </c>
    </row>
    <row r="1589" spans="13:13" ht="15.75" x14ac:dyDescent="0.25">
      <c r="M1589" t="s">
        <v>1518</v>
      </c>
    </row>
    <row r="1590" spans="13:13" ht="15.75" x14ac:dyDescent="0.25">
      <c r="M1590" t="s">
        <v>1519</v>
      </c>
    </row>
    <row r="1591" spans="13:13" ht="15.75" x14ac:dyDescent="0.25">
      <c r="M1591" t="s">
        <v>1520</v>
      </c>
    </row>
    <row r="1592" spans="13:13" ht="15.75" x14ac:dyDescent="0.25">
      <c r="M1592" t="s">
        <v>1521</v>
      </c>
    </row>
    <row r="1593" spans="13:13" ht="15.75" x14ac:dyDescent="0.25">
      <c r="M1593" t="s">
        <v>1522</v>
      </c>
    </row>
    <row r="1594" spans="13:13" ht="15.75" x14ac:dyDescent="0.25">
      <c r="M1594" t="s">
        <v>1523</v>
      </c>
    </row>
    <row r="1595" spans="13:13" ht="15.75" x14ac:dyDescent="0.25">
      <c r="M1595" t="s">
        <v>1524</v>
      </c>
    </row>
    <row r="1596" spans="13:13" ht="15.75" x14ac:dyDescent="0.25">
      <c r="M1596" t="s">
        <v>1525</v>
      </c>
    </row>
    <row r="1597" spans="13:13" ht="15.75" x14ac:dyDescent="0.25">
      <c r="M1597" t="s">
        <v>1526</v>
      </c>
    </row>
    <row r="1598" spans="13:13" ht="15.75" x14ac:dyDescent="0.25">
      <c r="M1598" t="s">
        <v>1527</v>
      </c>
    </row>
    <row r="1599" spans="13:13" ht="15.75" x14ac:dyDescent="0.25">
      <c r="M1599" t="s">
        <v>1528</v>
      </c>
    </row>
    <row r="1600" spans="13:13" ht="15.75" x14ac:dyDescent="0.25">
      <c r="M1600" t="s">
        <v>1529</v>
      </c>
    </row>
    <row r="1601" spans="13:13" ht="15.75" x14ac:dyDescent="0.25">
      <c r="M1601" t="s">
        <v>1530</v>
      </c>
    </row>
    <row r="1602" spans="13:13" ht="15.75" x14ac:dyDescent="0.25">
      <c r="M1602" t="s">
        <v>1531</v>
      </c>
    </row>
    <row r="1603" spans="13:13" ht="15.75" x14ac:dyDescent="0.25">
      <c r="M1603" t="s">
        <v>1532</v>
      </c>
    </row>
    <row r="1604" spans="13:13" ht="15.75" x14ac:dyDescent="0.25">
      <c r="M1604" t="s">
        <v>1533</v>
      </c>
    </row>
    <row r="1605" spans="13:13" ht="15.75" x14ac:dyDescent="0.25">
      <c r="M1605" t="s">
        <v>1534</v>
      </c>
    </row>
    <row r="1606" spans="13:13" ht="15.75" x14ac:dyDescent="0.25">
      <c r="M1606" t="s">
        <v>1535</v>
      </c>
    </row>
    <row r="1607" spans="13:13" ht="15.75" x14ac:dyDescent="0.25">
      <c r="M1607" t="s">
        <v>1536</v>
      </c>
    </row>
    <row r="1608" spans="13:13" ht="15.75" x14ac:dyDescent="0.25">
      <c r="M1608" t="s">
        <v>1537</v>
      </c>
    </row>
    <row r="1609" spans="13:13" ht="15.75" x14ac:dyDescent="0.25">
      <c r="M1609" t="s">
        <v>43</v>
      </c>
    </row>
    <row r="1610" spans="13:13" ht="15.75" x14ac:dyDescent="0.25">
      <c r="M1610" t="s">
        <v>1538</v>
      </c>
    </row>
    <row r="1611" spans="13:13" ht="15.75" x14ac:dyDescent="0.25">
      <c r="M1611" t="s">
        <v>1539</v>
      </c>
    </row>
    <row r="1612" spans="13:13" ht="15.75" x14ac:dyDescent="0.25">
      <c r="M1612" t="s">
        <v>1540</v>
      </c>
    </row>
    <row r="1613" spans="13:13" ht="15.75" x14ac:dyDescent="0.25">
      <c r="M1613" t="s">
        <v>1541</v>
      </c>
    </row>
    <row r="1614" spans="13:13" ht="15.75" x14ac:dyDescent="0.25">
      <c r="M1614" t="s">
        <v>1542</v>
      </c>
    </row>
    <row r="1615" spans="13:13" ht="15.75" x14ac:dyDescent="0.25">
      <c r="M1615" t="s">
        <v>1543</v>
      </c>
    </row>
    <row r="1616" spans="13:13" ht="15.75" x14ac:dyDescent="0.25">
      <c r="M1616" t="s">
        <v>1544</v>
      </c>
    </row>
    <row r="1617" spans="13:13" ht="15.75" x14ac:dyDescent="0.25">
      <c r="M1617" t="s">
        <v>1545</v>
      </c>
    </row>
    <row r="1618" spans="13:13" ht="15.75" x14ac:dyDescent="0.25">
      <c r="M1618" t="s">
        <v>1546</v>
      </c>
    </row>
    <row r="1619" spans="13:13" ht="15.75" x14ac:dyDescent="0.25">
      <c r="M1619" t="s">
        <v>1547</v>
      </c>
    </row>
    <row r="1620" spans="13:13" ht="15.75" x14ac:dyDescent="0.25">
      <c r="M1620" t="s">
        <v>208</v>
      </c>
    </row>
    <row r="1621" spans="13:13" ht="15.75" x14ac:dyDescent="0.25">
      <c r="M1621" t="s">
        <v>105</v>
      </c>
    </row>
    <row r="1622" spans="13:13" ht="15.75" x14ac:dyDescent="0.25">
      <c r="M1622" t="s">
        <v>1548</v>
      </c>
    </row>
    <row r="1623" spans="13:13" ht="15.75" x14ac:dyDescent="0.25">
      <c r="M1623" t="s">
        <v>1549</v>
      </c>
    </row>
    <row r="1624" spans="13:13" ht="15.75" x14ac:dyDescent="0.25">
      <c r="M1624" t="s">
        <v>1550</v>
      </c>
    </row>
    <row r="1625" spans="13:13" ht="15.75" x14ac:dyDescent="0.25">
      <c r="M1625" t="s">
        <v>1551</v>
      </c>
    </row>
    <row r="1626" spans="13:13" ht="15.75" x14ac:dyDescent="0.25">
      <c r="M1626" t="s">
        <v>1552</v>
      </c>
    </row>
    <row r="1627" spans="13:13" ht="15.75" x14ac:dyDescent="0.25">
      <c r="M1627" t="s">
        <v>1553</v>
      </c>
    </row>
    <row r="1628" spans="13:13" ht="15.75" x14ac:dyDescent="0.25">
      <c r="M1628" t="s">
        <v>1554</v>
      </c>
    </row>
    <row r="1629" spans="13:13" ht="15.75" x14ac:dyDescent="0.25">
      <c r="M1629" t="s">
        <v>1555</v>
      </c>
    </row>
    <row r="1630" spans="13:13" ht="15.75" x14ac:dyDescent="0.25">
      <c r="M1630" t="s">
        <v>1556</v>
      </c>
    </row>
    <row r="1631" spans="13:13" ht="15.75" x14ac:dyDescent="0.25">
      <c r="M1631" t="s">
        <v>1557</v>
      </c>
    </row>
    <row r="1632" spans="13:13" ht="15.75" x14ac:dyDescent="0.25">
      <c r="M1632" t="s">
        <v>1558</v>
      </c>
    </row>
    <row r="1633" spans="13:13" ht="15.75" x14ac:dyDescent="0.25">
      <c r="M1633" t="s">
        <v>1559</v>
      </c>
    </row>
    <row r="1634" spans="13:13" ht="15.75" x14ac:dyDescent="0.25">
      <c r="M1634" t="s">
        <v>1560</v>
      </c>
    </row>
    <row r="1635" spans="13:13" ht="15.75" x14ac:dyDescent="0.25">
      <c r="M1635" t="s">
        <v>1561</v>
      </c>
    </row>
    <row r="1636" spans="13:13" ht="15.75" x14ac:dyDescent="0.25">
      <c r="M1636" t="s">
        <v>1562</v>
      </c>
    </row>
    <row r="1637" spans="13:13" ht="15.75" x14ac:dyDescent="0.25">
      <c r="M1637" t="s">
        <v>1563</v>
      </c>
    </row>
    <row r="1638" spans="13:13" ht="15.75" x14ac:dyDescent="0.25">
      <c r="M1638" t="s">
        <v>1564</v>
      </c>
    </row>
    <row r="1639" spans="13:13" ht="15.75" x14ac:dyDescent="0.25">
      <c r="M1639" t="s">
        <v>1565</v>
      </c>
    </row>
    <row r="1640" spans="13:13" ht="15.75" x14ac:dyDescent="0.25">
      <c r="M1640" t="s">
        <v>1566</v>
      </c>
    </row>
    <row r="1641" spans="13:13" ht="15.75" x14ac:dyDescent="0.25">
      <c r="M1641" t="s">
        <v>1531</v>
      </c>
    </row>
    <row r="1642" spans="13:13" ht="15.75" x14ac:dyDescent="0.25">
      <c r="M1642" t="s">
        <v>1567</v>
      </c>
    </row>
    <row r="1643" spans="13:13" ht="15.75" x14ac:dyDescent="0.25">
      <c r="M1643" t="s">
        <v>1568</v>
      </c>
    </row>
    <row r="1644" spans="13:13" ht="15.75" x14ac:dyDescent="0.25">
      <c r="M1644" t="s">
        <v>1569</v>
      </c>
    </row>
    <row r="1645" spans="13:13" ht="15.75" x14ac:dyDescent="0.25">
      <c r="M1645" t="s">
        <v>1570</v>
      </c>
    </row>
    <row r="1646" spans="13:13" ht="15.75" x14ac:dyDescent="0.25">
      <c r="M1646" t="s">
        <v>1571</v>
      </c>
    </row>
    <row r="1647" spans="13:13" ht="15.75" x14ac:dyDescent="0.25">
      <c r="M1647" t="s">
        <v>1572</v>
      </c>
    </row>
    <row r="1648" spans="13:13" ht="15.75" x14ac:dyDescent="0.25">
      <c r="M1648" t="s">
        <v>1573</v>
      </c>
    </row>
    <row r="1649" spans="13:13" ht="15.75" x14ac:dyDescent="0.25">
      <c r="M1649" t="s">
        <v>1574</v>
      </c>
    </row>
    <row r="1650" spans="13:13" ht="15.75" x14ac:dyDescent="0.25">
      <c r="M1650" t="s">
        <v>1575</v>
      </c>
    </row>
    <row r="1651" spans="13:13" ht="15.75" x14ac:dyDescent="0.25">
      <c r="M1651" t="s">
        <v>1576</v>
      </c>
    </row>
    <row r="1652" spans="13:13" ht="15.75" x14ac:dyDescent="0.25">
      <c r="M1652" t="s">
        <v>1577</v>
      </c>
    </row>
    <row r="1653" spans="13:13" ht="15.75" x14ac:dyDescent="0.25">
      <c r="M1653" t="s">
        <v>1578</v>
      </c>
    </row>
    <row r="1654" spans="13:13" ht="15.75" x14ac:dyDescent="0.25">
      <c r="M1654" t="s">
        <v>1579</v>
      </c>
    </row>
    <row r="1655" spans="13:13" ht="15.75" x14ac:dyDescent="0.25">
      <c r="M1655" t="s">
        <v>1580</v>
      </c>
    </row>
    <row r="1656" spans="13:13" ht="15.75" x14ac:dyDescent="0.25">
      <c r="M1656" t="s">
        <v>1581</v>
      </c>
    </row>
    <row r="1657" spans="13:13" ht="15.75" x14ac:dyDescent="0.25">
      <c r="M1657" t="s">
        <v>598</v>
      </c>
    </row>
    <row r="1658" spans="13:13" ht="15.75" x14ac:dyDescent="0.25">
      <c r="M1658" t="s">
        <v>1582</v>
      </c>
    </row>
    <row r="1659" spans="13:13" ht="15.75" x14ac:dyDescent="0.25">
      <c r="M1659" t="s">
        <v>1583</v>
      </c>
    </row>
    <row r="1660" spans="13:13" ht="15.75" x14ac:dyDescent="0.25">
      <c r="M1660" t="s">
        <v>1584</v>
      </c>
    </row>
    <row r="1661" spans="13:13" ht="15.75" x14ac:dyDescent="0.25">
      <c r="M1661" t="s">
        <v>1585</v>
      </c>
    </row>
    <row r="1662" spans="13:13" ht="15.75" x14ac:dyDescent="0.25">
      <c r="M1662" t="s">
        <v>1586</v>
      </c>
    </row>
    <row r="1663" spans="13:13" ht="15.75" x14ac:dyDescent="0.25">
      <c r="M1663" t="s">
        <v>1587</v>
      </c>
    </row>
    <row r="1664" spans="13:13" ht="15.75" x14ac:dyDescent="0.25">
      <c r="M1664" t="s">
        <v>1588</v>
      </c>
    </row>
    <row r="1665" spans="13:13" ht="15.75" x14ac:dyDescent="0.25">
      <c r="M1665" t="s">
        <v>1589</v>
      </c>
    </row>
    <row r="1666" spans="13:13" ht="15.75" x14ac:dyDescent="0.25">
      <c r="M1666" t="s">
        <v>1590</v>
      </c>
    </row>
    <row r="1667" spans="13:13" ht="15.75" x14ac:dyDescent="0.25">
      <c r="M1667" t="s">
        <v>1591</v>
      </c>
    </row>
    <row r="1668" spans="13:13" ht="15.75" x14ac:dyDescent="0.25">
      <c r="M1668" t="s">
        <v>1592</v>
      </c>
    </row>
    <row r="1669" spans="13:13" ht="15.75" x14ac:dyDescent="0.25">
      <c r="M1669" t="s">
        <v>1593</v>
      </c>
    </row>
    <row r="1670" spans="13:13" ht="15.75" x14ac:dyDescent="0.25">
      <c r="M1670" t="s">
        <v>1594</v>
      </c>
    </row>
    <row r="1671" spans="13:13" ht="15.75" x14ac:dyDescent="0.25">
      <c r="M1671" t="s">
        <v>1595</v>
      </c>
    </row>
    <row r="1672" spans="13:13" ht="15.75" x14ac:dyDescent="0.25">
      <c r="M1672" t="s">
        <v>1596</v>
      </c>
    </row>
    <row r="1673" spans="13:13" ht="15.75" x14ac:dyDescent="0.25">
      <c r="M1673" t="s">
        <v>1597</v>
      </c>
    </row>
    <row r="1674" spans="13:13" ht="15.75" x14ac:dyDescent="0.25">
      <c r="M1674" t="s">
        <v>1598</v>
      </c>
    </row>
    <row r="1675" spans="13:13" ht="15.75" x14ac:dyDescent="0.25">
      <c r="M1675" t="s">
        <v>1599</v>
      </c>
    </row>
    <row r="1676" spans="13:13" ht="15.75" x14ac:dyDescent="0.25">
      <c r="M1676" t="s">
        <v>1600</v>
      </c>
    </row>
    <row r="1677" spans="13:13" ht="15.75" x14ac:dyDescent="0.25">
      <c r="M1677" t="s">
        <v>1601</v>
      </c>
    </row>
    <row r="1678" spans="13:13" ht="15.75" x14ac:dyDescent="0.25">
      <c r="M1678" t="s">
        <v>1602</v>
      </c>
    </row>
    <row r="1679" spans="13:13" ht="15.75" x14ac:dyDescent="0.25">
      <c r="M1679" t="s">
        <v>1603</v>
      </c>
    </row>
    <row r="1680" spans="13:13" ht="15.75" x14ac:dyDescent="0.25">
      <c r="M1680" t="s">
        <v>1604</v>
      </c>
    </row>
    <row r="1681" spans="13:13" ht="15.75" x14ac:dyDescent="0.25">
      <c r="M1681" t="s">
        <v>1605</v>
      </c>
    </row>
    <row r="1682" spans="13:13" ht="15.75" x14ac:dyDescent="0.25">
      <c r="M1682" t="s">
        <v>1606</v>
      </c>
    </row>
    <row r="1683" spans="13:13" ht="15.75" x14ac:dyDescent="0.25">
      <c r="M1683" t="s">
        <v>1607</v>
      </c>
    </row>
    <row r="1684" spans="13:13" ht="15.75" x14ac:dyDescent="0.25">
      <c r="M1684" t="s">
        <v>1608</v>
      </c>
    </row>
    <row r="1685" spans="13:13" ht="15.75" x14ac:dyDescent="0.25">
      <c r="M1685" t="s">
        <v>1609</v>
      </c>
    </row>
    <row r="1686" spans="13:13" ht="15.75" x14ac:dyDescent="0.25">
      <c r="M1686" t="s">
        <v>1610</v>
      </c>
    </row>
    <row r="1687" spans="13:13" ht="15.75" x14ac:dyDescent="0.25">
      <c r="M1687" t="s">
        <v>1611</v>
      </c>
    </row>
    <row r="1688" spans="13:13" ht="15.75" x14ac:dyDescent="0.25">
      <c r="M1688" t="s">
        <v>1612</v>
      </c>
    </row>
    <row r="1689" spans="13:13" ht="15.75" x14ac:dyDescent="0.25">
      <c r="M1689" t="s">
        <v>1612</v>
      </c>
    </row>
    <row r="1690" spans="13:13" ht="15.75" x14ac:dyDescent="0.25">
      <c r="M1690" t="s">
        <v>313</v>
      </c>
    </row>
    <row r="1691" spans="13:13" ht="15.75" x14ac:dyDescent="0.25">
      <c r="M1691" t="s">
        <v>1613</v>
      </c>
    </row>
    <row r="1692" spans="13:13" ht="15.75" x14ac:dyDescent="0.25">
      <c r="M1692" t="s">
        <v>1614</v>
      </c>
    </row>
    <row r="1693" spans="13:13" ht="15.75" x14ac:dyDescent="0.25">
      <c r="M1693" t="s">
        <v>1615</v>
      </c>
    </row>
    <row r="1694" spans="13:13" ht="15.75" x14ac:dyDescent="0.25">
      <c r="M1694" t="s">
        <v>1616</v>
      </c>
    </row>
    <row r="1695" spans="13:13" ht="15.75" x14ac:dyDescent="0.25">
      <c r="M1695" t="s">
        <v>1617</v>
      </c>
    </row>
    <row r="1696" spans="13:13" ht="15.75" x14ac:dyDescent="0.25">
      <c r="M1696" t="s">
        <v>1618</v>
      </c>
    </row>
    <row r="1697" spans="13:13" ht="15.75" x14ac:dyDescent="0.25">
      <c r="M1697" t="s">
        <v>1619</v>
      </c>
    </row>
    <row r="1698" spans="13:13" ht="15.75" x14ac:dyDescent="0.25">
      <c r="M1698" t="s">
        <v>1620</v>
      </c>
    </row>
    <row r="1699" spans="13:13" ht="15.75" x14ac:dyDescent="0.25">
      <c r="M1699" t="s">
        <v>1621</v>
      </c>
    </row>
    <row r="1700" spans="13:13" ht="15.75" x14ac:dyDescent="0.25">
      <c r="M1700" t="s">
        <v>1622</v>
      </c>
    </row>
    <row r="1701" spans="13:13" ht="15.75" x14ac:dyDescent="0.25">
      <c r="M1701" t="s">
        <v>1623</v>
      </c>
    </row>
    <row r="1702" spans="13:13" ht="15.75" x14ac:dyDescent="0.25">
      <c r="M1702" t="s">
        <v>1624</v>
      </c>
    </row>
    <row r="1703" spans="13:13" ht="15.75" x14ac:dyDescent="0.25">
      <c r="M1703" t="s">
        <v>1625</v>
      </c>
    </row>
    <row r="1704" spans="13:13" ht="15.75" x14ac:dyDescent="0.25">
      <c r="M1704" t="s">
        <v>1626</v>
      </c>
    </row>
    <row r="1705" spans="13:13" ht="15.75" x14ac:dyDescent="0.25">
      <c r="M1705" t="s">
        <v>1627</v>
      </c>
    </row>
    <row r="1706" spans="13:13" ht="15.75" x14ac:dyDescent="0.25">
      <c r="M1706" t="s">
        <v>1628</v>
      </c>
    </row>
    <row r="1707" spans="13:13" ht="15.75" x14ac:dyDescent="0.25">
      <c r="M1707" t="s">
        <v>1087</v>
      </c>
    </row>
    <row r="1708" spans="13:13" ht="15.75" x14ac:dyDescent="0.25">
      <c r="M1708" t="s">
        <v>1629</v>
      </c>
    </row>
    <row r="1709" spans="13:13" ht="15.75" x14ac:dyDescent="0.25">
      <c r="M1709" t="s">
        <v>1630</v>
      </c>
    </row>
    <row r="1710" spans="13:13" ht="15.75" x14ac:dyDescent="0.25">
      <c r="M1710" t="s">
        <v>1631</v>
      </c>
    </row>
    <row r="1711" spans="13:13" ht="15.75" x14ac:dyDescent="0.25">
      <c r="M1711" t="s">
        <v>1632</v>
      </c>
    </row>
    <row r="1712" spans="13:13" ht="15.75" x14ac:dyDescent="0.25">
      <c r="M1712" t="s">
        <v>1633</v>
      </c>
    </row>
    <row r="1713" spans="13:13" ht="15.75" x14ac:dyDescent="0.25">
      <c r="M1713" t="s">
        <v>1634</v>
      </c>
    </row>
    <row r="1714" spans="13:13" ht="15.75" x14ac:dyDescent="0.25">
      <c r="M1714" t="s">
        <v>1635</v>
      </c>
    </row>
    <row r="1715" spans="13:13" ht="15.75" x14ac:dyDescent="0.25">
      <c r="M1715" t="s">
        <v>1636</v>
      </c>
    </row>
    <row r="1716" spans="13:13" ht="15.75" x14ac:dyDescent="0.25">
      <c r="M1716" t="s">
        <v>1637</v>
      </c>
    </row>
    <row r="1717" spans="13:13" ht="15.75" x14ac:dyDescent="0.25">
      <c r="M1717" t="s">
        <v>1638</v>
      </c>
    </row>
    <row r="1718" spans="13:13" ht="15.75" x14ac:dyDescent="0.25">
      <c r="M1718" t="s">
        <v>1639</v>
      </c>
    </row>
    <row r="1719" spans="13:13" ht="15.75" x14ac:dyDescent="0.25">
      <c r="M1719" t="s">
        <v>1640</v>
      </c>
    </row>
    <row r="1720" spans="13:13" ht="15.75" x14ac:dyDescent="0.25">
      <c r="M1720" t="s">
        <v>1641</v>
      </c>
    </row>
    <row r="1721" spans="13:13" ht="15.75" x14ac:dyDescent="0.25">
      <c r="M1721" t="s">
        <v>1642</v>
      </c>
    </row>
    <row r="1722" spans="13:13" ht="15.75" x14ac:dyDescent="0.25">
      <c r="M1722" t="s">
        <v>1643</v>
      </c>
    </row>
    <row r="1723" spans="13:13" ht="15.75" x14ac:dyDescent="0.25">
      <c r="M1723" t="s">
        <v>1644</v>
      </c>
    </row>
    <row r="1724" spans="13:13" ht="15.75" x14ac:dyDescent="0.25">
      <c r="M1724" t="s">
        <v>1645</v>
      </c>
    </row>
    <row r="1725" spans="13:13" ht="15.75" x14ac:dyDescent="0.25">
      <c r="M1725" t="s">
        <v>1646</v>
      </c>
    </row>
    <row r="1726" spans="13:13" ht="15.75" x14ac:dyDescent="0.25">
      <c r="M1726" t="s">
        <v>1647</v>
      </c>
    </row>
    <row r="1727" spans="13:13" ht="15.75" x14ac:dyDescent="0.25">
      <c r="M1727" t="s">
        <v>1648</v>
      </c>
    </row>
    <row r="1728" spans="13:13" ht="15.75" x14ac:dyDescent="0.25">
      <c r="M1728" t="s">
        <v>1649</v>
      </c>
    </row>
    <row r="1729" spans="13:13" ht="15.75" x14ac:dyDescent="0.25">
      <c r="M1729" t="s">
        <v>1650</v>
      </c>
    </row>
    <row r="1730" spans="13:13" ht="15.75" x14ac:dyDescent="0.25">
      <c r="M1730" t="s">
        <v>1651</v>
      </c>
    </row>
    <row r="1731" spans="13:13" ht="15.75" x14ac:dyDescent="0.25">
      <c r="M1731" t="s">
        <v>1652</v>
      </c>
    </row>
    <row r="1732" spans="13:13" ht="15.75" x14ac:dyDescent="0.25">
      <c r="M1732" t="s">
        <v>1653</v>
      </c>
    </row>
    <row r="1733" spans="13:13" ht="15.75" x14ac:dyDescent="0.25">
      <c r="M1733" t="s">
        <v>1654</v>
      </c>
    </row>
    <row r="1734" spans="13:13" ht="15.75" x14ac:dyDescent="0.25">
      <c r="M1734" t="s">
        <v>1655</v>
      </c>
    </row>
    <row r="1735" spans="13:13" ht="15.75" x14ac:dyDescent="0.25">
      <c r="M1735" t="s">
        <v>987</v>
      </c>
    </row>
    <row r="1736" spans="13:13" ht="15.75" x14ac:dyDescent="0.25">
      <c r="M1736" t="s">
        <v>1656</v>
      </c>
    </row>
    <row r="1737" spans="13:13" ht="15.75" x14ac:dyDescent="0.25">
      <c r="M1737" t="s">
        <v>1657</v>
      </c>
    </row>
    <row r="1738" spans="13:13" ht="15.75" x14ac:dyDescent="0.25">
      <c r="M1738" t="s">
        <v>1658</v>
      </c>
    </row>
    <row r="1739" spans="13:13" ht="15.75" x14ac:dyDescent="0.25">
      <c r="M1739" t="s">
        <v>1659</v>
      </c>
    </row>
    <row r="1740" spans="13:13" ht="15.75" x14ac:dyDescent="0.25">
      <c r="M1740" t="s">
        <v>1660</v>
      </c>
    </row>
    <row r="1741" spans="13:13" ht="15.75" x14ac:dyDescent="0.25">
      <c r="M1741" t="s">
        <v>1661</v>
      </c>
    </row>
    <row r="1742" spans="13:13" ht="15.75" x14ac:dyDescent="0.25">
      <c r="M1742" t="s">
        <v>1662</v>
      </c>
    </row>
    <row r="1743" spans="13:13" ht="15.75" x14ac:dyDescent="0.25">
      <c r="M1743" t="s">
        <v>1663</v>
      </c>
    </row>
    <row r="1744" spans="13:13" ht="15.75" x14ac:dyDescent="0.25">
      <c r="M1744" t="s">
        <v>1664</v>
      </c>
    </row>
    <row r="1745" spans="13:13" ht="15.75" x14ac:dyDescent="0.25">
      <c r="M1745" t="s">
        <v>1665</v>
      </c>
    </row>
    <row r="1746" spans="13:13" ht="15.75" x14ac:dyDescent="0.25">
      <c r="M1746" t="s">
        <v>1666</v>
      </c>
    </row>
    <row r="1747" spans="13:13" ht="15.75" x14ac:dyDescent="0.25">
      <c r="M1747" t="s">
        <v>1636</v>
      </c>
    </row>
    <row r="1748" spans="13:13" ht="15.75" x14ac:dyDescent="0.25">
      <c r="M1748" t="s">
        <v>1667</v>
      </c>
    </row>
    <row r="1749" spans="13:13" ht="15.75" x14ac:dyDescent="0.25">
      <c r="M1749" t="s">
        <v>1668</v>
      </c>
    </row>
    <row r="1750" spans="13:13" ht="15.75" x14ac:dyDescent="0.25">
      <c r="M1750" t="s">
        <v>1669</v>
      </c>
    </row>
    <row r="1751" spans="13:13" ht="15.75" x14ac:dyDescent="0.25">
      <c r="M1751" t="s">
        <v>1670</v>
      </c>
    </row>
    <row r="1752" spans="13:13" ht="15.75" x14ac:dyDescent="0.25">
      <c r="M1752" t="s">
        <v>1671</v>
      </c>
    </row>
    <row r="1753" spans="13:13" ht="15.75" x14ac:dyDescent="0.25">
      <c r="M1753" t="s">
        <v>1672</v>
      </c>
    </row>
    <row r="1754" spans="13:13" ht="15.75" x14ac:dyDescent="0.25">
      <c r="M1754" t="s">
        <v>1673</v>
      </c>
    </row>
    <row r="1755" spans="13:13" ht="15.75" x14ac:dyDescent="0.25">
      <c r="M1755" t="s">
        <v>1674</v>
      </c>
    </row>
    <row r="1756" spans="13:13" ht="15.75" x14ac:dyDescent="0.25">
      <c r="M1756" t="s">
        <v>1675</v>
      </c>
    </row>
    <row r="1757" spans="13:13" ht="15.75" x14ac:dyDescent="0.25">
      <c r="M1757" t="s">
        <v>1676</v>
      </c>
    </row>
    <row r="1758" spans="13:13" ht="15.75" x14ac:dyDescent="0.25">
      <c r="M1758" t="s">
        <v>1677</v>
      </c>
    </row>
    <row r="1759" spans="13:13" ht="15.75" x14ac:dyDescent="0.25">
      <c r="M1759" t="s">
        <v>1678</v>
      </c>
    </row>
    <row r="1760" spans="13:13" ht="15.75" x14ac:dyDescent="0.25">
      <c r="M1760" t="s">
        <v>1679</v>
      </c>
    </row>
    <row r="1761" spans="13:13" ht="15.75" x14ac:dyDescent="0.25">
      <c r="M1761" t="s">
        <v>1680</v>
      </c>
    </row>
    <row r="1762" spans="13:13" ht="15.75" x14ac:dyDescent="0.25">
      <c r="M1762" t="s">
        <v>1681</v>
      </c>
    </row>
    <row r="1763" spans="13:13" ht="15.75" x14ac:dyDescent="0.25">
      <c r="M1763" t="s">
        <v>1682</v>
      </c>
    </row>
    <row r="1764" spans="13:13" ht="15.75" x14ac:dyDescent="0.25">
      <c r="M1764" t="s">
        <v>1683</v>
      </c>
    </row>
    <row r="1765" spans="13:13" ht="15.75" x14ac:dyDescent="0.25">
      <c r="M1765" t="s">
        <v>1684</v>
      </c>
    </row>
    <row r="1766" spans="13:13" ht="15.75" x14ac:dyDescent="0.25">
      <c r="M1766" t="s">
        <v>1685</v>
      </c>
    </row>
    <row r="1767" spans="13:13" ht="15.75" x14ac:dyDescent="0.25">
      <c r="M1767" t="s">
        <v>1686</v>
      </c>
    </row>
    <row r="1768" spans="13:13" ht="15.75" x14ac:dyDescent="0.25">
      <c r="M1768" t="s">
        <v>1687</v>
      </c>
    </row>
    <row r="1769" spans="13:13" ht="15.75" x14ac:dyDescent="0.25">
      <c r="M1769" t="s">
        <v>1688</v>
      </c>
    </row>
    <row r="1770" spans="13:13" ht="15.75" x14ac:dyDescent="0.25">
      <c r="M1770" t="s">
        <v>1689</v>
      </c>
    </row>
    <row r="1771" spans="13:13" ht="15.75" x14ac:dyDescent="0.25">
      <c r="M1771" t="s">
        <v>1690</v>
      </c>
    </row>
    <row r="1772" spans="13:13" ht="15.75" x14ac:dyDescent="0.25">
      <c r="M1772" t="s">
        <v>1691</v>
      </c>
    </row>
    <row r="1773" spans="13:13" ht="15.75" x14ac:dyDescent="0.25">
      <c r="M1773" t="s">
        <v>1692</v>
      </c>
    </row>
    <row r="1774" spans="13:13" ht="15.75" x14ac:dyDescent="0.25">
      <c r="M1774" t="s">
        <v>1693</v>
      </c>
    </row>
    <row r="1775" spans="13:13" ht="15.75" x14ac:dyDescent="0.25">
      <c r="M1775" t="s">
        <v>1694</v>
      </c>
    </row>
    <row r="1776" spans="13:13" ht="15.75" x14ac:dyDescent="0.25">
      <c r="M1776" t="s">
        <v>1695</v>
      </c>
    </row>
    <row r="1777" spans="13:13" ht="15.75" x14ac:dyDescent="0.25">
      <c r="M1777" t="s">
        <v>440</v>
      </c>
    </row>
    <row r="1778" spans="13:13" ht="15.75" x14ac:dyDescent="0.25">
      <c r="M1778" t="s">
        <v>1696</v>
      </c>
    </row>
    <row r="1779" spans="13:13" ht="15.75" x14ac:dyDescent="0.25">
      <c r="M1779" t="s">
        <v>1697</v>
      </c>
    </row>
    <row r="1780" spans="13:13" ht="15.75" x14ac:dyDescent="0.25">
      <c r="M1780" t="s">
        <v>1698</v>
      </c>
    </row>
    <row r="1781" spans="13:13" ht="15.75" x14ac:dyDescent="0.25">
      <c r="M1781" t="s">
        <v>1699</v>
      </c>
    </row>
    <row r="1782" spans="13:13" ht="15.75" x14ac:dyDescent="0.25">
      <c r="M1782" t="s">
        <v>1700</v>
      </c>
    </row>
    <row r="1783" spans="13:13" ht="15.75" x14ac:dyDescent="0.25">
      <c r="M1783" t="s">
        <v>1701</v>
      </c>
    </row>
    <row r="1784" spans="13:13" ht="15.75" x14ac:dyDescent="0.25">
      <c r="M1784" t="s">
        <v>1702</v>
      </c>
    </row>
    <row r="1785" spans="13:13" ht="15.75" x14ac:dyDescent="0.25">
      <c r="M1785" t="s">
        <v>1703</v>
      </c>
    </row>
    <row r="1786" spans="13:13" ht="15.75" x14ac:dyDescent="0.25">
      <c r="M1786" t="s">
        <v>1704</v>
      </c>
    </row>
    <row r="1787" spans="13:13" ht="15.75" x14ac:dyDescent="0.25">
      <c r="M1787" t="s">
        <v>1705</v>
      </c>
    </row>
    <row r="1788" spans="13:13" ht="15.75" x14ac:dyDescent="0.25">
      <c r="M1788" t="s">
        <v>1706</v>
      </c>
    </row>
    <row r="1789" spans="13:13" ht="15.75" x14ac:dyDescent="0.25">
      <c r="M1789" t="s">
        <v>333</v>
      </c>
    </row>
    <row r="1790" spans="13:13" ht="15.75" x14ac:dyDescent="0.25">
      <c r="M1790" t="s">
        <v>1707</v>
      </c>
    </row>
    <row r="1791" spans="13:13" ht="15.75" x14ac:dyDescent="0.25">
      <c r="M1791" t="s">
        <v>1708</v>
      </c>
    </row>
    <row r="1792" spans="13:13" ht="15.75" x14ac:dyDescent="0.25">
      <c r="M1792" t="s">
        <v>1709</v>
      </c>
    </row>
    <row r="1793" spans="13:13" ht="15.75" x14ac:dyDescent="0.25">
      <c r="M1793" t="s">
        <v>1710</v>
      </c>
    </row>
    <row r="1794" spans="13:13" ht="15.75" x14ac:dyDescent="0.25">
      <c r="M1794" t="s">
        <v>1711</v>
      </c>
    </row>
    <row r="1795" spans="13:13" ht="15.75" x14ac:dyDescent="0.25">
      <c r="M1795" t="s">
        <v>1712</v>
      </c>
    </row>
    <row r="1796" spans="13:13" ht="15.75" x14ac:dyDescent="0.25">
      <c r="M1796" t="s">
        <v>1713</v>
      </c>
    </row>
    <row r="1797" spans="13:13" ht="15.75" x14ac:dyDescent="0.25">
      <c r="M1797" t="s">
        <v>1714</v>
      </c>
    </row>
    <row r="1798" spans="13:13" ht="15.75" x14ac:dyDescent="0.25">
      <c r="M1798" t="s">
        <v>1715</v>
      </c>
    </row>
    <row r="1799" spans="13:13" ht="15.75" x14ac:dyDescent="0.25">
      <c r="M1799" t="s">
        <v>1716</v>
      </c>
    </row>
    <row r="1800" spans="13:13" ht="15.75" x14ac:dyDescent="0.25">
      <c r="M1800" t="s">
        <v>1717</v>
      </c>
    </row>
    <row r="1801" spans="13:13" ht="15.75" x14ac:dyDescent="0.25">
      <c r="M1801" t="s">
        <v>1718</v>
      </c>
    </row>
    <row r="1802" spans="13:13" ht="15.75" x14ac:dyDescent="0.25">
      <c r="M1802" t="s">
        <v>1719</v>
      </c>
    </row>
    <row r="1803" spans="13:13" ht="15.75" x14ac:dyDescent="0.25">
      <c r="M1803" t="s">
        <v>1720</v>
      </c>
    </row>
    <row r="1804" spans="13:13" ht="15.75" x14ac:dyDescent="0.25">
      <c r="M1804" t="s">
        <v>1721</v>
      </c>
    </row>
    <row r="1805" spans="13:13" ht="15.75" x14ac:dyDescent="0.25">
      <c r="M1805" t="s">
        <v>1722</v>
      </c>
    </row>
    <row r="1806" spans="13:13" ht="15.75" x14ac:dyDescent="0.25">
      <c r="M1806" t="s">
        <v>100</v>
      </c>
    </row>
    <row r="1807" spans="13:13" ht="15.75" x14ac:dyDescent="0.25">
      <c r="M1807" t="s">
        <v>1723</v>
      </c>
    </row>
    <row r="1808" spans="13:13" ht="15.75" x14ac:dyDescent="0.25">
      <c r="M1808" t="s">
        <v>1724</v>
      </c>
    </row>
    <row r="1809" spans="13:13" ht="15.75" x14ac:dyDescent="0.25">
      <c r="M1809" t="s">
        <v>1725</v>
      </c>
    </row>
    <row r="1810" spans="13:13" ht="15.75" x14ac:dyDescent="0.25">
      <c r="M1810" t="s">
        <v>1726</v>
      </c>
    </row>
    <row r="1811" spans="13:13" ht="15.75" x14ac:dyDescent="0.25">
      <c r="M1811" t="s">
        <v>1727</v>
      </c>
    </row>
    <row r="1812" spans="13:13" ht="15.75" x14ac:dyDescent="0.25">
      <c r="M1812" t="s">
        <v>333</v>
      </c>
    </row>
    <row r="1813" spans="13:13" ht="15.75" x14ac:dyDescent="0.25">
      <c r="M1813" t="s">
        <v>1728</v>
      </c>
    </row>
    <row r="1814" spans="13:13" ht="15.75" x14ac:dyDescent="0.25">
      <c r="M1814" t="s">
        <v>1729</v>
      </c>
    </row>
    <row r="1815" spans="13:13" ht="15.75" x14ac:dyDescent="0.25">
      <c r="M1815" t="s">
        <v>1730</v>
      </c>
    </row>
    <row r="1816" spans="13:13" ht="15.75" x14ac:dyDescent="0.25">
      <c r="M1816" t="s">
        <v>1731</v>
      </c>
    </row>
    <row r="1817" spans="13:13" ht="15.75" x14ac:dyDescent="0.25">
      <c r="M1817" t="s">
        <v>1732</v>
      </c>
    </row>
    <row r="1818" spans="13:13" ht="15.75" x14ac:dyDescent="0.25">
      <c r="M1818" t="s">
        <v>1733</v>
      </c>
    </row>
    <row r="1819" spans="13:13" ht="15.75" x14ac:dyDescent="0.25">
      <c r="M1819" t="s">
        <v>1734</v>
      </c>
    </row>
    <row r="1820" spans="13:13" ht="15.75" x14ac:dyDescent="0.25">
      <c r="M1820" t="s">
        <v>1735</v>
      </c>
    </row>
    <row r="1821" spans="13:13" ht="15.75" x14ac:dyDescent="0.25">
      <c r="M1821" t="s">
        <v>1736</v>
      </c>
    </row>
    <row r="1822" spans="13:13" ht="15.75" x14ac:dyDescent="0.25">
      <c r="M1822" t="s">
        <v>1737</v>
      </c>
    </row>
    <row r="1823" spans="13:13" ht="15.75" x14ac:dyDescent="0.25">
      <c r="M1823" t="s">
        <v>161</v>
      </c>
    </row>
    <row r="1824" spans="13:13" ht="15.75" x14ac:dyDescent="0.25">
      <c r="M1824" t="s">
        <v>1738</v>
      </c>
    </row>
    <row r="1825" spans="13:13" ht="15.75" x14ac:dyDescent="0.25">
      <c r="M1825" t="s">
        <v>1739</v>
      </c>
    </row>
    <row r="1826" spans="13:13" ht="15.75" x14ac:dyDescent="0.25">
      <c r="M1826" t="s">
        <v>1740</v>
      </c>
    </row>
    <row r="1827" spans="13:13" ht="15.75" x14ac:dyDescent="0.25">
      <c r="M1827" t="s">
        <v>1741</v>
      </c>
    </row>
    <row r="1828" spans="13:13" ht="15.75" x14ac:dyDescent="0.25">
      <c r="M1828" t="s">
        <v>1742</v>
      </c>
    </row>
    <row r="1829" spans="13:13" ht="15.75" x14ac:dyDescent="0.25">
      <c r="M1829" t="s">
        <v>1743</v>
      </c>
    </row>
    <row r="1830" spans="13:13" ht="15.75" x14ac:dyDescent="0.25">
      <c r="M1830" t="s">
        <v>1744</v>
      </c>
    </row>
    <row r="1831" spans="13:13" ht="15.75" x14ac:dyDescent="0.25">
      <c r="M1831" t="s">
        <v>1745</v>
      </c>
    </row>
    <row r="1832" spans="13:13" ht="15.75" x14ac:dyDescent="0.25">
      <c r="M1832" t="s">
        <v>1746</v>
      </c>
    </row>
    <row r="1833" spans="13:13" ht="15.75" x14ac:dyDescent="0.25">
      <c r="M1833" t="s">
        <v>1747</v>
      </c>
    </row>
    <row r="1834" spans="13:13" ht="15.75" x14ac:dyDescent="0.25">
      <c r="M1834" t="s">
        <v>901</v>
      </c>
    </row>
    <row r="1835" spans="13:13" ht="15.75" x14ac:dyDescent="0.25">
      <c r="M1835" t="s">
        <v>1748</v>
      </c>
    </row>
    <row r="1836" spans="13:13" ht="15.75" x14ac:dyDescent="0.25">
      <c r="M1836" t="s">
        <v>1749</v>
      </c>
    </row>
    <row r="1837" spans="13:13" ht="15.75" x14ac:dyDescent="0.25">
      <c r="M1837" t="s">
        <v>1750</v>
      </c>
    </row>
    <row r="1838" spans="13:13" ht="15.75" x14ac:dyDescent="0.25">
      <c r="M1838" t="s">
        <v>1751</v>
      </c>
    </row>
    <row r="1839" spans="13:13" ht="15.75" x14ac:dyDescent="0.25">
      <c r="M1839" t="s">
        <v>1752</v>
      </c>
    </row>
    <row r="1840" spans="13:13" ht="15.75" x14ac:dyDescent="0.25">
      <c r="M1840" t="s">
        <v>1753</v>
      </c>
    </row>
    <row r="1841" spans="13:13" ht="15.75" x14ac:dyDescent="0.25">
      <c r="M1841" t="s">
        <v>1754</v>
      </c>
    </row>
    <row r="1842" spans="13:13" ht="15.75" x14ac:dyDescent="0.25">
      <c r="M1842" t="s">
        <v>1755</v>
      </c>
    </row>
    <row r="1843" spans="13:13" ht="15.75" x14ac:dyDescent="0.25">
      <c r="M1843" t="s">
        <v>1756</v>
      </c>
    </row>
    <row r="1844" spans="13:13" ht="15.75" x14ac:dyDescent="0.25">
      <c r="M1844" t="s">
        <v>1757</v>
      </c>
    </row>
    <row r="1845" spans="13:13" ht="15.75" x14ac:dyDescent="0.25">
      <c r="M1845" t="s">
        <v>1758</v>
      </c>
    </row>
    <row r="1846" spans="13:13" ht="15.75" x14ac:dyDescent="0.25">
      <c r="M1846" t="s">
        <v>1759</v>
      </c>
    </row>
    <row r="1847" spans="13:13" ht="15.75" x14ac:dyDescent="0.25">
      <c r="M1847" t="s">
        <v>1760</v>
      </c>
    </row>
    <row r="1848" spans="13:13" ht="15.75" x14ac:dyDescent="0.25">
      <c r="M1848" t="s">
        <v>1761</v>
      </c>
    </row>
    <row r="1849" spans="13:13" ht="15.75" x14ac:dyDescent="0.25">
      <c r="M1849" t="s">
        <v>1762</v>
      </c>
    </row>
    <row r="1850" spans="13:13" ht="15.75" x14ac:dyDescent="0.25">
      <c r="M1850" t="s">
        <v>1763</v>
      </c>
    </row>
    <row r="1851" spans="13:13" ht="15.75" x14ac:dyDescent="0.25">
      <c r="M1851" t="s">
        <v>1764</v>
      </c>
    </row>
    <row r="1852" spans="13:13" ht="15.75" x14ac:dyDescent="0.25">
      <c r="M1852" t="s">
        <v>1765</v>
      </c>
    </row>
    <row r="1853" spans="13:13" ht="15.75" x14ac:dyDescent="0.25">
      <c r="M1853" t="s">
        <v>83</v>
      </c>
    </row>
    <row r="1854" spans="13:13" ht="15.75" x14ac:dyDescent="0.25">
      <c r="M1854" t="s">
        <v>1766</v>
      </c>
    </row>
    <row r="1855" spans="13:13" ht="15.75" x14ac:dyDescent="0.25">
      <c r="M1855" t="s">
        <v>72</v>
      </c>
    </row>
    <row r="1856" spans="13:13" ht="15.75" x14ac:dyDescent="0.25">
      <c r="M1856" t="s">
        <v>1767</v>
      </c>
    </row>
    <row r="1857" spans="13:13" ht="15.75" x14ac:dyDescent="0.25">
      <c r="M1857" t="s">
        <v>1768</v>
      </c>
    </row>
    <row r="1858" spans="13:13" ht="15.75" x14ac:dyDescent="0.25">
      <c r="M1858" t="s">
        <v>1769</v>
      </c>
    </row>
    <row r="1859" spans="13:13" ht="15.75" x14ac:dyDescent="0.25">
      <c r="M1859" t="s">
        <v>1770</v>
      </c>
    </row>
    <row r="1860" spans="13:13" ht="15.75" x14ac:dyDescent="0.25">
      <c r="M1860" t="s">
        <v>1771</v>
      </c>
    </row>
    <row r="1861" spans="13:13" ht="15.75" x14ac:dyDescent="0.25">
      <c r="M1861" t="s">
        <v>1092</v>
      </c>
    </row>
    <row r="1862" spans="13:13" ht="15.75" x14ac:dyDescent="0.25">
      <c r="M1862" t="s">
        <v>1772</v>
      </c>
    </row>
    <row r="1863" spans="13:13" ht="15.75" x14ac:dyDescent="0.25">
      <c r="M1863" t="s">
        <v>1773</v>
      </c>
    </row>
    <row r="1864" spans="13:13" ht="15.75" x14ac:dyDescent="0.25">
      <c r="M1864" t="s">
        <v>1774</v>
      </c>
    </row>
    <row r="1865" spans="13:13" ht="15.75" x14ac:dyDescent="0.25">
      <c r="M1865" t="s">
        <v>1775</v>
      </c>
    </row>
    <row r="1866" spans="13:13" ht="15.75" x14ac:dyDescent="0.25">
      <c r="M1866" t="s">
        <v>1776</v>
      </c>
    </row>
    <row r="1867" spans="13:13" ht="15.75" x14ac:dyDescent="0.25">
      <c r="M1867" t="s">
        <v>1777</v>
      </c>
    </row>
    <row r="1868" spans="13:13" ht="15.75" x14ac:dyDescent="0.25">
      <c r="M1868" t="s">
        <v>1778</v>
      </c>
    </row>
    <row r="1869" spans="13:13" ht="15.75" x14ac:dyDescent="0.25">
      <c r="M1869" t="s">
        <v>1779</v>
      </c>
    </row>
    <row r="1870" spans="13:13" ht="15.75" x14ac:dyDescent="0.25">
      <c r="M1870" t="s">
        <v>41</v>
      </c>
    </row>
    <row r="1871" spans="13:13" ht="15.75" x14ac:dyDescent="0.25">
      <c r="M1871" t="s">
        <v>1780</v>
      </c>
    </row>
    <row r="1872" spans="13:13" ht="15.75" x14ac:dyDescent="0.25">
      <c r="M1872" t="s">
        <v>1781</v>
      </c>
    </row>
    <row r="1873" spans="13:13" ht="15.75" x14ac:dyDescent="0.25">
      <c r="M1873" t="s">
        <v>1782</v>
      </c>
    </row>
    <row r="1874" spans="13:13" ht="15.75" x14ac:dyDescent="0.25">
      <c r="M1874" t="s">
        <v>1783</v>
      </c>
    </row>
    <row r="1875" spans="13:13" ht="15.75" x14ac:dyDescent="0.25">
      <c r="M1875" t="s">
        <v>1784</v>
      </c>
    </row>
    <row r="1876" spans="13:13" ht="15.75" x14ac:dyDescent="0.25">
      <c r="M1876" t="s">
        <v>1785</v>
      </c>
    </row>
    <row r="1877" spans="13:13" ht="15.75" x14ac:dyDescent="0.25">
      <c r="M1877" t="s">
        <v>1786</v>
      </c>
    </row>
    <row r="1878" spans="13:13" ht="15.75" x14ac:dyDescent="0.25">
      <c r="M1878" t="s">
        <v>1787</v>
      </c>
    </row>
    <row r="1879" spans="13:13" ht="15.75" x14ac:dyDescent="0.25">
      <c r="M1879" t="s">
        <v>1788</v>
      </c>
    </row>
    <row r="1880" spans="13:13" ht="15.75" x14ac:dyDescent="0.25">
      <c r="M1880" t="s">
        <v>1789</v>
      </c>
    </row>
    <row r="1881" spans="13:13" ht="15.75" x14ac:dyDescent="0.25">
      <c r="M1881" t="s">
        <v>1790</v>
      </c>
    </row>
    <row r="1882" spans="13:13" ht="15.75" x14ac:dyDescent="0.25">
      <c r="M1882" t="s">
        <v>1791</v>
      </c>
    </row>
    <row r="1883" spans="13:13" ht="15.75" x14ac:dyDescent="0.25">
      <c r="M1883" t="s">
        <v>1792</v>
      </c>
    </row>
    <row r="1884" spans="13:13" ht="15.75" x14ac:dyDescent="0.25">
      <c r="M1884" t="s">
        <v>1793</v>
      </c>
    </row>
    <row r="1885" spans="13:13" ht="15.75" x14ac:dyDescent="0.25">
      <c r="M1885" t="s">
        <v>1794</v>
      </c>
    </row>
    <row r="1886" spans="13:13" ht="15.75" x14ac:dyDescent="0.25">
      <c r="M1886" t="s">
        <v>1795</v>
      </c>
    </row>
    <row r="1887" spans="13:13" ht="15.75" x14ac:dyDescent="0.25">
      <c r="M1887" t="s">
        <v>1796</v>
      </c>
    </row>
    <row r="1888" spans="13:13" ht="15.75" x14ac:dyDescent="0.25">
      <c r="M1888" t="s">
        <v>1797</v>
      </c>
    </row>
    <row r="1889" spans="13:13" ht="15.75" x14ac:dyDescent="0.25">
      <c r="M1889" t="s">
        <v>1798</v>
      </c>
    </row>
    <row r="1890" spans="13:13" ht="15.75" x14ac:dyDescent="0.25">
      <c r="M1890" t="s">
        <v>1799</v>
      </c>
    </row>
    <row r="1891" spans="13:13" ht="15.75" x14ac:dyDescent="0.25">
      <c r="M1891" t="s">
        <v>1800</v>
      </c>
    </row>
    <row r="1892" spans="13:13" ht="15.75" x14ac:dyDescent="0.25">
      <c r="M1892" t="s">
        <v>46</v>
      </c>
    </row>
    <row r="1893" spans="13:13" ht="15.75" x14ac:dyDescent="0.25">
      <c r="M1893" t="s">
        <v>1801</v>
      </c>
    </row>
    <row r="1894" spans="13:13" ht="15.75" x14ac:dyDescent="0.25">
      <c r="M1894" t="s">
        <v>1802</v>
      </c>
    </row>
    <row r="1895" spans="13:13" ht="15.75" x14ac:dyDescent="0.25">
      <c r="M1895" t="s">
        <v>1803</v>
      </c>
    </row>
    <row r="1896" spans="13:13" ht="15.75" x14ac:dyDescent="0.25">
      <c r="M1896" t="s">
        <v>1804</v>
      </c>
    </row>
    <row r="1897" spans="13:13" ht="15.75" x14ac:dyDescent="0.25">
      <c r="M1897" t="s">
        <v>1805</v>
      </c>
    </row>
    <row r="1898" spans="13:13" ht="15.75" x14ac:dyDescent="0.25">
      <c r="M1898" t="s">
        <v>1806</v>
      </c>
    </row>
    <row r="1899" spans="13:13" ht="15.75" x14ac:dyDescent="0.25">
      <c r="M1899" t="s">
        <v>1807</v>
      </c>
    </row>
    <row r="1900" spans="13:13" ht="15.75" x14ac:dyDescent="0.25">
      <c r="M1900" t="s">
        <v>1808</v>
      </c>
    </row>
    <row r="1901" spans="13:13" ht="15.75" x14ac:dyDescent="0.25">
      <c r="M1901" t="s">
        <v>1809</v>
      </c>
    </row>
    <row r="1902" spans="13:13" ht="15.75" x14ac:dyDescent="0.25">
      <c r="M1902" t="s">
        <v>1810</v>
      </c>
    </row>
    <row r="1903" spans="13:13" ht="15.75" x14ac:dyDescent="0.25">
      <c r="M1903" t="s">
        <v>1811</v>
      </c>
    </row>
    <row r="1904" spans="13:13" ht="15.75" x14ac:dyDescent="0.25">
      <c r="M1904" t="s">
        <v>1812</v>
      </c>
    </row>
    <row r="1905" spans="13:13" ht="15.75" x14ac:dyDescent="0.25">
      <c r="M1905" t="s">
        <v>1813</v>
      </c>
    </row>
    <row r="1906" spans="13:13" ht="15.75" x14ac:dyDescent="0.25">
      <c r="M1906" t="s">
        <v>1814</v>
      </c>
    </row>
    <row r="1907" spans="13:13" ht="15.75" x14ac:dyDescent="0.25">
      <c r="M1907" t="s">
        <v>1815</v>
      </c>
    </row>
    <row r="1908" spans="13:13" ht="15.75" x14ac:dyDescent="0.25">
      <c r="M1908" t="s">
        <v>1816</v>
      </c>
    </row>
    <row r="1909" spans="13:13" ht="15.75" x14ac:dyDescent="0.25">
      <c r="M1909" t="s">
        <v>1817</v>
      </c>
    </row>
    <row r="1910" spans="13:13" ht="15.75" x14ac:dyDescent="0.25">
      <c r="M1910" t="s">
        <v>1818</v>
      </c>
    </row>
    <row r="1911" spans="13:13" ht="15.75" x14ac:dyDescent="0.25">
      <c r="M1911" t="s">
        <v>1819</v>
      </c>
    </row>
    <row r="1912" spans="13:13" ht="15.75" x14ac:dyDescent="0.25">
      <c r="M1912" t="s">
        <v>1820</v>
      </c>
    </row>
    <row r="1913" spans="13:13" ht="15.75" x14ac:dyDescent="0.25">
      <c r="M1913" t="s">
        <v>286</v>
      </c>
    </row>
    <row r="1914" spans="13:13" ht="15.75" x14ac:dyDescent="0.25">
      <c r="M1914" t="s">
        <v>1821</v>
      </c>
    </row>
    <row r="1915" spans="13:13" ht="15.75" x14ac:dyDescent="0.25">
      <c r="M1915" t="s">
        <v>1822</v>
      </c>
    </row>
    <row r="1916" spans="13:13" ht="15.75" x14ac:dyDescent="0.25">
      <c r="M1916" t="s">
        <v>1823</v>
      </c>
    </row>
    <row r="1917" spans="13:13" ht="15.75" x14ac:dyDescent="0.25">
      <c r="M1917" t="s">
        <v>1824</v>
      </c>
    </row>
    <row r="1918" spans="13:13" ht="15.75" x14ac:dyDescent="0.25">
      <c r="M1918" t="s">
        <v>1825</v>
      </c>
    </row>
    <row r="1919" spans="13:13" ht="15.75" x14ac:dyDescent="0.25">
      <c r="M1919" t="s">
        <v>1826</v>
      </c>
    </row>
    <row r="1920" spans="13:13" ht="15.75" x14ac:dyDescent="0.25">
      <c r="M1920" t="s">
        <v>1827</v>
      </c>
    </row>
    <row r="1921" spans="13:13" ht="15.75" x14ac:dyDescent="0.25">
      <c r="M1921" t="s">
        <v>100</v>
      </c>
    </row>
    <row r="1922" spans="13:13" ht="15.75" x14ac:dyDescent="0.25">
      <c r="M1922" t="s">
        <v>1828</v>
      </c>
    </row>
    <row r="1923" spans="13:13" ht="15.75" x14ac:dyDescent="0.25">
      <c r="M1923" t="s">
        <v>1829</v>
      </c>
    </row>
    <row r="1924" spans="13:13" ht="15.75" x14ac:dyDescent="0.25">
      <c r="M1924" t="s">
        <v>1110</v>
      </c>
    </row>
    <row r="1925" spans="13:13" ht="15.75" x14ac:dyDescent="0.25">
      <c r="M1925" t="s">
        <v>1110</v>
      </c>
    </row>
    <row r="1926" spans="13:13" ht="15.75" x14ac:dyDescent="0.25">
      <c r="M1926" t="s">
        <v>1830</v>
      </c>
    </row>
    <row r="1927" spans="13:13" ht="15.75" x14ac:dyDescent="0.25">
      <c r="M1927" t="s">
        <v>1831</v>
      </c>
    </row>
    <row r="1928" spans="13:13" ht="15.75" x14ac:dyDescent="0.25">
      <c r="M1928" t="s">
        <v>1832</v>
      </c>
    </row>
    <row r="1929" spans="13:13" ht="15.75" x14ac:dyDescent="0.25">
      <c r="M1929" t="s">
        <v>1833</v>
      </c>
    </row>
    <row r="1930" spans="13:13" ht="15.75" x14ac:dyDescent="0.25">
      <c r="M1930" t="s">
        <v>1589</v>
      </c>
    </row>
    <row r="1931" spans="13:13" ht="15.75" x14ac:dyDescent="0.25">
      <c r="M1931" t="s">
        <v>1834</v>
      </c>
    </row>
    <row r="1932" spans="13:13" ht="15.75" x14ac:dyDescent="0.25">
      <c r="M1932" t="s">
        <v>1835</v>
      </c>
    </row>
    <row r="1933" spans="13:13" ht="15.75" x14ac:dyDescent="0.25">
      <c r="M1933" t="s">
        <v>1836</v>
      </c>
    </row>
    <row r="1934" spans="13:13" ht="15.75" x14ac:dyDescent="0.25">
      <c r="M1934" t="s">
        <v>1837</v>
      </c>
    </row>
    <row r="1935" spans="13:13" ht="15.75" x14ac:dyDescent="0.25">
      <c r="M1935" t="s">
        <v>1838</v>
      </c>
    </row>
    <row r="1936" spans="13:13" ht="15.75" x14ac:dyDescent="0.25">
      <c r="M1936" t="s">
        <v>86</v>
      </c>
    </row>
    <row r="1937" spans="13:13" ht="15.75" x14ac:dyDescent="0.25">
      <c r="M1937" t="s">
        <v>1839</v>
      </c>
    </row>
    <row r="1938" spans="13:13" ht="15.75" x14ac:dyDescent="0.25">
      <c r="M1938" t="s">
        <v>1840</v>
      </c>
    </row>
    <row r="1939" spans="13:13" ht="15.75" x14ac:dyDescent="0.25">
      <c r="M1939" t="s">
        <v>1841</v>
      </c>
    </row>
    <row r="1940" spans="13:13" ht="15.75" x14ac:dyDescent="0.25">
      <c r="M1940" t="s">
        <v>1842</v>
      </c>
    </row>
    <row r="1941" spans="13:13" ht="15.75" x14ac:dyDescent="0.25">
      <c r="M1941" t="s">
        <v>1843</v>
      </c>
    </row>
    <row r="1942" spans="13:13" ht="15.75" x14ac:dyDescent="0.25">
      <c r="M1942" t="s">
        <v>1844</v>
      </c>
    </row>
    <row r="1943" spans="13:13" ht="15.75" x14ac:dyDescent="0.25">
      <c r="M1943" t="s">
        <v>1845</v>
      </c>
    </row>
    <row r="1944" spans="13:13" ht="15.75" x14ac:dyDescent="0.25">
      <c r="M1944" t="s">
        <v>1846</v>
      </c>
    </row>
    <row r="1945" spans="13:13" ht="15.75" x14ac:dyDescent="0.25">
      <c r="M1945" t="s">
        <v>1847</v>
      </c>
    </row>
    <row r="1946" spans="13:13" ht="15.75" x14ac:dyDescent="0.25">
      <c r="M1946" t="s">
        <v>1848</v>
      </c>
    </row>
    <row r="1947" spans="13:13" ht="15.75" x14ac:dyDescent="0.25">
      <c r="M1947" t="s">
        <v>1849</v>
      </c>
    </row>
    <row r="1948" spans="13:13" ht="15.75" x14ac:dyDescent="0.25">
      <c r="M1948" t="s">
        <v>1850</v>
      </c>
    </row>
    <row r="1949" spans="13:13" ht="15.75" x14ac:dyDescent="0.25">
      <c r="M1949" t="s">
        <v>1851</v>
      </c>
    </row>
    <row r="1950" spans="13:13" ht="15.75" x14ac:dyDescent="0.25">
      <c r="M1950" t="s">
        <v>1852</v>
      </c>
    </row>
    <row r="1951" spans="13:13" ht="15.75" x14ac:dyDescent="0.25">
      <c r="M1951" t="s">
        <v>1853</v>
      </c>
    </row>
    <row r="1952" spans="13:13" ht="15.75" x14ac:dyDescent="0.25">
      <c r="M1952" t="s">
        <v>1854</v>
      </c>
    </row>
    <row r="1953" spans="13:13" ht="15.75" x14ac:dyDescent="0.25">
      <c r="M1953" t="s">
        <v>1855</v>
      </c>
    </row>
    <row r="1954" spans="13:13" ht="15.75" x14ac:dyDescent="0.25">
      <c r="M1954" t="s">
        <v>1856</v>
      </c>
    </row>
    <row r="1955" spans="13:13" ht="15.75" x14ac:dyDescent="0.25">
      <c r="M1955" t="s">
        <v>1857</v>
      </c>
    </row>
    <row r="1956" spans="13:13" ht="15.75" x14ac:dyDescent="0.25">
      <c r="M1956" t="s">
        <v>1858</v>
      </c>
    </row>
    <row r="1957" spans="13:13" ht="15.75" x14ac:dyDescent="0.25">
      <c r="M1957" t="s">
        <v>1859</v>
      </c>
    </row>
    <row r="1958" spans="13:13" ht="15.75" x14ac:dyDescent="0.25">
      <c r="M1958" t="s">
        <v>1860</v>
      </c>
    </row>
    <row r="1959" spans="13:13" ht="15.75" x14ac:dyDescent="0.25">
      <c r="M1959" t="s">
        <v>1861</v>
      </c>
    </row>
    <row r="1960" spans="13:13" ht="15.75" x14ac:dyDescent="0.25">
      <c r="M1960" t="s">
        <v>1862</v>
      </c>
    </row>
    <row r="1961" spans="13:13" ht="15.75" x14ac:dyDescent="0.25">
      <c r="M1961" t="s">
        <v>1863</v>
      </c>
    </row>
    <row r="1962" spans="13:13" ht="15.75" x14ac:dyDescent="0.25">
      <c r="M1962" t="s">
        <v>1864</v>
      </c>
    </row>
    <row r="1963" spans="13:13" ht="15.75" x14ac:dyDescent="0.25">
      <c r="M1963" t="s">
        <v>423</v>
      </c>
    </row>
    <row r="1964" spans="13:13" ht="15.75" x14ac:dyDescent="0.25">
      <c r="M1964" t="s">
        <v>1865</v>
      </c>
    </row>
    <row r="1965" spans="13:13" ht="15.75" x14ac:dyDescent="0.25">
      <c r="M1965" t="s">
        <v>1866</v>
      </c>
    </row>
    <row r="1966" spans="13:13" ht="15.75" x14ac:dyDescent="0.25">
      <c r="M1966" t="s">
        <v>1867</v>
      </c>
    </row>
    <row r="1967" spans="13:13" ht="15.75" x14ac:dyDescent="0.25">
      <c r="M1967" t="s">
        <v>1868</v>
      </c>
    </row>
    <row r="1968" spans="13:13" ht="15.75" x14ac:dyDescent="0.25">
      <c r="M1968" t="s">
        <v>1869</v>
      </c>
    </row>
    <row r="1969" spans="13:13" ht="15.75" x14ac:dyDescent="0.25">
      <c r="M1969" t="s">
        <v>1870</v>
      </c>
    </row>
    <row r="1970" spans="13:13" ht="15.75" x14ac:dyDescent="0.25">
      <c r="M1970" t="s">
        <v>1871</v>
      </c>
    </row>
    <row r="1971" spans="13:13" ht="15.75" x14ac:dyDescent="0.25">
      <c r="M1971" t="s">
        <v>1872</v>
      </c>
    </row>
    <row r="1972" spans="13:13" ht="15.75" x14ac:dyDescent="0.25">
      <c r="M1972" t="s">
        <v>1873</v>
      </c>
    </row>
    <row r="1973" spans="13:13" ht="15.75" x14ac:dyDescent="0.25">
      <c r="M1973" t="s">
        <v>1874</v>
      </c>
    </row>
    <row r="1974" spans="13:13" ht="15.75" x14ac:dyDescent="0.25">
      <c r="M1974" t="s">
        <v>1875</v>
      </c>
    </row>
    <row r="1975" spans="13:13" ht="15.75" x14ac:dyDescent="0.25">
      <c r="M1975" t="s">
        <v>1876</v>
      </c>
    </row>
    <row r="1976" spans="13:13" ht="15.75" x14ac:dyDescent="0.25">
      <c r="M1976" t="s">
        <v>1877</v>
      </c>
    </row>
    <row r="1977" spans="13:13" ht="15.75" x14ac:dyDescent="0.25">
      <c r="M1977" t="s">
        <v>1878</v>
      </c>
    </row>
    <row r="1978" spans="13:13" ht="15.75" x14ac:dyDescent="0.25">
      <c r="M1978" t="s">
        <v>1879</v>
      </c>
    </row>
    <row r="1979" spans="13:13" ht="15.75" x14ac:dyDescent="0.25">
      <c r="M1979" t="s">
        <v>1880</v>
      </c>
    </row>
    <row r="1980" spans="13:13" ht="15.75" x14ac:dyDescent="0.25">
      <c r="M1980" t="s">
        <v>1735</v>
      </c>
    </row>
    <row r="1981" spans="13:13" ht="15.75" x14ac:dyDescent="0.25">
      <c r="M1981" t="s">
        <v>1881</v>
      </c>
    </row>
    <row r="1982" spans="13:13" ht="15.75" x14ac:dyDescent="0.25">
      <c r="M1982" t="s">
        <v>1882</v>
      </c>
    </row>
    <row r="1983" spans="13:13" ht="15.75" x14ac:dyDescent="0.25">
      <c r="M1983" t="s">
        <v>1883</v>
      </c>
    </row>
    <row r="1984" spans="13:13" ht="15.75" x14ac:dyDescent="0.25">
      <c r="M1984" t="s">
        <v>1884</v>
      </c>
    </row>
    <row r="1985" spans="13:13" ht="15.75" x14ac:dyDescent="0.25">
      <c r="M1985" t="s">
        <v>1885</v>
      </c>
    </row>
    <row r="1986" spans="13:13" ht="15.75" x14ac:dyDescent="0.25">
      <c r="M1986" t="s">
        <v>1886</v>
      </c>
    </row>
    <row r="1987" spans="13:13" ht="15.75" x14ac:dyDescent="0.25">
      <c r="M1987" t="s">
        <v>1887</v>
      </c>
    </row>
    <row r="1988" spans="13:13" ht="15.75" x14ac:dyDescent="0.25">
      <c r="M1988" t="s">
        <v>1888</v>
      </c>
    </row>
    <row r="1989" spans="13:13" ht="15.75" x14ac:dyDescent="0.25">
      <c r="M1989" t="s">
        <v>1889</v>
      </c>
    </row>
    <row r="1990" spans="13:13" ht="15.75" x14ac:dyDescent="0.25">
      <c r="M1990" t="s">
        <v>1890</v>
      </c>
    </row>
    <row r="1991" spans="13:13" ht="15.75" x14ac:dyDescent="0.25">
      <c r="M1991" t="s">
        <v>1891</v>
      </c>
    </row>
    <row r="1992" spans="13:13" ht="15.75" x14ac:dyDescent="0.25">
      <c r="M1992" t="s">
        <v>1892</v>
      </c>
    </row>
    <row r="1993" spans="13:13" ht="15.75" x14ac:dyDescent="0.25">
      <c r="M1993" t="s">
        <v>1860</v>
      </c>
    </row>
    <row r="1994" spans="13:13" ht="15.75" x14ac:dyDescent="0.25">
      <c r="M1994" t="s">
        <v>1893</v>
      </c>
    </row>
    <row r="1995" spans="13:13" ht="15.75" x14ac:dyDescent="0.25">
      <c r="M1995" t="s">
        <v>1894</v>
      </c>
    </row>
    <row r="1996" spans="13:13" ht="15.75" x14ac:dyDescent="0.25">
      <c r="M1996" t="s">
        <v>1895</v>
      </c>
    </row>
    <row r="1997" spans="13:13" ht="15.75" x14ac:dyDescent="0.25">
      <c r="M1997" t="s">
        <v>1896</v>
      </c>
    </row>
    <row r="1998" spans="13:13" ht="15.75" x14ac:dyDescent="0.25">
      <c r="M1998" t="s">
        <v>1897</v>
      </c>
    </row>
    <row r="1999" spans="13:13" ht="15.75" x14ac:dyDescent="0.25">
      <c r="M1999" t="s">
        <v>1898</v>
      </c>
    </row>
    <row r="2000" spans="13:13" ht="15.75" x14ac:dyDescent="0.25">
      <c r="M2000" t="s">
        <v>1899</v>
      </c>
    </row>
    <row r="2001" spans="13:13" ht="15.75" x14ac:dyDescent="0.25">
      <c r="M2001" t="s">
        <v>1900</v>
      </c>
    </row>
    <row r="2002" spans="13:13" ht="15.75" x14ac:dyDescent="0.25">
      <c r="M2002" t="s">
        <v>1901</v>
      </c>
    </row>
    <row r="2003" spans="13:13" ht="15.75" x14ac:dyDescent="0.25">
      <c r="M2003" t="s">
        <v>1902</v>
      </c>
    </row>
    <row r="2004" spans="13:13" ht="15.75" x14ac:dyDescent="0.25">
      <c r="M2004" t="s">
        <v>1903</v>
      </c>
    </row>
    <row r="2005" spans="13:13" ht="15.75" x14ac:dyDescent="0.25">
      <c r="M2005" t="s">
        <v>1904</v>
      </c>
    </row>
    <row r="2006" spans="13:13" ht="15.75" x14ac:dyDescent="0.25">
      <c r="M2006" t="s">
        <v>1905</v>
      </c>
    </row>
    <row r="2007" spans="13:13" ht="15.75" x14ac:dyDescent="0.25">
      <c r="M2007" t="s">
        <v>674</v>
      </c>
    </row>
    <row r="2008" spans="13:13" ht="15.75" x14ac:dyDescent="0.25">
      <c r="M2008" t="s">
        <v>110</v>
      </c>
    </row>
    <row r="2009" spans="13:13" ht="15.75" x14ac:dyDescent="0.25">
      <c r="M2009" t="s">
        <v>1906</v>
      </c>
    </row>
    <row r="2010" spans="13:13" ht="15.75" x14ac:dyDescent="0.25">
      <c r="M2010" t="s">
        <v>1907</v>
      </c>
    </row>
    <row r="2011" spans="13:13" ht="15.75" x14ac:dyDescent="0.25">
      <c r="M2011" t="s">
        <v>1908</v>
      </c>
    </row>
    <row r="2012" spans="13:13" ht="15.75" x14ac:dyDescent="0.25">
      <c r="M2012" t="s">
        <v>1909</v>
      </c>
    </row>
    <row r="2013" spans="13:13" ht="15.75" x14ac:dyDescent="0.25">
      <c r="M2013" t="s">
        <v>1910</v>
      </c>
    </row>
    <row r="2014" spans="13:13" ht="15.75" x14ac:dyDescent="0.25">
      <c r="M2014" t="s">
        <v>1911</v>
      </c>
    </row>
    <row r="2015" spans="13:13" ht="15.75" x14ac:dyDescent="0.25">
      <c r="M2015" t="s">
        <v>1912</v>
      </c>
    </row>
    <row r="2016" spans="13:13" ht="15.75" x14ac:dyDescent="0.25">
      <c r="M2016" t="s">
        <v>1913</v>
      </c>
    </row>
    <row r="2017" spans="13:13" ht="15.75" x14ac:dyDescent="0.25">
      <c r="M2017" t="s">
        <v>1914</v>
      </c>
    </row>
    <row r="2018" spans="13:13" ht="15.75" x14ac:dyDescent="0.25">
      <c r="M2018" t="s">
        <v>1915</v>
      </c>
    </row>
    <row r="2019" spans="13:13" ht="15.75" x14ac:dyDescent="0.25">
      <c r="M2019" t="s">
        <v>1916</v>
      </c>
    </row>
    <row r="2020" spans="13:13" ht="15.75" x14ac:dyDescent="0.25">
      <c r="M2020" t="s">
        <v>1917</v>
      </c>
    </row>
    <row r="2021" spans="13:13" ht="15.75" x14ac:dyDescent="0.25">
      <c r="M2021" t="s">
        <v>1918</v>
      </c>
    </row>
    <row r="2022" spans="13:13" ht="15.75" x14ac:dyDescent="0.25">
      <c r="M2022" t="s">
        <v>1919</v>
      </c>
    </row>
    <row r="2023" spans="13:13" ht="15.75" x14ac:dyDescent="0.25">
      <c r="M2023" t="s">
        <v>1920</v>
      </c>
    </row>
    <row r="2024" spans="13:13" ht="15.75" x14ac:dyDescent="0.25">
      <c r="M2024" t="s">
        <v>1921</v>
      </c>
    </row>
    <row r="2025" spans="13:13" ht="15.75" x14ac:dyDescent="0.25">
      <c r="M2025" t="s">
        <v>1922</v>
      </c>
    </row>
    <row r="2026" spans="13:13" ht="15.75" x14ac:dyDescent="0.25">
      <c r="M2026" t="s">
        <v>1923</v>
      </c>
    </row>
    <row r="2027" spans="13:13" ht="15.75" x14ac:dyDescent="0.25">
      <c r="M2027" t="s">
        <v>1924</v>
      </c>
    </row>
    <row r="2028" spans="13:13" ht="15.75" x14ac:dyDescent="0.25">
      <c r="M2028" t="s">
        <v>1925</v>
      </c>
    </row>
    <row r="2029" spans="13:13" ht="15.75" x14ac:dyDescent="0.25">
      <c r="M2029" t="s">
        <v>1926</v>
      </c>
    </row>
    <row r="2030" spans="13:13" ht="15.75" x14ac:dyDescent="0.25">
      <c r="M2030" t="s">
        <v>1927</v>
      </c>
    </row>
    <row r="2031" spans="13:13" ht="15.75" x14ac:dyDescent="0.25">
      <c r="M2031" t="s">
        <v>1928</v>
      </c>
    </row>
    <row r="2032" spans="13:13" ht="15.75" x14ac:dyDescent="0.25">
      <c r="M2032" t="s">
        <v>1929</v>
      </c>
    </row>
    <row r="2033" spans="13:13" ht="15.75" x14ac:dyDescent="0.25">
      <c r="M2033" t="s">
        <v>1930</v>
      </c>
    </row>
    <row r="2034" spans="13:13" ht="15.75" x14ac:dyDescent="0.25">
      <c r="M2034" t="s">
        <v>1931</v>
      </c>
    </row>
    <row r="2035" spans="13:13" ht="15.75" x14ac:dyDescent="0.25">
      <c r="M2035" t="s">
        <v>1930</v>
      </c>
    </row>
    <row r="2036" spans="13:13" ht="15.75" x14ac:dyDescent="0.25">
      <c r="M2036" t="s">
        <v>1932</v>
      </c>
    </row>
    <row r="2037" spans="13:13" ht="15.75" x14ac:dyDescent="0.25">
      <c r="M2037" t="s">
        <v>1933</v>
      </c>
    </row>
    <row r="2038" spans="13:13" ht="15.75" x14ac:dyDescent="0.25">
      <c r="M2038" t="s">
        <v>1934</v>
      </c>
    </row>
    <row r="2039" spans="13:13" ht="15.75" x14ac:dyDescent="0.25">
      <c r="M2039" t="s">
        <v>1935</v>
      </c>
    </row>
    <row r="2040" spans="13:13" ht="15.75" x14ac:dyDescent="0.25">
      <c r="M2040" t="s">
        <v>1936</v>
      </c>
    </row>
    <row r="2041" spans="13:13" ht="15.75" x14ac:dyDescent="0.25">
      <c r="M2041" t="s">
        <v>70</v>
      </c>
    </row>
    <row r="2042" spans="13:13" ht="15.75" x14ac:dyDescent="0.25">
      <c r="M2042" t="s">
        <v>1937</v>
      </c>
    </row>
    <row r="2043" spans="13:13" ht="15.75" x14ac:dyDescent="0.25">
      <c r="M2043" t="s">
        <v>1938</v>
      </c>
    </row>
    <row r="2044" spans="13:13" ht="15.75" x14ac:dyDescent="0.25">
      <c r="M2044" t="s">
        <v>63</v>
      </c>
    </row>
    <row r="2045" spans="13:13" ht="15.75" x14ac:dyDescent="0.25">
      <c r="M2045" t="s">
        <v>1917</v>
      </c>
    </row>
    <row r="2046" spans="13:13" ht="15.75" x14ac:dyDescent="0.25">
      <c r="M2046" t="s">
        <v>1939</v>
      </c>
    </row>
    <row r="2047" spans="13:13" ht="15.75" x14ac:dyDescent="0.25">
      <c r="M2047" t="s">
        <v>1940</v>
      </c>
    </row>
    <row r="2048" spans="13:13" ht="15.75" x14ac:dyDescent="0.25">
      <c r="M2048" t="s">
        <v>1941</v>
      </c>
    </row>
    <row r="2049" spans="13:13" ht="15.75" x14ac:dyDescent="0.25">
      <c r="M2049" t="s">
        <v>1942</v>
      </c>
    </row>
    <row r="2050" spans="13:13" ht="15.75" x14ac:dyDescent="0.25">
      <c r="M2050" t="s">
        <v>1605</v>
      </c>
    </row>
    <row r="2051" spans="13:13" ht="15.75" x14ac:dyDescent="0.25">
      <c r="M2051" t="s">
        <v>1943</v>
      </c>
    </row>
    <row r="2052" spans="13:13" ht="15.75" x14ac:dyDescent="0.25">
      <c r="M2052" t="s">
        <v>161</v>
      </c>
    </row>
    <row r="2053" spans="13:13" ht="15.75" x14ac:dyDescent="0.25">
      <c r="M2053" t="s">
        <v>1944</v>
      </c>
    </row>
    <row r="2054" spans="13:13" ht="15.75" x14ac:dyDescent="0.25">
      <c r="M2054" t="s">
        <v>1945</v>
      </c>
    </row>
    <row r="2055" spans="13:13" ht="15.75" x14ac:dyDescent="0.25">
      <c r="M2055" t="s">
        <v>1489</v>
      </c>
    </row>
    <row r="2056" spans="13:13" ht="15.75" x14ac:dyDescent="0.25">
      <c r="M2056" t="s">
        <v>1946</v>
      </c>
    </row>
    <row r="2057" spans="13:13" ht="15.75" x14ac:dyDescent="0.25">
      <c r="M2057" t="s">
        <v>1947</v>
      </c>
    </row>
    <row r="2058" spans="13:13" ht="15.75" x14ac:dyDescent="0.25">
      <c r="M2058" t="s">
        <v>1948</v>
      </c>
    </row>
    <row r="2059" spans="13:13" ht="15.75" x14ac:dyDescent="0.25">
      <c r="M2059" t="s">
        <v>1949</v>
      </c>
    </row>
    <row r="2060" spans="13:13" ht="15.75" x14ac:dyDescent="0.25">
      <c r="M2060" t="s">
        <v>1950</v>
      </c>
    </row>
    <row r="2061" spans="13:13" ht="15.75" x14ac:dyDescent="0.25">
      <c r="M2061" t="s">
        <v>1951</v>
      </c>
    </row>
    <row r="2062" spans="13:13" ht="15.75" x14ac:dyDescent="0.25">
      <c r="M2062" t="s">
        <v>1952</v>
      </c>
    </row>
    <row r="2063" spans="13:13" ht="15.75" x14ac:dyDescent="0.25">
      <c r="M2063" t="s">
        <v>1953</v>
      </c>
    </row>
    <row r="2064" spans="13:13" ht="15.75" x14ac:dyDescent="0.25">
      <c r="M2064" t="s">
        <v>1954</v>
      </c>
    </row>
    <row r="2065" spans="13:13" ht="15.75" x14ac:dyDescent="0.25">
      <c r="M2065" t="s">
        <v>1955</v>
      </c>
    </row>
    <row r="2066" spans="13:13" ht="15.75" x14ac:dyDescent="0.25">
      <c r="M2066" t="s">
        <v>1956</v>
      </c>
    </row>
    <row r="2067" spans="13:13" ht="15.75" x14ac:dyDescent="0.25">
      <c r="M2067" t="s">
        <v>1957</v>
      </c>
    </row>
    <row r="2068" spans="13:13" ht="15.75" x14ac:dyDescent="0.25">
      <c r="M2068" t="s">
        <v>1958</v>
      </c>
    </row>
    <row r="2069" spans="13:13" ht="15.75" x14ac:dyDescent="0.25">
      <c r="M2069" t="s">
        <v>1959</v>
      </c>
    </row>
    <row r="2070" spans="13:13" ht="15.75" x14ac:dyDescent="0.25">
      <c r="M2070" t="s">
        <v>1960</v>
      </c>
    </row>
    <row r="2071" spans="13:13" ht="15.75" x14ac:dyDescent="0.25">
      <c r="M2071" t="s">
        <v>1961</v>
      </c>
    </row>
    <row r="2072" spans="13:13" ht="15.75" x14ac:dyDescent="0.25">
      <c r="M2072" t="s">
        <v>1962</v>
      </c>
    </row>
    <row r="2073" spans="13:13" ht="15.75" x14ac:dyDescent="0.25">
      <c r="M2073" t="s">
        <v>1963</v>
      </c>
    </row>
    <row r="2074" spans="13:13" ht="15.75" x14ac:dyDescent="0.25">
      <c r="M2074" t="s">
        <v>1153</v>
      </c>
    </row>
    <row r="2075" spans="13:13" ht="15.75" x14ac:dyDescent="0.25">
      <c r="M2075" t="s">
        <v>1964</v>
      </c>
    </row>
    <row r="2076" spans="13:13" ht="15.75" x14ac:dyDescent="0.25">
      <c r="M2076" t="s">
        <v>1965</v>
      </c>
    </row>
    <row r="2077" spans="13:13" ht="15.75" x14ac:dyDescent="0.25">
      <c r="M2077" t="s">
        <v>616</v>
      </c>
    </row>
    <row r="2078" spans="13:13" ht="15.75" x14ac:dyDescent="0.25">
      <c r="M2078" t="s">
        <v>1966</v>
      </c>
    </row>
    <row r="2079" spans="13:13" ht="15.75" x14ac:dyDescent="0.25">
      <c r="M2079" t="s">
        <v>1967</v>
      </c>
    </row>
    <row r="2080" spans="13:13" ht="15.75" x14ac:dyDescent="0.25">
      <c r="M2080" t="s">
        <v>1968</v>
      </c>
    </row>
    <row r="2081" spans="13:13" ht="15.75" x14ac:dyDescent="0.25">
      <c r="M2081" t="s">
        <v>1969</v>
      </c>
    </row>
    <row r="2082" spans="13:13" ht="15.75" x14ac:dyDescent="0.25">
      <c r="M2082" t="s">
        <v>1970</v>
      </c>
    </row>
    <row r="2083" spans="13:13" ht="15.75" x14ac:dyDescent="0.25">
      <c r="M2083" t="s">
        <v>1971</v>
      </c>
    </row>
    <row r="2084" spans="13:13" ht="15.75" x14ac:dyDescent="0.25">
      <c r="M2084" t="s">
        <v>1972</v>
      </c>
    </row>
    <row r="2085" spans="13:13" ht="15.75" x14ac:dyDescent="0.25">
      <c r="M2085" t="s">
        <v>1973</v>
      </c>
    </row>
    <row r="2086" spans="13:13" ht="15.75" x14ac:dyDescent="0.25">
      <c r="M2086" t="s">
        <v>92</v>
      </c>
    </row>
    <row r="2087" spans="13:13" ht="15.75" x14ac:dyDescent="0.25">
      <c r="M2087" t="s">
        <v>1974</v>
      </c>
    </row>
    <row r="2088" spans="13:13" ht="15.75" x14ac:dyDescent="0.25">
      <c r="M2088" t="s">
        <v>1975</v>
      </c>
    </row>
    <row r="2089" spans="13:13" ht="15.75" x14ac:dyDescent="0.25">
      <c r="M2089" t="s">
        <v>1976</v>
      </c>
    </row>
    <row r="2090" spans="13:13" ht="15.75" x14ac:dyDescent="0.25">
      <c r="M2090" t="s">
        <v>1977</v>
      </c>
    </row>
    <row r="2091" spans="13:13" ht="15.75" x14ac:dyDescent="0.25">
      <c r="M2091" t="s">
        <v>1978</v>
      </c>
    </row>
    <row r="2092" spans="13:13" ht="15.75" x14ac:dyDescent="0.25">
      <c r="M2092" t="s">
        <v>1979</v>
      </c>
    </row>
    <row r="2093" spans="13:13" ht="15.75" x14ac:dyDescent="0.25">
      <c r="M2093" t="s">
        <v>1980</v>
      </c>
    </row>
    <row r="2094" spans="13:13" ht="15.75" x14ac:dyDescent="0.25">
      <c r="M2094" t="s">
        <v>1981</v>
      </c>
    </row>
    <row r="2095" spans="13:13" ht="15.75" x14ac:dyDescent="0.25">
      <c r="M2095" t="s">
        <v>1982</v>
      </c>
    </row>
    <row r="2096" spans="13:13" ht="15.75" x14ac:dyDescent="0.25">
      <c r="M2096" t="s">
        <v>1983</v>
      </c>
    </row>
    <row r="2097" spans="13:13" ht="15.75" x14ac:dyDescent="0.25">
      <c r="M2097" t="s">
        <v>1984</v>
      </c>
    </row>
    <row r="2098" spans="13:13" ht="15.75" x14ac:dyDescent="0.25">
      <c r="M2098" t="s">
        <v>1985</v>
      </c>
    </row>
    <row r="2099" spans="13:13" ht="15.75" x14ac:dyDescent="0.25">
      <c r="M2099" t="s">
        <v>209</v>
      </c>
    </row>
    <row r="2100" spans="13:13" ht="15.75" x14ac:dyDescent="0.25">
      <c r="M2100" t="s">
        <v>1986</v>
      </c>
    </row>
    <row r="2101" spans="13:13" ht="15.75" x14ac:dyDescent="0.25">
      <c r="M2101" t="s">
        <v>1987</v>
      </c>
    </row>
    <row r="2102" spans="13:13" ht="15.75" x14ac:dyDescent="0.25">
      <c r="M2102" t="s">
        <v>1988</v>
      </c>
    </row>
    <row r="2103" spans="13:13" ht="15.75" x14ac:dyDescent="0.25">
      <c r="M2103" t="s">
        <v>1989</v>
      </c>
    </row>
    <row r="2104" spans="13:13" ht="15.75" x14ac:dyDescent="0.25">
      <c r="M2104" t="s">
        <v>1990</v>
      </c>
    </row>
    <row r="2105" spans="13:13" ht="15.75" x14ac:dyDescent="0.25">
      <c r="M2105" t="s">
        <v>1991</v>
      </c>
    </row>
    <row r="2106" spans="13:13" ht="15.75" x14ac:dyDescent="0.25">
      <c r="M2106" t="s">
        <v>161</v>
      </c>
    </row>
    <row r="2107" spans="13:13" ht="15.75" x14ac:dyDescent="0.25">
      <c r="M2107" t="s">
        <v>1992</v>
      </c>
    </row>
    <row r="2108" spans="13:13" ht="15.75" x14ac:dyDescent="0.25">
      <c r="M2108" t="s">
        <v>1993</v>
      </c>
    </row>
    <row r="2109" spans="13:13" ht="15.75" x14ac:dyDescent="0.25">
      <c r="M2109" t="s">
        <v>1994</v>
      </c>
    </row>
    <row r="2110" spans="13:13" ht="15.75" x14ac:dyDescent="0.25">
      <c r="M2110" t="s">
        <v>1995</v>
      </c>
    </row>
    <row r="2111" spans="13:13" ht="15.75" x14ac:dyDescent="0.25">
      <c r="M2111" t="s">
        <v>1996</v>
      </c>
    </row>
    <row r="2112" spans="13:13" ht="15.75" x14ac:dyDescent="0.25">
      <c r="M2112" t="s">
        <v>1997</v>
      </c>
    </row>
    <row r="2113" spans="13:13" ht="15.75" x14ac:dyDescent="0.25">
      <c r="M2113" t="s">
        <v>1998</v>
      </c>
    </row>
    <row r="2114" spans="13:13" ht="15.75" x14ac:dyDescent="0.25">
      <c r="M2114" t="s">
        <v>1999</v>
      </c>
    </row>
    <row r="2115" spans="13:13" ht="15.75" x14ac:dyDescent="0.25">
      <c r="M2115" t="s">
        <v>2000</v>
      </c>
    </row>
    <row r="2116" spans="13:13" ht="15.75" x14ac:dyDescent="0.25">
      <c r="M2116" t="s">
        <v>2001</v>
      </c>
    </row>
    <row r="2117" spans="13:13" ht="15.75" x14ac:dyDescent="0.25">
      <c r="M2117" t="s">
        <v>2002</v>
      </c>
    </row>
    <row r="2118" spans="13:13" ht="15.75" x14ac:dyDescent="0.25">
      <c r="M2118" t="s">
        <v>2003</v>
      </c>
    </row>
    <row r="2119" spans="13:13" ht="15.75" x14ac:dyDescent="0.25">
      <c r="M2119" t="s">
        <v>2004</v>
      </c>
    </row>
    <row r="2120" spans="13:13" ht="15.75" x14ac:dyDescent="0.25">
      <c r="M2120" t="s">
        <v>2005</v>
      </c>
    </row>
    <row r="2121" spans="13:13" ht="15.75" x14ac:dyDescent="0.25">
      <c r="M2121" t="s">
        <v>2006</v>
      </c>
    </row>
    <row r="2122" spans="13:13" ht="15.75" x14ac:dyDescent="0.25">
      <c r="M2122" t="s">
        <v>2007</v>
      </c>
    </row>
    <row r="2123" spans="13:13" ht="15.75" x14ac:dyDescent="0.25">
      <c r="M2123" t="s">
        <v>2008</v>
      </c>
    </row>
    <row r="2124" spans="13:13" ht="15.75" x14ac:dyDescent="0.25">
      <c r="M2124" t="s">
        <v>2009</v>
      </c>
    </row>
    <row r="2125" spans="13:13" ht="15.75" x14ac:dyDescent="0.25">
      <c r="M2125" t="s">
        <v>2010</v>
      </c>
    </row>
    <row r="2126" spans="13:13" ht="15.75" x14ac:dyDescent="0.25">
      <c r="M2126" t="s">
        <v>2011</v>
      </c>
    </row>
    <row r="2127" spans="13:13" ht="15.75" x14ac:dyDescent="0.25">
      <c r="M2127" t="s">
        <v>2012</v>
      </c>
    </row>
    <row r="2128" spans="13:13" ht="15.75" x14ac:dyDescent="0.25">
      <c r="M2128" t="s">
        <v>96</v>
      </c>
    </row>
    <row r="2129" spans="13:13" ht="15.75" x14ac:dyDescent="0.25">
      <c r="M2129" t="s">
        <v>41</v>
      </c>
    </row>
    <row r="2130" spans="13:13" ht="15.75" x14ac:dyDescent="0.25">
      <c r="M2130" t="s">
        <v>2013</v>
      </c>
    </row>
    <row r="2131" spans="13:13" ht="15.75" x14ac:dyDescent="0.25">
      <c r="M2131" t="s">
        <v>2014</v>
      </c>
    </row>
    <row r="2132" spans="13:13" ht="15.75" x14ac:dyDescent="0.25">
      <c r="M2132" t="s">
        <v>2015</v>
      </c>
    </row>
    <row r="2133" spans="13:13" ht="15.75" x14ac:dyDescent="0.25">
      <c r="M2133" t="s">
        <v>2016</v>
      </c>
    </row>
    <row r="2134" spans="13:13" ht="15.75" x14ac:dyDescent="0.25">
      <c r="M2134" t="s">
        <v>2017</v>
      </c>
    </row>
    <row r="2135" spans="13:13" ht="15.75" x14ac:dyDescent="0.25">
      <c r="M2135" t="s">
        <v>2018</v>
      </c>
    </row>
    <row r="2136" spans="13:13" ht="15.75" x14ac:dyDescent="0.25">
      <c r="M2136" t="s">
        <v>2019</v>
      </c>
    </row>
    <row r="2137" spans="13:13" ht="15.75" x14ac:dyDescent="0.25">
      <c r="M2137" t="s">
        <v>2020</v>
      </c>
    </row>
    <row r="2138" spans="13:13" ht="15.75" x14ac:dyDescent="0.25">
      <c r="M2138" t="s">
        <v>2021</v>
      </c>
    </row>
    <row r="2139" spans="13:13" ht="15.75" x14ac:dyDescent="0.25">
      <c r="M2139" t="s">
        <v>2022</v>
      </c>
    </row>
    <row r="2140" spans="13:13" ht="15.75" x14ac:dyDescent="0.25">
      <c r="M2140" t="s">
        <v>2023</v>
      </c>
    </row>
    <row r="2141" spans="13:13" ht="15.75" x14ac:dyDescent="0.25">
      <c r="M2141" t="s">
        <v>2013</v>
      </c>
    </row>
    <row r="2142" spans="13:13" ht="15.75" x14ac:dyDescent="0.25">
      <c r="M2142" t="s">
        <v>1374</v>
      </c>
    </row>
    <row r="2143" spans="13:13" ht="15.75" x14ac:dyDescent="0.25">
      <c r="M2143" t="s">
        <v>2024</v>
      </c>
    </row>
    <row r="2144" spans="13:13" ht="15.75" x14ac:dyDescent="0.25">
      <c r="M2144" t="s">
        <v>2025</v>
      </c>
    </row>
    <row r="2145" spans="13:13" ht="15.75" x14ac:dyDescent="0.25">
      <c r="M2145" t="s">
        <v>87</v>
      </c>
    </row>
    <row r="2146" spans="13:13" ht="15.75" x14ac:dyDescent="0.25">
      <c r="M2146" t="s">
        <v>2026</v>
      </c>
    </row>
    <row r="2147" spans="13:13" ht="15.75" x14ac:dyDescent="0.25">
      <c r="M2147" t="s">
        <v>2027</v>
      </c>
    </row>
    <row r="2148" spans="13:13" ht="15.75" x14ac:dyDescent="0.25">
      <c r="M2148" t="s">
        <v>2028</v>
      </c>
    </row>
    <row r="2149" spans="13:13" ht="15.75" x14ac:dyDescent="0.25">
      <c r="M2149" t="s">
        <v>161</v>
      </c>
    </row>
    <row r="2150" spans="13:13" ht="15.75" x14ac:dyDescent="0.25">
      <c r="M2150" t="s">
        <v>2029</v>
      </c>
    </row>
    <row r="2151" spans="13:13" ht="15.75" x14ac:dyDescent="0.25">
      <c r="M2151" t="s">
        <v>106</v>
      </c>
    </row>
    <row r="2152" spans="13:13" ht="15.75" x14ac:dyDescent="0.25">
      <c r="M2152" t="s">
        <v>2030</v>
      </c>
    </row>
    <row r="2153" spans="13:13" ht="15.75" x14ac:dyDescent="0.25">
      <c r="M2153" t="s">
        <v>2031</v>
      </c>
    </row>
    <row r="2154" spans="13:13" ht="15.75" x14ac:dyDescent="0.25">
      <c r="M2154" t="s">
        <v>2032</v>
      </c>
    </row>
    <row r="2155" spans="13:13" ht="15.75" x14ac:dyDescent="0.25">
      <c r="M2155" t="s">
        <v>2033</v>
      </c>
    </row>
    <row r="2156" spans="13:13" ht="15.75" x14ac:dyDescent="0.25">
      <c r="M2156" t="s">
        <v>2034</v>
      </c>
    </row>
    <row r="2157" spans="13:13" ht="15.75" x14ac:dyDescent="0.25">
      <c r="M2157" t="s">
        <v>2035</v>
      </c>
    </row>
    <row r="2158" spans="13:13" ht="15.75" x14ac:dyDescent="0.25">
      <c r="M2158" t="s">
        <v>2036</v>
      </c>
    </row>
    <row r="2159" spans="13:13" ht="15.75" x14ac:dyDescent="0.25">
      <c r="M2159" t="s">
        <v>2037</v>
      </c>
    </row>
    <row r="2160" spans="13:13" ht="15.75" x14ac:dyDescent="0.25">
      <c r="M2160" t="s">
        <v>2038</v>
      </c>
    </row>
    <row r="2161" spans="13:13" ht="15.75" x14ac:dyDescent="0.25">
      <c r="M2161" t="s">
        <v>2039</v>
      </c>
    </row>
    <row r="2162" spans="13:13" ht="15.75" x14ac:dyDescent="0.25">
      <c r="M2162" t="s">
        <v>2040</v>
      </c>
    </row>
    <row r="2163" spans="13:13" ht="15.75" x14ac:dyDescent="0.25">
      <c r="M2163" t="s">
        <v>2041</v>
      </c>
    </row>
    <row r="2164" spans="13:13" ht="15.75" x14ac:dyDescent="0.25">
      <c r="M2164" t="s">
        <v>2042</v>
      </c>
    </row>
    <row r="2165" spans="13:13" ht="15.75" x14ac:dyDescent="0.25">
      <c r="M2165" t="s">
        <v>2043</v>
      </c>
    </row>
    <row r="2166" spans="13:13" ht="15.75" x14ac:dyDescent="0.25">
      <c r="M2166" t="s">
        <v>2044</v>
      </c>
    </row>
    <row r="2167" spans="13:13" ht="15.75" x14ac:dyDescent="0.25">
      <c r="M2167" t="s">
        <v>2045</v>
      </c>
    </row>
    <row r="2168" spans="13:13" ht="15.75" x14ac:dyDescent="0.25">
      <c r="M2168" t="s">
        <v>2046</v>
      </c>
    </row>
    <row r="2169" spans="13:13" ht="15.75" x14ac:dyDescent="0.25">
      <c r="M2169" t="s">
        <v>2047</v>
      </c>
    </row>
    <row r="2170" spans="13:13" ht="15.75" x14ac:dyDescent="0.25">
      <c r="M2170" t="s">
        <v>2048</v>
      </c>
    </row>
    <row r="2171" spans="13:13" ht="15.75" x14ac:dyDescent="0.25">
      <c r="M2171" t="s">
        <v>2049</v>
      </c>
    </row>
    <row r="2172" spans="13:13" ht="15.75" x14ac:dyDescent="0.25">
      <c r="M2172" t="s">
        <v>69</v>
      </c>
    </row>
    <row r="2173" spans="13:13" ht="15.75" x14ac:dyDescent="0.25">
      <c r="M2173" t="s">
        <v>2050</v>
      </c>
    </row>
    <row r="2174" spans="13:13" ht="15.75" x14ac:dyDescent="0.25">
      <c r="M2174" t="s">
        <v>2051</v>
      </c>
    </row>
    <row r="2175" spans="13:13" ht="15.75" x14ac:dyDescent="0.25">
      <c r="M2175" t="s">
        <v>2052</v>
      </c>
    </row>
    <row r="2176" spans="13:13" ht="15.75" x14ac:dyDescent="0.25">
      <c r="M2176" t="s">
        <v>2053</v>
      </c>
    </row>
    <row r="2177" spans="13:13" ht="15.75" x14ac:dyDescent="0.25">
      <c r="M2177" t="s">
        <v>2054</v>
      </c>
    </row>
    <row r="2178" spans="13:13" ht="15.75" x14ac:dyDescent="0.25">
      <c r="M2178" t="s">
        <v>2055</v>
      </c>
    </row>
    <row r="2179" spans="13:13" ht="15.75" x14ac:dyDescent="0.25">
      <c r="M2179" t="s">
        <v>2056</v>
      </c>
    </row>
    <row r="2180" spans="13:13" ht="15.75" x14ac:dyDescent="0.25">
      <c r="M2180" t="s">
        <v>2057</v>
      </c>
    </row>
    <row r="2181" spans="13:13" ht="15.75" x14ac:dyDescent="0.25">
      <c r="M2181" t="s">
        <v>2058</v>
      </c>
    </row>
    <row r="2182" spans="13:13" ht="15.75" x14ac:dyDescent="0.25">
      <c r="M2182" t="s">
        <v>2059</v>
      </c>
    </row>
    <row r="2183" spans="13:13" ht="15.75" x14ac:dyDescent="0.25">
      <c r="M2183" t="s">
        <v>2060</v>
      </c>
    </row>
    <row r="2184" spans="13:13" ht="15.75" x14ac:dyDescent="0.25">
      <c r="M2184" t="s">
        <v>2061</v>
      </c>
    </row>
    <row r="2185" spans="13:13" ht="15.75" x14ac:dyDescent="0.25">
      <c r="M2185" t="s">
        <v>2062</v>
      </c>
    </row>
    <row r="2186" spans="13:13" ht="15.75" x14ac:dyDescent="0.25">
      <c r="M2186" t="s">
        <v>2013</v>
      </c>
    </row>
    <row r="2187" spans="13:13" ht="15.75" x14ac:dyDescent="0.25">
      <c r="M2187" t="s">
        <v>2063</v>
      </c>
    </row>
    <row r="2188" spans="13:13" ht="15.75" x14ac:dyDescent="0.25">
      <c r="M2188" t="s">
        <v>2064</v>
      </c>
    </row>
    <row r="2189" spans="13:13" ht="15.75" x14ac:dyDescent="0.25">
      <c r="M2189" t="s">
        <v>2065</v>
      </c>
    </row>
    <row r="2190" spans="13:13" ht="15.75" x14ac:dyDescent="0.25">
      <c r="M2190" t="s">
        <v>2066</v>
      </c>
    </row>
    <row r="2191" spans="13:13" ht="15.75" x14ac:dyDescent="0.25">
      <c r="M2191" t="s">
        <v>2067</v>
      </c>
    </row>
    <row r="2192" spans="13:13" ht="15.75" x14ac:dyDescent="0.25">
      <c r="M2192" t="s">
        <v>2068</v>
      </c>
    </row>
    <row r="2193" spans="13:13" ht="15.75" x14ac:dyDescent="0.25">
      <c r="M2193" t="s">
        <v>2069</v>
      </c>
    </row>
    <row r="2194" spans="13:13" ht="15.75" x14ac:dyDescent="0.25">
      <c r="M2194" t="s">
        <v>2070</v>
      </c>
    </row>
    <row r="2195" spans="13:13" ht="15.75" x14ac:dyDescent="0.25">
      <c r="M2195" t="s">
        <v>2071</v>
      </c>
    </row>
    <row r="2196" spans="13:13" ht="15.75" x14ac:dyDescent="0.25">
      <c r="M2196" t="s">
        <v>2064</v>
      </c>
    </row>
    <row r="2197" spans="13:13" ht="15.75" x14ac:dyDescent="0.25">
      <c r="M2197" t="s">
        <v>2072</v>
      </c>
    </row>
    <row r="2198" spans="13:13" ht="15.75" x14ac:dyDescent="0.25">
      <c r="M2198" t="s">
        <v>2073</v>
      </c>
    </row>
    <row r="2199" spans="13:13" ht="15.75" x14ac:dyDescent="0.25">
      <c r="M2199" t="s">
        <v>2074</v>
      </c>
    </row>
    <row r="2200" spans="13:13" ht="15.75" x14ac:dyDescent="0.25">
      <c r="M2200" t="s">
        <v>2075</v>
      </c>
    </row>
    <row r="2201" spans="13:13" ht="15.75" x14ac:dyDescent="0.25">
      <c r="M2201" t="s">
        <v>2076</v>
      </c>
    </row>
    <row r="2202" spans="13:13" ht="15.75" x14ac:dyDescent="0.25">
      <c r="M2202" t="s">
        <v>41</v>
      </c>
    </row>
    <row r="2203" spans="13:13" ht="15.75" x14ac:dyDescent="0.25">
      <c r="M2203" t="s">
        <v>2077</v>
      </c>
    </row>
    <row r="2204" spans="13:13" ht="15.75" x14ac:dyDescent="0.25">
      <c r="M2204" t="s">
        <v>2078</v>
      </c>
    </row>
    <row r="2205" spans="13:13" ht="15.75" x14ac:dyDescent="0.25">
      <c r="M2205" t="s">
        <v>2079</v>
      </c>
    </row>
    <row r="2206" spans="13:13" ht="15.75" x14ac:dyDescent="0.25">
      <c r="M2206" t="s">
        <v>2080</v>
      </c>
    </row>
    <row r="2207" spans="13:13" ht="15.75" x14ac:dyDescent="0.25">
      <c r="M2207" t="s">
        <v>2081</v>
      </c>
    </row>
    <row r="2208" spans="13:13" ht="15.75" x14ac:dyDescent="0.25">
      <c r="M2208" t="s">
        <v>2082</v>
      </c>
    </row>
    <row r="2209" spans="13:13" ht="15.75" x14ac:dyDescent="0.25">
      <c r="M2209" t="s">
        <v>2083</v>
      </c>
    </row>
    <row r="2210" spans="13:13" ht="15.75" x14ac:dyDescent="0.25">
      <c r="M2210" t="s">
        <v>2079</v>
      </c>
    </row>
    <row r="2211" spans="13:13" ht="15.75" x14ac:dyDescent="0.25">
      <c r="M2211" t="s">
        <v>2084</v>
      </c>
    </row>
    <row r="2212" spans="13:13" ht="15.75" x14ac:dyDescent="0.25">
      <c r="M2212" t="s">
        <v>161</v>
      </c>
    </row>
    <row r="2213" spans="13:13" ht="15.75" x14ac:dyDescent="0.25">
      <c r="M2213" t="s">
        <v>2085</v>
      </c>
    </row>
    <row r="2214" spans="13:13" ht="15.75" x14ac:dyDescent="0.25">
      <c r="M2214" t="s">
        <v>2086</v>
      </c>
    </row>
    <row r="2215" spans="13:13" ht="15.75" x14ac:dyDescent="0.25">
      <c r="M2215" t="s">
        <v>2087</v>
      </c>
    </row>
    <row r="2216" spans="13:13" ht="15.75" x14ac:dyDescent="0.25">
      <c r="M2216" t="s">
        <v>2088</v>
      </c>
    </row>
    <row r="2217" spans="13:13" ht="15.75" x14ac:dyDescent="0.25">
      <c r="M2217" t="s">
        <v>2089</v>
      </c>
    </row>
    <row r="2218" spans="13:13" ht="15.75" x14ac:dyDescent="0.25">
      <c r="M2218" t="s">
        <v>2090</v>
      </c>
    </row>
    <row r="2219" spans="13:13" ht="15.75" x14ac:dyDescent="0.25">
      <c r="M2219" t="s">
        <v>98</v>
      </c>
    </row>
    <row r="2220" spans="13:13" ht="15.75" x14ac:dyDescent="0.25">
      <c r="M2220" t="s">
        <v>2091</v>
      </c>
    </row>
    <row r="2221" spans="13:13" ht="15.75" x14ac:dyDescent="0.25">
      <c r="M2221" t="s">
        <v>2092</v>
      </c>
    </row>
    <row r="2222" spans="13:13" ht="15.75" x14ac:dyDescent="0.25">
      <c r="M2222" t="s">
        <v>2093</v>
      </c>
    </row>
    <row r="2223" spans="13:13" ht="15.75" x14ac:dyDescent="0.25">
      <c r="M2223" t="s">
        <v>2094</v>
      </c>
    </row>
    <row r="2224" spans="13:13" ht="15.75" x14ac:dyDescent="0.25">
      <c r="M2224" t="s">
        <v>2095</v>
      </c>
    </row>
    <row r="2225" spans="13:13" ht="15.75" x14ac:dyDescent="0.25">
      <c r="M2225" t="s">
        <v>2096</v>
      </c>
    </row>
    <row r="2226" spans="13:13" ht="15.75" x14ac:dyDescent="0.25">
      <c r="M2226" t="s">
        <v>2097</v>
      </c>
    </row>
    <row r="2227" spans="13:13" ht="15.75" x14ac:dyDescent="0.25">
      <c r="M2227" t="s">
        <v>1580</v>
      </c>
    </row>
    <row r="2228" spans="13:13" ht="15.75" x14ac:dyDescent="0.25">
      <c r="M2228" t="s">
        <v>2098</v>
      </c>
    </row>
    <row r="2229" spans="13:13" ht="15.75" x14ac:dyDescent="0.25">
      <c r="M2229" t="s">
        <v>2099</v>
      </c>
    </row>
    <row r="2230" spans="13:13" ht="15.75" x14ac:dyDescent="0.25">
      <c r="M2230" t="s">
        <v>58</v>
      </c>
    </row>
    <row r="2231" spans="13:13" ht="15.75" x14ac:dyDescent="0.25">
      <c r="M2231" t="s">
        <v>2100</v>
      </c>
    </row>
    <row r="2232" spans="13:13" ht="15.75" x14ac:dyDescent="0.25">
      <c r="M2232" t="s">
        <v>2101</v>
      </c>
    </row>
    <row r="2233" spans="13:13" ht="15.75" x14ac:dyDescent="0.25">
      <c r="M2233" t="s">
        <v>2102</v>
      </c>
    </row>
    <row r="2234" spans="13:13" ht="15.75" x14ac:dyDescent="0.25">
      <c r="M2234" t="s">
        <v>2103</v>
      </c>
    </row>
    <row r="2235" spans="13:13" ht="15.75" x14ac:dyDescent="0.25">
      <c r="M2235" t="s">
        <v>2104</v>
      </c>
    </row>
    <row r="2236" spans="13:13" ht="15.75" x14ac:dyDescent="0.25">
      <c r="M2236" t="s">
        <v>2105</v>
      </c>
    </row>
    <row r="2237" spans="13:13" ht="15.75" x14ac:dyDescent="0.25">
      <c r="M2237" t="s">
        <v>2106</v>
      </c>
    </row>
    <row r="2238" spans="13:13" ht="15.75" x14ac:dyDescent="0.25">
      <c r="M2238" t="s">
        <v>2107</v>
      </c>
    </row>
    <row r="2239" spans="13:13" ht="15.75" x14ac:dyDescent="0.25">
      <c r="M2239" t="s">
        <v>2108</v>
      </c>
    </row>
    <row r="2240" spans="13:13" ht="15.75" x14ac:dyDescent="0.25">
      <c r="M2240" t="s">
        <v>2109</v>
      </c>
    </row>
    <row r="2241" spans="13:13" ht="15.75" x14ac:dyDescent="0.25">
      <c r="M2241" t="s">
        <v>2110</v>
      </c>
    </row>
    <row r="2242" spans="13:13" ht="15.75" x14ac:dyDescent="0.25">
      <c r="M2242" t="s">
        <v>2111</v>
      </c>
    </row>
    <row r="2243" spans="13:13" ht="15.75" x14ac:dyDescent="0.25">
      <c r="M2243" t="s">
        <v>2112</v>
      </c>
    </row>
    <row r="2244" spans="13:13" ht="15.75" x14ac:dyDescent="0.25">
      <c r="M2244" t="s">
        <v>2113</v>
      </c>
    </row>
    <row r="2245" spans="13:13" ht="15.75" x14ac:dyDescent="0.25">
      <c r="M2245" t="s">
        <v>2114</v>
      </c>
    </row>
    <row r="2246" spans="13:13" ht="15.75" x14ac:dyDescent="0.25">
      <c r="M2246" t="s">
        <v>2115</v>
      </c>
    </row>
    <row r="2247" spans="13:13" ht="15.75" x14ac:dyDescent="0.25">
      <c r="M2247" t="s">
        <v>2116</v>
      </c>
    </row>
    <row r="2248" spans="13:13" ht="15.75" x14ac:dyDescent="0.25">
      <c r="M2248" t="s">
        <v>2117</v>
      </c>
    </row>
    <row r="2249" spans="13:13" ht="15.75" x14ac:dyDescent="0.25">
      <c r="M2249" t="s">
        <v>2079</v>
      </c>
    </row>
    <row r="2250" spans="13:13" ht="15.75" x14ac:dyDescent="0.25">
      <c r="M2250" t="s">
        <v>2118</v>
      </c>
    </row>
    <row r="2251" spans="13:13" ht="15.75" x14ac:dyDescent="0.25">
      <c r="M2251" t="s">
        <v>2119</v>
      </c>
    </row>
    <row r="2252" spans="13:13" ht="15.75" x14ac:dyDescent="0.25">
      <c r="M2252" t="s">
        <v>791</v>
      </c>
    </row>
    <row r="2253" spans="13:13" ht="15.75" x14ac:dyDescent="0.25">
      <c r="M2253" t="s">
        <v>2120</v>
      </c>
    </row>
    <row r="2254" spans="13:13" ht="15.75" x14ac:dyDescent="0.25">
      <c r="M2254" t="s">
        <v>2121</v>
      </c>
    </row>
    <row r="2255" spans="13:13" ht="15.75" x14ac:dyDescent="0.25">
      <c r="M2255" t="s">
        <v>2122</v>
      </c>
    </row>
    <row r="2256" spans="13:13" ht="15.75" x14ac:dyDescent="0.25">
      <c r="M2256" t="s">
        <v>2123</v>
      </c>
    </row>
    <row r="2257" spans="13:13" ht="15.75" x14ac:dyDescent="0.25">
      <c r="M2257" t="s">
        <v>2124</v>
      </c>
    </row>
    <row r="2258" spans="13:13" ht="15.75" x14ac:dyDescent="0.25">
      <c r="M2258" t="s">
        <v>2125</v>
      </c>
    </row>
    <row r="2259" spans="13:13" ht="15.75" x14ac:dyDescent="0.25">
      <c r="M2259" t="s">
        <v>1088</v>
      </c>
    </row>
    <row r="2260" spans="13:13" ht="15.75" x14ac:dyDescent="0.25">
      <c r="M2260" t="s">
        <v>2126</v>
      </c>
    </row>
    <row r="2261" spans="13:13" ht="15.75" x14ac:dyDescent="0.25">
      <c r="M2261" t="s">
        <v>2127</v>
      </c>
    </row>
    <row r="2262" spans="13:13" ht="15.75" x14ac:dyDescent="0.25">
      <c r="M2262" t="s">
        <v>2128</v>
      </c>
    </row>
    <row r="2263" spans="13:13" ht="15.75" x14ac:dyDescent="0.25">
      <c r="M2263" t="s">
        <v>2037</v>
      </c>
    </row>
    <row r="2264" spans="13:13" ht="15.75" x14ac:dyDescent="0.25">
      <c r="M2264" t="s">
        <v>2129</v>
      </c>
    </row>
    <row r="2265" spans="13:13" ht="15.75" x14ac:dyDescent="0.25">
      <c r="M2265" t="s">
        <v>2130</v>
      </c>
    </row>
    <row r="2266" spans="13:13" ht="15.75" x14ac:dyDescent="0.25">
      <c r="M2266" t="s">
        <v>2131</v>
      </c>
    </row>
    <row r="2267" spans="13:13" ht="15.75" x14ac:dyDescent="0.25">
      <c r="M2267" t="s">
        <v>2132</v>
      </c>
    </row>
    <row r="2268" spans="13:13" ht="15.75" x14ac:dyDescent="0.25">
      <c r="M2268" t="s">
        <v>2133</v>
      </c>
    </row>
    <row r="2269" spans="13:13" ht="15.75" x14ac:dyDescent="0.25">
      <c r="M2269" t="s">
        <v>2134</v>
      </c>
    </row>
    <row r="2270" spans="13:13" ht="15.75" x14ac:dyDescent="0.25">
      <c r="M2270" t="s">
        <v>2135</v>
      </c>
    </row>
    <row r="2271" spans="13:13" ht="15.75" x14ac:dyDescent="0.25">
      <c r="M2271" t="s">
        <v>2136</v>
      </c>
    </row>
    <row r="2272" spans="13:13" ht="15.75" x14ac:dyDescent="0.25">
      <c r="M2272" t="s">
        <v>2137</v>
      </c>
    </row>
    <row r="2273" spans="13:13" ht="15.75" x14ac:dyDescent="0.25">
      <c r="M2273" t="s">
        <v>2138</v>
      </c>
    </row>
    <row r="2274" spans="13:13" ht="15.75" x14ac:dyDescent="0.25">
      <c r="M2274" t="s">
        <v>2139</v>
      </c>
    </row>
    <row r="2275" spans="13:13" ht="15.75" x14ac:dyDescent="0.25">
      <c r="M2275" t="s">
        <v>2140</v>
      </c>
    </row>
    <row r="2276" spans="13:13" ht="15.75" x14ac:dyDescent="0.25">
      <c r="M2276" t="s">
        <v>2141</v>
      </c>
    </row>
    <row r="2277" spans="13:13" ht="15.75" x14ac:dyDescent="0.25">
      <c r="M2277" t="s">
        <v>2142</v>
      </c>
    </row>
    <row r="2278" spans="13:13" ht="15.75" x14ac:dyDescent="0.25">
      <c r="M2278" t="s">
        <v>2143</v>
      </c>
    </row>
    <row r="2279" spans="13:13" ht="15.75" x14ac:dyDescent="0.25">
      <c r="M2279" t="s">
        <v>2144</v>
      </c>
    </row>
    <row r="2280" spans="13:13" ht="15.75" x14ac:dyDescent="0.25">
      <c r="M2280" t="s">
        <v>2145</v>
      </c>
    </row>
    <row r="2281" spans="13:13" ht="15.75" x14ac:dyDescent="0.25">
      <c r="M2281" t="s">
        <v>2146</v>
      </c>
    </row>
    <row r="2282" spans="13:13" ht="15.75" x14ac:dyDescent="0.25">
      <c r="M2282" t="s">
        <v>2147</v>
      </c>
    </row>
    <row r="2283" spans="13:13" ht="15.75" x14ac:dyDescent="0.25">
      <c r="M2283" t="s">
        <v>2148</v>
      </c>
    </row>
    <row r="2284" spans="13:13" ht="15.75" x14ac:dyDescent="0.25">
      <c r="M2284" t="s">
        <v>2149</v>
      </c>
    </row>
    <row r="2285" spans="13:13" ht="15.75" x14ac:dyDescent="0.25">
      <c r="M2285" t="s">
        <v>2150</v>
      </c>
    </row>
    <row r="2286" spans="13:13" ht="15.75" x14ac:dyDescent="0.25">
      <c r="M2286" t="s">
        <v>2151</v>
      </c>
    </row>
    <row r="2287" spans="13:13" ht="15.75" x14ac:dyDescent="0.25">
      <c r="M2287" t="s">
        <v>2152</v>
      </c>
    </row>
    <row r="2288" spans="13:13" ht="15.75" x14ac:dyDescent="0.25">
      <c r="M2288" t="s">
        <v>2153</v>
      </c>
    </row>
    <row r="2289" spans="13:13" ht="15.75" x14ac:dyDescent="0.25">
      <c r="M2289" t="s">
        <v>2154</v>
      </c>
    </row>
    <row r="2290" spans="13:13" ht="15.75" x14ac:dyDescent="0.25">
      <c r="M2290" t="s">
        <v>2155</v>
      </c>
    </row>
    <row r="2291" spans="13:13" ht="15.75" x14ac:dyDescent="0.25">
      <c r="M2291" t="s">
        <v>2156</v>
      </c>
    </row>
    <row r="2292" spans="13:13" ht="15.75" x14ac:dyDescent="0.25">
      <c r="M2292" t="s">
        <v>64</v>
      </c>
    </row>
    <row r="2293" spans="13:13" ht="15.75" x14ac:dyDescent="0.25">
      <c r="M2293" t="s">
        <v>2152</v>
      </c>
    </row>
    <row r="2294" spans="13:13" ht="15.75" x14ac:dyDescent="0.25">
      <c r="M2294" t="s">
        <v>2157</v>
      </c>
    </row>
    <row r="2295" spans="13:13" ht="15.75" x14ac:dyDescent="0.25">
      <c r="M2295" t="s">
        <v>2158</v>
      </c>
    </row>
    <row r="2296" spans="13:13" ht="15.75" x14ac:dyDescent="0.25">
      <c r="M2296" t="s">
        <v>2159</v>
      </c>
    </row>
    <row r="2297" spans="13:13" ht="15.75" x14ac:dyDescent="0.25">
      <c r="M2297" t="s">
        <v>2160</v>
      </c>
    </row>
    <row r="2298" spans="13:13" ht="15.75" x14ac:dyDescent="0.25">
      <c r="M2298" t="s">
        <v>2161</v>
      </c>
    </row>
    <row r="2299" spans="13:13" ht="15.75" x14ac:dyDescent="0.25">
      <c r="M2299" t="s">
        <v>2162</v>
      </c>
    </row>
    <row r="2300" spans="13:13" ht="15.75" x14ac:dyDescent="0.25">
      <c r="M2300" t="s">
        <v>2163</v>
      </c>
    </row>
    <row r="2301" spans="13:13" ht="15.75" x14ac:dyDescent="0.25">
      <c r="M2301" t="s">
        <v>2164</v>
      </c>
    </row>
    <row r="2302" spans="13:13" ht="15.75" x14ac:dyDescent="0.25">
      <c r="M2302" t="s">
        <v>2165</v>
      </c>
    </row>
    <row r="2303" spans="13:13" ht="15.75" x14ac:dyDescent="0.25">
      <c r="M2303" t="s">
        <v>2166</v>
      </c>
    </row>
    <row r="2304" spans="13:13" ht="15.75" x14ac:dyDescent="0.25">
      <c r="M2304" t="s">
        <v>2167</v>
      </c>
    </row>
    <row r="2305" spans="13:13" ht="15.75" x14ac:dyDescent="0.25">
      <c r="M2305" t="s">
        <v>2168</v>
      </c>
    </row>
    <row r="2306" spans="13:13" ht="15.75" x14ac:dyDescent="0.25">
      <c r="M2306" t="s">
        <v>41</v>
      </c>
    </row>
    <row r="2307" spans="13:13" ht="15.75" x14ac:dyDescent="0.25">
      <c r="M2307" t="s">
        <v>2169</v>
      </c>
    </row>
    <row r="2308" spans="13:13" ht="15.75" x14ac:dyDescent="0.25">
      <c r="M2308" t="s">
        <v>2170</v>
      </c>
    </row>
    <row r="2309" spans="13:13" ht="15.75" x14ac:dyDescent="0.25">
      <c r="M2309" t="s">
        <v>2171</v>
      </c>
    </row>
    <row r="2310" spans="13:13" ht="15.75" x14ac:dyDescent="0.25">
      <c r="M2310" t="s">
        <v>2172</v>
      </c>
    </row>
    <row r="2311" spans="13:13" ht="15.75" x14ac:dyDescent="0.25">
      <c r="M2311" t="s">
        <v>2173</v>
      </c>
    </row>
    <row r="2312" spans="13:13" ht="15.75" x14ac:dyDescent="0.25">
      <c r="M2312" t="s">
        <v>2174</v>
      </c>
    </row>
    <row r="2313" spans="13:13" ht="15.75" x14ac:dyDescent="0.25">
      <c r="M2313" t="s">
        <v>2175</v>
      </c>
    </row>
    <row r="2314" spans="13:13" ht="15.75" x14ac:dyDescent="0.25">
      <c r="M2314" t="s">
        <v>2176</v>
      </c>
    </row>
    <row r="2315" spans="13:13" ht="15.75" x14ac:dyDescent="0.25">
      <c r="M2315" t="s">
        <v>42</v>
      </c>
    </row>
    <row r="2316" spans="13:13" ht="15.75" x14ac:dyDescent="0.25">
      <c r="M2316" t="s">
        <v>2177</v>
      </c>
    </row>
    <row r="2317" spans="13:13" ht="15.75" x14ac:dyDescent="0.25">
      <c r="M2317" t="s">
        <v>2178</v>
      </c>
    </row>
    <row r="2318" spans="13:13" ht="15.75" x14ac:dyDescent="0.25">
      <c r="M2318" t="s">
        <v>2179</v>
      </c>
    </row>
    <row r="2319" spans="13:13" ht="15.75" x14ac:dyDescent="0.25">
      <c r="M2319" t="s">
        <v>1913</v>
      </c>
    </row>
    <row r="2320" spans="13:13" ht="15.75" x14ac:dyDescent="0.25">
      <c r="M2320" t="s">
        <v>2180</v>
      </c>
    </row>
    <row r="2321" spans="13:13" ht="15.75" x14ac:dyDescent="0.25">
      <c r="M2321" t="s">
        <v>2181</v>
      </c>
    </row>
    <row r="2322" spans="13:13" ht="15.75" x14ac:dyDescent="0.25">
      <c r="M2322" t="s">
        <v>2182</v>
      </c>
    </row>
    <row r="2323" spans="13:13" ht="15.75" x14ac:dyDescent="0.25">
      <c r="M2323" t="s">
        <v>2183</v>
      </c>
    </row>
    <row r="2324" spans="13:13" ht="15.75" x14ac:dyDescent="0.25">
      <c r="M2324" t="s">
        <v>2184</v>
      </c>
    </row>
    <row r="2325" spans="13:13" ht="15.75" x14ac:dyDescent="0.25">
      <c r="M2325" t="s">
        <v>2185</v>
      </c>
    </row>
    <row r="2326" spans="13:13" ht="15.75" x14ac:dyDescent="0.25">
      <c r="M2326" t="s">
        <v>2186</v>
      </c>
    </row>
    <row r="2327" spans="13:13" ht="15.75" x14ac:dyDescent="0.25">
      <c r="M2327" t="s">
        <v>772</v>
      </c>
    </row>
    <row r="2328" spans="13:13" ht="15.75" x14ac:dyDescent="0.25">
      <c r="M2328" t="s">
        <v>2187</v>
      </c>
    </row>
    <row r="2329" spans="13:13" ht="15.75" x14ac:dyDescent="0.25">
      <c r="M2329" t="s">
        <v>2188</v>
      </c>
    </row>
    <row r="2330" spans="13:13" ht="15.75" x14ac:dyDescent="0.25">
      <c r="M2330" t="s">
        <v>2189</v>
      </c>
    </row>
    <row r="2331" spans="13:13" ht="15.75" x14ac:dyDescent="0.25">
      <c r="M2331" t="s">
        <v>2190</v>
      </c>
    </row>
    <row r="2332" spans="13:13" ht="15.75" x14ac:dyDescent="0.25">
      <c r="M2332" t="s">
        <v>2191</v>
      </c>
    </row>
    <row r="2333" spans="13:13" ht="15.75" x14ac:dyDescent="0.25">
      <c r="M2333" t="s">
        <v>2192</v>
      </c>
    </row>
    <row r="2334" spans="13:13" ht="15.75" x14ac:dyDescent="0.25">
      <c r="M2334" t="s">
        <v>2193</v>
      </c>
    </row>
    <row r="2335" spans="13:13" ht="15.75" x14ac:dyDescent="0.25">
      <c r="M2335" t="s">
        <v>2194</v>
      </c>
    </row>
    <row r="2336" spans="13:13" ht="15.75" x14ac:dyDescent="0.25">
      <c r="M2336" t="s">
        <v>2195</v>
      </c>
    </row>
    <row r="2337" spans="13:13" ht="15.75" x14ac:dyDescent="0.25">
      <c r="M2337" t="s">
        <v>2196</v>
      </c>
    </row>
    <row r="2338" spans="13:13" ht="15.75" x14ac:dyDescent="0.25">
      <c r="M2338" t="s">
        <v>2197</v>
      </c>
    </row>
    <row r="2339" spans="13:13" ht="15.75" x14ac:dyDescent="0.25">
      <c r="M2339" t="s">
        <v>2198</v>
      </c>
    </row>
    <row r="2340" spans="13:13" ht="15.75" x14ac:dyDescent="0.25">
      <c r="M2340" t="s">
        <v>2199</v>
      </c>
    </row>
    <row r="2341" spans="13:13" ht="15.75" x14ac:dyDescent="0.25">
      <c r="M2341" t="s">
        <v>2200</v>
      </c>
    </row>
    <row r="2342" spans="13:13" ht="15.75" x14ac:dyDescent="0.25">
      <c r="M2342" t="s">
        <v>2201</v>
      </c>
    </row>
    <row r="2343" spans="13:13" ht="15.75" x14ac:dyDescent="0.25">
      <c r="M2343" t="s">
        <v>2202</v>
      </c>
    </row>
    <row r="2344" spans="13:13" ht="15.75" x14ac:dyDescent="0.25">
      <c r="M2344" t="s">
        <v>2203</v>
      </c>
    </row>
    <row r="2345" spans="13:13" ht="15.75" x14ac:dyDescent="0.25">
      <c r="M2345" t="s">
        <v>2204</v>
      </c>
    </row>
    <row r="2346" spans="13:13" ht="15.75" x14ac:dyDescent="0.25">
      <c r="M2346" t="s">
        <v>2205</v>
      </c>
    </row>
    <row r="2347" spans="13:13" ht="15.75" x14ac:dyDescent="0.25">
      <c r="M2347" t="s">
        <v>2206</v>
      </c>
    </row>
    <row r="2348" spans="13:13" ht="15.75" x14ac:dyDescent="0.25">
      <c r="M2348" t="s">
        <v>395</v>
      </c>
    </row>
    <row r="2349" spans="13:13" ht="15.75" x14ac:dyDescent="0.25">
      <c r="M2349" t="s">
        <v>2207</v>
      </c>
    </row>
    <row r="2350" spans="13:13" ht="15.75" x14ac:dyDescent="0.25">
      <c r="M2350" t="s">
        <v>2208</v>
      </c>
    </row>
    <row r="2351" spans="13:13" ht="15.75" x14ac:dyDescent="0.25">
      <c r="M2351" t="s">
        <v>2209</v>
      </c>
    </row>
    <row r="2352" spans="13:13" ht="15.75" x14ac:dyDescent="0.25">
      <c r="M2352" t="s">
        <v>2210</v>
      </c>
    </row>
    <row r="2353" spans="13:13" ht="15.75" x14ac:dyDescent="0.25">
      <c r="M2353" t="s">
        <v>2211</v>
      </c>
    </row>
    <row r="2354" spans="13:13" ht="15.75" x14ac:dyDescent="0.25">
      <c r="M2354" t="s">
        <v>2212</v>
      </c>
    </row>
    <row r="2355" spans="13:13" ht="15.75" x14ac:dyDescent="0.25">
      <c r="M2355" t="s">
        <v>2213</v>
      </c>
    </row>
    <row r="2356" spans="13:13" ht="15.75" x14ac:dyDescent="0.25">
      <c r="M2356" t="s">
        <v>2214</v>
      </c>
    </row>
    <row r="2357" spans="13:13" ht="15.75" x14ac:dyDescent="0.25">
      <c r="M2357" t="s">
        <v>2215</v>
      </c>
    </row>
    <row r="2358" spans="13:13" ht="15.75" x14ac:dyDescent="0.25">
      <c r="M2358" t="s">
        <v>2216</v>
      </c>
    </row>
    <row r="2359" spans="13:13" ht="15.75" x14ac:dyDescent="0.25">
      <c r="M2359" t="s">
        <v>2217</v>
      </c>
    </row>
    <row r="2360" spans="13:13" ht="15.75" x14ac:dyDescent="0.25">
      <c r="M2360" t="s">
        <v>2208</v>
      </c>
    </row>
    <row r="2361" spans="13:13" ht="15.75" x14ac:dyDescent="0.25">
      <c r="M2361" t="s">
        <v>2218</v>
      </c>
    </row>
    <row r="2362" spans="13:13" ht="15.75" x14ac:dyDescent="0.25">
      <c r="M2362" t="s">
        <v>2219</v>
      </c>
    </row>
    <row r="2363" spans="13:13" ht="15.75" x14ac:dyDescent="0.25">
      <c r="M2363" t="s">
        <v>2220</v>
      </c>
    </row>
    <row r="2364" spans="13:13" ht="15.75" x14ac:dyDescent="0.25">
      <c r="M2364" t="s">
        <v>2221</v>
      </c>
    </row>
    <row r="2365" spans="13:13" ht="15.75" x14ac:dyDescent="0.25">
      <c r="M2365" t="s">
        <v>2222</v>
      </c>
    </row>
    <row r="2366" spans="13:13" ht="15.75" x14ac:dyDescent="0.25">
      <c r="M2366" t="s">
        <v>2223</v>
      </c>
    </row>
    <row r="2367" spans="13:13" ht="15.75" x14ac:dyDescent="0.25">
      <c r="M2367" t="s">
        <v>2224</v>
      </c>
    </row>
    <row r="2368" spans="13:13" ht="15.75" x14ac:dyDescent="0.25">
      <c r="M2368" t="s">
        <v>2225</v>
      </c>
    </row>
    <row r="2369" spans="13:13" ht="15.75" x14ac:dyDescent="0.25">
      <c r="M2369" t="s">
        <v>2226</v>
      </c>
    </row>
    <row r="2370" spans="13:13" ht="15.75" x14ac:dyDescent="0.25">
      <c r="M2370" t="s">
        <v>2227</v>
      </c>
    </row>
    <row r="2371" spans="13:13" ht="15.75" x14ac:dyDescent="0.25">
      <c r="M2371" t="s">
        <v>671</v>
      </c>
    </row>
    <row r="2372" spans="13:13" ht="15.75" x14ac:dyDescent="0.25">
      <c r="M2372" t="s">
        <v>2228</v>
      </c>
    </row>
    <row r="2373" spans="13:13" ht="15.75" x14ac:dyDescent="0.25">
      <c r="M2373" t="s">
        <v>2229</v>
      </c>
    </row>
    <row r="2374" spans="13:13" ht="15.75" x14ac:dyDescent="0.25">
      <c r="M2374" t="s">
        <v>118</v>
      </c>
    </row>
    <row r="2375" spans="13:13" ht="15.75" x14ac:dyDescent="0.25">
      <c r="M2375" t="s">
        <v>2230</v>
      </c>
    </row>
    <row r="2376" spans="13:13" ht="15.75" x14ac:dyDescent="0.25">
      <c r="M2376" t="s">
        <v>2231</v>
      </c>
    </row>
    <row r="2377" spans="13:13" ht="15.75" x14ac:dyDescent="0.25">
      <c r="M2377" t="s">
        <v>1453</v>
      </c>
    </row>
    <row r="2378" spans="13:13" ht="15.75" x14ac:dyDescent="0.25">
      <c r="M2378" t="s">
        <v>2013</v>
      </c>
    </row>
    <row r="2379" spans="13:13" ht="15.75" x14ac:dyDescent="0.25">
      <c r="M2379" t="s">
        <v>2232</v>
      </c>
    </row>
    <row r="2380" spans="13:13" ht="15.75" x14ac:dyDescent="0.25">
      <c r="M2380" t="s">
        <v>2233</v>
      </c>
    </row>
    <row r="2381" spans="13:13" ht="15.75" x14ac:dyDescent="0.25">
      <c r="M2381" t="s">
        <v>1122</v>
      </c>
    </row>
    <row r="2382" spans="13:13" ht="15.75" x14ac:dyDescent="0.25">
      <c r="M2382" t="s">
        <v>2234</v>
      </c>
    </row>
    <row r="2383" spans="13:13" ht="15.75" x14ac:dyDescent="0.25">
      <c r="M2383" t="s">
        <v>1848</v>
      </c>
    </row>
    <row r="2384" spans="13:13" ht="15.75" x14ac:dyDescent="0.25">
      <c r="M2384" t="s">
        <v>2235</v>
      </c>
    </row>
    <row r="2385" spans="13:13" ht="15.75" x14ac:dyDescent="0.25">
      <c r="M2385" t="s">
        <v>2236</v>
      </c>
    </row>
    <row r="2386" spans="13:13" ht="15.75" x14ac:dyDescent="0.25">
      <c r="M2386" t="s">
        <v>2079</v>
      </c>
    </row>
    <row r="2387" spans="13:13" ht="15.75" x14ac:dyDescent="0.25">
      <c r="M2387" t="s">
        <v>2237</v>
      </c>
    </row>
    <row r="2388" spans="13:13" ht="15.75" x14ac:dyDescent="0.25">
      <c r="M2388" t="s">
        <v>1658</v>
      </c>
    </row>
    <row r="2389" spans="13:13" ht="15.75" x14ac:dyDescent="0.25">
      <c r="M2389" t="s">
        <v>756</v>
      </c>
    </row>
    <row r="2390" spans="13:13" ht="15.75" x14ac:dyDescent="0.25">
      <c r="M2390" t="s">
        <v>2238</v>
      </c>
    </row>
    <row r="2391" spans="13:13" ht="15.75" x14ac:dyDescent="0.25">
      <c r="M2391" t="s">
        <v>2239</v>
      </c>
    </row>
    <row r="2392" spans="13:13" ht="15.75" x14ac:dyDescent="0.25">
      <c r="M2392" t="s">
        <v>2240</v>
      </c>
    </row>
    <row r="2393" spans="13:13" ht="15.75" x14ac:dyDescent="0.25">
      <c r="M2393" t="s">
        <v>2241</v>
      </c>
    </row>
    <row r="2394" spans="13:13" ht="15.75" x14ac:dyDescent="0.25">
      <c r="M2394" t="s">
        <v>2242</v>
      </c>
    </row>
    <row r="2395" spans="13:13" ht="15.75" x14ac:dyDescent="0.25">
      <c r="M2395" t="s">
        <v>2243</v>
      </c>
    </row>
    <row r="2396" spans="13:13" ht="15.75" x14ac:dyDescent="0.25">
      <c r="M2396" t="s">
        <v>2244</v>
      </c>
    </row>
    <row r="2397" spans="13:13" ht="15.75" x14ac:dyDescent="0.25">
      <c r="M2397" t="s">
        <v>2245</v>
      </c>
    </row>
    <row r="2398" spans="13:13" ht="15.75" x14ac:dyDescent="0.25">
      <c r="M2398" t="s">
        <v>2246</v>
      </c>
    </row>
    <row r="2399" spans="13:13" ht="15.75" x14ac:dyDescent="0.25">
      <c r="M2399" t="s">
        <v>2247</v>
      </c>
    </row>
    <row r="2400" spans="13:13" ht="15.75" x14ac:dyDescent="0.25">
      <c r="M2400" t="s">
        <v>2248</v>
      </c>
    </row>
    <row r="2401" spans="13:13" ht="15.75" x14ac:dyDescent="0.25">
      <c r="M2401" t="s">
        <v>2249</v>
      </c>
    </row>
    <row r="2402" spans="13:13" ht="15.75" x14ac:dyDescent="0.25">
      <c r="M2402" t="s">
        <v>1725</v>
      </c>
    </row>
    <row r="2403" spans="13:13" ht="15.75" x14ac:dyDescent="0.25">
      <c r="M2403" t="s">
        <v>2250</v>
      </c>
    </row>
    <row r="2404" spans="13:13" ht="15.75" x14ac:dyDescent="0.25">
      <c r="M2404" t="s">
        <v>1153</v>
      </c>
    </row>
    <row r="2405" spans="13:13" ht="15.75" x14ac:dyDescent="0.25">
      <c r="M2405" t="s">
        <v>2251</v>
      </c>
    </row>
    <row r="2406" spans="13:13" ht="15.75" x14ac:dyDescent="0.25">
      <c r="M2406" t="s">
        <v>1689</v>
      </c>
    </row>
    <row r="2407" spans="13:13" ht="15.75" x14ac:dyDescent="0.25">
      <c r="M2407" t="s">
        <v>2252</v>
      </c>
    </row>
    <row r="2408" spans="13:13" ht="15.75" x14ac:dyDescent="0.25">
      <c r="M2408" t="s">
        <v>2253</v>
      </c>
    </row>
    <row r="2409" spans="13:13" ht="15.75" x14ac:dyDescent="0.25">
      <c r="M2409" t="s">
        <v>2254</v>
      </c>
    </row>
    <row r="2410" spans="13:13" ht="15.75" x14ac:dyDescent="0.25">
      <c r="M2410" t="s">
        <v>2255</v>
      </c>
    </row>
    <row r="2411" spans="13:13" ht="15.75" x14ac:dyDescent="0.25">
      <c r="M2411" t="s">
        <v>2256</v>
      </c>
    </row>
    <row r="2412" spans="13:13" ht="15.75" x14ac:dyDescent="0.25">
      <c r="M2412" t="s">
        <v>2257</v>
      </c>
    </row>
    <row r="2413" spans="13:13" ht="15.75" x14ac:dyDescent="0.25">
      <c r="M2413" t="s">
        <v>2258</v>
      </c>
    </row>
    <row r="2414" spans="13:13" ht="15.75" x14ac:dyDescent="0.25">
      <c r="M2414" t="s">
        <v>2259</v>
      </c>
    </row>
    <row r="2415" spans="13:13" ht="15.75" x14ac:dyDescent="0.25">
      <c r="M2415" t="s">
        <v>2260</v>
      </c>
    </row>
    <row r="2416" spans="13:13" ht="15.75" x14ac:dyDescent="0.25">
      <c r="M2416" t="s">
        <v>2261</v>
      </c>
    </row>
    <row r="2417" spans="13:13" ht="15.75" x14ac:dyDescent="0.25">
      <c r="M2417" t="s">
        <v>2262</v>
      </c>
    </row>
    <row r="2418" spans="13:13" ht="15.75" x14ac:dyDescent="0.25">
      <c r="M2418" t="s">
        <v>2263</v>
      </c>
    </row>
    <row r="2419" spans="13:13" ht="15.75" x14ac:dyDescent="0.25">
      <c r="M2419" t="s">
        <v>2264</v>
      </c>
    </row>
    <row r="2420" spans="13:13" ht="15.75" x14ac:dyDescent="0.25">
      <c r="M2420" t="s">
        <v>2265</v>
      </c>
    </row>
    <row r="2421" spans="13:13" ht="15.75" x14ac:dyDescent="0.25">
      <c r="M2421" t="s">
        <v>2266</v>
      </c>
    </row>
    <row r="2422" spans="13:13" ht="15.75" x14ac:dyDescent="0.25">
      <c r="M2422" t="s">
        <v>2267</v>
      </c>
    </row>
    <row r="2423" spans="13:13" ht="15.75" x14ac:dyDescent="0.25">
      <c r="M2423" t="s">
        <v>2268</v>
      </c>
    </row>
    <row r="2424" spans="13:13" ht="15.75" x14ac:dyDescent="0.25">
      <c r="M2424" t="s">
        <v>2269</v>
      </c>
    </row>
    <row r="2425" spans="13:13" ht="15.75" x14ac:dyDescent="0.25">
      <c r="M2425" t="s">
        <v>2270</v>
      </c>
    </row>
    <row r="2426" spans="13:13" ht="15.75" x14ac:dyDescent="0.25">
      <c r="M2426" t="s">
        <v>2200</v>
      </c>
    </row>
    <row r="2427" spans="13:13" ht="15.75" x14ac:dyDescent="0.25">
      <c r="M2427" t="s">
        <v>2271</v>
      </c>
    </row>
    <row r="2428" spans="13:13" ht="15.75" x14ac:dyDescent="0.25">
      <c r="M2428" t="s">
        <v>2272</v>
      </c>
    </row>
    <row r="2429" spans="13:13" ht="15.75" x14ac:dyDescent="0.25">
      <c r="M2429" t="s">
        <v>2273</v>
      </c>
    </row>
    <row r="2430" spans="13:13" ht="15.75" x14ac:dyDescent="0.25">
      <c r="M2430" t="s">
        <v>2274</v>
      </c>
    </row>
    <row r="2431" spans="13:13" ht="15.75" x14ac:dyDescent="0.25">
      <c r="M2431" t="s">
        <v>2275</v>
      </c>
    </row>
    <row r="2432" spans="13:13" ht="15.75" x14ac:dyDescent="0.25">
      <c r="M2432" t="s">
        <v>2276</v>
      </c>
    </row>
    <row r="2433" spans="13:13" ht="15.75" x14ac:dyDescent="0.25">
      <c r="M2433" t="s">
        <v>2277</v>
      </c>
    </row>
    <row r="2434" spans="13:13" ht="15.75" x14ac:dyDescent="0.25">
      <c r="M2434" t="s">
        <v>2278</v>
      </c>
    </row>
    <row r="2435" spans="13:13" ht="15.75" x14ac:dyDescent="0.25">
      <c r="M2435" t="s">
        <v>2279</v>
      </c>
    </row>
    <row r="2436" spans="13:13" ht="15.75" x14ac:dyDescent="0.25">
      <c r="M2436" t="s">
        <v>348</v>
      </c>
    </row>
    <row r="2437" spans="13:13" ht="15.75" x14ac:dyDescent="0.25">
      <c r="M2437" t="s">
        <v>1746</v>
      </c>
    </row>
    <row r="2438" spans="13:13" ht="15.75" x14ac:dyDescent="0.25">
      <c r="M2438" t="s">
        <v>2280</v>
      </c>
    </row>
    <row r="2439" spans="13:13" ht="15.75" x14ac:dyDescent="0.25">
      <c r="M2439" t="s">
        <v>2281</v>
      </c>
    </row>
    <row r="2440" spans="13:13" ht="15.75" x14ac:dyDescent="0.25">
      <c r="M2440" t="s">
        <v>2282</v>
      </c>
    </row>
    <row r="2441" spans="13:13" ht="15.75" x14ac:dyDescent="0.25">
      <c r="M2441" t="s">
        <v>2283</v>
      </c>
    </row>
    <row r="2442" spans="13:13" ht="15.75" x14ac:dyDescent="0.25">
      <c r="M2442" t="s">
        <v>2284</v>
      </c>
    </row>
    <row r="2443" spans="13:13" ht="15.75" x14ac:dyDescent="0.25">
      <c r="M2443" t="s">
        <v>2285</v>
      </c>
    </row>
    <row r="2444" spans="13:13" ht="15.75" x14ac:dyDescent="0.25">
      <c r="M2444" t="s">
        <v>2286</v>
      </c>
    </row>
    <row r="2445" spans="13:13" ht="15.75" x14ac:dyDescent="0.25">
      <c r="M2445" t="s">
        <v>2287</v>
      </c>
    </row>
    <row r="2446" spans="13:13" ht="15.75" x14ac:dyDescent="0.25">
      <c r="M2446" t="s">
        <v>2288</v>
      </c>
    </row>
    <row r="2447" spans="13:13" ht="15.75" x14ac:dyDescent="0.25">
      <c r="M2447" t="s">
        <v>2289</v>
      </c>
    </row>
    <row r="2448" spans="13:13" ht="15.75" x14ac:dyDescent="0.25">
      <c r="M2448" t="s">
        <v>2290</v>
      </c>
    </row>
    <row r="2449" spans="13:13" ht="15.75" x14ac:dyDescent="0.25">
      <c r="M2449" t="s">
        <v>2291</v>
      </c>
    </row>
    <row r="2450" spans="13:13" ht="15.75" x14ac:dyDescent="0.25">
      <c r="M2450" t="s">
        <v>2292</v>
      </c>
    </row>
    <row r="2451" spans="13:13" ht="15.75" x14ac:dyDescent="0.25">
      <c r="M2451" t="s">
        <v>2293</v>
      </c>
    </row>
    <row r="2452" spans="13:13" ht="15.75" x14ac:dyDescent="0.25">
      <c r="M2452" t="s">
        <v>2294</v>
      </c>
    </row>
    <row r="2453" spans="13:13" ht="15.75" x14ac:dyDescent="0.25">
      <c r="M2453" t="s">
        <v>2295</v>
      </c>
    </row>
    <row r="2454" spans="13:13" ht="15.75" x14ac:dyDescent="0.25">
      <c r="M2454" t="s">
        <v>2296</v>
      </c>
    </row>
    <row r="2455" spans="13:13" ht="15.75" x14ac:dyDescent="0.25">
      <c r="M2455" t="s">
        <v>2297</v>
      </c>
    </row>
    <row r="2456" spans="13:13" ht="15.75" x14ac:dyDescent="0.25">
      <c r="M2456" t="s">
        <v>2298</v>
      </c>
    </row>
    <row r="2457" spans="13:13" ht="15.75" x14ac:dyDescent="0.25">
      <c r="M2457" t="s">
        <v>2299</v>
      </c>
    </row>
    <row r="2458" spans="13:13" ht="15.75" x14ac:dyDescent="0.25">
      <c r="M2458" t="s">
        <v>2181</v>
      </c>
    </row>
    <row r="2459" spans="13:13" ht="15.75" x14ac:dyDescent="0.25">
      <c r="M2459" t="s">
        <v>2300</v>
      </c>
    </row>
    <row r="2460" spans="13:13" ht="15.75" x14ac:dyDescent="0.25">
      <c r="M2460" t="s">
        <v>2301</v>
      </c>
    </row>
    <row r="2461" spans="13:13" ht="15.75" x14ac:dyDescent="0.25">
      <c r="M2461" t="s">
        <v>2297</v>
      </c>
    </row>
    <row r="2462" spans="13:13" ht="15.75" x14ac:dyDescent="0.25">
      <c r="M2462" t="s">
        <v>2302</v>
      </c>
    </row>
    <row r="2463" spans="13:13" ht="15.75" x14ac:dyDescent="0.25">
      <c r="M2463" t="s">
        <v>2303</v>
      </c>
    </row>
    <row r="2464" spans="13:13" ht="15.75" x14ac:dyDescent="0.25">
      <c r="M2464" t="s">
        <v>2304</v>
      </c>
    </row>
    <row r="2465" spans="13:13" ht="15.75" x14ac:dyDescent="0.25">
      <c r="M2465" t="s">
        <v>2305</v>
      </c>
    </row>
    <row r="2466" spans="13:13" ht="15.75" x14ac:dyDescent="0.25">
      <c r="M2466" t="s">
        <v>2306</v>
      </c>
    </row>
    <row r="2467" spans="13:13" ht="15.75" x14ac:dyDescent="0.25">
      <c r="M2467" t="s">
        <v>2307</v>
      </c>
    </row>
    <row r="2468" spans="13:13" ht="15.75" x14ac:dyDescent="0.25">
      <c r="M2468" t="s">
        <v>2308</v>
      </c>
    </row>
    <row r="2469" spans="13:13" ht="15.75" x14ac:dyDescent="0.25">
      <c r="M2469" t="s">
        <v>2309</v>
      </c>
    </row>
    <row r="2470" spans="13:13" ht="15.75" x14ac:dyDescent="0.25">
      <c r="M2470" t="s">
        <v>2310</v>
      </c>
    </row>
    <row r="2471" spans="13:13" ht="15.75" x14ac:dyDescent="0.25">
      <c r="M2471" t="s">
        <v>2311</v>
      </c>
    </row>
    <row r="2472" spans="13:13" ht="15.75" x14ac:dyDescent="0.25">
      <c r="M2472" t="s">
        <v>2312</v>
      </c>
    </row>
    <row r="2473" spans="13:13" ht="15.75" x14ac:dyDescent="0.25">
      <c r="M2473" t="s">
        <v>2313</v>
      </c>
    </row>
    <row r="2474" spans="13:13" ht="15.75" x14ac:dyDescent="0.25">
      <c r="M2474" t="s">
        <v>2314</v>
      </c>
    </row>
    <row r="2475" spans="13:13" ht="15.75" x14ac:dyDescent="0.25">
      <c r="M2475" t="s">
        <v>2315</v>
      </c>
    </row>
    <row r="2476" spans="13:13" ht="15.75" x14ac:dyDescent="0.25">
      <c r="M2476" t="s">
        <v>2316</v>
      </c>
    </row>
    <row r="2477" spans="13:13" ht="15.75" x14ac:dyDescent="0.25">
      <c r="M2477" t="s">
        <v>2024</v>
      </c>
    </row>
    <row r="2478" spans="13:13" ht="15.75" x14ac:dyDescent="0.25">
      <c r="M2478" t="s">
        <v>2317</v>
      </c>
    </row>
    <row r="2479" spans="13:13" ht="15.75" x14ac:dyDescent="0.25">
      <c r="M2479" t="s">
        <v>2318</v>
      </c>
    </row>
    <row r="2480" spans="13:13" ht="15.75" x14ac:dyDescent="0.25">
      <c r="M2480" t="s">
        <v>2319</v>
      </c>
    </row>
    <row r="2481" spans="13:13" ht="15.75" x14ac:dyDescent="0.25">
      <c r="M2481" t="s">
        <v>2320</v>
      </c>
    </row>
    <row r="2482" spans="13:13" ht="15.75" x14ac:dyDescent="0.25">
      <c r="M2482" t="s">
        <v>910</v>
      </c>
    </row>
    <row r="2483" spans="13:13" ht="15.75" x14ac:dyDescent="0.25">
      <c r="M2483" t="s">
        <v>2321</v>
      </c>
    </row>
    <row r="2484" spans="13:13" ht="15.75" x14ac:dyDescent="0.25">
      <c r="M2484" t="s">
        <v>2322</v>
      </c>
    </row>
    <row r="2485" spans="13:13" ht="15.75" x14ac:dyDescent="0.25">
      <c r="M2485" t="s">
        <v>2323</v>
      </c>
    </row>
    <row r="2486" spans="13:13" ht="15.75" x14ac:dyDescent="0.25">
      <c r="M2486" t="s">
        <v>2324</v>
      </c>
    </row>
    <row r="2487" spans="13:13" ht="15.75" x14ac:dyDescent="0.25">
      <c r="M2487" t="s">
        <v>2325</v>
      </c>
    </row>
    <row r="2488" spans="13:13" ht="15.75" x14ac:dyDescent="0.25">
      <c r="M2488" t="s">
        <v>2240</v>
      </c>
    </row>
    <row r="2489" spans="13:13" ht="15.75" x14ac:dyDescent="0.25">
      <c r="M2489" t="s">
        <v>2326</v>
      </c>
    </row>
    <row r="2490" spans="13:13" ht="15.75" x14ac:dyDescent="0.25">
      <c r="M2490" t="s">
        <v>107</v>
      </c>
    </row>
    <row r="2491" spans="13:13" ht="15.75" x14ac:dyDescent="0.25">
      <c r="M2491" t="s">
        <v>2327</v>
      </c>
    </row>
    <row r="2492" spans="13:13" ht="15.75" x14ac:dyDescent="0.25">
      <c r="M2492" t="s">
        <v>2328</v>
      </c>
    </row>
    <row r="2493" spans="13:13" ht="15.75" x14ac:dyDescent="0.25">
      <c r="M2493" t="s">
        <v>2329</v>
      </c>
    </row>
    <row r="2494" spans="13:13" ht="15.75" x14ac:dyDescent="0.25">
      <c r="M2494" t="s">
        <v>2330</v>
      </c>
    </row>
    <row r="2495" spans="13:13" ht="15.75" x14ac:dyDescent="0.25">
      <c r="M2495" t="s">
        <v>2331</v>
      </c>
    </row>
    <row r="2496" spans="13:13" ht="15.75" x14ac:dyDescent="0.25">
      <c r="M2496" t="s">
        <v>2332</v>
      </c>
    </row>
    <row r="2497" spans="13:13" ht="15.75" x14ac:dyDescent="0.25">
      <c r="M2497" t="s">
        <v>2333</v>
      </c>
    </row>
    <row r="2498" spans="13:13" ht="15.75" x14ac:dyDescent="0.25">
      <c r="M2498" t="s">
        <v>2334</v>
      </c>
    </row>
    <row r="2499" spans="13:13" ht="15.75" x14ac:dyDescent="0.25">
      <c r="M2499" t="s">
        <v>2335</v>
      </c>
    </row>
    <row r="2500" spans="13:13" ht="15.75" x14ac:dyDescent="0.25">
      <c r="M2500" t="s">
        <v>2336</v>
      </c>
    </row>
    <row r="2501" spans="13:13" ht="15.75" x14ac:dyDescent="0.25">
      <c r="M2501" t="s">
        <v>2337</v>
      </c>
    </row>
    <row r="2502" spans="13:13" ht="15.75" x14ac:dyDescent="0.25">
      <c r="M2502" t="s">
        <v>2338</v>
      </c>
    </row>
    <row r="2503" spans="13:13" ht="15.75" x14ac:dyDescent="0.25">
      <c r="M2503" t="s">
        <v>2339</v>
      </c>
    </row>
    <row r="2504" spans="13:13" ht="15.75" x14ac:dyDescent="0.25">
      <c r="M2504" t="s">
        <v>2340</v>
      </c>
    </row>
    <row r="2505" spans="13:13" ht="15.75" x14ac:dyDescent="0.25">
      <c r="M2505" t="s">
        <v>2341</v>
      </c>
    </row>
    <row r="2506" spans="13:13" ht="15.75" x14ac:dyDescent="0.25">
      <c r="M2506" t="s">
        <v>2342</v>
      </c>
    </row>
    <row r="2507" spans="13:13" ht="15.75" x14ac:dyDescent="0.25">
      <c r="M2507" t="s">
        <v>2343</v>
      </c>
    </row>
    <row r="2508" spans="13:13" ht="15.75" x14ac:dyDescent="0.25">
      <c r="M2508" t="s">
        <v>2344</v>
      </c>
    </row>
    <row r="2509" spans="13:13" ht="15.75" x14ac:dyDescent="0.25">
      <c r="M2509" t="s">
        <v>56</v>
      </c>
    </row>
    <row r="2510" spans="13:13" ht="15.75" x14ac:dyDescent="0.25">
      <c r="M2510" t="s">
        <v>2345</v>
      </c>
    </row>
    <row r="2511" spans="13:13" ht="15.75" x14ac:dyDescent="0.25">
      <c r="M2511" t="s">
        <v>2346</v>
      </c>
    </row>
    <row r="2512" spans="13:13" ht="15.75" x14ac:dyDescent="0.25">
      <c r="M2512" t="s">
        <v>2347</v>
      </c>
    </row>
    <row r="2513" spans="13:13" ht="15.75" x14ac:dyDescent="0.25">
      <c r="M2513" t="s">
        <v>2348</v>
      </c>
    </row>
    <row r="2514" spans="13:13" ht="15.75" x14ac:dyDescent="0.25">
      <c r="M2514" t="s">
        <v>2349</v>
      </c>
    </row>
    <row r="2515" spans="13:13" ht="15.75" x14ac:dyDescent="0.25">
      <c r="M2515" t="s">
        <v>2350</v>
      </c>
    </row>
    <row r="2516" spans="13:13" ht="15.75" x14ac:dyDescent="0.25">
      <c r="M2516" t="s">
        <v>2351</v>
      </c>
    </row>
    <row r="2517" spans="13:13" ht="15.75" x14ac:dyDescent="0.25">
      <c r="M2517" t="s">
        <v>316</v>
      </c>
    </row>
    <row r="2518" spans="13:13" ht="15.75" x14ac:dyDescent="0.25">
      <c r="M2518" t="s">
        <v>2352</v>
      </c>
    </row>
    <row r="2519" spans="13:13" ht="15.75" x14ac:dyDescent="0.25">
      <c r="M2519" t="s">
        <v>39</v>
      </c>
    </row>
    <row r="2520" spans="13:13" ht="15.75" x14ac:dyDescent="0.25">
      <c r="M2520" t="s">
        <v>2353</v>
      </c>
    </row>
    <row r="2521" spans="13:13" ht="15.75" x14ac:dyDescent="0.25">
      <c r="M2521" t="s">
        <v>2354</v>
      </c>
    </row>
    <row r="2522" spans="13:13" ht="15.75" x14ac:dyDescent="0.25">
      <c r="M2522" t="s">
        <v>2355</v>
      </c>
    </row>
    <row r="2523" spans="13:13" ht="15.75" x14ac:dyDescent="0.25">
      <c r="M2523" t="s">
        <v>2354</v>
      </c>
    </row>
    <row r="2524" spans="13:13" ht="15.75" x14ac:dyDescent="0.25">
      <c r="M2524" t="s">
        <v>2356</v>
      </c>
    </row>
    <row r="2525" spans="13:13" ht="15.75" x14ac:dyDescent="0.25">
      <c r="M2525" t="s">
        <v>75</v>
      </c>
    </row>
    <row r="2526" spans="13:13" ht="15.75" x14ac:dyDescent="0.25">
      <c r="M2526" t="s">
        <v>2357</v>
      </c>
    </row>
    <row r="2527" spans="13:13" ht="15.75" x14ac:dyDescent="0.25">
      <c r="M2527" t="s">
        <v>2358</v>
      </c>
    </row>
    <row r="2528" spans="13:13" ht="15.75" x14ac:dyDescent="0.25">
      <c r="M2528" t="s">
        <v>2359</v>
      </c>
    </row>
    <row r="2529" spans="13:13" ht="15.75" x14ac:dyDescent="0.25">
      <c r="M2529" t="s">
        <v>2360</v>
      </c>
    </row>
    <row r="2530" spans="13:13" ht="15.75" x14ac:dyDescent="0.25">
      <c r="M2530" t="s">
        <v>2361</v>
      </c>
    </row>
    <row r="2531" spans="13:13" ht="15.75" x14ac:dyDescent="0.25">
      <c r="M2531" t="s">
        <v>2362</v>
      </c>
    </row>
    <row r="2532" spans="13:13" ht="15.75" x14ac:dyDescent="0.25">
      <c r="M2532" t="s">
        <v>2363</v>
      </c>
    </row>
    <row r="2533" spans="13:13" ht="15.75" x14ac:dyDescent="0.25">
      <c r="M2533" t="s">
        <v>2364</v>
      </c>
    </row>
    <row r="2534" spans="13:13" ht="15.75" x14ac:dyDescent="0.25">
      <c r="M2534" t="s">
        <v>2348</v>
      </c>
    </row>
    <row r="2535" spans="13:13" ht="15.75" x14ac:dyDescent="0.25">
      <c r="M2535" t="s">
        <v>2365</v>
      </c>
    </row>
    <row r="2536" spans="13:13" ht="15.75" x14ac:dyDescent="0.25">
      <c r="M2536" t="s">
        <v>2366</v>
      </c>
    </row>
    <row r="2537" spans="13:13" ht="15.75" x14ac:dyDescent="0.25">
      <c r="M2537" t="s">
        <v>2367</v>
      </c>
    </row>
    <row r="2538" spans="13:13" ht="15.75" x14ac:dyDescent="0.25">
      <c r="M2538" t="s">
        <v>2368</v>
      </c>
    </row>
    <row r="2539" spans="13:13" ht="15.75" x14ac:dyDescent="0.25">
      <c r="M2539" t="s">
        <v>2369</v>
      </c>
    </row>
    <row r="2540" spans="13:13" ht="15.75" x14ac:dyDescent="0.25">
      <c r="M2540" t="s">
        <v>2370</v>
      </c>
    </row>
    <row r="2541" spans="13:13" ht="15.75" x14ac:dyDescent="0.25">
      <c r="M2541" t="s">
        <v>2371</v>
      </c>
    </row>
    <row r="2542" spans="13:13" ht="15.75" x14ac:dyDescent="0.25">
      <c r="M2542" t="s">
        <v>2215</v>
      </c>
    </row>
    <row r="2543" spans="13:13" ht="15.75" x14ac:dyDescent="0.25">
      <c r="M2543" t="s">
        <v>2372</v>
      </c>
    </row>
    <row r="2544" spans="13:13" ht="15.75" x14ac:dyDescent="0.25">
      <c r="M2544" t="s">
        <v>1359</v>
      </c>
    </row>
    <row r="2545" spans="13:13" ht="15.75" x14ac:dyDescent="0.25">
      <c r="M2545" t="s">
        <v>2373</v>
      </c>
    </row>
    <row r="2546" spans="13:13" ht="15.75" x14ac:dyDescent="0.25">
      <c r="M2546" t="s">
        <v>2374</v>
      </c>
    </row>
    <row r="2547" spans="13:13" ht="15.75" x14ac:dyDescent="0.25">
      <c r="M2547" t="s">
        <v>2375</v>
      </c>
    </row>
    <row r="2548" spans="13:13" ht="15.75" x14ac:dyDescent="0.25">
      <c r="M2548" t="s">
        <v>2376</v>
      </c>
    </row>
    <row r="2549" spans="13:13" ht="15.75" x14ac:dyDescent="0.25">
      <c r="M2549" t="s">
        <v>2377</v>
      </c>
    </row>
    <row r="2550" spans="13:13" ht="15.75" x14ac:dyDescent="0.25">
      <c r="M2550" t="s">
        <v>2378</v>
      </c>
    </row>
    <row r="2551" spans="13:13" ht="15.75" x14ac:dyDescent="0.25">
      <c r="M2551" t="s">
        <v>2379</v>
      </c>
    </row>
    <row r="2552" spans="13:13" ht="15.75" x14ac:dyDescent="0.25">
      <c r="M2552" t="s">
        <v>2380</v>
      </c>
    </row>
    <row r="2553" spans="13:13" ht="15.75" x14ac:dyDescent="0.25">
      <c r="M2553" t="s">
        <v>2381</v>
      </c>
    </row>
    <row r="2554" spans="13:13" ht="15.75" x14ac:dyDescent="0.25">
      <c r="M2554" t="s">
        <v>2382</v>
      </c>
    </row>
    <row r="2555" spans="13:13" ht="15.75" x14ac:dyDescent="0.25">
      <c r="M2555" t="s">
        <v>2383</v>
      </c>
    </row>
    <row r="2556" spans="13:13" ht="15.75" x14ac:dyDescent="0.25">
      <c r="M2556" t="s">
        <v>2384</v>
      </c>
    </row>
    <row r="2557" spans="13:13" ht="15.75" x14ac:dyDescent="0.25">
      <c r="M2557" t="s">
        <v>101</v>
      </c>
    </row>
    <row r="2558" spans="13:13" ht="15.75" x14ac:dyDescent="0.25">
      <c r="M2558" t="s">
        <v>2385</v>
      </c>
    </row>
    <row r="2559" spans="13:13" ht="15.75" x14ac:dyDescent="0.25">
      <c r="M2559" t="s">
        <v>431</v>
      </c>
    </row>
    <row r="2560" spans="13:13" ht="15.75" x14ac:dyDescent="0.25">
      <c r="M2560" t="s">
        <v>2386</v>
      </c>
    </row>
    <row r="2561" spans="13:13" ht="15.75" x14ac:dyDescent="0.25">
      <c r="M2561" t="s">
        <v>2387</v>
      </c>
    </row>
    <row r="2562" spans="13:13" ht="15.75" x14ac:dyDescent="0.25">
      <c r="M2562" t="s">
        <v>2388</v>
      </c>
    </row>
    <row r="2563" spans="13:13" ht="15.75" x14ac:dyDescent="0.25">
      <c r="M2563" t="s">
        <v>2389</v>
      </c>
    </row>
    <row r="2564" spans="13:13" ht="15.75" x14ac:dyDescent="0.25">
      <c r="M2564" t="s">
        <v>2390</v>
      </c>
    </row>
    <row r="2565" spans="13:13" ht="15.75" x14ac:dyDescent="0.25">
      <c r="M2565" t="s">
        <v>2391</v>
      </c>
    </row>
    <row r="2566" spans="13:13" ht="15.75" x14ac:dyDescent="0.25">
      <c r="M2566" t="s">
        <v>2392</v>
      </c>
    </row>
    <row r="2567" spans="13:13" ht="15.75" x14ac:dyDescent="0.25">
      <c r="M2567" t="s">
        <v>2393</v>
      </c>
    </row>
    <row r="2568" spans="13:13" ht="15.75" x14ac:dyDescent="0.25">
      <c r="M2568" t="s">
        <v>2394</v>
      </c>
    </row>
    <row r="2569" spans="13:13" ht="15.75" x14ac:dyDescent="0.25">
      <c r="M2569" t="s">
        <v>2395</v>
      </c>
    </row>
    <row r="2570" spans="13:13" ht="15.75" x14ac:dyDescent="0.25">
      <c r="M2570" t="s">
        <v>2396</v>
      </c>
    </row>
    <row r="2571" spans="13:13" ht="15.75" x14ac:dyDescent="0.25">
      <c r="M2571" t="s">
        <v>2397</v>
      </c>
    </row>
    <row r="2572" spans="13:13" ht="15.75" x14ac:dyDescent="0.25">
      <c r="M2572" t="s">
        <v>2398</v>
      </c>
    </row>
    <row r="2573" spans="13:13" ht="15.75" x14ac:dyDescent="0.25">
      <c r="M2573" t="s">
        <v>2399</v>
      </c>
    </row>
    <row r="2574" spans="13:13" ht="15.75" x14ac:dyDescent="0.25">
      <c r="M2574" t="s">
        <v>1018</v>
      </c>
    </row>
    <row r="2575" spans="13:13" ht="15.75" x14ac:dyDescent="0.25">
      <c r="M2575" t="s">
        <v>2400</v>
      </c>
    </row>
    <row r="2576" spans="13:13" ht="15.75" x14ac:dyDescent="0.25">
      <c r="M2576" t="s">
        <v>2401</v>
      </c>
    </row>
    <row r="2577" spans="13:13" ht="15.75" x14ac:dyDescent="0.25">
      <c r="M2577" t="s">
        <v>2402</v>
      </c>
    </row>
    <row r="2578" spans="13:13" ht="15.75" x14ac:dyDescent="0.25">
      <c r="M2578" t="s">
        <v>2403</v>
      </c>
    </row>
    <row r="2579" spans="13:13" ht="15.75" x14ac:dyDescent="0.25">
      <c r="M2579" t="s">
        <v>2404</v>
      </c>
    </row>
    <row r="2580" spans="13:13" ht="15.75" x14ac:dyDescent="0.25">
      <c r="M2580" t="s">
        <v>2405</v>
      </c>
    </row>
    <row r="2581" spans="13:13" ht="15.75" x14ac:dyDescent="0.25">
      <c r="M2581" t="s">
        <v>2406</v>
      </c>
    </row>
    <row r="2582" spans="13:13" ht="15.75" x14ac:dyDescent="0.25">
      <c r="M2582" t="s">
        <v>2407</v>
      </c>
    </row>
    <row r="2583" spans="13:13" ht="15.75" x14ac:dyDescent="0.25">
      <c r="M2583" t="s">
        <v>2408</v>
      </c>
    </row>
    <row r="2584" spans="13:13" ht="15.75" x14ac:dyDescent="0.25">
      <c r="M2584" t="s">
        <v>2409</v>
      </c>
    </row>
    <row r="2585" spans="13:13" ht="15.75" x14ac:dyDescent="0.25">
      <c r="M2585" t="s">
        <v>2410</v>
      </c>
    </row>
    <row r="2586" spans="13:13" ht="15.75" x14ac:dyDescent="0.25">
      <c r="M2586" t="s">
        <v>2411</v>
      </c>
    </row>
    <row r="2587" spans="13:13" ht="15.75" x14ac:dyDescent="0.25">
      <c r="M2587" t="s">
        <v>2412</v>
      </c>
    </row>
    <row r="2588" spans="13:13" ht="15.75" x14ac:dyDescent="0.25">
      <c r="M2588" t="s">
        <v>161</v>
      </c>
    </row>
    <row r="2589" spans="13:13" ht="15.75" x14ac:dyDescent="0.25">
      <c r="M2589" t="s">
        <v>2413</v>
      </c>
    </row>
    <row r="2590" spans="13:13" ht="15.75" x14ac:dyDescent="0.25">
      <c r="M2590" t="s">
        <v>2414</v>
      </c>
    </row>
    <row r="2591" spans="13:13" ht="15.75" x14ac:dyDescent="0.25">
      <c r="M2591" t="s">
        <v>2415</v>
      </c>
    </row>
    <row r="2592" spans="13:13" ht="15.75" x14ac:dyDescent="0.25">
      <c r="M2592" t="s">
        <v>2416</v>
      </c>
    </row>
    <row r="2593" spans="13:13" ht="15.75" x14ac:dyDescent="0.25">
      <c r="M2593" t="s">
        <v>2417</v>
      </c>
    </row>
    <row r="2594" spans="13:13" ht="15.75" x14ac:dyDescent="0.25">
      <c r="M2594" t="s">
        <v>2418</v>
      </c>
    </row>
    <row r="2595" spans="13:13" ht="15.75" x14ac:dyDescent="0.25">
      <c r="M2595" t="s">
        <v>1345</v>
      </c>
    </row>
    <row r="2596" spans="13:13" ht="15.75" x14ac:dyDescent="0.25">
      <c r="M2596" t="s">
        <v>2419</v>
      </c>
    </row>
    <row r="2597" spans="13:13" ht="15.75" x14ac:dyDescent="0.25">
      <c r="M2597" t="s">
        <v>2420</v>
      </c>
    </row>
    <row r="2598" spans="13:13" ht="15.75" x14ac:dyDescent="0.25">
      <c r="M2598" t="s">
        <v>2421</v>
      </c>
    </row>
    <row r="2599" spans="13:13" ht="15.75" x14ac:dyDescent="0.25">
      <c r="M2599" t="s">
        <v>2422</v>
      </c>
    </row>
    <row r="2600" spans="13:13" ht="15.75" x14ac:dyDescent="0.25">
      <c r="M2600" t="s">
        <v>2423</v>
      </c>
    </row>
    <row r="2601" spans="13:13" ht="15.75" x14ac:dyDescent="0.25">
      <c r="M2601" t="s">
        <v>2424</v>
      </c>
    </row>
    <row r="2602" spans="13:13" ht="15.75" x14ac:dyDescent="0.25">
      <c r="M2602" t="s">
        <v>2425</v>
      </c>
    </row>
    <row r="2603" spans="13:13" ht="15.75" x14ac:dyDescent="0.25">
      <c r="M2603" t="s">
        <v>2426</v>
      </c>
    </row>
    <row r="2604" spans="13:13" ht="15.75" x14ac:dyDescent="0.25">
      <c r="M2604" t="s">
        <v>2427</v>
      </c>
    </row>
    <row r="2605" spans="13:13" ht="15.75" x14ac:dyDescent="0.25">
      <c r="M2605" t="s">
        <v>2428</v>
      </c>
    </row>
    <row r="2606" spans="13:13" ht="15.75" x14ac:dyDescent="0.25">
      <c r="M2606" t="s">
        <v>2429</v>
      </c>
    </row>
    <row r="2607" spans="13:13" ht="15.75" x14ac:dyDescent="0.25">
      <c r="M2607" t="s">
        <v>2387</v>
      </c>
    </row>
    <row r="2608" spans="13:13" ht="15.75" x14ac:dyDescent="0.25">
      <c r="M2608" t="s">
        <v>2430</v>
      </c>
    </row>
    <row r="2609" spans="13:13" ht="15.75" x14ac:dyDescent="0.25">
      <c r="M2609" t="s">
        <v>2431</v>
      </c>
    </row>
    <row r="2610" spans="13:13" ht="15.75" x14ac:dyDescent="0.25">
      <c r="M2610" t="s">
        <v>2432</v>
      </c>
    </row>
    <row r="2611" spans="13:13" ht="15.75" x14ac:dyDescent="0.25">
      <c r="M2611" t="s">
        <v>2433</v>
      </c>
    </row>
    <row r="2612" spans="13:13" ht="15.75" x14ac:dyDescent="0.25">
      <c r="M2612" t="s">
        <v>2434</v>
      </c>
    </row>
    <row r="2613" spans="13:13" ht="15.75" x14ac:dyDescent="0.25">
      <c r="M2613" t="s">
        <v>2435</v>
      </c>
    </row>
    <row r="2614" spans="13:13" ht="15.75" x14ac:dyDescent="0.25">
      <c r="M2614" t="s">
        <v>2436</v>
      </c>
    </row>
    <row r="2615" spans="13:13" ht="15.75" x14ac:dyDescent="0.25">
      <c r="M2615" t="s">
        <v>2437</v>
      </c>
    </row>
    <row r="2616" spans="13:13" ht="15.75" x14ac:dyDescent="0.25">
      <c r="M2616" t="s">
        <v>2438</v>
      </c>
    </row>
    <row r="2617" spans="13:13" ht="15.75" x14ac:dyDescent="0.25">
      <c r="M2617" t="s">
        <v>2439</v>
      </c>
    </row>
    <row r="2618" spans="13:13" ht="15.75" x14ac:dyDescent="0.25">
      <c r="M2618" t="s">
        <v>2439</v>
      </c>
    </row>
    <row r="2619" spans="13:13" ht="15.75" x14ac:dyDescent="0.25">
      <c r="M2619" t="s">
        <v>2440</v>
      </c>
    </row>
    <row r="2620" spans="13:13" ht="15.75" x14ac:dyDescent="0.25">
      <c r="M2620" t="s">
        <v>82</v>
      </c>
    </row>
    <row r="2621" spans="13:13" ht="15.75" x14ac:dyDescent="0.25">
      <c r="M2621" t="s">
        <v>2441</v>
      </c>
    </row>
    <row r="2622" spans="13:13" ht="15.75" x14ac:dyDescent="0.25">
      <c r="M2622" t="s">
        <v>2442</v>
      </c>
    </row>
    <row r="2623" spans="13:13" ht="15.75" x14ac:dyDescent="0.25">
      <c r="M2623" t="s">
        <v>2443</v>
      </c>
    </row>
    <row r="2624" spans="13:13" ht="15.75" x14ac:dyDescent="0.25">
      <c r="M2624" t="s">
        <v>2444</v>
      </c>
    </row>
    <row r="2625" spans="13:13" ht="15.75" x14ac:dyDescent="0.25">
      <c r="M2625" t="s">
        <v>2445</v>
      </c>
    </row>
    <row r="2626" spans="13:13" ht="15.75" x14ac:dyDescent="0.25">
      <c r="M2626" t="s">
        <v>2446</v>
      </c>
    </row>
    <row r="2627" spans="13:13" ht="15.75" x14ac:dyDescent="0.25">
      <c r="M2627" t="s">
        <v>2447</v>
      </c>
    </row>
    <row r="2628" spans="13:13" ht="15.75" x14ac:dyDescent="0.25">
      <c r="M2628" t="s">
        <v>2448</v>
      </c>
    </row>
    <row r="2629" spans="13:13" ht="15.75" x14ac:dyDescent="0.25">
      <c r="M2629" t="s">
        <v>2449</v>
      </c>
    </row>
    <row r="2630" spans="13:13" ht="15.75" x14ac:dyDescent="0.25">
      <c r="M2630" t="s">
        <v>2450</v>
      </c>
    </row>
    <row r="2631" spans="13:13" ht="15.75" x14ac:dyDescent="0.25">
      <c r="M2631" t="s">
        <v>2451</v>
      </c>
    </row>
    <row r="2632" spans="13:13" ht="15.75" x14ac:dyDescent="0.25">
      <c r="M2632" t="s">
        <v>2452</v>
      </c>
    </row>
    <row r="2633" spans="13:13" ht="15.75" x14ac:dyDescent="0.25">
      <c r="M2633" t="s">
        <v>2453</v>
      </c>
    </row>
    <row r="2634" spans="13:13" ht="15.75" x14ac:dyDescent="0.25">
      <c r="M2634" t="s">
        <v>2454</v>
      </c>
    </row>
    <row r="2635" spans="13:13" ht="15.75" x14ac:dyDescent="0.25">
      <c r="M2635" t="s">
        <v>2455</v>
      </c>
    </row>
    <row r="2636" spans="13:13" ht="15.75" x14ac:dyDescent="0.25">
      <c r="M2636" t="s">
        <v>2456</v>
      </c>
    </row>
    <row r="2637" spans="13:13" ht="15.75" x14ac:dyDescent="0.25">
      <c r="M2637" t="s">
        <v>2457</v>
      </c>
    </row>
    <row r="2638" spans="13:13" ht="15.75" x14ac:dyDescent="0.25">
      <c r="M2638" t="s">
        <v>1006</v>
      </c>
    </row>
    <row r="2639" spans="13:13" ht="15.75" x14ac:dyDescent="0.25">
      <c r="M2639" t="s">
        <v>2458</v>
      </c>
    </row>
    <row r="2640" spans="13:13" ht="15.75" x14ac:dyDescent="0.25">
      <c r="M2640" t="s">
        <v>699</v>
      </c>
    </row>
    <row r="2641" spans="13:13" ht="15.75" x14ac:dyDescent="0.25">
      <c r="M2641" t="s">
        <v>2459</v>
      </c>
    </row>
    <row r="2642" spans="13:13" ht="15.75" x14ac:dyDescent="0.25">
      <c r="M2642" t="s">
        <v>2460</v>
      </c>
    </row>
    <row r="2643" spans="13:13" ht="15.75" x14ac:dyDescent="0.25">
      <c r="M2643" t="s">
        <v>2461</v>
      </c>
    </row>
    <row r="2644" spans="13:13" ht="15.75" x14ac:dyDescent="0.25">
      <c r="M2644" t="s">
        <v>2462</v>
      </c>
    </row>
    <row r="2645" spans="13:13" ht="15.75" x14ac:dyDescent="0.25">
      <c r="M2645" t="s">
        <v>2463</v>
      </c>
    </row>
    <row r="2646" spans="13:13" ht="15.75" x14ac:dyDescent="0.25">
      <c r="M2646" t="s">
        <v>2464</v>
      </c>
    </row>
    <row r="2647" spans="13:13" ht="15.75" x14ac:dyDescent="0.25">
      <c r="M2647" t="s">
        <v>2465</v>
      </c>
    </row>
    <row r="2648" spans="13:13" ht="15.75" x14ac:dyDescent="0.25">
      <c r="M2648" t="s">
        <v>108</v>
      </c>
    </row>
    <row r="2649" spans="13:13" ht="15.75" x14ac:dyDescent="0.25">
      <c r="M2649" t="s">
        <v>2466</v>
      </c>
    </row>
    <row r="2650" spans="13:13" ht="15.75" x14ac:dyDescent="0.25">
      <c r="M2650" t="s">
        <v>2467</v>
      </c>
    </row>
    <row r="2651" spans="13:13" ht="15.75" x14ac:dyDescent="0.25">
      <c r="M2651" t="s">
        <v>2468</v>
      </c>
    </row>
    <row r="2652" spans="13:13" ht="15.75" x14ac:dyDescent="0.25">
      <c r="M2652" t="s">
        <v>2469</v>
      </c>
    </row>
    <row r="2653" spans="13:13" ht="15.75" x14ac:dyDescent="0.25">
      <c r="M2653" t="s">
        <v>2470</v>
      </c>
    </row>
    <row r="2654" spans="13:13" ht="15.75" x14ac:dyDescent="0.25">
      <c r="M2654" t="s">
        <v>2471</v>
      </c>
    </row>
    <row r="2655" spans="13:13" ht="15.75" x14ac:dyDescent="0.25">
      <c r="M2655" t="s">
        <v>2472</v>
      </c>
    </row>
    <row r="2656" spans="13:13" ht="15.75" x14ac:dyDescent="0.25">
      <c r="M2656" t="s">
        <v>2473</v>
      </c>
    </row>
    <row r="2657" spans="13:13" ht="15.75" x14ac:dyDescent="0.25">
      <c r="M2657" t="s">
        <v>2474</v>
      </c>
    </row>
    <row r="2658" spans="13:13" ht="15.75" x14ac:dyDescent="0.25">
      <c r="M2658" t="s">
        <v>2108</v>
      </c>
    </row>
    <row r="2659" spans="13:13" ht="15.75" x14ac:dyDescent="0.25">
      <c r="M2659" t="s">
        <v>2475</v>
      </c>
    </row>
    <row r="2660" spans="13:13" ht="15.75" x14ac:dyDescent="0.25">
      <c r="M2660" t="s">
        <v>2476</v>
      </c>
    </row>
    <row r="2661" spans="13:13" ht="15.75" x14ac:dyDescent="0.25">
      <c r="M2661" t="s">
        <v>2477</v>
      </c>
    </row>
    <row r="2662" spans="13:13" ht="15.75" x14ac:dyDescent="0.25">
      <c r="M2662" t="s">
        <v>2478</v>
      </c>
    </row>
    <row r="2663" spans="13:13" ht="15.75" x14ac:dyDescent="0.25">
      <c r="M2663" t="s">
        <v>116</v>
      </c>
    </row>
    <row r="2664" spans="13:13" ht="15.75" x14ac:dyDescent="0.25">
      <c r="M2664" t="s">
        <v>2479</v>
      </c>
    </row>
    <row r="2665" spans="13:13" ht="15.75" x14ac:dyDescent="0.25">
      <c r="M2665" t="s">
        <v>2480</v>
      </c>
    </row>
    <row r="2666" spans="13:13" ht="15.75" x14ac:dyDescent="0.25">
      <c r="M2666" t="s">
        <v>2481</v>
      </c>
    </row>
    <row r="2667" spans="13:13" ht="15.75" x14ac:dyDescent="0.25">
      <c r="M2667" t="s">
        <v>2482</v>
      </c>
    </row>
    <row r="2668" spans="13:13" ht="15.75" x14ac:dyDescent="0.25">
      <c r="M2668" t="s">
        <v>2483</v>
      </c>
    </row>
    <row r="2669" spans="13:13" ht="15.75" x14ac:dyDescent="0.25">
      <c r="M2669" t="s">
        <v>2484</v>
      </c>
    </row>
    <row r="2670" spans="13:13" ht="15.75" x14ac:dyDescent="0.25">
      <c r="M2670" t="s">
        <v>2485</v>
      </c>
    </row>
    <row r="2671" spans="13:13" ht="15.75" x14ac:dyDescent="0.25">
      <c r="M2671" t="s">
        <v>2486</v>
      </c>
    </row>
    <row r="2672" spans="13:13" ht="15.75" x14ac:dyDescent="0.25">
      <c r="M2672" t="s">
        <v>2487</v>
      </c>
    </row>
    <row r="2673" spans="13:13" ht="15.75" x14ac:dyDescent="0.25">
      <c r="M2673" t="s">
        <v>283</v>
      </c>
    </row>
    <row r="2674" spans="13:13" ht="15.75" x14ac:dyDescent="0.25">
      <c r="M2674" t="s">
        <v>2488</v>
      </c>
    </row>
    <row r="2675" spans="13:13" ht="15.75" x14ac:dyDescent="0.25">
      <c r="M2675" t="s">
        <v>591</v>
      </c>
    </row>
    <row r="2676" spans="13:13" ht="15.75" x14ac:dyDescent="0.25">
      <c r="M2676" t="s">
        <v>2489</v>
      </c>
    </row>
    <row r="2677" spans="13:13" ht="15.75" x14ac:dyDescent="0.25">
      <c r="M2677" t="s">
        <v>2490</v>
      </c>
    </row>
    <row r="2678" spans="13:13" ht="15.75" x14ac:dyDescent="0.25">
      <c r="M2678" t="s">
        <v>2491</v>
      </c>
    </row>
    <row r="2679" spans="13:13" ht="15.75" x14ac:dyDescent="0.25">
      <c r="M2679" t="s">
        <v>2492</v>
      </c>
    </row>
    <row r="2680" spans="13:13" ht="15.75" x14ac:dyDescent="0.25">
      <c r="M2680" t="s">
        <v>2493</v>
      </c>
    </row>
    <row r="2681" spans="13:13" ht="15.75" x14ac:dyDescent="0.25">
      <c r="M2681" t="s">
        <v>2494</v>
      </c>
    </row>
    <row r="2682" spans="13:13" ht="15.75" x14ac:dyDescent="0.25">
      <c r="M2682" t="s">
        <v>2495</v>
      </c>
    </row>
    <row r="2683" spans="13:13" ht="15.75" x14ac:dyDescent="0.25">
      <c r="M2683" t="s">
        <v>2496</v>
      </c>
    </row>
    <row r="2684" spans="13:13" ht="15.75" x14ac:dyDescent="0.25">
      <c r="M2684" t="s">
        <v>2497</v>
      </c>
    </row>
    <row r="2685" spans="13:13" ht="15.75" x14ac:dyDescent="0.25">
      <c r="M2685" t="s">
        <v>2498</v>
      </c>
    </row>
    <row r="2686" spans="13:13" ht="15.75" x14ac:dyDescent="0.25">
      <c r="M2686" t="s">
        <v>2499</v>
      </c>
    </row>
    <row r="2687" spans="13:13" ht="15.75" x14ac:dyDescent="0.25">
      <c r="M2687" t="s">
        <v>2500</v>
      </c>
    </row>
    <row r="2688" spans="13:13" ht="15.75" x14ac:dyDescent="0.25">
      <c r="M2688" t="s">
        <v>2501</v>
      </c>
    </row>
    <row r="2689" spans="13:13" ht="15.75" x14ac:dyDescent="0.25">
      <c r="M2689" t="s">
        <v>2502</v>
      </c>
    </row>
    <row r="2690" spans="13:13" ht="15.75" x14ac:dyDescent="0.25">
      <c r="M2690" t="s">
        <v>2503</v>
      </c>
    </row>
    <row r="2691" spans="13:13" ht="15.75" x14ac:dyDescent="0.25">
      <c r="M2691" t="s">
        <v>2504</v>
      </c>
    </row>
    <row r="2692" spans="13:13" ht="15.75" x14ac:dyDescent="0.25">
      <c r="M2692" t="s">
        <v>2505</v>
      </c>
    </row>
    <row r="2693" spans="13:13" ht="15.75" x14ac:dyDescent="0.25">
      <c r="M2693" t="s">
        <v>2506</v>
      </c>
    </row>
    <row r="2694" spans="13:13" ht="15.75" x14ac:dyDescent="0.25">
      <c r="M2694" t="s">
        <v>2507</v>
      </c>
    </row>
    <row r="2695" spans="13:13" ht="15.75" x14ac:dyDescent="0.25">
      <c r="M2695" t="s">
        <v>2508</v>
      </c>
    </row>
    <row r="2696" spans="13:13" ht="15.75" x14ac:dyDescent="0.25">
      <c r="M2696" t="s">
        <v>82</v>
      </c>
    </row>
    <row r="2697" spans="13:13" ht="15.75" x14ac:dyDescent="0.25">
      <c r="M2697" t="s">
        <v>2509</v>
      </c>
    </row>
    <row r="2698" spans="13:13" ht="15.75" x14ac:dyDescent="0.25">
      <c r="M2698" t="s">
        <v>2510</v>
      </c>
    </row>
    <row r="2699" spans="13:13" ht="15.75" x14ac:dyDescent="0.25">
      <c r="M2699" t="s">
        <v>2511</v>
      </c>
    </row>
    <row r="2700" spans="13:13" ht="15.75" x14ac:dyDescent="0.25">
      <c r="M2700" t="s">
        <v>2512</v>
      </c>
    </row>
    <row r="2701" spans="13:13" ht="15.75" x14ac:dyDescent="0.25">
      <c r="M2701" t="s">
        <v>2513</v>
      </c>
    </row>
    <row r="2702" spans="13:13" ht="15.75" x14ac:dyDescent="0.25">
      <c r="M2702" t="s">
        <v>2514</v>
      </c>
    </row>
    <row r="2703" spans="13:13" ht="15.75" x14ac:dyDescent="0.25">
      <c r="M2703" t="s">
        <v>2515</v>
      </c>
    </row>
    <row r="2704" spans="13:13" ht="15.75" x14ac:dyDescent="0.25">
      <c r="M2704" t="s">
        <v>2516</v>
      </c>
    </row>
    <row r="2705" spans="13:13" ht="15.75" x14ac:dyDescent="0.25">
      <c r="M2705" t="s">
        <v>2517</v>
      </c>
    </row>
    <row r="2706" spans="13:13" ht="15.75" x14ac:dyDescent="0.25">
      <c r="M2706" t="s">
        <v>2518</v>
      </c>
    </row>
    <row r="2707" spans="13:13" ht="15.75" x14ac:dyDescent="0.25">
      <c r="M2707" t="s">
        <v>2519</v>
      </c>
    </row>
    <row r="2708" spans="13:13" ht="15.75" x14ac:dyDescent="0.25">
      <c r="M2708" t="s">
        <v>2520</v>
      </c>
    </row>
    <row r="2709" spans="13:13" ht="15.75" x14ac:dyDescent="0.25">
      <c r="M2709" t="s">
        <v>2521</v>
      </c>
    </row>
    <row r="2710" spans="13:13" ht="15.75" x14ac:dyDescent="0.25">
      <c r="M2710" t="s">
        <v>2522</v>
      </c>
    </row>
    <row r="2711" spans="13:13" ht="15.75" x14ac:dyDescent="0.25">
      <c r="M2711" t="s">
        <v>109</v>
      </c>
    </row>
    <row r="2712" spans="13:13" ht="15.75" x14ac:dyDescent="0.25">
      <c r="M2712" t="s">
        <v>2054</v>
      </c>
    </row>
    <row r="2713" spans="13:13" ht="15.75" x14ac:dyDescent="0.25">
      <c r="M2713" t="s">
        <v>161</v>
      </c>
    </row>
    <row r="2714" spans="13:13" ht="15.75" x14ac:dyDescent="0.25">
      <c r="M2714" t="s">
        <v>2523</v>
      </c>
    </row>
    <row r="2715" spans="13:13" ht="15.75" x14ac:dyDescent="0.25">
      <c r="M2715" t="s">
        <v>2524</v>
      </c>
    </row>
    <row r="2716" spans="13:13" ht="15.75" x14ac:dyDescent="0.25">
      <c r="M2716" t="s">
        <v>1478</v>
      </c>
    </row>
    <row r="2717" spans="13:13" ht="15.75" x14ac:dyDescent="0.25">
      <c r="M2717" t="s">
        <v>2525</v>
      </c>
    </row>
    <row r="2718" spans="13:13" ht="15.75" x14ac:dyDescent="0.25">
      <c r="M2718" t="s">
        <v>2526</v>
      </c>
    </row>
    <row r="2719" spans="13:13" ht="15.75" x14ac:dyDescent="0.25">
      <c r="M2719" t="s">
        <v>55</v>
      </c>
    </row>
    <row r="2720" spans="13:13" ht="15.75" x14ac:dyDescent="0.25">
      <c r="M2720" t="s">
        <v>2527</v>
      </c>
    </row>
    <row r="2721" spans="13:13" ht="15.75" x14ac:dyDescent="0.25">
      <c r="M2721" t="s">
        <v>2528</v>
      </c>
    </row>
    <row r="2722" spans="13:13" ht="15.75" x14ac:dyDescent="0.25">
      <c r="M2722" t="s">
        <v>2529</v>
      </c>
    </row>
    <row r="2723" spans="13:13" ht="15.75" x14ac:dyDescent="0.25">
      <c r="M2723" t="s">
        <v>2286</v>
      </c>
    </row>
    <row r="2724" spans="13:13" ht="15.75" x14ac:dyDescent="0.25">
      <c r="M2724" t="s">
        <v>2530</v>
      </c>
    </row>
    <row r="2725" spans="13:13" ht="15.75" x14ac:dyDescent="0.25">
      <c r="M2725" t="s">
        <v>2531</v>
      </c>
    </row>
    <row r="2726" spans="13:13" ht="15.75" x14ac:dyDescent="0.25">
      <c r="M2726" t="s">
        <v>2512</v>
      </c>
    </row>
    <row r="2727" spans="13:13" ht="15.75" x14ac:dyDescent="0.25">
      <c r="M2727" t="s">
        <v>2532</v>
      </c>
    </row>
    <row r="2728" spans="13:13" ht="15.75" x14ac:dyDescent="0.25">
      <c r="M2728" t="s">
        <v>2518</v>
      </c>
    </row>
    <row r="2729" spans="13:13" ht="15.75" x14ac:dyDescent="0.25">
      <c r="M2729" t="s">
        <v>2533</v>
      </c>
    </row>
    <row r="2730" spans="13:13" ht="15.75" x14ac:dyDescent="0.25">
      <c r="M2730" t="s">
        <v>161</v>
      </c>
    </row>
    <row r="2731" spans="13:13" ht="15.75" x14ac:dyDescent="0.25">
      <c r="M2731" t="s">
        <v>2534</v>
      </c>
    </row>
    <row r="2732" spans="13:13" ht="15.75" x14ac:dyDescent="0.25">
      <c r="M2732" t="s">
        <v>2535</v>
      </c>
    </row>
    <row r="2733" spans="13:13" ht="15.75" x14ac:dyDescent="0.25">
      <c r="M2733" t="s">
        <v>2536</v>
      </c>
    </row>
    <row r="2734" spans="13:13" ht="15.75" x14ac:dyDescent="0.25">
      <c r="M2734" t="s">
        <v>2537</v>
      </c>
    </row>
    <row r="2735" spans="13:13" ht="15.75" x14ac:dyDescent="0.25">
      <c r="M2735" t="s">
        <v>2538</v>
      </c>
    </row>
    <row r="2736" spans="13:13" ht="15.75" x14ac:dyDescent="0.25">
      <c r="M2736" t="s">
        <v>2539</v>
      </c>
    </row>
    <row r="2737" spans="13:13" ht="15.75" x14ac:dyDescent="0.25">
      <c r="M2737" t="s">
        <v>2540</v>
      </c>
    </row>
    <row r="2738" spans="13:13" ht="15.75" x14ac:dyDescent="0.25">
      <c r="M2738" t="s">
        <v>2541</v>
      </c>
    </row>
    <row r="2739" spans="13:13" ht="15.75" x14ac:dyDescent="0.25">
      <c r="M2739" t="s">
        <v>65</v>
      </c>
    </row>
    <row r="2740" spans="13:13" ht="15.75" x14ac:dyDescent="0.25">
      <c r="M2740" t="s">
        <v>2542</v>
      </c>
    </row>
    <row r="2741" spans="13:13" ht="15.75" x14ac:dyDescent="0.25">
      <c r="M2741" t="s">
        <v>2543</v>
      </c>
    </row>
    <row r="2742" spans="13:13" ht="15.75" x14ac:dyDescent="0.25">
      <c r="M2742" t="s">
        <v>82</v>
      </c>
    </row>
    <row r="2743" spans="13:13" ht="15.75" x14ac:dyDescent="0.25">
      <c r="M2743" t="s">
        <v>2544</v>
      </c>
    </row>
    <row r="2744" spans="13:13" ht="15.75" x14ac:dyDescent="0.25">
      <c r="M2744" t="s">
        <v>2545</v>
      </c>
    </row>
    <row r="2745" spans="13:13" ht="15.75" x14ac:dyDescent="0.25">
      <c r="M2745" t="s">
        <v>2546</v>
      </c>
    </row>
    <row r="2746" spans="13:13" ht="15.75" x14ac:dyDescent="0.25">
      <c r="M2746" t="s">
        <v>2547</v>
      </c>
    </row>
    <row r="2747" spans="13:13" ht="15.75" x14ac:dyDescent="0.25">
      <c r="M2747" t="s">
        <v>2498</v>
      </c>
    </row>
    <row r="2748" spans="13:13" ht="15.75" x14ac:dyDescent="0.25">
      <c r="M2748" t="s">
        <v>2548</v>
      </c>
    </row>
    <row r="2749" spans="13:13" ht="15.75" x14ac:dyDescent="0.25">
      <c r="M2749" t="s">
        <v>2549</v>
      </c>
    </row>
    <row r="2750" spans="13:13" ht="15.75" x14ac:dyDescent="0.25">
      <c r="M2750" t="s">
        <v>2496</v>
      </c>
    </row>
    <row r="2751" spans="13:13" ht="15.75" x14ac:dyDescent="0.25">
      <c r="M2751" t="s">
        <v>349</v>
      </c>
    </row>
    <row r="2752" spans="13:13" ht="15.75" x14ac:dyDescent="0.25">
      <c r="M2752" t="s">
        <v>2550</v>
      </c>
    </row>
    <row r="2753" spans="13:13" ht="15.75" x14ac:dyDescent="0.25">
      <c r="M2753" t="s">
        <v>2551</v>
      </c>
    </row>
    <row r="2754" spans="13:13" ht="15.75" x14ac:dyDescent="0.25">
      <c r="M2754" t="s">
        <v>2552</v>
      </c>
    </row>
    <row r="2755" spans="13:13" ht="15.75" x14ac:dyDescent="0.25">
      <c r="M2755" t="s">
        <v>2553</v>
      </c>
    </row>
    <row r="2756" spans="13:13" ht="15.75" x14ac:dyDescent="0.25">
      <c r="M2756" t="s">
        <v>2554</v>
      </c>
    </row>
    <row r="2757" spans="13:13" ht="15.75" x14ac:dyDescent="0.25">
      <c r="M2757" t="s">
        <v>1699</v>
      </c>
    </row>
    <row r="2758" spans="13:13" ht="15.75" x14ac:dyDescent="0.25">
      <c r="M2758" t="s">
        <v>161</v>
      </c>
    </row>
    <row r="2759" spans="13:13" ht="15.75" x14ac:dyDescent="0.25">
      <c r="M2759" t="s">
        <v>2555</v>
      </c>
    </row>
    <row r="2760" spans="13:13" ht="15.75" x14ac:dyDescent="0.25">
      <c r="M2760" t="s">
        <v>2556</v>
      </c>
    </row>
    <row r="2761" spans="13:13" ht="15.75" x14ac:dyDescent="0.25">
      <c r="M2761" t="s">
        <v>2557</v>
      </c>
    </row>
    <row r="2762" spans="13:13" ht="15.75" x14ac:dyDescent="0.25">
      <c r="M2762" t="s">
        <v>2557</v>
      </c>
    </row>
    <row r="2763" spans="13:13" ht="15.75" x14ac:dyDescent="0.25">
      <c r="M2763" t="s">
        <v>2558</v>
      </c>
    </row>
    <row r="2764" spans="13:13" ht="15.75" x14ac:dyDescent="0.25">
      <c r="M2764" t="s">
        <v>2559</v>
      </c>
    </row>
    <row r="2765" spans="13:13" ht="15.75" x14ac:dyDescent="0.25">
      <c r="M2765" t="s">
        <v>2560</v>
      </c>
    </row>
    <row r="2766" spans="13:13" ht="15.75" x14ac:dyDescent="0.25">
      <c r="M2766" t="s">
        <v>2260</v>
      </c>
    </row>
    <row r="2767" spans="13:13" ht="15.75" x14ac:dyDescent="0.25">
      <c r="M2767" t="s">
        <v>2561</v>
      </c>
    </row>
    <row r="2768" spans="13:13" ht="15.75" x14ac:dyDescent="0.25">
      <c r="M2768" t="s">
        <v>2562</v>
      </c>
    </row>
    <row r="2769" spans="13:13" ht="15.75" x14ac:dyDescent="0.25">
      <c r="M2769" t="s">
        <v>2563</v>
      </c>
    </row>
    <row r="2770" spans="13:13" ht="15.75" x14ac:dyDescent="0.25">
      <c r="M2770" t="s">
        <v>2564</v>
      </c>
    </row>
    <row r="2771" spans="13:13" ht="15.75" x14ac:dyDescent="0.25">
      <c r="M2771" t="s">
        <v>2565</v>
      </c>
    </row>
    <row r="2772" spans="13:13" ht="15.75" x14ac:dyDescent="0.25">
      <c r="M2772" t="s">
        <v>2566</v>
      </c>
    </row>
    <row r="2773" spans="13:13" ht="15.75" x14ac:dyDescent="0.25">
      <c r="M2773" t="s">
        <v>2567</v>
      </c>
    </row>
    <row r="2774" spans="13:13" ht="15.75" x14ac:dyDescent="0.25">
      <c r="M2774" t="s">
        <v>2568</v>
      </c>
    </row>
    <row r="2775" spans="13:13" ht="15.75" x14ac:dyDescent="0.25">
      <c r="M2775" t="s">
        <v>2569</v>
      </c>
    </row>
    <row r="2776" spans="13:13" ht="15.75" x14ac:dyDescent="0.25">
      <c r="M2776" t="s">
        <v>2570</v>
      </c>
    </row>
    <row r="2777" spans="13:13" ht="15.75" x14ac:dyDescent="0.25">
      <c r="M2777" t="s">
        <v>2571</v>
      </c>
    </row>
    <row r="2778" spans="13:13" ht="15.75" x14ac:dyDescent="0.25">
      <c r="M2778" t="s">
        <v>2572</v>
      </c>
    </row>
    <row r="2779" spans="13:13" ht="15.75" x14ac:dyDescent="0.25">
      <c r="M2779" t="s">
        <v>2573</v>
      </c>
    </row>
    <row r="2780" spans="13:13" ht="15.75" x14ac:dyDescent="0.25">
      <c r="M2780" t="s">
        <v>2574</v>
      </c>
    </row>
    <row r="2781" spans="13:13" ht="15.75" x14ac:dyDescent="0.25">
      <c r="M2781" t="s">
        <v>2554</v>
      </c>
    </row>
    <row r="2782" spans="13:13" ht="15.75" x14ac:dyDescent="0.25">
      <c r="M2782" t="s">
        <v>2575</v>
      </c>
    </row>
    <row r="2783" spans="13:13" ht="15.75" x14ac:dyDescent="0.25">
      <c r="M2783" t="s">
        <v>2576</v>
      </c>
    </row>
    <row r="2784" spans="13:13" ht="15.75" x14ac:dyDescent="0.25">
      <c r="M2784" t="s">
        <v>2577</v>
      </c>
    </row>
    <row r="2785" spans="13:13" ht="15.75" x14ac:dyDescent="0.25">
      <c r="M2785" t="s">
        <v>2578</v>
      </c>
    </row>
    <row r="2786" spans="13:13" ht="15.75" x14ac:dyDescent="0.25">
      <c r="M2786" t="s">
        <v>2579</v>
      </c>
    </row>
    <row r="2787" spans="13:13" ht="15.75" x14ac:dyDescent="0.25">
      <c r="M2787" t="s">
        <v>2580</v>
      </c>
    </row>
    <row r="2788" spans="13:13" ht="15.75" x14ac:dyDescent="0.25">
      <c r="M2788" t="s">
        <v>2581</v>
      </c>
    </row>
    <row r="2789" spans="13:13" ht="15.75" x14ac:dyDescent="0.25">
      <c r="M2789" t="s">
        <v>2582</v>
      </c>
    </row>
    <row r="2790" spans="13:13" ht="15.75" x14ac:dyDescent="0.25">
      <c r="M2790" t="s">
        <v>2583</v>
      </c>
    </row>
    <row r="2791" spans="13:13" ht="15.75" x14ac:dyDescent="0.25">
      <c r="M2791" t="s">
        <v>2584</v>
      </c>
    </row>
    <row r="2792" spans="13:13" ht="15.75" x14ac:dyDescent="0.25">
      <c r="M2792" t="s">
        <v>2585</v>
      </c>
    </row>
    <row r="2793" spans="13:13" ht="15.75" x14ac:dyDescent="0.25">
      <c r="M2793" t="s">
        <v>2586</v>
      </c>
    </row>
    <row r="2794" spans="13:13" ht="15.75" x14ac:dyDescent="0.25">
      <c r="M2794" t="s">
        <v>2587</v>
      </c>
    </row>
    <row r="2795" spans="13:13" ht="15.75" x14ac:dyDescent="0.25">
      <c r="M2795" t="s">
        <v>2588</v>
      </c>
    </row>
    <row r="2796" spans="13:13" ht="15.75" x14ac:dyDescent="0.25">
      <c r="M2796" t="s">
        <v>2589</v>
      </c>
    </row>
    <row r="2797" spans="13:13" ht="15.75" x14ac:dyDescent="0.25">
      <c r="M2797" t="s">
        <v>2590</v>
      </c>
    </row>
    <row r="2798" spans="13:13" ht="15.75" x14ac:dyDescent="0.25">
      <c r="M2798" t="s">
        <v>2591</v>
      </c>
    </row>
    <row r="2799" spans="13:13" ht="15.75" x14ac:dyDescent="0.25">
      <c r="M2799" t="s">
        <v>2592</v>
      </c>
    </row>
    <row r="2800" spans="13:13" ht="15.75" x14ac:dyDescent="0.25">
      <c r="M2800" t="s">
        <v>2593</v>
      </c>
    </row>
    <row r="2801" spans="13:13" ht="15.75" x14ac:dyDescent="0.25">
      <c r="M2801" t="s">
        <v>2594</v>
      </c>
    </row>
    <row r="2802" spans="13:13" ht="15.75" x14ac:dyDescent="0.25">
      <c r="M2802" t="s">
        <v>2436</v>
      </c>
    </row>
    <row r="2803" spans="13:13" ht="15.75" x14ac:dyDescent="0.25">
      <c r="M2803" t="s">
        <v>2595</v>
      </c>
    </row>
    <row r="2804" spans="13:13" ht="15.75" x14ac:dyDescent="0.25">
      <c r="M2804" t="s">
        <v>2596</v>
      </c>
    </row>
    <row r="2805" spans="13:13" ht="15.75" x14ac:dyDescent="0.25">
      <c r="M2805" t="s">
        <v>2597</v>
      </c>
    </row>
    <row r="2806" spans="13:13" ht="15.75" x14ac:dyDescent="0.25">
      <c r="M2806" t="s">
        <v>2598</v>
      </c>
    </row>
    <row r="2807" spans="13:13" ht="15.75" x14ac:dyDescent="0.25">
      <c r="M2807" t="s">
        <v>2599</v>
      </c>
    </row>
    <row r="2808" spans="13:13" ht="15.75" x14ac:dyDescent="0.25">
      <c r="M2808" t="s">
        <v>2600</v>
      </c>
    </row>
    <row r="2809" spans="13:13" ht="15.75" x14ac:dyDescent="0.25">
      <c r="M2809" t="s">
        <v>2601</v>
      </c>
    </row>
    <row r="2810" spans="13:13" ht="15.75" x14ac:dyDescent="0.25">
      <c r="M2810" t="s">
        <v>2602</v>
      </c>
    </row>
    <row r="2811" spans="13:13" ht="15.75" x14ac:dyDescent="0.25">
      <c r="M2811" t="s">
        <v>2603</v>
      </c>
    </row>
    <row r="2812" spans="13:13" ht="15.75" x14ac:dyDescent="0.25">
      <c r="M2812" t="s">
        <v>2604</v>
      </c>
    </row>
    <row r="2813" spans="13:13" ht="15.75" x14ac:dyDescent="0.25">
      <c r="M2813" t="s">
        <v>2501</v>
      </c>
    </row>
    <row r="2814" spans="13:13" ht="15.75" x14ac:dyDescent="0.25">
      <c r="M2814" t="s">
        <v>2605</v>
      </c>
    </row>
    <row r="2815" spans="13:13" ht="15.75" x14ac:dyDescent="0.25">
      <c r="M2815" t="s">
        <v>2606</v>
      </c>
    </row>
    <row r="2816" spans="13:13" ht="15.75" x14ac:dyDescent="0.25">
      <c r="M2816" t="s">
        <v>2607</v>
      </c>
    </row>
    <row r="2817" spans="13:13" ht="15.75" x14ac:dyDescent="0.25">
      <c r="M2817" t="s">
        <v>2608</v>
      </c>
    </row>
    <row r="2818" spans="13:13" ht="15.75" x14ac:dyDescent="0.25">
      <c r="M2818" t="s">
        <v>2609</v>
      </c>
    </row>
    <row r="2819" spans="13:13" ht="15.75" x14ac:dyDescent="0.25">
      <c r="M2819" t="s">
        <v>2610</v>
      </c>
    </row>
    <row r="2820" spans="13:13" ht="15.75" x14ac:dyDescent="0.25">
      <c r="M2820" t="s">
        <v>2611</v>
      </c>
    </row>
    <row r="2821" spans="13:13" ht="15.75" x14ac:dyDescent="0.25">
      <c r="M2821" t="s">
        <v>2612</v>
      </c>
    </row>
    <row r="2822" spans="13:13" ht="15.75" x14ac:dyDescent="0.25">
      <c r="M2822" t="s">
        <v>2613</v>
      </c>
    </row>
    <row r="2823" spans="13:13" ht="15.75" x14ac:dyDescent="0.25">
      <c r="M2823" t="s">
        <v>2614</v>
      </c>
    </row>
    <row r="2824" spans="13:13" ht="15.75" x14ac:dyDescent="0.25">
      <c r="M2824" t="s">
        <v>2615</v>
      </c>
    </row>
    <row r="2825" spans="13:13" ht="15.75" x14ac:dyDescent="0.25">
      <c r="M2825" t="s">
        <v>77</v>
      </c>
    </row>
    <row r="2826" spans="13:13" ht="15.75" x14ac:dyDescent="0.25">
      <c r="M2826" t="s">
        <v>2616</v>
      </c>
    </row>
    <row r="2827" spans="13:13" ht="15.75" x14ac:dyDescent="0.25">
      <c r="M2827" t="s">
        <v>2617</v>
      </c>
    </row>
    <row r="2828" spans="13:13" ht="15.75" x14ac:dyDescent="0.25">
      <c r="M2828" t="s">
        <v>2618</v>
      </c>
    </row>
    <row r="2829" spans="13:13" ht="15.75" x14ac:dyDescent="0.25">
      <c r="M2829" t="s">
        <v>2619</v>
      </c>
    </row>
    <row r="2830" spans="13:13" ht="15.75" x14ac:dyDescent="0.25">
      <c r="M2830" t="s">
        <v>2620</v>
      </c>
    </row>
    <row r="2831" spans="13:13" ht="15.75" x14ac:dyDescent="0.25">
      <c r="M2831" t="s">
        <v>2621</v>
      </c>
    </row>
    <row r="2832" spans="13:13" ht="15.75" x14ac:dyDescent="0.25">
      <c r="M2832" t="s">
        <v>2622</v>
      </c>
    </row>
    <row r="2833" spans="13:13" ht="15.75" x14ac:dyDescent="0.25">
      <c r="M2833" t="s">
        <v>2623</v>
      </c>
    </row>
    <row r="2834" spans="13:13" ht="15.75" x14ac:dyDescent="0.25">
      <c r="M2834" t="s">
        <v>2624</v>
      </c>
    </row>
    <row r="2835" spans="13:13" ht="15.75" x14ac:dyDescent="0.25">
      <c r="M2835" t="s">
        <v>2625</v>
      </c>
    </row>
    <row r="2836" spans="13:13" ht="15.75" x14ac:dyDescent="0.25">
      <c r="M2836" t="s">
        <v>2626</v>
      </c>
    </row>
    <row r="2837" spans="13:13" ht="15.75" x14ac:dyDescent="0.25">
      <c r="M2837" t="s">
        <v>2627</v>
      </c>
    </row>
    <row r="2838" spans="13:13" ht="15.75" x14ac:dyDescent="0.25">
      <c r="M2838" t="s">
        <v>2628</v>
      </c>
    </row>
    <row r="2839" spans="13:13" ht="15.75" x14ac:dyDescent="0.25">
      <c r="M2839" t="s">
        <v>2629</v>
      </c>
    </row>
    <row r="2840" spans="13:13" ht="15.75" x14ac:dyDescent="0.25">
      <c r="M2840" t="s">
        <v>2630</v>
      </c>
    </row>
    <row r="2841" spans="13:13" ht="15.75" x14ac:dyDescent="0.25">
      <c r="M2841" t="s">
        <v>2631</v>
      </c>
    </row>
    <row r="2842" spans="13:13" ht="15.75" x14ac:dyDescent="0.25">
      <c r="M2842" t="s">
        <v>2632</v>
      </c>
    </row>
    <row r="2843" spans="13:13" ht="15.75" x14ac:dyDescent="0.25">
      <c r="M2843" t="s">
        <v>2633</v>
      </c>
    </row>
    <row r="2844" spans="13:13" ht="15.75" x14ac:dyDescent="0.25">
      <c r="M2844" t="s">
        <v>2634</v>
      </c>
    </row>
    <row r="2845" spans="13:13" ht="15.75" x14ac:dyDescent="0.25">
      <c r="M2845" t="s">
        <v>2635</v>
      </c>
    </row>
    <row r="2846" spans="13:13" ht="15.75" x14ac:dyDescent="0.25">
      <c r="M2846" t="s">
        <v>2636</v>
      </c>
    </row>
    <row r="2847" spans="13:13" ht="15.75" x14ac:dyDescent="0.25">
      <c r="M2847" t="s">
        <v>2637</v>
      </c>
    </row>
    <row r="2848" spans="13:13" ht="15.75" x14ac:dyDescent="0.25">
      <c r="M2848" t="s">
        <v>2638</v>
      </c>
    </row>
    <row r="2849" spans="13:13" ht="15.75" x14ac:dyDescent="0.25">
      <c r="M2849" t="s">
        <v>2639</v>
      </c>
    </row>
    <row r="2850" spans="13:13" ht="15.75" x14ac:dyDescent="0.25">
      <c r="M2850" t="s">
        <v>2640</v>
      </c>
    </row>
    <row r="2851" spans="13:13" ht="15.75" x14ac:dyDescent="0.25">
      <c r="M2851" t="s">
        <v>2641</v>
      </c>
    </row>
    <row r="2852" spans="13:13" ht="15.75" x14ac:dyDescent="0.25">
      <c r="M2852" t="s">
        <v>2642</v>
      </c>
    </row>
    <row r="2853" spans="13:13" ht="15.75" x14ac:dyDescent="0.25">
      <c r="M2853" t="s">
        <v>2643</v>
      </c>
    </row>
    <row r="2854" spans="13:13" ht="15.75" x14ac:dyDescent="0.25">
      <c r="M2854" t="s">
        <v>2644</v>
      </c>
    </row>
    <row r="2855" spans="13:13" ht="15.75" x14ac:dyDescent="0.25">
      <c r="M2855" t="s">
        <v>2645</v>
      </c>
    </row>
    <row r="2856" spans="13:13" ht="15.75" x14ac:dyDescent="0.25">
      <c r="M2856" t="s">
        <v>2646</v>
      </c>
    </row>
    <row r="2857" spans="13:13" ht="15.75" x14ac:dyDescent="0.25">
      <c r="M2857" t="s">
        <v>2647</v>
      </c>
    </row>
    <row r="2858" spans="13:13" ht="15.75" x14ac:dyDescent="0.25">
      <c r="M2858" t="s">
        <v>34</v>
      </c>
    </row>
    <row r="2859" spans="13:13" ht="15.75" x14ac:dyDescent="0.25">
      <c r="M2859" t="s">
        <v>2648</v>
      </c>
    </row>
    <row r="2860" spans="13:13" ht="15.75" x14ac:dyDescent="0.25">
      <c r="M2860" t="s">
        <v>2649</v>
      </c>
    </row>
    <row r="2861" spans="13:13" ht="15.75" x14ac:dyDescent="0.25">
      <c r="M2861" t="s">
        <v>2623</v>
      </c>
    </row>
    <row r="2862" spans="13:13" ht="15.75" x14ac:dyDescent="0.25">
      <c r="M2862" t="s">
        <v>2650</v>
      </c>
    </row>
    <row r="2863" spans="13:13" ht="15.75" x14ac:dyDescent="0.25">
      <c r="M2863" t="s">
        <v>2651</v>
      </c>
    </row>
    <row r="2864" spans="13:13" ht="15.75" x14ac:dyDescent="0.25">
      <c r="M2864" t="s">
        <v>2652</v>
      </c>
    </row>
    <row r="2865" spans="13:13" ht="15.75" x14ac:dyDescent="0.25">
      <c r="M2865" t="s">
        <v>2653</v>
      </c>
    </row>
    <row r="2866" spans="13:13" ht="15.75" x14ac:dyDescent="0.25">
      <c r="M2866" t="s">
        <v>2654</v>
      </c>
    </row>
    <row r="2867" spans="13:13" ht="15.75" x14ac:dyDescent="0.25">
      <c r="M2867" t="s">
        <v>2655</v>
      </c>
    </row>
    <row r="2868" spans="13:13" ht="15.75" x14ac:dyDescent="0.25">
      <c r="M2868" t="s">
        <v>2656</v>
      </c>
    </row>
    <row r="2869" spans="13:13" ht="15.75" x14ac:dyDescent="0.25">
      <c r="M2869" t="s">
        <v>2657</v>
      </c>
    </row>
    <row r="2870" spans="13:13" ht="15.75" x14ac:dyDescent="0.25">
      <c r="M2870" t="s">
        <v>2658</v>
      </c>
    </row>
    <row r="2871" spans="13:13" ht="15.75" x14ac:dyDescent="0.25">
      <c r="M2871" t="s">
        <v>2659</v>
      </c>
    </row>
    <row r="2872" spans="13:13" ht="15.75" x14ac:dyDescent="0.25">
      <c r="M2872" t="s">
        <v>2660</v>
      </c>
    </row>
    <row r="2873" spans="13:13" ht="15.75" x14ac:dyDescent="0.25">
      <c r="M2873" t="s">
        <v>2661</v>
      </c>
    </row>
    <row r="2874" spans="13:13" ht="15.75" x14ac:dyDescent="0.25">
      <c r="M2874" t="s">
        <v>2662</v>
      </c>
    </row>
    <row r="2875" spans="13:13" ht="15.75" x14ac:dyDescent="0.25">
      <c r="M2875" t="s">
        <v>2663</v>
      </c>
    </row>
    <row r="2876" spans="13:13" ht="15.75" x14ac:dyDescent="0.25">
      <c r="M2876" t="s">
        <v>2664</v>
      </c>
    </row>
    <row r="2877" spans="13:13" ht="15.75" x14ac:dyDescent="0.25">
      <c r="M2877" t="s">
        <v>2665</v>
      </c>
    </row>
    <row r="2878" spans="13:13" ht="15.75" x14ac:dyDescent="0.25">
      <c r="M2878" t="s">
        <v>2666</v>
      </c>
    </row>
    <row r="2879" spans="13:13" ht="15.75" x14ac:dyDescent="0.25">
      <c r="M2879" t="s">
        <v>2667</v>
      </c>
    </row>
    <row r="2880" spans="13:13" ht="15.75" x14ac:dyDescent="0.25">
      <c r="M2880" t="s">
        <v>2668</v>
      </c>
    </row>
    <row r="2881" spans="13:13" ht="15.75" x14ac:dyDescent="0.25">
      <c r="M2881" t="s">
        <v>2669</v>
      </c>
    </row>
    <row r="2882" spans="13:13" ht="15.75" x14ac:dyDescent="0.25">
      <c r="M2882" t="s">
        <v>2670</v>
      </c>
    </row>
    <row r="2883" spans="13:13" ht="15.75" x14ac:dyDescent="0.25">
      <c r="M2883" t="s">
        <v>2671</v>
      </c>
    </row>
    <row r="2884" spans="13:13" ht="15.75" x14ac:dyDescent="0.25">
      <c r="M2884" t="s">
        <v>2672</v>
      </c>
    </row>
    <row r="2885" spans="13:13" ht="15.75" x14ac:dyDescent="0.25">
      <c r="M2885" t="s">
        <v>2673</v>
      </c>
    </row>
    <row r="2886" spans="13:13" ht="15.75" x14ac:dyDescent="0.25">
      <c r="M2886" t="s">
        <v>2674</v>
      </c>
    </row>
    <row r="2887" spans="13:13" ht="15.75" x14ac:dyDescent="0.25">
      <c r="M2887" t="s">
        <v>2675</v>
      </c>
    </row>
    <row r="2888" spans="13:13" ht="15.75" x14ac:dyDescent="0.25">
      <c r="M2888" t="s">
        <v>2676</v>
      </c>
    </row>
    <row r="2889" spans="13:13" ht="15.75" x14ac:dyDescent="0.25">
      <c r="M2889" t="s">
        <v>2677</v>
      </c>
    </row>
    <row r="2890" spans="13:13" ht="15.75" x14ac:dyDescent="0.25">
      <c r="M2890" t="s">
        <v>2678</v>
      </c>
    </row>
    <row r="2891" spans="13:13" ht="15.75" x14ac:dyDescent="0.25">
      <c r="M2891" t="s">
        <v>2679</v>
      </c>
    </row>
    <row r="2892" spans="13:13" ht="15.75" x14ac:dyDescent="0.25">
      <c r="M2892" t="s">
        <v>2680</v>
      </c>
    </row>
    <row r="2893" spans="13:13" ht="15.75" x14ac:dyDescent="0.25">
      <c r="M2893" t="s">
        <v>2681</v>
      </c>
    </row>
    <row r="2894" spans="13:13" ht="15.75" x14ac:dyDescent="0.25">
      <c r="M2894" t="s">
        <v>2682</v>
      </c>
    </row>
    <row r="2895" spans="13:13" ht="15.75" x14ac:dyDescent="0.25">
      <c r="M2895" t="s">
        <v>2683</v>
      </c>
    </row>
    <row r="2896" spans="13:13" ht="15.75" x14ac:dyDescent="0.25">
      <c r="M2896" t="s">
        <v>2684</v>
      </c>
    </row>
    <row r="2897" spans="13:13" ht="15.75" x14ac:dyDescent="0.25">
      <c r="M2897" t="s">
        <v>2685</v>
      </c>
    </row>
    <row r="2898" spans="13:13" ht="15.75" x14ac:dyDescent="0.25">
      <c r="M2898" t="s">
        <v>2686</v>
      </c>
    </row>
    <row r="2899" spans="13:13" ht="15.75" x14ac:dyDescent="0.25">
      <c r="M2899" t="s">
        <v>2687</v>
      </c>
    </row>
    <row r="2900" spans="13:13" ht="15.75" x14ac:dyDescent="0.25">
      <c r="M2900" t="s">
        <v>2688</v>
      </c>
    </row>
    <row r="2901" spans="13:13" ht="15.75" x14ac:dyDescent="0.25">
      <c r="M2901" t="s">
        <v>2689</v>
      </c>
    </row>
    <row r="2902" spans="13:13" ht="15.75" x14ac:dyDescent="0.25">
      <c r="M2902" t="s">
        <v>2690</v>
      </c>
    </row>
    <row r="2903" spans="13:13" ht="15.75" x14ac:dyDescent="0.25">
      <c r="M2903" t="s">
        <v>2691</v>
      </c>
    </row>
    <row r="2904" spans="13:13" ht="15.75" x14ac:dyDescent="0.25">
      <c r="M2904" t="s">
        <v>2692</v>
      </c>
    </row>
    <row r="2905" spans="13:13" ht="15.75" x14ac:dyDescent="0.25">
      <c r="M2905" t="s">
        <v>2693</v>
      </c>
    </row>
    <row r="2906" spans="13:13" ht="15.75" x14ac:dyDescent="0.25">
      <c r="M2906" t="s">
        <v>2694</v>
      </c>
    </row>
    <row r="2907" spans="13:13" ht="15.75" x14ac:dyDescent="0.25">
      <c r="M2907" t="s">
        <v>2695</v>
      </c>
    </row>
    <row r="2908" spans="13:13" ht="15.75" x14ac:dyDescent="0.25">
      <c r="M2908" t="s">
        <v>74</v>
      </c>
    </row>
    <row r="2909" spans="13:13" ht="15.75" x14ac:dyDescent="0.25">
      <c r="M2909" t="s">
        <v>2696</v>
      </c>
    </row>
    <row r="2910" spans="13:13" ht="15.75" x14ac:dyDescent="0.25">
      <c r="M2910" t="s">
        <v>2697</v>
      </c>
    </row>
    <row r="2911" spans="13:13" ht="15.75" x14ac:dyDescent="0.25">
      <c r="M2911" t="s">
        <v>2698</v>
      </c>
    </row>
    <row r="2912" spans="13:13" ht="15.75" x14ac:dyDescent="0.25">
      <c r="M2912" t="s">
        <v>2699</v>
      </c>
    </row>
    <row r="2913" spans="13:13" ht="15.75" x14ac:dyDescent="0.25">
      <c r="M2913" t="s">
        <v>2700</v>
      </c>
    </row>
    <row r="2914" spans="13:13" ht="15.75" x14ac:dyDescent="0.25">
      <c r="M2914" t="s">
        <v>77</v>
      </c>
    </row>
    <row r="2915" spans="13:13" ht="15.75" x14ac:dyDescent="0.25">
      <c r="M2915" t="s">
        <v>2701</v>
      </c>
    </row>
    <row r="2916" spans="13:13" ht="15.75" x14ac:dyDescent="0.25">
      <c r="M2916" t="s">
        <v>2702</v>
      </c>
    </row>
    <row r="2917" spans="13:13" ht="15.75" x14ac:dyDescent="0.25">
      <c r="M2917" t="s">
        <v>2703</v>
      </c>
    </row>
    <row r="2918" spans="13:13" ht="15.75" x14ac:dyDescent="0.25">
      <c r="M2918" t="s">
        <v>2704</v>
      </c>
    </row>
    <row r="2919" spans="13:13" ht="15.75" x14ac:dyDescent="0.25">
      <c r="M2919" t="s">
        <v>2705</v>
      </c>
    </row>
    <row r="2920" spans="13:13" ht="15.75" x14ac:dyDescent="0.25">
      <c r="M2920" t="s">
        <v>2706</v>
      </c>
    </row>
    <row r="2921" spans="13:13" ht="15.75" x14ac:dyDescent="0.25">
      <c r="M2921" t="s">
        <v>2707</v>
      </c>
    </row>
    <row r="2922" spans="13:13" ht="15.75" x14ac:dyDescent="0.25">
      <c r="M2922" t="s">
        <v>2708</v>
      </c>
    </row>
    <row r="2923" spans="13:13" ht="15.75" x14ac:dyDescent="0.25">
      <c r="M2923" t="s">
        <v>2709</v>
      </c>
    </row>
    <row r="2924" spans="13:13" ht="15.75" x14ac:dyDescent="0.25">
      <c r="M2924" t="s">
        <v>2710</v>
      </c>
    </row>
    <row r="2925" spans="13:13" ht="15.75" x14ac:dyDescent="0.25">
      <c r="M2925" t="s">
        <v>2711</v>
      </c>
    </row>
    <row r="2926" spans="13:13" ht="15.75" x14ac:dyDescent="0.25">
      <c r="M2926" t="s">
        <v>59</v>
      </c>
    </row>
    <row r="2927" spans="13:13" ht="15.75" x14ac:dyDescent="0.25">
      <c r="M2927" t="s">
        <v>2712</v>
      </c>
    </row>
    <row r="2928" spans="13:13" ht="15.75" x14ac:dyDescent="0.25">
      <c r="M2928" t="s">
        <v>2713</v>
      </c>
    </row>
    <row r="2929" spans="13:13" ht="15.75" x14ac:dyDescent="0.25">
      <c r="M2929" t="s">
        <v>2714</v>
      </c>
    </row>
    <row r="2930" spans="13:13" ht="15.75" x14ac:dyDescent="0.25">
      <c r="M2930" t="s">
        <v>2715</v>
      </c>
    </row>
    <row r="2931" spans="13:13" ht="15.75" x14ac:dyDescent="0.25">
      <c r="M2931" t="s">
        <v>2716</v>
      </c>
    </row>
    <row r="2932" spans="13:13" ht="15.75" x14ac:dyDescent="0.25">
      <c r="M2932" t="s">
        <v>2717</v>
      </c>
    </row>
    <row r="2933" spans="13:13" ht="15.75" x14ac:dyDescent="0.25">
      <c r="M2933" t="s">
        <v>2718</v>
      </c>
    </row>
    <row r="2934" spans="13:13" ht="15.75" x14ac:dyDescent="0.25">
      <c r="M2934" t="s">
        <v>2719</v>
      </c>
    </row>
    <row r="2935" spans="13:13" ht="15.75" x14ac:dyDescent="0.25">
      <c r="M2935" t="s">
        <v>2720</v>
      </c>
    </row>
    <row r="2936" spans="13:13" ht="15.75" x14ac:dyDescent="0.25">
      <c r="M2936" t="s">
        <v>2721</v>
      </c>
    </row>
    <row r="2937" spans="13:13" ht="15.75" x14ac:dyDescent="0.25">
      <c r="M2937" t="s">
        <v>34</v>
      </c>
    </row>
    <row r="2938" spans="13:13" ht="15.75" x14ac:dyDescent="0.25">
      <c r="M2938" t="s">
        <v>2722</v>
      </c>
    </row>
    <row r="2939" spans="13:13" ht="15.75" x14ac:dyDescent="0.25">
      <c r="M2939" t="s">
        <v>2723</v>
      </c>
    </row>
    <row r="2940" spans="13:13" ht="15.75" x14ac:dyDescent="0.25">
      <c r="M2940" t="s">
        <v>2724</v>
      </c>
    </row>
    <row r="2941" spans="13:13" ht="15.75" x14ac:dyDescent="0.25">
      <c r="M2941" t="s">
        <v>2725</v>
      </c>
    </row>
    <row r="2942" spans="13:13" ht="15.75" x14ac:dyDescent="0.25">
      <c r="M2942" t="s">
        <v>2726</v>
      </c>
    </row>
    <row r="2943" spans="13:13" ht="15.75" x14ac:dyDescent="0.25">
      <c r="M2943" t="s">
        <v>2727</v>
      </c>
    </row>
    <row r="2944" spans="13:13" ht="15.75" x14ac:dyDescent="0.25">
      <c r="M2944" t="s">
        <v>2728</v>
      </c>
    </row>
    <row r="2945" spans="13:13" ht="15.75" x14ac:dyDescent="0.25">
      <c r="M2945" t="s">
        <v>2729</v>
      </c>
    </row>
    <row r="2946" spans="13:13" ht="15.75" x14ac:dyDescent="0.25">
      <c r="M2946" t="s">
        <v>2730</v>
      </c>
    </row>
    <row r="2947" spans="13:13" ht="15.75" x14ac:dyDescent="0.25">
      <c r="M2947" t="s">
        <v>2731</v>
      </c>
    </row>
    <row r="2948" spans="13:13" ht="15.75" x14ac:dyDescent="0.25">
      <c r="M2948" t="s">
        <v>36</v>
      </c>
    </row>
    <row r="2949" spans="13:13" ht="15.75" x14ac:dyDescent="0.25">
      <c r="M2949" t="s">
        <v>2732</v>
      </c>
    </row>
    <row r="2950" spans="13:13" ht="15.75" x14ac:dyDescent="0.25">
      <c r="M2950" t="s">
        <v>2733</v>
      </c>
    </row>
    <row r="2951" spans="13:13" ht="15.75" x14ac:dyDescent="0.25">
      <c r="M2951" t="s">
        <v>2734</v>
      </c>
    </row>
    <row r="2952" spans="13:13" ht="15.75" x14ac:dyDescent="0.25">
      <c r="M2952" t="s">
        <v>2735</v>
      </c>
    </row>
    <row r="2953" spans="13:13" ht="15.75" x14ac:dyDescent="0.25">
      <c r="M2953" t="s">
        <v>2736</v>
      </c>
    </row>
    <row r="2954" spans="13:13" ht="15.75" x14ac:dyDescent="0.25">
      <c r="M2954" t="s">
        <v>2737</v>
      </c>
    </row>
    <row r="2955" spans="13:13" ht="15.75" x14ac:dyDescent="0.25">
      <c r="M2955" t="s">
        <v>2738</v>
      </c>
    </row>
    <row r="2956" spans="13:13" ht="15.75" x14ac:dyDescent="0.25">
      <c r="M2956" t="s">
        <v>2739</v>
      </c>
    </row>
    <row r="2957" spans="13:13" ht="15.75" x14ac:dyDescent="0.25">
      <c r="M2957" t="s">
        <v>2740</v>
      </c>
    </row>
    <row r="2958" spans="13:13" ht="15.75" x14ac:dyDescent="0.25">
      <c r="M2958" t="s">
        <v>2741</v>
      </c>
    </row>
    <row r="2959" spans="13:13" ht="15.75" x14ac:dyDescent="0.25">
      <c r="M2959" t="s">
        <v>2742</v>
      </c>
    </row>
    <row r="2960" spans="13:13" ht="15.75" x14ac:dyDescent="0.25">
      <c r="M2960" t="s">
        <v>2743</v>
      </c>
    </row>
    <row r="2961" spans="13:13" ht="15.75" x14ac:dyDescent="0.25">
      <c r="M2961" t="s">
        <v>2744</v>
      </c>
    </row>
    <row r="2962" spans="13:13" ht="15.75" x14ac:dyDescent="0.25">
      <c r="M2962" t="s">
        <v>2745</v>
      </c>
    </row>
    <row r="2963" spans="13:13" ht="15.75" x14ac:dyDescent="0.25">
      <c r="M2963" t="s">
        <v>2746</v>
      </c>
    </row>
    <row r="2964" spans="13:13" ht="15.75" x14ac:dyDescent="0.25">
      <c r="M2964" t="s">
        <v>2747</v>
      </c>
    </row>
    <row r="2965" spans="13:13" ht="15.75" x14ac:dyDescent="0.25">
      <c r="M2965" t="s">
        <v>81</v>
      </c>
    </row>
    <row r="2966" spans="13:13" ht="15.75" x14ac:dyDescent="0.25">
      <c r="M2966" t="s">
        <v>2748</v>
      </c>
    </row>
    <row r="2967" spans="13:13" ht="15.75" x14ac:dyDescent="0.25">
      <c r="M2967" t="s">
        <v>2749</v>
      </c>
    </row>
    <row r="2968" spans="13:13" ht="15.75" x14ac:dyDescent="0.25">
      <c r="M2968" t="s">
        <v>2750</v>
      </c>
    </row>
    <row r="2969" spans="13:13" ht="15.75" x14ac:dyDescent="0.25">
      <c r="M2969" t="s">
        <v>2689</v>
      </c>
    </row>
    <row r="2970" spans="13:13" ht="15.75" x14ac:dyDescent="0.25">
      <c r="M2970" t="s">
        <v>2751</v>
      </c>
    </row>
    <row r="2971" spans="13:13" ht="15.75" x14ac:dyDescent="0.25">
      <c r="M2971" t="s">
        <v>2752</v>
      </c>
    </row>
    <row r="2972" spans="13:13" ht="15.75" x14ac:dyDescent="0.25">
      <c r="M2972" t="s">
        <v>2753</v>
      </c>
    </row>
    <row r="2973" spans="13:13" ht="15.75" x14ac:dyDescent="0.25">
      <c r="M2973" t="s">
        <v>2754</v>
      </c>
    </row>
    <row r="2974" spans="13:13" ht="15.75" x14ac:dyDescent="0.25">
      <c r="M2974" t="s">
        <v>2755</v>
      </c>
    </row>
    <row r="2975" spans="13:13" ht="15.75" x14ac:dyDescent="0.25">
      <c r="M2975" t="s">
        <v>2756</v>
      </c>
    </row>
    <row r="2976" spans="13:13" ht="15.75" x14ac:dyDescent="0.25">
      <c r="M2976" t="s">
        <v>76</v>
      </c>
    </row>
    <row r="2977" spans="13:13" ht="15.75" x14ac:dyDescent="0.25">
      <c r="M2977" t="s">
        <v>2757</v>
      </c>
    </row>
    <row r="2978" spans="13:13" ht="15.75" x14ac:dyDescent="0.25">
      <c r="M2978" t="s">
        <v>2758</v>
      </c>
    </row>
    <row r="2979" spans="13:13" ht="15.75" x14ac:dyDescent="0.25">
      <c r="M2979" t="s">
        <v>2759</v>
      </c>
    </row>
    <row r="2980" spans="13:13" ht="15.75" x14ac:dyDescent="0.25">
      <c r="M2980" t="s">
        <v>2760</v>
      </c>
    </row>
    <row r="2981" spans="13:13" ht="15.75" x14ac:dyDescent="0.25">
      <c r="M2981" t="s">
        <v>2761</v>
      </c>
    </row>
    <row r="2982" spans="13:13" ht="15.75" x14ac:dyDescent="0.25">
      <c r="M2982" t="s">
        <v>2762</v>
      </c>
    </row>
    <row r="2983" spans="13:13" ht="15.75" x14ac:dyDescent="0.25">
      <c r="M2983" t="s">
        <v>2763</v>
      </c>
    </row>
    <row r="2984" spans="13:13" ht="15.75" x14ac:dyDescent="0.25">
      <c r="M2984" t="s">
        <v>2764</v>
      </c>
    </row>
    <row r="2985" spans="13:13" ht="15.75" x14ac:dyDescent="0.25">
      <c r="M2985" t="s">
        <v>2765</v>
      </c>
    </row>
    <row r="2986" spans="13:13" ht="15.75" x14ac:dyDescent="0.25">
      <c r="M2986" t="s">
        <v>34</v>
      </c>
    </row>
    <row r="2987" spans="13:13" ht="15.75" x14ac:dyDescent="0.25">
      <c r="M2987" t="s">
        <v>2766</v>
      </c>
    </row>
    <row r="2988" spans="13:13" ht="15.75" x14ac:dyDescent="0.25">
      <c r="M2988" t="s">
        <v>2767</v>
      </c>
    </row>
    <row r="2989" spans="13:13" ht="15.75" x14ac:dyDescent="0.25">
      <c r="M2989" t="s">
        <v>2768</v>
      </c>
    </row>
    <row r="2990" spans="13:13" ht="15.75" x14ac:dyDescent="0.25">
      <c r="M2990" t="s">
        <v>2769</v>
      </c>
    </row>
    <row r="2991" spans="13:13" ht="15.75" x14ac:dyDescent="0.25">
      <c r="M2991" t="s">
        <v>2770</v>
      </c>
    </row>
    <row r="2992" spans="13:13" ht="15.75" x14ac:dyDescent="0.25">
      <c r="M2992" t="s">
        <v>2771</v>
      </c>
    </row>
    <row r="2993" spans="13:13" ht="15.75" x14ac:dyDescent="0.25">
      <c r="M2993" t="s">
        <v>2772</v>
      </c>
    </row>
    <row r="2994" spans="13:13" ht="15.75" x14ac:dyDescent="0.25">
      <c r="M2994" t="s">
        <v>2773</v>
      </c>
    </row>
    <row r="2995" spans="13:13" ht="15.75" x14ac:dyDescent="0.25">
      <c r="M2995" t="s">
        <v>2774</v>
      </c>
    </row>
    <row r="2996" spans="13:13" ht="15.75" x14ac:dyDescent="0.25">
      <c r="M2996" t="s">
        <v>2775</v>
      </c>
    </row>
    <row r="2997" spans="13:13" ht="15.75" x14ac:dyDescent="0.25">
      <c r="M2997" t="s">
        <v>2776</v>
      </c>
    </row>
    <row r="2998" spans="13:13" ht="15.75" x14ac:dyDescent="0.25">
      <c r="M2998" t="s">
        <v>2777</v>
      </c>
    </row>
    <row r="2999" spans="13:13" ht="15.75" x14ac:dyDescent="0.25">
      <c r="M2999" t="s">
        <v>2778</v>
      </c>
    </row>
    <row r="3000" spans="13:13" ht="15.75" x14ac:dyDescent="0.25">
      <c r="M3000" t="s">
        <v>2779</v>
      </c>
    </row>
    <row r="3001" spans="13:13" ht="15.75" x14ac:dyDescent="0.25">
      <c r="M3001" t="s">
        <v>2780</v>
      </c>
    </row>
    <row r="3002" spans="13:13" ht="15.75" x14ac:dyDescent="0.25">
      <c r="M3002" t="s">
        <v>2781</v>
      </c>
    </row>
    <row r="3003" spans="13:13" ht="15.75" x14ac:dyDescent="0.25">
      <c r="M3003" t="s">
        <v>2782</v>
      </c>
    </row>
    <row r="3004" spans="13:13" ht="15.75" x14ac:dyDescent="0.25">
      <c r="M3004" t="s">
        <v>2783</v>
      </c>
    </row>
    <row r="3005" spans="13:13" ht="15.75" x14ac:dyDescent="0.25">
      <c r="M3005" t="s">
        <v>2784</v>
      </c>
    </row>
    <row r="3006" spans="13:13" ht="15.75" x14ac:dyDescent="0.25">
      <c r="M3006" t="s">
        <v>2785</v>
      </c>
    </row>
    <row r="3007" spans="13:13" ht="15.75" x14ac:dyDescent="0.25">
      <c r="M3007" t="s">
        <v>2786</v>
      </c>
    </row>
    <row r="3008" spans="13:13" ht="15.75" x14ac:dyDescent="0.25">
      <c r="M3008" t="s">
        <v>2787</v>
      </c>
    </row>
    <row r="3009" spans="13:13" ht="15.75" x14ac:dyDescent="0.25">
      <c r="M3009" t="s">
        <v>2788</v>
      </c>
    </row>
    <row r="3010" spans="13:13" ht="15.75" x14ac:dyDescent="0.25">
      <c r="M3010" t="s">
        <v>2789</v>
      </c>
    </row>
    <row r="3011" spans="13:13" ht="15.75" x14ac:dyDescent="0.25">
      <c r="M3011" t="s">
        <v>2790</v>
      </c>
    </row>
    <row r="3012" spans="13:13" ht="15.75" x14ac:dyDescent="0.25">
      <c r="M3012" t="s">
        <v>2791</v>
      </c>
    </row>
    <row r="3013" spans="13:13" ht="15.75" x14ac:dyDescent="0.25">
      <c r="M3013" t="s">
        <v>2792</v>
      </c>
    </row>
    <row r="3014" spans="13:13" ht="15.75" x14ac:dyDescent="0.25">
      <c r="M3014" t="s">
        <v>34</v>
      </c>
    </row>
    <row r="3015" spans="13:13" ht="15.75" x14ac:dyDescent="0.25">
      <c r="M3015" t="s">
        <v>2793</v>
      </c>
    </row>
    <row r="3016" spans="13:13" ht="15.75" x14ac:dyDescent="0.25">
      <c r="M3016" t="s">
        <v>2794</v>
      </c>
    </row>
    <row r="3017" spans="13:13" ht="15.75" x14ac:dyDescent="0.25">
      <c r="M3017" t="s">
        <v>2795</v>
      </c>
    </row>
    <row r="3018" spans="13:13" ht="15.75" x14ac:dyDescent="0.25">
      <c r="M3018" t="s">
        <v>2796</v>
      </c>
    </row>
    <row r="3019" spans="13:13" ht="15.75" x14ac:dyDescent="0.25">
      <c r="M3019" t="s">
        <v>2797</v>
      </c>
    </row>
    <row r="3020" spans="13:13" ht="15.75" x14ac:dyDescent="0.25">
      <c r="M3020" t="s">
        <v>2798</v>
      </c>
    </row>
    <row r="3021" spans="13:13" ht="15.75" x14ac:dyDescent="0.25">
      <c r="M3021" t="s">
        <v>2799</v>
      </c>
    </row>
    <row r="3022" spans="13:13" ht="15.75" x14ac:dyDescent="0.25">
      <c r="M3022" t="s">
        <v>2730</v>
      </c>
    </row>
    <row r="3023" spans="13:13" ht="15.75" x14ac:dyDescent="0.25">
      <c r="M3023" t="s">
        <v>2800</v>
      </c>
    </row>
    <row r="3024" spans="13:13" ht="15.75" x14ac:dyDescent="0.25">
      <c r="M3024" t="s">
        <v>2801</v>
      </c>
    </row>
    <row r="3025" spans="13:13" ht="15.75" x14ac:dyDescent="0.25">
      <c r="M3025" t="s">
        <v>2704</v>
      </c>
    </row>
    <row r="3026" spans="13:13" ht="15.75" x14ac:dyDescent="0.25">
      <c r="M3026" t="s">
        <v>2802</v>
      </c>
    </row>
    <row r="3027" spans="13:13" ht="15.75" x14ac:dyDescent="0.25">
      <c r="M3027" t="s">
        <v>66</v>
      </c>
    </row>
    <row r="3028" spans="13:13" ht="15.75" x14ac:dyDescent="0.25">
      <c r="M3028" t="s">
        <v>2803</v>
      </c>
    </row>
    <row r="3029" spans="13:13" ht="15.75" x14ac:dyDescent="0.25">
      <c r="M3029" t="s">
        <v>2804</v>
      </c>
    </row>
    <row r="3030" spans="13:13" ht="15.75" x14ac:dyDescent="0.25">
      <c r="M3030" t="s">
        <v>2805</v>
      </c>
    </row>
    <row r="3031" spans="13:13" ht="15.75" x14ac:dyDescent="0.25">
      <c r="M3031" t="s">
        <v>2806</v>
      </c>
    </row>
    <row r="3032" spans="13:13" ht="15.75" x14ac:dyDescent="0.25">
      <c r="M3032" t="s">
        <v>2807</v>
      </c>
    </row>
    <row r="3033" spans="13:13" ht="15.75" x14ac:dyDescent="0.25">
      <c r="M3033" t="s">
        <v>2808</v>
      </c>
    </row>
    <row r="3034" spans="13:13" ht="15.75" x14ac:dyDescent="0.25">
      <c r="M3034" t="s">
        <v>37</v>
      </c>
    </row>
    <row r="3035" spans="13:13" ht="15.75" x14ac:dyDescent="0.25">
      <c r="M3035" t="s">
        <v>2809</v>
      </c>
    </row>
    <row r="3036" spans="13:13" ht="15.75" x14ac:dyDescent="0.25">
      <c r="M3036" t="s">
        <v>2810</v>
      </c>
    </row>
    <row r="3037" spans="13:13" ht="15.75" x14ac:dyDescent="0.25">
      <c r="M3037" t="s">
        <v>2811</v>
      </c>
    </row>
    <row r="3038" spans="13:13" ht="15.75" x14ac:dyDescent="0.25">
      <c r="M3038" t="s">
        <v>38</v>
      </c>
    </row>
    <row r="3039" spans="13:13" ht="15.75" x14ac:dyDescent="0.25">
      <c r="M3039" t="s">
        <v>38</v>
      </c>
    </row>
    <row r="3040" spans="13:13" ht="15.75" x14ac:dyDescent="0.25">
      <c r="M3040" t="s">
        <v>2713</v>
      </c>
    </row>
    <row r="3041" spans="13:13" ht="15.75" x14ac:dyDescent="0.25">
      <c r="M3041" t="s">
        <v>2812</v>
      </c>
    </row>
    <row r="3042" spans="13:13" ht="15.75" x14ac:dyDescent="0.25">
      <c r="M3042" t="s">
        <v>80</v>
      </c>
    </row>
    <row r="3043" spans="13:13" ht="15.75" x14ac:dyDescent="0.25">
      <c r="M3043" t="s">
        <v>2813</v>
      </c>
    </row>
    <row r="3044" spans="13:13" ht="15.75" x14ac:dyDescent="0.25">
      <c r="M3044" t="s">
        <v>2814</v>
      </c>
    </row>
    <row r="3045" spans="13:13" ht="15.75" x14ac:dyDescent="0.25">
      <c r="M3045" t="s">
        <v>2815</v>
      </c>
    </row>
    <row r="3046" spans="13:13" ht="15.75" x14ac:dyDescent="0.25">
      <c r="M3046" t="s">
        <v>2816</v>
      </c>
    </row>
    <row r="3047" spans="13:13" ht="15.75" x14ac:dyDescent="0.25">
      <c r="M3047" t="s">
        <v>2817</v>
      </c>
    </row>
    <row r="3048" spans="13:13" ht="15.75" x14ac:dyDescent="0.25">
      <c r="M3048" t="s">
        <v>2818</v>
      </c>
    </row>
    <row r="3049" spans="13:13" ht="15.75" x14ac:dyDescent="0.25">
      <c r="M3049" t="s">
        <v>2819</v>
      </c>
    </row>
    <row r="3050" spans="13:13" ht="15.75" x14ac:dyDescent="0.25">
      <c r="M3050" t="s">
        <v>2820</v>
      </c>
    </row>
    <row r="3051" spans="13:13" ht="15.75" x14ac:dyDescent="0.25">
      <c r="M3051" t="s">
        <v>2821</v>
      </c>
    </row>
    <row r="3052" spans="13:13" ht="15.75" x14ac:dyDescent="0.25">
      <c r="M3052" t="s">
        <v>2822</v>
      </c>
    </row>
    <row r="3053" spans="13:13" ht="15.75" x14ac:dyDescent="0.25">
      <c r="M3053" t="s">
        <v>2823</v>
      </c>
    </row>
    <row r="3054" spans="13:13" ht="15.75" x14ac:dyDescent="0.25">
      <c r="M3054" t="s">
        <v>2824</v>
      </c>
    </row>
    <row r="3055" spans="13:13" ht="15.75" x14ac:dyDescent="0.25">
      <c r="M3055" t="s">
        <v>2825</v>
      </c>
    </row>
    <row r="3056" spans="13:13" ht="15.75" x14ac:dyDescent="0.25">
      <c r="M3056" t="s">
        <v>2826</v>
      </c>
    </row>
    <row r="3057" spans="13:13" ht="15.75" x14ac:dyDescent="0.25">
      <c r="M3057" t="s">
        <v>2827</v>
      </c>
    </row>
    <row r="3058" spans="13:13" ht="15.75" x14ac:dyDescent="0.25">
      <c r="M3058" t="s">
        <v>2828</v>
      </c>
    </row>
    <row r="3059" spans="13:13" ht="15.75" x14ac:dyDescent="0.25">
      <c r="M3059" t="s">
        <v>2829</v>
      </c>
    </row>
    <row r="3060" spans="13:13" ht="15.75" x14ac:dyDescent="0.25">
      <c r="M3060" t="s">
        <v>34</v>
      </c>
    </row>
    <row r="3061" spans="13:13" ht="15.75" x14ac:dyDescent="0.25">
      <c r="M3061" t="s">
        <v>2830</v>
      </c>
    </row>
    <row r="3062" spans="13:13" ht="15.75" x14ac:dyDescent="0.25">
      <c r="M3062" t="s">
        <v>2831</v>
      </c>
    </row>
    <row r="3063" spans="13:13" ht="15.75" x14ac:dyDescent="0.25">
      <c r="M3063" t="s">
        <v>2832</v>
      </c>
    </row>
    <row r="3064" spans="13:13" ht="15.75" x14ac:dyDescent="0.25">
      <c r="M3064" t="s">
        <v>2833</v>
      </c>
    </row>
    <row r="3065" spans="13:13" ht="15.75" x14ac:dyDescent="0.25">
      <c r="M3065" t="s">
        <v>2834</v>
      </c>
    </row>
    <row r="3066" spans="13:13" ht="15.75" x14ac:dyDescent="0.25">
      <c r="M3066" t="s">
        <v>2835</v>
      </c>
    </row>
    <row r="3067" spans="13:13" ht="15.75" x14ac:dyDescent="0.25">
      <c r="M3067" t="s">
        <v>2836</v>
      </c>
    </row>
    <row r="3068" spans="13:13" ht="15.75" x14ac:dyDescent="0.25">
      <c r="M3068" t="s">
        <v>60</v>
      </c>
    </row>
    <row r="3069" spans="13:13" ht="15.75" x14ac:dyDescent="0.25">
      <c r="M3069" t="s">
        <v>2837</v>
      </c>
    </row>
    <row r="3070" spans="13:13" ht="15.75" x14ac:dyDescent="0.25">
      <c r="M3070" t="s">
        <v>2838</v>
      </c>
    </row>
    <row r="3071" spans="13:13" ht="15.75" x14ac:dyDescent="0.25">
      <c r="M3071" t="s">
        <v>2839</v>
      </c>
    </row>
    <row r="3072" spans="13:13" ht="15.75" x14ac:dyDescent="0.25">
      <c r="M3072" t="s">
        <v>2840</v>
      </c>
    </row>
    <row r="3073" spans="13:13" ht="15.75" x14ac:dyDescent="0.25">
      <c r="M3073" t="s">
        <v>2841</v>
      </c>
    </row>
    <row r="3074" spans="13:13" ht="15.75" x14ac:dyDescent="0.25">
      <c r="M3074" t="s">
        <v>2842</v>
      </c>
    </row>
    <row r="3075" spans="13:13" ht="15.75" x14ac:dyDescent="0.25">
      <c r="M3075" t="s">
        <v>2843</v>
      </c>
    </row>
    <row r="3076" spans="13:13" ht="15.75" x14ac:dyDescent="0.25">
      <c r="M3076" t="s">
        <v>2844</v>
      </c>
    </row>
    <row r="3077" spans="13:13" ht="15.75" x14ac:dyDescent="0.25">
      <c r="M3077" t="s">
        <v>2845</v>
      </c>
    </row>
    <row r="3078" spans="13:13" ht="15.75" x14ac:dyDescent="0.25">
      <c r="M3078" t="s">
        <v>2846</v>
      </c>
    </row>
    <row r="3079" spans="13:13" ht="15.75" x14ac:dyDescent="0.25">
      <c r="M3079" t="s">
        <v>2847</v>
      </c>
    </row>
    <row r="3080" spans="13:13" ht="15.75" x14ac:dyDescent="0.25">
      <c r="M3080" t="s">
        <v>2848</v>
      </c>
    </row>
    <row r="3081" spans="13:13" ht="15.75" x14ac:dyDescent="0.25">
      <c r="M3081" t="s">
        <v>2849</v>
      </c>
    </row>
    <row r="3082" spans="13:13" ht="15.75" x14ac:dyDescent="0.25">
      <c r="M3082" t="s">
        <v>2850</v>
      </c>
    </row>
    <row r="3083" spans="13:13" ht="15.75" x14ac:dyDescent="0.25">
      <c r="M3083" t="s">
        <v>2851</v>
      </c>
    </row>
    <row r="3084" spans="13:13" ht="15.75" x14ac:dyDescent="0.25">
      <c r="M3084" t="s">
        <v>2852</v>
      </c>
    </row>
    <row r="3085" spans="13:13" ht="15.75" x14ac:dyDescent="0.25">
      <c r="M3085" t="s">
        <v>2853</v>
      </c>
    </row>
    <row r="3086" spans="13:13" ht="15.75" x14ac:dyDescent="0.25">
      <c r="M3086" t="s">
        <v>2854</v>
      </c>
    </row>
    <row r="3087" spans="13:13" ht="15.75" x14ac:dyDescent="0.25">
      <c r="M3087" t="s">
        <v>2855</v>
      </c>
    </row>
    <row r="3088" spans="13:13" ht="15.75" x14ac:dyDescent="0.25">
      <c r="M3088" t="s">
        <v>2775</v>
      </c>
    </row>
    <row r="3089" spans="13:13" ht="15.75" x14ac:dyDescent="0.25">
      <c r="M3089" t="s">
        <v>2856</v>
      </c>
    </row>
    <row r="3090" spans="13:13" ht="15.75" x14ac:dyDescent="0.25">
      <c r="M3090" t="s">
        <v>2776</v>
      </c>
    </row>
    <row r="3091" spans="13:13" ht="15.75" x14ac:dyDescent="0.25">
      <c r="M3091" t="s">
        <v>2131</v>
      </c>
    </row>
    <row r="3092" spans="13:13" ht="15.75" x14ac:dyDescent="0.25">
      <c r="M3092" t="s">
        <v>2857</v>
      </c>
    </row>
    <row r="3093" spans="13:13" ht="15.75" x14ac:dyDescent="0.25">
      <c r="M3093" t="s">
        <v>2858</v>
      </c>
    </row>
    <row r="3094" spans="13:13" ht="15.75" x14ac:dyDescent="0.25">
      <c r="M3094" t="s">
        <v>2859</v>
      </c>
    </row>
    <row r="3095" spans="13:13" ht="15.75" x14ac:dyDescent="0.25">
      <c r="M3095" t="s">
        <v>2860</v>
      </c>
    </row>
    <row r="3096" spans="13:13" ht="15.75" x14ac:dyDescent="0.25">
      <c r="M3096" t="s">
        <v>2861</v>
      </c>
    </row>
    <row r="3097" spans="13:13" ht="15.75" x14ac:dyDescent="0.25">
      <c r="M3097" t="s">
        <v>2862</v>
      </c>
    </row>
    <row r="3098" spans="13:13" ht="15.75" x14ac:dyDescent="0.25">
      <c r="M3098" t="s">
        <v>2863</v>
      </c>
    </row>
    <row r="3099" spans="13:13" ht="15.75" x14ac:dyDescent="0.25">
      <c r="M3099" t="s">
        <v>2864</v>
      </c>
    </row>
    <row r="3100" spans="13:13" ht="15.75" x14ac:dyDescent="0.25">
      <c r="M3100" t="s">
        <v>2865</v>
      </c>
    </row>
    <row r="3101" spans="13:13" ht="15.75" x14ac:dyDescent="0.25">
      <c r="M3101" t="s">
        <v>2866</v>
      </c>
    </row>
    <row r="3102" spans="13:13" ht="15.75" x14ac:dyDescent="0.25">
      <c r="M3102" t="s">
        <v>2867</v>
      </c>
    </row>
    <row r="3103" spans="13:13" ht="15.75" x14ac:dyDescent="0.25">
      <c r="M3103" t="s">
        <v>2868</v>
      </c>
    </row>
    <row r="3104" spans="13:13" ht="15.75" x14ac:dyDescent="0.25">
      <c r="M3104" t="s">
        <v>2861</v>
      </c>
    </row>
    <row r="3105" spans="13:13" ht="15.75" x14ac:dyDescent="0.25">
      <c r="M3105" t="s">
        <v>2869</v>
      </c>
    </row>
    <row r="3106" spans="13:13" ht="15.75" x14ac:dyDescent="0.25">
      <c r="M3106" t="s">
        <v>2870</v>
      </c>
    </row>
    <row r="3107" spans="13:13" ht="15.75" x14ac:dyDescent="0.25">
      <c r="M3107" t="s">
        <v>2871</v>
      </c>
    </row>
    <row r="3108" spans="13:13" ht="15.75" x14ac:dyDescent="0.25">
      <c r="M3108" t="s">
        <v>2872</v>
      </c>
    </row>
    <row r="3109" spans="13:13" ht="15.75" x14ac:dyDescent="0.25">
      <c r="M3109" t="s">
        <v>2873</v>
      </c>
    </row>
    <row r="3110" spans="13:13" ht="15.75" x14ac:dyDescent="0.25">
      <c r="M3110" t="s">
        <v>2874</v>
      </c>
    </row>
    <row r="3111" spans="13:13" ht="15.75" x14ac:dyDescent="0.25">
      <c r="M3111" t="s">
        <v>2875</v>
      </c>
    </row>
    <row r="3112" spans="13:13" ht="15.75" x14ac:dyDescent="0.25">
      <c r="M3112" t="s">
        <v>2876</v>
      </c>
    </row>
    <row r="3113" spans="13:13" ht="15.75" x14ac:dyDescent="0.25">
      <c r="M3113" t="s">
        <v>2877</v>
      </c>
    </row>
    <row r="3114" spans="13:13" ht="15.75" x14ac:dyDescent="0.25">
      <c r="M3114" t="s">
        <v>2878</v>
      </c>
    </row>
    <row r="3115" spans="13:13" ht="15.75" x14ac:dyDescent="0.25">
      <c r="M3115" t="s">
        <v>2879</v>
      </c>
    </row>
    <row r="3116" spans="13:13" ht="15.75" x14ac:dyDescent="0.25">
      <c r="M3116" t="s">
        <v>2880</v>
      </c>
    </row>
    <row r="3117" spans="13:13" ht="15.75" x14ac:dyDescent="0.25">
      <c r="M3117" t="s">
        <v>2881</v>
      </c>
    </row>
    <row r="3118" spans="13:13" ht="15.75" x14ac:dyDescent="0.25">
      <c r="M3118" t="s">
        <v>2882</v>
      </c>
    </row>
    <row r="3119" spans="13:13" ht="15.75" x14ac:dyDescent="0.25">
      <c r="M3119" t="s">
        <v>2883</v>
      </c>
    </row>
    <row r="3120" spans="13:13" ht="15.75" x14ac:dyDescent="0.25">
      <c r="M3120" t="s">
        <v>2884</v>
      </c>
    </row>
    <row r="3121" spans="13:13" ht="15.75" x14ac:dyDescent="0.25">
      <c r="M3121" t="s">
        <v>2885</v>
      </c>
    </row>
    <row r="3122" spans="13:13" ht="15.75" x14ac:dyDescent="0.25">
      <c r="M3122" t="s">
        <v>2886</v>
      </c>
    </row>
    <row r="3123" spans="13:13" ht="15.75" x14ac:dyDescent="0.25">
      <c r="M3123" t="s">
        <v>2887</v>
      </c>
    </row>
    <row r="3124" spans="13:13" ht="15.75" x14ac:dyDescent="0.25">
      <c r="M3124" t="s">
        <v>2888</v>
      </c>
    </row>
    <row r="3125" spans="13:13" ht="15.75" x14ac:dyDescent="0.25">
      <c r="M3125" t="s">
        <v>2889</v>
      </c>
    </row>
    <row r="3126" spans="13:13" ht="15.75" x14ac:dyDescent="0.25">
      <c r="M3126" t="s">
        <v>2890</v>
      </c>
    </row>
    <row r="3127" spans="13:13" ht="15.75" x14ac:dyDescent="0.25">
      <c r="M3127" t="s">
        <v>2891</v>
      </c>
    </row>
    <row r="3128" spans="13:13" ht="15.75" x14ac:dyDescent="0.25">
      <c r="M3128" t="s">
        <v>2892</v>
      </c>
    </row>
    <row r="3129" spans="13:13" ht="15.75" x14ac:dyDescent="0.25">
      <c r="M3129" t="s">
        <v>79</v>
      </c>
    </row>
    <row r="3130" spans="13:13" ht="15.75" x14ac:dyDescent="0.25">
      <c r="M3130" t="s">
        <v>34</v>
      </c>
    </row>
    <row r="3131" spans="13:13" ht="15.75" x14ac:dyDescent="0.25">
      <c r="M3131" t="s">
        <v>2893</v>
      </c>
    </row>
    <row r="3132" spans="13:13" ht="15.75" x14ac:dyDescent="0.25">
      <c r="M3132" t="s">
        <v>2894</v>
      </c>
    </row>
    <row r="3133" spans="13:13" ht="15.75" x14ac:dyDescent="0.25">
      <c r="M3133" t="s">
        <v>2895</v>
      </c>
    </row>
    <row r="3134" spans="13:13" ht="15.75" x14ac:dyDescent="0.25">
      <c r="M3134" t="s">
        <v>2896</v>
      </c>
    </row>
    <row r="3135" spans="13:13" ht="15.75" x14ac:dyDescent="0.25">
      <c r="M3135" t="s">
        <v>2897</v>
      </c>
    </row>
    <row r="3136" spans="13:13" ht="15.75" x14ac:dyDescent="0.25">
      <c r="M3136" t="s">
        <v>2898</v>
      </c>
    </row>
    <row r="3137" spans="13:13" ht="15.75" x14ac:dyDescent="0.25">
      <c r="M3137" t="s">
        <v>2899</v>
      </c>
    </row>
    <row r="3138" spans="13:13" ht="15.75" x14ac:dyDescent="0.25">
      <c r="M3138" t="s">
        <v>2900</v>
      </c>
    </row>
    <row r="3139" spans="13:13" ht="15.75" x14ac:dyDescent="0.25">
      <c r="M3139" t="s">
        <v>2861</v>
      </c>
    </row>
    <row r="3140" spans="13:13" ht="15.75" x14ac:dyDescent="0.25">
      <c r="M3140" t="s">
        <v>2901</v>
      </c>
    </row>
    <row r="3141" spans="13:13" ht="15.75" x14ac:dyDescent="0.25">
      <c r="M3141" t="s">
        <v>2902</v>
      </c>
    </row>
    <row r="3142" spans="13:13" ht="15.75" x14ac:dyDescent="0.25">
      <c r="M3142" t="s">
        <v>2903</v>
      </c>
    </row>
    <row r="3143" spans="13:13" ht="15.75" x14ac:dyDescent="0.25">
      <c r="M3143" t="s">
        <v>2904</v>
      </c>
    </row>
    <row r="3144" spans="13:13" ht="15.75" x14ac:dyDescent="0.25">
      <c r="M3144" t="s">
        <v>2882</v>
      </c>
    </row>
    <row r="3145" spans="13:13" ht="15.75" x14ac:dyDescent="0.25">
      <c r="M3145" t="s">
        <v>2904</v>
      </c>
    </row>
    <row r="3146" spans="13:13" ht="15.75" x14ac:dyDescent="0.25">
      <c r="M3146" t="s">
        <v>2905</v>
      </c>
    </row>
    <row r="3147" spans="13:13" ht="15.75" x14ac:dyDescent="0.25">
      <c r="M3147" t="s">
        <v>2906</v>
      </c>
    </row>
    <row r="3148" spans="13:13" ht="15.75" x14ac:dyDescent="0.25">
      <c r="M3148" t="s">
        <v>2907</v>
      </c>
    </row>
    <row r="3149" spans="13:13" ht="15.75" x14ac:dyDescent="0.25">
      <c r="M3149" t="s">
        <v>2908</v>
      </c>
    </row>
    <row r="3150" spans="13:13" ht="15.75" x14ac:dyDescent="0.25">
      <c r="M3150" t="s">
        <v>2909</v>
      </c>
    </row>
    <row r="3151" spans="13:13" ht="15.75" x14ac:dyDescent="0.25">
      <c r="M3151" t="s">
        <v>2910</v>
      </c>
    </row>
    <row r="3152" spans="13:13" ht="15.75" x14ac:dyDescent="0.25">
      <c r="M3152" t="s">
        <v>2911</v>
      </c>
    </row>
    <row r="3153" spans="13:13" ht="15.75" x14ac:dyDescent="0.25">
      <c r="M3153" t="s">
        <v>2912</v>
      </c>
    </row>
    <row r="3154" spans="13:13" ht="15.75" x14ac:dyDescent="0.25">
      <c r="M3154" t="s">
        <v>2913</v>
      </c>
    </row>
    <row r="3155" spans="13:13" ht="15.75" x14ac:dyDescent="0.25">
      <c r="M3155" t="s">
        <v>2914</v>
      </c>
    </row>
    <row r="3156" spans="13:13" ht="15.75" x14ac:dyDescent="0.25">
      <c r="M3156" t="s">
        <v>2915</v>
      </c>
    </row>
    <row r="3157" spans="13:13" ht="15.75" x14ac:dyDescent="0.25">
      <c r="M3157" t="s">
        <v>2916</v>
      </c>
    </row>
    <row r="3158" spans="13:13" ht="15.75" x14ac:dyDescent="0.25">
      <c r="M3158" t="s">
        <v>2917</v>
      </c>
    </row>
    <row r="3159" spans="13:13" ht="15.75" x14ac:dyDescent="0.25">
      <c r="M3159" t="s">
        <v>2918</v>
      </c>
    </row>
    <row r="3160" spans="13:13" ht="15.75" x14ac:dyDescent="0.25">
      <c r="M3160" t="s">
        <v>2919</v>
      </c>
    </row>
    <row r="3161" spans="13:13" ht="15.75" x14ac:dyDescent="0.25">
      <c r="M3161" t="s">
        <v>2920</v>
      </c>
    </row>
    <row r="3162" spans="13:13" ht="15.75" x14ac:dyDescent="0.25">
      <c r="M3162" t="s">
        <v>2921</v>
      </c>
    </row>
    <row r="3163" spans="13:13" ht="15.75" x14ac:dyDescent="0.25">
      <c r="M3163" t="s">
        <v>37</v>
      </c>
    </row>
    <row r="3164" spans="13:13" ht="15.75" x14ac:dyDescent="0.25">
      <c r="M3164" t="s">
        <v>37</v>
      </c>
    </row>
    <row r="3165" spans="13:13" ht="15.75" x14ac:dyDescent="0.25">
      <c r="M3165" t="s">
        <v>2922</v>
      </c>
    </row>
    <row r="3166" spans="13:13" ht="15.75" x14ac:dyDescent="0.25">
      <c r="M3166" t="s">
        <v>2883</v>
      </c>
    </row>
    <row r="3167" spans="13:13" ht="15.75" x14ac:dyDescent="0.25">
      <c r="M3167" t="s">
        <v>2923</v>
      </c>
    </row>
    <row r="3168" spans="13:13" ht="15.75" x14ac:dyDescent="0.25">
      <c r="M3168" t="s">
        <v>2924</v>
      </c>
    </row>
    <row r="3169" spans="13:13" ht="15.75" x14ac:dyDescent="0.25">
      <c r="M3169" t="s">
        <v>2925</v>
      </c>
    </row>
    <row r="3170" spans="13:13" ht="15.75" x14ac:dyDescent="0.25">
      <c r="M3170" t="s">
        <v>2926</v>
      </c>
    </row>
    <row r="3171" spans="13:13" ht="15.75" x14ac:dyDescent="0.25">
      <c r="M3171" t="s">
        <v>2927</v>
      </c>
    </row>
    <row r="3172" spans="13:13" ht="15.75" x14ac:dyDescent="0.25">
      <c r="M3172" t="s">
        <v>2928</v>
      </c>
    </row>
    <row r="3173" spans="13:13" ht="15.75" x14ac:dyDescent="0.25">
      <c r="M3173" t="s">
        <v>2929</v>
      </c>
    </row>
    <row r="3174" spans="13:13" ht="15.75" x14ac:dyDescent="0.25">
      <c r="M3174" t="s">
        <v>2930</v>
      </c>
    </row>
    <row r="3175" spans="13:13" ht="15.75" x14ac:dyDescent="0.25">
      <c r="M3175" t="s">
        <v>2931</v>
      </c>
    </row>
    <row r="3176" spans="13:13" ht="15.75" x14ac:dyDescent="0.25">
      <c r="M3176" t="s">
        <v>2932</v>
      </c>
    </row>
    <row r="3177" spans="13:13" ht="15.75" x14ac:dyDescent="0.25">
      <c r="M3177" t="s">
        <v>2933</v>
      </c>
    </row>
    <row r="3178" spans="13:13" ht="15.75" x14ac:dyDescent="0.25">
      <c r="M3178" t="s">
        <v>2934</v>
      </c>
    </row>
    <row r="3179" spans="13:13" ht="15.75" x14ac:dyDescent="0.25">
      <c r="M3179" t="s">
        <v>2935</v>
      </c>
    </row>
    <row r="3180" spans="13:13" ht="15.75" x14ac:dyDescent="0.25">
      <c r="M3180" t="s">
        <v>2936</v>
      </c>
    </row>
    <row r="3181" spans="13:13" ht="15.75" x14ac:dyDescent="0.25">
      <c r="M3181" t="s">
        <v>2937</v>
      </c>
    </row>
    <row r="3182" spans="13:13" ht="15.75" x14ac:dyDescent="0.25">
      <c r="M3182" t="s">
        <v>2909</v>
      </c>
    </row>
    <row r="3183" spans="13:13" ht="15.75" x14ac:dyDescent="0.25">
      <c r="M3183" t="s">
        <v>2938</v>
      </c>
    </row>
    <row r="3184" spans="13:13" ht="15.75" x14ac:dyDescent="0.25">
      <c r="M3184" t="s">
        <v>2939</v>
      </c>
    </row>
    <row r="3185" spans="13:13" ht="15.75" x14ac:dyDescent="0.25">
      <c r="M3185" t="s">
        <v>2940</v>
      </c>
    </row>
    <row r="3186" spans="13:13" ht="15.75" x14ac:dyDescent="0.25">
      <c r="M3186" t="s">
        <v>2941</v>
      </c>
    </row>
    <row r="3187" spans="13:13" ht="15.75" x14ac:dyDescent="0.25">
      <c r="M3187" t="s">
        <v>2942</v>
      </c>
    </row>
    <row r="3188" spans="13:13" ht="15.75" x14ac:dyDescent="0.25">
      <c r="M3188" t="s">
        <v>2943</v>
      </c>
    </row>
    <row r="3189" spans="13:13" ht="15.75" x14ac:dyDescent="0.25">
      <c r="M3189" t="s">
        <v>2944</v>
      </c>
    </row>
    <row r="3190" spans="13:13" ht="15.75" x14ac:dyDescent="0.25">
      <c r="M3190" t="s">
        <v>2945</v>
      </c>
    </row>
    <row r="3191" spans="13:13" ht="15.75" x14ac:dyDescent="0.25">
      <c r="M3191" t="s">
        <v>2946</v>
      </c>
    </row>
    <row r="3192" spans="13:13" ht="15.75" x14ac:dyDescent="0.25">
      <c r="M3192" t="s">
        <v>2947</v>
      </c>
    </row>
    <row r="3193" spans="13:13" ht="15.75" x14ac:dyDescent="0.25">
      <c r="M3193" t="s">
        <v>2948</v>
      </c>
    </row>
    <row r="3194" spans="13:13" ht="15.75" x14ac:dyDescent="0.25">
      <c r="M3194" t="s">
        <v>2949</v>
      </c>
    </row>
    <row r="3195" spans="13:13" ht="15.75" x14ac:dyDescent="0.25">
      <c r="M3195" t="s">
        <v>2950</v>
      </c>
    </row>
    <row r="3196" spans="13:13" ht="15.75" x14ac:dyDescent="0.25">
      <c r="M3196" t="s">
        <v>2951</v>
      </c>
    </row>
    <row r="3197" spans="13:13" ht="15.75" x14ac:dyDescent="0.25">
      <c r="M3197" t="s">
        <v>2952</v>
      </c>
    </row>
    <row r="3198" spans="13:13" ht="15.75" x14ac:dyDescent="0.25">
      <c r="M3198" t="s">
        <v>2953</v>
      </c>
    </row>
    <row r="3199" spans="13:13" ht="15.75" x14ac:dyDescent="0.25">
      <c r="M3199" t="s">
        <v>2954</v>
      </c>
    </row>
    <row r="3200" spans="13:13" ht="15.75" x14ac:dyDescent="0.25">
      <c r="M3200" t="s">
        <v>2955</v>
      </c>
    </row>
    <row r="3201" spans="13:13" ht="15.75" x14ac:dyDescent="0.25">
      <c r="M3201" t="s">
        <v>2956</v>
      </c>
    </row>
    <row r="3202" spans="13:13" ht="15.75" x14ac:dyDescent="0.25">
      <c r="M3202" t="s">
        <v>2957</v>
      </c>
    </row>
    <row r="3203" spans="13:13" ht="15.75" x14ac:dyDescent="0.25">
      <c r="M3203" t="s">
        <v>2958</v>
      </c>
    </row>
    <row r="3204" spans="13:13" ht="15.75" x14ac:dyDescent="0.25">
      <c r="M3204" t="s">
        <v>2959</v>
      </c>
    </row>
    <row r="3205" spans="13:13" ht="15.75" x14ac:dyDescent="0.25">
      <c r="M3205" t="s">
        <v>2960</v>
      </c>
    </row>
    <row r="3206" spans="13:13" ht="15.75" x14ac:dyDescent="0.25">
      <c r="M3206" t="s">
        <v>2961</v>
      </c>
    </row>
    <row r="3207" spans="13:13" ht="15.75" x14ac:dyDescent="0.25">
      <c r="M3207" t="s">
        <v>2962</v>
      </c>
    </row>
    <row r="3208" spans="13:13" ht="15.75" x14ac:dyDescent="0.25">
      <c r="M3208" t="s">
        <v>2879</v>
      </c>
    </row>
    <row r="3209" spans="13:13" ht="15.75" x14ac:dyDescent="0.25">
      <c r="M3209" t="s">
        <v>2963</v>
      </c>
    </row>
    <row r="3210" spans="13:13" ht="15.75" x14ac:dyDescent="0.25">
      <c r="M3210" t="s">
        <v>2964</v>
      </c>
    </row>
    <row r="3211" spans="13:13" ht="15.75" x14ac:dyDescent="0.25">
      <c r="M3211" t="s">
        <v>2965</v>
      </c>
    </row>
    <row r="3212" spans="13:13" ht="15.75" x14ac:dyDescent="0.25">
      <c r="M3212" t="s">
        <v>2966</v>
      </c>
    </row>
    <row r="3213" spans="13:13" ht="15.75" x14ac:dyDescent="0.25">
      <c r="M3213" t="s">
        <v>2967</v>
      </c>
    </row>
    <row r="3214" spans="13:13" ht="15.75" x14ac:dyDescent="0.25">
      <c r="M3214" t="s">
        <v>2861</v>
      </c>
    </row>
    <row r="3215" spans="13:13" ht="15.75" x14ac:dyDescent="0.25">
      <c r="M3215" t="s">
        <v>2968</v>
      </c>
    </row>
    <row r="3216" spans="13:13" ht="15.75" x14ac:dyDescent="0.25">
      <c r="M3216" t="s">
        <v>2969</v>
      </c>
    </row>
    <row r="3217" spans="13:13" ht="15.75" x14ac:dyDescent="0.25">
      <c r="M3217" t="s">
        <v>2970</v>
      </c>
    </row>
    <row r="3218" spans="13:13" ht="15.75" x14ac:dyDescent="0.25">
      <c r="M3218" t="s">
        <v>2971</v>
      </c>
    </row>
    <row r="3219" spans="13:13" ht="15.75" x14ac:dyDescent="0.25">
      <c r="M3219" t="s">
        <v>2972</v>
      </c>
    </row>
    <row r="3220" spans="13:13" ht="15.75" x14ac:dyDescent="0.25">
      <c r="M3220" t="s">
        <v>2973</v>
      </c>
    </row>
    <row r="3221" spans="13:13" ht="15.75" x14ac:dyDescent="0.25">
      <c r="M3221" t="s">
        <v>2974</v>
      </c>
    </row>
    <row r="3222" spans="13:13" ht="15.75" x14ac:dyDescent="0.25">
      <c r="M3222" t="s">
        <v>2975</v>
      </c>
    </row>
    <row r="3223" spans="13:13" ht="15.75" x14ac:dyDescent="0.25">
      <c r="M3223" t="s">
        <v>2976</v>
      </c>
    </row>
    <row r="3224" spans="13:13" ht="15.75" x14ac:dyDescent="0.25">
      <c r="M3224" t="s">
        <v>2977</v>
      </c>
    </row>
    <row r="3225" spans="13:13" ht="15.75" x14ac:dyDescent="0.25">
      <c r="M3225" t="s">
        <v>2978</v>
      </c>
    </row>
    <row r="3226" spans="13:13" ht="15.75" x14ac:dyDescent="0.25">
      <c r="M3226" t="s">
        <v>2979</v>
      </c>
    </row>
    <row r="3227" spans="13:13" ht="15.75" x14ac:dyDescent="0.25">
      <c r="M3227" t="s">
        <v>2980</v>
      </c>
    </row>
    <row r="3228" spans="13:13" ht="15.75" x14ac:dyDescent="0.25">
      <c r="M3228" t="s">
        <v>2981</v>
      </c>
    </row>
    <row r="3229" spans="13:13" ht="15.75" x14ac:dyDescent="0.25">
      <c r="M3229" t="s">
        <v>2930</v>
      </c>
    </row>
    <row r="3230" spans="13:13" ht="15.75" x14ac:dyDescent="0.25">
      <c r="M3230" t="s">
        <v>2982</v>
      </c>
    </row>
    <row r="3231" spans="13:13" ht="15.75" x14ac:dyDescent="0.25">
      <c r="M3231" t="s">
        <v>2983</v>
      </c>
    </row>
    <row r="3232" spans="13:13" ht="15.75" x14ac:dyDescent="0.25">
      <c r="M3232" t="s">
        <v>2984</v>
      </c>
    </row>
    <row r="3233" spans="13:13" ht="15.75" x14ac:dyDescent="0.25">
      <c r="M3233" t="s">
        <v>2985</v>
      </c>
    </row>
    <row r="3234" spans="13:13" ht="15.75" x14ac:dyDescent="0.25">
      <c r="M3234" t="s">
        <v>38</v>
      </c>
    </row>
    <row r="3235" spans="13:13" ht="15.75" x14ac:dyDescent="0.25">
      <c r="M3235" t="s">
        <v>2986</v>
      </c>
    </row>
    <row r="3236" spans="13:13" ht="15.75" x14ac:dyDescent="0.25">
      <c r="M3236" t="s">
        <v>2987</v>
      </c>
    </row>
    <row r="3237" spans="13:13" ht="15.75" x14ac:dyDescent="0.25">
      <c r="M3237" t="s">
        <v>38</v>
      </c>
    </row>
    <row r="3238" spans="13:13" ht="15.75" x14ac:dyDescent="0.25">
      <c r="M3238" t="s">
        <v>38</v>
      </c>
    </row>
    <row r="3239" spans="13:13" ht="15.75" x14ac:dyDescent="0.25">
      <c r="M3239" t="s">
        <v>2988</v>
      </c>
    </row>
    <row r="3240" spans="13:13" ht="15.75" x14ac:dyDescent="0.25">
      <c r="M3240" t="s">
        <v>2989</v>
      </c>
    </row>
    <row r="3241" spans="13:13" ht="15.75" x14ac:dyDescent="0.25">
      <c r="M3241" t="s">
        <v>38</v>
      </c>
    </row>
    <row r="3242" spans="13:13" ht="15.75" x14ac:dyDescent="0.25">
      <c r="M3242" t="s">
        <v>38</v>
      </c>
    </row>
    <row r="3243" spans="13:13" ht="15.75" x14ac:dyDescent="0.25">
      <c r="M3243" t="s">
        <v>2990</v>
      </c>
    </row>
    <row r="3244" spans="13:13" ht="15.75" x14ac:dyDescent="0.25">
      <c r="M3244" t="s">
        <v>2991</v>
      </c>
    </row>
    <row r="3245" spans="13:13" ht="15.75" x14ac:dyDescent="0.25">
      <c r="M3245" t="s">
        <v>38</v>
      </c>
    </row>
    <row r="3246" spans="13:13" ht="15.75" x14ac:dyDescent="0.25">
      <c r="M3246" t="s">
        <v>2992</v>
      </c>
    </row>
    <row r="3247" spans="13:13" ht="15.75" x14ac:dyDescent="0.25">
      <c r="M3247" t="s">
        <v>2993</v>
      </c>
    </row>
    <row r="3248" spans="13:13" ht="15.75" x14ac:dyDescent="0.25">
      <c r="M3248" t="s">
        <v>38</v>
      </c>
    </row>
    <row r="3249" spans="13:13" ht="15.75" x14ac:dyDescent="0.25">
      <c r="M3249" t="s">
        <v>38</v>
      </c>
    </row>
    <row r="3250" spans="13:13" ht="15.75" x14ac:dyDescent="0.25">
      <c r="M3250" t="s">
        <v>2994</v>
      </c>
    </row>
    <row r="3251" spans="13:13" ht="15.75" x14ac:dyDescent="0.25">
      <c r="M3251" t="s">
        <v>38</v>
      </c>
    </row>
    <row r="3252" spans="13:13" ht="15.75" x14ac:dyDescent="0.25">
      <c r="M3252" t="s">
        <v>38</v>
      </c>
    </row>
    <row r="3253" spans="13:13" ht="15.75" x14ac:dyDescent="0.25">
      <c r="M3253" t="s">
        <v>51</v>
      </c>
    </row>
    <row r="3254" spans="13:13" ht="15.75" x14ac:dyDescent="0.25">
      <c r="M3254" t="s">
        <v>2995</v>
      </c>
    </row>
    <row r="3255" spans="13:13" ht="15.75" x14ac:dyDescent="0.25">
      <c r="M3255" t="s">
        <v>2996</v>
      </c>
    </row>
    <row r="3256" spans="13:13" ht="15.75" x14ac:dyDescent="0.25">
      <c r="M3256" t="s">
        <v>2997</v>
      </c>
    </row>
    <row r="3257" spans="13:13" ht="15.75" x14ac:dyDescent="0.25">
      <c r="M3257" t="s">
        <v>38</v>
      </c>
    </row>
    <row r="3258" spans="13:13" ht="15.75" x14ac:dyDescent="0.25">
      <c r="M3258" t="s">
        <v>38</v>
      </c>
    </row>
    <row r="3259" spans="13:13" ht="15.75" x14ac:dyDescent="0.25">
      <c r="M3259" t="s">
        <v>2998</v>
      </c>
    </row>
    <row r="3260" spans="13:13" ht="15.75" x14ac:dyDescent="0.25">
      <c r="M3260" t="s">
        <v>2999</v>
      </c>
    </row>
    <row r="3261" spans="13:13" ht="15.75" x14ac:dyDescent="0.25">
      <c r="M3261" t="s">
        <v>3000</v>
      </c>
    </row>
    <row r="3262" spans="13:13" ht="15.75" x14ac:dyDescent="0.25">
      <c r="M3262" t="s">
        <v>3001</v>
      </c>
    </row>
    <row r="3263" spans="13:13" ht="15.75" x14ac:dyDescent="0.25">
      <c r="M3263" t="s">
        <v>34</v>
      </c>
    </row>
    <row r="3264" spans="13:13" ht="15.75" x14ac:dyDescent="0.25">
      <c r="M3264" t="s">
        <v>3002</v>
      </c>
    </row>
    <row r="3265" spans="13:13" ht="15.75" x14ac:dyDescent="0.25">
      <c r="M3265" t="s">
        <v>3003</v>
      </c>
    </row>
    <row r="3266" spans="13:13" ht="15.75" x14ac:dyDescent="0.25">
      <c r="M3266" t="s">
        <v>3004</v>
      </c>
    </row>
    <row r="3267" spans="13:13" ht="15.75" x14ac:dyDescent="0.25">
      <c r="M3267" t="s">
        <v>3005</v>
      </c>
    </row>
    <row r="3268" spans="13:13" ht="15.75" x14ac:dyDescent="0.25">
      <c r="M3268" t="s">
        <v>3006</v>
      </c>
    </row>
    <row r="3269" spans="13:13" ht="15.75" x14ac:dyDescent="0.25">
      <c r="M3269" t="s">
        <v>3007</v>
      </c>
    </row>
    <row r="3270" spans="13:13" ht="15.75" x14ac:dyDescent="0.25">
      <c r="M3270" t="s">
        <v>38</v>
      </c>
    </row>
    <row r="3271" spans="13:13" ht="15.75" x14ac:dyDescent="0.25">
      <c r="M3271" t="s">
        <v>38</v>
      </c>
    </row>
    <row r="3272" spans="13:13" ht="15.75" x14ac:dyDescent="0.25">
      <c r="M3272" t="s">
        <v>3008</v>
      </c>
    </row>
    <row r="3273" spans="13:13" ht="15.75" x14ac:dyDescent="0.25">
      <c r="M3273" t="s">
        <v>38</v>
      </c>
    </row>
    <row r="3274" spans="13:13" ht="15.75" x14ac:dyDescent="0.25">
      <c r="M3274" t="s">
        <v>3009</v>
      </c>
    </row>
    <row r="3275" spans="13:13" ht="15.75" x14ac:dyDescent="0.25">
      <c r="M3275" t="s">
        <v>3010</v>
      </c>
    </row>
    <row r="3276" spans="13:13" ht="15.75" x14ac:dyDescent="0.25">
      <c r="M3276" t="s">
        <v>3011</v>
      </c>
    </row>
    <row r="3277" spans="13:13" ht="15.75" x14ac:dyDescent="0.25">
      <c r="M3277" t="s">
        <v>3012</v>
      </c>
    </row>
    <row r="3278" spans="13:13" ht="15.75" x14ac:dyDescent="0.25">
      <c r="M3278" t="s">
        <v>3013</v>
      </c>
    </row>
    <row r="3279" spans="13:13" ht="15.75" x14ac:dyDescent="0.25">
      <c r="M3279" t="s">
        <v>3014</v>
      </c>
    </row>
    <row r="3280" spans="13:13" ht="15.75" x14ac:dyDescent="0.25">
      <c r="M3280" t="s">
        <v>38</v>
      </c>
    </row>
    <row r="3281" spans="13:13" ht="15.75" x14ac:dyDescent="0.25">
      <c r="M3281" t="s">
        <v>38</v>
      </c>
    </row>
    <row r="3282" spans="13:13" ht="15.75" x14ac:dyDescent="0.25">
      <c r="M3282" t="s">
        <v>3015</v>
      </c>
    </row>
    <row r="3283" spans="13:13" ht="15.75" x14ac:dyDescent="0.25">
      <c r="M3283" t="s">
        <v>3016</v>
      </c>
    </row>
    <row r="3284" spans="13:13" ht="15.75" x14ac:dyDescent="0.25">
      <c r="M3284" t="s">
        <v>61</v>
      </c>
    </row>
    <row r="3285" spans="13:13" ht="15.75" x14ac:dyDescent="0.25">
      <c r="M3285" t="s">
        <v>3017</v>
      </c>
    </row>
    <row r="3286" spans="13:13" ht="15.75" x14ac:dyDescent="0.25">
      <c r="M3286" t="s">
        <v>38</v>
      </c>
    </row>
    <row r="3287" spans="13:13" ht="15.75" x14ac:dyDescent="0.25">
      <c r="M3287" t="s">
        <v>3018</v>
      </c>
    </row>
    <row r="3288" spans="13:13" ht="15.75" x14ac:dyDescent="0.25">
      <c r="M3288" t="s">
        <v>3019</v>
      </c>
    </row>
    <row r="3289" spans="13:13" ht="15.75" x14ac:dyDescent="0.25">
      <c r="M3289" t="s">
        <v>3020</v>
      </c>
    </row>
    <row r="3290" spans="13:13" ht="15.75" x14ac:dyDescent="0.25">
      <c r="M3290" t="s">
        <v>38</v>
      </c>
    </row>
    <row r="3291" spans="13:13" ht="15.75" x14ac:dyDescent="0.25">
      <c r="M3291" t="s">
        <v>3021</v>
      </c>
    </row>
    <row r="3292" spans="13:13" ht="15.75" x14ac:dyDescent="0.25">
      <c r="M3292" t="s">
        <v>38</v>
      </c>
    </row>
    <row r="3293" spans="13:13" ht="15.75" x14ac:dyDescent="0.25">
      <c r="M3293" t="s">
        <v>51</v>
      </c>
    </row>
    <row r="3294" spans="13:13" ht="15.75" x14ac:dyDescent="0.25">
      <c r="M3294" t="s">
        <v>38</v>
      </c>
    </row>
    <row r="3295" spans="13:13" ht="15.75" x14ac:dyDescent="0.25">
      <c r="M3295" t="s">
        <v>38</v>
      </c>
    </row>
    <row r="3296" spans="13:13" ht="15.75" x14ac:dyDescent="0.25">
      <c r="M3296" t="s">
        <v>38</v>
      </c>
    </row>
    <row r="3297" spans="13:13" ht="15.75" x14ac:dyDescent="0.25">
      <c r="M3297" t="s">
        <v>38</v>
      </c>
    </row>
    <row r="3298" spans="13:13" ht="15.75" x14ac:dyDescent="0.25">
      <c r="M3298" t="s">
        <v>38</v>
      </c>
    </row>
    <row r="3299" spans="13:13" ht="15.75" x14ac:dyDescent="0.25">
      <c r="M3299" t="s">
        <v>3022</v>
      </c>
    </row>
    <row r="3300" spans="13:13" ht="15.75" x14ac:dyDescent="0.25">
      <c r="M3300" t="s">
        <v>3023</v>
      </c>
    </row>
    <row r="3301" spans="13:13" ht="15.75" x14ac:dyDescent="0.25">
      <c r="M3301" t="s">
        <v>3024</v>
      </c>
    </row>
    <row r="3302" spans="13:13" ht="15.75" x14ac:dyDescent="0.25">
      <c r="M3302" t="s">
        <v>3025</v>
      </c>
    </row>
    <row r="3303" spans="13:13" ht="15.75" x14ac:dyDescent="0.25">
      <c r="M3303" t="s">
        <v>3026</v>
      </c>
    </row>
    <row r="3304" spans="13:13" ht="15.75" x14ac:dyDescent="0.25">
      <c r="M3304" t="s">
        <v>3027</v>
      </c>
    </row>
    <row r="3305" spans="13:13" ht="15.75" x14ac:dyDescent="0.25">
      <c r="M3305" t="s">
        <v>38</v>
      </c>
    </row>
    <row r="3306" spans="13:13" ht="15.75" x14ac:dyDescent="0.25">
      <c r="M3306" t="s">
        <v>3028</v>
      </c>
    </row>
    <row r="3307" spans="13:13" ht="15.75" x14ac:dyDescent="0.25">
      <c r="M3307" t="s">
        <v>3029</v>
      </c>
    </row>
    <row r="3308" spans="13:13" ht="15.75" x14ac:dyDescent="0.25">
      <c r="M3308" t="s">
        <v>3030</v>
      </c>
    </row>
    <row r="3309" spans="13:13" ht="15.75" x14ac:dyDescent="0.25">
      <c r="M3309" t="s">
        <v>3031</v>
      </c>
    </row>
    <row r="3310" spans="13:13" ht="15.75" x14ac:dyDescent="0.25">
      <c r="M3310" t="s">
        <v>3032</v>
      </c>
    </row>
    <row r="3311" spans="13:13" ht="15.75" x14ac:dyDescent="0.25">
      <c r="M3311" t="s">
        <v>3033</v>
      </c>
    </row>
    <row r="3312" spans="13:13" ht="15.75" x14ac:dyDescent="0.25">
      <c r="M3312" t="s">
        <v>3034</v>
      </c>
    </row>
    <row r="3313" spans="13:13" ht="15.75" x14ac:dyDescent="0.25">
      <c r="M3313" t="s">
        <v>3035</v>
      </c>
    </row>
    <row r="3314" spans="13:13" ht="15.75" x14ac:dyDescent="0.25">
      <c r="M3314" t="s">
        <v>3036</v>
      </c>
    </row>
    <row r="3315" spans="13:13" ht="15.75" x14ac:dyDescent="0.25">
      <c r="M3315" t="s">
        <v>3037</v>
      </c>
    </row>
    <row r="3316" spans="13:13" ht="15.75" x14ac:dyDescent="0.25">
      <c r="M3316" t="s">
        <v>3038</v>
      </c>
    </row>
    <row r="3317" spans="13:13" ht="15.75" x14ac:dyDescent="0.25">
      <c r="M3317" t="s">
        <v>3039</v>
      </c>
    </row>
    <row r="3318" spans="13:13" ht="15.75" x14ac:dyDescent="0.25">
      <c r="M3318" t="s">
        <v>3040</v>
      </c>
    </row>
    <row r="3319" spans="13:13" ht="15.75" x14ac:dyDescent="0.25">
      <c r="M3319" t="s">
        <v>3041</v>
      </c>
    </row>
    <row r="3320" spans="13:13" ht="15.75" x14ac:dyDescent="0.25">
      <c r="M3320" t="s">
        <v>3042</v>
      </c>
    </row>
    <row r="3321" spans="13:13" ht="15.75" x14ac:dyDescent="0.25">
      <c r="M3321" t="s">
        <v>68</v>
      </c>
    </row>
    <row r="3322" spans="13:13" ht="15.75" x14ac:dyDescent="0.25">
      <c r="M3322" t="s">
        <v>3043</v>
      </c>
    </row>
    <row r="3323" spans="13:13" ht="15.75" x14ac:dyDescent="0.25">
      <c r="M3323" t="s">
        <v>3044</v>
      </c>
    </row>
    <row r="3324" spans="13:13" ht="15.75" x14ac:dyDescent="0.25">
      <c r="M3324" t="s">
        <v>3045</v>
      </c>
    </row>
    <row r="3325" spans="13:13" ht="15.75" x14ac:dyDescent="0.25">
      <c r="M3325" t="s">
        <v>3046</v>
      </c>
    </row>
    <row r="3326" spans="13:13" ht="15.75" x14ac:dyDescent="0.25">
      <c r="M3326" t="s">
        <v>3047</v>
      </c>
    </row>
    <row r="3327" spans="13:13" ht="15.75" x14ac:dyDescent="0.25">
      <c r="M3327" t="s">
        <v>3048</v>
      </c>
    </row>
    <row r="3328" spans="13:13" ht="15.75" x14ac:dyDescent="0.25">
      <c r="M3328" t="s">
        <v>3049</v>
      </c>
    </row>
    <row r="3329" spans="13:13" ht="15.75" x14ac:dyDescent="0.25">
      <c r="M3329" t="s">
        <v>3050</v>
      </c>
    </row>
    <row r="3330" spans="13:13" ht="15.75" x14ac:dyDescent="0.25">
      <c r="M3330" t="s">
        <v>3051</v>
      </c>
    </row>
    <row r="3331" spans="13:13" ht="15.75" x14ac:dyDescent="0.25">
      <c r="M3331" t="s">
        <v>3052</v>
      </c>
    </row>
    <row r="3332" spans="13:13" ht="15.75" x14ac:dyDescent="0.25">
      <c r="M3332" t="s">
        <v>3053</v>
      </c>
    </row>
    <row r="3333" spans="13:13" ht="15.75" x14ac:dyDescent="0.25">
      <c r="M3333" t="s">
        <v>3054</v>
      </c>
    </row>
    <row r="3334" spans="13:13" ht="15.75" x14ac:dyDescent="0.25">
      <c r="M3334" t="s">
        <v>3055</v>
      </c>
    </row>
    <row r="3335" spans="13:13" ht="15.75" x14ac:dyDescent="0.25">
      <c r="M3335" t="s">
        <v>3056</v>
      </c>
    </row>
    <row r="3336" spans="13:13" ht="15.75" x14ac:dyDescent="0.25">
      <c r="M3336" t="s">
        <v>3057</v>
      </c>
    </row>
    <row r="3337" spans="13:13" ht="15.75" x14ac:dyDescent="0.25">
      <c r="M3337" t="s">
        <v>3058</v>
      </c>
    </row>
    <row r="3338" spans="13:13" ht="15.75" x14ac:dyDescent="0.25">
      <c r="M3338" t="s">
        <v>3059</v>
      </c>
    </row>
    <row r="3339" spans="13:13" ht="15.75" x14ac:dyDescent="0.25">
      <c r="M3339" t="s">
        <v>3060</v>
      </c>
    </row>
    <row r="3340" spans="13:13" ht="15.75" x14ac:dyDescent="0.25">
      <c r="M3340" t="s">
        <v>3061</v>
      </c>
    </row>
    <row r="3341" spans="13:13" ht="15.75" x14ac:dyDescent="0.25">
      <c r="M3341" t="s">
        <v>3062</v>
      </c>
    </row>
    <row r="3342" spans="13:13" ht="15.75" x14ac:dyDescent="0.25">
      <c r="M3342" t="s">
        <v>3063</v>
      </c>
    </row>
    <row r="3343" spans="13:13" ht="15.75" x14ac:dyDescent="0.25">
      <c r="M3343" t="s">
        <v>3064</v>
      </c>
    </row>
    <row r="3344" spans="13:13" ht="15.75" x14ac:dyDescent="0.25">
      <c r="M3344" t="s">
        <v>3065</v>
      </c>
    </row>
    <row r="3345" spans="13:13" ht="15.75" x14ac:dyDescent="0.25">
      <c r="M3345" t="s">
        <v>3066</v>
      </c>
    </row>
    <row r="3346" spans="13:13" ht="15.75" x14ac:dyDescent="0.25">
      <c r="M3346" t="s">
        <v>3067</v>
      </c>
    </row>
    <row r="3347" spans="13:13" ht="15.75" x14ac:dyDescent="0.25">
      <c r="M3347" t="s">
        <v>3068</v>
      </c>
    </row>
    <row r="3348" spans="13:13" ht="15.75" x14ac:dyDescent="0.25">
      <c r="M3348" t="s">
        <v>3069</v>
      </c>
    </row>
    <row r="3349" spans="13:13" ht="15.75" x14ac:dyDescent="0.25">
      <c r="M3349" t="s">
        <v>3070</v>
      </c>
    </row>
    <row r="3350" spans="13:13" ht="15.75" x14ac:dyDescent="0.25">
      <c r="M3350" t="s">
        <v>50</v>
      </c>
    </row>
    <row r="3351" spans="13:13" ht="15.75" x14ac:dyDescent="0.25">
      <c r="M3351" t="s">
        <v>3071</v>
      </c>
    </row>
    <row r="3352" spans="13:13" ht="15.75" x14ac:dyDescent="0.25">
      <c r="M3352" t="s">
        <v>1820</v>
      </c>
    </row>
    <row r="3353" spans="13:13" ht="15.75" x14ac:dyDescent="0.25">
      <c r="M3353" t="s">
        <v>3072</v>
      </c>
    </row>
    <row r="3354" spans="13:13" ht="15.75" x14ac:dyDescent="0.25">
      <c r="M3354" t="s">
        <v>3073</v>
      </c>
    </row>
    <row r="3355" spans="13:13" ht="15.75" x14ac:dyDescent="0.25">
      <c r="M3355" t="s">
        <v>3074</v>
      </c>
    </row>
    <row r="3356" spans="13:13" ht="15.75" x14ac:dyDescent="0.25">
      <c r="M3356" t="s">
        <v>3075</v>
      </c>
    </row>
    <row r="3357" spans="13:13" ht="15.75" x14ac:dyDescent="0.25">
      <c r="M3357" t="s">
        <v>3076</v>
      </c>
    </row>
    <row r="3358" spans="13:13" ht="15.75" x14ac:dyDescent="0.25">
      <c r="M3358" t="s">
        <v>3077</v>
      </c>
    </row>
    <row r="3359" spans="13:13" ht="15.75" x14ac:dyDescent="0.25">
      <c r="M3359" t="s">
        <v>3078</v>
      </c>
    </row>
    <row r="3360" spans="13:13" ht="15.75" x14ac:dyDescent="0.25">
      <c r="M3360" t="s">
        <v>3079</v>
      </c>
    </row>
    <row r="3361" spans="13:13" ht="15.75" x14ac:dyDescent="0.25">
      <c r="M3361" t="s">
        <v>3080</v>
      </c>
    </row>
    <row r="3362" spans="13:13" ht="15.75" x14ac:dyDescent="0.25">
      <c r="M3362" t="s">
        <v>3081</v>
      </c>
    </row>
    <row r="3363" spans="13:13" ht="15.75" x14ac:dyDescent="0.25">
      <c r="M3363" t="s">
        <v>3082</v>
      </c>
    </row>
    <row r="3364" spans="13:13" ht="15.75" x14ac:dyDescent="0.25">
      <c r="M3364" t="s">
        <v>3083</v>
      </c>
    </row>
    <row r="3365" spans="13:13" ht="15.75" x14ac:dyDescent="0.25">
      <c r="M3365" t="s">
        <v>3084</v>
      </c>
    </row>
    <row r="3366" spans="13:13" ht="15.75" x14ac:dyDescent="0.25">
      <c r="M3366" t="s">
        <v>3085</v>
      </c>
    </row>
    <row r="3367" spans="13:13" ht="15.75" x14ac:dyDescent="0.25">
      <c r="M3367" t="s">
        <v>3086</v>
      </c>
    </row>
    <row r="3368" spans="13:13" ht="15.75" x14ac:dyDescent="0.25">
      <c r="M3368" t="s">
        <v>3087</v>
      </c>
    </row>
    <row r="3369" spans="13:13" ht="15.75" x14ac:dyDescent="0.25">
      <c r="M3369" t="s">
        <v>3088</v>
      </c>
    </row>
    <row r="3370" spans="13:13" ht="15.75" x14ac:dyDescent="0.25">
      <c r="M3370" t="s">
        <v>3089</v>
      </c>
    </row>
    <row r="3371" spans="13:13" ht="15.75" x14ac:dyDescent="0.25">
      <c r="M3371" t="s">
        <v>3090</v>
      </c>
    </row>
    <row r="3372" spans="13:13" ht="15.75" x14ac:dyDescent="0.25">
      <c r="M3372" t="s">
        <v>3091</v>
      </c>
    </row>
    <row r="3373" spans="13:13" ht="15.75" x14ac:dyDescent="0.25">
      <c r="M3373" t="s">
        <v>3092</v>
      </c>
    </row>
    <row r="3374" spans="13:13" ht="15.75" x14ac:dyDescent="0.25">
      <c r="M3374" t="s">
        <v>3093</v>
      </c>
    </row>
    <row r="3375" spans="13:13" ht="15.75" x14ac:dyDescent="0.25">
      <c r="M3375" t="s">
        <v>3094</v>
      </c>
    </row>
    <row r="3376" spans="13:13" ht="15.75" x14ac:dyDescent="0.25">
      <c r="M3376" t="s">
        <v>3095</v>
      </c>
    </row>
    <row r="3377" spans="13:13" ht="15.75" x14ac:dyDescent="0.25">
      <c r="M3377" t="s">
        <v>3096</v>
      </c>
    </row>
    <row r="3378" spans="13:13" ht="15.75" x14ac:dyDescent="0.25">
      <c r="M3378" t="s">
        <v>3097</v>
      </c>
    </row>
    <row r="3379" spans="13:13" ht="15.75" x14ac:dyDescent="0.25">
      <c r="M3379" t="s">
        <v>3098</v>
      </c>
    </row>
    <row r="3380" spans="13:13" ht="15.75" x14ac:dyDescent="0.25">
      <c r="M3380" t="s">
        <v>3099</v>
      </c>
    </row>
    <row r="3381" spans="13:13" ht="15.75" x14ac:dyDescent="0.25">
      <c r="M3381" t="s">
        <v>3100</v>
      </c>
    </row>
    <row r="3382" spans="13:13" ht="15.75" x14ac:dyDescent="0.25">
      <c r="M3382" t="s">
        <v>3101</v>
      </c>
    </row>
    <row r="3383" spans="13:13" ht="15.75" x14ac:dyDescent="0.25">
      <c r="M3383" t="s">
        <v>3102</v>
      </c>
    </row>
    <row r="3384" spans="13:13" ht="15.75" x14ac:dyDescent="0.25">
      <c r="M3384" t="s">
        <v>3103</v>
      </c>
    </row>
    <row r="3385" spans="13:13" ht="15.75" x14ac:dyDescent="0.25">
      <c r="M3385" t="s">
        <v>3104</v>
      </c>
    </row>
    <row r="3386" spans="13:13" ht="15.75" x14ac:dyDescent="0.25">
      <c r="M3386" t="s">
        <v>3105</v>
      </c>
    </row>
    <row r="3387" spans="13:13" ht="15.75" x14ac:dyDescent="0.25">
      <c r="M3387" t="s">
        <v>3106</v>
      </c>
    </row>
    <row r="3388" spans="13:13" ht="15.75" x14ac:dyDescent="0.25">
      <c r="M3388" t="s">
        <v>3107</v>
      </c>
    </row>
    <row r="3389" spans="13:13" ht="15.75" x14ac:dyDescent="0.25">
      <c r="M3389" t="s">
        <v>3108</v>
      </c>
    </row>
    <row r="3390" spans="13:13" ht="15.75" x14ac:dyDescent="0.25">
      <c r="M3390" t="s">
        <v>3109</v>
      </c>
    </row>
    <row r="3391" spans="13:13" ht="15.75" x14ac:dyDescent="0.25">
      <c r="M3391" t="s">
        <v>3110</v>
      </c>
    </row>
    <row r="3392" spans="13:13" ht="15.75" x14ac:dyDescent="0.25">
      <c r="M3392" t="s">
        <v>3111</v>
      </c>
    </row>
    <row r="3393" spans="13:13" ht="15.75" x14ac:dyDescent="0.25">
      <c r="M3393" t="s">
        <v>3112</v>
      </c>
    </row>
    <row r="3394" spans="13:13" ht="15.75" x14ac:dyDescent="0.25">
      <c r="M3394" t="s">
        <v>3113</v>
      </c>
    </row>
    <row r="3395" spans="13:13" ht="15.75" x14ac:dyDescent="0.25">
      <c r="M3395" t="s">
        <v>3114</v>
      </c>
    </row>
    <row r="3396" spans="13:13" ht="15.75" x14ac:dyDescent="0.25">
      <c r="M3396" t="s">
        <v>3115</v>
      </c>
    </row>
    <row r="3397" spans="13:13" ht="15.75" x14ac:dyDescent="0.25">
      <c r="M3397" t="s">
        <v>3116</v>
      </c>
    </row>
    <row r="3398" spans="13:13" ht="15.75" x14ac:dyDescent="0.25">
      <c r="M3398" t="s">
        <v>3117</v>
      </c>
    </row>
    <row r="3399" spans="13:13" ht="15.75" x14ac:dyDescent="0.25">
      <c r="M3399" t="s">
        <v>3118</v>
      </c>
    </row>
    <row r="3400" spans="13:13" ht="15.75" x14ac:dyDescent="0.25">
      <c r="M3400" t="s">
        <v>3119</v>
      </c>
    </row>
    <row r="3401" spans="13:13" ht="15.75" x14ac:dyDescent="0.25">
      <c r="M3401" t="s">
        <v>3120</v>
      </c>
    </row>
    <row r="3402" spans="13:13" ht="15.75" x14ac:dyDescent="0.25">
      <c r="M3402" t="s">
        <v>3121</v>
      </c>
    </row>
    <row r="3403" spans="13:13" ht="15.75" x14ac:dyDescent="0.25">
      <c r="M3403" t="s">
        <v>3122</v>
      </c>
    </row>
    <row r="3404" spans="13:13" ht="15.75" x14ac:dyDescent="0.25">
      <c r="M3404" t="s">
        <v>3123</v>
      </c>
    </row>
    <row r="3405" spans="13:13" ht="15.75" x14ac:dyDescent="0.25">
      <c r="M3405" t="s">
        <v>3124</v>
      </c>
    </row>
    <row r="3406" spans="13:13" ht="15.75" x14ac:dyDescent="0.25">
      <c r="M3406" t="s">
        <v>3125</v>
      </c>
    </row>
    <row r="3407" spans="13:13" ht="15.75" x14ac:dyDescent="0.25">
      <c r="M3407" t="s">
        <v>3126</v>
      </c>
    </row>
    <row r="3408" spans="13:13" ht="15.75" x14ac:dyDescent="0.25">
      <c r="M3408" t="s">
        <v>3127</v>
      </c>
    </row>
    <row r="3409" spans="13:13" ht="15.75" x14ac:dyDescent="0.25">
      <c r="M3409" t="s">
        <v>3128</v>
      </c>
    </row>
    <row r="3410" spans="13:13" ht="15.75" x14ac:dyDescent="0.25">
      <c r="M3410" t="s">
        <v>3129</v>
      </c>
    </row>
    <row r="3411" spans="13:13" ht="15.75" x14ac:dyDescent="0.25">
      <c r="M3411" t="s">
        <v>3130</v>
      </c>
    </row>
    <row r="3412" spans="13:13" ht="15.75" x14ac:dyDescent="0.25">
      <c r="M3412" t="s">
        <v>3131</v>
      </c>
    </row>
    <row r="3413" spans="13:13" ht="15.75" x14ac:dyDescent="0.25">
      <c r="M3413" t="s">
        <v>3132</v>
      </c>
    </row>
    <row r="3414" spans="13:13" ht="15.75" x14ac:dyDescent="0.25">
      <c r="M3414" t="s">
        <v>3133</v>
      </c>
    </row>
    <row r="3415" spans="13:13" ht="15.75" x14ac:dyDescent="0.25">
      <c r="M3415" t="s">
        <v>3134</v>
      </c>
    </row>
    <row r="3416" spans="13:13" ht="15.75" x14ac:dyDescent="0.25">
      <c r="M3416" t="s">
        <v>3135</v>
      </c>
    </row>
    <row r="3417" spans="13:13" ht="15.75" x14ac:dyDescent="0.25">
      <c r="M3417" t="s">
        <v>3136</v>
      </c>
    </row>
    <row r="3418" spans="13:13" ht="15.75" x14ac:dyDescent="0.25">
      <c r="M3418" t="s">
        <v>3137</v>
      </c>
    </row>
    <row r="3419" spans="13:13" ht="15.75" x14ac:dyDescent="0.25">
      <c r="M3419" t="s">
        <v>3138</v>
      </c>
    </row>
    <row r="3420" spans="13:13" ht="15.75" x14ac:dyDescent="0.25">
      <c r="M3420" t="s">
        <v>3139</v>
      </c>
    </row>
    <row r="3421" spans="13:13" ht="15.75" x14ac:dyDescent="0.25">
      <c r="M3421" t="s">
        <v>3140</v>
      </c>
    </row>
    <row r="3422" spans="13:13" ht="15.75" x14ac:dyDescent="0.25">
      <c r="M3422" t="s">
        <v>3141</v>
      </c>
    </row>
    <row r="3423" spans="13:13" ht="15.75" x14ac:dyDescent="0.25">
      <c r="M3423" t="s">
        <v>3142</v>
      </c>
    </row>
    <row r="3424" spans="13:13" ht="15.75" x14ac:dyDescent="0.25">
      <c r="M3424" t="s">
        <v>3143</v>
      </c>
    </row>
    <row r="3425" spans="13:13" ht="15.75" x14ac:dyDescent="0.25">
      <c r="M3425" t="s">
        <v>3144</v>
      </c>
    </row>
    <row r="3426" spans="13:13" ht="15.75" x14ac:dyDescent="0.25">
      <c r="M3426" t="s">
        <v>3145</v>
      </c>
    </row>
    <row r="3427" spans="13:13" ht="15.75" x14ac:dyDescent="0.25">
      <c r="M3427" t="s">
        <v>3146</v>
      </c>
    </row>
    <row r="3428" spans="13:13" ht="15.75" x14ac:dyDescent="0.25">
      <c r="M3428" t="s">
        <v>3147</v>
      </c>
    </row>
    <row r="3429" spans="13:13" ht="15.75" x14ac:dyDescent="0.25">
      <c r="M3429" t="s">
        <v>3148</v>
      </c>
    </row>
    <row r="3430" spans="13:13" ht="15.75" x14ac:dyDescent="0.25">
      <c r="M3430" t="s">
        <v>3149</v>
      </c>
    </row>
    <row r="3431" spans="13:13" ht="15.75" x14ac:dyDescent="0.25">
      <c r="M3431" t="s">
        <v>3150</v>
      </c>
    </row>
    <row r="3432" spans="13:13" ht="15.75" x14ac:dyDescent="0.25">
      <c r="M3432" t="s">
        <v>3151</v>
      </c>
    </row>
    <row r="3433" spans="13:13" ht="15.75" x14ac:dyDescent="0.25">
      <c r="M3433" t="s">
        <v>3152</v>
      </c>
    </row>
    <row r="3434" spans="13:13" ht="15.75" x14ac:dyDescent="0.25">
      <c r="M3434" t="s">
        <v>3153</v>
      </c>
    </row>
    <row r="3435" spans="13:13" ht="15.75" x14ac:dyDescent="0.25">
      <c r="M3435" t="s">
        <v>3154</v>
      </c>
    </row>
    <row r="3436" spans="13:13" ht="15.75" x14ac:dyDescent="0.25">
      <c r="M3436" t="s">
        <v>3155</v>
      </c>
    </row>
    <row r="3437" spans="13:13" ht="15.75" x14ac:dyDescent="0.25">
      <c r="M3437" t="s">
        <v>3156</v>
      </c>
    </row>
    <row r="3438" spans="13:13" ht="15.75" x14ac:dyDescent="0.25">
      <c r="M3438" t="s">
        <v>3157</v>
      </c>
    </row>
    <row r="3439" spans="13:13" ht="15.75" x14ac:dyDescent="0.25">
      <c r="M3439" t="s">
        <v>3158</v>
      </c>
    </row>
    <row r="3440" spans="13:13" ht="15.75" x14ac:dyDescent="0.25">
      <c r="M3440" t="s">
        <v>3159</v>
      </c>
    </row>
    <row r="3441" spans="13:13" ht="15.75" x14ac:dyDescent="0.25">
      <c r="M3441" t="s">
        <v>3160</v>
      </c>
    </row>
    <row r="3442" spans="13:13" ht="15.75" x14ac:dyDescent="0.25">
      <c r="M3442" t="s">
        <v>3161</v>
      </c>
    </row>
    <row r="3443" spans="13:13" ht="15.75" x14ac:dyDescent="0.25">
      <c r="M3443" t="s">
        <v>3162</v>
      </c>
    </row>
    <row r="3444" spans="13:13" ht="15.75" x14ac:dyDescent="0.25">
      <c r="M3444" t="s">
        <v>3163</v>
      </c>
    </row>
    <row r="3445" spans="13:13" ht="15.75" x14ac:dyDescent="0.25">
      <c r="M3445" t="s">
        <v>3164</v>
      </c>
    </row>
    <row r="3446" spans="13:13" ht="15.75" x14ac:dyDescent="0.25">
      <c r="M3446" t="s">
        <v>3165</v>
      </c>
    </row>
    <row r="3447" spans="13:13" ht="15.75" x14ac:dyDescent="0.25">
      <c r="M3447" t="s">
        <v>3166</v>
      </c>
    </row>
    <row r="3448" spans="13:13" ht="15.75" x14ac:dyDescent="0.25">
      <c r="M3448" t="s">
        <v>3167</v>
      </c>
    </row>
    <row r="3449" spans="13:13" ht="15.75" x14ac:dyDescent="0.25">
      <c r="M3449" t="s">
        <v>3168</v>
      </c>
    </row>
    <row r="3450" spans="13:13" ht="15.75" x14ac:dyDescent="0.25">
      <c r="M3450" t="s">
        <v>3169</v>
      </c>
    </row>
    <row r="3451" spans="13:13" ht="15.75" x14ac:dyDescent="0.25">
      <c r="M3451" t="s">
        <v>3170</v>
      </c>
    </row>
    <row r="3452" spans="13:13" ht="15.75" x14ac:dyDescent="0.25">
      <c r="M3452" t="s">
        <v>3171</v>
      </c>
    </row>
    <row r="3453" spans="13:13" ht="15.75" x14ac:dyDescent="0.25">
      <c r="M3453" t="s">
        <v>3172</v>
      </c>
    </row>
    <row r="3454" spans="13:13" ht="15.75" x14ac:dyDescent="0.25">
      <c r="M3454" t="s">
        <v>3173</v>
      </c>
    </row>
    <row r="3455" spans="13:13" ht="15.75" x14ac:dyDescent="0.25">
      <c r="M3455" t="s">
        <v>3174</v>
      </c>
    </row>
    <row r="3456" spans="13:13" ht="15.75" x14ac:dyDescent="0.25">
      <c r="M3456" t="s">
        <v>3175</v>
      </c>
    </row>
    <row r="3457" spans="13:13" ht="15.75" x14ac:dyDescent="0.25">
      <c r="M3457" t="s">
        <v>3176</v>
      </c>
    </row>
    <row r="3458" spans="13:13" ht="15.75" x14ac:dyDescent="0.25">
      <c r="M3458" t="s">
        <v>3177</v>
      </c>
    </row>
    <row r="3459" spans="13:13" ht="15.75" x14ac:dyDescent="0.25">
      <c r="M3459" t="s">
        <v>3178</v>
      </c>
    </row>
    <row r="3460" spans="13:13" ht="15.75" x14ac:dyDescent="0.25">
      <c r="M3460" t="s">
        <v>3179</v>
      </c>
    </row>
    <row r="3461" spans="13:13" ht="15.75" x14ac:dyDescent="0.25">
      <c r="M3461" t="s">
        <v>3180</v>
      </c>
    </row>
    <row r="3462" spans="13:13" ht="15.75" x14ac:dyDescent="0.25">
      <c r="M3462" t="s">
        <v>3181</v>
      </c>
    </row>
    <row r="3463" spans="13:13" ht="15.75" x14ac:dyDescent="0.25">
      <c r="M3463" t="s">
        <v>3182</v>
      </c>
    </row>
    <row r="3464" spans="13:13" ht="15.75" x14ac:dyDescent="0.25">
      <c r="M3464" t="s">
        <v>3183</v>
      </c>
    </row>
    <row r="3465" spans="13:13" ht="15.75" x14ac:dyDescent="0.25">
      <c r="M3465" t="s">
        <v>3184</v>
      </c>
    </row>
    <row r="3466" spans="13:13" ht="15.75" x14ac:dyDescent="0.25">
      <c r="M3466" t="s">
        <v>3185</v>
      </c>
    </row>
    <row r="3467" spans="13:13" ht="15.75" x14ac:dyDescent="0.25">
      <c r="M3467" t="s">
        <v>3186</v>
      </c>
    </row>
    <row r="3468" spans="13:13" ht="15.75" x14ac:dyDescent="0.25">
      <c r="M3468" t="s">
        <v>3187</v>
      </c>
    </row>
    <row r="3469" spans="13:13" ht="15.75" x14ac:dyDescent="0.25">
      <c r="M3469" t="s">
        <v>3188</v>
      </c>
    </row>
    <row r="3470" spans="13:13" ht="15.75" x14ac:dyDescent="0.25">
      <c r="M3470" t="s">
        <v>3189</v>
      </c>
    </row>
    <row r="3471" spans="13:13" ht="15.75" x14ac:dyDescent="0.25">
      <c r="M3471" t="s">
        <v>3190</v>
      </c>
    </row>
    <row r="3472" spans="13:13" ht="15.75" x14ac:dyDescent="0.25">
      <c r="M3472" t="s">
        <v>3191</v>
      </c>
    </row>
    <row r="3473" spans="13:13" ht="15.75" x14ac:dyDescent="0.25">
      <c r="M3473" t="s">
        <v>3192</v>
      </c>
    </row>
    <row r="3474" spans="13:13" ht="15.75" x14ac:dyDescent="0.25">
      <c r="M3474" t="s">
        <v>3193</v>
      </c>
    </row>
    <row r="3475" spans="13:13" ht="15.75" x14ac:dyDescent="0.25">
      <c r="M3475" t="s">
        <v>3194</v>
      </c>
    </row>
    <row r="3476" spans="13:13" ht="15.75" x14ac:dyDescent="0.25">
      <c r="M3476" t="s">
        <v>3195</v>
      </c>
    </row>
    <row r="3477" spans="13:13" ht="15.75" x14ac:dyDescent="0.25">
      <c r="M3477" t="s">
        <v>3196</v>
      </c>
    </row>
    <row r="3478" spans="13:13" ht="15.75" x14ac:dyDescent="0.25">
      <c r="M3478" t="s">
        <v>3197</v>
      </c>
    </row>
    <row r="3479" spans="13:13" ht="15.75" x14ac:dyDescent="0.25">
      <c r="M3479" t="s">
        <v>3198</v>
      </c>
    </row>
    <row r="3480" spans="13:13" ht="15.75" x14ac:dyDescent="0.25">
      <c r="M3480" t="s">
        <v>2453</v>
      </c>
    </row>
    <row r="3481" spans="13:13" ht="15.75" x14ac:dyDescent="0.25">
      <c r="M3481" t="s">
        <v>3199</v>
      </c>
    </row>
    <row r="3482" spans="13:13" ht="15.75" x14ac:dyDescent="0.25">
      <c r="M3482" t="s">
        <v>3200</v>
      </c>
    </row>
    <row r="3483" spans="13:13" ht="15.75" x14ac:dyDescent="0.25">
      <c r="M3483" t="s">
        <v>3201</v>
      </c>
    </row>
    <row r="3484" spans="13:13" ht="15.75" x14ac:dyDescent="0.25">
      <c r="M3484" t="s">
        <v>3202</v>
      </c>
    </row>
    <row r="3485" spans="13:13" ht="15.75" x14ac:dyDescent="0.25">
      <c r="M3485" t="s">
        <v>1660</v>
      </c>
    </row>
    <row r="3486" spans="13:13" ht="15.75" x14ac:dyDescent="0.25">
      <c r="M3486" t="s">
        <v>3203</v>
      </c>
    </row>
    <row r="3487" spans="13:13" ht="15.75" x14ac:dyDescent="0.25">
      <c r="M3487" t="s">
        <v>3204</v>
      </c>
    </row>
    <row r="3488" spans="13:13" ht="15.75" x14ac:dyDescent="0.25">
      <c r="M3488" t="s">
        <v>3205</v>
      </c>
    </row>
    <row r="3489" spans="13:13" ht="15.75" x14ac:dyDescent="0.25">
      <c r="M3489" t="s">
        <v>3206</v>
      </c>
    </row>
    <row r="3490" spans="13:13" ht="15.75" x14ac:dyDescent="0.25">
      <c r="M3490" t="s">
        <v>3207</v>
      </c>
    </row>
    <row r="3491" spans="13:13" ht="15.75" x14ac:dyDescent="0.25">
      <c r="M3491" t="s">
        <v>3208</v>
      </c>
    </row>
    <row r="3492" spans="13:13" ht="15.75" x14ac:dyDescent="0.25">
      <c r="M3492" t="s">
        <v>3209</v>
      </c>
    </row>
    <row r="3493" spans="13:13" ht="15.75" x14ac:dyDescent="0.25">
      <c r="M3493" t="s">
        <v>3210</v>
      </c>
    </row>
    <row r="3494" spans="13:13" ht="15.75" x14ac:dyDescent="0.25">
      <c r="M3494" t="s">
        <v>3211</v>
      </c>
    </row>
    <row r="3495" spans="13:13" ht="15.75" x14ac:dyDescent="0.25">
      <c r="M3495" t="s">
        <v>3212</v>
      </c>
    </row>
    <row r="3496" spans="13:13" ht="15.75" x14ac:dyDescent="0.25">
      <c r="M3496" t="s">
        <v>3213</v>
      </c>
    </row>
    <row r="3497" spans="13:13" ht="15.75" x14ac:dyDescent="0.25">
      <c r="M3497" t="s">
        <v>3214</v>
      </c>
    </row>
    <row r="3498" spans="13:13" ht="15.75" x14ac:dyDescent="0.25">
      <c r="M3498" t="s">
        <v>3206</v>
      </c>
    </row>
    <row r="3499" spans="13:13" ht="15.75" x14ac:dyDescent="0.25">
      <c r="M3499" t="s">
        <v>3215</v>
      </c>
    </row>
    <row r="3500" spans="13:13" ht="15.75" x14ac:dyDescent="0.25">
      <c r="M3500" t="s">
        <v>3216</v>
      </c>
    </row>
    <row r="3501" spans="13:13" ht="15.75" x14ac:dyDescent="0.25">
      <c r="M3501" t="s">
        <v>3217</v>
      </c>
    </row>
    <row r="3502" spans="13:13" ht="15.75" x14ac:dyDescent="0.25">
      <c r="M3502" t="s">
        <v>3218</v>
      </c>
    </row>
    <row r="3503" spans="13:13" ht="15.75" x14ac:dyDescent="0.25">
      <c r="M3503" t="s">
        <v>3219</v>
      </c>
    </row>
    <row r="3504" spans="13:13" ht="15.75" x14ac:dyDescent="0.25">
      <c r="M3504" t="s">
        <v>3220</v>
      </c>
    </row>
    <row r="3505" spans="13:13" ht="15.75" x14ac:dyDescent="0.25">
      <c r="M3505" t="s">
        <v>3221</v>
      </c>
    </row>
    <row r="3506" spans="13:13" ht="15.75" x14ac:dyDescent="0.25">
      <c r="M3506" t="s">
        <v>3222</v>
      </c>
    </row>
    <row r="3507" spans="13:13" ht="15.75" x14ac:dyDescent="0.25">
      <c r="M3507" t="s">
        <v>3223</v>
      </c>
    </row>
    <row r="3508" spans="13:13" ht="15.75" x14ac:dyDescent="0.25">
      <c r="M3508" t="s">
        <v>3224</v>
      </c>
    </row>
    <row r="3509" spans="13:13" ht="15.75" x14ac:dyDescent="0.25">
      <c r="M3509" t="s">
        <v>3225</v>
      </c>
    </row>
    <row r="3510" spans="13:13" ht="15.75" x14ac:dyDescent="0.25">
      <c r="M3510" t="s">
        <v>3226</v>
      </c>
    </row>
    <row r="3511" spans="13:13" ht="15.75" x14ac:dyDescent="0.25">
      <c r="M3511" t="s">
        <v>3227</v>
      </c>
    </row>
    <row r="3512" spans="13:13" ht="15.75" x14ac:dyDescent="0.25">
      <c r="M3512" t="s">
        <v>270</v>
      </c>
    </row>
    <row r="3513" spans="13:13" ht="15.75" x14ac:dyDescent="0.25">
      <c r="M3513" t="s">
        <v>3228</v>
      </c>
    </row>
    <row r="3514" spans="13:13" ht="15.75" x14ac:dyDescent="0.25">
      <c r="M3514" t="s">
        <v>3229</v>
      </c>
    </row>
    <row r="3515" spans="13:13" ht="15.75" x14ac:dyDescent="0.25">
      <c r="M3515" t="s">
        <v>3230</v>
      </c>
    </row>
    <row r="3516" spans="13:13" ht="15.75" x14ac:dyDescent="0.25">
      <c r="M3516" t="s">
        <v>3231</v>
      </c>
    </row>
    <row r="3517" spans="13:13" ht="15.75" x14ac:dyDescent="0.25">
      <c r="M3517" t="s">
        <v>3232</v>
      </c>
    </row>
    <row r="3518" spans="13:13" ht="15.75" x14ac:dyDescent="0.25">
      <c r="M3518" t="s">
        <v>3233</v>
      </c>
    </row>
    <row r="3519" spans="13:13" ht="15.75" x14ac:dyDescent="0.25">
      <c r="M3519" t="s">
        <v>3234</v>
      </c>
    </row>
    <row r="3520" spans="13:13" ht="15.75" x14ac:dyDescent="0.25">
      <c r="M3520" t="s">
        <v>3235</v>
      </c>
    </row>
    <row r="3521" spans="13:13" ht="15.75" x14ac:dyDescent="0.25">
      <c r="M3521" t="s">
        <v>3236</v>
      </c>
    </row>
    <row r="3522" spans="13:13" ht="15.75" x14ac:dyDescent="0.25">
      <c r="M3522" t="s">
        <v>3237</v>
      </c>
    </row>
    <row r="3523" spans="13:13" ht="15.75" x14ac:dyDescent="0.25">
      <c r="M3523" t="s">
        <v>3238</v>
      </c>
    </row>
    <row r="3524" spans="13:13" ht="15.75" x14ac:dyDescent="0.25">
      <c r="M3524" t="s">
        <v>3238</v>
      </c>
    </row>
    <row r="3525" spans="13:13" ht="15.75" x14ac:dyDescent="0.25">
      <c r="M3525" t="s">
        <v>3225</v>
      </c>
    </row>
    <row r="3526" spans="13:13" ht="15.75" x14ac:dyDescent="0.25">
      <c r="M3526" t="s">
        <v>3239</v>
      </c>
    </row>
    <row r="3527" spans="13:13" ht="15.75" x14ac:dyDescent="0.25">
      <c r="M3527" t="s">
        <v>84</v>
      </c>
    </row>
    <row r="3528" spans="13:13" ht="15.75" x14ac:dyDescent="0.25">
      <c r="M3528" t="s">
        <v>3240</v>
      </c>
    </row>
    <row r="3529" spans="13:13" ht="15.75" x14ac:dyDescent="0.25">
      <c r="M3529" t="s">
        <v>3241</v>
      </c>
    </row>
    <row r="3530" spans="13:13" ht="15.75" x14ac:dyDescent="0.25">
      <c r="M3530" t="s">
        <v>3242</v>
      </c>
    </row>
    <row r="3531" spans="13:13" ht="15.75" x14ac:dyDescent="0.25">
      <c r="M3531" t="s">
        <v>3243</v>
      </c>
    </row>
    <row r="3532" spans="13:13" ht="15.75" x14ac:dyDescent="0.25">
      <c r="M3532" t="s">
        <v>3244</v>
      </c>
    </row>
    <row r="3533" spans="13:13" ht="15.75" x14ac:dyDescent="0.25">
      <c r="M3533" t="s">
        <v>3245</v>
      </c>
    </row>
    <row r="3534" spans="13:13" ht="15.75" x14ac:dyDescent="0.25">
      <c r="M3534" t="s">
        <v>3246</v>
      </c>
    </row>
    <row r="3535" spans="13:13" ht="15.75" x14ac:dyDescent="0.25">
      <c r="M3535" t="s">
        <v>934</v>
      </c>
    </row>
    <row r="3536" spans="13:13" ht="15.75" x14ac:dyDescent="0.25">
      <c r="M3536" t="s">
        <v>3247</v>
      </c>
    </row>
    <row r="3537" spans="13:13" ht="15.75" x14ac:dyDescent="0.25">
      <c r="M3537" t="s">
        <v>3248</v>
      </c>
    </row>
    <row r="3538" spans="13:13" ht="15.75" x14ac:dyDescent="0.25">
      <c r="M3538" t="s">
        <v>3249</v>
      </c>
    </row>
    <row r="3539" spans="13:13" ht="15.75" x14ac:dyDescent="0.25">
      <c r="M3539" t="s">
        <v>3250</v>
      </c>
    </row>
    <row r="3540" spans="13:13" ht="15.75" x14ac:dyDescent="0.25">
      <c r="M3540" t="s">
        <v>3251</v>
      </c>
    </row>
    <row r="3541" spans="13:13" ht="15.75" x14ac:dyDescent="0.25">
      <c r="M3541" t="s">
        <v>3252</v>
      </c>
    </row>
    <row r="3542" spans="13:13" ht="15.75" x14ac:dyDescent="0.25">
      <c r="M3542" t="s">
        <v>3253</v>
      </c>
    </row>
    <row r="3543" spans="13:13" ht="15.75" x14ac:dyDescent="0.25">
      <c r="M3543" t="s">
        <v>3254</v>
      </c>
    </row>
    <row r="3544" spans="13:13" ht="15.75" x14ac:dyDescent="0.25">
      <c r="M3544" t="s">
        <v>3255</v>
      </c>
    </row>
    <row r="3545" spans="13:13" ht="15.75" x14ac:dyDescent="0.25">
      <c r="M3545" t="s">
        <v>3256</v>
      </c>
    </row>
    <row r="3546" spans="13:13" ht="15.75" x14ac:dyDescent="0.25">
      <c r="M3546" t="s">
        <v>3257</v>
      </c>
    </row>
    <row r="3547" spans="13:13" ht="15.75" x14ac:dyDescent="0.25">
      <c r="M3547" t="s">
        <v>3258</v>
      </c>
    </row>
    <row r="3548" spans="13:13" ht="15.75" x14ac:dyDescent="0.25">
      <c r="M3548" t="s">
        <v>103</v>
      </c>
    </row>
    <row r="3549" spans="13:13" ht="15.75" x14ac:dyDescent="0.25">
      <c r="M3549" t="s">
        <v>3259</v>
      </c>
    </row>
    <row r="3550" spans="13:13" ht="15.75" x14ac:dyDescent="0.25">
      <c r="M3550" t="s">
        <v>3260</v>
      </c>
    </row>
    <row r="3551" spans="13:13" ht="15.75" x14ac:dyDescent="0.25">
      <c r="M3551" t="s">
        <v>3261</v>
      </c>
    </row>
    <row r="3552" spans="13:13" ht="15.75" x14ac:dyDescent="0.25">
      <c r="M3552" t="s">
        <v>3262</v>
      </c>
    </row>
    <row r="3553" spans="13:13" ht="15.75" x14ac:dyDescent="0.25">
      <c r="M3553" t="s">
        <v>3263</v>
      </c>
    </row>
    <row r="3554" spans="13:13" ht="15.75" x14ac:dyDescent="0.25">
      <c r="M3554" t="s">
        <v>3264</v>
      </c>
    </row>
    <row r="3555" spans="13:13" ht="15.75" x14ac:dyDescent="0.25">
      <c r="M3555" t="s">
        <v>3265</v>
      </c>
    </row>
    <row r="3556" spans="13:13" ht="15.75" x14ac:dyDescent="0.25">
      <c r="M3556" t="s">
        <v>3266</v>
      </c>
    </row>
    <row r="3557" spans="13:13" ht="15.75" x14ac:dyDescent="0.25">
      <c r="M3557" t="s">
        <v>3267</v>
      </c>
    </row>
    <row r="3558" spans="13:13" ht="15.75" x14ac:dyDescent="0.25">
      <c r="M3558" t="s">
        <v>3267</v>
      </c>
    </row>
    <row r="3559" spans="13:13" ht="15.75" x14ac:dyDescent="0.25">
      <c r="M3559" t="s">
        <v>104</v>
      </c>
    </row>
    <row r="3560" spans="13:13" ht="15.75" x14ac:dyDescent="0.25">
      <c r="M3560" t="s">
        <v>3268</v>
      </c>
    </row>
    <row r="3561" spans="13:13" ht="15.75" x14ac:dyDescent="0.25">
      <c r="M3561" t="s">
        <v>3269</v>
      </c>
    </row>
    <row r="3562" spans="13:13" ht="15.75" x14ac:dyDescent="0.25">
      <c r="M3562" t="s">
        <v>113</v>
      </c>
    </row>
    <row r="3563" spans="13:13" ht="15.75" x14ac:dyDescent="0.25">
      <c r="M3563" t="s">
        <v>3270</v>
      </c>
    </row>
    <row r="3564" spans="13:13" ht="15.75" x14ac:dyDescent="0.25">
      <c r="M3564" t="s">
        <v>3271</v>
      </c>
    </row>
    <row r="3565" spans="13:13" ht="15.75" x14ac:dyDescent="0.25">
      <c r="M3565" t="s">
        <v>3272</v>
      </c>
    </row>
    <row r="3566" spans="13:13" ht="15.75" x14ac:dyDescent="0.25">
      <c r="M3566" t="s">
        <v>3273</v>
      </c>
    </row>
    <row r="3567" spans="13:13" ht="15.75" x14ac:dyDescent="0.25">
      <c r="M3567" t="s">
        <v>3274</v>
      </c>
    </row>
    <row r="3568" spans="13:13" ht="15.75" x14ac:dyDescent="0.25">
      <c r="M3568" t="s">
        <v>3275</v>
      </c>
    </row>
    <row r="3569" spans="13:13" ht="15.75" x14ac:dyDescent="0.25">
      <c r="M3569" t="s">
        <v>3276</v>
      </c>
    </row>
    <row r="3570" spans="13:13" ht="15.75" x14ac:dyDescent="0.25">
      <c r="M3570" t="s">
        <v>3277</v>
      </c>
    </row>
    <row r="3571" spans="13:13" ht="15.75" x14ac:dyDescent="0.25">
      <c r="M3571" t="s">
        <v>3278</v>
      </c>
    </row>
    <row r="3572" spans="13:13" ht="15.75" x14ac:dyDescent="0.25">
      <c r="M3572" t="s">
        <v>3279</v>
      </c>
    </row>
    <row r="3573" spans="13:13" ht="15.75" x14ac:dyDescent="0.25">
      <c r="M3573" t="s">
        <v>3280</v>
      </c>
    </row>
    <row r="3574" spans="13:13" ht="15.75" x14ac:dyDescent="0.25">
      <c r="M3574" t="s">
        <v>3281</v>
      </c>
    </row>
    <row r="3575" spans="13:13" ht="15.75" x14ac:dyDescent="0.25">
      <c r="M3575" t="s">
        <v>3282</v>
      </c>
    </row>
    <row r="3576" spans="13:13" ht="15.75" x14ac:dyDescent="0.25">
      <c r="M3576" t="s">
        <v>3283</v>
      </c>
    </row>
    <row r="3577" spans="13:13" ht="15.75" x14ac:dyDescent="0.25">
      <c r="M3577" t="s">
        <v>3284</v>
      </c>
    </row>
    <row r="3578" spans="13:13" ht="15.75" x14ac:dyDescent="0.25">
      <c r="M3578" t="s">
        <v>1826</v>
      </c>
    </row>
    <row r="3579" spans="13:13" ht="15.75" x14ac:dyDescent="0.25">
      <c r="M3579" t="s">
        <v>3285</v>
      </c>
    </row>
    <row r="3580" spans="13:13" ht="15.75" x14ac:dyDescent="0.25">
      <c r="M3580" t="s">
        <v>3286</v>
      </c>
    </row>
    <row r="3581" spans="13:13" ht="15.75" x14ac:dyDescent="0.25">
      <c r="M3581" t="s">
        <v>3287</v>
      </c>
    </row>
    <row r="3582" spans="13:13" ht="15.75" x14ac:dyDescent="0.25">
      <c r="M3582" t="s">
        <v>3288</v>
      </c>
    </row>
    <row r="3583" spans="13:13" ht="15.75" x14ac:dyDescent="0.25">
      <c r="M3583" t="s">
        <v>3289</v>
      </c>
    </row>
    <row r="3584" spans="13:13" ht="15.75" x14ac:dyDescent="0.25">
      <c r="M3584" t="s">
        <v>3290</v>
      </c>
    </row>
    <row r="3585" spans="13:13" ht="15.75" x14ac:dyDescent="0.25">
      <c r="M3585" t="s">
        <v>3291</v>
      </c>
    </row>
    <row r="3586" spans="13:13" ht="15.75" x14ac:dyDescent="0.25">
      <c r="M3586" t="s">
        <v>3292</v>
      </c>
    </row>
    <row r="3587" spans="13:13" ht="15.75" x14ac:dyDescent="0.25">
      <c r="M3587" t="s">
        <v>3293</v>
      </c>
    </row>
    <row r="3588" spans="13:13" ht="15.75" x14ac:dyDescent="0.25">
      <c r="M3588" t="s">
        <v>34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396A-9C27-46E9-981E-84FE0EEF6F17}">
  <sheetPr codeName="Planilha14">
    <tabColor rgb="FF663300"/>
  </sheetPr>
  <dimension ref="A1:XFB11"/>
  <sheetViews>
    <sheetView zoomScale="115" zoomScaleNormal="115" workbookViewId="0">
      <selection activeCell="H14" sqref="H14"/>
    </sheetView>
  </sheetViews>
  <sheetFormatPr defaultColWidth="0" defaultRowHeight="15" x14ac:dyDescent="0.2"/>
  <cols>
    <col min="1" max="1" width="12.42578125" style="2" customWidth="1"/>
    <col min="2" max="3" width="11.85546875" style="2" customWidth="1"/>
    <col min="4" max="4" width="10.42578125" style="2" customWidth="1"/>
    <col min="5" max="5" width="9.140625" style="2" customWidth="1"/>
    <col min="6" max="6" width="7.85546875" style="109" customWidth="1"/>
    <col min="7" max="7" width="11.28515625" style="109" customWidth="1"/>
    <col min="8" max="8" width="21" style="1" customWidth="1"/>
    <col min="9" max="9" width="0" style="1" hidden="1" customWidth="1"/>
    <col min="10" max="12" width="0" style="1" hidden="1"/>
    <col min="13" max="16382" width="9.140625" style="1" hidden="1"/>
    <col min="16383" max="16384" width="86.42578125" style="1" customWidth="1"/>
  </cols>
  <sheetData>
    <row r="1" spans="1:8" x14ac:dyDescent="0.2">
      <c r="A1" s="128" t="s">
        <v>3300</v>
      </c>
      <c r="B1" s="129"/>
      <c r="C1" s="129"/>
      <c r="D1" s="129"/>
      <c r="E1" s="129"/>
      <c r="F1" s="129"/>
      <c r="G1" s="129"/>
    </row>
    <row r="2" spans="1:8" x14ac:dyDescent="0.2">
      <c r="A2" s="111" t="s">
        <v>0</v>
      </c>
      <c r="B2" s="111" t="s">
        <v>2</v>
      </c>
      <c r="C2" s="111" t="s">
        <v>7</v>
      </c>
      <c r="D2" s="111" t="s">
        <v>3321</v>
      </c>
      <c r="E2" s="111" t="s">
        <v>3322</v>
      </c>
      <c r="F2" s="111" t="s">
        <v>3325</v>
      </c>
      <c r="G2" s="111" t="s">
        <v>3326</v>
      </c>
    </row>
    <row r="9" spans="1:8" ht="15.75" thickBot="1" x14ac:dyDescent="0.25"/>
    <row r="10" spans="1:8" x14ac:dyDescent="0.2">
      <c r="G10" s="116"/>
      <c r="H10" s="117" t="s">
        <v>3332</v>
      </c>
    </row>
    <row r="11" spans="1:8" ht="15.75" thickBot="1" x14ac:dyDescent="0.25">
      <c r="G11" s="116"/>
      <c r="H11" s="118"/>
    </row>
  </sheetData>
  <sortState xmlns:xlrd2="http://schemas.microsoft.com/office/spreadsheetml/2017/richdata2" ref="A3:G500">
    <sortCondition ref="G2:G500"/>
    <sortCondition ref="F2:F500"/>
    <sortCondition ref="C2:C500"/>
  </sortState>
  <mergeCells count="1">
    <mergeCell ref="A1:G1"/>
  </mergeCells>
  <conditionalFormatting sqref="H11">
    <cfRule type="cellIs" dxfId="16" priority="1" operator="equal">
      <formula>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7" tint="0.39997558519241921"/>
  </sheetPr>
  <dimension ref="A1:M11"/>
  <sheetViews>
    <sheetView workbookViewId="0">
      <selection activeCell="I21" sqref="I21"/>
    </sheetView>
  </sheetViews>
  <sheetFormatPr defaultColWidth="0" defaultRowHeight="15" x14ac:dyDescent="0.2"/>
  <cols>
    <col min="1" max="1" width="12.42578125" style="2" customWidth="1"/>
    <col min="2" max="2" width="18" style="2" customWidth="1"/>
    <col min="3" max="3" width="33.140625" style="2" customWidth="1"/>
    <col min="4" max="5" width="11.85546875" style="2" customWidth="1"/>
    <col min="6" max="6" width="40.42578125" style="66" customWidth="1"/>
    <col min="7" max="7" width="10.42578125" style="2" customWidth="1"/>
    <col min="8" max="8" width="9.140625" style="2" customWidth="1"/>
    <col min="9" max="11" width="9.140625" style="1" customWidth="1"/>
    <col min="12" max="12" width="21" style="1" customWidth="1"/>
    <col min="13" max="13" width="0" style="1" hidden="1" customWidth="1"/>
    <col min="14" max="16384" width="9.140625" style="1" hidden="1"/>
  </cols>
  <sheetData>
    <row r="1" spans="1:10" x14ac:dyDescent="0.2">
      <c r="A1" s="130" t="s">
        <v>3300</v>
      </c>
      <c r="B1" s="131"/>
      <c r="C1" s="131"/>
      <c r="D1" s="131"/>
      <c r="E1" s="131"/>
      <c r="F1" s="131"/>
      <c r="G1" s="131"/>
      <c r="H1" s="131"/>
    </row>
    <row r="2" spans="1:10" x14ac:dyDescent="0.2">
      <c r="A2" s="64" t="s">
        <v>0</v>
      </c>
      <c r="B2" s="64" t="s">
        <v>1</v>
      </c>
      <c r="C2" s="64" t="s">
        <v>3</v>
      </c>
      <c r="D2" s="64" t="s">
        <v>2</v>
      </c>
      <c r="E2" s="64" t="s">
        <v>7</v>
      </c>
      <c r="F2" s="64" t="s">
        <v>4</v>
      </c>
      <c r="G2" s="64" t="s">
        <v>5</v>
      </c>
      <c r="H2" s="64" t="s">
        <v>6</v>
      </c>
    </row>
    <row r="3" spans="1:10" x14ac:dyDescent="0.2">
      <c r="A3" s="15"/>
      <c r="B3" s="15"/>
      <c r="C3" s="15"/>
      <c r="D3" s="15"/>
      <c r="E3" s="15"/>
      <c r="F3" s="74"/>
      <c r="G3" s="15"/>
      <c r="H3" s="15"/>
    </row>
    <row r="5" spans="1:10" x14ac:dyDescent="0.2">
      <c r="I5" s="4"/>
      <c r="J5" s="5"/>
    </row>
    <row r="11" spans="1:10" x14ac:dyDescent="0.2">
      <c r="F11" s="73"/>
      <c r="G11" s="13"/>
    </row>
  </sheetData>
  <autoFilter ref="A2:H12" xr:uid="{00000000-0001-0000-0000-000000000000}"/>
  <mergeCells count="1">
    <mergeCell ref="A1:H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C7F12-0468-4621-8477-76EE3DE7E135}">
  <sheetPr codeName="Planilha4">
    <tabColor rgb="FF00B050"/>
  </sheetPr>
  <dimension ref="A1:J10899"/>
  <sheetViews>
    <sheetView tabSelected="1" topLeftCell="B1" zoomScale="85" zoomScaleNormal="85" workbookViewId="0">
      <selection activeCell="C1" sqref="C1"/>
    </sheetView>
  </sheetViews>
  <sheetFormatPr defaultColWidth="0" defaultRowHeight="0" customHeight="1" zeroHeight="1" x14ac:dyDescent="0.25"/>
  <cols>
    <col min="1" max="1" width="4.140625" style="7" hidden="1" customWidth="1"/>
    <col min="2" max="2" width="11.140625" style="8" customWidth="1"/>
    <col min="3" max="3" width="29.7109375" style="8" bestFit="1" customWidth="1"/>
    <col min="4" max="4" width="14.28515625" style="8" customWidth="1"/>
    <col min="5" max="5" width="25.5703125" style="8" customWidth="1"/>
    <col min="6" max="6" width="23.28515625" style="7" customWidth="1"/>
    <col min="7" max="7" width="12.7109375" style="115" customWidth="1"/>
    <col min="8" max="8" width="9.140625" style="102" customWidth="1"/>
    <col min="9" max="9" width="9.140625" style="7" customWidth="1"/>
    <col min="10" max="10" width="65.140625" style="7" customWidth="1"/>
    <col min="11" max="16384" width="9.140625" style="7" hidden="1"/>
  </cols>
  <sheetData>
    <row r="1" spans="1:8" ht="15.75" x14ac:dyDescent="0.25">
      <c r="A1" s="6"/>
      <c r="B1" s="17" t="s">
        <v>0</v>
      </c>
      <c r="C1" s="18" t="s">
        <v>3</v>
      </c>
      <c r="D1" s="18" t="s">
        <v>1</v>
      </c>
      <c r="E1" s="19" t="s">
        <v>2</v>
      </c>
      <c r="F1" s="20" t="s">
        <v>11</v>
      </c>
      <c r="G1" s="113" t="s">
        <v>13</v>
      </c>
      <c r="H1" s="103" t="s">
        <v>3319</v>
      </c>
    </row>
    <row r="2" spans="1:8" ht="15.75" customHeight="1" x14ac:dyDescent="0.25">
      <c r="B2" s="100"/>
      <c r="C2" s="100"/>
      <c r="D2" s="100"/>
      <c r="E2" s="101"/>
      <c r="F2" s="102"/>
      <c r="G2" s="114"/>
    </row>
    <row r="3" spans="1:8" ht="15.75" customHeight="1" x14ac:dyDescent="0.25">
      <c r="B3" s="100"/>
      <c r="C3" s="100"/>
      <c r="D3" s="100"/>
      <c r="E3" s="101"/>
      <c r="F3" s="102"/>
      <c r="G3" s="114"/>
    </row>
    <row r="4" spans="1:8" ht="15.75" customHeight="1" x14ac:dyDescent="0.25">
      <c r="B4" s="100"/>
      <c r="C4" s="100"/>
      <c r="D4" s="100"/>
      <c r="E4" s="101"/>
      <c r="F4" s="102"/>
      <c r="G4" s="114"/>
    </row>
    <row r="5" spans="1:8" ht="15.75" customHeight="1" x14ac:dyDescent="0.25">
      <c r="B5" s="100"/>
      <c r="C5" s="100"/>
      <c r="D5" s="100"/>
      <c r="E5" s="101"/>
      <c r="F5" s="102"/>
      <c r="G5" s="114"/>
    </row>
    <row r="6" spans="1:8" ht="15.75" customHeight="1" x14ac:dyDescent="0.25">
      <c r="B6" s="100"/>
      <c r="C6" s="100"/>
      <c r="D6" s="100"/>
      <c r="E6" s="101"/>
      <c r="F6" s="102"/>
      <c r="G6" s="114"/>
    </row>
    <row r="7" spans="1:8" ht="15.75" customHeight="1" x14ac:dyDescent="0.25">
      <c r="B7" s="100"/>
      <c r="C7" s="100"/>
      <c r="D7" s="100"/>
      <c r="E7" s="101"/>
      <c r="F7" s="102"/>
      <c r="G7" s="114"/>
    </row>
    <row r="8" spans="1:8" ht="15.75" customHeight="1" x14ac:dyDescent="0.25">
      <c r="B8" s="100"/>
      <c r="C8" s="100"/>
      <c r="D8" s="100"/>
      <c r="E8" s="101"/>
      <c r="F8" s="102"/>
      <c r="G8" s="114"/>
    </row>
    <row r="9" spans="1:8" ht="15.75" customHeight="1" x14ac:dyDescent="0.25">
      <c r="B9" s="100"/>
      <c r="C9" s="100"/>
      <c r="D9" s="100"/>
      <c r="E9" s="101"/>
      <c r="F9" s="102"/>
      <c r="G9" s="114"/>
    </row>
    <row r="10" spans="1:8" ht="15.75" customHeight="1" x14ac:dyDescent="0.25">
      <c r="B10" s="100"/>
      <c r="C10" s="100"/>
      <c r="D10" s="100"/>
      <c r="E10" s="101"/>
      <c r="F10" s="102"/>
      <c r="G10" s="114"/>
    </row>
    <row r="11" spans="1:8" ht="15.75" customHeight="1" x14ac:dyDescent="0.25">
      <c r="B11" s="100"/>
      <c r="C11" s="100"/>
      <c r="D11" s="100"/>
      <c r="E11" s="101"/>
      <c r="F11" s="102"/>
      <c r="G11" s="114"/>
    </row>
    <row r="12" spans="1:8" ht="15.75" customHeight="1" x14ac:dyDescent="0.25">
      <c r="B12" s="100"/>
      <c r="C12" s="100"/>
      <c r="D12" s="100"/>
      <c r="E12" s="101"/>
      <c r="F12" s="102"/>
      <c r="G12" s="114"/>
    </row>
    <row r="13" spans="1:8" ht="15.75" customHeight="1" x14ac:dyDescent="0.25">
      <c r="B13" s="100"/>
      <c r="C13" s="100"/>
      <c r="D13" s="100"/>
      <c r="E13" s="101"/>
      <c r="F13" s="102"/>
      <c r="G13" s="114"/>
    </row>
    <row r="14" spans="1:8" ht="15.75" customHeight="1" x14ac:dyDescent="0.25">
      <c r="B14" s="100"/>
      <c r="C14" s="100"/>
      <c r="D14" s="100"/>
      <c r="E14" s="101"/>
      <c r="F14" s="102"/>
      <c r="G14" s="114"/>
    </row>
    <row r="15" spans="1:8" ht="15.75" customHeight="1" x14ac:dyDescent="0.25">
      <c r="B15" s="100"/>
      <c r="C15" s="100"/>
      <c r="D15" s="100"/>
      <c r="E15" s="101"/>
      <c r="F15" s="102"/>
      <c r="G15" s="114"/>
    </row>
    <row r="16" spans="1:8" ht="15.75" customHeight="1" x14ac:dyDescent="0.25">
      <c r="B16" s="100"/>
      <c r="C16" s="100"/>
      <c r="D16" s="100"/>
      <c r="E16" s="101"/>
      <c r="F16" s="102"/>
      <c r="G16" s="114"/>
    </row>
    <row r="17" spans="2:7" ht="15.75" customHeight="1" x14ac:dyDescent="0.25">
      <c r="B17" s="100"/>
      <c r="C17" s="100"/>
      <c r="D17" s="100"/>
      <c r="E17" s="101"/>
      <c r="F17" s="102"/>
      <c r="G17" s="114"/>
    </row>
    <row r="18" spans="2:7" ht="15.75" customHeight="1" x14ac:dyDescent="0.25">
      <c r="B18" s="100"/>
      <c r="C18" s="100"/>
      <c r="D18" s="100"/>
      <c r="E18" s="101"/>
      <c r="F18" s="102"/>
      <c r="G18" s="114"/>
    </row>
    <row r="19" spans="2:7" ht="15.75" customHeight="1" x14ac:dyDescent="0.25">
      <c r="B19" s="100"/>
      <c r="C19" s="100"/>
      <c r="D19" s="100"/>
      <c r="E19" s="101"/>
      <c r="F19" s="102"/>
      <c r="G19" s="114"/>
    </row>
    <row r="20" spans="2:7" ht="15.75" customHeight="1" x14ac:dyDescent="0.25">
      <c r="B20" s="100"/>
      <c r="C20" s="100"/>
      <c r="D20" s="100"/>
      <c r="E20" s="101"/>
      <c r="F20" s="102"/>
      <c r="G20" s="114"/>
    </row>
    <row r="21" spans="2:7" ht="15.75" customHeight="1" x14ac:dyDescent="0.25">
      <c r="B21" s="100"/>
      <c r="C21" s="100"/>
      <c r="D21" s="100"/>
      <c r="E21" s="101"/>
      <c r="F21" s="102"/>
      <c r="G21" s="114"/>
    </row>
    <row r="22" spans="2:7" ht="15.75" customHeight="1" x14ac:dyDescent="0.25">
      <c r="B22" s="100"/>
      <c r="C22" s="100"/>
      <c r="D22" s="100"/>
      <c r="E22" s="101"/>
      <c r="F22" s="102"/>
      <c r="G22" s="114"/>
    </row>
    <row r="23" spans="2:7" ht="15.75" customHeight="1" x14ac:dyDescent="0.25">
      <c r="B23" s="100"/>
      <c r="C23" s="100"/>
      <c r="D23" s="100"/>
      <c r="E23" s="101"/>
      <c r="F23" s="102"/>
      <c r="G23" s="114"/>
    </row>
    <row r="24" spans="2:7" ht="15.75" customHeight="1" x14ac:dyDescent="0.25">
      <c r="B24" s="100"/>
      <c r="C24" s="100"/>
      <c r="D24" s="100"/>
      <c r="E24" s="101"/>
      <c r="F24" s="102"/>
      <c r="G24" s="114"/>
    </row>
    <row r="25" spans="2:7" ht="15.75" customHeight="1" x14ac:dyDescent="0.25">
      <c r="B25" s="100"/>
      <c r="C25" s="100"/>
      <c r="D25" s="100"/>
      <c r="E25" s="101"/>
      <c r="F25" s="102"/>
      <c r="G25" s="114"/>
    </row>
    <row r="26" spans="2:7" ht="15.75" customHeight="1" x14ac:dyDescent="0.25">
      <c r="B26" s="100"/>
      <c r="C26" s="100"/>
      <c r="D26" s="100"/>
      <c r="E26" s="101"/>
      <c r="F26" s="102"/>
      <c r="G26" s="114"/>
    </row>
    <row r="27" spans="2:7" ht="15.75" customHeight="1" x14ac:dyDescent="0.25">
      <c r="B27" s="100"/>
      <c r="C27" s="100"/>
      <c r="D27" s="100"/>
      <c r="E27" s="101"/>
      <c r="F27" s="102"/>
      <c r="G27" s="114"/>
    </row>
    <row r="28" spans="2:7" ht="15.75" customHeight="1" x14ac:dyDescent="0.25">
      <c r="B28" s="100"/>
      <c r="C28" s="100"/>
      <c r="D28" s="100"/>
      <c r="E28" s="101"/>
      <c r="F28" s="102"/>
      <c r="G28" s="114"/>
    </row>
    <row r="29" spans="2:7" ht="15.75" customHeight="1" x14ac:dyDescent="0.25">
      <c r="B29" s="100"/>
      <c r="C29" s="100"/>
      <c r="D29" s="100"/>
      <c r="E29" s="101"/>
      <c r="F29" s="102"/>
      <c r="G29" s="114"/>
    </row>
    <row r="30" spans="2:7" ht="15.75" customHeight="1" x14ac:dyDescent="0.25">
      <c r="B30" s="100"/>
      <c r="C30" s="100"/>
      <c r="D30" s="100"/>
      <c r="E30" s="101"/>
      <c r="F30" s="102"/>
      <c r="G30" s="114"/>
    </row>
    <row r="31" spans="2:7" ht="15.75" customHeight="1" x14ac:dyDescent="0.25">
      <c r="B31" s="100"/>
      <c r="C31" s="100"/>
      <c r="D31" s="100"/>
      <c r="E31" s="101"/>
      <c r="F31" s="102"/>
      <c r="G31" s="114"/>
    </row>
    <row r="32" spans="2:7" ht="15.75" customHeight="1" x14ac:dyDescent="0.25">
      <c r="B32" s="100"/>
      <c r="C32" s="100"/>
      <c r="D32" s="100"/>
      <c r="E32" s="101"/>
      <c r="F32" s="102"/>
      <c r="G32" s="114"/>
    </row>
    <row r="33" spans="2:7" ht="15.75" customHeight="1" x14ac:dyDescent="0.25">
      <c r="B33" s="100"/>
      <c r="C33" s="100"/>
      <c r="D33" s="100"/>
      <c r="E33" s="101"/>
      <c r="F33" s="102"/>
      <c r="G33" s="114"/>
    </row>
    <row r="34" spans="2:7" ht="15.75" customHeight="1" x14ac:dyDescent="0.25">
      <c r="B34" s="100"/>
      <c r="C34" s="100"/>
      <c r="D34" s="100"/>
      <c r="E34" s="101"/>
      <c r="F34" s="102"/>
      <c r="G34" s="114"/>
    </row>
    <row r="35" spans="2:7" ht="15.75" customHeight="1" x14ac:dyDescent="0.25">
      <c r="B35" s="100"/>
      <c r="C35" s="100"/>
      <c r="D35" s="100"/>
      <c r="E35" s="101"/>
      <c r="F35" s="102"/>
      <c r="G35" s="114"/>
    </row>
    <row r="36" spans="2:7" ht="15.75" customHeight="1" x14ac:dyDescent="0.25">
      <c r="B36" s="100"/>
      <c r="C36" s="100"/>
      <c r="D36" s="100"/>
      <c r="E36" s="101"/>
      <c r="F36" s="102"/>
      <c r="G36" s="114"/>
    </row>
    <row r="37" spans="2:7" ht="15.75" customHeight="1" x14ac:dyDescent="0.25">
      <c r="B37" s="100"/>
      <c r="C37" s="100"/>
      <c r="D37" s="100"/>
      <c r="E37" s="101"/>
      <c r="F37" s="102"/>
      <c r="G37" s="114"/>
    </row>
    <row r="38" spans="2:7" ht="15.75" customHeight="1" x14ac:dyDescent="0.25">
      <c r="B38" s="100"/>
      <c r="C38" s="100"/>
      <c r="D38" s="100"/>
      <c r="E38" s="101"/>
      <c r="F38" s="102"/>
      <c r="G38" s="114"/>
    </row>
    <row r="39" spans="2:7" ht="15.75" customHeight="1" x14ac:dyDescent="0.25">
      <c r="B39" s="100"/>
      <c r="C39" s="100"/>
      <c r="D39" s="100"/>
      <c r="E39" s="101"/>
      <c r="F39" s="102"/>
      <c r="G39" s="114"/>
    </row>
    <row r="40" spans="2:7" ht="15.75" customHeight="1" x14ac:dyDescent="0.25">
      <c r="B40" s="100"/>
      <c r="C40" s="100"/>
      <c r="D40" s="100"/>
      <c r="E40" s="101"/>
      <c r="F40" s="102"/>
      <c r="G40" s="114"/>
    </row>
    <row r="41" spans="2:7" ht="15.75" customHeight="1" x14ac:dyDescent="0.25">
      <c r="B41" s="100"/>
      <c r="C41" s="100"/>
      <c r="D41" s="100"/>
      <c r="E41" s="101"/>
      <c r="F41" s="102"/>
      <c r="G41" s="114"/>
    </row>
    <row r="42" spans="2:7" ht="15.75" customHeight="1" x14ac:dyDescent="0.25">
      <c r="B42" s="100"/>
      <c r="C42" s="100"/>
      <c r="D42" s="100"/>
      <c r="E42" s="101"/>
      <c r="F42" s="102"/>
      <c r="G42" s="114"/>
    </row>
    <row r="43" spans="2:7" ht="15.75" customHeight="1" x14ac:dyDescent="0.25">
      <c r="B43" s="100"/>
      <c r="C43" s="100"/>
      <c r="D43" s="100"/>
      <c r="E43" s="101"/>
      <c r="F43" s="102"/>
      <c r="G43" s="114"/>
    </row>
    <row r="44" spans="2:7" ht="15.75" customHeight="1" x14ac:dyDescent="0.25">
      <c r="B44" s="100"/>
      <c r="C44" s="100"/>
      <c r="D44" s="100"/>
      <c r="E44" s="101"/>
      <c r="F44" s="102"/>
      <c r="G44" s="114"/>
    </row>
    <row r="45" spans="2:7" ht="15.75" customHeight="1" x14ac:dyDescent="0.25">
      <c r="B45" s="100"/>
      <c r="C45" s="100"/>
      <c r="D45" s="100"/>
      <c r="E45" s="101"/>
      <c r="F45" s="102"/>
      <c r="G45" s="114"/>
    </row>
    <row r="46" spans="2:7" ht="15.75" customHeight="1" x14ac:dyDescent="0.25">
      <c r="B46" s="100"/>
      <c r="C46" s="100"/>
      <c r="D46" s="100"/>
      <c r="E46" s="101"/>
      <c r="F46" s="102"/>
      <c r="G46" s="114"/>
    </row>
    <row r="47" spans="2:7" ht="15.75" customHeight="1" x14ac:dyDescent="0.25">
      <c r="B47" s="100"/>
      <c r="C47" s="100"/>
      <c r="D47" s="100"/>
      <c r="E47" s="101"/>
      <c r="F47" s="102"/>
      <c r="G47" s="114"/>
    </row>
    <row r="48" spans="2:7" ht="15.75" customHeight="1" x14ac:dyDescent="0.25">
      <c r="B48" s="100"/>
      <c r="C48" s="100"/>
      <c r="D48" s="100"/>
      <c r="E48" s="101"/>
      <c r="F48" s="102"/>
      <c r="G48" s="114"/>
    </row>
    <row r="49" spans="2:7" ht="15.75" customHeight="1" x14ac:dyDescent="0.25">
      <c r="B49" s="100"/>
      <c r="C49" s="100"/>
      <c r="D49" s="100"/>
      <c r="E49" s="101"/>
      <c r="F49" s="102"/>
      <c r="G49" s="114"/>
    </row>
    <row r="50" spans="2:7" ht="15.75" customHeight="1" x14ac:dyDescent="0.25">
      <c r="B50" s="100"/>
      <c r="C50" s="100"/>
      <c r="D50" s="100"/>
      <c r="E50" s="101"/>
      <c r="F50" s="102"/>
      <c r="G50" s="114"/>
    </row>
    <row r="51" spans="2:7" ht="15.75" customHeight="1" x14ac:dyDescent="0.25">
      <c r="B51" s="100"/>
      <c r="C51" s="100"/>
      <c r="D51" s="100"/>
      <c r="E51" s="101"/>
      <c r="F51" s="102"/>
      <c r="G51" s="114"/>
    </row>
    <row r="52" spans="2:7" ht="15.75" customHeight="1" x14ac:dyDescent="0.25">
      <c r="B52" s="100"/>
      <c r="C52" s="100"/>
      <c r="D52" s="100"/>
      <c r="E52" s="101"/>
      <c r="F52" s="102"/>
      <c r="G52" s="114"/>
    </row>
    <row r="53" spans="2:7" ht="15.75" customHeight="1" x14ac:dyDescent="0.25">
      <c r="B53" s="100"/>
      <c r="C53" s="100"/>
      <c r="D53" s="100"/>
      <c r="E53" s="101"/>
      <c r="F53" s="102"/>
      <c r="G53" s="114"/>
    </row>
    <row r="54" spans="2:7" ht="15.75" customHeight="1" x14ac:dyDescent="0.25">
      <c r="B54" s="100"/>
      <c r="C54" s="100"/>
      <c r="D54" s="100"/>
      <c r="E54" s="101"/>
      <c r="F54" s="102"/>
      <c r="G54" s="114"/>
    </row>
    <row r="55" spans="2:7" ht="15.75" customHeight="1" x14ac:dyDescent="0.25">
      <c r="B55" s="100"/>
      <c r="C55" s="100"/>
      <c r="D55" s="100"/>
      <c r="E55" s="101"/>
      <c r="F55" s="102"/>
      <c r="G55" s="114"/>
    </row>
    <row r="56" spans="2:7" ht="15.75" customHeight="1" x14ac:dyDescent="0.25">
      <c r="B56" s="100"/>
      <c r="C56" s="100"/>
      <c r="D56" s="100"/>
      <c r="E56" s="101"/>
      <c r="F56" s="102"/>
      <c r="G56" s="114"/>
    </row>
    <row r="57" spans="2:7" ht="15.75" customHeight="1" x14ac:dyDescent="0.25">
      <c r="B57" s="100"/>
      <c r="C57" s="100"/>
      <c r="D57" s="100"/>
      <c r="E57" s="101"/>
      <c r="F57" s="102"/>
      <c r="G57" s="114"/>
    </row>
    <row r="58" spans="2:7" ht="15.75" customHeight="1" x14ac:dyDescent="0.25">
      <c r="B58" s="100"/>
      <c r="C58" s="100"/>
      <c r="D58" s="100"/>
      <c r="E58" s="101"/>
      <c r="F58" s="102"/>
      <c r="G58" s="114"/>
    </row>
    <row r="59" spans="2:7" ht="15.75" customHeight="1" x14ac:dyDescent="0.25">
      <c r="B59" s="100"/>
      <c r="C59" s="100"/>
      <c r="D59" s="100"/>
      <c r="E59" s="101"/>
      <c r="F59" s="102"/>
      <c r="G59" s="114"/>
    </row>
    <row r="60" spans="2:7" ht="15.75" customHeight="1" x14ac:dyDescent="0.25">
      <c r="B60" s="100"/>
      <c r="C60" s="100"/>
      <c r="D60" s="100"/>
      <c r="E60" s="101"/>
      <c r="F60" s="102"/>
      <c r="G60" s="114"/>
    </row>
    <row r="61" spans="2:7" ht="15.75" customHeight="1" x14ac:dyDescent="0.25">
      <c r="B61" s="100"/>
      <c r="C61" s="100"/>
      <c r="D61" s="100"/>
      <c r="E61" s="101"/>
      <c r="F61" s="102"/>
      <c r="G61" s="114"/>
    </row>
    <row r="62" spans="2:7" ht="15.75" customHeight="1" x14ac:dyDescent="0.25">
      <c r="B62" s="100"/>
      <c r="C62" s="100"/>
      <c r="D62" s="100"/>
      <c r="E62" s="101"/>
      <c r="F62" s="102"/>
      <c r="G62" s="114"/>
    </row>
    <row r="63" spans="2:7" ht="15.75" customHeight="1" x14ac:dyDescent="0.25">
      <c r="B63" s="100"/>
      <c r="C63" s="100"/>
      <c r="D63" s="100"/>
      <c r="E63" s="101"/>
      <c r="F63" s="102"/>
      <c r="G63" s="114"/>
    </row>
    <row r="64" spans="2:7" ht="15.75" customHeight="1" x14ac:dyDescent="0.25">
      <c r="B64" s="100"/>
      <c r="C64" s="100"/>
      <c r="D64" s="100"/>
      <c r="E64" s="101"/>
      <c r="F64" s="102"/>
      <c r="G64" s="114"/>
    </row>
    <row r="65" spans="2:7" ht="15.75" customHeight="1" x14ac:dyDescent="0.25">
      <c r="B65" s="100"/>
      <c r="C65" s="100"/>
      <c r="D65" s="100"/>
      <c r="E65" s="101"/>
      <c r="F65" s="102"/>
      <c r="G65" s="114"/>
    </row>
    <row r="66" spans="2:7" ht="15.75" customHeight="1" x14ac:dyDescent="0.25">
      <c r="B66" s="100"/>
      <c r="C66" s="100"/>
      <c r="D66" s="100"/>
      <c r="E66" s="101"/>
      <c r="F66" s="102"/>
      <c r="G66" s="114"/>
    </row>
    <row r="67" spans="2:7" ht="15.75" customHeight="1" x14ac:dyDescent="0.25">
      <c r="B67" s="100"/>
      <c r="C67" s="100"/>
      <c r="D67" s="100"/>
      <c r="E67" s="101"/>
      <c r="F67" s="102"/>
      <c r="G67" s="114"/>
    </row>
    <row r="68" spans="2:7" ht="15.75" customHeight="1" x14ac:dyDescent="0.25">
      <c r="B68" s="100"/>
      <c r="C68" s="100"/>
      <c r="D68" s="100"/>
      <c r="E68" s="101"/>
      <c r="F68" s="102"/>
      <c r="G68" s="114"/>
    </row>
    <row r="69" spans="2:7" ht="15.75" customHeight="1" x14ac:dyDescent="0.25">
      <c r="B69" s="100"/>
      <c r="C69" s="100"/>
      <c r="D69" s="100"/>
      <c r="E69" s="101"/>
      <c r="F69" s="102"/>
      <c r="G69" s="114"/>
    </row>
    <row r="70" spans="2:7" ht="15.75" customHeight="1" x14ac:dyDescent="0.25">
      <c r="B70" s="100"/>
      <c r="C70" s="100"/>
      <c r="D70" s="100"/>
      <c r="E70" s="101"/>
      <c r="F70" s="102"/>
      <c r="G70" s="114"/>
    </row>
    <row r="71" spans="2:7" ht="15.75" customHeight="1" x14ac:dyDescent="0.25">
      <c r="B71" s="100"/>
      <c r="C71" s="100"/>
      <c r="D71" s="100"/>
      <c r="E71" s="101"/>
      <c r="F71" s="102"/>
      <c r="G71" s="114"/>
    </row>
    <row r="72" spans="2:7" ht="15.75" customHeight="1" x14ac:dyDescent="0.25">
      <c r="B72" s="100"/>
      <c r="C72" s="100"/>
      <c r="D72" s="100"/>
      <c r="E72" s="101"/>
      <c r="F72" s="102"/>
      <c r="G72" s="114"/>
    </row>
    <row r="73" spans="2:7" ht="15.75" customHeight="1" x14ac:dyDescent="0.25">
      <c r="B73" s="100"/>
      <c r="C73" s="100"/>
      <c r="D73" s="100"/>
      <c r="E73" s="101"/>
      <c r="F73" s="102"/>
      <c r="G73" s="114"/>
    </row>
    <row r="74" spans="2:7" ht="15.75" customHeight="1" x14ac:dyDescent="0.25">
      <c r="B74" s="100"/>
      <c r="C74" s="100"/>
      <c r="D74" s="100"/>
      <c r="E74" s="101"/>
      <c r="F74" s="102"/>
      <c r="G74" s="114"/>
    </row>
    <row r="75" spans="2:7" ht="15.75" customHeight="1" x14ac:dyDescent="0.25">
      <c r="B75" s="100"/>
      <c r="C75" s="100"/>
      <c r="D75" s="100"/>
      <c r="E75" s="101"/>
      <c r="F75" s="102"/>
      <c r="G75" s="114"/>
    </row>
    <row r="76" spans="2:7" ht="15.75" customHeight="1" x14ac:dyDescent="0.25">
      <c r="B76" s="100"/>
      <c r="C76" s="100"/>
      <c r="D76" s="100"/>
      <c r="E76" s="101"/>
      <c r="F76" s="102"/>
      <c r="G76" s="114"/>
    </row>
    <row r="77" spans="2:7" ht="15.75" customHeight="1" x14ac:dyDescent="0.25">
      <c r="B77" s="100"/>
      <c r="C77" s="100"/>
      <c r="D77" s="100"/>
      <c r="E77" s="101"/>
      <c r="F77" s="102"/>
      <c r="G77" s="114"/>
    </row>
    <row r="78" spans="2:7" ht="15.75" customHeight="1" x14ac:dyDescent="0.25">
      <c r="B78" s="100"/>
      <c r="C78" s="100"/>
      <c r="D78" s="100"/>
      <c r="E78" s="101"/>
      <c r="F78" s="102"/>
      <c r="G78" s="114"/>
    </row>
    <row r="79" spans="2:7" ht="15.75" customHeight="1" x14ac:dyDescent="0.25">
      <c r="B79" s="100"/>
      <c r="C79" s="100"/>
      <c r="D79" s="100"/>
      <c r="E79" s="101"/>
      <c r="F79" s="102"/>
      <c r="G79" s="114"/>
    </row>
    <row r="80" spans="2:7" ht="15.75" customHeight="1" x14ac:dyDescent="0.25">
      <c r="B80" s="100"/>
      <c r="C80" s="100"/>
      <c r="D80" s="100"/>
      <c r="E80" s="101"/>
      <c r="F80" s="102"/>
      <c r="G80" s="114"/>
    </row>
    <row r="81" spans="2:7" ht="15.75" customHeight="1" x14ac:dyDescent="0.25">
      <c r="B81" s="100"/>
      <c r="C81" s="100"/>
      <c r="D81" s="100"/>
      <c r="E81" s="101"/>
      <c r="F81" s="102"/>
      <c r="G81" s="114"/>
    </row>
    <row r="82" spans="2:7" ht="15.75" customHeight="1" x14ac:dyDescent="0.25">
      <c r="B82" s="100"/>
      <c r="C82" s="100"/>
      <c r="D82" s="100"/>
      <c r="E82" s="101"/>
      <c r="F82" s="102"/>
      <c r="G82" s="114"/>
    </row>
    <row r="83" spans="2:7" ht="15.75" customHeight="1" x14ac:dyDescent="0.25">
      <c r="B83" s="100"/>
      <c r="C83" s="100"/>
      <c r="D83" s="100"/>
      <c r="E83" s="101"/>
      <c r="F83" s="102"/>
      <c r="G83" s="114"/>
    </row>
    <row r="84" spans="2:7" ht="15.75" customHeight="1" x14ac:dyDescent="0.25">
      <c r="B84" s="100"/>
      <c r="C84" s="100"/>
      <c r="D84" s="100"/>
      <c r="E84" s="101"/>
      <c r="F84" s="102"/>
      <c r="G84" s="114"/>
    </row>
    <row r="85" spans="2:7" ht="15.75" customHeight="1" x14ac:dyDescent="0.25">
      <c r="B85" s="100"/>
      <c r="C85" s="100"/>
      <c r="D85" s="100"/>
      <c r="E85" s="101"/>
      <c r="F85" s="102"/>
      <c r="G85" s="114"/>
    </row>
    <row r="86" spans="2:7" ht="15.75" customHeight="1" x14ac:dyDescent="0.25">
      <c r="B86" s="100"/>
      <c r="C86" s="100"/>
      <c r="D86" s="100"/>
      <c r="E86" s="101"/>
      <c r="F86" s="102"/>
      <c r="G86" s="114"/>
    </row>
    <row r="87" spans="2:7" ht="15.75" customHeight="1" x14ac:dyDescent="0.25">
      <c r="B87" s="100"/>
      <c r="C87" s="100"/>
      <c r="D87" s="100"/>
      <c r="E87" s="101"/>
      <c r="F87" s="102"/>
      <c r="G87" s="114"/>
    </row>
    <row r="88" spans="2:7" ht="15.75" customHeight="1" x14ac:dyDescent="0.25">
      <c r="B88" s="100"/>
      <c r="C88" s="100"/>
      <c r="D88" s="100"/>
      <c r="E88" s="101"/>
      <c r="F88" s="102"/>
      <c r="G88" s="114"/>
    </row>
    <row r="89" spans="2:7" ht="15.75" customHeight="1" x14ac:dyDescent="0.25">
      <c r="B89" s="100"/>
      <c r="C89" s="100"/>
      <c r="D89" s="100"/>
      <c r="E89" s="101"/>
      <c r="F89" s="102"/>
      <c r="G89" s="114"/>
    </row>
    <row r="90" spans="2:7" ht="15.75" customHeight="1" x14ac:dyDescent="0.25">
      <c r="B90" s="100"/>
      <c r="C90" s="100"/>
      <c r="D90" s="100"/>
      <c r="E90" s="101"/>
      <c r="F90" s="102"/>
      <c r="G90" s="114"/>
    </row>
    <row r="91" spans="2:7" ht="15.75" customHeight="1" x14ac:dyDescent="0.25">
      <c r="B91" s="100"/>
      <c r="C91" s="100"/>
      <c r="D91" s="100"/>
      <c r="E91" s="101"/>
      <c r="F91" s="102"/>
      <c r="G91" s="114"/>
    </row>
    <row r="92" spans="2:7" ht="15.75" customHeight="1" x14ac:dyDescent="0.25">
      <c r="B92" s="100"/>
      <c r="C92" s="100"/>
      <c r="D92" s="100"/>
      <c r="E92" s="101"/>
      <c r="F92" s="102"/>
      <c r="G92" s="114"/>
    </row>
    <row r="93" spans="2:7" ht="15.75" customHeight="1" x14ac:dyDescent="0.25">
      <c r="B93" s="100"/>
      <c r="C93" s="100"/>
      <c r="D93" s="100"/>
      <c r="E93" s="101"/>
      <c r="F93" s="102"/>
      <c r="G93" s="114"/>
    </row>
    <row r="94" spans="2:7" ht="15.75" customHeight="1" x14ac:dyDescent="0.25">
      <c r="B94" s="100"/>
      <c r="C94" s="100"/>
      <c r="D94" s="100"/>
      <c r="E94" s="101"/>
      <c r="F94" s="102"/>
      <c r="G94" s="114"/>
    </row>
    <row r="95" spans="2:7" ht="15.75" customHeight="1" x14ac:dyDescent="0.25">
      <c r="B95" s="100"/>
      <c r="C95" s="100"/>
      <c r="D95" s="100"/>
      <c r="E95" s="101"/>
      <c r="F95" s="102"/>
      <c r="G95" s="114"/>
    </row>
    <row r="96" spans="2:7" ht="15.75" customHeight="1" x14ac:dyDescent="0.25">
      <c r="B96" s="100"/>
      <c r="C96" s="100"/>
      <c r="D96" s="100"/>
      <c r="E96" s="101"/>
      <c r="F96" s="102"/>
      <c r="G96" s="114"/>
    </row>
    <row r="97" spans="2:7" ht="15.75" customHeight="1" x14ac:dyDescent="0.25">
      <c r="B97" s="100"/>
      <c r="C97" s="100"/>
      <c r="D97" s="100"/>
      <c r="E97" s="101"/>
      <c r="F97" s="102"/>
      <c r="G97" s="114"/>
    </row>
    <row r="98" spans="2:7" ht="15.75" customHeight="1" x14ac:dyDescent="0.25">
      <c r="B98" s="100"/>
      <c r="C98" s="100"/>
      <c r="D98" s="100"/>
      <c r="E98" s="101"/>
      <c r="F98" s="102"/>
      <c r="G98" s="114"/>
    </row>
    <row r="99" spans="2:7" ht="15.75" customHeight="1" x14ac:dyDescent="0.25">
      <c r="B99" s="100"/>
      <c r="C99" s="100"/>
      <c r="D99" s="100"/>
      <c r="E99" s="101"/>
      <c r="F99" s="102"/>
      <c r="G99" s="114"/>
    </row>
    <row r="100" spans="2:7" ht="15.75" customHeight="1" x14ac:dyDescent="0.25">
      <c r="B100" s="100"/>
      <c r="C100" s="100"/>
      <c r="D100" s="100"/>
      <c r="E100" s="101"/>
      <c r="F100" s="102"/>
      <c r="G100" s="114"/>
    </row>
    <row r="101" spans="2:7" ht="15.75" customHeight="1" x14ac:dyDescent="0.25">
      <c r="B101" s="100"/>
      <c r="C101" s="100"/>
      <c r="D101" s="100"/>
      <c r="E101" s="101"/>
      <c r="F101" s="102"/>
      <c r="G101" s="114"/>
    </row>
    <row r="102" spans="2:7" ht="15.75" customHeight="1" x14ac:dyDescent="0.25">
      <c r="B102" s="100"/>
      <c r="C102" s="100"/>
      <c r="D102" s="100"/>
      <c r="E102" s="101"/>
      <c r="F102" s="102"/>
      <c r="G102" s="114"/>
    </row>
    <row r="103" spans="2:7" ht="15.75" customHeight="1" x14ac:dyDescent="0.25">
      <c r="B103" s="100"/>
      <c r="C103" s="100"/>
      <c r="D103" s="100"/>
      <c r="E103" s="101"/>
      <c r="F103" s="102"/>
      <c r="G103" s="114"/>
    </row>
    <row r="104" spans="2:7" ht="15.75" customHeight="1" x14ac:dyDescent="0.25">
      <c r="B104" s="100"/>
      <c r="C104" s="100"/>
      <c r="D104" s="100"/>
      <c r="E104" s="101"/>
      <c r="F104" s="102"/>
      <c r="G104" s="114"/>
    </row>
    <row r="105" spans="2:7" ht="15.75" customHeight="1" x14ac:dyDescent="0.25">
      <c r="B105" s="100"/>
      <c r="C105" s="100"/>
      <c r="D105" s="100"/>
      <c r="E105" s="101"/>
      <c r="F105" s="102"/>
      <c r="G105" s="114"/>
    </row>
    <row r="106" spans="2:7" ht="15.75" customHeight="1" x14ac:dyDescent="0.25">
      <c r="B106" s="100"/>
      <c r="C106" s="100"/>
      <c r="D106" s="100"/>
      <c r="E106" s="101"/>
      <c r="F106" s="102"/>
      <c r="G106" s="114"/>
    </row>
    <row r="107" spans="2:7" ht="15.75" customHeight="1" x14ac:dyDescent="0.25">
      <c r="B107" s="100"/>
      <c r="C107" s="100"/>
      <c r="D107" s="100"/>
      <c r="E107" s="101"/>
      <c r="F107" s="102"/>
      <c r="G107" s="114"/>
    </row>
    <row r="108" spans="2:7" ht="15.75" customHeight="1" x14ac:dyDescent="0.25">
      <c r="B108" s="100"/>
      <c r="C108" s="100"/>
      <c r="D108" s="100"/>
      <c r="E108" s="101"/>
      <c r="F108" s="102"/>
      <c r="G108" s="114"/>
    </row>
    <row r="109" spans="2:7" ht="15.75" customHeight="1" x14ac:dyDescent="0.25">
      <c r="B109" s="100"/>
      <c r="C109" s="100"/>
      <c r="D109" s="100"/>
      <c r="E109" s="101"/>
      <c r="F109" s="102"/>
      <c r="G109" s="114"/>
    </row>
    <row r="110" spans="2:7" ht="15.75" customHeight="1" x14ac:dyDescent="0.25">
      <c r="B110" s="100"/>
      <c r="C110" s="100"/>
      <c r="D110" s="100"/>
      <c r="E110" s="101"/>
      <c r="F110" s="102"/>
      <c r="G110" s="114"/>
    </row>
    <row r="111" spans="2:7" ht="15.75" customHeight="1" x14ac:dyDescent="0.25">
      <c r="B111" s="100"/>
      <c r="C111" s="100"/>
      <c r="D111" s="100"/>
      <c r="E111" s="101"/>
      <c r="F111" s="102"/>
      <c r="G111" s="114"/>
    </row>
    <row r="112" spans="2:7" ht="15.75" customHeight="1" x14ac:dyDescent="0.25">
      <c r="B112" s="100"/>
      <c r="C112" s="100"/>
      <c r="D112" s="100"/>
      <c r="E112" s="101"/>
      <c r="F112" s="102"/>
      <c r="G112" s="114"/>
    </row>
    <row r="113" spans="2:7" ht="15.75" customHeight="1" x14ac:dyDescent="0.25">
      <c r="B113" s="100"/>
      <c r="C113" s="100"/>
      <c r="D113" s="100"/>
      <c r="E113" s="101"/>
      <c r="F113" s="102"/>
      <c r="G113" s="114"/>
    </row>
    <row r="114" spans="2:7" ht="15.75" customHeight="1" x14ac:dyDescent="0.25">
      <c r="B114" s="100"/>
      <c r="C114" s="100"/>
      <c r="D114" s="100"/>
      <c r="E114" s="101"/>
      <c r="F114" s="102"/>
      <c r="G114" s="114"/>
    </row>
    <row r="115" spans="2:7" ht="15.75" customHeight="1" x14ac:dyDescent="0.25">
      <c r="B115" s="100"/>
      <c r="C115" s="100"/>
      <c r="D115" s="100"/>
      <c r="E115" s="101"/>
      <c r="F115" s="102"/>
      <c r="G115" s="114"/>
    </row>
    <row r="116" spans="2:7" ht="15.75" customHeight="1" x14ac:dyDescent="0.25">
      <c r="B116" s="100"/>
      <c r="C116" s="100"/>
      <c r="D116" s="100"/>
      <c r="E116" s="101"/>
      <c r="F116" s="102"/>
      <c r="G116" s="114"/>
    </row>
    <row r="117" spans="2:7" ht="15.75" customHeight="1" x14ac:dyDescent="0.25">
      <c r="B117" s="100"/>
      <c r="C117" s="100"/>
      <c r="D117" s="100"/>
      <c r="E117" s="101"/>
      <c r="F117" s="102"/>
      <c r="G117" s="114"/>
    </row>
    <row r="118" spans="2:7" ht="15.75" customHeight="1" x14ac:dyDescent="0.25">
      <c r="B118" s="100"/>
      <c r="C118" s="100"/>
      <c r="D118" s="100"/>
      <c r="E118" s="101"/>
      <c r="F118" s="102"/>
      <c r="G118" s="114"/>
    </row>
    <row r="119" spans="2:7" ht="15.75" customHeight="1" x14ac:dyDescent="0.25">
      <c r="B119" s="100"/>
      <c r="C119" s="100"/>
      <c r="D119" s="100"/>
      <c r="E119" s="101"/>
      <c r="F119" s="102"/>
      <c r="G119" s="114"/>
    </row>
    <row r="120" spans="2:7" ht="15.75" customHeight="1" x14ac:dyDescent="0.25">
      <c r="B120" s="100"/>
      <c r="C120" s="100"/>
      <c r="D120" s="100"/>
      <c r="E120" s="101"/>
      <c r="F120" s="102"/>
      <c r="G120" s="114"/>
    </row>
    <row r="121" spans="2:7" ht="15.75" customHeight="1" x14ac:dyDescent="0.25">
      <c r="B121" s="100"/>
      <c r="C121" s="100"/>
      <c r="D121" s="100"/>
      <c r="E121" s="101"/>
      <c r="F121" s="102"/>
      <c r="G121" s="114"/>
    </row>
    <row r="122" spans="2:7" ht="15.75" customHeight="1" x14ac:dyDescent="0.25">
      <c r="B122" s="100"/>
      <c r="C122" s="100"/>
      <c r="D122" s="100"/>
      <c r="E122" s="101"/>
      <c r="F122" s="102"/>
      <c r="G122" s="114"/>
    </row>
    <row r="123" spans="2:7" ht="15.75" customHeight="1" x14ac:dyDescent="0.25">
      <c r="B123" s="100"/>
      <c r="C123" s="100"/>
      <c r="D123" s="100"/>
      <c r="E123" s="101"/>
      <c r="F123" s="102"/>
      <c r="G123" s="114"/>
    </row>
    <row r="124" spans="2:7" ht="15.75" customHeight="1" x14ac:dyDescent="0.25">
      <c r="B124" s="100"/>
      <c r="C124" s="100"/>
      <c r="D124" s="100"/>
      <c r="E124" s="101"/>
      <c r="F124" s="102"/>
      <c r="G124" s="114"/>
    </row>
    <row r="125" spans="2:7" ht="15.75" customHeight="1" x14ac:dyDescent="0.25">
      <c r="B125" s="100"/>
      <c r="C125" s="100"/>
      <c r="D125" s="100"/>
      <c r="E125" s="101"/>
      <c r="F125" s="102"/>
      <c r="G125" s="114"/>
    </row>
    <row r="126" spans="2:7" ht="15.75" customHeight="1" x14ac:dyDescent="0.25">
      <c r="B126" s="100"/>
      <c r="C126" s="100"/>
      <c r="D126" s="100"/>
      <c r="E126" s="101"/>
      <c r="F126" s="102"/>
      <c r="G126" s="114"/>
    </row>
    <row r="127" spans="2:7" ht="15.75" customHeight="1" x14ac:dyDescent="0.25">
      <c r="B127" s="100"/>
      <c r="C127" s="100"/>
      <c r="D127" s="100"/>
      <c r="E127" s="101"/>
      <c r="F127" s="102"/>
      <c r="G127" s="114"/>
    </row>
    <row r="128" spans="2:7" ht="15.75" customHeight="1" x14ac:dyDescent="0.25">
      <c r="B128" s="100"/>
      <c r="C128" s="100"/>
      <c r="D128" s="100"/>
      <c r="E128" s="101"/>
      <c r="F128" s="102"/>
      <c r="G128" s="114"/>
    </row>
    <row r="129" spans="2:7" ht="15.75" customHeight="1" x14ac:dyDescent="0.25">
      <c r="B129" s="100"/>
      <c r="C129" s="100"/>
      <c r="D129" s="100"/>
      <c r="E129" s="101"/>
      <c r="F129" s="102"/>
      <c r="G129" s="114"/>
    </row>
    <row r="130" spans="2:7" ht="15.75" customHeight="1" x14ac:dyDescent="0.25">
      <c r="B130" s="100"/>
      <c r="C130" s="100"/>
      <c r="D130" s="100"/>
      <c r="E130" s="101"/>
      <c r="F130" s="102"/>
      <c r="G130" s="114"/>
    </row>
    <row r="131" spans="2:7" ht="15.75" customHeight="1" x14ac:dyDescent="0.25">
      <c r="B131" s="100"/>
      <c r="C131" s="100"/>
      <c r="D131" s="100"/>
      <c r="E131" s="101"/>
      <c r="F131" s="102"/>
      <c r="G131" s="114"/>
    </row>
    <row r="132" spans="2:7" ht="15.75" customHeight="1" x14ac:dyDescent="0.25">
      <c r="B132" s="100"/>
      <c r="C132" s="100"/>
      <c r="D132" s="100"/>
      <c r="E132" s="101"/>
      <c r="F132" s="102"/>
      <c r="G132" s="114"/>
    </row>
    <row r="133" spans="2:7" ht="15.75" customHeight="1" x14ac:dyDescent="0.25">
      <c r="B133" s="100"/>
      <c r="C133" s="100"/>
      <c r="D133" s="100"/>
      <c r="E133" s="101"/>
      <c r="F133" s="102"/>
      <c r="G133" s="114"/>
    </row>
    <row r="134" spans="2:7" ht="15.75" customHeight="1" x14ac:dyDescent="0.25">
      <c r="B134" s="100"/>
      <c r="C134" s="100"/>
      <c r="D134" s="100"/>
      <c r="E134" s="101"/>
      <c r="F134" s="102"/>
      <c r="G134" s="114"/>
    </row>
    <row r="135" spans="2:7" ht="15.75" customHeight="1" x14ac:dyDescent="0.25">
      <c r="B135" s="100"/>
      <c r="C135" s="100"/>
      <c r="D135" s="100"/>
      <c r="E135" s="101"/>
      <c r="F135" s="102"/>
      <c r="G135" s="114"/>
    </row>
    <row r="136" spans="2:7" ht="15.75" customHeight="1" x14ac:dyDescent="0.25">
      <c r="B136" s="100"/>
      <c r="C136" s="100"/>
      <c r="D136" s="100"/>
      <c r="E136" s="101"/>
      <c r="F136" s="102"/>
      <c r="G136" s="114"/>
    </row>
    <row r="137" spans="2:7" ht="15.75" customHeight="1" x14ac:dyDescent="0.25">
      <c r="B137" s="100"/>
      <c r="C137" s="100"/>
      <c r="D137" s="100"/>
      <c r="E137" s="101"/>
      <c r="F137" s="102"/>
      <c r="G137" s="114"/>
    </row>
    <row r="138" spans="2:7" ht="15.75" customHeight="1" x14ac:dyDescent="0.25">
      <c r="B138" s="100"/>
      <c r="C138" s="100"/>
      <c r="D138" s="100"/>
      <c r="E138" s="101"/>
      <c r="F138" s="102"/>
      <c r="G138" s="114"/>
    </row>
    <row r="139" spans="2:7" ht="15.75" customHeight="1" x14ac:dyDescent="0.25">
      <c r="B139" s="100"/>
      <c r="C139" s="100"/>
      <c r="D139" s="100"/>
      <c r="E139" s="101"/>
      <c r="F139" s="102"/>
      <c r="G139" s="114"/>
    </row>
    <row r="140" spans="2:7" ht="15.75" customHeight="1" x14ac:dyDescent="0.25">
      <c r="B140" s="100"/>
      <c r="C140" s="100"/>
      <c r="D140" s="100"/>
      <c r="E140" s="101"/>
      <c r="F140" s="102"/>
      <c r="G140" s="114"/>
    </row>
    <row r="141" spans="2:7" ht="15.75" customHeight="1" x14ac:dyDescent="0.25">
      <c r="B141" s="100"/>
      <c r="C141" s="100"/>
      <c r="D141" s="100"/>
      <c r="E141" s="101"/>
      <c r="F141" s="102"/>
      <c r="G141" s="114"/>
    </row>
    <row r="142" spans="2:7" ht="15.75" customHeight="1" x14ac:dyDescent="0.25">
      <c r="B142" s="100"/>
      <c r="C142" s="100"/>
      <c r="D142" s="100"/>
      <c r="E142" s="101"/>
      <c r="F142" s="102"/>
      <c r="G142" s="114"/>
    </row>
    <row r="143" spans="2:7" ht="15.75" customHeight="1" x14ac:dyDescent="0.25">
      <c r="B143" s="100"/>
      <c r="C143" s="100"/>
      <c r="D143" s="100"/>
      <c r="E143" s="101"/>
      <c r="F143" s="102"/>
      <c r="G143" s="114"/>
    </row>
    <row r="144" spans="2:7" ht="15.75" customHeight="1" x14ac:dyDescent="0.25">
      <c r="B144" s="100"/>
      <c r="C144" s="100"/>
      <c r="D144" s="100"/>
      <c r="E144" s="101"/>
      <c r="F144" s="102"/>
      <c r="G144" s="114"/>
    </row>
    <row r="145" spans="2:7" ht="15.75" customHeight="1" x14ac:dyDescent="0.25">
      <c r="B145" s="100"/>
      <c r="C145" s="100"/>
      <c r="D145" s="100"/>
      <c r="E145" s="101"/>
      <c r="F145" s="102"/>
      <c r="G145" s="114"/>
    </row>
    <row r="146" spans="2:7" ht="15.75" customHeight="1" x14ac:dyDescent="0.25">
      <c r="B146" s="100"/>
      <c r="C146" s="100"/>
      <c r="D146" s="100"/>
      <c r="E146" s="101"/>
      <c r="F146" s="102"/>
      <c r="G146" s="114"/>
    </row>
    <row r="147" spans="2:7" ht="15.75" customHeight="1" x14ac:dyDescent="0.25">
      <c r="B147" s="100"/>
      <c r="C147" s="100"/>
      <c r="D147" s="100"/>
      <c r="E147" s="101"/>
      <c r="F147" s="102"/>
      <c r="G147" s="114"/>
    </row>
    <row r="148" spans="2:7" ht="15.75" customHeight="1" x14ac:dyDescent="0.25">
      <c r="B148" s="100"/>
      <c r="C148" s="100"/>
      <c r="D148" s="100"/>
      <c r="E148" s="101"/>
      <c r="F148" s="102"/>
      <c r="G148" s="114"/>
    </row>
    <row r="149" spans="2:7" ht="15.75" customHeight="1" x14ac:dyDescent="0.25">
      <c r="B149" s="100"/>
      <c r="C149" s="100"/>
      <c r="D149" s="100"/>
      <c r="E149" s="101"/>
      <c r="F149" s="102"/>
      <c r="G149" s="114"/>
    </row>
    <row r="150" spans="2:7" ht="15.75" customHeight="1" x14ac:dyDescent="0.25">
      <c r="B150" s="100"/>
      <c r="C150" s="100"/>
      <c r="D150" s="100"/>
      <c r="E150" s="101"/>
      <c r="F150" s="102"/>
      <c r="G150" s="114"/>
    </row>
    <row r="151" spans="2:7" ht="15.75" customHeight="1" x14ac:dyDescent="0.25">
      <c r="B151" s="100"/>
      <c r="C151" s="100"/>
      <c r="D151" s="100"/>
      <c r="E151" s="101"/>
      <c r="F151" s="102"/>
      <c r="G151" s="114"/>
    </row>
    <row r="152" spans="2:7" ht="15.75" customHeight="1" x14ac:dyDescent="0.25">
      <c r="B152" s="100"/>
      <c r="C152" s="100"/>
      <c r="D152" s="100"/>
      <c r="E152" s="101"/>
      <c r="F152" s="102"/>
      <c r="G152" s="114"/>
    </row>
    <row r="153" spans="2:7" ht="15.75" customHeight="1" x14ac:dyDescent="0.25">
      <c r="B153" s="100"/>
      <c r="C153" s="100"/>
      <c r="D153" s="100"/>
      <c r="E153" s="101"/>
      <c r="F153" s="102"/>
      <c r="G153" s="114"/>
    </row>
    <row r="154" spans="2:7" ht="15.75" customHeight="1" x14ac:dyDescent="0.25">
      <c r="B154" s="100"/>
      <c r="C154" s="100"/>
      <c r="D154" s="100"/>
      <c r="E154" s="101"/>
      <c r="F154" s="102"/>
      <c r="G154" s="114"/>
    </row>
    <row r="155" spans="2:7" ht="15.75" customHeight="1" x14ac:dyDescent="0.25">
      <c r="B155" s="100"/>
      <c r="C155" s="100"/>
      <c r="D155" s="100"/>
      <c r="E155" s="101"/>
      <c r="F155" s="102"/>
      <c r="G155" s="114"/>
    </row>
    <row r="156" spans="2:7" ht="15.75" customHeight="1" x14ac:dyDescent="0.25">
      <c r="B156" s="100"/>
      <c r="C156" s="100"/>
      <c r="D156" s="100"/>
      <c r="E156" s="101"/>
      <c r="F156" s="102"/>
      <c r="G156" s="114"/>
    </row>
    <row r="157" spans="2:7" ht="15.75" customHeight="1" x14ac:dyDescent="0.25">
      <c r="B157" s="100"/>
      <c r="C157" s="100"/>
      <c r="D157" s="100"/>
      <c r="E157" s="101"/>
      <c r="F157" s="102"/>
      <c r="G157" s="114"/>
    </row>
    <row r="158" spans="2:7" ht="15.75" customHeight="1" x14ac:dyDescent="0.25">
      <c r="B158" s="100"/>
      <c r="C158" s="100"/>
      <c r="D158" s="100"/>
      <c r="E158" s="101"/>
      <c r="F158" s="102"/>
      <c r="G158" s="114"/>
    </row>
    <row r="159" spans="2:7" ht="15.75" customHeight="1" x14ac:dyDescent="0.25">
      <c r="B159" s="100"/>
      <c r="C159" s="100"/>
      <c r="D159" s="100"/>
      <c r="E159" s="101"/>
      <c r="F159" s="102"/>
      <c r="G159" s="114"/>
    </row>
    <row r="160" spans="2:7" ht="15.75" customHeight="1" x14ac:dyDescent="0.25">
      <c r="B160" s="100"/>
      <c r="C160" s="100"/>
      <c r="D160" s="100"/>
      <c r="E160" s="101"/>
      <c r="F160" s="102"/>
      <c r="G160" s="114"/>
    </row>
    <row r="161" spans="2:7" ht="15.75" customHeight="1" x14ac:dyDescent="0.25">
      <c r="B161" s="100"/>
      <c r="C161" s="100"/>
      <c r="D161" s="100"/>
      <c r="E161" s="101"/>
      <c r="F161" s="102"/>
      <c r="G161" s="114"/>
    </row>
    <row r="162" spans="2:7" ht="15.75" customHeight="1" x14ac:dyDescent="0.25">
      <c r="B162" s="100"/>
      <c r="C162" s="100"/>
      <c r="D162" s="100"/>
      <c r="E162" s="101"/>
      <c r="F162" s="102"/>
      <c r="G162" s="114"/>
    </row>
    <row r="163" spans="2:7" ht="15.75" customHeight="1" x14ac:dyDescent="0.25">
      <c r="B163" s="100"/>
      <c r="C163" s="100"/>
      <c r="D163" s="100"/>
      <c r="E163" s="101"/>
      <c r="F163" s="102"/>
      <c r="G163" s="114"/>
    </row>
    <row r="164" spans="2:7" ht="15.75" customHeight="1" x14ac:dyDescent="0.25">
      <c r="B164" s="100"/>
      <c r="C164" s="100"/>
      <c r="D164" s="100"/>
      <c r="E164" s="101"/>
      <c r="F164" s="102"/>
      <c r="G164" s="114"/>
    </row>
    <row r="165" spans="2:7" ht="15.75" customHeight="1" x14ac:dyDescent="0.25">
      <c r="B165" s="100"/>
      <c r="C165" s="100"/>
      <c r="D165" s="100"/>
      <c r="E165" s="101"/>
      <c r="F165" s="102"/>
      <c r="G165" s="114"/>
    </row>
    <row r="166" spans="2:7" ht="15.75" customHeight="1" x14ac:dyDescent="0.25">
      <c r="B166" s="100"/>
      <c r="C166" s="100"/>
      <c r="D166" s="100"/>
      <c r="E166" s="101"/>
      <c r="F166" s="102"/>
      <c r="G166" s="114"/>
    </row>
    <row r="167" spans="2:7" ht="15.75" customHeight="1" x14ac:dyDescent="0.25">
      <c r="B167" s="100"/>
      <c r="C167" s="100"/>
      <c r="D167" s="100"/>
      <c r="E167" s="101"/>
      <c r="F167" s="102"/>
      <c r="G167" s="114"/>
    </row>
    <row r="168" spans="2:7" ht="15.75" customHeight="1" x14ac:dyDescent="0.25">
      <c r="B168" s="100"/>
      <c r="C168" s="100"/>
      <c r="D168" s="100"/>
      <c r="E168" s="101"/>
      <c r="F168" s="102"/>
      <c r="G168" s="114"/>
    </row>
    <row r="169" spans="2:7" ht="15.75" customHeight="1" x14ac:dyDescent="0.25">
      <c r="B169" s="100"/>
      <c r="C169" s="100"/>
      <c r="D169" s="100"/>
      <c r="E169" s="101"/>
      <c r="F169" s="102"/>
      <c r="G169" s="114"/>
    </row>
    <row r="170" spans="2:7" ht="15.75" customHeight="1" x14ac:dyDescent="0.25">
      <c r="B170" s="100"/>
      <c r="C170" s="100"/>
      <c r="D170" s="100"/>
      <c r="E170" s="101"/>
      <c r="F170" s="102"/>
      <c r="G170" s="114"/>
    </row>
    <row r="171" spans="2:7" ht="15.75" customHeight="1" x14ac:dyDescent="0.25">
      <c r="B171" s="100"/>
      <c r="C171" s="100"/>
      <c r="D171" s="100"/>
      <c r="E171" s="101"/>
      <c r="F171" s="102"/>
      <c r="G171" s="114"/>
    </row>
    <row r="172" spans="2:7" ht="15.75" customHeight="1" x14ac:dyDescent="0.25">
      <c r="B172" s="100"/>
      <c r="C172" s="100"/>
      <c r="D172" s="100"/>
      <c r="E172" s="101"/>
      <c r="F172" s="102"/>
      <c r="G172" s="114"/>
    </row>
    <row r="173" spans="2:7" ht="15.75" customHeight="1" x14ac:dyDescent="0.25">
      <c r="B173" s="100"/>
      <c r="C173" s="100"/>
      <c r="D173" s="100"/>
      <c r="E173" s="101"/>
      <c r="F173" s="102"/>
      <c r="G173" s="114"/>
    </row>
    <row r="174" spans="2:7" ht="15.75" customHeight="1" x14ac:dyDescent="0.25">
      <c r="B174" s="100"/>
      <c r="C174" s="100"/>
      <c r="D174" s="100"/>
      <c r="E174" s="101"/>
      <c r="F174" s="102"/>
      <c r="G174" s="114"/>
    </row>
    <row r="175" spans="2:7" ht="15.75" customHeight="1" x14ac:dyDescent="0.25">
      <c r="B175" s="100"/>
      <c r="C175" s="100"/>
      <c r="D175" s="100"/>
      <c r="E175" s="101"/>
      <c r="F175" s="102"/>
      <c r="G175" s="114"/>
    </row>
    <row r="176" spans="2:7" ht="15.75" customHeight="1" x14ac:dyDescent="0.25">
      <c r="B176" s="100"/>
      <c r="C176" s="100"/>
      <c r="D176" s="100"/>
      <c r="E176" s="101"/>
      <c r="F176" s="102"/>
      <c r="G176" s="114"/>
    </row>
    <row r="177" spans="2:7" ht="15.75" customHeight="1" x14ac:dyDescent="0.25">
      <c r="B177" s="100"/>
      <c r="C177" s="100"/>
      <c r="D177" s="100"/>
      <c r="E177" s="101"/>
      <c r="F177" s="102"/>
      <c r="G177" s="114"/>
    </row>
    <row r="178" spans="2:7" ht="15.75" customHeight="1" x14ac:dyDescent="0.25">
      <c r="B178" s="100"/>
      <c r="C178" s="100"/>
      <c r="D178" s="100"/>
      <c r="E178" s="101"/>
      <c r="F178" s="102"/>
      <c r="G178" s="114"/>
    </row>
    <row r="179" spans="2:7" ht="15.75" customHeight="1" x14ac:dyDescent="0.25">
      <c r="B179" s="100"/>
      <c r="C179" s="100"/>
      <c r="D179" s="100"/>
      <c r="E179" s="101"/>
      <c r="F179" s="102"/>
      <c r="G179" s="114"/>
    </row>
    <row r="180" spans="2:7" ht="15.75" customHeight="1" x14ac:dyDescent="0.25">
      <c r="B180" s="100"/>
      <c r="C180" s="100"/>
      <c r="D180" s="100"/>
      <c r="E180" s="101"/>
      <c r="F180" s="102"/>
      <c r="G180" s="114"/>
    </row>
    <row r="181" spans="2:7" ht="15.75" customHeight="1" x14ac:dyDescent="0.25">
      <c r="B181" s="100"/>
      <c r="C181" s="100"/>
      <c r="D181" s="100"/>
      <c r="E181" s="101"/>
      <c r="F181" s="102"/>
      <c r="G181" s="114"/>
    </row>
    <row r="182" spans="2:7" ht="15.75" customHeight="1" x14ac:dyDescent="0.25">
      <c r="B182" s="100"/>
      <c r="C182" s="100"/>
      <c r="D182" s="100"/>
      <c r="E182" s="101"/>
      <c r="F182" s="102"/>
      <c r="G182" s="114"/>
    </row>
    <row r="183" spans="2:7" ht="15.75" customHeight="1" x14ac:dyDescent="0.25">
      <c r="B183" s="100"/>
      <c r="C183" s="100"/>
      <c r="D183" s="100"/>
      <c r="E183" s="101"/>
      <c r="F183" s="102"/>
      <c r="G183" s="114"/>
    </row>
    <row r="184" spans="2:7" ht="15.75" customHeight="1" x14ac:dyDescent="0.25">
      <c r="B184" s="100"/>
      <c r="C184" s="100"/>
      <c r="D184" s="100"/>
      <c r="E184" s="101"/>
      <c r="F184" s="102"/>
      <c r="G184" s="114"/>
    </row>
    <row r="185" spans="2:7" ht="15.75" customHeight="1" x14ac:dyDescent="0.25">
      <c r="B185" s="100"/>
      <c r="C185" s="100"/>
      <c r="D185" s="100"/>
      <c r="E185" s="101"/>
      <c r="F185" s="102"/>
      <c r="G185" s="114"/>
    </row>
    <row r="186" spans="2:7" ht="15.75" customHeight="1" x14ac:dyDescent="0.25">
      <c r="B186" s="100"/>
      <c r="C186" s="100"/>
      <c r="D186" s="100"/>
      <c r="E186" s="101"/>
      <c r="F186" s="102"/>
      <c r="G186" s="114"/>
    </row>
    <row r="187" spans="2:7" ht="15.75" customHeight="1" x14ac:dyDescent="0.25">
      <c r="B187" s="100"/>
      <c r="C187" s="100"/>
      <c r="D187" s="100"/>
      <c r="E187" s="101"/>
      <c r="F187" s="102"/>
      <c r="G187" s="114"/>
    </row>
    <row r="188" spans="2:7" ht="15.75" customHeight="1" x14ac:dyDescent="0.25">
      <c r="B188" s="100"/>
      <c r="C188" s="100"/>
      <c r="D188" s="100"/>
      <c r="E188" s="101"/>
      <c r="F188" s="102"/>
      <c r="G188" s="114"/>
    </row>
    <row r="189" spans="2:7" ht="15.75" customHeight="1" x14ac:dyDescent="0.25">
      <c r="B189" s="100"/>
      <c r="C189" s="100"/>
      <c r="D189" s="100"/>
      <c r="E189" s="101"/>
      <c r="F189" s="102"/>
      <c r="G189" s="114"/>
    </row>
    <row r="190" spans="2:7" ht="15.75" customHeight="1" x14ac:dyDescent="0.25">
      <c r="B190" s="100"/>
      <c r="C190" s="100"/>
      <c r="D190" s="100"/>
      <c r="E190" s="101"/>
      <c r="F190" s="102"/>
      <c r="G190" s="114"/>
    </row>
    <row r="191" spans="2:7" ht="15.75" customHeight="1" x14ac:dyDescent="0.25">
      <c r="B191" s="100"/>
      <c r="C191" s="100"/>
      <c r="D191" s="100"/>
      <c r="E191" s="101"/>
      <c r="F191" s="102"/>
      <c r="G191" s="114"/>
    </row>
    <row r="192" spans="2:7" ht="15.75" customHeight="1" x14ac:dyDescent="0.25">
      <c r="B192" s="100"/>
      <c r="C192" s="100"/>
      <c r="D192" s="100"/>
      <c r="E192" s="101"/>
      <c r="F192" s="102"/>
      <c r="G192" s="114"/>
    </row>
    <row r="193" spans="2:7" ht="15.75" customHeight="1" x14ac:dyDescent="0.25">
      <c r="B193" s="100"/>
      <c r="C193" s="100"/>
      <c r="D193" s="100"/>
      <c r="E193" s="101"/>
      <c r="F193" s="102"/>
      <c r="G193" s="114"/>
    </row>
    <row r="194" spans="2:7" ht="15.75" customHeight="1" x14ac:dyDescent="0.25">
      <c r="B194" s="100"/>
      <c r="C194" s="100"/>
      <c r="D194" s="100"/>
      <c r="E194" s="101"/>
      <c r="F194" s="102"/>
      <c r="G194" s="114"/>
    </row>
    <row r="195" spans="2:7" ht="15.75" customHeight="1" x14ac:dyDescent="0.25">
      <c r="B195" s="100"/>
      <c r="C195" s="100"/>
      <c r="D195" s="100"/>
      <c r="E195" s="101"/>
      <c r="F195" s="102"/>
      <c r="G195" s="114"/>
    </row>
    <row r="196" spans="2:7" ht="15.75" customHeight="1" x14ac:dyDescent="0.25">
      <c r="B196" s="100"/>
      <c r="C196" s="100"/>
      <c r="D196" s="100"/>
      <c r="E196" s="101"/>
      <c r="F196" s="102"/>
      <c r="G196" s="114"/>
    </row>
    <row r="197" spans="2:7" ht="15.75" customHeight="1" x14ac:dyDescent="0.25">
      <c r="B197" s="100"/>
      <c r="C197" s="100"/>
      <c r="D197" s="100"/>
      <c r="E197" s="101"/>
      <c r="F197" s="102"/>
      <c r="G197" s="114"/>
    </row>
    <row r="198" spans="2:7" ht="15.75" customHeight="1" x14ac:dyDescent="0.25">
      <c r="B198" s="100"/>
      <c r="C198" s="100"/>
      <c r="D198" s="100"/>
      <c r="E198" s="101"/>
      <c r="F198" s="102"/>
      <c r="G198" s="114"/>
    </row>
    <row r="199" spans="2:7" ht="15.75" customHeight="1" x14ac:dyDescent="0.25">
      <c r="B199" s="100"/>
      <c r="C199" s="100"/>
      <c r="D199" s="100"/>
      <c r="E199" s="101"/>
      <c r="F199" s="102"/>
      <c r="G199" s="114"/>
    </row>
    <row r="200" spans="2:7" ht="15.75" customHeight="1" x14ac:dyDescent="0.25">
      <c r="B200" s="100"/>
      <c r="C200" s="100"/>
      <c r="D200" s="100"/>
      <c r="E200" s="101"/>
      <c r="F200" s="102"/>
      <c r="G200" s="114"/>
    </row>
    <row r="201" spans="2:7" ht="15.75" customHeight="1" x14ac:dyDescent="0.25">
      <c r="B201" s="100"/>
      <c r="C201" s="100"/>
      <c r="D201" s="100"/>
      <c r="E201" s="101"/>
      <c r="F201" s="102"/>
      <c r="G201" s="114"/>
    </row>
    <row r="202" spans="2:7" ht="15.75" customHeight="1" x14ac:dyDescent="0.25">
      <c r="B202" s="100"/>
      <c r="C202" s="100"/>
      <c r="D202" s="100"/>
      <c r="E202" s="101"/>
      <c r="F202" s="102"/>
      <c r="G202" s="114"/>
    </row>
    <row r="203" spans="2:7" ht="15.75" customHeight="1" x14ac:dyDescent="0.25">
      <c r="B203" s="100"/>
      <c r="C203" s="100"/>
      <c r="D203" s="100"/>
      <c r="E203" s="101"/>
      <c r="F203" s="102"/>
      <c r="G203" s="114"/>
    </row>
    <row r="204" spans="2:7" ht="15.75" customHeight="1" x14ac:dyDescent="0.25">
      <c r="B204" s="100"/>
      <c r="C204" s="100"/>
      <c r="D204" s="100"/>
      <c r="E204" s="101"/>
      <c r="F204" s="102"/>
      <c r="G204" s="114"/>
    </row>
    <row r="205" spans="2:7" ht="15.75" customHeight="1" x14ac:dyDescent="0.25">
      <c r="B205" s="100"/>
      <c r="C205" s="100"/>
      <c r="D205" s="100"/>
      <c r="E205" s="101"/>
      <c r="F205" s="102"/>
      <c r="G205" s="114"/>
    </row>
    <row r="206" spans="2:7" ht="15.75" customHeight="1" x14ac:dyDescent="0.25">
      <c r="B206" s="100"/>
      <c r="C206" s="100"/>
      <c r="D206" s="100"/>
      <c r="E206" s="101"/>
      <c r="F206" s="102"/>
      <c r="G206" s="114"/>
    </row>
    <row r="207" spans="2:7" ht="15.75" customHeight="1" x14ac:dyDescent="0.25">
      <c r="B207" s="100"/>
      <c r="C207" s="100"/>
      <c r="D207" s="100"/>
      <c r="E207" s="101"/>
      <c r="F207" s="102"/>
      <c r="G207" s="114"/>
    </row>
    <row r="208" spans="2:7" ht="15.75" customHeight="1" x14ac:dyDescent="0.25">
      <c r="B208" s="100"/>
      <c r="C208" s="100"/>
      <c r="D208" s="100"/>
      <c r="E208" s="101"/>
      <c r="F208" s="102"/>
      <c r="G208" s="114"/>
    </row>
    <row r="209" spans="2:7" ht="15.75" customHeight="1" x14ac:dyDescent="0.25">
      <c r="B209" s="100"/>
      <c r="C209" s="100"/>
      <c r="D209" s="100"/>
      <c r="E209" s="101"/>
      <c r="F209" s="102"/>
      <c r="G209" s="114"/>
    </row>
    <row r="210" spans="2:7" ht="15.75" customHeight="1" x14ac:dyDescent="0.25">
      <c r="B210" s="100"/>
      <c r="C210" s="100"/>
      <c r="D210" s="100"/>
      <c r="E210" s="101"/>
      <c r="F210" s="102"/>
      <c r="G210" s="114"/>
    </row>
    <row r="211" spans="2:7" ht="15.75" customHeight="1" x14ac:dyDescent="0.25">
      <c r="B211" s="100"/>
      <c r="C211" s="100"/>
      <c r="D211" s="100"/>
      <c r="E211" s="101"/>
      <c r="F211" s="102"/>
      <c r="G211" s="114"/>
    </row>
    <row r="212" spans="2:7" ht="15.75" customHeight="1" x14ac:dyDescent="0.25">
      <c r="B212" s="100"/>
      <c r="C212" s="100"/>
      <c r="D212" s="100"/>
      <c r="E212" s="101"/>
      <c r="F212" s="102"/>
      <c r="G212" s="114"/>
    </row>
    <row r="213" spans="2:7" ht="15.75" customHeight="1" x14ac:dyDescent="0.25">
      <c r="B213" s="100"/>
      <c r="C213" s="100"/>
      <c r="D213" s="100"/>
      <c r="E213" s="101"/>
      <c r="F213" s="102"/>
      <c r="G213" s="114"/>
    </row>
    <row r="214" spans="2:7" ht="15.75" customHeight="1" x14ac:dyDescent="0.25">
      <c r="B214" s="100"/>
      <c r="C214" s="100"/>
      <c r="D214" s="100"/>
      <c r="E214" s="101"/>
      <c r="F214" s="102"/>
      <c r="G214" s="114"/>
    </row>
    <row r="215" spans="2:7" ht="15.75" customHeight="1" x14ac:dyDescent="0.25">
      <c r="B215" s="100"/>
      <c r="C215" s="100"/>
      <c r="D215" s="100"/>
      <c r="E215" s="101"/>
      <c r="F215" s="102"/>
      <c r="G215" s="114"/>
    </row>
    <row r="216" spans="2:7" ht="15.75" customHeight="1" x14ac:dyDescent="0.25">
      <c r="B216" s="100"/>
      <c r="C216" s="100"/>
      <c r="D216" s="100"/>
      <c r="E216" s="101"/>
      <c r="F216" s="102"/>
      <c r="G216" s="114"/>
    </row>
    <row r="217" spans="2:7" ht="15.75" customHeight="1" x14ac:dyDescent="0.25">
      <c r="B217" s="100"/>
      <c r="C217" s="100"/>
      <c r="D217" s="100"/>
      <c r="E217" s="101"/>
      <c r="F217" s="102"/>
      <c r="G217" s="114"/>
    </row>
    <row r="218" spans="2:7" ht="15.75" customHeight="1" x14ac:dyDescent="0.25">
      <c r="B218" s="100"/>
      <c r="C218" s="100"/>
      <c r="D218" s="100"/>
      <c r="E218" s="101"/>
      <c r="F218" s="102"/>
      <c r="G218" s="114"/>
    </row>
    <row r="219" spans="2:7" ht="15.75" customHeight="1" x14ac:dyDescent="0.25">
      <c r="B219" s="100"/>
      <c r="C219" s="100"/>
      <c r="D219" s="100"/>
      <c r="E219" s="101"/>
      <c r="F219" s="102"/>
      <c r="G219" s="114"/>
    </row>
    <row r="220" spans="2:7" ht="15.75" customHeight="1" x14ac:dyDescent="0.25">
      <c r="B220" s="100"/>
      <c r="C220" s="100"/>
      <c r="D220" s="100"/>
      <c r="E220" s="101"/>
      <c r="F220" s="102"/>
      <c r="G220" s="114"/>
    </row>
    <row r="221" spans="2:7" ht="15.75" customHeight="1" x14ac:dyDescent="0.25">
      <c r="B221" s="100"/>
      <c r="C221" s="100"/>
      <c r="D221" s="100"/>
      <c r="E221" s="101"/>
      <c r="F221" s="102"/>
      <c r="G221" s="114"/>
    </row>
    <row r="222" spans="2:7" ht="15.75" customHeight="1" x14ac:dyDescent="0.25">
      <c r="B222" s="100"/>
      <c r="C222" s="100"/>
      <c r="D222" s="100"/>
      <c r="E222" s="101"/>
      <c r="F222" s="102"/>
      <c r="G222" s="114"/>
    </row>
    <row r="223" spans="2:7" ht="15.75" customHeight="1" x14ac:dyDescent="0.25">
      <c r="B223" s="100"/>
      <c r="C223" s="100"/>
      <c r="D223" s="100"/>
      <c r="E223" s="101"/>
      <c r="F223" s="102"/>
      <c r="G223" s="114"/>
    </row>
    <row r="224" spans="2:7" ht="15.75" customHeight="1" x14ac:dyDescent="0.25">
      <c r="B224" s="100"/>
      <c r="C224" s="100"/>
      <c r="D224" s="100"/>
      <c r="E224" s="101"/>
      <c r="F224" s="102"/>
      <c r="G224" s="114"/>
    </row>
    <row r="225" spans="2:7" ht="15.75" customHeight="1" x14ac:dyDescent="0.25">
      <c r="B225" s="100"/>
      <c r="C225" s="100"/>
      <c r="D225" s="100"/>
      <c r="E225" s="101"/>
      <c r="F225" s="102"/>
      <c r="G225" s="114"/>
    </row>
    <row r="226" spans="2:7" ht="15.75" customHeight="1" x14ac:dyDescent="0.25">
      <c r="B226" s="100"/>
      <c r="C226" s="100"/>
      <c r="D226" s="100"/>
      <c r="E226" s="101"/>
      <c r="F226" s="102"/>
      <c r="G226" s="114"/>
    </row>
    <row r="227" spans="2:7" ht="15.75" customHeight="1" x14ac:dyDescent="0.25">
      <c r="B227" s="100"/>
      <c r="C227" s="100"/>
      <c r="D227" s="100"/>
      <c r="E227" s="101"/>
      <c r="F227" s="102"/>
      <c r="G227" s="114"/>
    </row>
    <row r="228" spans="2:7" ht="15.75" customHeight="1" x14ac:dyDescent="0.25">
      <c r="B228" s="100"/>
      <c r="C228" s="100"/>
      <c r="D228" s="100"/>
      <c r="E228" s="101"/>
      <c r="F228" s="102"/>
      <c r="G228" s="114"/>
    </row>
    <row r="229" spans="2:7" ht="15.75" customHeight="1" x14ac:dyDescent="0.25">
      <c r="B229" s="100"/>
      <c r="C229" s="100"/>
      <c r="D229" s="100"/>
      <c r="E229" s="101"/>
      <c r="F229" s="102"/>
      <c r="G229" s="114"/>
    </row>
    <row r="230" spans="2:7" ht="15.75" customHeight="1" x14ac:dyDescent="0.25">
      <c r="B230" s="100"/>
      <c r="C230" s="100"/>
      <c r="D230" s="100"/>
      <c r="E230" s="101"/>
      <c r="F230" s="102"/>
      <c r="G230" s="114"/>
    </row>
    <row r="231" spans="2:7" ht="15.75" customHeight="1" x14ac:dyDescent="0.25">
      <c r="B231" s="100"/>
      <c r="C231" s="100"/>
      <c r="D231" s="100"/>
      <c r="E231" s="101"/>
      <c r="F231" s="102"/>
      <c r="G231" s="114"/>
    </row>
    <row r="232" spans="2:7" ht="15.75" customHeight="1" x14ac:dyDescent="0.25">
      <c r="B232" s="100"/>
      <c r="C232" s="100"/>
      <c r="D232" s="100"/>
      <c r="E232" s="101"/>
      <c r="F232" s="102"/>
      <c r="G232" s="114"/>
    </row>
    <row r="233" spans="2:7" ht="15.75" customHeight="1" x14ac:dyDescent="0.25">
      <c r="B233" s="100"/>
      <c r="C233" s="100"/>
      <c r="D233" s="100"/>
      <c r="E233" s="101"/>
      <c r="F233" s="102"/>
      <c r="G233" s="114"/>
    </row>
    <row r="234" spans="2:7" ht="15.75" customHeight="1" x14ac:dyDescent="0.25">
      <c r="B234" s="100"/>
      <c r="C234" s="100"/>
      <c r="D234" s="100"/>
      <c r="E234" s="101"/>
      <c r="F234" s="102"/>
      <c r="G234" s="114"/>
    </row>
    <row r="235" spans="2:7" ht="15.75" customHeight="1" x14ac:dyDescent="0.25">
      <c r="B235" s="100"/>
      <c r="C235" s="100"/>
      <c r="D235" s="100"/>
      <c r="E235" s="101"/>
      <c r="F235" s="102"/>
      <c r="G235" s="114"/>
    </row>
    <row r="236" spans="2:7" ht="15.75" customHeight="1" x14ac:dyDescent="0.25">
      <c r="B236" s="100"/>
      <c r="C236" s="100"/>
      <c r="D236" s="100"/>
      <c r="E236" s="101"/>
      <c r="F236" s="102"/>
      <c r="G236" s="114"/>
    </row>
    <row r="237" spans="2:7" ht="15.75" customHeight="1" x14ac:dyDescent="0.25">
      <c r="B237" s="100"/>
      <c r="C237" s="100"/>
      <c r="D237" s="100"/>
      <c r="E237" s="101"/>
      <c r="F237" s="102"/>
      <c r="G237" s="114"/>
    </row>
    <row r="238" spans="2:7" ht="15.75" customHeight="1" x14ac:dyDescent="0.25">
      <c r="B238" s="100"/>
      <c r="C238" s="100"/>
      <c r="D238" s="100"/>
      <c r="E238" s="101"/>
      <c r="F238" s="102"/>
      <c r="G238" s="114"/>
    </row>
    <row r="239" spans="2:7" ht="15.75" customHeight="1" x14ac:dyDescent="0.25">
      <c r="B239" s="100"/>
      <c r="C239" s="100"/>
      <c r="D239" s="100"/>
      <c r="E239" s="101"/>
      <c r="F239" s="102"/>
      <c r="G239" s="114"/>
    </row>
    <row r="240" spans="2:7" ht="15.75" customHeight="1" x14ac:dyDescent="0.25">
      <c r="B240" s="100"/>
      <c r="C240" s="100"/>
      <c r="D240" s="100"/>
      <c r="E240" s="101"/>
      <c r="F240" s="102"/>
      <c r="G240" s="114"/>
    </row>
    <row r="241" spans="2:7" ht="15.75" customHeight="1" x14ac:dyDescent="0.25">
      <c r="B241" s="100"/>
      <c r="C241" s="100"/>
      <c r="D241" s="100"/>
      <c r="E241" s="101"/>
      <c r="F241" s="102"/>
      <c r="G241" s="114"/>
    </row>
    <row r="242" spans="2:7" ht="15.75" customHeight="1" x14ac:dyDescent="0.25">
      <c r="B242" s="100"/>
      <c r="C242" s="100"/>
      <c r="D242" s="100"/>
      <c r="E242" s="101"/>
      <c r="F242" s="102"/>
      <c r="G242" s="114"/>
    </row>
    <row r="243" spans="2:7" ht="15.75" customHeight="1" x14ac:dyDescent="0.25">
      <c r="B243" s="100"/>
      <c r="C243" s="100"/>
      <c r="D243" s="100"/>
      <c r="E243" s="101"/>
      <c r="F243" s="102"/>
      <c r="G243" s="114"/>
    </row>
    <row r="244" spans="2:7" ht="15.75" customHeight="1" x14ac:dyDescent="0.25">
      <c r="B244" s="100"/>
      <c r="C244" s="100"/>
      <c r="D244" s="100"/>
      <c r="E244" s="101"/>
      <c r="F244" s="102"/>
      <c r="G244" s="114"/>
    </row>
    <row r="245" spans="2:7" ht="15.75" customHeight="1" x14ac:dyDescent="0.25">
      <c r="B245" s="100"/>
      <c r="C245" s="100"/>
      <c r="D245" s="100"/>
      <c r="E245" s="101"/>
      <c r="F245" s="102"/>
      <c r="G245" s="114"/>
    </row>
    <row r="246" spans="2:7" ht="15.75" customHeight="1" x14ac:dyDescent="0.25">
      <c r="B246" s="100"/>
      <c r="C246" s="100"/>
      <c r="D246" s="100"/>
      <c r="E246" s="101"/>
      <c r="F246" s="102"/>
      <c r="G246" s="114"/>
    </row>
    <row r="247" spans="2:7" ht="15.75" customHeight="1" x14ac:dyDescent="0.25">
      <c r="B247" s="100"/>
      <c r="C247" s="100"/>
      <c r="D247" s="100"/>
      <c r="E247" s="101"/>
      <c r="F247" s="102"/>
      <c r="G247" s="114"/>
    </row>
    <row r="248" spans="2:7" ht="15.75" customHeight="1" x14ac:dyDescent="0.25">
      <c r="B248" s="100"/>
      <c r="C248" s="100"/>
      <c r="D248" s="100"/>
      <c r="E248" s="101"/>
      <c r="F248" s="102"/>
      <c r="G248" s="114"/>
    </row>
    <row r="249" spans="2:7" ht="15.75" customHeight="1" x14ac:dyDescent="0.25">
      <c r="B249" s="100"/>
      <c r="C249" s="100"/>
      <c r="D249" s="100"/>
      <c r="E249" s="101"/>
      <c r="F249" s="102"/>
      <c r="G249" s="114"/>
    </row>
    <row r="250" spans="2:7" ht="15.75" customHeight="1" x14ac:dyDescent="0.25">
      <c r="B250" s="100"/>
      <c r="C250" s="100"/>
      <c r="D250" s="100"/>
      <c r="E250" s="101"/>
      <c r="F250" s="102"/>
      <c r="G250" s="114"/>
    </row>
    <row r="251" spans="2:7" ht="15.75" customHeight="1" x14ac:dyDescent="0.25">
      <c r="B251" s="100"/>
      <c r="C251" s="100"/>
      <c r="D251" s="100"/>
      <c r="E251" s="101"/>
      <c r="F251" s="102"/>
      <c r="G251" s="114"/>
    </row>
    <row r="252" spans="2:7" ht="15.75" customHeight="1" x14ac:dyDescent="0.25">
      <c r="B252" s="100"/>
      <c r="C252" s="100"/>
      <c r="D252" s="100"/>
      <c r="E252" s="101"/>
      <c r="F252" s="102"/>
      <c r="G252" s="114"/>
    </row>
    <row r="253" spans="2:7" ht="15.75" customHeight="1" x14ac:dyDescent="0.25">
      <c r="B253" s="100"/>
      <c r="C253" s="100"/>
      <c r="D253" s="100"/>
      <c r="E253" s="101"/>
      <c r="F253" s="102"/>
      <c r="G253" s="114"/>
    </row>
    <row r="254" spans="2:7" ht="15.75" customHeight="1" x14ac:dyDescent="0.25">
      <c r="B254" s="100"/>
      <c r="C254" s="100"/>
      <c r="D254" s="100"/>
      <c r="E254" s="101"/>
      <c r="F254" s="102"/>
      <c r="G254" s="114"/>
    </row>
    <row r="255" spans="2:7" ht="15.75" customHeight="1" x14ac:dyDescent="0.25">
      <c r="B255" s="100"/>
      <c r="C255" s="100"/>
      <c r="D255" s="100"/>
      <c r="E255" s="101"/>
      <c r="F255" s="102"/>
      <c r="G255" s="114"/>
    </row>
    <row r="256" spans="2:7" ht="15.75" customHeight="1" x14ac:dyDescent="0.25">
      <c r="B256" s="100"/>
      <c r="C256" s="100"/>
      <c r="D256" s="100"/>
      <c r="E256" s="101"/>
      <c r="F256" s="102"/>
      <c r="G256" s="114"/>
    </row>
    <row r="257" spans="2:7" ht="15.75" customHeight="1" x14ac:dyDescent="0.25">
      <c r="B257" s="100"/>
      <c r="C257" s="100"/>
      <c r="D257" s="100"/>
      <c r="E257" s="101"/>
      <c r="F257" s="102"/>
      <c r="G257" s="114"/>
    </row>
    <row r="258" spans="2:7" ht="15.75" customHeight="1" x14ac:dyDescent="0.25">
      <c r="B258" s="100"/>
      <c r="C258" s="100"/>
      <c r="D258" s="100"/>
      <c r="E258" s="101"/>
      <c r="F258" s="102"/>
      <c r="G258" s="114"/>
    </row>
    <row r="259" spans="2:7" ht="15.75" customHeight="1" x14ac:dyDescent="0.25">
      <c r="B259" s="100"/>
      <c r="C259" s="100"/>
      <c r="D259" s="100"/>
      <c r="E259" s="101"/>
      <c r="F259" s="102"/>
      <c r="G259" s="114"/>
    </row>
    <row r="260" spans="2:7" ht="15.75" customHeight="1" x14ac:dyDescent="0.25">
      <c r="B260" s="100"/>
      <c r="C260" s="100"/>
      <c r="D260" s="100"/>
      <c r="E260" s="101"/>
      <c r="F260" s="102"/>
      <c r="G260" s="114"/>
    </row>
    <row r="261" spans="2:7" ht="15.75" customHeight="1" x14ac:dyDescent="0.25">
      <c r="B261" s="100"/>
      <c r="C261" s="100"/>
      <c r="D261" s="100"/>
      <c r="E261" s="101"/>
      <c r="F261" s="102"/>
      <c r="G261" s="114"/>
    </row>
    <row r="262" spans="2:7" ht="15.75" customHeight="1" x14ac:dyDescent="0.25">
      <c r="B262" s="100"/>
      <c r="C262" s="100"/>
      <c r="D262" s="100"/>
      <c r="E262" s="101"/>
      <c r="F262" s="102"/>
      <c r="G262" s="114"/>
    </row>
    <row r="263" spans="2:7" ht="15.75" customHeight="1" x14ac:dyDescent="0.25">
      <c r="B263" s="100"/>
      <c r="C263" s="100"/>
      <c r="D263" s="100"/>
      <c r="E263" s="101"/>
      <c r="F263" s="102"/>
      <c r="G263" s="114"/>
    </row>
    <row r="264" spans="2:7" ht="15.75" customHeight="1" x14ac:dyDescent="0.25">
      <c r="B264" s="100"/>
      <c r="C264" s="100"/>
      <c r="D264" s="100"/>
      <c r="E264" s="101"/>
      <c r="F264" s="102"/>
      <c r="G264" s="114"/>
    </row>
    <row r="265" spans="2:7" ht="15.75" customHeight="1" x14ac:dyDescent="0.25">
      <c r="B265" s="100"/>
      <c r="C265" s="100"/>
      <c r="D265" s="100"/>
      <c r="E265" s="101"/>
      <c r="F265" s="102"/>
      <c r="G265" s="114"/>
    </row>
    <row r="266" spans="2:7" ht="15.75" customHeight="1" x14ac:dyDescent="0.25">
      <c r="B266" s="100"/>
      <c r="C266" s="100"/>
      <c r="D266" s="100"/>
      <c r="E266" s="101"/>
      <c r="F266" s="102"/>
      <c r="G266" s="114"/>
    </row>
    <row r="267" spans="2:7" ht="15.75" customHeight="1" x14ac:dyDescent="0.25">
      <c r="B267" s="100"/>
      <c r="C267" s="100"/>
      <c r="D267" s="100"/>
      <c r="E267" s="101"/>
      <c r="F267" s="102"/>
      <c r="G267" s="114"/>
    </row>
    <row r="268" spans="2:7" ht="15.75" customHeight="1" x14ac:dyDescent="0.25">
      <c r="B268" s="100"/>
      <c r="C268" s="100"/>
      <c r="D268" s="100"/>
      <c r="E268" s="101"/>
      <c r="F268" s="102"/>
      <c r="G268" s="114"/>
    </row>
    <row r="269" spans="2:7" ht="15.75" customHeight="1" x14ac:dyDescent="0.25">
      <c r="B269" s="100"/>
      <c r="C269" s="100"/>
      <c r="D269" s="100"/>
      <c r="E269" s="101"/>
      <c r="F269" s="102"/>
      <c r="G269" s="114"/>
    </row>
    <row r="270" spans="2:7" ht="15.75" customHeight="1" x14ac:dyDescent="0.25">
      <c r="B270" s="100"/>
      <c r="C270" s="100"/>
      <c r="D270" s="100"/>
      <c r="E270" s="101"/>
      <c r="F270" s="102"/>
      <c r="G270" s="114"/>
    </row>
    <row r="271" spans="2:7" ht="15.75" customHeight="1" x14ac:dyDescent="0.25">
      <c r="B271" s="100"/>
      <c r="C271" s="100"/>
      <c r="D271" s="100"/>
      <c r="E271" s="101"/>
      <c r="F271" s="102"/>
      <c r="G271" s="114"/>
    </row>
    <row r="272" spans="2:7" ht="15.75" customHeight="1" x14ac:dyDescent="0.25">
      <c r="B272" s="100"/>
      <c r="C272" s="100"/>
      <c r="D272" s="100"/>
      <c r="E272" s="101"/>
      <c r="F272" s="102"/>
      <c r="G272" s="114"/>
    </row>
    <row r="273" spans="2:7" ht="15.75" customHeight="1" x14ac:dyDescent="0.25">
      <c r="B273" s="100"/>
      <c r="C273" s="100"/>
      <c r="D273" s="100"/>
      <c r="E273" s="101"/>
      <c r="F273" s="102"/>
      <c r="G273" s="114"/>
    </row>
    <row r="274" spans="2:7" ht="15.75" customHeight="1" x14ac:dyDescent="0.25">
      <c r="B274" s="100"/>
      <c r="C274" s="100"/>
      <c r="D274" s="100"/>
      <c r="E274" s="101"/>
      <c r="F274" s="102"/>
      <c r="G274" s="114"/>
    </row>
    <row r="275" spans="2:7" ht="15.75" customHeight="1" x14ac:dyDescent="0.25">
      <c r="B275" s="100"/>
      <c r="C275" s="100"/>
      <c r="D275" s="100"/>
      <c r="E275" s="101"/>
      <c r="F275" s="102"/>
      <c r="G275" s="114"/>
    </row>
    <row r="276" spans="2:7" ht="15.75" customHeight="1" x14ac:dyDescent="0.25">
      <c r="B276" s="100"/>
      <c r="C276" s="100"/>
      <c r="D276" s="100"/>
      <c r="E276" s="101"/>
      <c r="F276" s="102"/>
      <c r="G276" s="114"/>
    </row>
    <row r="277" spans="2:7" ht="15.75" customHeight="1" x14ac:dyDescent="0.25">
      <c r="B277" s="100"/>
      <c r="C277" s="100"/>
      <c r="D277" s="100"/>
      <c r="E277" s="101"/>
      <c r="F277" s="102"/>
      <c r="G277" s="114"/>
    </row>
    <row r="278" spans="2:7" ht="15.75" customHeight="1" x14ac:dyDescent="0.25">
      <c r="B278" s="100"/>
      <c r="C278" s="100"/>
      <c r="D278" s="100"/>
      <c r="E278" s="101"/>
      <c r="F278" s="102"/>
      <c r="G278" s="114"/>
    </row>
    <row r="279" spans="2:7" ht="15.75" customHeight="1" x14ac:dyDescent="0.25">
      <c r="B279" s="100"/>
      <c r="C279" s="100"/>
      <c r="D279" s="100"/>
      <c r="E279" s="101"/>
      <c r="F279" s="102"/>
      <c r="G279" s="114"/>
    </row>
    <row r="280" spans="2:7" ht="15.75" customHeight="1" x14ac:dyDescent="0.25">
      <c r="B280" s="100"/>
      <c r="C280" s="100"/>
      <c r="D280" s="100"/>
      <c r="E280" s="101"/>
      <c r="F280" s="102"/>
      <c r="G280" s="114"/>
    </row>
    <row r="281" spans="2:7" ht="15.75" customHeight="1" x14ac:dyDescent="0.25">
      <c r="B281" s="100"/>
      <c r="C281" s="100"/>
      <c r="D281" s="100"/>
      <c r="E281" s="101"/>
      <c r="F281" s="102"/>
      <c r="G281" s="114"/>
    </row>
    <row r="282" spans="2:7" ht="15.75" customHeight="1" x14ac:dyDescent="0.25">
      <c r="B282" s="100"/>
      <c r="C282" s="100"/>
      <c r="D282" s="100"/>
      <c r="E282" s="101"/>
      <c r="F282" s="102"/>
      <c r="G282" s="114"/>
    </row>
    <row r="283" spans="2:7" ht="15.75" customHeight="1" x14ac:dyDescent="0.25">
      <c r="B283" s="100"/>
      <c r="C283" s="100"/>
      <c r="D283" s="100"/>
      <c r="E283" s="101"/>
      <c r="F283" s="102"/>
      <c r="G283" s="114"/>
    </row>
    <row r="284" spans="2:7" ht="15.75" customHeight="1" x14ac:dyDescent="0.25">
      <c r="B284" s="100"/>
      <c r="C284" s="100"/>
      <c r="D284" s="100"/>
      <c r="E284" s="101"/>
      <c r="F284" s="102"/>
      <c r="G284" s="114"/>
    </row>
    <row r="285" spans="2:7" ht="15.75" customHeight="1" x14ac:dyDescent="0.25">
      <c r="B285" s="100"/>
      <c r="C285" s="100"/>
      <c r="D285" s="100"/>
      <c r="E285" s="101"/>
      <c r="F285" s="102"/>
      <c r="G285" s="114"/>
    </row>
    <row r="286" spans="2:7" ht="15.75" customHeight="1" x14ac:dyDescent="0.25">
      <c r="B286" s="100"/>
      <c r="C286" s="100"/>
      <c r="D286" s="100"/>
      <c r="E286" s="101"/>
      <c r="F286" s="102"/>
      <c r="G286" s="114"/>
    </row>
    <row r="287" spans="2:7" ht="15.75" customHeight="1" x14ac:dyDescent="0.25">
      <c r="B287" s="100"/>
      <c r="C287" s="100"/>
      <c r="D287" s="100"/>
      <c r="E287" s="101"/>
      <c r="F287" s="102"/>
      <c r="G287" s="114"/>
    </row>
    <row r="288" spans="2:7" ht="15.75" customHeight="1" x14ac:dyDescent="0.25">
      <c r="B288" s="100"/>
      <c r="C288" s="100"/>
      <c r="D288" s="100"/>
      <c r="E288" s="101"/>
      <c r="F288" s="102"/>
      <c r="G288" s="114"/>
    </row>
    <row r="289" spans="2:7" ht="15.75" customHeight="1" x14ac:dyDescent="0.25">
      <c r="B289" s="100"/>
      <c r="C289" s="100"/>
      <c r="D289" s="100"/>
      <c r="E289" s="101"/>
      <c r="F289" s="102"/>
      <c r="G289" s="114"/>
    </row>
    <row r="290" spans="2:7" ht="15.75" customHeight="1" x14ac:dyDescent="0.25">
      <c r="B290" s="100"/>
      <c r="C290" s="100"/>
      <c r="D290" s="100"/>
      <c r="E290" s="101"/>
      <c r="F290" s="102"/>
      <c r="G290" s="114"/>
    </row>
    <row r="291" spans="2:7" ht="15.75" customHeight="1" x14ac:dyDescent="0.25">
      <c r="B291" s="100"/>
      <c r="C291" s="100"/>
      <c r="D291" s="100"/>
      <c r="E291" s="101"/>
      <c r="F291" s="102"/>
      <c r="G291" s="114"/>
    </row>
    <row r="292" spans="2:7" ht="15.75" customHeight="1" x14ac:dyDescent="0.25">
      <c r="B292" s="100"/>
      <c r="C292" s="100"/>
      <c r="D292" s="100"/>
      <c r="E292" s="101"/>
      <c r="F292" s="102"/>
      <c r="G292" s="114"/>
    </row>
    <row r="293" spans="2:7" ht="15.75" customHeight="1" x14ac:dyDescent="0.25">
      <c r="B293" s="100"/>
      <c r="C293" s="100"/>
      <c r="D293" s="100"/>
      <c r="E293" s="101"/>
      <c r="F293" s="102"/>
      <c r="G293" s="114"/>
    </row>
    <row r="294" spans="2:7" ht="15.75" customHeight="1" x14ac:dyDescent="0.25">
      <c r="B294" s="100"/>
      <c r="C294" s="100"/>
      <c r="D294" s="100"/>
      <c r="E294" s="101"/>
      <c r="F294" s="102"/>
      <c r="G294" s="114"/>
    </row>
    <row r="295" spans="2:7" ht="15.75" customHeight="1" x14ac:dyDescent="0.25">
      <c r="B295" s="100"/>
      <c r="C295" s="100"/>
      <c r="D295" s="100"/>
      <c r="E295" s="101"/>
      <c r="F295" s="102"/>
      <c r="G295" s="114"/>
    </row>
    <row r="296" spans="2:7" ht="15.75" customHeight="1" x14ac:dyDescent="0.25">
      <c r="B296" s="100"/>
      <c r="C296" s="100"/>
      <c r="D296" s="100"/>
      <c r="E296" s="101"/>
      <c r="F296" s="102"/>
      <c r="G296" s="114"/>
    </row>
    <row r="297" spans="2:7" ht="15.75" customHeight="1" x14ac:dyDescent="0.25">
      <c r="B297" s="100"/>
      <c r="C297" s="100"/>
      <c r="D297" s="100"/>
      <c r="E297" s="101"/>
      <c r="F297" s="102"/>
      <c r="G297" s="114"/>
    </row>
    <row r="298" spans="2:7" ht="15.75" customHeight="1" x14ac:dyDescent="0.25">
      <c r="B298" s="100"/>
      <c r="C298" s="100"/>
      <c r="D298" s="100"/>
      <c r="E298" s="101"/>
      <c r="F298" s="102"/>
      <c r="G298" s="114"/>
    </row>
    <row r="299" spans="2:7" ht="15.75" customHeight="1" x14ac:dyDescent="0.25">
      <c r="B299" s="100"/>
      <c r="C299" s="100"/>
      <c r="D299" s="100"/>
      <c r="E299" s="101"/>
      <c r="F299" s="102"/>
      <c r="G299" s="114"/>
    </row>
    <row r="300" spans="2:7" ht="15.75" customHeight="1" x14ac:dyDescent="0.25">
      <c r="B300" s="100"/>
      <c r="C300" s="100"/>
      <c r="D300" s="100"/>
      <c r="E300" s="101"/>
      <c r="F300" s="102"/>
      <c r="G300" s="114"/>
    </row>
    <row r="301" spans="2:7" ht="15.75" customHeight="1" x14ac:dyDescent="0.25">
      <c r="B301" s="100"/>
      <c r="C301" s="100"/>
      <c r="D301" s="100"/>
      <c r="E301" s="101"/>
      <c r="F301" s="102"/>
      <c r="G301" s="114"/>
    </row>
    <row r="302" spans="2:7" ht="15.75" customHeight="1" x14ac:dyDescent="0.25">
      <c r="B302" s="100"/>
      <c r="C302" s="100"/>
      <c r="D302" s="100"/>
      <c r="E302" s="101"/>
      <c r="F302" s="102"/>
      <c r="G302" s="114"/>
    </row>
    <row r="303" spans="2:7" ht="15.75" customHeight="1" x14ac:dyDescent="0.25">
      <c r="B303" s="100"/>
      <c r="C303" s="100"/>
      <c r="D303" s="100"/>
      <c r="E303" s="101"/>
      <c r="F303" s="102"/>
      <c r="G303" s="114"/>
    </row>
    <row r="304" spans="2:7" ht="15.75" customHeight="1" x14ac:dyDescent="0.25">
      <c r="B304" s="100"/>
      <c r="C304" s="100"/>
      <c r="D304" s="100"/>
      <c r="E304" s="101"/>
      <c r="F304" s="102"/>
      <c r="G304" s="114"/>
    </row>
    <row r="305" spans="2:7" ht="15.75" customHeight="1" x14ac:dyDescent="0.25">
      <c r="B305" s="100"/>
      <c r="C305" s="100"/>
      <c r="D305" s="100"/>
      <c r="E305" s="101"/>
      <c r="F305" s="102"/>
      <c r="G305" s="114"/>
    </row>
    <row r="306" spans="2:7" ht="15.75" customHeight="1" x14ac:dyDescent="0.25">
      <c r="B306" s="100"/>
      <c r="C306" s="100"/>
      <c r="D306" s="100"/>
      <c r="E306" s="101"/>
      <c r="F306" s="102"/>
      <c r="G306" s="114"/>
    </row>
    <row r="307" spans="2:7" ht="15.75" customHeight="1" x14ac:dyDescent="0.25">
      <c r="B307" s="100"/>
      <c r="C307" s="100"/>
      <c r="D307" s="100"/>
      <c r="E307" s="101"/>
      <c r="F307" s="102"/>
      <c r="G307" s="114"/>
    </row>
    <row r="308" spans="2:7" ht="15.75" customHeight="1" x14ac:dyDescent="0.25">
      <c r="B308" s="100"/>
      <c r="C308" s="100"/>
      <c r="D308" s="100"/>
      <c r="E308" s="101"/>
      <c r="F308" s="102"/>
      <c r="G308" s="114"/>
    </row>
    <row r="309" spans="2:7" ht="15.75" customHeight="1" x14ac:dyDescent="0.25">
      <c r="B309" s="100"/>
      <c r="C309" s="100"/>
      <c r="D309" s="100"/>
      <c r="E309" s="101"/>
      <c r="F309" s="102"/>
      <c r="G309" s="114"/>
    </row>
    <row r="310" spans="2:7" ht="15.75" customHeight="1" x14ac:dyDescent="0.25">
      <c r="B310" s="100"/>
      <c r="C310" s="100"/>
      <c r="D310" s="100"/>
      <c r="E310" s="101"/>
      <c r="F310" s="102"/>
      <c r="G310" s="114"/>
    </row>
    <row r="311" spans="2:7" ht="15.75" customHeight="1" x14ac:dyDescent="0.25">
      <c r="B311" s="100"/>
      <c r="C311" s="100"/>
      <c r="D311" s="100"/>
      <c r="E311" s="101"/>
      <c r="F311" s="102"/>
      <c r="G311" s="114"/>
    </row>
    <row r="312" spans="2:7" ht="15.75" customHeight="1" x14ac:dyDescent="0.25">
      <c r="B312" s="100"/>
      <c r="C312" s="100"/>
      <c r="D312" s="100"/>
      <c r="E312" s="101"/>
      <c r="F312" s="102"/>
      <c r="G312" s="114"/>
    </row>
    <row r="313" spans="2:7" ht="15.75" customHeight="1" x14ac:dyDescent="0.25">
      <c r="B313" s="100"/>
      <c r="C313" s="100"/>
      <c r="D313" s="100"/>
      <c r="E313" s="101"/>
      <c r="F313" s="102"/>
      <c r="G313" s="114"/>
    </row>
    <row r="314" spans="2:7" ht="15.75" customHeight="1" x14ac:dyDescent="0.25">
      <c r="B314" s="100"/>
      <c r="C314" s="100"/>
      <c r="D314" s="100"/>
      <c r="E314" s="101"/>
      <c r="F314" s="102"/>
      <c r="G314" s="114"/>
    </row>
    <row r="315" spans="2:7" ht="15.75" customHeight="1" x14ac:dyDescent="0.25">
      <c r="B315" s="100"/>
      <c r="C315" s="100"/>
      <c r="D315" s="100"/>
      <c r="E315" s="101"/>
      <c r="F315" s="102"/>
      <c r="G315" s="114"/>
    </row>
    <row r="316" spans="2:7" ht="15.75" customHeight="1" x14ac:dyDescent="0.25">
      <c r="B316" s="100"/>
      <c r="C316" s="100"/>
      <c r="D316" s="100"/>
      <c r="E316" s="101"/>
      <c r="F316" s="102"/>
      <c r="G316" s="114"/>
    </row>
    <row r="317" spans="2:7" ht="15.75" customHeight="1" x14ac:dyDescent="0.25">
      <c r="B317" s="100"/>
      <c r="C317" s="100"/>
      <c r="D317" s="100"/>
      <c r="E317" s="101"/>
      <c r="F317" s="102"/>
      <c r="G317" s="114"/>
    </row>
    <row r="318" spans="2:7" ht="15.75" customHeight="1" x14ac:dyDescent="0.25">
      <c r="B318" s="100"/>
      <c r="C318" s="100"/>
      <c r="D318" s="100"/>
      <c r="E318" s="101"/>
      <c r="F318" s="102"/>
      <c r="G318" s="114"/>
    </row>
    <row r="319" spans="2:7" ht="15.75" customHeight="1" x14ac:dyDescent="0.25">
      <c r="B319" s="100"/>
      <c r="C319" s="100"/>
      <c r="D319" s="100"/>
      <c r="E319" s="101"/>
      <c r="F319" s="102"/>
      <c r="G319" s="114"/>
    </row>
    <row r="320" spans="2:7" ht="15.75" customHeight="1" x14ac:dyDescent="0.25">
      <c r="B320" s="100"/>
      <c r="C320" s="100"/>
      <c r="D320" s="100"/>
      <c r="E320" s="101"/>
      <c r="F320" s="102"/>
      <c r="G320" s="114"/>
    </row>
    <row r="321" spans="2:7" ht="15.75" customHeight="1" x14ac:dyDescent="0.25">
      <c r="B321" s="100"/>
      <c r="C321" s="100"/>
      <c r="D321" s="100"/>
      <c r="E321" s="101"/>
      <c r="F321" s="102"/>
      <c r="G321" s="114"/>
    </row>
    <row r="322" spans="2:7" ht="15.75" customHeight="1" x14ac:dyDescent="0.25">
      <c r="B322" s="100"/>
      <c r="C322" s="100"/>
      <c r="D322" s="100"/>
      <c r="E322" s="101"/>
      <c r="F322" s="102"/>
      <c r="G322" s="114"/>
    </row>
    <row r="323" spans="2:7" ht="15.75" customHeight="1" x14ac:dyDescent="0.25">
      <c r="B323" s="100"/>
      <c r="C323" s="100"/>
      <c r="D323" s="100"/>
      <c r="E323" s="101"/>
      <c r="F323" s="102"/>
      <c r="G323" s="114"/>
    </row>
    <row r="324" spans="2:7" ht="15.75" customHeight="1" x14ac:dyDescent="0.25">
      <c r="B324" s="100"/>
      <c r="C324" s="100"/>
      <c r="D324" s="100"/>
      <c r="E324" s="101"/>
      <c r="F324" s="102"/>
      <c r="G324" s="114"/>
    </row>
    <row r="325" spans="2:7" ht="15.75" customHeight="1" x14ac:dyDescent="0.25">
      <c r="B325" s="100"/>
      <c r="C325" s="100"/>
      <c r="D325" s="100"/>
      <c r="E325" s="101"/>
      <c r="F325" s="102"/>
      <c r="G325" s="114"/>
    </row>
    <row r="326" spans="2:7" ht="15.75" customHeight="1" x14ac:dyDescent="0.25">
      <c r="B326" s="100"/>
      <c r="C326" s="100"/>
      <c r="D326" s="100"/>
      <c r="E326" s="101"/>
      <c r="F326" s="102"/>
      <c r="G326" s="114"/>
    </row>
    <row r="327" spans="2:7" ht="15.75" customHeight="1" x14ac:dyDescent="0.25">
      <c r="B327" s="100"/>
      <c r="C327" s="100"/>
      <c r="D327" s="100"/>
      <c r="E327" s="101"/>
      <c r="F327" s="102"/>
      <c r="G327" s="114"/>
    </row>
    <row r="328" spans="2:7" ht="15.75" customHeight="1" x14ac:dyDescent="0.25">
      <c r="B328" s="100"/>
      <c r="C328" s="100"/>
      <c r="D328" s="100"/>
      <c r="E328" s="101"/>
      <c r="F328" s="102"/>
      <c r="G328" s="114"/>
    </row>
    <row r="329" spans="2:7" ht="15.75" customHeight="1" x14ac:dyDescent="0.25">
      <c r="B329" s="100"/>
      <c r="C329" s="100"/>
      <c r="D329" s="100"/>
      <c r="E329" s="101"/>
      <c r="F329" s="102"/>
      <c r="G329" s="114"/>
    </row>
    <row r="330" spans="2:7" ht="15.75" customHeight="1" x14ac:dyDescent="0.25">
      <c r="B330" s="100"/>
      <c r="C330" s="100"/>
      <c r="D330" s="100"/>
      <c r="E330" s="101"/>
      <c r="F330" s="102"/>
      <c r="G330" s="114"/>
    </row>
    <row r="331" spans="2:7" ht="15.75" customHeight="1" x14ac:dyDescent="0.25">
      <c r="B331" s="100"/>
      <c r="C331" s="100"/>
      <c r="D331" s="100"/>
      <c r="E331" s="101"/>
      <c r="F331" s="102"/>
      <c r="G331" s="114"/>
    </row>
    <row r="332" spans="2:7" ht="15.75" customHeight="1" x14ac:dyDescent="0.25">
      <c r="B332" s="100"/>
      <c r="C332" s="100"/>
      <c r="D332" s="100"/>
      <c r="E332" s="101"/>
      <c r="F332" s="102"/>
      <c r="G332" s="114"/>
    </row>
    <row r="333" spans="2:7" ht="15.75" customHeight="1" x14ac:dyDescent="0.25">
      <c r="B333" s="100"/>
      <c r="C333" s="100"/>
      <c r="D333" s="100"/>
      <c r="E333" s="101"/>
      <c r="F333" s="102"/>
      <c r="G333" s="114"/>
    </row>
    <row r="334" spans="2:7" ht="15.75" customHeight="1" x14ac:dyDescent="0.25">
      <c r="B334" s="100"/>
      <c r="C334" s="100"/>
      <c r="D334" s="100"/>
      <c r="E334" s="101"/>
      <c r="F334" s="102"/>
      <c r="G334" s="114"/>
    </row>
    <row r="335" spans="2:7" ht="15.75" customHeight="1" x14ac:dyDescent="0.25">
      <c r="B335" s="100"/>
      <c r="C335" s="100"/>
      <c r="D335" s="100"/>
      <c r="E335" s="101"/>
      <c r="F335" s="102"/>
      <c r="G335" s="114"/>
    </row>
    <row r="336" spans="2:7" ht="15.75" customHeight="1" x14ac:dyDescent="0.25">
      <c r="B336" s="100"/>
      <c r="C336" s="100"/>
      <c r="D336" s="100"/>
      <c r="E336" s="101"/>
      <c r="F336" s="102"/>
      <c r="G336" s="114"/>
    </row>
    <row r="337" spans="2:7" ht="15.75" customHeight="1" x14ac:dyDescent="0.25">
      <c r="B337" s="100"/>
      <c r="C337" s="100"/>
      <c r="D337" s="100"/>
      <c r="E337" s="101"/>
      <c r="F337" s="102"/>
      <c r="G337" s="114"/>
    </row>
    <row r="338" spans="2:7" ht="15.75" customHeight="1" x14ac:dyDescent="0.25">
      <c r="B338" s="100"/>
      <c r="C338" s="100"/>
      <c r="D338" s="100"/>
      <c r="E338" s="101"/>
      <c r="F338" s="102"/>
      <c r="G338" s="114"/>
    </row>
    <row r="339" spans="2:7" ht="15.75" customHeight="1" x14ac:dyDescent="0.25">
      <c r="B339" s="100"/>
      <c r="C339" s="100"/>
      <c r="D339" s="100"/>
      <c r="E339" s="101"/>
      <c r="F339" s="102"/>
      <c r="G339" s="114"/>
    </row>
    <row r="340" spans="2:7" ht="15.75" customHeight="1" x14ac:dyDescent="0.25">
      <c r="B340" s="100"/>
      <c r="C340" s="100"/>
      <c r="D340" s="100"/>
      <c r="E340" s="101"/>
      <c r="F340" s="102"/>
      <c r="G340" s="114"/>
    </row>
    <row r="341" spans="2:7" ht="15.75" customHeight="1" x14ac:dyDescent="0.25">
      <c r="B341" s="100"/>
      <c r="C341" s="100"/>
      <c r="D341" s="100"/>
      <c r="E341" s="101"/>
      <c r="F341" s="102"/>
      <c r="G341" s="114"/>
    </row>
    <row r="342" spans="2:7" ht="15.75" customHeight="1" x14ac:dyDescent="0.25">
      <c r="B342" s="100"/>
      <c r="C342" s="100"/>
      <c r="D342" s="100"/>
      <c r="E342" s="101"/>
      <c r="F342" s="102"/>
      <c r="G342" s="114"/>
    </row>
    <row r="343" spans="2:7" ht="15.75" customHeight="1" x14ac:dyDescent="0.25">
      <c r="B343" s="100"/>
      <c r="C343" s="100"/>
      <c r="D343" s="100"/>
      <c r="E343" s="101"/>
      <c r="F343" s="102"/>
      <c r="G343" s="114"/>
    </row>
    <row r="344" spans="2:7" ht="15.75" customHeight="1" x14ac:dyDescent="0.25">
      <c r="B344" s="100"/>
      <c r="C344" s="100"/>
      <c r="D344" s="100"/>
      <c r="E344" s="101"/>
      <c r="F344" s="102"/>
      <c r="G344" s="114"/>
    </row>
    <row r="345" spans="2:7" ht="15.75" customHeight="1" x14ac:dyDescent="0.25">
      <c r="B345" s="100"/>
      <c r="C345" s="100"/>
      <c r="D345" s="100"/>
      <c r="E345" s="101"/>
      <c r="F345" s="102"/>
      <c r="G345" s="114"/>
    </row>
    <row r="346" spans="2:7" ht="15.75" customHeight="1" x14ac:dyDescent="0.25">
      <c r="B346" s="100"/>
      <c r="C346" s="100"/>
      <c r="D346" s="100"/>
      <c r="E346" s="101"/>
      <c r="F346" s="102"/>
      <c r="G346" s="114"/>
    </row>
    <row r="347" spans="2:7" ht="15.75" customHeight="1" x14ac:dyDescent="0.25">
      <c r="B347" s="100"/>
      <c r="C347" s="100"/>
      <c r="D347" s="100"/>
      <c r="E347" s="101"/>
      <c r="F347" s="102"/>
      <c r="G347" s="114"/>
    </row>
    <row r="348" spans="2:7" ht="15.75" customHeight="1" x14ac:dyDescent="0.25">
      <c r="B348" s="100"/>
      <c r="C348" s="100"/>
      <c r="D348" s="100"/>
      <c r="E348" s="101"/>
      <c r="F348" s="102"/>
      <c r="G348" s="114"/>
    </row>
    <row r="349" spans="2:7" ht="15.75" customHeight="1" x14ac:dyDescent="0.25">
      <c r="B349" s="100"/>
      <c r="C349" s="100"/>
      <c r="D349" s="100"/>
      <c r="E349" s="101"/>
      <c r="F349" s="102"/>
      <c r="G349" s="114"/>
    </row>
    <row r="350" spans="2:7" ht="15.75" customHeight="1" x14ac:dyDescent="0.25">
      <c r="B350" s="100"/>
      <c r="C350" s="100"/>
      <c r="D350" s="100"/>
      <c r="E350" s="101"/>
      <c r="F350" s="102"/>
      <c r="G350" s="114"/>
    </row>
    <row r="351" spans="2:7" ht="15.75" customHeight="1" x14ac:dyDescent="0.25">
      <c r="B351" s="100"/>
      <c r="C351" s="100"/>
      <c r="D351" s="100"/>
      <c r="E351" s="101"/>
      <c r="F351" s="102"/>
      <c r="G351" s="114"/>
    </row>
    <row r="352" spans="2:7" ht="15.75" customHeight="1" x14ac:dyDescent="0.25">
      <c r="B352" s="100"/>
      <c r="C352" s="100"/>
      <c r="D352" s="100"/>
      <c r="E352" s="101"/>
      <c r="F352" s="102"/>
      <c r="G352" s="114"/>
    </row>
    <row r="353" spans="2:7" ht="15.75" customHeight="1" x14ac:dyDescent="0.25">
      <c r="B353" s="100"/>
      <c r="C353" s="100"/>
      <c r="D353" s="100"/>
      <c r="E353" s="101"/>
      <c r="F353" s="102"/>
      <c r="G353" s="114"/>
    </row>
    <row r="354" spans="2:7" ht="15.75" customHeight="1" x14ac:dyDescent="0.25">
      <c r="B354" s="100"/>
      <c r="C354" s="100"/>
      <c r="D354" s="100"/>
      <c r="E354" s="101"/>
      <c r="F354" s="102"/>
      <c r="G354" s="114"/>
    </row>
    <row r="355" spans="2:7" ht="15.75" customHeight="1" x14ac:dyDescent="0.25">
      <c r="B355" s="100"/>
      <c r="C355" s="100"/>
      <c r="D355" s="100"/>
      <c r="E355" s="101"/>
      <c r="F355" s="102"/>
      <c r="G355" s="114"/>
    </row>
    <row r="356" spans="2:7" ht="15.75" customHeight="1" x14ac:dyDescent="0.25">
      <c r="B356" s="100"/>
      <c r="C356" s="100"/>
      <c r="D356" s="100"/>
      <c r="E356" s="101"/>
      <c r="F356" s="102"/>
      <c r="G356" s="114"/>
    </row>
    <row r="357" spans="2:7" ht="15.75" customHeight="1" x14ac:dyDescent="0.25">
      <c r="B357" s="100"/>
      <c r="C357" s="100"/>
      <c r="D357" s="100"/>
      <c r="E357" s="101"/>
      <c r="F357" s="102"/>
      <c r="G357" s="114"/>
    </row>
    <row r="358" spans="2:7" ht="15.75" customHeight="1" x14ac:dyDescent="0.25">
      <c r="B358" s="100"/>
      <c r="C358" s="100"/>
      <c r="D358" s="100"/>
      <c r="E358" s="101"/>
      <c r="F358" s="102"/>
      <c r="G358" s="114"/>
    </row>
    <row r="359" spans="2:7" ht="15.75" customHeight="1" x14ac:dyDescent="0.25">
      <c r="B359" s="100"/>
      <c r="C359" s="100"/>
      <c r="D359" s="100"/>
      <c r="E359" s="101"/>
      <c r="F359" s="102"/>
      <c r="G359" s="114"/>
    </row>
    <row r="360" spans="2:7" ht="15.75" customHeight="1" x14ac:dyDescent="0.25">
      <c r="B360" s="100"/>
      <c r="C360" s="100"/>
      <c r="D360" s="100"/>
      <c r="E360" s="101"/>
      <c r="F360" s="102"/>
      <c r="G360" s="114"/>
    </row>
    <row r="361" spans="2:7" ht="15.75" customHeight="1" x14ac:dyDescent="0.25">
      <c r="B361" s="100"/>
      <c r="C361" s="100"/>
      <c r="D361" s="100"/>
      <c r="E361" s="101"/>
      <c r="F361" s="102"/>
      <c r="G361" s="114"/>
    </row>
    <row r="362" spans="2:7" ht="15.75" customHeight="1" x14ac:dyDescent="0.25">
      <c r="B362" s="100"/>
      <c r="C362" s="100"/>
      <c r="D362" s="100"/>
      <c r="E362" s="101"/>
      <c r="F362" s="102"/>
      <c r="G362" s="114"/>
    </row>
    <row r="363" spans="2:7" ht="15.75" customHeight="1" x14ac:dyDescent="0.25">
      <c r="B363" s="100"/>
      <c r="C363" s="100"/>
      <c r="D363" s="100"/>
      <c r="E363" s="101"/>
      <c r="F363" s="102"/>
      <c r="G363" s="114"/>
    </row>
    <row r="364" spans="2:7" ht="15.75" customHeight="1" x14ac:dyDescent="0.25">
      <c r="B364" s="100"/>
      <c r="C364" s="100"/>
      <c r="D364" s="100"/>
      <c r="E364" s="101"/>
      <c r="F364" s="102"/>
      <c r="G364" s="114"/>
    </row>
    <row r="365" spans="2:7" ht="15.75" customHeight="1" x14ac:dyDescent="0.25">
      <c r="B365" s="100"/>
      <c r="C365" s="100"/>
      <c r="D365" s="100"/>
      <c r="E365" s="101"/>
      <c r="F365" s="102"/>
      <c r="G365" s="114"/>
    </row>
    <row r="366" spans="2:7" ht="15.75" customHeight="1" x14ac:dyDescent="0.25">
      <c r="B366" s="100"/>
      <c r="C366" s="100"/>
      <c r="D366" s="100"/>
      <c r="E366" s="101"/>
      <c r="F366" s="102"/>
      <c r="G366" s="114"/>
    </row>
    <row r="367" spans="2:7" ht="15.75" customHeight="1" x14ac:dyDescent="0.25">
      <c r="B367" s="100"/>
      <c r="C367" s="100"/>
      <c r="D367" s="100"/>
      <c r="E367" s="101"/>
      <c r="F367" s="102"/>
      <c r="G367" s="114"/>
    </row>
    <row r="368" spans="2:7" ht="15.75" customHeight="1" x14ac:dyDescent="0.25">
      <c r="B368" s="100"/>
      <c r="C368" s="100"/>
      <c r="D368" s="100"/>
      <c r="E368" s="101"/>
      <c r="F368" s="102"/>
      <c r="G368" s="114"/>
    </row>
    <row r="369" spans="2:7" ht="15.75" customHeight="1" x14ac:dyDescent="0.25">
      <c r="B369" s="100"/>
      <c r="C369" s="100"/>
      <c r="D369" s="100"/>
      <c r="E369" s="101"/>
      <c r="F369" s="102"/>
      <c r="G369" s="114"/>
    </row>
    <row r="370" spans="2:7" ht="15.75" customHeight="1" x14ac:dyDescent="0.25">
      <c r="B370" s="100"/>
      <c r="C370" s="100"/>
      <c r="D370" s="100"/>
      <c r="E370" s="101"/>
      <c r="F370" s="102"/>
      <c r="G370" s="114"/>
    </row>
    <row r="371" spans="2:7" ht="15.75" customHeight="1" x14ac:dyDescent="0.25">
      <c r="B371" s="100"/>
      <c r="C371" s="100"/>
      <c r="D371" s="100"/>
      <c r="E371" s="101"/>
      <c r="F371" s="102"/>
      <c r="G371" s="114"/>
    </row>
    <row r="372" spans="2:7" ht="15.75" customHeight="1" x14ac:dyDescent="0.25">
      <c r="B372" s="100"/>
      <c r="C372" s="100"/>
      <c r="D372" s="100"/>
      <c r="E372" s="101"/>
      <c r="F372" s="102"/>
      <c r="G372" s="114"/>
    </row>
    <row r="373" spans="2:7" ht="15.75" customHeight="1" x14ac:dyDescent="0.25">
      <c r="B373" s="100"/>
      <c r="C373" s="100"/>
      <c r="D373" s="100"/>
      <c r="E373" s="101"/>
      <c r="F373" s="102"/>
      <c r="G373" s="114"/>
    </row>
    <row r="374" spans="2:7" ht="15.75" customHeight="1" x14ac:dyDescent="0.25">
      <c r="B374" s="100"/>
      <c r="C374" s="100"/>
      <c r="D374" s="100"/>
      <c r="E374" s="101"/>
      <c r="F374" s="102"/>
      <c r="G374" s="114"/>
    </row>
    <row r="375" spans="2:7" ht="15.75" customHeight="1" x14ac:dyDescent="0.25">
      <c r="B375" s="100"/>
      <c r="C375" s="100"/>
      <c r="D375" s="100"/>
      <c r="E375" s="101"/>
      <c r="F375" s="102"/>
      <c r="G375" s="114"/>
    </row>
    <row r="376" spans="2:7" ht="15.75" customHeight="1" x14ac:dyDescent="0.25">
      <c r="B376" s="100"/>
      <c r="C376" s="100"/>
      <c r="D376" s="100"/>
      <c r="E376" s="101"/>
      <c r="F376" s="102"/>
      <c r="G376" s="114"/>
    </row>
    <row r="377" spans="2:7" ht="15.75" customHeight="1" x14ac:dyDescent="0.25">
      <c r="B377" s="100"/>
      <c r="C377" s="100"/>
      <c r="D377" s="100"/>
      <c r="E377" s="101"/>
      <c r="F377" s="102"/>
      <c r="G377" s="114"/>
    </row>
    <row r="378" spans="2:7" ht="15.75" customHeight="1" x14ac:dyDescent="0.25">
      <c r="B378" s="100"/>
      <c r="C378" s="100"/>
      <c r="D378" s="100"/>
      <c r="E378" s="101"/>
      <c r="F378" s="102"/>
      <c r="G378" s="114"/>
    </row>
    <row r="379" spans="2:7" ht="15.75" customHeight="1" x14ac:dyDescent="0.25">
      <c r="B379" s="100"/>
      <c r="C379" s="100"/>
      <c r="D379" s="100"/>
      <c r="E379" s="101"/>
      <c r="F379" s="102"/>
      <c r="G379" s="114"/>
    </row>
    <row r="380" spans="2:7" ht="15.75" customHeight="1" x14ac:dyDescent="0.25">
      <c r="B380" s="100"/>
      <c r="C380" s="100"/>
      <c r="D380" s="100"/>
      <c r="E380" s="101"/>
      <c r="F380" s="102"/>
      <c r="G380" s="114"/>
    </row>
    <row r="381" spans="2:7" ht="15.75" customHeight="1" x14ac:dyDescent="0.25">
      <c r="B381" s="100"/>
      <c r="C381" s="100"/>
      <c r="D381" s="100"/>
      <c r="E381" s="101"/>
      <c r="F381" s="102"/>
      <c r="G381" s="114"/>
    </row>
    <row r="382" spans="2:7" ht="15.75" customHeight="1" x14ac:dyDescent="0.25">
      <c r="B382" s="100"/>
      <c r="C382" s="100"/>
      <c r="D382" s="100"/>
      <c r="E382" s="101"/>
      <c r="F382" s="102"/>
      <c r="G382" s="114"/>
    </row>
    <row r="383" spans="2:7" ht="15.75" customHeight="1" x14ac:dyDescent="0.25">
      <c r="B383" s="100"/>
      <c r="C383" s="100"/>
      <c r="D383" s="100"/>
      <c r="E383" s="101"/>
      <c r="F383" s="102"/>
      <c r="G383" s="114"/>
    </row>
    <row r="384" spans="2:7" ht="15.75" customHeight="1" x14ac:dyDescent="0.25">
      <c r="B384" s="100"/>
      <c r="C384" s="100"/>
      <c r="D384" s="100"/>
      <c r="E384" s="101"/>
      <c r="F384" s="102"/>
      <c r="G384" s="114"/>
    </row>
    <row r="385" spans="2:7" ht="15.75" customHeight="1" x14ac:dyDescent="0.25">
      <c r="B385" s="100"/>
      <c r="C385" s="100"/>
      <c r="D385" s="100"/>
      <c r="E385" s="101"/>
      <c r="F385" s="102"/>
      <c r="G385" s="114"/>
    </row>
    <row r="386" spans="2:7" ht="15.75" customHeight="1" x14ac:dyDescent="0.25">
      <c r="B386" s="100"/>
      <c r="C386" s="100"/>
      <c r="D386" s="100"/>
      <c r="E386" s="101"/>
      <c r="F386" s="102"/>
      <c r="G386" s="114"/>
    </row>
    <row r="387" spans="2:7" ht="15.75" customHeight="1" x14ac:dyDescent="0.25">
      <c r="B387" s="100"/>
      <c r="C387" s="100"/>
      <c r="D387" s="100"/>
      <c r="E387" s="101"/>
      <c r="F387" s="102"/>
      <c r="G387" s="114"/>
    </row>
    <row r="388" spans="2:7" ht="15.75" customHeight="1" x14ac:dyDescent="0.25">
      <c r="B388" s="100"/>
      <c r="C388" s="100"/>
      <c r="D388" s="100"/>
      <c r="E388" s="101"/>
      <c r="F388" s="102"/>
      <c r="G388" s="114"/>
    </row>
    <row r="389" spans="2:7" ht="15.75" customHeight="1" x14ac:dyDescent="0.25">
      <c r="B389" s="100"/>
      <c r="C389" s="100"/>
      <c r="D389" s="100"/>
      <c r="E389" s="101"/>
      <c r="F389" s="102"/>
      <c r="G389" s="114"/>
    </row>
    <row r="390" spans="2:7" ht="15.75" customHeight="1" x14ac:dyDescent="0.25">
      <c r="B390" s="100"/>
      <c r="C390" s="100"/>
      <c r="D390" s="100"/>
      <c r="E390" s="101"/>
      <c r="F390" s="102"/>
      <c r="G390" s="114"/>
    </row>
    <row r="391" spans="2:7" ht="15.75" customHeight="1" x14ac:dyDescent="0.25">
      <c r="B391" s="100"/>
      <c r="C391" s="100"/>
      <c r="D391" s="100"/>
      <c r="E391" s="101"/>
      <c r="F391" s="102"/>
      <c r="G391" s="114"/>
    </row>
    <row r="392" spans="2:7" ht="15.75" customHeight="1" x14ac:dyDescent="0.25">
      <c r="B392" s="100"/>
      <c r="C392" s="100"/>
      <c r="D392" s="100"/>
      <c r="E392" s="101"/>
      <c r="F392" s="102"/>
      <c r="G392" s="114"/>
    </row>
    <row r="393" spans="2:7" ht="15.75" customHeight="1" x14ac:dyDescent="0.25">
      <c r="B393" s="100"/>
      <c r="C393" s="100"/>
      <c r="D393" s="100"/>
      <c r="E393" s="101"/>
      <c r="F393" s="102"/>
      <c r="G393" s="114"/>
    </row>
    <row r="394" spans="2:7" ht="15.75" customHeight="1" x14ac:dyDescent="0.25">
      <c r="B394" s="100"/>
      <c r="C394" s="100"/>
      <c r="D394" s="100"/>
      <c r="E394" s="101"/>
      <c r="F394" s="102"/>
      <c r="G394" s="114"/>
    </row>
    <row r="395" spans="2:7" ht="15.75" customHeight="1" x14ac:dyDescent="0.25">
      <c r="B395" s="100"/>
      <c r="C395" s="100"/>
      <c r="D395" s="100"/>
      <c r="E395" s="101"/>
      <c r="F395" s="102"/>
      <c r="G395" s="114"/>
    </row>
    <row r="396" spans="2:7" ht="15.75" customHeight="1" x14ac:dyDescent="0.25">
      <c r="B396" s="100"/>
      <c r="C396" s="100"/>
      <c r="D396" s="100"/>
      <c r="E396" s="101"/>
      <c r="F396" s="102"/>
      <c r="G396" s="114"/>
    </row>
    <row r="397" spans="2:7" ht="15.75" customHeight="1" x14ac:dyDescent="0.25">
      <c r="B397" s="100"/>
      <c r="C397" s="100"/>
      <c r="D397" s="100"/>
      <c r="E397" s="101"/>
      <c r="F397" s="102"/>
      <c r="G397" s="114"/>
    </row>
    <row r="398" spans="2:7" ht="15.75" customHeight="1" x14ac:dyDescent="0.25">
      <c r="B398" s="100"/>
      <c r="C398" s="100"/>
      <c r="D398" s="100"/>
      <c r="E398" s="101"/>
      <c r="F398" s="102"/>
      <c r="G398" s="114"/>
    </row>
    <row r="399" spans="2:7" ht="15.75" customHeight="1" x14ac:dyDescent="0.25">
      <c r="B399" s="100"/>
      <c r="C399" s="100"/>
      <c r="D399" s="100"/>
      <c r="E399" s="101"/>
      <c r="F399" s="102"/>
      <c r="G399" s="114"/>
    </row>
    <row r="400" spans="2:7" ht="15.75" customHeight="1" x14ac:dyDescent="0.25">
      <c r="B400" s="100"/>
      <c r="C400" s="100"/>
      <c r="D400" s="100"/>
      <c r="E400" s="101"/>
      <c r="F400" s="102"/>
      <c r="G400" s="114"/>
    </row>
    <row r="401" spans="2:7" ht="15.75" customHeight="1" x14ac:dyDescent="0.25">
      <c r="B401" s="100"/>
      <c r="C401" s="100"/>
      <c r="D401" s="100"/>
      <c r="E401" s="101"/>
      <c r="F401" s="102"/>
      <c r="G401" s="114"/>
    </row>
    <row r="402" spans="2:7" ht="15.75" customHeight="1" x14ac:dyDescent="0.25">
      <c r="B402" s="100"/>
      <c r="C402" s="100"/>
      <c r="D402" s="100"/>
      <c r="E402" s="101"/>
      <c r="F402" s="102"/>
      <c r="G402" s="114"/>
    </row>
    <row r="403" spans="2:7" ht="15.75" customHeight="1" x14ac:dyDescent="0.25">
      <c r="B403" s="100"/>
      <c r="C403" s="100"/>
      <c r="D403" s="100"/>
      <c r="E403" s="101"/>
      <c r="F403" s="102"/>
      <c r="G403" s="114"/>
    </row>
    <row r="404" spans="2:7" ht="15.75" customHeight="1" x14ac:dyDescent="0.25">
      <c r="B404" s="100"/>
      <c r="C404" s="100"/>
      <c r="D404" s="100"/>
      <c r="E404" s="101"/>
      <c r="F404" s="102"/>
      <c r="G404" s="114"/>
    </row>
    <row r="405" spans="2:7" ht="15.75" customHeight="1" x14ac:dyDescent="0.25">
      <c r="B405" s="100"/>
      <c r="C405" s="100"/>
      <c r="D405" s="100"/>
      <c r="E405" s="101"/>
      <c r="F405" s="102"/>
      <c r="G405" s="114"/>
    </row>
    <row r="406" spans="2:7" ht="15.75" customHeight="1" x14ac:dyDescent="0.25">
      <c r="B406" s="100"/>
      <c r="C406" s="100"/>
      <c r="D406" s="100"/>
      <c r="E406" s="101"/>
      <c r="F406" s="102"/>
      <c r="G406" s="114"/>
    </row>
    <row r="407" spans="2:7" ht="15.75" customHeight="1" x14ac:dyDescent="0.25">
      <c r="B407" s="100"/>
      <c r="C407" s="100"/>
      <c r="D407" s="100"/>
      <c r="E407" s="101"/>
      <c r="F407" s="102"/>
      <c r="G407" s="114"/>
    </row>
    <row r="408" spans="2:7" ht="15.75" customHeight="1" x14ac:dyDescent="0.25">
      <c r="B408" s="100"/>
      <c r="C408" s="100"/>
      <c r="D408" s="100"/>
      <c r="E408" s="101"/>
      <c r="F408" s="102"/>
      <c r="G408" s="114"/>
    </row>
    <row r="409" spans="2:7" ht="15.75" customHeight="1" x14ac:dyDescent="0.25">
      <c r="B409" s="100"/>
      <c r="C409" s="100"/>
      <c r="D409" s="100"/>
      <c r="E409" s="101"/>
      <c r="F409" s="102"/>
      <c r="G409" s="114"/>
    </row>
    <row r="410" spans="2:7" ht="15.75" customHeight="1" x14ac:dyDescent="0.25">
      <c r="B410" s="100"/>
      <c r="C410" s="100"/>
      <c r="D410" s="100"/>
      <c r="E410" s="101"/>
      <c r="F410" s="102"/>
      <c r="G410" s="114"/>
    </row>
    <row r="411" spans="2:7" ht="15.75" customHeight="1" x14ac:dyDescent="0.25">
      <c r="B411" s="100"/>
      <c r="C411" s="100"/>
      <c r="D411" s="100"/>
      <c r="E411" s="101"/>
      <c r="F411" s="102"/>
      <c r="G411" s="114"/>
    </row>
    <row r="412" spans="2:7" ht="15.75" customHeight="1" x14ac:dyDescent="0.25">
      <c r="B412" s="100"/>
      <c r="C412" s="100"/>
      <c r="D412" s="100"/>
      <c r="E412" s="101"/>
      <c r="F412" s="102"/>
      <c r="G412" s="114"/>
    </row>
    <row r="413" spans="2:7" ht="15.75" customHeight="1" x14ac:dyDescent="0.25">
      <c r="B413" s="100"/>
      <c r="C413" s="100"/>
      <c r="D413" s="100"/>
      <c r="E413" s="101"/>
      <c r="F413" s="102"/>
      <c r="G413" s="114"/>
    </row>
    <row r="414" spans="2:7" ht="15.75" customHeight="1" x14ac:dyDescent="0.25">
      <c r="B414" s="100"/>
      <c r="C414" s="100"/>
      <c r="D414" s="100"/>
      <c r="E414" s="101"/>
      <c r="F414" s="102"/>
      <c r="G414" s="114"/>
    </row>
    <row r="415" spans="2:7" ht="15.75" customHeight="1" x14ac:dyDescent="0.25">
      <c r="B415" s="100"/>
      <c r="C415" s="100"/>
      <c r="D415" s="100"/>
      <c r="E415" s="101"/>
      <c r="F415" s="102"/>
      <c r="G415" s="114"/>
    </row>
    <row r="416" spans="2:7" ht="15.75" customHeight="1" x14ac:dyDescent="0.25">
      <c r="B416" s="100"/>
      <c r="C416" s="100"/>
      <c r="D416" s="100"/>
      <c r="E416" s="101"/>
      <c r="F416" s="102"/>
      <c r="G416" s="114"/>
    </row>
    <row r="417" spans="2:7" ht="15.75" customHeight="1" x14ac:dyDescent="0.25">
      <c r="B417" s="100"/>
      <c r="C417" s="100"/>
      <c r="D417" s="100"/>
      <c r="E417" s="101"/>
      <c r="F417" s="102"/>
      <c r="G417" s="114"/>
    </row>
    <row r="418" spans="2:7" ht="15.75" customHeight="1" x14ac:dyDescent="0.25">
      <c r="B418" s="100"/>
      <c r="C418" s="100"/>
      <c r="D418" s="100"/>
      <c r="E418" s="101"/>
      <c r="F418" s="102"/>
      <c r="G418" s="114"/>
    </row>
    <row r="419" spans="2:7" ht="15.75" customHeight="1" x14ac:dyDescent="0.25">
      <c r="B419" s="100"/>
      <c r="C419" s="100"/>
      <c r="D419" s="100"/>
      <c r="E419" s="101"/>
      <c r="F419" s="102"/>
      <c r="G419" s="114"/>
    </row>
    <row r="420" spans="2:7" ht="15.75" customHeight="1" x14ac:dyDescent="0.25">
      <c r="B420" s="100"/>
      <c r="C420" s="100"/>
      <c r="D420" s="100"/>
      <c r="E420" s="101"/>
      <c r="F420" s="102"/>
      <c r="G420" s="114"/>
    </row>
    <row r="421" spans="2:7" ht="15.75" customHeight="1" x14ac:dyDescent="0.25">
      <c r="B421" s="100"/>
      <c r="C421" s="100"/>
      <c r="D421" s="100"/>
      <c r="E421" s="101"/>
      <c r="F421" s="102"/>
      <c r="G421" s="114"/>
    </row>
    <row r="422" spans="2:7" ht="15.75" customHeight="1" x14ac:dyDescent="0.25">
      <c r="B422" s="100"/>
      <c r="C422" s="100"/>
      <c r="D422" s="100"/>
      <c r="E422" s="101"/>
      <c r="F422" s="102"/>
      <c r="G422" s="114"/>
    </row>
    <row r="423" spans="2:7" ht="15.75" customHeight="1" x14ac:dyDescent="0.25">
      <c r="B423" s="100"/>
      <c r="C423" s="100"/>
      <c r="D423" s="100"/>
      <c r="E423" s="101"/>
      <c r="F423" s="102"/>
      <c r="G423" s="114"/>
    </row>
    <row r="424" spans="2:7" ht="15.75" customHeight="1" x14ac:dyDescent="0.25">
      <c r="B424" s="100"/>
      <c r="C424" s="100"/>
      <c r="D424" s="100"/>
      <c r="E424" s="101"/>
      <c r="F424" s="102"/>
      <c r="G424" s="114"/>
    </row>
    <row r="425" spans="2:7" ht="15.75" customHeight="1" x14ac:dyDescent="0.25">
      <c r="B425" s="100"/>
      <c r="C425" s="100"/>
      <c r="D425" s="100"/>
      <c r="E425" s="101"/>
      <c r="F425" s="102"/>
      <c r="G425" s="114"/>
    </row>
    <row r="426" spans="2:7" ht="15.75" customHeight="1" x14ac:dyDescent="0.25">
      <c r="B426" s="100"/>
      <c r="C426" s="100"/>
      <c r="D426" s="100"/>
      <c r="E426" s="101"/>
      <c r="F426" s="102"/>
      <c r="G426" s="114"/>
    </row>
    <row r="427" spans="2:7" ht="15.75" customHeight="1" x14ac:dyDescent="0.25">
      <c r="B427" s="100"/>
      <c r="C427" s="100"/>
      <c r="D427" s="100"/>
      <c r="E427" s="101"/>
      <c r="F427" s="102"/>
      <c r="G427" s="114"/>
    </row>
    <row r="428" spans="2:7" ht="15.75" customHeight="1" x14ac:dyDescent="0.25">
      <c r="B428" s="100"/>
      <c r="C428" s="100"/>
      <c r="D428" s="100"/>
      <c r="E428" s="101"/>
      <c r="F428" s="102"/>
      <c r="G428" s="114"/>
    </row>
    <row r="429" spans="2:7" ht="15.75" customHeight="1" x14ac:dyDescent="0.25">
      <c r="B429" s="100"/>
      <c r="C429" s="100"/>
      <c r="D429" s="100"/>
      <c r="E429" s="101"/>
      <c r="F429" s="102"/>
      <c r="G429" s="114"/>
    </row>
    <row r="430" spans="2:7" ht="15.75" customHeight="1" x14ac:dyDescent="0.25">
      <c r="B430" s="100"/>
      <c r="C430" s="100"/>
      <c r="D430" s="100"/>
      <c r="E430" s="101"/>
      <c r="F430" s="102"/>
      <c r="G430" s="114"/>
    </row>
    <row r="431" spans="2:7" ht="15.75" customHeight="1" x14ac:dyDescent="0.25">
      <c r="B431" s="100"/>
      <c r="C431" s="100"/>
      <c r="D431" s="100"/>
      <c r="E431" s="101"/>
      <c r="F431" s="102"/>
      <c r="G431" s="114"/>
    </row>
    <row r="432" spans="2:7" ht="15.75" customHeight="1" x14ac:dyDescent="0.25">
      <c r="B432" s="100"/>
      <c r="C432" s="100"/>
      <c r="D432" s="100"/>
      <c r="E432" s="101"/>
      <c r="F432" s="102"/>
      <c r="G432" s="114"/>
    </row>
    <row r="433" spans="2:7" ht="15.75" customHeight="1" x14ac:dyDescent="0.25">
      <c r="B433" s="100"/>
      <c r="C433" s="100"/>
      <c r="D433" s="100"/>
      <c r="E433" s="101"/>
      <c r="F433" s="102"/>
      <c r="G433" s="114"/>
    </row>
    <row r="434" spans="2:7" ht="15.75" customHeight="1" x14ac:dyDescent="0.25">
      <c r="B434" s="100"/>
      <c r="C434" s="100"/>
      <c r="D434" s="100"/>
      <c r="E434" s="101"/>
      <c r="F434" s="102"/>
      <c r="G434" s="114"/>
    </row>
    <row r="435" spans="2:7" ht="15.75" customHeight="1" x14ac:dyDescent="0.25">
      <c r="B435" s="100"/>
      <c r="C435" s="100"/>
      <c r="D435" s="100"/>
      <c r="E435" s="101"/>
      <c r="F435" s="102"/>
      <c r="G435" s="114"/>
    </row>
    <row r="436" spans="2:7" ht="15.75" customHeight="1" x14ac:dyDescent="0.25">
      <c r="B436" s="100"/>
      <c r="C436" s="100"/>
      <c r="D436" s="100"/>
      <c r="E436" s="101"/>
      <c r="F436" s="102"/>
      <c r="G436" s="114"/>
    </row>
    <row r="437" spans="2:7" ht="15.75" customHeight="1" x14ac:dyDescent="0.25">
      <c r="B437" s="100"/>
      <c r="C437" s="100"/>
      <c r="D437" s="100"/>
      <c r="E437" s="101"/>
      <c r="F437" s="102"/>
      <c r="G437" s="114"/>
    </row>
    <row r="438" spans="2:7" ht="15.75" customHeight="1" x14ac:dyDescent="0.25">
      <c r="B438" s="100"/>
      <c r="C438" s="100"/>
      <c r="D438" s="100"/>
      <c r="E438" s="101"/>
      <c r="F438" s="102"/>
      <c r="G438" s="114"/>
    </row>
    <row r="439" spans="2:7" ht="15.75" customHeight="1" x14ac:dyDescent="0.25">
      <c r="B439" s="100"/>
      <c r="C439" s="100"/>
      <c r="D439" s="100"/>
      <c r="E439" s="101"/>
      <c r="F439" s="102"/>
      <c r="G439" s="114"/>
    </row>
    <row r="440" spans="2:7" ht="15.75" customHeight="1" x14ac:dyDescent="0.25">
      <c r="B440" s="100"/>
      <c r="C440" s="100"/>
      <c r="D440" s="100"/>
      <c r="E440" s="101"/>
      <c r="F440" s="102"/>
      <c r="G440" s="114"/>
    </row>
    <row r="441" spans="2:7" ht="15.75" customHeight="1" x14ac:dyDescent="0.25">
      <c r="B441" s="100"/>
      <c r="C441" s="100"/>
      <c r="D441" s="100"/>
      <c r="E441" s="101"/>
      <c r="F441" s="102"/>
      <c r="G441" s="114"/>
    </row>
    <row r="442" spans="2:7" ht="15.75" customHeight="1" x14ac:dyDescent="0.25">
      <c r="B442" s="100"/>
      <c r="C442" s="100"/>
      <c r="D442" s="100"/>
      <c r="E442" s="101"/>
      <c r="F442" s="102"/>
      <c r="G442" s="114"/>
    </row>
    <row r="443" spans="2:7" ht="15.75" customHeight="1" x14ac:dyDescent="0.25">
      <c r="B443" s="100"/>
      <c r="C443" s="100"/>
      <c r="D443" s="100"/>
      <c r="E443" s="101"/>
      <c r="F443" s="102"/>
      <c r="G443" s="114"/>
    </row>
    <row r="444" spans="2:7" ht="15.75" customHeight="1" x14ac:dyDescent="0.25">
      <c r="B444" s="100"/>
      <c r="C444" s="100"/>
      <c r="D444" s="100"/>
      <c r="E444" s="101"/>
      <c r="F444" s="102"/>
      <c r="G444" s="114"/>
    </row>
    <row r="445" spans="2:7" ht="15.75" customHeight="1" x14ac:dyDescent="0.25">
      <c r="B445" s="100"/>
      <c r="C445" s="100"/>
      <c r="D445" s="100"/>
      <c r="E445" s="101"/>
      <c r="F445" s="102"/>
      <c r="G445" s="114"/>
    </row>
    <row r="446" spans="2:7" ht="15.75" customHeight="1" x14ac:dyDescent="0.25">
      <c r="B446" s="100"/>
      <c r="C446" s="100"/>
      <c r="D446" s="100"/>
      <c r="E446" s="101"/>
      <c r="F446" s="102"/>
      <c r="G446" s="114"/>
    </row>
    <row r="447" spans="2:7" ht="15.75" customHeight="1" x14ac:dyDescent="0.25">
      <c r="B447" s="100"/>
      <c r="C447" s="100"/>
      <c r="D447" s="100"/>
      <c r="E447" s="101"/>
      <c r="F447" s="102"/>
      <c r="G447" s="114"/>
    </row>
    <row r="448" spans="2:7" ht="15.75" customHeight="1" x14ac:dyDescent="0.25">
      <c r="B448" s="100"/>
      <c r="C448" s="100"/>
      <c r="D448" s="100"/>
      <c r="E448" s="101"/>
      <c r="F448" s="102"/>
      <c r="G448" s="114"/>
    </row>
    <row r="449" spans="2:7" ht="15.75" customHeight="1" x14ac:dyDescent="0.25">
      <c r="B449" s="100"/>
      <c r="C449" s="100"/>
      <c r="D449" s="100"/>
      <c r="E449" s="101"/>
      <c r="F449" s="102"/>
      <c r="G449" s="114"/>
    </row>
    <row r="450" spans="2:7" ht="15.75" customHeight="1" x14ac:dyDescent="0.25">
      <c r="B450" s="100"/>
      <c r="C450" s="100"/>
      <c r="D450" s="100"/>
      <c r="E450" s="101"/>
      <c r="F450" s="102"/>
      <c r="G450" s="114"/>
    </row>
    <row r="451" spans="2:7" ht="15.75" customHeight="1" x14ac:dyDescent="0.25">
      <c r="B451" s="100"/>
      <c r="C451" s="100"/>
      <c r="D451" s="100"/>
      <c r="E451" s="101"/>
      <c r="F451" s="102"/>
      <c r="G451" s="114"/>
    </row>
    <row r="452" spans="2:7" ht="15.75" customHeight="1" x14ac:dyDescent="0.25">
      <c r="B452" s="100"/>
      <c r="C452" s="100"/>
      <c r="D452" s="100"/>
      <c r="E452" s="101"/>
      <c r="F452" s="102"/>
      <c r="G452" s="114"/>
    </row>
    <row r="453" spans="2:7" ht="15.75" customHeight="1" x14ac:dyDescent="0.25">
      <c r="B453" s="100"/>
      <c r="C453" s="100"/>
      <c r="D453" s="100"/>
      <c r="E453" s="101"/>
      <c r="F453" s="102"/>
      <c r="G453" s="114"/>
    </row>
    <row r="454" spans="2:7" ht="15.75" customHeight="1" x14ac:dyDescent="0.25">
      <c r="B454" s="100"/>
      <c r="C454" s="100"/>
      <c r="D454" s="100"/>
      <c r="E454" s="101"/>
      <c r="F454" s="102"/>
      <c r="G454" s="114"/>
    </row>
    <row r="455" spans="2:7" ht="15.75" customHeight="1" x14ac:dyDescent="0.25">
      <c r="B455" s="100"/>
      <c r="C455" s="100"/>
      <c r="D455" s="100"/>
      <c r="E455" s="101"/>
      <c r="F455" s="102"/>
      <c r="G455" s="114"/>
    </row>
    <row r="456" spans="2:7" ht="15.75" customHeight="1" x14ac:dyDescent="0.25">
      <c r="B456" s="100"/>
      <c r="C456" s="100"/>
      <c r="D456" s="100"/>
      <c r="E456" s="101"/>
      <c r="F456" s="102"/>
      <c r="G456" s="114"/>
    </row>
    <row r="457" spans="2:7" ht="15.75" customHeight="1" x14ac:dyDescent="0.25">
      <c r="B457" s="100"/>
      <c r="C457" s="100"/>
      <c r="D457" s="100"/>
      <c r="E457" s="101"/>
      <c r="F457" s="102"/>
      <c r="G457" s="114"/>
    </row>
    <row r="458" spans="2:7" ht="15.75" customHeight="1" x14ac:dyDescent="0.25">
      <c r="B458" s="100"/>
      <c r="C458" s="100"/>
      <c r="D458" s="100"/>
      <c r="E458" s="101"/>
      <c r="F458" s="102"/>
      <c r="G458" s="114"/>
    </row>
    <row r="459" spans="2:7" ht="15.75" customHeight="1" x14ac:dyDescent="0.25">
      <c r="B459" s="100"/>
      <c r="C459" s="100"/>
      <c r="D459" s="100"/>
      <c r="E459" s="101"/>
      <c r="F459" s="102"/>
      <c r="G459" s="114"/>
    </row>
    <row r="460" spans="2:7" ht="15.75" customHeight="1" x14ac:dyDescent="0.25">
      <c r="B460" s="100"/>
      <c r="C460" s="100"/>
      <c r="D460" s="100"/>
      <c r="E460" s="101"/>
      <c r="F460" s="102"/>
      <c r="G460" s="114"/>
    </row>
    <row r="461" spans="2:7" ht="15.75" customHeight="1" x14ac:dyDescent="0.25">
      <c r="B461" s="100"/>
      <c r="C461" s="100"/>
      <c r="D461" s="100"/>
      <c r="E461" s="101"/>
      <c r="F461" s="102"/>
      <c r="G461" s="114"/>
    </row>
    <row r="462" spans="2:7" ht="15.75" customHeight="1" x14ac:dyDescent="0.25">
      <c r="B462" s="100"/>
      <c r="C462" s="100"/>
      <c r="D462" s="100"/>
      <c r="E462" s="101"/>
      <c r="F462" s="102"/>
      <c r="G462" s="114"/>
    </row>
    <row r="463" spans="2:7" ht="15.75" customHeight="1" x14ac:dyDescent="0.25">
      <c r="B463" s="100"/>
      <c r="C463" s="100"/>
      <c r="D463" s="100"/>
      <c r="E463" s="101"/>
      <c r="F463" s="102"/>
      <c r="G463" s="114"/>
    </row>
    <row r="464" spans="2:7" ht="15.75" customHeight="1" x14ac:dyDescent="0.25">
      <c r="B464" s="100"/>
      <c r="C464" s="100"/>
      <c r="D464" s="100"/>
      <c r="E464" s="101"/>
      <c r="F464" s="102"/>
      <c r="G464" s="114"/>
    </row>
    <row r="465" spans="2:7" ht="15.75" customHeight="1" x14ac:dyDescent="0.25">
      <c r="B465" s="100"/>
      <c r="C465" s="100"/>
      <c r="D465" s="100"/>
      <c r="E465" s="101"/>
      <c r="F465" s="102"/>
      <c r="G465" s="114"/>
    </row>
    <row r="466" spans="2:7" ht="15.75" customHeight="1" x14ac:dyDescent="0.25">
      <c r="B466" s="100"/>
      <c r="C466" s="100"/>
      <c r="D466" s="100"/>
      <c r="E466" s="101"/>
      <c r="F466" s="102"/>
      <c r="G466" s="114"/>
    </row>
    <row r="467" spans="2:7" ht="15.75" customHeight="1" x14ac:dyDescent="0.25">
      <c r="B467" s="100"/>
      <c r="C467" s="100"/>
      <c r="D467" s="100"/>
      <c r="E467" s="101"/>
      <c r="F467" s="102"/>
      <c r="G467" s="114"/>
    </row>
    <row r="468" spans="2:7" ht="15.75" customHeight="1" x14ac:dyDescent="0.25">
      <c r="B468" s="100"/>
      <c r="C468" s="100"/>
      <c r="D468" s="100"/>
      <c r="E468" s="101"/>
      <c r="F468" s="102"/>
      <c r="G468" s="114"/>
    </row>
    <row r="469" spans="2:7" ht="15.75" customHeight="1" x14ac:dyDescent="0.25">
      <c r="B469" s="100"/>
      <c r="C469" s="100"/>
      <c r="D469" s="100"/>
      <c r="E469" s="101"/>
      <c r="F469" s="102"/>
      <c r="G469" s="114"/>
    </row>
    <row r="470" spans="2:7" ht="15.75" customHeight="1" x14ac:dyDescent="0.25">
      <c r="B470" s="100"/>
      <c r="C470" s="100"/>
      <c r="D470" s="100"/>
      <c r="E470" s="101"/>
      <c r="F470" s="102"/>
      <c r="G470" s="114"/>
    </row>
    <row r="471" spans="2:7" ht="15.75" customHeight="1" x14ac:dyDescent="0.25">
      <c r="B471" s="100"/>
      <c r="C471" s="100"/>
      <c r="D471" s="100"/>
      <c r="E471" s="101"/>
      <c r="F471" s="102"/>
      <c r="G471" s="114"/>
    </row>
    <row r="472" spans="2:7" ht="15.75" customHeight="1" x14ac:dyDescent="0.25">
      <c r="B472" s="100"/>
      <c r="C472" s="100"/>
      <c r="D472" s="100"/>
      <c r="E472" s="101"/>
      <c r="F472" s="102"/>
      <c r="G472" s="114"/>
    </row>
    <row r="473" spans="2:7" ht="15.75" customHeight="1" x14ac:dyDescent="0.25">
      <c r="B473" s="100"/>
      <c r="C473" s="100"/>
      <c r="D473" s="100"/>
      <c r="E473" s="101"/>
      <c r="F473" s="102"/>
      <c r="G473" s="114"/>
    </row>
    <row r="474" spans="2:7" ht="15.75" customHeight="1" x14ac:dyDescent="0.25">
      <c r="B474" s="100"/>
      <c r="C474" s="100"/>
      <c r="D474" s="100"/>
      <c r="E474" s="101"/>
      <c r="F474" s="102"/>
      <c r="G474" s="114"/>
    </row>
    <row r="475" spans="2:7" ht="15.75" customHeight="1" x14ac:dyDescent="0.25">
      <c r="B475" s="100"/>
      <c r="C475" s="100"/>
      <c r="D475" s="100"/>
      <c r="E475" s="101"/>
      <c r="F475" s="102"/>
      <c r="G475" s="114"/>
    </row>
    <row r="476" spans="2:7" ht="15.75" customHeight="1" x14ac:dyDescent="0.25">
      <c r="B476" s="100"/>
      <c r="C476" s="100"/>
      <c r="D476" s="100"/>
      <c r="E476" s="101"/>
      <c r="F476" s="102"/>
      <c r="G476" s="114"/>
    </row>
    <row r="477" spans="2:7" ht="15.75" customHeight="1" x14ac:dyDescent="0.25">
      <c r="B477" s="100"/>
      <c r="C477" s="100"/>
      <c r="D477" s="100"/>
      <c r="E477" s="101"/>
      <c r="F477" s="102"/>
      <c r="G477" s="114"/>
    </row>
    <row r="478" spans="2:7" ht="15.75" customHeight="1" x14ac:dyDescent="0.25">
      <c r="B478" s="100"/>
      <c r="C478" s="100"/>
      <c r="D478" s="100"/>
      <c r="E478" s="101"/>
      <c r="F478" s="102"/>
      <c r="G478" s="114"/>
    </row>
    <row r="479" spans="2:7" ht="15.75" customHeight="1" x14ac:dyDescent="0.25">
      <c r="B479" s="100"/>
      <c r="C479" s="100"/>
      <c r="D479" s="100"/>
      <c r="E479" s="101"/>
      <c r="F479" s="102"/>
      <c r="G479" s="114"/>
    </row>
    <row r="480" spans="2:7" ht="15.75" customHeight="1" x14ac:dyDescent="0.25">
      <c r="B480" s="100"/>
      <c r="C480" s="100"/>
      <c r="D480" s="100"/>
      <c r="E480" s="101"/>
      <c r="F480" s="102"/>
      <c r="G480" s="114"/>
    </row>
    <row r="481" spans="2:7" ht="15.75" customHeight="1" x14ac:dyDescent="0.25">
      <c r="B481" s="100"/>
      <c r="C481" s="100"/>
      <c r="D481" s="100"/>
      <c r="E481" s="101"/>
      <c r="F481" s="102"/>
      <c r="G481" s="114"/>
    </row>
    <row r="482" spans="2:7" ht="15.75" customHeight="1" x14ac:dyDescent="0.25">
      <c r="B482" s="100"/>
      <c r="C482" s="100"/>
      <c r="D482" s="100"/>
      <c r="E482" s="101"/>
      <c r="F482" s="102"/>
      <c r="G482" s="114"/>
    </row>
    <row r="483" spans="2:7" ht="15.75" customHeight="1" x14ac:dyDescent="0.25">
      <c r="B483" s="100"/>
      <c r="C483" s="100"/>
      <c r="D483" s="100"/>
      <c r="E483" s="101"/>
      <c r="F483" s="102"/>
      <c r="G483" s="114"/>
    </row>
    <row r="484" spans="2:7" ht="15.75" customHeight="1" x14ac:dyDescent="0.25">
      <c r="B484" s="100"/>
      <c r="C484" s="100"/>
      <c r="D484" s="100"/>
      <c r="E484" s="101"/>
      <c r="F484" s="102"/>
      <c r="G484" s="114"/>
    </row>
    <row r="485" spans="2:7" ht="15.75" customHeight="1" x14ac:dyDescent="0.25">
      <c r="B485" s="100"/>
      <c r="C485" s="100"/>
      <c r="D485" s="100"/>
      <c r="E485" s="101"/>
      <c r="F485" s="102"/>
      <c r="G485" s="114"/>
    </row>
    <row r="486" spans="2:7" ht="15.75" customHeight="1" x14ac:dyDescent="0.25">
      <c r="B486" s="100"/>
      <c r="C486" s="100"/>
      <c r="D486" s="100"/>
      <c r="E486" s="101"/>
      <c r="F486" s="102"/>
      <c r="G486" s="114"/>
    </row>
    <row r="487" spans="2:7" ht="15.75" customHeight="1" x14ac:dyDescent="0.25">
      <c r="B487" s="100"/>
      <c r="C487" s="100"/>
      <c r="D487" s="100"/>
      <c r="E487" s="101"/>
      <c r="F487" s="102"/>
      <c r="G487" s="114"/>
    </row>
    <row r="488" spans="2:7" ht="15.75" customHeight="1" x14ac:dyDescent="0.25">
      <c r="B488" s="100"/>
      <c r="C488" s="100"/>
      <c r="D488" s="100"/>
      <c r="E488" s="101"/>
      <c r="F488" s="102"/>
      <c r="G488" s="114"/>
    </row>
    <row r="489" spans="2:7" ht="15.75" customHeight="1" x14ac:dyDescent="0.25">
      <c r="B489" s="100"/>
      <c r="C489" s="100"/>
      <c r="D489" s="100"/>
      <c r="E489" s="101"/>
      <c r="F489" s="102"/>
      <c r="G489" s="114"/>
    </row>
    <row r="490" spans="2:7" ht="15.75" customHeight="1" x14ac:dyDescent="0.25">
      <c r="B490" s="100"/>
      <c r="C490" s="100"/>
      <c r="D490" s="100"/>
      <c r="E490" s="101"/>
      <c r="F490" s="102"/>
      <c r="G490" s="114"/>
    </row>
    <row r="491" spans="2:7" ht="15.75" customHeight="1" x14ac:dyDescent="0.25">
      <c r="B491" s="100"/>
      <c r="C491" s="100"/>
      <c r="D491" s="100"/>
      <c r="E491" s="101"/>
      <c r="F491" s="102"/>
      <c r="G491" s="114"/>
    </row>
    <row r="492" spans="2:7" ht="15.75" customHeight="1" x14ac:dyDescent="0.25">
      <c r="B492" s="100"/>
      <c r="C492" s="100"/>
      <c r="D492" s="100"/>
      <c r="E492" s="101"/>
      <c r="F492" s="102"/>
      <c r="G492" s="114"/>
    </row>
    <row r="493" spans="2:7" ht="15.75" customHeight="1" x14ac:dyDescent="0.25">
      <c r="B493" s="100"/>
      <c r="C493" s="100"/>
      <c r="D493" s="100"/>
      <c r="E493" s="101"/>
      <c r="F493" s="102"/>
      <c r="G493" s="114"/>
    </row>
    <row r="494" spans="2:7" ht="15.75" customHeight="1" x14ac:dyDescent="0.25">
      <c r="B494" s="100"/>
      <c r="C494" s="100"/>
      <c r="D494" s="100"/>
      <c r="E494" s="101"/>
      <c r="F494" s="102"/>
      <c r="G494" s="114"/>
    </row>
    <row r="495" spans="2:7" ht="15.75" customHeight="1" x14ac:dyDescent="0.25">
      <c r="B495" s="100"/>
      <c r="C495" s="100"/>
      <c r="D495" s="100"/>
      <c r="E495" s="101"/>
      <c r="F495" s="102"/>
      <c r="G495" s="114"/>
    </row>
    <row r="496" spans="2:7" ht="15.75" customHeight="1" x14ac:dyDescent="0.25">
      <c r="B496" s="100"/>
      <c r="C496" s="100"/>
      <c r="D496" s="100"/>
      <c r="E496" s="101"/>
      <c r="F496" s="102"/>
      <c r="G496" s="114"/>
    </row>
    <row r="497" spans="2:7" ht="15.75" customHeight="1" x14ac:dyDescent="0.25">
      <c r="B497" s="100"/>
      <c r="C497" s="100"/>
      <c r="D497" s="100"/>
      <c r="E497" s="101"/>
      <c r="F497" s="102"/>
      <c r="G497" s="114"/>
    </row>
    <row r="498" spans="2:7" ht="15.75" customHeight="1" x14ac:dyDescent="0.25">
      <c r="B498" s="100"/>
      <c r="C498" s="100"/>
      <c r="D498" s="100"/>
      <c r="E498" s="101"/>
      <c r="F498" s="102"/>
      <c r="G498" s="114"/>
    </row>
    <row r="499" spans="2:7" ht="15.75" customHeight="1" x14ac:dyDescent="0.25">
      <c r="B499" s="100"/>
      <c r="C499" s="100"/>
      <c r="D499" s="100"/>
      <c r="E499" s="101"/>
      <c r="F499" s="102"/>
      <c r="G499" s="114"/>
    </row>
    <row r="500" spans="2:7" ht="15.75" customHeight="1" x14ac:dyDescent="0.25">
      <c r="B500" s="100"/>
      <c r="C500" s="100"/>
      <c r="D500" s="100"/>
      <c r="E500" s="101"/>
      <c r="F500" s="102"/>
      <c r="G500" s="114"/>
    </row>
    <row r="501" spans="2:7" ht="15.75" customHeight="1" x14ac:dyDescent="0.25">
      <c r="B501" s="100"/>
      <c r="C501" s="100"/>
      <c r="D501" s="100"/>
      <c r="E501" s="101"/>
      <c r="F501" s="102"/>
      <c r="G501" s="114"/>
    </row>
    <row r="502" spans="2:7" ht="15.75" customHeight="1" x14ac:dyDescent="0.25">
      <c r="B502" s="100"/>
      <c r="C502" s="100"/>
      <c r="D502" s="100"/>
      <c r="E502" s="101"/>
      <c r="F502" s="102"/>
      <c r="G502" s="114"/>
    </row>
    <row r="503" spans="2:7" ht="15.75" customHeight="1" x14ac:dyDescent="0.25">
      <c r="B503" s="100"/>
      <c r="C503" s="100"/>
      <c r="D503" s="100"/>
      <c r="E503" s="101"/>
      <c r="F503" s="102"/>
      <c r="G503" s="114"/>
    </row>
    <row r="504" spans="2:7" ht="15.75" customHeight="1" x14ac:dyDescent="0.25">
      <c r="B504" s="100"/>
      <c r="C504" s="100"/>
      <c r="D504" s="100"/>
      <c r="E504" s="101"/>
      <c r="F504" s="102"/>
      <c r="G504" s="114"/>
    </row>
    <row r="505" spans="2:7" ht="15.75" customHeight="1" x14ac:dyDescent="0.25">
      <c r="B505" s="100"/>
      <c r="C505" s="100"/>
      <c r="D505" s="100"/>
      <c r="E505" s="101"/>
      <c r="F505" s="102"/>
      <c r="G505" s="114"/>
    </row>
    <row r="506" spans="2:7" ht="15.75" customHeight="1" x14ac:dyDescent="0.25">
      <c r="B506" s="100"/>
      <c r="C506" s="100"/>
      <c r="D506" s="100"/>
      <c r="E506" s="101"/>
      <c r="F506" s="102"/>
      <c r="G506" s="114"/>
    </row>
    <row r="507" spans="2:7" ht="15.75" customHeight="1" x14ac:dyDescent="0.25">
      <c r="B507" s="100"/>
      <c r="C507" s="100"/>
      <c r="D507" s="100"/>
      <c r="E507" s="101"/>
      <c r="F507" s="102"/>
      <c r="G507" s="114"/>
    </row>
    <row r="508" spans="2:7" ht="15.75" customHeight="1" x14ac:dyDescent="0.25">
      <c r="B508" s="100"/>
      <c r="C508" s="100"/>
      <c r="D508" s="100"/>
      <c r="E508" s="101"/>
      <c r="F508" s="102"/>
      <c r="G508" s="114"/>
    </row>
    <row r="509" spans="2:7" ht="15.75" customHeight="1" x14ac:dyDescent="0.25">
      <c r="B509" s="100"/>
      <c r="C509" s="100"/>
      <c r="D509" s="100"/>
      <c r="E509" s="101"/>
      <c r="F509" s="102"/>
      <c r="G509" s="114"/>
    </row>
    <row r="510" spans="2:7" ht="15.75" customHeight="1" x14ac:dyDescent="0.25">
      <c r="B510" s="100"/>
      <c r="C510" s="100"/>
      <c r="D510" s="100"/>
      <c r="E510" s="101"/>
      <c r="F510" s="102"/>
      <c r="G510" s="114"/>
    </row>
    <row r="511" spans="2:7" ht="15.75" customHeight="1" x14ac:dyDescent="0.25">
      <c r="B511" s="100"/>
      <c r="C511" s="100"/>
      <c r="D511" s="100"/>
      <c r="E511" s="101"/>
      <c r="F511" s="102"/>
      <c r="G511" s="114"/>
    </row>
    <row r="512" spans="2:7" ht="15.75" customHeight="1" x14ac:dyDescent="0.25">
      <c r="B512" s="100"/>
      <c r="C512" s="100"/>
      <c r="D512" s="100"/>
      <c r="E512" s="101"/>
      <c r="F512" s="102"/>
      <c r="G512" s="114"/>
    </row>
    <row r="513" spans="2:7" ht="15.75" customHeight="1" x14ac:dyDescent="0.25">
      <c r="B513" s="100"/>
      <c r="C513" s="100"/>
      <c r="D513" s="100"/>
      <c r="E513" s="101"/>
      <c r="F513" s="102"/>
      <c r="G513" s="114"/>
    </row>
    <row r="514" spans="2:7" ht="15.75" customHeight="1" x14ac:dyDescent="0.25">
      <c r="B514" s="100"/>
      <c r="C514" s="100"/>
      <c r="D514" s="100"/>
      <c r="E514" s="101"/>
      <c r="F514" s="102"/>
      <c r="G514" s="114"/>
    </row>
    <row r="515" spans="2:7" ht="15.75" customHeight="1" x14ac:dyDescent="0.25">
      <c r="B515" s="100"/>
      <c r="C515" s="100"/>
      <c r="D515" s="100"/>
      <c r="E515" s="101"/>
      <c r="F515" s="102"/>
      <c r="G515" s="114"/>
    </row>
    <row r="516" spans="2:7" ht="15.75" customHeight="1" x14ac:dyDescent="0.25">
      <c r="B516" s="100"/>
      <c r="C516" s="100"/>
      <c r="D516" s="100"/>
      <c r="E516" s="101"/>
      <c r="F516" s="102"/>
      <c r="G516" s="114"/>
    </row>
    <row r="517" spans="2:7" ht="15.75" customHeight="1" x14ac:dyDescent="0.25">
      <c r="B517" s="100"/>
      <c r="C517" s="100"/>
      <c r="D517" s="100"/>
      <c r="E517" s="101"/>
      <c r="F517" s="102"/>
      <c r="G517" s="114"/>
    </row>
    <row r="518" spans="2:7" ht="15.75" customHeight="1" x14ac:dyDescent="0.25">
      <c r="B518" s="100"/>
      <c r="C518" s="100"/>
      <c r="D518" s="100"/>
      <c r="E518" s="101"/>
      <c r="F518" s="102"/>
      <c r="G518" s="114"/>
    </row>
    <row r="519" spans="2:7" ht="15.75" customHeight="1" x14ac:dyDescent="0.25">
      <c r="B519" s="100"/>
      <c r="C519" s="100"/>
      <c r="D519" s="100"/>
      <c r="E519" s="101"/>
      <c r="F519" s="102"/>
      <c r="G519" s="114"/>
    </row>
    <row r="520" spans="2:7" ht="15.75" customHeight="1" x14ac:dyDescent="0.25">
      <c r="B520" s="100"/>
      <c r="C520" s="100"/>
      <c r="D520" s="100"/>
      <c r="E520" s="101"/>
      <c r="F520" s="102"/>
      <c r="G520" s="114"/>
    </row>
    <row r="521" spans="2:7" ht="15.75" customHeight="1" x14ac:dyDescent="0.25">
      <c r="B521" s="100"/>
      <c r="C521" s="100"/>
      <c r="D521" s="100"/>
      <c r="E521" s="101"/>
      <c r="F521" s="102"/>
      <c r="G521" s="114"/>
    </row>
    <row r="522" spans="2:7" ht="15.75" customHeight="1" x14ac:dyDescent="0.25">
      <c r="B522" s="100"/>
      <c r="C522" s="100"/>
      <c r="D522" s="100"/>
      <c r="E522" s="101"/>
      <c r="F522" s="102"/>
      <c r="G522" s="114"/>
    </row>
    <row r="523" spans="2:7" ht="15.75" customHeight="1" x14ac:dyDescent="0.25">
      <c r="B523" s="100"/>
      <c r="C523" s="100"/>
      <c r="D523" s="100"/>
      <c r="E523" s="101"/>
      <c r="F523" s="102"/>
      <c r="G523" s="114"/>
    </row>
    <row r="524" spans="2:7" ht="15.75" customHeight="1" x14ac:dyDescent="0.25">
      <c r="B524" s="100"/>
      <c r="C524" s="100"/>
      <c r="D524" s="100"/>
      <c r="E524" s="101"/>
      <c r="F524" s="102"/>
      <c r="G524" s="114"/>
    </row>
    <row r="525" spans="2:7" ht="15.75" customHeight="1" x14ac:dyDescent="0.25">
      <c r="B525" s="100"/>
      <c r="C525" s="100"/>
      <c r="D525" s="100"/>
      <c r="E525" s="101"/>
      <c r="F525" s="102"/>
      <c r="G525" s="114"/>
    </row>
    <row r="526" spans="2:7" ht="15.75" customHeight="1" x14ac:dyDescent="0.25">
      <c r="B526" s="100"/>
      <c r="C526" s="100"/>
      <c r="D526" s="100"/>
      <c r="E526" s="101"/>
      <c r="F526" s="102"/>
      <c r="G526" s="114"/>
    </row>
    <row r="527" spans="2:7" ht="15.75" customHeight="1" x14ac:dyDescent="0.25">
      <c r="B527" s="100"/>
      <c r="C527" s="100"/>
      <c r="D527" s="100"/>
      <c r="E527" s="101"/>
      <c r="F527" s="102"/>
      <c r="G527" s="114"/>
    </row>
    <row r="528" spans="2:7" ht="15.75" customHeight="1" x14ac:dyDescent="0.25">
      <c r="B528" s="100"/>
      <c r="C528" s="100"/>
      <c r="D528" s="100"/>
      <c r="E528" s="101"/>
      <c r="F528" s="102"/>
      <c r="G528" s="114"/>
    </row>
    <row r="529" spans="2:7" ht="15.75" customHeight="1" x14ac:dyDescent="0.25">
      <c r="B529" s="100"/>
      <c r="C529" s="100"/>
      <c r="D529" s="100"/>
      <c r="E529" s="101"/>
      <c r="F529" s="102"/>
      <c r="G529" s="114"/>
    </row>
    <row r="530" spans="2:7" ht="15.75" customHeight="1" x14ac:dyDescent="0.25">
      <c r="B530" s="100"/>
      <c r="C530" s="100"/>
      <c r="D530" s="100"/>
      <c r="E530" s="101"/>
      <c r="F530" s="102"/>
      <c r="G530" s="114"/>
    </row>
    <row r="531" spans="2:7" ht="15.75" customHeight="1" x14ac:dyDescent="0.25">
      <c r="B531" s="100"/>
      <c r="C531" s="100"/>
      <c r="D531" s="100"/>
      <c r="E531" s="101"/>
      <c r="F531" s="102"/>
      <c r="G531" s="114"/>
    </row>
    <row r="532" spans="2:7" ht="15.75" customHeight="1" x14ac:dyDescent="0.25">
      <c r="B532" s="100"/>
      <c r="C532" s="100"/>
      <c r="D532" s="100"/>
      <c r="E532" s="101"/>
      <c r="F532" s="102"/>
      <c r="G532" s="114"/>
    </row>
    <row r="533" spans="2:7" ht="15.75" customHeight="1" x14ac:dyDescent="0.25">
      <c r="B533" s="100"/>
      <c r="C533" s="100"/>
      <c r="D533" s="100"/>
      <c r="E533" s="101"/>
      <c r="F533" s="102"/>
      <c r="G533" s="114"/>
    </row>
    <row r="534" spans="2:7" ht="15.75" customHeight="1" x14ac:dyDescent="0.25">
      <c r="B534" s="100"/>
      <c r="C534" s="100"/>
      <c r="D534" s="100"/>
      <c r="E534" s="101"/>
      <c r="F534" s="102"/>
      <c r="G534" s="114"/>
    </row>
    <row r="535" spans="2:7" ht="15.75" customHeight="1" x14ac:dyDescent="0.25">
      <c r="B535" s="100"/>
      <c r="C535" s="100"/>
      <c r="D535" s="100"/>
      <c r="E535" s="101"/>
      <c r="F535" s="102"/>
      <c r="G535" s="114"/>
    </row>
    <row r="536" spans="2:7" ht="15.75" customHeight="1" x14ac:dyDescent="0.25">
      <c r="B536" s="100"/>
      <c r="C536" s="100"/>
      <c r="D536" s="100"/>
      <c r="E536" s="101"/>
      <c r="F536" s="102"/>
      <c r="G536" s="114"/>
    </row>
    <row r="537" spans="2:7" ht="15.75" customHeight="1" x14ac:dyDescent="0.25">
      <c r="B537" s="100"/>
      <c r="C537" s="100"/>
      <c r="D537" s="100"/>
      <c r="E537" s="101"/>
      <c r="F537" s="102"/>
      <c r="G537" s="114"/>
    </row>
    <row r="538" spans="2:7" ht="15.75" customHeight="1" x14ac:dyDescent="0.25">
      <c r="B538" s="100"/>
      <c r="C538" s="100"/>
      <c r="D538" s="100"/>
      <c r="E538" s="101"/>
      <c r="F538" s="102"/>
      <c r="G538" s="114"/>
    </row>
    <row r="539" spans="2:7" ht="15.75" customHeight="1" x14ac:dyDescent="0.25">
      <c r="B539" s="100"/>
      <c r="C539" s="100"/>
      <c r="D539" s="100"/>
      <c r="E539" s="101"/>
      <c r="F539" s="102"/>
      <c r="G539" s="114"/>
    </row>
    <row r="540" spans="2:7" ht="15.75" customHeight="1" x14ac:dyDescent="0.25">
      <c r="B540" s="100"/>
      <c r="C540" s="100"/>
      <c r="D540" s="100"/>
      <c r="E540" s="101"/>
      <c r="F540" s="102"/>
      <c r="G540" s="114"/>
    </row>
    <row r="541" spans="2:7" ht="15.75" customHeight="1" x14ac:dyDescent="0.25">
      <c r="B541" s="100"/>
      <c r="C541" s="100"/>
      <c r="D541" s="100"/>
      <c r="E541" s="101"/>
      <c r="F541" s="102"/>
      <c r="G541" s="114"/>
    </row>
    <row r="542" spans="2:7" ht="15.75" customHeight="1" x14ac:dyDescent="0.25">
      <c r="B542" s="100"/>
      <c r="C542" s="100"/>
      <c r="D542" s="100"/>
      <c r="E542" s="101"/>
      <c r="F542" s="102"/>
      <c r="G542" s="114"/>
    </row>
    <row r="543" spans="2:7" ht="15.75" customHeight="1" x14ac:dyDescent="0.25">
      <c r="B543" s="100"/>
      <c r="C543" s="100"/>
      <c r="D543" s="100"/>
      <c r="E543" s="101"/>
      <c r="F543" s="102"/>
      <c r="G543" s="114"/>
    </row>
    <row r="544" spans="2:7" ht="15.75" customHeight="1" x14ac:dyDescent="0.25">
      <c r="B544" s="100"/>
      <c r="C544" s="100"/>
      <c r="D544" s="100"/>
      <c r="E544" s="101"/>
      <c r="F544" s="102"/>
      <c r="G544" s="114"/>
    </row>
    <row r="545" spans="2:7" ht="15.75" customHeight="1" x14ac:dyDescent="0.25">
      <c r="B545" s="100"/>
      <c r="C545" s="100"/>
      <c r="D545" s="100"/>
      <c r="E545" s="101"/>
      <c r="F545" s="102"/>
      <c r="G545" s="114"/>
    </row>
    <row r="546" spans="2:7" ht="15.75" customHeight="1" x14ac:dyDescent="0.25">
      <c r="B546" s="100"/>
      <c r="C546" s="100"/>
      <c r="D546" s="100"/>
      <c r="E546" s="101"/>
      <c r="F546" s="102"/>
      <c r="G546" s="114"/>
    </row>
    <row r="547" spans="2:7" ht="15.75" customHeight="1" x14ac:dyDescent="0.25">
      <c r="B547" s="100"/>
      <c r="C547" s="100"/>
      <c r="D547" s="100"/>
      <c r="E547" s="101"/>
      <c r="F547" s="102"/>
      <c r="G547" s="114"/>
    </row>
    <row r="548" spans="2:7" ht="15.75" customHeight="1" x14ac:dyDescent="0.25">
      <c r="B548" s="100"/>
      <c r="C548" s="100"/>
      <c r="D548" s="100"/>
      <c r="E548" s="101"/>
      <c r="F548" s="102"/>
      <c r="G548" s="114"/>
    </row>
    <row r="549" spans="2:7" ht="15.75" customHeight="1" x14ac:dyDescent="0.25">
      <c r="B549" s="100"/>
      <c r="C549" s="100"/>
      <c r="D549" s="100"/>
      <c r="E549" s="101"/>
      <c r="F549" s="102"/>
      <c r="G549" s="114"/>
    </row>
    <row r="550" spans="2:7" ht="15.75" customHeight="1" x14ac:dyDescent="0.25">
      <c r="B550" s="100"/>
      <c r="C550" s="100"/>
      <c r="D550" s="100"/>
      <c r="E550" s="101"/>
      <c r="F550" s="102"/>
      <c r="G550" s="114"/>
    </row>
    <row r="551" spans="2:7" ht="15.75" customHeight="1" x14ac:dyDescent="0.25">
      <c r="B551" s="100"/>
      <c r="C551" s="100"/>
      <c r="D551" s="100"/>
      <c r="E551" s="101"/>
      <c r="F551" s="102"/>
      <c r="G551" s="114"/>
    </row>
    <row r="552" spans="2:7" ht="15.75" customHeight="1" x14ac:dyDescent="0.25">
      <c r="B552" s="100"/>
      <c r="C552" s="100"/>
      <c r="D552" s="100"/>
      <c r="E552" s="101"/>
      <c r="F552" s="102"/>
      <c r="G552" s="114"/>
    </row>
    <row r="553" spans="2:7" ht="15.75" customHeight="1" x14ac:dyDescent="0.25">
      <c r="B553" s="100"/>
      <c r="C553" s="100"/>
      <c r="D553" s="100"/>
      <c r="E553" s="101"/>
      <c r="F553" s="102"/>
      <c r="G553" s="114"/>
    </row>
    <row r="554" spans="2:7" ht="15.75" customHeight="1" x14ac:dyDescent="0.25">
      <c r="B554" s="100"/>
      <c r="C554" s="100"/>
      <c r="D554" s="100"/>
      <c r="E554" s="101"/>
      <c r="F554" s="102"/>
      <c r="G554" s="114"/>
    </row>
    <row r="555" spans="2:7" ht="15.75" customHeight="1" x14ac:dyDescent="0.25">
      <c r="B555" s="100"/>
      <c r="C555" s="100"/>
      <c r="D555" s="100"/>
      <c r="E555" s="101"/>
      <c r="F555" s="102"/>
      <c r="G555" s="114"/>
    </row>
    <row r="556" spans="2:7" ht="15.75" customHeight="1" x14ac:dyDescent="0.25">
      <c r="B556" s="100"/>
      <c r="C556" s="100"/>
      <c r="D556" s="100"/>
      <c r="E556" s="101"/>
      <c r="F556" s="102"/>
      <c r="G556" s="114"/>
    </row>
    <row r="557" spans="2:7" ht="15.75" customHeight="1" x14ac:dyDescent="0.25">
      <c r="B557" s="100"/>
      <c r="C557" s="100"/>
      <c r="D557" s="100"/>
      <c r="E557" s="101"/>
      <c r="F557" s="102"/>
      <c r="G557" s="114"/>
    </row>
    <row r="558" spans="2:7" ht="15.75" customHeight="1" x14ac:dyDescent="0.25">
      <c r="B558" s="100"/>
      <c r="C558" s="100"/>
      <c r="D558" s="100"/>
      <c r="E558" s="101"/>
      <c r="F558" s="102"/>
      <c r="G558" s="114"/>
    </row>
    <row r="559" spans="2:7" ht="15.75" customHeight="1" x14ac:dyDescent="0.25">
      <c r="B559" s="100"/>
      <c r="C559" s="100"/>
      <c r="D559" s="100"/>
      <c r="E559" s="101"/>
      <c r="F559" s="102"/>
      <c r="G559" s="114"/>
    </row>
    <row r="560" spans="2:7" ht="15.75" customHeight="1" x14ac:dyDescent="0.25">
      <c r="B560" s="100"/>
      <c r="C560" s="100"/>
      <c r="D560" s="100"/>
      <c r="E560" s="101"/>
      <c r="F560" s="102"/>
      <c r="G560" s="114"/>
    </row>
    <row r="561" spans="2:7" ht="15.75" customHeight="1" x14ac:dyDescent="0.25">
      <c r="B561" s="100"/>
      <c r="C561" s="100"/>
      <c r="D561" s="100"/>
      <c r="E561" s="101"/>
      <c r="F561" s="102"/>
      <c r="G561" s="114"/>
    </row>
    <row r="562" spans="2:7" ht="15.75" customHeight="1" x14ac:dyDescent="0.25">
      <c r="B562" s="100"/>
      <c r="C562" s="100"/>
      <c r="D562" s="100"/>
      <c r="E562" s="101"/>
      <c r="F562" s="102"/>
      <c r="G562" s="114"/>
    </row>
    <row r="563" spans="2:7" ht="15.75" customHeight="1" x14ac:dyDescent="0.25">
      <c r="B563" s="100"/>
      <c r="C563" s="100"/>
      <c r="D563" s="100"/>
      <c r="E563" s="101"/>
      <c r="F563" s="102"/>
      <c r="G563" s="114"/>
    </row>
    <row r="564" spans="2:7" ht="15.75" customHeight="1" x14ac:dyDescent="0.25">
      <c r="B564" s="100"/>
      <c r="C564" s="100"/>
      <c r="D564" s="100"/>
      <c r="E564" s="101"/>
      <c r="F564" s="102"/>
      <c r="G564" s="114"/>
    </row>
    <row r="565" spans="2:7" ht="15.75" customHeight="1" x14ac:dyDescent="0.25">
      <c r="B565" s="100"/>
      <c r="C565" s="100"/>
      <c r="D565" s="100"/>
      <c r="E565" s="101"/>
      <c r="F565" s="102"/>
      <c r="G565" s="114"/>
    </row>
    <row r="566" spans="2:7" ht="15.75" customHeight="1" x14ac:dyDescent="0.25">
      <c r="B566" s="100"/>
      <c r="C566" s="100"/>
      <c r="D566" s="100"/>
      <c r="E566" s="101"/>
      <c r="F566" s="102"/>
      <c r="G566" s="114"/>
    </row>
    <row r="567" spans="2:7" ht="15.75" customHeight="1" x14ac:dyDescent="0.25">
      <c r="B567" s="100"/>
      <c r="C567" s="100"/>
      <c r="D567" s="100"/>
      <c r="E567" s="101"/>
      <c r="F567" s="102"/>
      <c r="G567" s="114"/>
    </row>
    <row r="568" spans="2:7" ht="15.75" customHeight="1" x14ac:dyDescent="0.25">
      <c r="B568" s="100"/>
      <c r="C568" s="100"/>
      <c r="D568" s="100"/>
      <c r="E568" s="101"/>
      <c r="F568" s="102"/>
      <c r="G568" s="114"/>
    </row>
    <row r="569" spans="2:7" ht="15.75" customHeight="1" x14ac:dyDescent="0.25">
      <c r="B569" s="100"/>
      <c r="C569" s="100"/>
      <c r="D569" s="100"/>
      <c r="E569" s="101"/>
      <c r="F569" s="102"/>
      <c r="G569" s="114"/>
    </row>
    <row r="570" spans="2:7" ht="15.75" customHeight="1" x14ac:dyDescent="0.25">
      <c r="B570" s="100"/>
      <c r="C570" s="100"/>
      <c r="D570" s="100"/>
      <c r="E570" s="101"/>
      <c r="F570" s="102"/>
      <c r="G570" s="114"/>
    </row>
    <row r="571" spans="2:7" ht="15.75" customHeight="1" x14ac:dyDescent="0.25">
      <c r="B571" s="100"/>
      <c r="C571" s="100"/>
      <c r="D571" s="100"/>
      <c r="E571" s="101"/>
      <c r="F571" s="102"/>
      <c r="G571" s="114"/>
    </row>
    <row r="572" spans="2:7" ht="15.75" customHeight="1" x14ac:dyDescent="0.25">
      <c r="B572" s="100"/>
      <c r="C572" s="100"/>
      <c r="D572" s="100"/>
      <c r="E572" s="101"/>
      <c r="F572" s="102"/>
      <c r="G572" s="114"/>
    </row>
    <row r="573" spans="2:7" ht="15.75" customHeight="1" x14ac:dyDescent="0.25">
      <c r="B573" s="100"/>
      <c r="C573" s="100"/>
      <c r="D573" s="100"/>
      <c r="E573" s="101"/>
      <c r="F573" s="102"/>
      <c r="G573" s="114"/>
    </row>
    <row r="574" spans="2:7" ht="15.75" customHeight="1" x14ac:dyDescent="0.25">
      <c r="B574" s="100"/>
      <c r="C574" s="100"/>
      <c r="D574" s="100"/>
      <c r="E574" s="101"/>
      <c r="F574" s="102"/>
      <c r="G574" s="114"/>
    </row>
    <row r="575" spans="2:7" ht="15.75" customHeight="1" x14ac:dyDescent="0.25">
      <c r="B575" s="100"/>
      <c r="C575" s="100"/>
      <c r="D575" s="100"/>
      <c r="E575" s="101"/>
      <c r="F575" s="102"/>
      <c r="G575" s="114"/>
    </row>
    <row r="576" spans="2:7" ht="15.75" customHeight="1" x14ac:dyDescent="0.25">
      <c r="B576" s="100"/>
      <c r="C576" s="100"/>
      <c r="D576" s="100"/>
      <c r="E576" s="101"/>
      <c r="F576" s="102"/>
      <c r="G576" s="114"/>
    </row>
    <row r="577" spans="2:7" ht="15.75" customHeight="1" x14ac:dyDescent="0.25">
      <c r="B577" s="100"/>
      <c r="C577" s="100"/>
      <c r="D577" s="100"/>
      <c r="E577" s="101"/>
      <c r="F577" s="102"/>
      <c r="G577" s="114"/>
    </row>
    <row r="578" spans="2:7" ht="15.75" customHeight="1" x14ac:dyDescent="0.25">
      <c r="B578" s="100"/>
      <c r="C578" s="100"/>
      <c r="D578" s="100"/>
      <c r="E578" s="101"/>
      <c r="F578" s="102"/>
      <c r="G578" s="114"/>
    </row>
    <row r="579" spans="2:7" ht="15.75" customHeight="1" x14ac:dyDescent="0.25">
      <c r="B579" s="100"/>
      <c r="C579" s="100"/>
      <c r="D579" s="100"/>
      <c r="E579" s="101"/>
      <c r="F579" s="102"/>
      <c r="G579" s="114"/>
    </row>
    <row r="580" spans="2:7" ht="15.75" customHeight="1" x14ac:dyDescent="0.25">
      <c r="B580" s="100"/>
      <c r="C580" s="100"/>
      <c r="D580" s="100"/>
      <c r="E580" s="101"/>
      <c r="F580" s="102"/>
      <c r="G580" s="114"/>
    </row>
    <row r="581" spans="2:7" ht="15.75" customHeight="1" x14ac:dyDescent="0.25">
      <c r="B581" s="100"/>
      <c r="C581" s="100"/>
      <c r="D581" s="100"/>
      <c r="E581" s="101"/>
      <c r="F581" s="102"/>
      <c r="G581" s="114"/>
    </row>
    <row r="582" spans="2:7" ht="15.75" customHeight="1" x14ac:dyDescent="0.25">
      <c r="B582" s="100"/>
      <c r="C582" s="100"/>
      <c r="D582" s="100"/>
      <c r="E582" s="101"/>
      <c r="F582" s="102"/>
      <c r="G582" s="114"/>
    </row>
    <row r="583" spans="2:7" ht="15.75" customHeight="1" x14ac:dyDescent="0.25">
      <c r="B583" s="100"/>
      <c r="C583" s="100"/>
      <c r="D583" s="100"/>
      <c r="E583" s="101"/>
      <c r="F583" s="102"/>
      <c r="G583" s="114"/>
    </row>
    <row r="584" spans="2:7" ht="15.75" customHeight="1" x14ac:dyDescent="0.25">
      <c r="B584" s="100"/>
      <c r="C584" s="100"/>
      <c r="D584" s="100"/>
      <c r="E584" s="101"/>
      <c r="F584" s="102"/>
      <c r="G584" s="114"/>
    </row>
    <row r="585" spans="2:7" ht="15.75" customHeight="1" x14ac:dyDescent="0.25">
      <c r="B585" s="100"/>
      <c r="C585" s="100"/>
      <c r="D585" s="100"/>
      <c r="E585" s="101"/>
      <c r="F585" s="102"/>
      <c r="G585" s="114"/>
    </row>
    <row r="586" spans="2:7" ht="15.75" customHeight="1" x14ac:dyDescent="0.25">
      <c r="B586" s="100"/>
      <c r="C586" s="100"/>
      <c r="D586" s="100"/>
      <c r="E586" s="101"/>
      <c r="F586" s="102"/>
      <c r="G586" s="114"/>
    </row>
    <row r="587" spans="2:7" ht="15.75" customHeight="1" x14ac:dyDescent="0.25">
      <c r="B587" s="100"/>
      <c r="C587" s="100"/>
      <c r="D587" s="100"/>
      <c r="E587" s="101"/>
      <c r="F587" s="102"/>
      <c r="G587" s="114"/>
    </row>
    <row r="588" spans="2:7" ht="15.75" customHeight="1" x14ac:dyDescent="0.25">
      <c r="B588" s="100"/>
      <c r="C588" s="100"/>
      <c r="D588" s="100"/>
      <c r="E588" s="101"/>
      <c r="F588" s="102"/>
      <c r="G588" s="114"/>
    </row>
    <row r="589" spans="2:7" ht="15.75" customHeight="1" x14ac:dyDescent="0.25">
      <c r="B589" s="100"/>
      <c r="C589" s="100"/>
      <c r="D589" s="100"/>
      <c r="E589" s="101"/>
      <c r="F589" s="102"/>
      <c r="G589" s="114"/>
    </row>
    <row r="590" spans="2:7" ht="15.75" customHeight="1" x14ac:dyDescent="0.25">
      <c r="B590" s="100"/>
      <c r="C590" s="100"/>
      <c r="D590" s="100"/>
      <c r="E590" s="101"/>
      <c r="F590" s="102"/>
      <c r="G590" s="114"/>
    </row>
    <row r="591" spans="2:7" ht="15.75" customHeight="1" x14ac:dyDescent="0.25">
      <c r="B591" s="100"/>
      <c r="C591" s="100"/>
      <c r="D591" s="100"/>
      <c r="E591" s="101"/>
      <c r="F591" s="102"/>
      <c r="G591" s="114"/>
    </row>
    <row r="592" spans="2:7" ht="15.75" customHeight="1" x14ac:dyDescent="0.25">
      <c r="B592" s="100"/>
      <c r="C592" s="100"/>
      <c r="D592" s="100"/>
      <c r="E592" s="101"/>
      <c r="F592" s="102"/>
      <c r="G592" s="114"/>
    </row>
    <row r="593" spans="2:7" ht="15.75" customHeight="1" x14ac:dyDescent="0.25">
      <c r="B593" s="100"/>
      <c r="C593" s="100"/>
      <c r="D593" s="100"/>
      <c r="E593" s="101"/>
      <c r="F593" s="102"/>
      <c r="G593" s="114"/>
    </row>
    <row r="594" spans="2:7" ht="15.75" customHeight="1" x14ac:dyDescent="0.25">
      <c r="B594" s="100"/>
      <c r="C594" s="100"/>
      <c r="D594" s="100"/>
      <c r="E594" s="101"/>
      <c r="F594" s="102"/>
      <c r="G594" s="114"/>
    </row>
    <row r="595" spans="2:7" ht="15.75" customHeight="1" x14ac:dyDescent="0.25">
      <c r="B595" s="100"/>
      <c r="C595" s="100"/>
      <c r="D595" s="100"/>
      <c r="E595" s="101"/>
      <c r="F595" s="102"/>
      <c r="G595" s="114"/>
    </row>
    <row r="596" spans="2:7" ht="15.75" customHeight="1" x14ac:dyDescent="0.25">
      <c r="B596" s="100"/>
      <c r="C596" s="100"/>
      <c r="D596" s="100"/>
      <c r="E596" s="101"/>
      <c r="F596" s="102"/>
      <c r="G596" s="114"/>
    </row>
    <row r="597" spans="2:7" ht="15.75" customHeight="1" x14ac:dyDescent="0.25">
      <c r="B597" s="100"/>
      <c r="C597" s="100"/>
      <c r="D597" s="100"/>
      <c r="E597" s="101"/>
      <c r="F597" s="102"/>
      <c r="G597" s="114"/>
    </row>
    <row r="598" spans="2:7" ht="15.75" customHeight="1" x14ac:dyDescent="0.25">
      <c r="B598" s="100"/>
      <c r="C598" s="100"/>
      <c r="D598" s="100"/>
      <c r="E598" s="101"/>
      <c r="F598" s="102"/>
      <c r="G598" s="114"/>
    </row>
    <row r="599" spans="2:7" ht="15.75" customHeight="1" x14ac:dyDescent="0.25">
      <c r="B599" s="100"/>
      <c r="C599" s="100"/>
      <c r="D599" s="100"/>
      <c r="E599" s="101"/>
      <c r="F599" s="102"/>
      <c r="G599" s="114"/>
    </row>
    <row r="600" spans="2:7" ht="15.75" customHeight="1" x14ac:dyDescent="0.25">
      <c r="B600" s="100"/>
      <c r="C600" s="100"/>
      <c r="D600" s="100"/>
      <c r="E600" s="101"/>
      <c r="F600" s="102"/>
      <c r="G600" s="114"/>
    </row>
    <row r="601" spans="2:7" ht="15.75" customHeight="1" x14ac:dyDescent="0.25">
      <c r="B601" s="100"/>
      <c r="C601" s="100"/>
      <c r="D601" s="100"/>
      <c r="E601" s="101"/>
      <c r="F601" s="102"/>
      <c r="G601" s="114"/>
    </row>
    <row r="602" spans="2:7" ht="15.75" customHeight="1" x14ac:dyDescent="0.25">
      <c r="B602" s="100"/>
      <c r="C602" s="100"/>
      <c r="D602" s="100"/>
      <c r="E602" s="101"/>
      <c r="F602" s="102"/>
      <c r="G602" s="114"/>
    </row>
    <row r="603" spans="2:7" ht="15.75" customHeight="1" x14ac:dyDescent="0.25">
      <c r="B603" s="100"/>
      <c r="C603" s="100"/>
      <c r="D603" s="100"/>
      <c r="E603" s="101"/>
      <c r="F603" s="102"/>
      <c r="G603" s="114"/>
    </row>
    <row r="604" spans="2:7" ht="15.75" customHeight="1" x14ac:dyDescent="0.25">
      <c r="B604" s="100"/>
      <c r="C604" s="100"/>
      <c r="D604" s="100"/>
      <c r="E604" s="101"/>
      <c r="F604" s="102"/>
      <c r="G604" s="114"/>
    </row>
    <row r="605" spans="2:7" ht="15.75" customHeight="1" x14ac:dyDescent="0.25">
      <c r="B605" s="100"/>
      <c r="C605" s="100"/>
      <c r="D605" s="100"/>
      <c r="E605" s="101"/>
      <c r="F605" s="102"/>
      <c r="G605" s="114"/>
    </row>
    <row r="606" spans="2:7" ht="15.75" customHeight="1" x14ac:dyDescent="0.25">
      <c r="B606" s="100"/>
      <c r="C606" s="100"/>
      <c r="D606" s="100"/>
      <c r="E606" s="101"/>
      <c r="F606" s="102"/>
      <c r="G606" s="114"/>
    </row>
    <row r="607" spans="2:7" ht="15.75" customHeight="1" x14ac:dyDescent="0.25">
      <c r="B607" s="100"/>
      <c r="C607" s="100"/>
      <c r="D607" s="100"/>
      <c r="E607" s="101"/>
      <c r="F607" s="102"/>
      <c r="G607" s="114"/>
    </row>
    <row r="608" spans="2:7" ht="15.75" customHeight="1" x14ac:dyDescent="0.25">
      <c r="B608" s="100"/>
      <c r="C608" s="100"/>
      <c r="D608" s="100"/>
      <c r="E608" s="101"/>
      <c r="F608" s="102"/>
      <c r="G608" s="114"/>
    </row>
    <row r="609" spans="2:7" ht="15.75" customHeight="1" x14ac:dyDescent="0.25">
      <c r="B609" s="100"/>
      <c r="C609" s="100"/>
      <c r="D609" s="100"/>
      <c r="E609" s="101"/>
      <c r="F609" s="102"/>
      <c r="G609" s="114"/>
    </row>
    <row r="610" spans="2:7" ht="15.75" customHeight="1" x14ac:dyDescent="0.25">
      <c r="B610" s="100"/>
      <c r="C610" s="100"/>
      <c r="D610" s="100"/>
      <c r="E610" s="101"/>
      <c r="F610" s="102"/>
      <c r="G610" s="114"/>
    </row>
    <row r="611" spans="2:7" ht="15.75" customHeight="1" x14ac:dyDescent="0.25">
      <c r="B611" s="100"/>
      <c r="C611" s="100"/>
      <c r="D611" s="100"/>
      <c r="E611" s="101"/>
      <c r="F611" s="102"/>
      <c r="G611" s="114"/>
    </row>
    <row r="612" spans="2:7" ht="15.75" customHeight="1" x14ac:dyDescent="0.25">
      <c r="B612" s="100"/>
      <c r="C612" s="100"/>
      <c r="D612" s="100"/>
      <c r="E612" s="101"/>
      <c r="F612" s="102"/>
      <c r="G612" s="114"/>
    </row>
    <row r="613" spans="2:7" ht="15.75" customHeight="1" x14ac:dyDescent="0.25">
      <c r="B613" s="100"/>
      <c r="C613" s="100"/>
      <c r="D613" s="100"/>
      <c r="E613" s="101"/>
      <c r="F613" s="102"/>
      <c r="G613" s="114"/>
    </row>
    <row r="614" spans="2:7" ht="15.75" customHeight="1" x14ac:dyDescent="0.25">
      <c r="B614" s="100"/>
      <c r="C614" s="100"/>
      <c r="D614" s="100"/>
      <c r="E614" s="101"/>
      <c r="F614" s="102"/>
      <c r="G614" s="114"/>
    </row>
    <row r="615" spans="2:7" ht="15.75" customHeight="1" x14ac:dyDescent="0.25">
      <c r="B615" s="100"/>
      <c r="C615" s="100"/>
      <c r="D615" s="100"/>
      <c r="E615" s="101"/>
      <c r="F615" s="102"/>
      <c r="G615" s="114"/>
    </row>
    <row r="616" spans="2:7" ht="15.75" customHeight="1" x14ac:dyDescent="0.25">
      <c r="B616" s="100"/>
      <c r="C616" s="100"/>
      <c r="D616" s="100"/>
      <c r="E616" s="101"/>
      <c r="F616" s="102"/>
      <c r="G616" s="114"/>
    </row>
    <row r="617" spans="2:7" ht="15.75" customHeight="1" x14ac:dyDescent="0.25">
      <c r="B617" s="100"/>
      <c r="C617" s="100"/>
      <c r="D617" s="100"/>
      <c r="E617" s="101"/>
      <c r="F617" s="102"/>
      <c r="G617" s="114"/>
    </row>
    <row r="618" spans="2:7" ht="15.75" customHeight="1" x14ac:dyDescent="0.25">
      <c r="B618" s="100"/>
      <c r="C618" s="100"/>
      <c r="D618" s="100"/>
      <c r="E618" s="101"/>
      <c r="F618" s="102"/>
      <c r="G618" s="114"/>
    </row>
    <row r="619" spans="2:7" ht="15.75" customHeight="1" x14ac:dyDescent="0.25">
      <c r="B619" s="100"/>
      <c r="C619" s="100"/>
      <c r="D619" s="100"/>
      <c r="E619" s="101"/>
      <c r="F619" s="102"/>
      <c r="G619" s="114"/>
    </row>
    <row r="620" spans="2:7" ht="15.75" customHeight="1" x14ac:dyDescent="0.25">
      <c r="B620" s="100"/>
      <c r="C620" s="100"/>
      <c r="D620" s="100"/>
      <c r="E620" s="101"/>
      <c r="F620" s="102"/>
      <c r="G620" s="114"/>
    </row>
    <row r="621" spans="2:7" ht="15.75" customHeight="1" x14ac:dyDescent="0.25">
      <c r="B621" s="100"/>
      <c r="C621" s="100"/>
      <c r="D621" s="100"/>
      <c r="E621" s="101"/>
      <c r="F621" s="102"/>
      <c r="G621" s="114"/>
    </row>
    <row r="622" spans="2:7" ht="15.75" customHeight="1" x14ac:dyDescent="0.25">
      <c r="B622" s="100"/>
      <c r="C622" s="100"/>
      <c r="D622" s="100"/>
      <c r="E622" s="101"/>
      <c r="F622" s="102"/>
      <c r="G622" s="114"/>
    </row>
    <row r="623" spans="2:7" ht="15.75" customHeight="1" x14ac:dyDescent="0.25">
      <c r="B623" s="100"/>
      <c r="C623" s="100"/>
      <c r="D623" s="100"/>
      <c r="E623" s="101"/>
      <c r="F623" s="102"/>
      <c r="G623" s="114"/>
    </row>
    <row r="624" spans="2:7" ht="15.75" customHeight="1" x14ac:dyDescent="0.25">
      <c r="B624" s="100"/>
      <c r="C624" s="100"/>
      <c r="D624" s="100"/>
      <c r="E624" s="101"/>
      <c r="F624" s="102"/>
      <c r="G624" s="114"/>
    </row>
    <row r="625" spans="2:7" ht="15.75" customHeight="1" x14ac:dyDescent="0.25">
      <c r="B625" s="100"/>
      <c r="C625" s="100"/>
      <c r="D625" s="100"/>
      <c r="E625" s="101"/>
      <c r="F625" s="102"/>
      <c r="G625" s="114"/>
    </row>
    <row r="626" spans="2:7" ht="15.75" customHeight="1" x14ac:dyDescent="0.25">
      <c r="B626" s="100"/>
      <c r="C626" s="100"/>
      <c r="D626" s="100"/>
      <c r="E626" s="101"/>
      <c r="F626" s="102"/>
      <c r="G626" s="114"/>
    </row>
    <row r="627" spans="2:7" ht="15.75" customHeight="1" x14ac:dyDescent="0.25">
      <c r="B627" s="100"/>
      <c r="C627" s="100"/>
      <c r="D627" s="100"/>
      <c r="E627" s="101"/>
      <c r="F627" s="102"/>
      <c r="G627" s="114"/>
    </row>
    <row r="628" spans="2:7" ht="15.75" customHeight="1" x14ac:dyDescent="0.25">
      <c r="B628" s="100"/>
      <c r="C628" s="100"/>
      <c r="D628" s="100"/>
      <c r="E628" s="101"/>
      <c r="F628" s="102"/>
      <c r="G628" s="114"/>
    </row>
    <row r="629" spans="2:7" ht="15.75" customHeight="1" x14ac:dyDescent="0.25">
      <c r="B629" s="100"/>
      <c r="C629" s="100"/>
      <c r="D629" s="100"/>
      <c r="E629" s="101"/>
      <c r="F629" s="102"/>
      <c r="G629" s="114"/>
    </row>
    <row r="630" spans="2:7" ht="15.75" customHeight="1" x14ac:dyDescent="0.25">
      <c r="B630" s="100"/>
      <c r="C630" s="100"/>
      <c r="D630" s="100"/>
      <c r="E630" s="101"/>
      <c r="F630" s="102"/>
      <c r="G630" s="114"/>
    </row>
    <row r="631" spans="2:7" ht="15.75" customHeight="1" x14ac:dyDescent="0.25">
      <c r="B631" s="100"/>
      <c r="C631" s="100"/>
      <c r="D631" s="100"/>
      <c r="E631" s="101"/>
      <c r="F631" s="102"/>
      <c r="G631" s="114"/>
    </row>
    <row r="632" spans="2:7" ht="15.75" customHeight="1" x14ac:dyDescent="0.25">
      <c r="B632" s="100"/>
      <c r="C632" s="100"/>
      <c r="D632" s="100"/>
      <c r="E632" s="101"/>
      <c r="F632" s="102"/>
      <c r="G632" s="114"/>
    </row>
    <row r="633" spans="2:7" ht="15.75" customHeight="1" x14ac:dyDescent="0.25">
      <c r="B633" s="100"/>
      <c r="C633" s="100"/>
      <c r="D633" s="100"/>
      <c r="E633" s="101"/>
      <c r="F633" s="102"/>
      <c r="G633" s="114"/>
    </row>
    <row r="634" spans="2:7" ht="15.75" customHeight="1" x14ac:dyDescent="0.25">
      <c r="B634" s="100"/>
      <c r="C634" s="100"/>
      <c r="D634" s="100"/>
      <c r="E634" s="101"/>
      <c r="F634" s="102"/>
      <c r="G634" s="114"/>
    </row>
    <row r="635" spans="2:7" ht="15.75" customHeight="1" x14ac:dyDescent="0.25">
      <c r="B635" s="100"/>
      <c r="C635" s="100"/>
      <c r="D635" s="100"/>
      <c r="E635" s="101"/>
      <c r="F635" s="102"/>
      <c r="G635" s="114"/>
    </row>
    <row r="636" spans="2:7" ht="15.75" customHeight="1" x14ac:dyDescent="0.25">
      <c r="B636" s="100"/>
      <c r="C636" s="100"/>
      <c r="D636" s="100"/>
      <c r="E636" s="101"/>
      <c r="F636" s="102"/>
      <c r="G636" s="114"/>
    </row>
    <row r="637" spans="2:7" ht="15.75" customHeight="1" x14ac:dyDescent="0.25">
      <c r="B637" s="100"/>
      <c r="C637" s="100"/>
      <c r="D637" s="100"/>
      <c r="E637" s="101"/>
      <c r="F637" s="102"/>
      <c r="G637" s="114"/>
    </row>
    <row r="638" spans="2:7" ht="15.75" customHeight="1" x14ac:dyDescent="0.25">
      <c r="B638" s="100"/>
      <c r="C638" s="100"/>
      <c r="D638" s="100"/>
      <c r="E638" s="101"/>
      <c r="F638" s="102"/>
      <c r="G638" s="114"/>
    </row>
    <row r="639" spans="2:7" ht="15.75" customHeight="1" x14ac:dyDescent="0.25">
      <c r="B639" s="100"/>
      <c r="C639" s="100"/>
      <c r="D639" s="100"/>
      <c r="E639" s="101"/>
      <c r="F639" s="102"/>
      <c r="G639" s="114"/>
    </row>
    <row r="640" spans="2:7" ht="15.75" customHeight="1" x14ac:dyDescent="0.25">
      <c r="B640" s="100"/>
      <c r="C640" s="100"/>
      <c r="D640" s="100"/>
      <c r="E640" s="101"/>
      <c r="F640" s="102"/>
      <c r="G640" s="114"/>
    </row>
    <row r="641" spans="2:7" ht="15.75" customHeight="1" x14ac:dyDescent="0.25">
      <c r="B641" s="100"/>
      <c r="C641" s="100"/>
      <c r="D641" s="100"/>
      <c r="E641" s="101"/>
      <c r="F641" s="102"/>
      <c r="G641" s="114"/>
    </row>
    <row r="642" spans="2:7" ht="15.75" customHeight="1" x14ac:dyDescent="0.25">
      <c r="B642" s="100"/>
      <c r="C642" s="100"/>
      <c r="D642" s="100"/>
      <c r="E642" s="101"/>
      <c r="F642" s="102"/>
      <c r="G642" s="114"/>
    </row>
    <row r="643" spans="2:7" ht="15.75" customHeight="1" x14ac:dyDescent="0.25">
      <c r="B643" s="100"/>
      <c r="C643" s="100"/>
      <c r="D643" s="100"/>
      <c r="E643" s="101"/>
      <c r="F643" s="102"/>
      <c r="G643" s="114"/>
    </row>
    <row r="644" spans="2:7" ht="15.75" customHeight="1" x14ac:dyDescent="0.25">
      <c r="B644" s="100"/>
      <c r="C644" s="100"/>
      <c r="D644" s="100"/>
      <c r="E644" s="101"/>
      <c r="F644" s="102"/>
      <c r="G644" s="114"/>
    </row>
    <row r="645" spans="2:7" ht="15.75" customHeight="1" x14ac:dyDescent="0.25">
      <c r="B645" s="100"/>
      <c r="C645" s="100"/>
      <c r="D645" s="100"/>
      <c r="E645" s="101"/>
      <c r="F645" s="102"/>
      <c r="G645" s="114"/>
    </row>
    <row r="646" spans="2:7" ht="15.75" customHeight="1" x14ac:dyDescent="0.25">
      <c r="B646" s="100"/>
      <c r="C646" s="100"/>
      <c r="D646" s="100"/>
      <c r="E646" s="101"/>
      <c r="F646" s="102"/>
      <c r="G646" s="114"/>
    </row>
    <row r="647" spans="2:7" ht="15.75" customHeight="1" x14ac:dyDescent="0.25">
      <c r="B647" s="100"/>
      <c r="C647" s="100"/>
      <c r="D647" s="100"/>
      <c r="E647" s="101"/>
      <c r="F647" s="102"/>
      <c r="G647" s="114"/>
    </row>
    <row r="648" spans="2:7" ht="15.75" customHeight="1" x14ac:dyDescent="0.25">
      <c r="B648" s="100"/>
      <c r="C648" s="100"/>
      <c r="D648" s="100"/>
      <c r="E648" s="101"/>
      <c r="F648" s="102"/>
      <c r="G648" s="114"/>
    </row>
    <row r="649" spans="2:7" ht="15.75" customHeight="1" x14ac:dyDescent="0.25">
      <c r="B649" s="100"/>
      <c r="C649" s="100"/>
      <c r="D649" s="100"/>
      <c r="E649" s="101"/>
      <c r="F649" s="102"/>
      <c r="G649" s="114"/>
    </row>
    <row r="650" spans="2:7" ht="15.75" customHeight="1" x14ac:dyDescent="0.25">
      <c r="B650" s="100"/>
      <c r="C650" s="100"/>
      <c r="D650" s="100"/>
      <c r="E650" s="101"/>
      <c r="F650" s="102"/>
      <c r="G650" s="114"/>
    </row>
    <row r="651" spans="2:7" ht="15.75" customHeight="1" x14ac:dyDescent="0.25">
      <c r="B651" s="100"/>
      <c r="C651" s="100"/>
      <c r="D651" s="100"/>
      <c r="E651" s="101"/>
      <c r="F651" s="102"/>
      <c r="G651" s="114"/>
    </row>
    <row r="652" spans="2:7" ht="15.75" customHeight="1" x14ac:dyDescent="0.25">
      <c r="B652" s="100"/>
      <c r="C652" s="100"/>
      <c r="D652" s="100"/>
      <c r="E652" s="101"/>
      <c r="F652" s="102"/>
      <c r="G652" s="114"/>
    </row>
    <row r="653" spans="2:7" ht="15.75" customHeight="1" x14ac:dyDescent="0.25">
      <c r="B653" s="100"/>
      <c r="C653" s="100"/>
      <c r="D653" s="100"/>
      <c r="E653" s="101"/>
      <c r="F653" s="102"/>
      <c r="G653" s="114"/>
    </row>
    <row r="654" spans="2:7" ht="15.75" customHeight="1" x14ac:dyDescent="0.25">
      <c r="B654" s="100"/>
      <c r="C654" s="100"/>
      <c r="D654" s="100"/>
      <c r="E654" s="101"/>
      <c r="F654" s="102"/>
      <c r="G654" s="114"/>
    </row>
    <row r="655" spans="2:7" ht="15.75" customHeight="1" x14ac:dyDescent="0.25">
      <c r="B655" s="100"/>
      <c r="C655" s="100"/>
      <c r="D655" s="100"/>
      <c r="E655" s="101"/>
      <c r="F655" s="102"/>
      <c r="G655" s="114"/>
    </row>
    <row r="656" spans="2:7" ht="15.75" customHeight="1" x14ac:dyDescent="0.25">
      <c r="B656" s="100"/>
      <c r="C656" s="100"/>
      <c r="D656" s="100"/>
      <c r="E656" s="101"/>
      <c r="F656" s="102"/>
      <c r="G656" s="114"/>
    </row>
    <row r="657" spans="2:7" ht="15.75" customHeight="1" x14ac:dyDescent="0.25">
      <c r="B657" s="100"/>
      <c r="C657" s="100"/>
      <c r="D657" s="100"/>
      <c r="E657" s="101"/>
      <c r="F657" s="102"/>
      <c r="G657" s="114"/>
    </row>
    <row r="658" spans="2:7" ht="15.75" customHeight="1" x14ac:dyDescent="0.25">
      <c r="B658" s="100"/>
      <c r="C658" s="100"/>
      <c r="D658" s="100"/>
      <c r="E658" s="101"/>
      <c r="F658" s="102"/>
      <c r="G658" s="114"/>
    </row>
    <row r="659" spans="2:7" ht="15.75" customHeight="1" x14ac:dyDescent="0.25">
      <c r="B659" s="100"/>
      <c r="C659" s="100"/>
      <c r="D659" s="100"/>
      <c r="E659" s="101"/>
      <c r="F659" s="102"/>
      <c r="G659" s="114"/>
    </row>
    <row r="660" spans="2:7" ht="15.75" customHeight="1" x14ac:dyDescent="0.25">
      <c r="B660" s="100"/>
      <c r="C660" s="100"/>
      <c r="D660" s="100"/>
      <c r="E660" s="101"/>
      <c r="F660" s="102"/>
      <c r="G660" s="114"/>
    </row>
    <row r="661" spans="2:7" ht="15.75" customHeight="1" x14ac:dyDescent="0.25">
      <c r="B661" s="100"/>
      <c r="C661" s="100"/>
      <c r="D661" s="100"/>
      <c r="E661" s="101"/>
      <c r="F661" s="102"/>
      <c r="G661" s="114"/>
    </row>
    <row r="662" spans="2:7" ht="15.75" customHeight="1" x14ac:dyDescent="0.25">
      <c r="B662" s="100"/>
      <c r="C662" s="100"/>
      <c r="D662" s="100"/>
      <c r="E662" s="101"/>
      <c r="F662" s="102"/>
      <c r="G662" s="114"/>
    </row>
    <row r="663" spans="2:7" ht="15.75" customHeight="1" x14ac:dyDescent="0.25">
      <c r="B663" s="100"/>
      <c r="C663" s="100"/>
      <c r="D663" s="100"/>
      <c r="E663" s="101"/>
      <c r="F663" s="102"/>
      <c r="G663" s="114"/>
    </row>
    <row r="664" spans="2:7" ht="15.75" customHeight="1" x14ac:dyDescent="0.25">
      <c r="B664" s="100"/>
      <c r="C664" s="100"/>
      <c r="D664" s="100"/>
      <c r="E664" s="101"/>
      <c r="F664" s="102"/>
      <c r="G664" s="114"/>
    </row>
    <row r="665" spans="2:7" ht="15.75" customHeight="1" x14ac:dyDescent="0.25">
      <c r="B665" s="100"/>
      <c r="C665" s="100"/>
      <c r="D665" s="100"/>
      <c r="E665" s="101"/>
      <c r="F665" s="102"/>
      <c r="G665" s="114"/>
    </row>
    <row r="666" spans="2:7" ht="15.75" customHeight="1" x14ac:dyDescent="0.25">
      <c r="B666" s="100"/>
      <c r="C666" s="100"/>
      <c r="D666" s="100"/>
      <c r="E666" s="101"/>
      <c r="F666" s="102"/>
      <c r="G666" s="114"/>
    </row>
    <row r="667" spans="2:7" ht="15.75" customHeight="1" x14ac:dyDescent="0.25">
      <c r="B667" s="100"/>
      <c r="C667" s="100"/>
      <c r="D667" s="100"/>
      <c r="E667" s="101"/>
      <c r="F667" s="102"/>
      <c r="G667" s="114"/>
    </row>
    <row r="668" spans="2:7" ht="15.75" customHeight="1" x14ac:dyDescent="0.25">
      <c r="B668" s="100"/>
      <c r="C668" s="100"/>
      <c r="D668" s="100"/>
      <c r="E668" s="101"/>
      <c r="F668" s="102"/>
      <c r="G668" s="114"/>
    </row>
    <row r="669" spans="2:7" ht="15.75" customHeight="1" x14ac:dyDescent="0.25">
      <c r="B669" s="100"/>
      <c r="C669" s="100"/>
      <c r="D669" s="100"/>
      <c r="E669" s="101"/>
      <c r="F669" s="102"/>
      <c r="G669" s="114"/>
    </row>
    <row r="670" spans="2:7" ht="15.75" customHeight="1" x14ac:dyDescent="0.25">
      <c r="B670" s="100"/>
      <c r="C670" s="100"/>
      <c r="D670" s="100"/>
      <c r="E670" s="101"/>
      <c r="F670" s="102"/>
      <c r="G670" s="114"/>
    </row>
    <row r="671" spans="2:7" ht="15.75" customHeight="1" x14ac:dyDescent="0.25">
      <c r="B671" s="100"/>
      <c r="C671" s="100"/>
      <c r="D671" s="100"/>
      <c r="E671" s="101"/>
      <c r="F671" s="102"/>
      <c r="G671" s="114"/>
    </row>
    <row r="672" spans="2:7" ht="15.75" customHeight="1" x14ac:dyDescent="0.25">
      <c r="B672" s="100"/>
      <c r="C672" s="100"/>
      <c r="D672" s="100"/>
      <c r="E672" s="101"/>
      <c r="F672" s="102"/>
      <c r="G672" s="114"/>
    </row>
    <row r="673" spans="2:7" ht="15.75" customHeight="1" x14ac:dyDescent="0.25">
      <c r="B673" s="100"/>
      <c r="C673" s="100"/>
      <c r="D673" s="100"/>
      <c r="E673" s="101"/>
      <c r="F673" s="102"/>
      <c r="G673" s="114"/>
    </row>
    <row r="674" spans="2:7" ht="15.75" customHeight="1" x14ac:dyDescent="0.25">
      <c r="B674" s="100"/>
      <c r="C674" s="100"/>
      <c r="D674" s="100"/>
      <c r="E674" s="101"/>
      <c r="F674" s="102"/>
      <c r="G674" s="114"/>
    </row>
    <row r="675" spans="2:7" ht="15.75" customHeight="1" x14ac:dyDescent="0.25">
      <c r="B675" s="100"/>
      <c r="C675" s="100"/>
      <c r="D675" s="100"/>
      <c r="E675" s="101"/>
      <c r="F675" s="102"/>
      <c r="G675" s="114"/>
    </row>
    <row r="676" spans="2:7" ht="15.75" customHeight="1" x14ac:dyDescent="0.25">
      <c r="B676" s="100"/>
      <c r="C676" s="100"/>
      <c r="D676" s="100"/>
      <c r="E676" s="101"/>
      <c r="F676" s="102"/>
      <c r="G676" s="114"/>
    </row>
    <row r="677" spans="2:7" ht="15.75" customHeight="1" x14ac:dyDescent="0.25">
      <c r="B677" s="100"/>
      <c r="C677" s="100"/>
      <c r="D677" s="100"/>
      <c r="E677" s="101"/>
      <c r="F677" s="102"/>
      <c r="G677" s="114"/>
    </row>
    <row r="678" spans="2:7" ht="15.75" customHeight="1" x14ac:dyDescent="0.25">
      <c r="B678" s="100"/>
      <c r="C678" s="100"/>
      <c r="D678" s="100"/>
      <c r="E678" s="101"/>
      <c r="F678" s="102"/>
      <c r="G678" s="114"/>
    </row>
    <row r="679" spans="2:7" ht="15.75" customHeight="1" x14ac:dyDescent="0.25">
      <c r="B679" s="100"/>
      <c r="C679" s="100"/>
      <c r="D679" s="100"/>
      <c r="E679" s="101"/>
      <c r="F679" s="102"/>
      <c r="G679" s="114"/>
    </row>
    <row r="680" spans="2:7" ht="15.75" customHeight="1" x14ac:dyDescent="0.25">
      <c r="B680" s="100"/>
      <c r="C680" s="100"/>
      <c r="D680" s="100"/>
      <c r="E680" s="101"/>
      <c r="F680" s="102"/>
      <c r="G680" s="114"/>
    </row>
    <row r="681" spans="2:7" ht="15.75" customHeight="1" x14ac:dyDescent="0.25">
      <c r="B681" s="100"/>
      <c r="C681" s="100"/>
      <c r="D681" s="100"/>
      <c r="E681" s="101"/>
      <c r="F681" s="102"/>
      <c r="G681" s="114"/>
    </row>
    <row r="682" spans="2:7" ht="15.75" customHeight="1" x14ac:dyDescent="0.25">
      <c r="B682" s="100"/>
      <c r="C682" s="100"/>
      <c r="D682" s="100"/>
      <c r="E682" s="101"/>
      <c r="F682" s="102"/>
      <c r="G682" s="114"/>
    </row>
    <row r="683" spans="2:7" ht="15.75" customHeight="1" x14ac:dyDescent="0.25">
      <c r="B683" s="100"/>
      <c r="C683" s="100"/>
      <c r="D683" s="100"/>
      <c r="E683" s="101"/>
      <c r="F683" s="102"/>
      <c r="G683" s="114"/>
    </row>
    <row r="684" spans="2:7" ht="15.75" customHeight="1" x14ac:dyDescent="0.25">
      <c r="B684" s="100"/>
      <c r="C684" s="100"/>
      <c r="D684" s="100"/>
      <c r="E684" s="101"/>
      <c r="F684" s="102"/>
      <c r="G684" s="114"/>
    </row>
    <row r="685" spans="2:7" ht="15.75" customHeight="1" x14ac:dyDescent="0.25">
      <c r="B685" s="100"/>
      <c r="C685" s="100"/>
      <c r="D685" s="100"/>
      <c r="E685" s="101"/>
      <c r="F685" s="102"/>
      <c r="G685" s="114"/>
    </row>
    <row r="686" spans="2:7" ht="15.75" customHeight="1" x14ac:dyDescent="0.25">
      <c r="B686" s="100"/>
      <c r="C686" s="100"/>
      <c r="D686" s="100"/>
      <c r="E686" s="101"/>
      <c r="F686" s="102"/>
      <c r="G686" s="114"/>
    </row>
    <row r="687" spans="2:7" ht="15.75" customHeight="1" x14ac:dyDescent="0.25">
      <c r="B687" s="100"/>
      <c r="C687" s="100"/>
      <c r="D687" s="100"/>
      <c r="E687" s="101"/>
      <c r="F687" s="102"/>
      <c r="G687" s="114"/>
    </row>
    <row r="688" spans="2:7" ht="15.75" customHeight="1" x14ac:dyDescent="0.25">
      <c r="B688" s="100"/>
      <c r="C688" s="100"/>
      <c r="D688" s="100"/>
      <c r="E688" s="101"/>
      <c r="F688" s="102"/>
      <c r="G688" s="114"/>
    </row>
    <row r="689" spans="2:7" ht="15.75" customHeight="1" x14ac:dyDescent="0.25">
      <c r="B689" s="100"/>
      <c r="C689" s="100"/>
      <c r="D689" s="100"/>
      <c r="E689" s="101"/>
      <c r="F689" s="102"/>
      <c r="G689" s="114"/>
    </row>
    <row r="690" spans="2:7" ht="15.75" customHeight="1" x14ac:dyDescent="0.25">
      <c r="B690" s="100"/>
      <c r="C690" s="100"/>
      <c r="D690" s="100"/>
      <c r="E690" s="101"/>
      <c r="F690" s="102"/>
      <c r="G690" s="114"/>
    </row>
    <row r="691" spans="2:7" ht="15.75" customHeight="1" x14ac:dyDescent="0.25">
      <c r="B691" s="100"/>
      <c r="C691" s="100"/>
      <c r="D691" s="100"/>
      <c r="E691" s="101"/>
      <c r="F691" s="102"/>
      <c r="G691" s="114"/>
    </row>
    <row r="692" spans="2:7" ht="15.75" customHeight="1" x14ac:dyDescent="0.25">
      <c r="B692" s="100"/>
      <c r="C692" s="100"/>
      <c r="D692" s="100"/>
      <c r="E692" s="101"/>
      <c r="F692" s="102"/>
      <c r="G692" s="114"/>
    </row>
    <row r="693" spans="2:7" ht="15.75" customHeight="1" x14ac:dyDescent="0.25">
      <c r="B693" s="100"/>
      <c r="C693" s="100"/>
      <c r="D693" s="100"/>
      <c r="E693" s="101"/>
      <c r="F693" s="102"/>
      <c r="G693" s="114"/>
    </row>
    <row r="694" spans="2:7" ht="15.75" customHeight="1" x14ac:dyDescent="0.25">
      <c r="B694" s="100"/>
      <c r="C694" s="100"/>
      <c r="D694" s="100"/>
      <c r="E694" s="101"/>
      <c r="F694" s="102"/>
      <c r="G694" s="114"/>
    </row>
    <row r="695" spans="2:7" ht="15.75" customHeight="1" x14ac:dyDescent="0.25">
      <c r="B695" s="100"/>
      <c r="C695" s="100"/>
      <c r="D695" s="100"/>
      <c r="E695" s="101"/>
      <c r="F695" s="102"/>
      <c r="G695" s="114"/>
    </row>
    <row r="696" spans="2:7" ht="15.75" customHeight="1" x14ac:dyDescent="0.25">
      <c r="B696" s="100"/>
      <c r="C696" s="100"/>
      <c r="D696" s="100"/>
      <c r="E696" s="101"/>
      <c r="F696" s="102"/>
      <c r="G696" s="114"/>
    </row>
    <row r="697" spans="2:7" ht="15.75" customHeight="1" x14ac:dyDescent="0.25">
      <c r="B697" s="100"/>
      <c r="C697" s="100"/>
      <c r="D697" s="100"/>
      <c r="E697" s="101"/>
      <c r="F697" s="102"/>
      <c r="G697" s="114"/>
    </row>
    <row r="698" spans="2:7" ht="15.75" customHeight="1" x14ac:dyDescent="0.25">
      <c r="B698" s="100"/>
      <c r="C698" s="100"/>
      <c r="D698" s="100"/>
      <c r="E698" s="101"/>
      <c r="F698" s="102"/>
      <c r="G698" s="114"/>
    </row>
    <row r="699" spans="2:7" ht="15.75" customHeight="1" x14ac:dyDescent="0.25">
      <c r="B699" s="100"/>
      <c r="C699" s="100"/>
      <c r="D699" s="100"/>
      <c r="E699" s="101"/>
      <c r="F699" s="102"/>
      <c r="G699" s="114"/>
    </row>
    <row r="700" spans="2:7" ht="15.75" customHeight="1" x14ac:dyDescent="0.25">
      <c r="B700" s="100"/>
      <c r="C700" s="100"/>
      <c r="D700" s="100"/>
      <c r="E700" s="101"/>
      <c r="F700" s="102"/>
      <c r="G700" s="114"/>
    </row>
    <row r="701" spans="2:7" ht="15.75" customHeight="1" x14ac:dyDescent="0.25">
      <c r="B701" s="100"/>
      <c r="C701" s="100"/>
      <c r="D701" s="100"/>
      <c r="E701" s="101"/>
      <c r="F701" s="102"/>
      <c r="G701" s="114"/>
    </row>
    <row r="702" spans="2:7" ht="15.75" customHeight="1" x14ac:dyDescent="0.25">
      <c r="B702" s="100"/>
      <c r="C702" s="100"/>
      <c r="D702" s="100"/>
      <c r="E702" s="101"/>
      <c r="F702" s="102"/>
      <c r="G702" s="114"/>
    </row>
    <row r="703" spans="2:7" ht="15.75" customHeight="1" x14ac:dyDescent="0.25">
      <c r="B703" s="100"/>
      <c r="C703" s="100"/>
      <c r="D703" s="100"/>
      <c r="E703" s="101"/>
      <c r="F703" s="102"/>
      <c r="G703" s="114"/>
    </row>
    <row r="704" spans="2:7" ht="15.75" customHeight="1" x14ac:dyDescent="0.25">
      <c r="B704" s="100"/>
      <c r="C704" s="100"/>
      <c r="D704" s="100"/>
      <c r="E704" s="101"/>
      <c r="F704" s="102"/>
      <c r="G704" s="114"/>
    </row>
    <row r="705" spans="2:7" ht="15.75" customHeight="1" x14ac:dyDescent="0.25">
      <c r="B705" s="100"/>
      <c r="C705" s="100"/>
      <c r="D705" s="100"/>
      <c r="E705" s="101"/>
      <c r="F705" s="102"/>
      <c r="G705" s="114"/>
    </row>
    <row r="706" spans="2:7" ht="15.75" customHeight="1" x14ac:dyDescent="0.25">
      <c r="B706" s="100"/>
      <c r="C706" s="100"/>
      <c r="D706" s="100"/>
      <c r="E706" s="101"/>
      <c r="F706" s="102"/>
      <c r="G706" s="114"/>
    </row>
    <row r="707" spans="2:7" ht="15.75" customHeight="1" x14ac:dyDescent="0.25">
      <c r="B707" s="100"/>
      <c r="C707" s="100"/>
      <c r="D707" s="100"/>
      <c r="E707" s="101"/>
      <c r="F707" s="102"/>
      <c r="G707" s="114"/>
    </row>
    <row r="708" spans="2:7" ht="15.75" customHeight="1" x14ac:dyDescent="0.25">
      <c r="B708" s="100"/>
      <c r="C708" s="100"/>
      <c r="D708" s="100"/>
      <c r="E708" s="101"/>
      <c r="F708" s="102"/>
      <c r="G708" s="114"/>
    </row>
    <row r="709" spans="2:7" ht="15.75" customHeight="1" x14ac:dyDescent="0.25">
      <c r="B709" s="100"/>
      <c r="C709" s="100"/>
      <c r="D709" s="100"/>
      <c r="E709" s="101"/>
      <c r="F709" s="102"/>
      <c r="G709" s="114"/>
    </row>
    <row r="710" spans="2:7" ht="15.75" customHeight="1" x14ac:dyDescent="0.25">
      <c r="B710" s="100"/>
      <c r="C710" s="100"/>
      <c r="D710" s="100"/>
      <c r="E710" s="101"/>
      <c r="F710" s="102"/>
      <c r="G710" s="114"/>
    </row>
    <row r="711" spans="2:7" ht="15.75" customHeight="1" x14ac:dyDescent="0.25">
      <c r="B711" s="100"/>
      <c r="C711" s="100"/>
      <c r="D711" s="100"/>
      <c r="E711" s="101"/>
      <c r="F711" s="102"/>
      <c r="G711" s="114"/>
    </row>
    <row r="712" spans="2:7" ht="15.75" customHeight="1" x14ac:dyDescent="0.25">
      <c r="B712" s="100"/>
      <c r="C712" s="100"/>
      <c r="D712" s="100"/>
      <c r="E712" s="101"/>
      <c r="F712" s="102"/>
      <c r="G712" s="114"/>
    </row>
    <row r="713" spans="2:7" ht="15.75" customHeight="1" x14ac:dyDescent="0.25">
      <c r="B713" s="100"/>
      <c r="C713" s="100"/>
      <c r="D713" s="100"/>
      <c r="E713" s="101"/>
      <c r="F713" s="102"/>
      <c r="G713" s="114"/>
    </row>
    <row r="714" spans="2:7" ht="15.75" customHeight="1" x14ac:dyDescent="0.25">
      <c r="B714" s="100"/>
      <c r="C714" s="100"/>
      <c r="D714" s="100"/>
      <c r="E714" s="101"/>
      <c r="F714" s="102"/>
      <c r="G714" s="114"/>
    </row>
    <row r="715" spans="2:7" ht="15.75" customHeight="1" x14ac:dyDescent="0.25">
      <c r="B715" s="100"/>
      <c r="C715" s="100"/>
      <c r="D715" s="100"/>
      <c r="E715" s="101"/>
      <c r="F715" s="102"/>
      <c r="G715" s="114"/>
    </row>
    <row r="716" spans="2:7" ht="15.75" customHeight="1" x14ac:dyDescent="0.25">
      <c r="B716" s="100"/>
      <c r="C716" s="100"/>
      <c r="D716" s="100"/>
      <c r="E716" s="101"/>
      <c r="F716" s="102"/>
      <c r="G716" s="114"/>
    </row>
    <row r="717" spans="2:7" ht="15.75" customHeight="1" x14ac:dyDescent="0.25">
      <c r="B717" s="100"/>
      <c r="C717" s="100"/>
      <c r="D717" s="100"/>
      <c r="E717" s="101"/>
      <c r="F717" s="102"/>
      <c r="G717" s="114"/>
    </row>
    <row r="718" spans="2:7" ht="15.75" customHeight="1" x14ac:dyDescent="0.25">
      <c r="B718" s="100"/>
      <c r="C718" s="100"/>
      <c r="D718" s="100"/>
      <c r="E718" s="101"/>
      <c r="F718" s="102"/>
      <c r="G718" s="114"/>
    </row>
    <row r="719" spans="2:7" ht="15.75" customHeight="1" x14ac:dyDescent="0.25">
      <c r="B719" s="100"/>
      <c r="C719" s="100"/>
      <c r="D719" s="100"/>
      <c r="E719" s="101"/>
      <c r="F719" s="102"/>
      <c r="G719" s="114"/>
    </row>
    <row r="720" spans="2:7" ht="15.75" customHeight="1" x14ac:dyDescent="0.25">
      <c r="B720" s="100"/>
      <c r="C720" s="100"/>
      <c r="D720" s="100"/>
      <c r="E720" s="101"/>
      <c r="F720" s="102"/>
      <c r="G720" s="114"/>
    </row>
    <row r="721" spans="2:7" ht="15.75" customHeight="1" x14ac:dyDescent="0.25">
      <c r="B721" s="100"/>
      <c r="C721" s="100"/>
      <c r="D721" s="100"/>
      <c r="E721" s="101"/>
      <c r="F721" s="102"/>
      <c r="G721" s="114"/>
    </row>
    <row r="722" spans="2:7" ht="15.75" customHeight="1" x14ac:dyDescent="0.25">
      <c r="B722" s="100"/>
      <c r="C722" s="100"/>
      <c r="D722" s="100"/>
      <c r="E722" s="101"/>
      <c r="F722" s="102"/>
      <c r="G722" s="114"/>
    </row>
    <row r="723" spans="2:7" ht="15.75" customHeight="1" x14ac:dyDescent="0.25">
      <c r="B723" s="100"/>
      <c r="C723" s="100"/>
      <c r="D723" s="100"/>
      <c r="E723" s="101"/>
      <c r="F723" s="102"/>
      <c r="G723" s="114"/>
    </row>
    <row r="724" spans="2:7" ht="15.75" customHeight="1" x14ac:dyDescent="0.25">
      <c r="B724" s="100"/>
      <c r="C724" s="100"/>
      <c r="D724" s="100"/>
      <c r="E724" s="101"/>
      <c r="F724" s="102"/>
      <c r="G724" s="114"/>
    </row>
    <row r="725" spans="2:7" ht="15.75" customHeight="1" x14ac:dyDescent="0.25">
      <c r="B725" s="100"/>
      <c r="C725" s="100"/>
      <c r="D725" s="100"/>
      <c r="E725" s="101"/>
      <c r="F725" s="102"/>
      <c r="G725" s="114"/>
    </row>
    <row r="726" spans="2:7" ht="15.75" customHeight="1" x14ac:dyDescent="0.25">
      <c r="B726" s="100"/>
      <c r="C726" s="100"/>
      <c r="D726" s="100"/>
      <c r="E726" s="101"/>
      <c r="F726" s="102"/>
      <c r="G726" s="114"/>
    </row>
    <row r="727" spans="2:7" ht="15.75" customHeight="1" x14ac:dyDescent="0.25">
      <c r="B727" s="100"/>
      <c r="C727" s="100"/>
      <c r="D727" s="100"/>
      <c r="E727" s="101"/>
      <c r="F727" s="102"/>
      <c r="G727" s="114"/>
    </row>
    <row r="728" spans="2:7" ht="15.75" customHeight="1" x14ac:dyDescent="0.25">
      <c r="B728" s="100"/>
      <c r="C728" s="100"/>
      <c r="D728" s="100"/>
      <c r="E728" s="101"/>
      <c r="F728" s="102"/>
      <c r="G728" s="114"/>
    </row>
    <row r="729" spans="2:7" ht="15.75" customHeight="1" x14ac:dyDescent="0.25">
      <c r="B729" s="100"/>
      <c r="C729" s="100"/>
      <c r="D729" s="100"/>
      <c r="E729" s="101"/>
      <c r="F729" s="102"/>
      <c r="G729" s="114"/>
    </row>
    <row r="730" spans="2:7" ht="15.75" customHeight="1" x14ac:dyDescent="0.25">
      <c r="B730" s="100"/>
      <c r="C730" s="100"/>
      <c r="D730" s="100"/>
      <c r="E730" s="101"/>
      <c r="F730" s="102"/>
      <c r="G730" s="114"/>
    </row>
    <row r="731" spans="2:7" ht="15.75" customHeight="1" x14ac:dyDescent="0.25">
      <c r="B731" s="100"/>
      <c r="C731" s="100"/>
      <c r="D731" s="100"/>
      <c r="E731" s="101"/>
      <c r="F731" s="102"/>
      <c r="G731" s="114"/>
    </row>
    <row r="732" spans="2:7" ht="15.75" customHeight="1" x14ac:dyDescent="0.25">
      <c r="B732" s="100"/>
      <c r="C732" s="100"/>
      <c r="D732" s="100"/>
      <c r="E732" s="101"/>
      <c r="F732" s="102"/>
      <c r="G732" s="114"/>
    </row>
    <row r="733" spans="2:7" ht="15.75" customHeight="1" x14ac:dyDescent="0.25">
      <c r="B733" s="100"/>
      <c r="C733" s="100"/>
      <c r="D733" s="100"/>
      <c r="E733" s="101"/>
      <c r="F733" s="102"/>
      <c r="G733" s="114"/>
    </row>
    <row r="734" spans="2:7" ht="15.75" customHeight="1" x14ac:dyDescent="0.25">
      <c r="B734" s="100"/>
      <c r="C734" s="100"/>
      <c r="D734" s="100"/>
      <c r="E734" s="101"/>
      <c r="F734" s="102"/>
      <c r="G734" s="114"/>
    </row>
    <row r="735" spans="2:7" ht="15.75" customHeight="1" x14ac:dyDescent="0.25">
      <c r="B735" s="100"/>
      <c r="C735" s="100"/>
      <c r="D735" s="100"/>
      <c r="E735" s="101"/>
      <c r="F735" s="102"/>
      <c r="G735" s="114"/>
    </row>
    <row r="736" spans="2:7" ht="15.75" customHeight="1" x14ac:dyDescent="0.25">
      <c r="B736" s="100"/>
      <c r="C736" s="100"/>
      <c r="D736" s="100"/>
      <c r="E736" s="101"/>
      <c r="F736" s="102"/>
      <c r="G736" s="114"/>
    </row>
    <row r="737" spans="2:7" ht="15.75" customHeight="1" x14ac:dyDescent="0.25">
      <c r="B737" s="100"/>
      <c r="C737" s="100"/>
      <c r="D737" s="100"/>
      <c r="E737" s="101"/>
      <c r="F737" s="102"/>
      <c r="G737" s="114"/>
    </row>
    <row r="738" spans="2:7" ht="15.75" customHeight="1" x14ac:dyDescent="0.25">
      <c r="B738" s="100"/>
      <c r="C738" s="100"/>
      <c r="D738" s="100"/>
      <c r="E738" s="101"/>
      <c r="F738" s="102"/>
      <c r="G738" s="114"/>
    </row>
    <row r="739" spans="2:7" ht="15.75" customHeight="1" x14ac:dyDescent="0.25">
      <c r="B739" s="100"/>
      <c r="C739" s="100"/>
      <c r="D739" s="100"/>
      <c r="E739" s="101"/>
      <c r="F739" s="102"/>
      <c r="G739" s="114"/>
    </row>
    <row r="740" spans="2:7" ht="15.75" customHeight="1" x14ac:dyDescent="0.25">
      <c r="B740" s="100"/>
      <c r="C740" s="100"/>
      <c r="D740" s="100"/>
      <c r="E740" s="101"/>
      <c r="F740" s="102"/>
      <c r="G740" s="114"/>
    </row>
    <row r="741" spans="2:7" ht="15.75" customHeight="1" x14ac:dyDescent="0.25">
      <c r="B741" s="100"/>
      <c r="C741" s="100"/>
      <c r="D741" s="100"/>
      <c r="E741" s="101"/>
      <c r="F741" s="102"/>
      <c r="G741" s="114"/>
    </row>
    <row r="742" spans="2:7" ht="15.75" customHeight="1" x14ac:dyDescent="0.25">
      <c r="B742" s="100"/>
      <c r="C742" s="100"/>
      <c r="D742" s="100"/>
      <c r="E742" s="101"/>
      <c r="F742" s="102"/>
      <c r="G742" s="114"/>
    </row>
    <row r="743" spans="2:7" ht="15.75" customHeight="1" x14ac:dyDescent="0.25">
      <c r="B743" s="100"/>
      <c r="C743" s="100"/>
      <c r="D743" s="100"/>
      <c r="E743" s="101"/>
      <c r="F743" s="102"/>
      <c r="G743" s="114"/>
    </row>
    <row r="744" spans="2:7" ht="15.75" customHeight="1" x14ac:dyDescent="0.25">
      <c r="B744" s="100"/>
      <c r="C744" s="100"/>
      <c r="D744" s="100"/>
      <c r="E744" s="101"/>
      <c r="F744" s="102"/>
      <c r="G744" s="114"/>
    </row>
    <row r="745" spans="2:7" ht="15.75" customHeight="1" x14ac:dyDescent="0.25">
      <c r="B745" s="100"/>
      <c r="C745" s="100"/>
      <c r="D745" s="100"/>
      <c r="E745" s="101"/>
      <c r="F745" s="102"/>
      <c r="G745" s="114"/>
    </row>
    <row r="746" spans="2:7" ht="15.75" customHeight="1" x14ac:dyDescent="0.25">
      <c r="B746" s="100"/>
      <c r="C746" s="100"/>
      <c r="D746" s="100"/>
      <c r="E746" s="101"/>
      <c r="F746" s="102"/>
      <c r="G746" s="114"/>
    </row>
    <row r="747" spans="2:7" ht="15.75" customHeight="1" x14ac:dyDescent="0.25">
      <c r="B747" s="100"/>
      <c r="C747" s="100"/>
      <c r="D747" s="100"/>
      <c r="E747" s="101"/>
      <c r="F747" s="102"/>
      <c r="G747" s="114"/>
    </row>
    <row r="748" spans="2:7" ht="15.75" customHeight="1" x14ac:dyDescent="0.25">
      <c r="B748" s="100"/>
      <c r="C748" s="100"/>
      <c r="D748" s="100"/>
      <c r="E748" s="101"/>
      <c r="F748" s="102"/>
      <c r="G748" s="114"/>
    </row>
    <row r="749" spans="2:7" ht="15.75" customHeight="1" x14ac:dyDescent="0.25">
      <c r="B749" s="100"/>
      <c r="C749" s="100"/>
      <c r="D749" s="100"/>
      <c r="E749" s="101"/>
      <c r="F749" s="102"/>
      <c r="G749" s="114"/>
    </row>
    <row r="750" spans="2:7" ht="15.75" customHeight="1" x14ac:dyDescent="0.25">
      <c r="B750" s="100"/>
      <c r="C750" s="100"/>
      <c r="D750" s="100"/>
      <c r="E750" s="101"/>
      <c r="F750" s="102"/>
      <c r="G750" s="114"/>
    </row>
    <row r="751" spans="2:7" ht="15.75" customHeight="1" x14ac:dyDescent="0.25">
      <c r="B751" s="100"/>
      <c r="C751" s="100"/>
      <c r="D751" s="100"/>
      <c r="E751" s="101"/>
      <c r="F751" s="102"/>
      <c r="G751" s="114"/>
    </row>
    <row r="752" spans="2:7" ht="15.75" customHeight="1" x14ac:dyDescent="0.25">
      <c r="B752" s="100"/>
      <c r="C752" s="100"/>
      <c r="D752" s="100"/>
      <c r="E752" s="101"/>
      <c r="F752" s="102"/>
      <c r="G752" s="114"/>
    </row>
    <row r="753" spans="2:7" ht="15.75" customHeight="1" x14ac:dyDescent="0.25">
      <c r="B753" s="100"/>
      <c r="C753" s="100"/>
      <c r="D753" s="100"/>
      <c r="E753" s="101"/>
      <c r="F753" s="102"/>
      <c r="G753" s="114"/>
    </row>
    <row r="754" spans="2:7" ht="15.75" customHeight="1" x14ac:dyDescent="0.25">
      <c r="B754" s="100"/>
      <c r="C754" s="100"/>
      <c r="D754" s="100"/>
      <c r="E754" s="101"/>
      <c r="F754" s="102"/>
      <c r="G754" s="114"/>
    </row>
    <row r="755" spans="2:7" ht="15.75" customHeight="1" x14ac:dyDescent="0.25">
      <c r="B755" s="100"/>
      <c r="C755" s="100"/>
      <c r="D755" s="100"/>
      <c r="E755" s="101"/>
      <c r="F755" s="102"/>
      <c r="G755" s="114"/>
    </row>
    <row r="756" spans="2:7" ht="15.75" customHeight="1" x14ac:dyDescent="0.25">
      <c r="B756" s="100"/>
      <c r="C756" s="100"/>
      <c r="D756" s="100"/>
      <c r="E756" s="101"/>
      <c r="F756" s="102"/>
      <c r="G756" s="114"/>
    </row>
    <row r="757" spans="2:7" ht="15.75" customHeight="1" x14ac:dyDescent="0.25">
      <c r="B757" s="100"/>
      <c r="C757" s="100"/>
      <c r="D757" s="100"/>
      <c r="E757" s="101"/>
      <c r="F757" s="102"/>
      <c r="G757" s="114"/>
    </row>
    <row r="758" spans="2:7" ht="15.75" customHeight="1" x14ac:dyDescent="0.25">
      <c r="B758" s="100"/>
      <c r="C758" s="100"/>
      <c r="D758" s="100"/>
      <c r="E758" s="101"/>
      <c r="F758" s="102"/>
      <c r="G758" s="114"/>
    </row>
    <row r="759" spans="2:7" ht="15.75" customHeight="1" x14ac:dyDescent="0.25">
      <c r="B759" s="100"/>
      <c r="C759" s="100"/>
      <c r="D759" s="100"/>
      <c r="E759" s="101"/>
      <c r="F759" s="102"/>
      <c r="G759" s="114"/>
    </row>
    <row r="760" spans="2:7" ht="15.75" customHeight="1" x14ac:dyDescent="0.25">
      <c r="B760" s="100"/>
      <c r="C760" s="100"/>
      <c r="D760" s="100"/>
      <c r="E760" s="101"/>
      <c r="F760" s="102"/>
      <c r="G760" s="114"/>
    </row>
    <row r="761" spans="2:7" ht="15.75" customHeight="1" x14ac:dyDescent="0.25">
      <c r="B761" s="100"/>
      <c r="C761" s="100"/>
      <c r="D761" s="100"/>
      <c r="E761" s="101"/>
      <c r="F761" s="102"/>
      <c r="G761" s="114"/>
    </row>
    <row r="762" spans="2:7" ht="15.75" customHeight="1" x14ac:dyDescent="0.25">
      <c r="B762" s="100"/>
      <c r="C762" s="100"/>
      <c r="D762" s="100"/>
      <c r="E762" s="101"/>
      <c r="F762" s="102"/>
      <c r="G762" s="114"/>
    </row>
    <row r="763" spans="2:7" ht="15.75" customHeight="1" x14ac:dyDescent="0.25">
      <c r="B763" s="100"/>
      <c r="C763" s="100"/>
      <c r="D763" s="100"/>
      <c r="E763" s="101"/>
      <c r="F763" s="102"/>
      <c r="G763" s="114"/>
    </row>
    <row r="764" spans="2:7" ht="15.75" customHeight="1" x14ac:dyDescent="0.25">
      <c r="B764" s="100"/>
      <c r="C764" s="100"/>
      <c r="D764" s="100"/>
      <c r="E764" s="101"/>
      <c r="F764" s="102"/>
      <c r="G764" s="114"/>
    </row>
    <row r="765" spans="2:7" ht="15.75" customHeight="1" x14ac:dyDescent="0.25">
      <c r="B765" s="100"/>
      <c r="C765" s="100"/>
      <c r="D765" s="100"/>
      <c r="E765" s="101"/>
      <c r="F765" s="102"/>
      <c r="G765" s="114"/>
    </row>
    <row r="766" spans="2:7" ht="15.75" customHeight="1" x14ac:dyDescent="0.25">
      <c r="B766" s="100"/>
      <c r="C766" s="100"/>
      <c r="D766" s="100"/>
      <c r="E766" s="101"/>
      <c r="F766" s="102"/>
      <c r="G766" s="114"/>
    </row>
    <row r="767" spans="2:7" ht="15.75" customHeight="1" x14ac:dyDescent="0.25">
      <c r="B767" s="100"/>
      <c r="C767" s="100"/>
      <c r="D767" s="100"/>
      <c r="E767" s="101"/>
      <c r="F767" s="102"/>
      <c r="G767" s="114"/>
    </row>
    <row r="768" spans="2:7" ht="15.75" customHeight="1" x14ac:dyDescent="0.25">
      <c r="B768" s="100"/>
      <c r="C768" s="100"/>
      <c r="D768" s="100"/>
      <c r="E768" s="101"/>
      <c r="F768" s="102"/>
      <c r="G768" s="114"/>
    </row>
    <row r="769" spans="2:7" ht="15.75" customHeight="1" x14ac:dyDescent="0.25">
      <c r="B769" s="100"/>
      <c r="C769" s="100"/>
      <c r="D769" s="100"/>
      <c r="E769" s="101"/>
      <c r="F769" s="102"/>
      <c r="G769" s="114"/>
    </row>
    <row r="770" spans="2:7" ht="15.75" customHeight="1" x14ac:dyDescent="0.25">
      <c r="B770" s="100"/>
      <c r="C770" s="100"/>
      <c r="D770" s="100"/>
      <c r="E770" s="101"/>
      <c r="F770" s="102"/>
      <c r="G770" s="114"/>
    </row>
    <row r="771" spans="2:7" ht="15.75" customHeight="1" x14ac:dyDescent="0.25">
      <c r="B771" s="100"/>
      <c r="C771" s="100"/>
      <c r="D771" s="100"/>
      <c r="E771" s="101"/>
      <c r="F771" s="102"/>
      <c r="G771" s="114"/>
    </row>
    <row r="772" spans="2:7" ht="15.75" customHeight="1" x14ac:dyDescent="0.25">
      <c r="B772" s="100"/>
      <c r="C772" s="100"/>
      <c r="D772" s="100"/>
      <c r="E772" s="101"/>
      <c r="F772" s="102"/>
      <c r="G772" s="114"/>
    </row>
    <row r="773" spans="2:7" ht="15.75" customHeight="1" x14ac:dyDescent="0.25">
      <c r="B773" s="100"/>
      <c r="C773" s="100"/>
      <c r="D773" s="100"/>
      <c r="E773" s="101"/>
      <c r="F773" s="102"/>
      <c r="G773" s="114"/>
    </row>
    <row r="774" spans="2:7" ht="15.75" customHeight="1" x14ac:dyDescent="0.25">
      <c r="B774" s="100"/>
      <c r="C774" s="100"/>
      <c r="D774" s="100"/>
      <c r="E774" s="101"/>
      <c r="F774" s="102"/>
      <c r="G774" s="114"/>
    </row>
    <row r="775" spans="2:7" ht="15.75" customHeight="1" x14ac:dyDescent="0.25">
      <c r="B775" s="100"/>
      <c r="C775" s="100"/>
      <c r="D775" s="100"/>
      <c r="E775" s="101"/>
      <c r="F775" s="102"/>
      <c r="G775" s="114"/>
    </row>
    <row r="776" spans="2:7" ht="15.75" customHeight="1" x14ac:dyDescent="0.25">
      <c r="B776" s="100"/>
      <c r="C776" s="100"/>
      <c r="D776" s="100"/>
      <c r="E776" s="101"/>
      <c r="F776" s="102"/>
      <c r="G776" s="114"/>
    </row>
    <row r="777" spans="2:7" ht="15.75" customHeight="1" x14ac:dyDescent="0.25">
      <c r="B777" s="100"/>
      <c r="C777" s="100"/>
      <c r="D777" s="100"/>
      <c r="E777" s="101"/>
      <c r="F777" s="102"/>
      <c r="G777" s="114"/>
    </row>
    <row r="778" spans="2:7" ht="15.75" customHeight="1" x14ac:dyDescent="0.25">
      <c r="B778" s="100"/>
      <c r="C778" s="100"/>
      <c r="D778" s="100"/>
      <c r="E778" s="101"/>
      <c r="F778" s="102"/>
      <c r="G778" s="114"/>
    </row>
    <row r="779" spans="2:7" ht="15.75" customHeight="1" x14ac:dyDescent="0.25">
      <c r="B779" s="100"/>
      <c r="C779" s="100"/>
      <c r="D779" s="100"/>
      <c r="E779" s="101"/>
      <c r="F779" s="102"/>
      <c r="G779" s="114"/>
    </row>
    <row r="780" spans="2:7" ht="15.75" customHeight="1" x14ac:dyDescent="0.25">
      <c r="B780" s="100"/>
      <c r="C780" s="100"/>
      <c r="D780" s="100"/>
      <c r="E780" s="101"/>
      <c r="F780" s="102"/>
      <c r="G780" s="114"/>
    </row>
    <row r="781" spans="2:7" ht="15.75" customHeight="1" x14ac:dyDescent="0.25">
      <c r="B781" s="100"/>
      <c r="C781" s="100"/>
      <c r="D781" s="100"/>
      <c r="E781" s="101"/>
      <c r="F781" s="102"/>
      <c r="G781" s="114"/>
    </row>
    <row r="782" spans="2:7" ht="15.75" customHeight="1" x14ac:dyDescent="0.25">
      <c r="B782" s="100"/>
      <c r="C782" s="100"/>
      <c r="D782" s="100"/>
      <c r="E782" s="101"/>
      <c r="F782" s="102"/>
      <c r="G782" s="114"/>
    </row>
    <row r="783" spans="2:7" ht="15.75" customHeight="1" x14ac:dyDescent="0.25">
      <c r="B783" s="100"/>
      <c r="C783" s="100"/>
      <c r="D783" s="100"/>
      <c r="E783" s="101"/>
      <c r="F783" s="102"/>
      <c r="G783" s="114"/>
    </row>
    <row r="784" spans="2:7" ht="15.75" customHeight="1" x14ac:dyDescent="0.25">
      <c r="B784" s="100"/>
      <c r="C784" s="100"/>
      <c r="D784" s="100"/>
      <c r="E784" s="101"/>
      <c r="F784" s="102"/>
      <c r="G784" s="114"/>
    </row>
    <row r="785" spans="2:7" ht="15.75" customHeight="1" x14ac:dyDescent="0.25">
      <c r="B785" s="100"/>
      <c r="C785" s="100"/>
      <c r="D785" s="100"/>
      <c r="E785" s="101"/>
      <c r="F785" s="102"/>
      <c r="G785" s="114"/>
    </row>
    <row r="786" spans="2:7" ht="15.75" customHeight="1" x14ac:dyDescent="0.25">
      <c r="B786" s="100"/>
      <c r="C786" s="100"/>
      <c r="D786" s="100"/>
      <c r="E786" s="101"/>
      <c r="F786" s="102"/>
      <c r="G786" s="114"/>
    </row>
    <row r="787" spans="2:7" ht="15.75" customHeight="1" x14ac:dyDescent="0.25">
      <c r="B787" s="100"/>
      <c r="C787" s="100"/>
      <c r="D787" s="100"/>
      <c r="E787" s="101"/>
      <c r="F787" s="102"/>
      <c r="G787" s="114"/>
    </row>
    <row r="788" spans="2:7" ht="15.75" customHeight="1" x14ac:dyDescent="0.25">
      <c r="B788" s="100"/>
      <c r="C788" s="100"/>
      <c r="D788" s="100"/>
      <c r="E788" s="101"/>
      <c r="F788" s="102"/>
      <c r="G788" s="114"/>
    </row>
    <row r="789" spans="2:7" ht="15.75" customHeight="1" x14ac:dyDescent="0.25">
      <c r="B789" s="100"/>
      <c r="C789" s="100"/>
      <c r="D789" s="100"/>
      <c r="E789" s="101"/>
      <c r="F789" s="102"/>
      <c r="G789" s="114"/>
    </row>
    <row r="790" spans="2:7" ht="15.75" customHeight="1" x14ac:dyDescent="0.25">
      <c r="B790" s="100"/>
      <c r="C790" s="100"/>
      <c r="D790" s="100"/>
      <c r="E790" s="101"/>
      <c r="F790" s="102"/>
      <c r="G790" s="114"/>
    </row>
    <row r="791" spans="2:7" ht="15.75" customHeight="1" x14ac:dyDescent="0.25">
      <c r="B791" s="100"/>
      <c r="C791" s="100"/>
      <c r="D791" s="100"/>
      <c r="E791" s="101"/>
      <c r="F791" s="102"/>
      <c r="G791" s="114"/>
    </row>
    <row r="792" spans="2:7" ht="15.75" customHeight="1" x14ac:dyDescent="0.25">
      <c r="B792" s="100"/>
      <c r="C792" s="100"/>
      <c r="D792" s="100"/>
      <c r="E792" s="101"/>
      <c r="F792" s="102"/>
      <c r="G792" s="114"/>
    </row>
    <row r="793" spans="2:7" ht="15.75" customHeight="1" x14ac:dyDescent="0.25">
      <c r="B793" s="100"/>
      <c r="C793" s="100"/>
      <c r="D793" s="100"/>
      <c r="E793" s="101"/>
      <c r="F793" s="102"/>
      <c r="G793" s="114"/>
    </row>
    <row r="794" spans="2:7" ht="15.75" customHeight="1" x14ac:dyDescent="0.25">
      <c r="B794" s="100"/>
      <c r="C794" s="100"/>
      <c r="D794" s="100"/>
      <c r="E794" s="101"/>
      <c r="F794" s="102"/>
      <c r="G794" s="114"/>
    </row>
    <row r="795" spans="2:7" ht="15.75" customHeight="1" x14ac:dyDescent="0.25">
      <c r="B795" s="100"/>
      <c r="C795" s="100"/>
      <c r="D795" s="100"/>
      <c r="E795" s="101"/>
      <c r="F795" s="102"/>
      <c r="G795" s="114"/>
    </row>
    <row r="796" spans="2:7" ht="15.75" customHeight="1" x14ac:dyDescent="0.25">
      <c r="B796" s="100"/>
      <c r="C796" s="100"/>
      <c r="D796" s="100"/>
      <c r="E796" s="101"/>
      <c r="F796" s="102"/>
      <c r="G796" s="114"/>
    </row>
    <row r="797" spans="2:7" ht="15.75" customHeight="1" x14ac:dyDescent="0.25">
      <c r="B797" s="100"/>
      <c r="C797" s="100"/>
      <c r="D797" s="100"/>
      <c r="E797" s="101"/>
      <c r="F797" s="102"/>
      <c r="G797" s="114"/>
    </row>
    <row r="798" spans="2:7" ht="15.75" customHeight="1" x14ac:dyDescent="0.25">
      <c r="B798" s="100"/>
      <c r="C798" s="100"/>
      <c r="D798" s="100"/>
      <c r="E798" s="101"/>
      <c r="F798" s="102"/>
      <c r="G798" s="114"/>
    </row>
    <row r="799" spans="2:7" ht="15.75" customHeight="1" x14ac:dyDescent="0.25">
      <c r="B799" s="100"/>
      <c r="C799" s="100"/>
      <c r="D799" s="100"/>
      <c r="E799" s="101"/>
      <c r="F799" s="102"/>
      <c r="G799" s="114"/>
    </row>
    <row r="800" spans="2:7" ht="15.75" customHeight="1" x14ac:dyDescent="0.25">
      <c r="B800" s="100"/>
      <c r="C800" s="100"/>
      <c r="D800" s="100"/>
      <c r="E800" s="101"/>
      <c r="F800" s="102"/>
      <c r="G800" s="114"/>
    </row>
    <row r="801" spans="2:7" ht="15.75" customHeight="1" x14ac:dyDescent="0.25">
      <c r="B801" s="100"/>
      <c r="C801" s="100"/>
      <c r="D801" s="100"/>
      <c r="E801" s="101"/>
      <c r="F801" s="102"/>
      <c r="G801" s="114"/>
    </row>
    <row r="802" spans="2:7" ht="15.75" customHeight="1" x14ac:dyDescent="0.25">
      <c r="B802" s="100"/>
      <c r="C802" s="100"/>
      <c r="D802" s="100"/>
      <c r="E802" s="101"/>
      <c r="F802" s="102"/>
      <c r="G802" s="114"/>
    </row>
    <row r="803" spans="2:7" ht="15.75" customHeight="1" x14ac:dyDescent="0.25">
      <c r="B803" s="100"/>
      <c r="C803" s="100"/>
      <c r="D803" s="100"/>
      <c r="E803" s="101"/>
      <c r="F803" s="102"/>
      <c r="G803" s="114"/>
    </row>
    <row r="804" spans="2:7" ht="15.75" customHeight="1" x14ac:dyDescent="0.25">
      <c r="B804" s="100"/>
      <c r="C804" s="100"/>
      <c r="D804" s="100"/>
      <c r="E804" s="101"/>
      <c r="F804" s="102"/>
      <c r="G804" s="114"/>
    </row>
    <row r="805" spans="2:7" ht="15.75" customHeight="1" x14ac:dyDescent="0.25">
      <c r="B805" s="100"/>
      <c r="C805" s="100"/>
      <c r="D805" s="100"/>
      <c r="E805" s="101"/>
      <c r="F805" s="102"/>
      <c r="G805" s="114"/>
    </row>
    <row r="806" spans="2:7" ht="15.75" customHeight="1" x14ac:dyDescent="0.25">
      <c r="B806" s="100"/>
      <c r="C806" s="100"/>
      <c r="D806" s="100"/>
      <c r="E806" s="101"/>
      <c r="F806" s="102"/>
      <c r="G806" s="114"/>
    </row>
    <row r="807" spans="2:7" ht="15.75" customHeight="1" x14ac:dyDescent="0.25">
      <c r="B807" s="100"/>
      <c r="C807" s="100"/>
      <c r="D807" s="100"/>
      <c r="E807" s="101"/>
      <c r="F807" s="102"/>
      <c r="G807" s="114"/>
    </row>
    <row r="808" spans="2:7" ht="15.75" customHeight="1" x14ac:dyDescent="0.25">
      <c r="B808" s="100"/>
      <c r="C808" s="100"/>
      <c r="D808" s="100"/>
      <c r="E808" s="101"/>
      <c r="F808" s="102"/>
      <c r="G808" s="114"/>
    </row>
    <row r="809" spans="2:7" ht="15.75" customHeight="1" x14ac:dyDescent="0.25">
      <c r="B809" s="100"/>
      <c r="C809" s="100"/>
      <c r="D809" s="100"/>
      <c r="E809" s="101"/>
      <c r="F809" s="102"/>
      <c r="G809" s="114"/>
    </row>
    <row r="810" spans="2:7" ht="15.75" customHeight="1" x14ac:dyDescent="0.25">
      <c r="B810" s="100"/>
      <c r="C810" s="100"/>
      <c r="D810" s="100"/>
      <c r="E810" s="101"/>
      <c r="F810" s="102"/>
      <c r="G810" s="114"/>
    </row>
    <row r="811" spans="2:7" ht="15.75" customHeight="1" x14ac:dyDescent="0.25">
      <c r="B811" s="100"/>
      <c r="C811" s="100"/>
      <c r="D811" s="100"/>
      <c r="E811" s="101"/>
      <c r="F811" s="102"/>
      <c r="G811" s="114"/>
    </row>
    <row r="812" spans="2:7" ht="15.75" customHeight="1" x14ac:dyDescent="0.25">
      <c r="B812" s="100"/>
      <c r="C812" s="100"/>
      <c r="D812" s="100"/>
      <c r="E812" s="101"/>
      <c r="F812" s="102"/>
      <c r="G812" s="114"/>
    </row>
    <row r="813" spans="2:7" ht="15.75" customHeight="1" x14ac:dyDescent="0.25">
      <c r="B813" s="100"/>
      <c r="C813" s="100"/>
      <c r="D813" s="100"/>
      <c r="E813" s="101"/>
      <c r="F813" s="102"/>
      <c r="G813" s="114"/>
    </row>
    <row r="814" spans="2:7" ht="15.75" customHeight="1" x14ac:dyDescent="0.25">
      <c r="B814" s="100"/>
      <c r="C814" s="100"/>
      <c r="D814" s="100"/>
      <c r="E814" s="101"/>
      <c r="F814" s="102"/>
      <c r="G814" s="114"/>
    </row>
    <row r="815" spans="2:7" ht="15.75" customHeight="1" x14ac:dyDescent="0.25">
      <c r="B815" s="100"/>
      <c r="C815" s="100"/>
      <c r="D815" s="100"/>
      <c r="E815" s="101"/>
      <c r="F815" s="102"/>
      <c r="G815" s="114"/>
    </row>
    <row r="816" spans="2:7" ht="15.75" customHeight="1" x14ac:dyDescent="0.25">
      <c r="B816" s="100"/>
      <c r="C816" s="100"/>
      <c r="D816" s="100"/>
      <c r="E816" s="101"/>
      <c r="F816" s="102"/>
      <c r="G816" s="114"/>
    </row>
    <row r="817" spans="2:7" ht="15.75" customHeight="1" x14ac:dyDescent="0.25">
      <c r="B817" s="100"/>
      <c r="C817" s="100"/>
      <c r="D817" s="100"/>
      <c r="E817" s="101"/>
      <c r="F817" s="102"/>
      <c r="G817" s="114"/>
    </row>
    <row r="818" spans="2:7" ht="15.75" customHeight="1" x14ac:dyDescent="0.25">
      <c r="B818" s="100"/>
      <c r="C818" s="100"/>
      <c r="D818" s="100"/>
      <c r="E818" s="101"/>
      <c r="F818" s="102"/>
      <c r="G818" s="114"/>
    </row>
    <row r="819" spans="2:7" ht="15.75" customHeight="1" x14ac:dyDescent="0.25">
      <c r="B819" s="100"/>
      <c r="C819" s="100"/>
      <c r="D819" s="100"/>
      <c r="E819" s="101"/>
      <c r="F819" s="102"/>
      <c r="G819" s="114"/>
    </row>
    <row r="820" spans="2:7" ht="15.75" customHeight="1" x14ac:dyDescent="0.25">
      <c r="B820" s="100"/>
      <c r="C820" s="100"/>
      <c r="D820" s="100"/>
      <c r="E820" s="101"/>
      <c r="F820" s="102"/>
      <c r="G820" s="114"/>
    </row>
    <row r="821" spans="2:7" ht="15.75" customHeight="1" x14ac:dyDescent="0.25">
      <c r="B821" s="100"/>
      <c r="C821" s="100"/>
      <c r="D821" s="100"/>
      <c r="E821" s="101"/>
      <c r="F821" s="102"/>
      <c r="G821" s="114"/>
    </row>
    <row r="822" spans="2:7" ht="15.75" customHeight="1" x14ac:dyDescent="0.25">
      <c r="B822" s="100"/>
      <c r="C822" s="100"/>
      <c r="D822" s="100"/>
      <c r="E822" s="101"/>
      <c r="F822" s="102"/>
      <c r="G822" s="114"/>
    </row>
    <row r="823" spans="2:7" ht="15.75" customHeight="1" x14ac:dyDescent="0.25">
      <c r="B823" s="100"/>
      <c r="C823" s="100"/>
      <c r="D823" s="100"/>
      <c r="E823" s="101"/>
      <c r="F823" s="102"/>
      <c r="G823" s="114"/>
    </row>
    <row r="824" spans="2:7" ht="15.75" customHeight="1" x14ac:dyDescent="0.25">
      <c r="B824" s="100"/>
      <c r="C824" s="100"/>
      <c r="D824" s="100"/>
      <c r="E824" s="101"/>
      <c r="F824" s="102"/>
      <c r="G824" s="114"/>
    </row>
    <row r="825" spans="2:7" ht="15.75" customHeight="1" x14ac:dyDescent="0.25">
      <c r="B825" s="100"/>
      <c r="C825" s="100"/>
      <c r="D825" s="100"/>
      <c r="E825" s="101"/>
      <c r="F825" s="102"/>
      <c r="G825" s="114"/>
    </row>
    <row r="826" spans="2:7" ht="15.75" customHeight="1" x14ac:dyDescent="0.25">
      <c r="B826" s="100"/>
      <c r="C826" s="100"/>
      <c r="D826" s="100"/>
      <c r="E826" s="101"/>
      <c r="F826" s="102"/>
      <c r="G826" s="114"/>
    </row>
    <row r="827" spans="2:7" ht="15.75" customHeight="1" x14ac:dyDescent="0.25">
      <c r="B827" s="100"/>
      <c r="C827" s="100"/>
      <c r="D827" s="100"/>
      <c r="E827" s="101"/>
      <c r="F827" s="102"/>
      <c r="G827" s="114"/>
    </row>
    <row r="828" spans="2:7" ht="15.75" customHeight="1" x14ac:dyDescent="0.25">
      <c r="B828" s="100"/>
      <c r="C828" s="100"/>
      <c r="D828" s="100"/>
      <c r="E828" s="101"/>
      <c r="F828" s="102"/>
      <c r="G828" s="114"/>
    </row>
    <row r="829" spans="2:7" ht="15.75" customHeight="1" x14ac:dyDescent="0.25">
      <c r="B829" s="100"/>
      <c r="C829" s="100"/>
      <c r="D829" s="100"/>
      <c r="E829" s="101"/>
      <c r="F829" s="102"/>
      <c r="G829" s="114"/>
    </row>
    <row r="830" spans="2:7" ht="15.75" customHeight="1" x14ac:dyDescent="0.25">
      <c r="B830" s="100"/>
      <c r="C830" s="100"/>
      <c r="D830" s="100"/>
      <c r="E830" s="101"/>
      <c r="F830" s="102"/>
      <c r="G830" s="114"/>
    </row>
    <row r="831" spans="2:7" ht="15.75" customHeight="1" x14ac:dyDescent="0.25">
      <c r="B831" s="100"/>
      <c r="C831" s="100"/>
      <c r="D831" s="100"/>
      <c r="E831" s="101"/>
      <c r="F831" s="102"/>
      <c r="G831" s="114"/>
    </row>
    <row r="832" spans="2:7" ht="15.75" customHeight="1" x14ac:dyDescent="0.25">
      <c r="B832" s="100"/>
      <c r="C832" s="100"/>
      <c r="D832" s="100"/>
      <c r="E832" s="101"/>
      <c r="F832" s="102"/>
      <c r="G832" s="114"/>
    </row>
    <row r="833" spans="2:7" ht="15.75" customHeight="1" x14ac:dyDescent="0.25">
      <c r="B833" s="100"/>
      <c r="C833" s="100"/>
      <c r="D833" s="100"/>
      <c r="E833" s="101"/>
      <c r="F833" s="102"/>
      <c r="G833" s="114"/>
    </row>
    <row r="834" spans="2:7" ht="15.75" customHeight="1" x14ac:dyDescent="0.25">
      <c r="B834" s="100"/>
      <c r="C834" s="100"/>
      <c r="D834" s="100"/>
      <c r="E834" s="101"/>
      <c r="F834" s="102"/>
      <c r="G834" s="114"/>
    </row>
    <row r="835" spans="2:7" ht="15.75" customHeight="1" x14ac:dyDescent="0.25">
      <c r="B835" s="100"/>
      <c r="C835" s="100"/>
      <c r="D835" s="100"/>
      <c r="E835" s="101"/>
      <c r="F835" s="102"/>
      <c r="G835" s="114"/>
    </row>
    <row r="836" spans="2:7" ht="15.75" customHeight="1" x14ac:dyDescent="0.25">
      <c r="B836" s="100"/>
      <c r="C836" s="100"/>
      <c r="D836" s="100"/>
      <c r="E836" s="101"/>
      <c r="F836" s="102"/>
      <c r="G836" s="114"/>
    </row>
    <row r="837" spans="2:7" ht="15.75" customHeight="1" x14ac:dyDescent="0.25">
      <c r="B837" s="100"/>
      <c r="C837" s="100"/>
      <c r="D837" s="100"/>
      <c r="E837" s="101"/>
      <c r="F837" s="102"/>
      <c r="G837" s="114"/>
    </row>
    <row r="838" spans="2:7" ht="15.75" customHeight="1" x14ac:dyDescent="0.25">
      <c r="B838" s="100"/>
      <c r="C838" s="100"/>
      <c r="D838" s="100"/>
      <c r="E838" s="101"/>
      <c r="F838" s="102"/>
      <c r="G838" s="114"/>
    </row>
    <row r="839" spans="2:7" ht="15.75" customHeight="1" x14ac:dyDescent="0.25">
      <c r="B839" s="100"/>
      <c r="C839" s="100"/>
      <c r="D839" s="100"/>
      <c r="E839" s="101"/>
      <c r="F839" s="102"/>
      <c r="G839" s="114"/>
    </row>
    <row r="840" spans="2:7" ht="15.75" customHeight="1" x14ac:dyDescent="0.25">
      <c r="B840" s="100"/>
      <c r="C840" s="100"/>
      <c r="D840" s="100"/>
      <c r="E840" s="101"/>
      <c r="F840" s="102"/>
      <c r="G840" s="114"/>
    </row>
    <row r="841" spans="2:7" ht="15.75" customHeight="1" x14ac:dyDescent="0.25">
      <c r="B841" s="100"/>
      <c r="C841" s="100"/>
      <c r="D841" s="100"/>
      <c r="E841" s="101"/>
      <c r="F841" s="102"/>
      <c r="G841" s="114"/>
    </row>
    <row r="842" spans="2:7" ht="15.75" customHeight="1" x14ac:dyDescent="0.25">
      <c r="B842" s="100"/>
      <c r="C842" s="100"/>
      <c r="D842" s="100"/>
      <c r="E842" s="101"/>
      <c r="F842" s="102"/>
      <c r="G842" s="114"/>
    </row>
    <row r="843" spans="2:7" ht="15.75" customHeight="1" x14ac:dyDescent="0.25">
      <c r="B843" s="100"/>
      <c r="C843" s="100"/>
      <c r="D843" s="100"/>
      <c r="E843" s="101"/>
      <c r="F843" s="102"/>
      <c r="G843" s="114"/>
    </row>
    <row r="844" spans="2:7" ht="15.75" customHeight="1" x14ac:dyDescent="0.25">
      <c r="B844" s="100"/>
      <c r="C844" s="100"/>
      <c r="D844" s="100"/>
      <c r="E844" s="101"/>
      <c r="F844" s="102"/>
      <c r="G844" s="114"/>
    </row>
    <row r="845" spans="2:7" ht="15.75" customHeight="1" x14ac:dyDescent="0.25">
      <c r="B845" s="100"/>
      <c r="C845" s="100"/>
      <c r="D845" s="100"/>
      <c r="E845" s="101"/>
      <c r="F845" s="102"/>
      <c r="G845" s="114"/>
    </row>
    <row r="846" spans="2:7" ht="15.75" customHeight="1" x14ac:dyDescent="0.25">
      <c r="B846" s="100"/>
      <c r="C846" s="100"/>
      <c r="D846" s="100"/>
      <c r="E846" s="101"/>
      <c r="F846" s="102"/>
      <c r="G846" s="114"/>
    </row>
    <row r="847" spans="2:7" ht="15.75" customHeight="1" x14ac:dyDescent="0.25">
      <c r="B847" s="100"/>
      <c r="C847" s="100"/>
      <c r="D847" s="100"/>
      <c r="E847" s="101"/>
      <c r="F847" s="102"/>
      <c r="G847" s="114"/>
    </row>
    <row r="848" spans="2:7" ht="15.75" customHeight="1" x14ac:dyDescent="0.25">
      <c r="B848" s="100"/>
      <c r="C848" s="100"/>
      <c r="D848" s="100"/>
      <c r="E848" s="101"/>
      <c r="F848" s="102"/>
      <c r="G848" s="114"/>
    </row>
    <row r="849" spans="2:7" ht="15.75" customHeight="1" x14ac:dyDescent="0.25">
      <c r="B849" s="100"/>
      <c r="C849" s="100"/>
      <c r="D849" s="100"/>
      <c r="E849" s="101"/>
      <c r="F849" s="102"/>
      <c r="G849" s="114"/>
    </row>
    <row r="850" spans="2:7" ht="15.75" customHeight="1" x14ac:dyDescent="0.25">
      <c r="B850" s="100"/>
      <c r="C850" s="100"/>
      <c r="D850" s="100"/>
      <c r="E850" s="101"/>
      <c r="F850" s="102"/>
      <c r="G850" s="114"/>
    </row>
    <row r="851" spans="2:7" ht="15.75" customHeight="1" x14ac:dyDescent="0.25">
      <c r="B851" s="100"/>
      <c r="C851" s="100"/>
      <c r="D851" s="100"/>
      <c r="E851" s="101"/>
      <c r="F851" s="102"/>
      <c r="G851" s="114"/>
    </row>
    <row r="852" spans="2:7" ht="15.75" customHeight="1" x14ac:dyDescent="0.25">
      <c r="B852" s="100"/>
      <c r="C852" s="100"/>
      <c r="D852" s="100"/>
      <c r="E852" s="101"/>
      <c r="F852" s="102"/>
      <c r="G852" s="114"/>
    </row>
    <row r="853" spans="2:7" ht="15.75" customHeight="1" x14ac:dyDescent="0.25">
      <c r="B853" s="100"/>
      <c r="C853" s="100"/>
      <c r="D853" s="100"/>
      <c r="E853" s="101"/>
      <c r="F853" s="102"/>
      <c r="G853" s="114"/>
    </row>
    <row r="854" spans="2:7" ht="15.75" customHeight="1" x14ac:dyDescent="0.25">
      <c r="B854" s="100"/>
      <c r="C854" s="100"/>
      <c r="D854" s="100"/>
      <c r="E854" s="101"/>
      <c r="F854" s="102"/>
      <c r="G854" s="114"/>
    </row>
    <row r="855" spans="2:7" ht="15.75" customHeight="1" x14ac:dyDescent="0.25">
      <c r="B855" s="100"/>
      <c r="C855" s="100"/>
      <c r="D855" s="100"/>
      <c r="E855" s="101"/>
      <c r="F855" s="102"/>
      <c r="G855" s="114"/>
    </row>
    <row r="856" spans="2:7" ht="15.75" customHeight="1" x14ac:dyDescent="0.25">
      <c r="B856" s="100"/>
      <c r="C856" s="100"/>
      <c r="D856" s="100"/>
      <c r="E856" s="101"/>
      <c r="F856" s="102"/>
      <c r="G856" s="114"/>
    </row>
    <row r="857" spans="2:7" ht="15.75" customHeight="1" x14ac:dyDescent="0.25">
      <c r="B857" s="100"/>
      <c r="C857" s="100"/>
      <c r="D857" s="100"/>
      <c r="E857" s="101"/>
      <c r="F857" s="102"/>
      <c r="G857" s="114"/>
    </row>
    <row r="858" spans="2:7" ht="15.75" customHeight="1" x14ac:dyDescent="0.25">
      <c r="B858" s="100"/>
      <c r="C858" s="100"/>
      <c r="D858" s="100"/>
      <c r="E858" s="101"/>
      <c r="F858" s="102"/>
      <c r="G858" s="114"/>
    </row>
    <row r="859" spans="2:7" ht="15.75" customHeight="1" x14ac:dyDescent="0.25">
      <c r="B859" s="100"/>
      <c r="C859" s="100"/>
      <c r="D859" s="100"/>
      <c r="E859" s="101"/>
      <c r="F859" s="102"/>
      <c r="G859" s="114"/>
    </row>
    <row r="860" spans="2:7" ht="15.75" customHeight="1" x14ac:dyDescent="0.25">
      <c r="B860" s="100"/>
      <c r="C860" s="100"/>
      <c r="D860" s="100"/>
      <c r="E860" s="101"/>
      <c r="F860" s="102"/>
      <c r="G860" s="114"/>
    </row>
    <row r="861" spans="2:7" ht="15.75" customHeight="1" x14ac:dyDescent="0.25">
      <c r="B861" s="100"/>
      <c r="C861" s="100"/>
      <c r="D861" s="100"/>
      <c r="E861" s="101"/>
      <c r="F861" s="102"/>
      <c r="G861" s="114"/>
    </row>
    <row r="862" spans="2:7" ht="15.75" customHeight="1" x14ac:dyDescent="0.25">
      <c r="B862" s="100"/>
      <c r="C862" s="100"/>
      <c r="D862" s="100"/>
      <c r="E862" s="101"/>
      <c r="F862" s="102"/>
      <c r="G862" s="114"/>
    </row>
    <row r="863" spans="2:7" ht="15.75" customHeight="1" x14ac:dyDescent="0.25">
      <c r="B863" s="100"/>
      <c r="C863" s="100"/>
      <c r="D863" s="100"/>
      <c r="E863" s="101"/>
      <c r="F863" s="102"/>
      <c r="G863" s="114"/>
    </row>
    <row r="864" spans="2:7" ht="15.75" customHeight="1" x14ac:dyDescent="0.25">
      <c r="B864" s="100"/>
      <c r="C864" s="100"/>
      <c r="D864" s="100"/>
      <c r="E864" s="101"/>
      <c r="F864" s="102"/>
      <c r="G864" s="114"/>
    </row>
    <row r="865" spans="2:7" ht="15.75" customHeight="1" x14ac:dyDescent="0.25">
      <c r="B865" s="100"/>
      <c r="C865" s="100"/>
      <c r="D865" s="100"/>
      <c r="E865" s="101"/>
      <c r="F865" s="102"/>
      <c r="G865" s="114"/>
    </row>
    <row r="866" spans="2:7" ht="15.75" customHeight="1" x14ac:dyDescent="0.25">
      <c r="B866" s="100"/>
      <c r="C866" s="100"/>
      <c r="D866" s="100"/>
      <c r="E866" s="101"/>
      <c r="F866" s="102"/>
      <c r="G866" s="114"/>
    </row>
    <row r="867" spans="2:7" ht="15.75" customHeight="1" x14ac:dyDescent="0.25">
      <c r="B867" s="100"/>
      <c r="C867" s="100"/>
      <c r="D867" s="100"/>
      <c r="E867" s="101"/>
      <c r="F867" s="102"/>
      <c r="G867" s="114"/>
    </row>
    <row r="868" spans="2:7" ht="15.75" customHeight="1" x14ac:dyDescent="0.25">
      <c r="B868" s="100"/>
      <c r="C868" s="100"/>
      <c r="D868" s="100"/>
      <c r="E868" s="101"/>
      <c r="F868" s="102"/>
      <c r="G868" s="114"/>
    </row>
    <row r="869" spans="2:7" ht="15.75" customHeight="1" x14ac:dyDescent="0.25">
      <c r="B869" s="100"/>
      <c r="C869" s="100"/>
      <c r="D869" s="100"/>
      <c r="E869" s="101"/>
      <c r="F869" s="102"/>
      <c r="G869" s="114"/>
    </row>
    <row r="870" spans="2:7" ht="15.75" customHeight="1" x14ac:dyDescent="0.25">
      <c r="B870" s="100"/>
      <c r="C870" s="100"/>
      <c r="D870" s="100"/>
      <c r="E870" s="101"/>
      <c r="F870" s="102"/>
      <c r="G870" s="114"/>
    </row>
    <row r="871" spans="2:7" ht="15.75" customHeight="1" x14ac:dyDescent="0.25">
      <c r="B871" s="100"/>
      <c r="C871" s="100"/>
      <c r="D871" s="100"/>
      <c r="E871" s="101"/>
      <c r="F871" s="102"/>
      <c r="G871" s="114"/>
    </row>
    <row r="872" spans="2:7" ht="15.75" customHeight="1" x14ac:dyDescent="0.25">
      <c r="B872" s="100"/>
      <c r="C872" s="100"/>
      <c r="D872" s="100"/>
      <c r="E872" s="101"/>
      <c r="F872" s="102"/>
      <c r="G872" s="114"/>
    </row>
    <row r="873" spans="2:7" ht="15.75" customHeight="1" x14ac:dyDescent="0.25">
      <c r="B873" s="100"/>
      <c r="C873" s="100"/>
      <c r="D873" s="100"/>
      <c r="E873" s="101"/>
      <c r="F873" s="102"/>
      <c r="G873" s="114"/>
    </row>
    <row r="874" spans="2:7" ht="15.75" customHeight="1" x14ac:dyDescent="0.25">
      <c r="B874" s="100"/>
      <c r="C874" s="100"/>
      <c r="D874" s="100"/>
      <c r="E874" s="101"/>
      <c r="F874" s="102"/>
      <c r="G874" s="114"/>
    </row>
    <row r="875" spans="2:7" ht="15.75" customHeight="1" x14ac:dyDescent="0.25">
      <c r="B875" s="100"/>
      <c r="C875" s="100"/>
      <c r="D875" s="100"/>
      <c r="E875" s="101"/>
      <c r="F875" s="102"/>
      <c r="G875" s="114"/>
    </row>
    <row r="876" spans="2:7" ht="15.75" customHeight="1" x14ac:dyDescent="0.25">
      <c r="B876" s="100"/>
      <c r="C876" s="100"/>
      <c r="D876" s="100"/>
      <c r="E876" s="101"/>
      <c r="F876" s="102"/>
      <c r="G876" s="114"/>
    </row>
    <row r="877" spans="2:7" ht="15.75" customHeight="1" x14ac:dyDescent="0.25">
      <c r="B877" s="100"/>
      <c r="C877" s="100"/>
      <c r="D877" s="100"/>
      <c r="E877" s="101"/>
      <c r="F877" s="102"/>
      <c r="G877" s="114"/>
    </row>
    <row r="878" spans="2:7" ht="15.75" customHeight="1" x14ac:dyDescent="0.25">
      <c r="B878" s="100"/>
      <c r="C878" s="100"/>
      <c r="D878" s="100"/>
      <c r="E878" s="101"/>
      <c r="F878" s="102"/>
      <c r="G878" s="114"/>
    </row>
    <row r="879" spans="2:7" ht="15.75" customHeight="1" x14ac:dyDescent="0.25">
      <c r="B879" s="100"/>
      <c r="C879" s="100"/>
      <c r="D879" s="100"/>
      <c r="E879" s="101"/>
      <c r="F879" s="102"/>
      <c r="G879" s="114"/>
    </row>
    <row r="880" spans="2:7" ht="15.75" customHeight="1" x14ac:dyDescent="0.25">
      <c r="B880" s="100"/>
      <c r="C880" s="100"/>
      <c r="D880" s="100"/>
      <c r="E880" s="101"/>
      <c r="F880" s="102"/>
      <c r="G880" s="114"/>
    </row>
    <row r="881" spans="2:7" ht="15.75" customHeight="1" x14ac:dyDescent="0.25">
      <c r="B881" s="100"/>
      <c r="C881" s="100"/>
      <c r="D881" s="100"/>
      <c r="E881" s="101"/>
      <c r="F881" s="102"/>
      <c r="G881" s="114"/>
    </row>
    <row r="882" spans="2:7" ht="15.75" customHeight="1" x14ac:dyDescent="0.25">
      <c r="B882" s="100"/>
      <c r="C882" s="100"/>
      <c r="D882" s="100"/>
      <c r="E882" s="101"/>
      <c r="F882" s="102"/>
      <c r="G882" s="114"/>
    </row>
    <row r="883" spans="2:7" ht="15.75" customHeight="1" x14ac:dyDescent="0.25">
      <c r="B883" s="100"/>
      <c r="C883" s="100"/>
      <c r="D883" s="100"/>
      <c r="E883" s="101"/>
      <c r="F883" s="102"/>
      <c r="G883" s="114"/>
    </row>
    <row r="884" spans="2:7" ht="15.75" customHeight="1" x14ac:dyDescent="0.25">
      <c r="B884" s="100"/>
      <c r="C884" s="100"/>
      <c r="D884" s="100"/>
      <c r="E884" s="101"/>
      <c r="F884" s="102"/>
      <c r="G884" s="114"/>
    </row>
    <row r="885" spans="2:7" ht="15.75" customHeight="1" x14ac:dyDescent="0.25">
      <c r="B885" s="100"/>
      <c r="C885" s="100"/>
      <c r="D885" s="100"/>
      <c r="E885" s="101"/>
      <c r="F885" s="102"/>
      <c r="G885" s="114"/>
    </row>
    <row r="886" spans="2:7" ht="15.75" customHeight="1" x14ac:dyDescent="0.25">
      <c r="B886" s="100"/>
      <c r="C886" s="100"/>
      <c r="D886" s="100"/>
      <c r="E886" s="101"/>
      <c r="F886" s="102"/>
      <c r="G886" s="114"/>
    </row>
    <row r="887" spans="2:7" ht="15.75" customHeight="1" x14ac:dyDescent="0.25">
      <c r="B887" s="100"/>
      <c r="C887" s="100"/>
      <c r="D887" s="100"/>
      <c r="E887" s="101"/>
      <c r="F887" s="102"/>
      <c r="G887" s="114"/>
    </row>
    <row r="888" spans="2:7" ht="15.75" customHeight="1" x14ac:dyDescent="0.25">
      <c r="B888" s="100"/>
      <c r="C888" s="100"/>
      <c r="D888" s="100"/>
      <c r="E888" s="101"/>
      <c r="F888" s="102"/>
      <c r="G888" s="114"/>
    </row>
    <row r="889" spans="2:7" ht="15.75" customHeight="1" x14ac:dyDescent="0.25">
      <c r="B889" s="100"/>
      <c r="C889" s="100"/>
      <c r="D889" s="100"/>
      <c r="E889" s="101"/>
      <c r="F889" s="102"/>
      <c r="G889" s="114"/>
    </row>
    <row r="890" spans="2:7" ht="15.75" customHeight="1" x14ac:dyDescent="0.25">
      <c r="B890" s="100"/>
      <c r="C890" s="100"/>
      <c r="D890" s="100"/>
      <c r="E890" s="101"/>
      <c r="F890" s="102"/>
      <c r="G890" s="114"/>
    </row>
    <row r="891" spans="2:7" ht="15.75" customHeight="1" x14ac:dyDescent="0.25">
      <c r="B891" s="100"/>
      <c r="C891" s="100"/>
      <c r="D891" s="100"/>
      <c r="E891" s="101"/>
      <c r="F891" s="102"/>
      <c r="G891" s="114"/>
    </row>
    <row r="892" spans="2:7" ht="15.75" customHeight="1" x14ac:dyDescent="0.25">
      <c r="B892" s="100"/>
      <c r="C892" s="100"/>
      <c r="D892" s="100"/>
      <c r="E892" s="101"/>
      <c r="F892" s="102"/>
      <c r="G892" s="114"/>
    </row>
    <row r="893" spans="2:7" ht="15.75" customHeight="1" x14ac:dyDescent="0.25">
      <c r="B893" s="100"/>
      <c r="C893" s="100"/>
      <c r="D893" s="100"/>
      <c r="E893" s="101"/>
      <c r="F893" s="102"/>
      <c r="G893" s="114"/>
    </row>
    <row r="894" spans="2:7" ht="15.75" customHeight="1" x14ac:dyDescent="0.25">
      <c r="B894" s="100"/>
      <c r="C894" s="100"/>
      <c r="D894" s="100"/>
      <c r="E894" s="101"/>
      <c r="F894" s="102"/>
      <c r="G894" s="114"/>
    </row>
    <row r="895" spans="2:7" ht="15.75" customHeight="1" x14ac:dyDescent="0.25">
      <c r="B895" s="100"/>
      <c r="C895" s="100"/>
      <c r="D895" s="100"/>
      <c r="E895" s="101"/>
      <c r="F895" s="102"/>
      <c r="G895" s="114"/>
    </row>
    <row r="896" spans="2:7" ht="15.75" customHeight="1" x14ac:dyDescent="0.25">
      <c r="B896" s="100"/>
      <c r="C896" s="100"/>
      <c r="D896" s="100"/>
      <c r="E896" s="101"/>
      <c r="F896" s="102"/>
      <c r="G896" s="114"/>
    </row>
    <row r="897" spans="2:7" ht="15.75" customHeight="1" x14ac:dyDescent="0.25">
      <c r="B897" s="100"/>
      <c r="C897" s="100"/>
      <c r="D897" s="100"/>
      <c r="E897" s="101"/>
      <c r="F897" s="102"/>
      <c r="G897" s="114"/>
    </row>
    <row r="898" spans="2:7" ht="15.75" customHeight="1" x14ac:dyDescent="0.25">
      <c r="B898" s="100"/>
      <c r="C898" s="100"/>
      <c r="D898" s="100"/>
      <c r="E898" s="101"/>
      <c r="F898" s="102"/>
      <c r="G898" s="114"/>
    </row>
    <row r="899" spans="2:7" ht="15.75" customHeight="1" x14ac:dyDescent="0.25">
      <c r="B899" s="100"/>
      <c r="C899" s="100"/>
      <c r="D899" s="100"/>
      <c r="E899" s="101"/>
      <c r="F899" s="102"/>
      <c r="G899" s="114"/>
    </row>
    <row r="900" spans="2:7" ht="15.75" customHeight="1" x14ac:dyDescent="0.25">
      <c r="B900" s="100"/>
      <c r="C900" s="100"/>
      <c r="D900" s="100"/>
      <c r="E900" s="101"/>
      <c r="F900" s="102"/>
      <c r="G900" s="114"/>
    </row>
    <row r="901" spans="2:7" ht="15.75" customHeight="1" x14ac:dyDescent="0.25">
      <c r="B901" s="100"/>
      <c r="C901" s="100"/>
      <c r="D901" s="100"/>
      <c r="E901" s="101"/>
      <c r="F901" s="102"/>
      <c r="G901" s="114"/>
    </row>
    <row r="902" spans="2:7" ht="15.75" customHeight="1" x14ac:dyDescent="0.25">
      <c r="B902" s="100"/>
      <c r="C902" s="100"/>
      <c r="D902" s="100"/>
      <c r="E902" s="101"/>
      <c r="F902" s="102"/>
      <c r="G902" s="114"/>
    </row>
    <row r="903" spans="2:7" ht="15.75" customHeight="1" x14ac:dyDescent="0.25">
      <c r="B903" s="100"/>
      <c r="C903" s="100"/>
      <c r="D903" s="100"/>
      <c r="E903" s="101"/>
      <c r="F903" s="102"/>
      <c r="G903" s="114"/>
    </row>
    <row r="904" spans="2:7" ht="15.75" customHeight="1" x14ac:dyDescent="0.25">
      <c r="B904" s="100"/>
      <c r="C904" s="100"/>
      <c r="D904" s="100"/>
      <c r="E904" s="101"/>
      <c r="F904" s="102"/>
      <c r="G904" s="114"/>
    </row>
    <row r="905" spans="2:7" ht="15.75" customHeight="1" x14ac:dyDescent="0.25">
      <c r="B905" s="100"/>
      <c r="C905" s="100"/>
      <c r="D905" s="100"/>
      <c r="E905" s="101"/>
      <c r="F905" s="102"/>
      <c r="G905" s="114"/>
    </row>
    <row r="906" spans="2:7" ht="15.75" customHeight="1" x14ac:dyDescent="0.25">
      <c r="B906" s="100"/>
      <c r="C906" s="100"/>
      <c r="D906" s="100"/>
      <c r="E906" s="101"/>
      <c r="F906" s="102"/>
      <c r="G906" s="114"/>
    </row>
    <row r="907" spans="2:7" ht="15.75" customHeight="1" x14ac:dyDescent="0.25">
      <c r="B907" s="100"/>
      <c r="C907" s="100"/>
      <c r="D907" s="100"/>
      <c r="E907" s="101"/>
      <c r="F907" s="102"/>
      <c r="G907" s="114"/>
    </row>
    <row r="908" spans="2:7" ht="15.75" customHeight="1" x14ac:dyDescent="0.25">
      <c r="B908" s="100"/>
      <c r="C908" s="100"/>
      <c r="D908" s="100"/>
      <c r="E908" s="101"/>
      <c r="F908" s="102"/>
      <c r="G908" s="114"/>
    </row>
    <row r="909" spans="2:7" ht="15.75" customHeight="1" x14ac:dyDescent="0.25">
      <c r="B909" s="100"/>
      <c r="C909" s="100"/>
      <c r="D909" s="100"/>
      <c r="E909" s="101"/>
      <c r="F909" s="102"/>
      <c r="G909" s="114"/>
    </row>
    <row r="910" spans="2:7" ht="15.75" customHeight="1" x14ac:dyDescent="0.25">
      <c r="B910" s="100"/>
      <c r="C910" s="100"/>
      <c r="D910" s="100"/>
      <c r="E910" s="101"/>
      <c r="F910" s="102"/>
      <c r="G910" s="114"/>
    </row>
    <row r="911" spans="2:7" ht="15.75" customHeight="1" x14ac:dyDescent="0.25">
      <c r="B911" s="100"/>
      <c r="C911" s="100"/>
      <c r="D911" s="100"/>
      <c r="E911" s="101"/>
      <c r="F911" s="102"/>
      <c r="G911" s="114"/>
    </row>
    <row r="912" spans="2:7" ht="15.75" customHeight="1" x14ac:dyDescent="0.25">
      <c r="B912" s="100"/>
      <c r="C912" s="100"/>
      <c r="D912" s="100"/>
      <c r="E912" s="101"/>
      <c r="F912" s="102"/>
      <c r="G912" s="114"/>
    </row>
    <row r="913" spans="2:7" ht="15.75" customHeight="1" x14ac:dyDescent="0.25">
      <c r="B913" s="100"/>
      <c r="C913" s="100"/>
      <c r="D913" s="100"/>
      <c r="E913" s="101"/>
      <c r="F913" s="102"/>
      <c r="G913" s="114"/>
    </row>
    <row r="914" spans="2:7" ht="15.75" customHeight="1" x14ac:dyDescent="0.25">
      <c r="B914" s="100"/>
      <c r="C914" s="100"/>
      <c r="D914" s="100"/>
      <c r="E914" s="101"/>
      <c r="F914" s="102"/>
      <c r="G914" s="114"/>
    </row>
    <row r="915" spans="2:7" ht="15.75" customHeight="1" x14ac:dyDescent="0.25">
      <c r="B915" s="100"/>
      <c r="C915" s="100"/>
      <c r="D915" s="100"/>
      <c r="E915" s="101"/>
      <c r="F915" s="102"/>
      <c r="G915" s="114"/>
    </row>
    <row r="916" spans="2:7" ht="15.75" customHeight="1" x14ac:dyDescent="0.25">
      <c r="B916" s="100"/>
      <c r="C916" s="100"/>
      <c r="D916" s="100"/>
      <c r="E916" s="101"/>
      <c r="F916" s="102"/>
      <c r="G916" s="114"/>
    </row>
    <row r="917" spans="2:7" ht="15.75" customHeight="1" x14ac:dyDescent="0.25">
      <c r="B917" s="100"/>
      <c r="C917" s="100"/>
      <c r="D917" s="100"/>
      <c r="E917" s="101"/>
      <c r="F917" s="102"/>
      <c r="G917" s="114"/>
    </row>
    <row r="918" spans="2:7" ht="15.75" customHeight="1" x14ac:dyDescent="0.25">
      <c r="B918" s="100"/>
      <c r="C918" s="100"/>
      <c r="D918" s="100"/>
      <c r="E918" s="101"/>
      <c r="F918" s="102"/>
      <c r="G918" s="114"/>
    </row>
    <row r="919" spans="2:7" ht="15.75" customHeight="1" x14ac:dyDescent="0.25">
      <c r="B919" s="100"/>
      <c r="C919" s="100"/>
      <c r="D919" s="100"/>
      <c r="E919" s="101"/>
      <c r="F919" s="102"/>
      <c r="G919" s="114"/>
    </row>
    <row r="920" spans="2:7" ht="15.75" customHeight="1" x14ac:dyDescent="0.25">
      <c r="B920" s="100"/>
      <c r="C920" s="100"/>
      <c r="D920" s="100"/>
      <c r="E920" s="101"/>
      <c r="F920" s="102"/>
      <c r="G920" s="114"/>
    </row>
    <row r="921" spans="2:7" ht="15.75" customHeight="1" x14ac:dyDescent="0.25">
      <c r="B921" s="100"/>
      <c r="C921" s="100"/>
      <c r="D921" s="100"/>
      <c r="E921" s="101"/>
      <c r="F921" s="102"/>
      <c r="G921" s="114"/>
    </row>
    <row r="922" spans="2:7" ht="15.75" customHeight="1" x14ac:dyDescent="0.25">
      <c r="B922" s="100"/>
      <c r="C922" s="100"/>
      <c r="D922" s="100"/>
      <c r="E922" s="101"/>
      <c r="F922" s="102"/>
      <c r="G922" s="114"/>
    </row>
    <row r="923" spans="2:7" ht="15.75" customHeight="1" x14ac:dyDescent="0.25">
      <c r="B923" s="100"/>
      <c r="C923" s="100"/>
      <c r="D923" s="100"/>
      <c r="E923" s="101"/>
      <c r="F923" s="102"/>
      <c r="G923" s="114"/>
    </row>
    <row r="924" spans="2:7" ht="15.75" customHeight="1" x14ac:dyDescent="0.25">
      <c r="B924" s="100"/>
      <c r="C924" s="100"/>
      <c r="D924" s="100"/>
      <c r="E924" s="101"/>
      <c r="F924" s="102"/>
      <c r="G924" s="114"/>
    </row>
    <row r="925" spans="2:7" ht="15.75" customHeight="1" x14ac:dyDescent="0.25">
      <c r="B925" s="100"/>
      <c r="C925" s="100"/>
      <c r="D925" s="100"/>
      <c r="E925" s="101"/>
      <c r="F925" s="102"/>
      <c r="G925" s="114"/>
    </row>
    <row r="926" spans="2:7" ht="15.75" customHeight="1" x14ac:dyDescent="0.25">
      <c r="B926" s="100"/>
      <c r="C926" s="100"/>
      <c r="D926" s="100"/>
      <c r="E926" s="101"/>
      <c r="F926" s="102"/>
      <c r="G926" s="114"/>
    </row>
    <row r="927" spans="2:7" ht="15.75" customHeight="1" x14ac:dyDescent="0.25">
      <c r="B927" s="100"/>
      <c r="C927" s="100"/>
      <c r="D927" s="100"/>
      <c r="E927" s="101"/>
      <c r="F927" s="102"/>
      <c r="G927" s="114"/>
    </row>
    <row r="928" spans="2:7" ht="15.75" customHeight="1" x14ac:dyDescent="0.25">
      <c r="B928" s="100"/>
      <c r="C928" s="100"/>
      <c r="D928" s="100"/>
      <c r="E928" s="101"/>
      <c r="F928" s="102"/>
      <c r="G928" s="114"/>
    </row>
    <row r="929" spans="2:7" ht="15.75" customHeight="1" x14ac:dyDescent="0.25">
      <c r="B929" s="100"/>
      <c r="C929" s="100"/>
      <c r="D929" s="100"/>
      <c r="E929" s="101"/>
      <c r="F929" s="102"/>
      <c r="G929" s="114"/>
    </row>
    <row r="930" spans="2:7" ht="15.75" customHeight="1" x14ac:dyDescent="0.25">
      <c r="B930" s="100"/>
      <c r="C930" s="100"/>
      <c r="D930" s="100"/>
      <c r="E930" s="101"/>
      <c r="F930" s="102"/>
      <c r="G930" s="114"/>
    </row>
    <row r="931" spans="2:7" ht="15.75" customHeight="1" x14ac:dyDescent="0.25">
      <c r="B931" s="100"/>
      <c r="C931" s="100"/>
      <c r="D931" s="100"/>
      <c r="E931" s="101"/>
      <c r="F931" s="102"/>
      <c r="G931" s="114"/>
    </row>
    <row r="932" spans="2:7" ht="15.75" customHeight="1" x14ac:dyDescent="0.25">
      <c r="B932" s="100"/>
      <c r="C932" s="100"/>
      <c r="D932" s="100"/>
      <c r="E932" s="101"/>
      <c r="F932" s="102"/>
      <c r="G932" s="114"/>
    </row>
    <row r="933" spans="2:7" ht="15.75" customHeight="1" x14ac:dyDescent="0.25">
      <c r="B933" s="100"/>
      <c r="C933" s="100"/>
      <c r="D933" s="100"/>
      <c r="E933" s="101"/>
      <c r="F933" s="102"/>
      <c r="G933" s="114"/>
    </row>
    <row r="934" spans="2:7" ht="15.75" customHeight="1" x14ac:dyDescent="0.25">
      <c r="B934" s="100"/>
      <c r="C934" s="100"/>
      <c r="D934" s="100"/>
      <c r="E934" s="101"/>
      <c r="F934" s="102"/>
      <c r="G934" s="114"/>
    </row>
    <row r="935" spans="2:7" ht="15.75" customHeight="1" x14ac:dyDescent="0.25">
      <c r="B935" s="100"/>
      <c r="C935" s="100"/>
      <c r="D935" s="100"/>
      <c r="E935" s="101"/>
      <c r="F935" s="102"/>
      <c r="G935" s="114"/>
    </row>
    <row r="936" spans="2:7" ht="15.75" customHeight="1" x14ac:dyDescent="0.25">
      <c r="B936" s="100"/>
      <c r="C936" s="100"/>
      <c r="D936" s="100"/>
      <c r="E936" s="101"/>
      <c r="F936" s="102"/>
      <c r="G936" s="114"/>
    </row>
    <row r="937" spans="2:7" ht="15.75" customHeight="1" x14ac:dyDescent="0.25">
      <c r="B937" s="100"/>
      <c r="C937" s="100"/>
      <c r="D937" s="100"/>
      <c r="E937" s="101"/>
      <c r="F937" s="102"/>
      <c r="G937" s="114"/>
    </row>
    <row r="938" spans="2:7" ht="15.75" customHeight="1" x14ac:dyDescent="0.25">
      <c r="B938" s="100"/>
      <c r="C938" s="100"/>
      <c r="D938" s="100"/>
      <c r="E938" s="101"/>
      <c r="F938" s="102"/>
      <c r="G938" s="114"/>
    </row>
    <row r="939" spans="2:7" ht="15.75" customHeight="1" x14ac:dyDescent="0.25">
      <c r="B939" s="100"/>
      <c r="C939" s="100"/>
      <c r="D939" s="100"/>
      <c r="E939" s="101"/>
      <c r="F939" s="102"/>
      <c r="G939" s="114"/>
    </row>
    <row r="940" spans="2:7" ht="15.75" customHeight="1" x14ac:dyDescent="0.25">
      <c r="B940" s="100"/>
      <c r="C940" s="100"/>
      <c r="D940" s="100"/>
      <c r="E940" s="101"/>
      <c r="F940" s="102"/>
      <c r="G940" s="114"/>
    </row>
    <row r="941" spans="2:7" ht="15.75" customHeight="1" x14ac:dyDescent="0.25">
      <c r="B941" s="100"/>
      <c r="C941" s="100"/>
      <c r="D941" s="100"/>
      <c r="E941" s="101"/>
      <c r="F941" s="102"/>
      <c r="G941" s="114"/>
    </row>
    <row r="942" spans="2:7" ht="15.75" customHeight="1" x14ac:dyDescent="0.25">
      <c r="B942" s="100"/>
      <c r="C942" s="100"/>
      <c r="D942" s="100"/>
      <c r="E942" s="101"/>
      <c r="F942" s="102"/>
      <c r="G942" s="114"/>
    </row>
    <row r="943" spans="2:7" ht="15.75" customHeight="1" x14ac:dyDescent="0.25">
      <c r="B943" s="100"/>
      <c r="C943" s="100"/>
      <c r="D943" s="100"/>
      <c r="E943" s="101"/>
      <c r="F943" s="102"/>
      <c r="G943" s="114"/>
    </row>
    <row r="944" spans="2:7" ht="15.75" customHeight="1" x14ac:dyDescent="0.25">
      <c r="B944" s="100"/>
      <c r="C944" s="100"/>
      <c r="D944" s="100"/>
      <c r="E944" s="101"/>
      <c r="F944" s="102"/>
      <c r="G944" s="114"/>
    </row>
    <row r="945" spans="2:7" ht="15.75" customHeight="1" x14ac:dyDescent="0.25">
      <c r="B945" s="100"/>
      <c r="C945" s="100"/>
      <c r="D945" s="100"/>
      <c r="E945" s="101"/>
      <c r="F945" s="102"/>
      <c r="G945" s="114"/>
    </row>
    <row r="946" spans="2:7" ht="15.75" customHeight="1" x14ac:dyDescent="0.25">
      <c r="B946" s="100"/>
      <c r="C946" s="100"/>
      <c r="D946" s="100"/>
      <c r="E946" s="101"/>
      <c r="F946" s="102"/>
      <c r="G946" s="114"/>
    </row>
    <row r="947" spans="2:7" ht="15.75" customHeight="1" x14ac:dyDescent="0.25">
      <c r="B947" s="100"/>
      <c r="C947" s="100"/>
      <c r="D947" s="100"/>
      <c r="E947" s="101"/>
      <c r="F947" s="102"/>
      <c r="G947" s="114"/>
    </row>
    <row r="948" spans="2:7" ht="15.75" customHeight="1" x14ac:dyDescent="0.25">
      <c r="B948" s="100"/>
      <c r="C948" s="100"/>
      <c r="D948" s="100"/>
      <c r="E948" s="101"/>
      <c r="F948" s="102"/>
      <c r="G948" s="114"/>
    </row>
    <row r="949" spans="2:7" ht="15.75" customHeight="1" x14ac:dyDescent="0.25">
      <c r="B949" s="100"/>
      <c r="C949" s="100"/>
      <c r="D949" s="100"/>
      <c r="E949" s="101"/>
      <c r="F949" s="102"/>
      <c r="G949" s="114"/>
    </row>
    <row r="950" spans="2:7" ht="15.75" customHeight="1" x14ac:dyDescent="0.25">
      <c r="B950" s="100"/>
      <c r="C950" s="100"/>
      <c r="D950" s="100"/>
      <c r="E950" s="101"/>
      <c r="F950" s="102"/>
      <c r="G950" s="114"/>
    </row>
    <row r="951" spans="2:7" ht="15.75" customHeight="1" x14ac:dyDescent="0.25">
      <c r="B951" s="100"/>
      <c r="C951" s="100"/>
      <c r="D951" s="100"/>
      <c r="E951" s="101"/>
      <c r="F951" s="102"/>
      <c r="G951" s="114"/>
    </row>
    <row r="952" spans="2:7" ht="15.75" customHeight="1" x14ac:dyDescent="0.25">
      <c r="B952" s="100"/>
      <c r="C952" s="100"/>
      <c r="D952" s="100"/>
      <c r="E952" s="101"/>
      <c r="F952" s="102"/>
      <c r="G952" s="114"/>
    </row>
    <row r="953" spans="2:7" ht="15.75" customHeight="1" x14ac:dyDescent="0.25">
      <c r="B953" s="100"/>
      <c r="C953" s="100"/>
      <c r="D953" s="100"/>
      <c r="E953" s="101"/>
      <c r="F953" s="102"/>
      <c r="G953" s="114"/>
    </row>
    <row r="954" spans="2:7" ht="15.75" customHeight="1" x14ac:dyDescent="0.25">
      <c r="B954" s="100"/>
      <c r="C954" s="100"/>
      <c r="D954" s="100"/>
      <c r="E954" s="101"/>
      <c r="F954" s="102"/>
      <c r="G954" s="114"/>
    </row>
    <row r="955" spans="2:7" ht="15.75" customHeight="1" x14ac:dyDescent="0.25">
      <c r="B955" s="100"/>
      <c r="C955" s="100"/>
      <c r="D955" s="100"/>
      <c r="E955" s="101"/>
      <c r="F955" s="102"/>
      <c r="G955" s="114"/>
    </row>
    <row r="956" spans="2:7" ht="15.75" customHeight="1" x14ac:dyDescent="0.25">
      <c r="B956" s="100"/>
      <c r="C956" s="100"/>
      <c r="D956" s="100"/>
      <c r="E956" s="101"/>
      <c r="F956" s="102"/>
      <c r="G956" s="114"/>
    </row>
    <row r="957" spans="2:7" ht="15.75" customHeight="1" x14ac:dyDescent="0.25">
      <c r="B957" s="100"/>
      <c r="C957" s="100"/>
      <c r="D957" s="100"/>
      <c r="E957" s="101"/>
      <c r="F957" s="102"/>
      <c r="G957" s="114"/>
    </row>
    <row r="958" spans="2:7" ht="15.75" customHeight="1" x14ac:dyDescent="0.25">
      <c r="B958" s="100"/>
      <c r="C958" s="100"/>
      <c r="D958" s="100"/>
      <c r="E958" s="101"/>
      <c r="F958" s="102"/>
      <c r="G958" s="114"/>
    </row>
    <row r="959" spans="2:7" ht="15.75" customHeight="1" x14ac:dyDescent="0.25">
      <c r="B959" s="100"/>
      <c r="C959" s="100"/>
      <c r="D959" s="100"/>
      <c r="E959" s="101"/>
      <c r="F959" s="102"/>
      <c r="G959" s="114"/>
    </row>
    <row r="960" spans="2:7" ht="15.75" customHeight="1" x14ac:dyDescent="0.25">
      <c r="B960" s="100"/>
      <c r="C960" s="100"/>
      <c r="D960" s="100"/>
      <c r="E960" s="101"/>
      <c r="F960" s="102"/>
      <c r="G960" s="114"/>
    </row>
    <row r="961" spans="2:7" ht="15.75" customHeight="1" x14ac:dyDescent="0.25">
      <c r="B961" s="100"/>
      <c r="C961" s="100"/>
      <c r="D961" s="100"/>
      <c r="E961" s="101"/>
      <c r="F961" s="102"/>
      <c r="G961" s="114"/>
    </row>
    <row r="962" spans="2:7" ht="15.75" customHeight="1" x14ac:dyDescent="0.25">
      <c r="B962" s="100"/>
      <c r="C962" s="100"/>
      <c r="D962" s="100"/>
      <c r="E962" s="101"/>
      <c r="F962" s="102"/>
      <c r="G962" s="114"/>
    </row>
    <row r="963" spans="2:7" ht="15.75" customHeight="1" x14ac:dyDescent="0.25">
      <c r="B963" s="100"/>
      <c r="C963" s="100"/>
      <c r="D963" s="100"/>
      <c r="E963" s="101"/>
      <c r="F963" s="102"/>
      <c r="G963" s="114"/>
    </row>
    <row r="964" spans="2:7" ht="15.75" customHeight="1" x14ac:dyDescent="0.25">
      <c r="B964" s="100"/>
      <c r="C964" s="100"/>
      <c r="D964" s="100"/>
      <c r="E964" s="101"/>
      <c r="F964" s="102"/>
      <c r="G964" s="114"/>
    </row>
    <row r="965" spans="2:7" ht="15.75" customHeight="1" x14ac:dyDescent="0.25">
      <c r="B965" s="100"/>
      <c r="C965" s="100"/>
      <c r="D965" s="100"/>
      <c r="E965" s="101"/>
      <c r="F965" s="102"/>
      <c r="G965" s="114"/>
    </row>
    <row r="966" spans="2:7" ht="15.75" customHeight="1" x14ac:dyDescent="0.25">
      <c r="B966" s="100"/>
      <c r="C966" s="100"/>
      <c r="D966" s="100"/>
      <c r="E966" s="101"/>
      <c r="F966" s="102"/>
      <c r="G966" s="114"/>
    </row>
    <row r="967" spans="2:7" ht="15.75" customHeight="1" x14ac:dyDescent="0.25">
      <c r="B967" s="100"/>
      <c r="C967" s="100"/>
      <c r="D967" s="100"/>
      <c r="E967" s="101"/>
      <c r="F967" s="102"/>
      <c r="G967" s="114"/>
    </row>
    <row r="968" spans="2:7" ht="15.75" customHeight="1" x14ac:dyDescent="0.25">
      <c r="B968" s="100"/>
      <c r="C968" s="100"/>
      <c r="D968" s="100"/>
      <c r="E968" s="101"/>
      <c r="F968" s="102"/>
      <c r="G968" s="114"/>
    </row>
    <row r="969" spans="2:7" ht="15.75" customHeight="1" x14ac:dyDescent="0.25">
      <c r="B969" s="100"/>
      <c r="C969" s="100"/>
      <c r="D969" s="100"/>
      <c r="E969" s="101"/>
      <c r="F969" s="102"/>
      <c r="G969" s="114"/>
    </row>
    <row r="970" spans="2:7" ht="15.75" customHeight="1" x14ac:dyDescent="0.25">
      <c r="B970" s="100"/>
      <c r="C970" s="100"/>
      <c r="D970" s="100"/>
      <c r="E970" s="101"/>
      <c r="F970" s="102"/>
      <c r="G970" s="114"/>
    </row>
    <row r="971" spans="2:7" ht="15.75" customHeight="1" x14ac:dyDescent="0.25">
      <c r="B971" s="100"/>
      <c r="C971" s="100"/>
      <c r="D971" s="100"/>
      <c r="E971" s="101"/>
      <c r="F971" s="102"/>
      <c r="G971" s="114"/>
    </row>
    <row r="972" spans="2:7" ht="15.75" customHeight="1" x14ac:dyDescent="0.25">
      <c r="B972" s="100"/>
      <c r="C972" s="100"/>
      <c r="D972" s="100"/>
      <c r="E972" s="101"/>
      <c r="F972" s="102"/>
      <c r="G972" s="114"/>
    </row>
    <row r="973" spans="2:7" ht="15.75" customHeight="1" x14ac:dyDescent="0.25">
      <c r="B973" s="100"/>
      <c r="C973" s="100"/>
      <c r="D973" s="100"/>
      <c r="E973" s="101"/>
      <c r="F973" s="102"/>
      <c r="G973" s="114"/>
    </row>
    <row r="974" spans="2:7" ht="15.75" customHeight="1" x14ac:dyDescent="0.25">
      <c r="B974" s="100"/>
      <c r="C974" s="100"/>
      <c r="D974" s="100"/>
      <c r="E974" s="101"/>
      <c r="F974" s="102"/>
      <c r="G974" s="114"/>
    </row>
    <row r="975" spans="2:7" ht="15.75" customHeight="1" x14ac:dyDescent="0.25">
      <c r="B975" s="100"/>
      <c r="C975" s="100"/>
      <c r="D975" s="100"/>
      <c r="E975" s="101"/>
      <c r="F975" s="102"/>
      <c r="G975" s="114"/>
    </row>
    <row r="976" spans="2:7" ht="15.75" customHeight="1" x14ac:dyDescent="0.25">
      <c r="B976" s="100"/>
      <c r="C976" s="100"/>
      <c r="D976" s="100"/>
      <c r="E976" s="101"/>
      <c r="F976" s="102"/>
      <c r="G976" s="114"/>
    </row>
    <row r="977" spans="2:7" ht="15.75" customHeight="1" x14ac:dyDescent="0.25">
      <c r="B977" s="100"/>
      <c r="C977" s="100"/>
      <c r="D977" s="100"/>
      <c r="E977" s="101"/>
      <c r="F977" s="102"/>
      <c r="G977" s="114"/>
    </row>
    <row r="978" spans="2:7" ht="15.75" customHeight="1" x14ac:dyDescent="0.25">
      <c r="B978" s="100"/>
      <c r="C978" s="100"/>
      <c r="D978" s="100"/>
      <c r="E978" s="101"/>
      <c r="F978" s="102"/>
      <c r="G978" s="114"/>
    </row>
    <row r="979" spans="2:7" ht="15.75" customHeight="1" x14ac:dyDescent="0.25">
      <c r="B979" s="100"/>
      <c r="C979" s="100"/>
      <c r="D979" s="100"/>
      <c r="E979" s="101"/>
      <c r="F979" s="102"/>
      <c r="G979" s="114"/>
    </row>
    <row r="980" spans="2:7" ht="15.75" customHeight="1" x14ac:dyDescent="0.25">
      <c r="B980" s="100"/>
      <c r="C980" s="100"/>
      <c r="D980" s="100"/>
      <c r="E980" s="101"/>
      <c r="F980" s="102"/>
      <c r="G980" s="114"/>
    </row>
    <row r="981" spans="2:7" ht="15.75" customHeight="1" x14ac:dyDescent="0.25">
      <c r="B981" s="100"/>
      <c r="C981" s="100"/>
      <c r="D981" s="100"/>
      <c r="E981" s="101"/>
      <c r="F981" s="102"/>
      <c r="G981" s="114"/>
    </row>
    <row r="982" spans="2:7" ht="15.75" customHeight="1" x14ac:dyDescent="0.25">
      <c r="B982" s="100"/>
      <c r="C982" s="100"/>
      <c r="D982" s="100"/>
      <c r="E982" s="101"/>
      <c r="F982" s="102"/>
      <c r="G982" s="114"/>
    </row>
    <row r="983" spans="2:7" ht="15.75" customHeight="1" x14ac:dyDescent="0.25">
      <c r="B983" s="100"/>
      <c r="C983" s="100"/>
      <c r="D983" s="100"/>
      <c r="E983" s="101"/>
      <c r="F983" s="102"/>
      <c r="G983" s="114"/>
    </row>
    <row r="984" spans="2:7" ht="15.75" customHeight="1" x14ac:dyDescent="0.25">
      <c r="B984" s="100"/>
      <c r="C984" s="100"/>
      <c r="D984" s="100"/>
      <c r="E984" s="101"/>
      <c r="F984" s="102"/>
      <c r="G984" s="114"/>
    </row>
    <row r="985" spans="2:7" ht="15.75" customHeight="1" x14ac:dyDescent="0.25">
      <c r="B985" s="100"/>
      <c r="C985" s="100"/>
      <c r="D985" s="100"/>
      <c r="E985" s="101"/>
      <c r="F985" s="102"/>
      <c r="G985" s="114"/>
    </row>
    <row r="986" spans="2:7" ht="15.75" customHeight="1" x14ac:dyDescent="0.25">
      <c r="B986" s="100"/>
      <c r="C986" s="100"/>
      <c r="D986" s="100"/>
      <c r="E986" s="101"/>
      <c r="F986" s="102"/>
      <c r="G986" s="114"/>
    </row>
    <row r="987" spans="2:7" ht="15.75" customHeight="1" x14ac:dyDescent="0.25">
      <c r="B987" s="100"/>
      <c r="C987" s="100"/>
      <c r="D987" s="100"/>
      <c r="E987" s="101"/>
      <c r="F987" s="102"/>
      <c r="G987" s="114"/>
    </row>
    <row r="988" spans="2:7" ht="15.75" customHeight="1" x14ac:dyDescent="0.25">
      <c r="B988" s="100"/>
      <c r="C988" s="100"/>
      <c r="D988" s="100"/>
      <c r="E988" s="101"/>
      <c r="F988" s="102"/>
      <c r="G988" s="114"/>
    </row>
    <row r="989" spans="2:7" ht="15.75" customHeight="1" x14ac:dyDescent="0.25">
      <c r="B989" s="100"/>
      <c r="C989" s="100"/>
      <c r="D989" s="100"/>
      <c r="E989" s="101"/>
      <c r="F989" s="102"/>
      <c r="G989" s="114"/>
    </row>
    <row r="990" spans="2:7" ht="15.75" customHeight="1" x14ac:dyDescent="0.25">
      <c r="B990" s="100"/>
      <c r="C990" s="100"/>
      <c r="D990" s="100"/>
      <c r="E990" s="101"/>
      <c r="F990" s="102"/>
      <c r="G990" s="114"/>
    </row>
    <row r="991" spans="2:7" ht="15.75" customHeight="1" x14ac:dyDescent="0.25">
      <c r="B991" s="100"/>
      <c r="C991" s="100"/>
      <c r="D991" s="100"/>
      <c r="E991" s="101"/>
      <c r="F991" s="102"/>
      <c r="G991" s="114"/>
    </row>
    <row r="992" spans="2:7" ht="15.75" customHeight="1" x14ac:dyDescent="0.25">
      <c r="B992" s="100"/>
      <c r="C992" s="100"/>
      <c r="D992" s="100"/>
      <c r="E992" s="101"/>
      <c r="F992" s="102"/>
      <c r="G992" s="114"/>
    </row>
    <row r="993" spans="2:7" ht="15.75" customHeight="1" x14ac:dyDescent="0.25">
      <c r="B993" s="100"/>
      <c r="C993" s="100"/>
      <c r="D993" s="100"/>
      <c r="E993" s="101"/>
      <c r="F993" s="102"/>
      <c r="G993" s="114"/>
    </row>
    <row r="994" spans="2:7" ht="15.75" customHeight="1" x14ac:dyDescent="0.25">
      <c r="B994" s="100"/>
      <c r="C994" s="100"/>
      <c r="D994" s="100"/>
      <c r="E994" s="101"/>
      <c r="F994" s="102"/>
      <c r="G994" s="114"/>
    </row>
    <row r="995" spans="2:7" ht="15.75" customHeight="1" x14ac:dyDescent="0.25">
      <c r="B995" s="100"/>
      <c r="C995" s="100"/>
      <c r="D995" s="100"/>
      <c r="E995" s="101"/>
      <c r="F995" s="102"/>
      <c r="G995" s="114"/>
    </row>
    <row r="996" spans="2:7" ht="15.75" customHeight="1" x14ac:dyDescent="0.25">
      <c r="B996" s="100"/>
      <c r="C996" s="100"/>
      <c r="D996" s="100"/>
      <c r="E996" s="101"/>
      <c r="F996" s="102"/>
      <c r="G996" s="114"/>
    </row>
    <row r="997" spans="2:7" ht="15.75" customHeight="1" x14ac:dyDescent="0.25">
      <c r="B997" s="100"/>
      <c r="C997" s="100"/>
      <c r="D997" s="100"/>
      <c r="E997" s="101"/>
      <c r="F997" s="102"/>
      <c r="G997" s="114"/>
    </row>
    <row r="998" spans="2:7" ht="15.75" customHeight="1" x14ac:dyDescent="0.25">
      <c r="B998" s="100"/>
      <c r="C998" s="100"/>
      <c r="D998" s="100"/>
      <c r="E998" s="101"/>
      <c r="F998" s="102"/>
      <c r="G998" s="114"/>
    </row>
    <row r="999" spans="2:7" ht="15.75" customHeight="1" x14ac:dyDescent="0.25">
      <c r="B999" s="100"/>
      <c r="C999" s="100"/>
      <c r="D999" s="100"/>
      <c r="E999" s="101"/>
      <c r="F999" s="102"/>
      <c r="G999" s="114"/>
    </row>
    <row r="1000" spans="2:7" ht="15.75" customHeight="1" x14ac:dyDescent="0.25">
      <c r="B1000" s="100"/>
      <c r="C1000" s="100"/>
      <c r="D1000" s="100"/>
      <c r="E1000" s="101"/>
      <c r="F1000" s="102"/>
      <c r="G1000" s="114"/>
    </row>
    <row r="1001" spans="2:7" ht="15.75" customHeight="1" x14ac:dyDescent="0.25">
      <c r="B1001" s="100"/>
      <c r="C1001" s="100"/>
      <c r="D1001" s="100"/>
      <c r="E1001" s="101"/>
      <c r="F1001" s="102"/>
      <c r="G1001" s="114"/>
    </row>
    <row r="1002" spans="2:7" ht="15.75" customHeight="1" x14ac:dyDescent="0.25">
      <c r="B1002" s="100"/>
      <c r="C1002" s="100"/>
      <c r="D1002" s="100"/>
      <c r="E1002" s="101"/>
      <c r="F1002" s="102"/>
      <c r="G1002" s="114"/>
    </row>
    <row r="1003" spans="2:7" ht="15.75" customHeight="1" x14ac:dyDescent="0.25">
      <c r="B1003" s="100"/>
      <c r="C1003" s="100"/>
      <c r="D1003" s="100"/>
      <c r="E1003" s="101"/>
      <c r="F1003" s="102"/>
      <c r="G1003" s="114"/>
    </row>
    <row r="1004" spans="2:7" ht="15.75" customHeight="1" x14ac:dyDescent="0.25">
      <c r="B1004" s="100"/>
      <c r="C1004" s="100"/>
      <c r="D1004" s="100"/>
      <c r="E1004" s="101"/>
      <c r="F1004" s="102"/>
      <c r="G1004" s="114"/>
    </row>
    <row r="1005" spans="2:7" ht="15.75" customHeight="1" x14ac:dyDescent="0.25">
      <c r="B1005" s="100"/>
      <c r="C1005" s="100"/>
      <c r="D1005" s="100"/>
      <c r="E1005" s="101"/>
      <c r="F1005" s="102"/>
      <c r="G1005" s="114"/>
    </row>
    <row r="1006" spans="2:7" ht="15.75" customHeight="1" x14ac:dyDescent="0.25">
      <c r="B1006" s="100"/>
      <c r="C1006" s="100"/>
      <c r="D1006" s="100"/>
      <c r="E1006" s="101"/>
      <c r="F1006" s="102"/>
      <c r="G1006" s="114"/>
    </row>
    <row r="1007" spans="2:7" ht="15.75" customHeight="1" x14ac:dyDescent="0.25">
      <c r="B1007" s="100"/>
      <c r="C1007" s="100"/>
      <c r="D1007" s="100"/>
      <c r="E1007" s="101"/>
      <c r="F1007" s="102"/>
      <c r="G1007" s="114"/>
    </row>
    <row r="1008" spans="2:7" ht="15.75" customHeight="1" x14ac:dyDescent="0.25">
      <c r="B1008" s="100"/>
      <c r="C1008" s="100"/>
      <c r="D1008" s="100"/>
      <c r="E1008" s="101"/>
      <c r="F1008" s="102"/>
      <c r="G1008" s="114"/>
    </row>
    <row r="1009" spans="2:7" ht="15.75" customHeight="1" x14ac:dyDescent="0.25">
      <c r="B1009" s="100"/>
      <c r="C1009" s="100"/>
      <c r="D1009" s="100"/>
      <c r="E1009" s="101"/>
      <c r="F1009" s="102"/>
      <c r="G1009" s="114"/>
    </row>
    <row r="1010" spans="2:7" ht="15.75" customHeight="1" x14ac:dyDescent="0.25">
      <c r="B1010" s="100"/>
      <c r="C1010" s="100"/>
      <c r="D1010" s="100"/>
      <c r="E1010" s="101"/>
      <c r="F1010" s="102"/>
      <c r="G1010" s="114"/>
    </row>
    <row r="1011" spans="2:7" ht="15.75" customHeight="1" x14ac:dyDescent="0.25">
      <c r="B1011" s="100"/>
      <c r="C1011" s="100"/>
      <c r="D1011" s="100"/>
      <c r="E1011" s="101"/>
      <c r="F1011" s="102"/>
      <c r="G1011" s="114"/>
    </row>
    <row r="1012" spans="2:7" ht="15.75" customHeight="1" x14ac:dyDescent="0.25">
      <c r="B1012" s="100"/>
      <c r="C1012" s="100"/>
      <c r="D1012" s="100"/>
      <c r="E1012" s="101"/>
      <c r="F1012" s="102"/>
      <c r="G1012" s="114"/>
    </row>
    <row r="1013" spans="2:7" ht="15.75" customHeight="1" x14ac:dyDescent="0.25">
      <c r="B1013" s="100"/>
      <c r="C1013" s="100"/>
      <c r="D1013" s="100"/>
      <c r="E1013" s="101"/>
      <c r="F1013" s="102"/>
      <c r="G1013" s="114"/>
    </row>
    <row r="1014" spans="2:7" ht="15.75" customHeight="1" x14ac:dyDescent="0.25">
      <c r="B1014" s="100"/>
      <c r="C1014" s="100"/>
      <c r="D1014" s="100"/>
      <c r="E1014" s="101"/>
      <c r="F1014" s="102"/>
      <c r="G1014" s="114"/>
    </row>
    <row r="1015" spans="2:7" ht="15.75" customHeight="1" x14ac:dyDescent="0.25">
      <c r="B1015" s="100"/>
      <c r="C1015" s="100"/>
      <c r="D1015" s="100"/>
      <c r="E1015" s="101"/>
      <c r="F1015" s="102"/>
      <c r="G1015" s="114"/>
    </row>
    <row r="1016" spans="2:7" ht="15.75" customHeight="1" x14ac:dyDescent="0.25">
      <c r="B1016" s="100"/>
      <c r="C1016" s="100"/>
      <c r="D1016" s="100"/>
      <c r="E1016" s="101"/>
      <c r="F1016" s="102"/>
      <c r="G1016" s="114"/>
    </row>
    <row r="1017" spans="2:7" ht="15.75" customHeight="1" x14ac:dyDescent="0.25">
      <c r="B1017" s="100"/>
      <c r="C1017" s="100"/>
      <c r="D1017" s="100"/>
      <c r="E1017" s="101"/>
      <c r="F1017" s="102"/>
      <c r="G1017" s="114"/>
    </row>
    <row r="1018" spans="2:7" ht="15.75" customHeight="1" x14ac:dyDescent="0.25">
      <c r="B1018" s="100"/>
      <c r="C1018" s="100"/>
      <c r="D1018" s="100"/>
      <c r="E1018" s="101"/>
      <c r="F1018" s="102"/>
      <c r="G1018" s="114"/>
    </row>
    <row r="1019" spans="2:7" ht="15.75" customHeight="1" x14ac:dyDescent="0.25">
      <c r="B1019" s="100"/>
      <c r="C1019" s="100"/>
      <c r="D1019" s="100"/>
      <c r="E1019" s="101"/>
      <c r="F1019" s="102"/>
      <c r="G1019" s="114"/>
    </row>
    <row r="1020" spans="2:7" ht="15.75" customHeight="1" x14ac:dyDescent="0.25">
      <c r="B1020" s="100"/>
      <c r="C1020" s="100"/>
      <c r="D1020" s="100"/>
      <c r="E1020" s="101"/>
      <c r="F1020" s="102"/>
      <c r="G1020" s="114"/>
    </row>
    <row r="1021" spans="2:7" ht="15.75" customHeight="1" x14ac:dyDescent="0.25">
      <c r="B1021" s="100"/>
      <c r="C1021" s="100"/>
      <c r="D1021" s="100"/>
      <c r="E1021" s="101"/>
      <c r="F1021" s="102"/>
      <c r="G1021" s="114"/>
    </row>
    <row r="1022" spans="2:7" ht="15.75" customHeight="1" x14ac:dyDescent="0.25">
      <c r="B1022" s="100"/>
      <c r="C1022" s="100"/>
      <c r="D1022" s="100"/>
      <c r="E1022" s="101"/>
      <c r="F1022" s="102"/>
      <c r="G1022" s="114"/>
    </row>
    <row r="1023" spans="2:7" ht="15.75" customHeight="1" x14ac:dyDescent="0.25">
      <c r="B1023" s="100"/>
      <c r="C1023" s="100"/>
      <c r="D1023" s="100"/>
      <c r="E1023" s="101"/>
      <c r="F1023" s="102"/>
      <c r="G1023" s="114"/>
    </row>
    <row r="1024" spans="2:7" ht="15.75" customHeight="1" x14ac:dyDescent="0.25">
      <c r="B1024" s="100"/>
      <c r="C1024" s="100"/>
      <c r="D1024" s="100"/>
      <c r="E1024" s="101"/>
      <c r="F1024" s="102"/>
      <c r="G1024" s="114"/>
    </row>
    <row r="1025" spans="2:7" ht="15.75" customHeight="1" x14ac:dyDescent="0.25">
      <c r="B1025" s="100"/>
      <c r="C1025" s="100"/>
      <c r="D1025" s="100"/>
      <c r="E1025" s="101"/>
      <c r="F1025" s="102"/>
      <c r="G1025" s="114"/>
    </row>
    <row r="1026" spans="2:7" ht="15.75" customHeight="1" x14ac:dyDescent="0.25">
      <c r="B1026" s="100"/>
      <c r="C1026" s="100"/>
      <c r="D1026" s="100"/>
      <c r="E1026" s="101"/>
      <c r="F1026" s="102"/>
      <c r="G1026" s="114"/>
    </row>
    <row r="1027" spans="2:7" ht="15.75" customHeight="1" x14ac:dyDescent="0.25">
      <c r="B1027" s="100"/>
      <c r="C1027" s="100"/>
      <c r="D1027" s="100"/>
      <c r="E1027" s="101"/>
      <c r="F1027" s="102"/>
      <c r="G1027" s="114"/>
    </row>
    <row r="1028" spans="2:7" ht="15.75" customHeight="1" x14ac:dyDescent="0.25">
      <c r="B1028" s="100"/>
      <c r="C1028" s="100"/>
      <c r="D1028" s="100"/>
      <c r="E1028" s="101"/>
      <c r="F1028" s="102"/>
      <c r="G1028" s="114"/>
    </row>
    <row r="1029" spans="2:7" ht="15.75" customHeight="1" x14ac:dyDescent="0.25">
      <c r="B1029" s="100"/>
      <c r="C1029" s="100"/>
      <c r="D1029" s="100"/>
      <c r="E1029" s="101"/>
      <c r="F1029" s="102"/>
      <c r="G1029" s="114"/>
    </row>
    <row r="1030" spans="2:7" ht="15.75" customHeight="1" x14ac:dyDescent="0.25">
      <c r="B1030" s="100"/>
      <c r="C1030" s="100"/>
      <c r="D1030" s="100"/>
      <c r="E1030" s="101"/>
      <c r="F1030" s="102"/>
      <c r="G1030" s="114"/>
    </row>
    <row r="1031" spans="2:7" ht="15.75" customHeight="1" x14ac:dyDescent="0.25">
      <c r="B1031" s="100"/>
      <c r="C1031" s="100"/>
      <c r="D1031" s="100"/>
      <c r="E1031" s="101"/>
      <c r="F1031" s="102"/>
      <c r="G1031" s="114"/>
    </row>
    <row r="1032" spans="2:7" ht="15.75" customHeight="1" x14ac:dyDescent="0.25">
      <c r="B1032" s="100"/>
      <c r="C1032" s="100"/>
      <c r="D1032" s="100"/>
      <c r="E1032" s="101"/>
      <c r="F1032" s="102"/>
      <c r="G1032" s="114"/>
    </row>
    <row r="1033" spans="2:7" ht="15.75" customHeight="1" x14ac:dyDescent="0.25">
      <c r="B1033" s="100"/>
      <c r="C1033" s="100"/>
      <c r="D1033" s="100"/>
      <c r="E1033" s="101"/>
      <c r="F1033" s="102"/>
      <c r="G1033" s="114"/>
    </row>
    <row r="1034" spans="2:7" ht="15.75" customHeight="1" x14ac:dyDescent="0.25">
      <c r="B1034" s="100"/>
      <c r="C1034" s="100"/>
      <c r="D1034" s="100"/>
      <c r="E1034" s="101"/>
      <c r="F1034" s="102"/>
      <c r="G1034" s="114"/>
    </row>
    <row r="1035" spans="2:7" ht="15.75" customHeight="1" x14ac:dyDescent="0.25">
      <c r="B1035" s="100"/>
      <c r="C1035" s="100"/>
      <c r="D1035" s="100"/>
      <c r="E1035" s="101"/>
      <c r="F1035" s="102"/>
      <c r="G1035" s="114"/>
    </row>
    <row r="1036" spans="2:7" ht="15.75" customHeight="1" x14ac:dyDescent="0.25">
      <c r="B1036" s="100"/>
      <c r="C1036" s="100"/>
      <c r="D1036" s="100"/>
      <c r="E1036" s="101"/>
      <c r="F1036" s="102"/>
      <c r="G1036" s="114"/>
    </row>
    <row r="1037" spans="2:7" ht="15.75" customHeight="1" x14ac:dyDescent="0.25">
      <c r="B1037" s="100"/>
      <c r="C1037" s="100"/>
      <c r="D1037" s="100"/>
      <c r="E1037" s="101"/>
      <c r="F1037" s="102"/>
      <c r="G1037" s="114"/>
    </row>
    <row r="1038" spans="2:7" ht="15.75" customHeight="1" x14ac:dyDescent="0.25">
      <c r="B1038" s="100"/>
      <c r="C1038" s="100"/>
      <c r="D1038" s="100"/>
      <c r="E1038" s="101"/>
      <c r="F1038" s="102"/>
      <c r="G1038" s="114"/>
    </row>
    <row r="1039" spans="2:7" ht="15.75" customHeight="1" x14ac:dyDescent="0.25">
      <c r="B1039" s="100"/>
      <c r="C1039" s="100"/>
      <c r="D1039" s="100"/>
      <c r="E1039" s="101"/>
      <c r="F1039" s="102"/>
      <c r="G1039" s="114"/>
    </row>
    <row r="1040" spans="2:7" ht="15.75" customHeight="1" x14ac:dyDescent="0.25">
      <c r="B1040" s="100"/>
      <c r="C1040" s="100"/>
      <c r="D1040" s="100"/>
      <c r="E1040" s="101"/>
      <c r="F1040" s="102"/>
      <c r="G1040" s="114"/>
    </row>
    <row r="1041" spans="2:7" ht="15.75" customHeight="1" x14ac:dyDescent="0.25">
      <c r="B1041" s="100"/>
      <c r="C1041" s="100"/>
      <c r="D1041" s="100"/>
      <c r="E1041" s="101"/>
      <c r="F1041" s="102"/>
      <c r="G1041" s="114"/>
    </row>
    <row r="1042" spans="2:7" ht="15.75" customHeight="1" x14ac:dyDescent="0.25">
      <c r="B1042" s="100"/>
      <c r="C1042" s="100"/>
      <c r="D1042" s="100"/>
      <c r="E1042" s="101"/>
      <c r="F1042" s="102"/>
      <c r="G1042" s="114"/>
    </row>
    <row r="1043" spans="2:7" ht="15.75" customHeight="1" x14ac:dyDescent="0.25">
      <c r="B1043" s="100"/>
      <c r="C1043" s="100"/>
      <c r="D1043" s="100"/>
      <c r="E1043" s="101"/>
      <c r="F1043" s="102"/>
      <c r="G1043" s="114"/>
    </row>
    <row r="1044" spans="2:7" ht="15.75" customHeight="1" x14ac:dyDescent="0.25">
      <c r="B1044" s="100"/>
      <c r="C1044" s="100"/>
      <c r="D1044" s="100"/>
      <c r="E1044" s="101"/>
      <c r="F1044" s="102"/>
      <c r="G1044" s="114"/>
    </row>
    <row r="1045" spans="2:7" ht="15.75" customHeight="1" x14ac:dyDescent="0.25">
      <c r="B1045" s="100"/>
      <c r="C1045" s="100"/>
      <c r="D1045" s="100"/>
      <c r="E1045" s="101"/>
      <c r="F1045" s="102"/>
      <c r="G1045" s="114"/>
    </row>
    <row r="1046" spans="2:7" ht="15.75" customHeight="1" x14ac:dyDescent="0.25">
      <c r="B1046" s="100"/>
      <c r="C1046" s="100"/>
      <c r="D1046" s="100"/>
      <c r="E1046" s="101"/>
      <c r="F1046" s="102"/>
      <c r="G1046" s="114"/>
    </row>
    <row r="1047" spans="2:7" ht="15.75" customHeight="1" x14ac:dyDescent="0.25">
      <c r="B1047" s="100"/>
      <c r="C1047" s="100"/>
      <c r="D1047" s="100"/>
      <c r="E1047" s="101"/>
      <c r="F1047" s="102"/>
      <c r="G1047" s="114"/>
    </row>
    <row r="1048" spans="2:7" ht="15.75" customHeight="1" x14ac:dyDescent="0.25">
      <c r="B1048" s="100"/>
      <c r="C1048" s="100"/>
      <c r="D1048" s="100"/>
      <c r="E1048" s="101"/>
      <c r="F1048" s="102"/>
      <c r="G1048" s="114"/>
    </row>
    <row r="1049" spans="2:7" ht="15.75" customHeight="1" x14ac:dyDescent="0.25">
      <c r="B1049" s="100"/>
      <c r="C1049" s="100"/>
      <c r="D1049" s="100"/>
      <c r="E1049" s="101"/>
      <c r="F1049" s="102"/>
      <c r="G1049" s="114"/>
    </row>
    <row r="1050" spans="2:7" ht="15.75" customHeight="1" x14ac:dyDescent="0.25">
      <c r="B1050" s="100"/>
      <c r="C1050" s="100"/>
      <c r="D1050" s="100"/>
      <c r="E1050" s="101"/>
      <c r="F1050" s="102"/>
      <c r="G1050" s="114"/>
    </row>
    <row r="1051" spans="2:7" ht="15.75" customHeight="1" x14ac:dyDescent="0.25">
      <c r="B1051" s="100"/>
      <c r="C1051" s="100"/>
      <c r="D1051" s="100"/>
      <c r="E1051" s="101"/>
      <c r="F1051" s="102"/>
      <c r="G1051" s="114"/>
    </row>
    <row r="1052" spans="2:7" ht="15.75" customHeight="1" x14ac:dyDescent="0.25">
      <c r="B1052" s="100"/>
      <c r="C1052" s="100"/>
      <c r="D1052" s="100"/>
      <c r="E1052" s="101"/>
      <c r="F1052" s="102"/>
      <c r="G1052" s="114"/>
    </row>
    <row r="1053" spans="2:7" ht="15.75" customHeight="1" x14ac:dyDescent="0.25">
      <c r="B1053" s="100"/>
      <c r="C1053" s="100"/>
      <c r="D1053" s="100"/>
      <c r="E1053" s="101"/>
      <c r="F1053" s="102"/>
      <c r="G1053" s="114"/>
    </row>
    <row r="1054" spans="2:7" ht="15.75" customHeight="1" x14ac:dyDescent="0.25">
      <c r="B1054" s="100"/>
      <c r="C1054" s="100"/>
      <c r="D1054" s="100"/>
      <c r="E1054" s="101"/>
      <c r="F1054" s="102"/>
      <c r="G1054" s="114"/>
    </row>
    <row r="1055" spans="2:7" ht="15.75" customHeight="1" x14ac:dyDescent="0.25">
      <c r="B1055" s="100"/>
      <c r="C1055" s="100"/>
      <c r="D1055" s="100"/>
      <c r="E1055" s="101"/>
      <c r="F1055" s="102"/>
      <c r="G1055" s="114"/>
    </row>
    <row r="1056" spans="2:7" ht="15.75" customHeight="1" x14ac:dyDescent="0.25">
      <c r="B1056" s="100"/>
      <c r="C1056" s="100"/>
      <c r="D1056" s="100"/>
      <c r="E1056" s="101"/>
      <c r="F1056" s="102"/>
      <c r="G1056" s="114"/>
    </row>
    <row r="1057" spans="2:7" ht="15.75" customHeight="1" x14ac:dyDescent="0.25">
      <c r="B1057" s="100"/>
      <c r="C1057" s="100"/>
      <c r="D1057" s="100"/>
      <c r="E1057" s="101"/>
      <c r="F1057" s="102"/>
      <c r="G1057" s="114"/>
    </row>
    <row r="1058" spans="2:7" ht="15.75" customHeight="1" x14ac:dyDescent="0.25">
      <c r="B1058" s="100"/>
      <c r="C1058" s="100"/>
      <c r="D1058" s="100"/>
      <c r="E1058" s="101"/>
      <c r="F1058" s="102"/>
      <c r="G1058" s="114"/>
    </row>
    <row r="1059" spans="2:7" ht="15.75" customHeight="1" x14ac:dyDescent="0.25">
      <c r="B1059" s="100"/>
      <c r="C1059" s="100"/>
      <c r="D1059" s="100"/>
      <c r="E1059" s="101"/>
      <c r="F1059" s="102"/>
      <c r="G1059" s="114"/>
    </row>
    <row r="1060" spans="2:7" ht="15.75" customHeight="1" x14ac:dyDescent="0.25">
      <c r="B1060" s="100"/>
      <c r="C1060" s="100"/>
      <c r="D1060" s="100"/>
      <c r="E1060" s="101"/>
      <c r="F1060" s="102"/>
      <c r="G1060" s="114"/>
    </row>
    <row r="1061" spans="2:7" ht="15.75" customHeight="1" x14ac:dyDescent="0.25">
      <c r="B1061" s="100"/>
      <c r="C1061" s="100"/>
      <c r="D1061" s="100"/>
      <c r="E1061" s="101"/>
      <c r="F1061" s="102"/>
      <c r="G1061" s="114"/>
    </row>
    <row r="1062" spans="2:7" ht="15.75" customHeight="1" x14ac:dyDescent="0.25">
      <c r="B1062" s="100"/>
      <c r="C1062" s="100"/>
      <c r="D1062" s="100"/>
      <c r="E1062" s="101"/>
      <c r="F1062" s="102"/>
      <c r="G1062" s="114"/>
    </row>
    <row r="1063" spans="2:7" ht="15.75" customHeight="1" x14ac:dyDescent="0.25">
      <c r="B1063" s="100"/>
      <c r="C1063" s="100"/>
      <c r="D1063" s="100"/>
      <c r="E1063" s="101"/>
      <c r="F1063" s="102"/>
      <c r="G1063" s="114"/>
    </row>
    <row r="1064" spans="2:7" ht="15.75" customHeight="1" x14ac:dyDescent="0.25">
      <c r="B1064" s="100"/>
      <c r="C1064" s="100"/>
      <c r="D1064" s="100"/>
      <c r="E1064" s="101"/>
      <c r="F1064" s="102"/>
      <c r="G1064" s="114"/>
    </row>
    <row r="1065" spans="2:7" ht="15.75" customHeight="1" x14ac:dyDescent="0.25">
      <c r="B1065" s="100"/>
      <c r="C1065" s="100"/>
      <c r="D1065" s="100"/>
      <c r="E1065" s="101"/>
      <c r="F1065" s="102"/>
      <c r="G1065" s="114"/>
    </row>
    <row r="1066" spans="2:7" ht="15.75" customHeight="1" x14ac:dyDescent="0.25">
      <c r="B1066" s="100"/>
      <c r="C1066" s="100"/>
      <c r="D1066" s="100"/>
      <c r="E1066" s="101"/>
      <c r="F1066" s="102"/>
      <c r="G1066" s="114"/>
    </row>
    <row r="1067" spans="2:7" ht="15.75" customHeight="1" x14ac:dyDescent="0.25">
      <c r="B1067" s="100"/>
      <c r="C1067" s="100"/>
      <c r="D1067" s="100"/>
      <c r="E1067" s="101"/>
      <c r="F1067" s="102"/>
      <c r="G1067" s="114"/>
    </row>
    <row r="1068" spans="2:7" ht="15.75" customHeight="1" x14ac:dyDescent="0.25">
      <c r="B1068" s="100"/>
      <c r="C1068" s="100"/>
      <c r="D1068" s="100"/>
      <c r="E1068" s="101"/>
      <c r="F1068" s="102"/>
      <c r="G1068" s="114"/>
    </row>
    <row r="1069" spans="2:7" ht="15.75" customHeight="1" x14ac:dyDescent="0.25">
      <c r="B1069" s="100"/>
      <c r="C1069" s="100"/>
      <c r="D1069" s="100"/>
      <c r="E1069" s="101"/>
      <c r="F1069" s="102"/>
      <c r="G1069" s="114"/>
    </row>
    <row r="1070" spans="2:7" ht="15.75" customHeight="1" x14ac:dyDescent="0.25">
      <c r="B1070" s="100"/>
      <c r="C1070" s="100"/>
      <c r="D1070" s="100"/>
      <c r="E1070" s="101"/>
      <c r="F1070" s="102"/>
      <c r="G1070" s="114"/>
    </row>
    <row r="1071" spans="2:7" ht="15.75" customHeight="1" x14ac:dyDescent="0.25">
      <c r="B1071" s="100"/>
      <c r="C1071" s="100"/>
      <c r="D1071" s="100"/>
      <c r="E1071" s="101"/>
      <c r="F1071" s="102"/>
      <c r="G1071" s="114"/>
    </row>
    <row r="1072" spans="2:7" ht="15.75" customHeight="1" x14ac:dyDescent="0.25">
      <c r="B1072" s="100"/>
      <c r="C1072" s="100"/>
      <c r="D1072" s="100"/>
      <c r="E1072" s="101"/>
      <c r="F1072" s="102"/>
      <c r="G1072" s="114"/>
    </row>
    <row r="1073" spans="2:7" ht="15.75" customHeight="1" x14ac:dyDescent="0.25">
      <c r="B1073" s="100"/>
      <c r="C1073" s="100"/>
      <c r="D1073" s="100"/>
      <c r="E1073" s="101"/>
      <c r="F1073" s="102"/>
      <c r="G1073" s="114"/>
    </row>
    <row r="1074" spans="2:7" ht="15.75" customHeight="1" x14ac:dyDescent="0.25">
      <c r="B1074" s="100"/>
      <c r="C1074" s="100"/>
      <c r="D1074" s="100"/>
      <c r="E1074" s="101"/>
      <c r="F1074" s="102"/>
      <c r="G1074" s="114"/>
    </row>
    <row r="1075" spans="2:7" ht="15.75" customHeight="1" x14ac:dyDescent="0.25">
      <c r="B1075" s="100"/>
      <c r="C1075" s="100"/>
      <c r="D1075" s="100"/>
      <c r="E1075" s="101"/>
      <c r="F1075" s="102"/>
      <c r="G1075" s="114"/>
    </row>
    <row r="1076" spans="2:7" ht="15.75" customHeight="1" x14ac:dyDescent="0.25">
      <c r="B1076" s="100"/>
      <c r="C1076" s="100"/>
      <c r="D1076" s="100"/>
      <c r="E1076" s="101"/>
      <c r="F1076" s="102"/>
      <c r="G1076" s="114"/>
    </row>
    <row r="1077" spans="2:7" ht="15.75" customHeight="1" x14ac:dyDescent="0.25">
      <c r="B1077" s="100"/>
      <c r="C1077" s="100"/>
      <c r="D1077" s="100"/>
      <c r="E1077" s="101"/>
      <c r="F1077" s="102"/>
      <c r="G1077" s="114"/>
    </row>
    <row r="1078" spans="2:7" ht="15.75" customHeight="1" x14ac:dyDescent="0.25">
      <c r="B1078" s="100"/>
      <c r="C1078" s="100"/>
      <c r="D1078" s="100"/>
      <c r="E1078" s="101"/>
      <c r="F1078" s="102"/>
      <c r="G1078" s="114"/>
    </row>
    <row r="1079" spans="2:7" ht="15.75" customHeight="1" x14ac:dyDescent="0.25">
      <c r="B1079" s="100"/>
      <c r="C1079" s="100"/>
      <c r="D1079" s="100"/>
      <c r="E1079" s="101"/>
      <c r="F1079" s="102"/>
      <c r="G1079" s="114"/>
    </row>
    <row r="1080" spans="2:7" ht="15.75" customHeight="1" x14ac:dyDescent="0.25">
      <c r="B1080" s="100"/>
      <c r="C1080" s="100"/>
      <c r="D1080" s="100"/>
      <c r="E1080" s="101"/>
      <c r="F1080" s="102"/>
      <c r="G1080" s="114"/>
    </row>
    <row r="1081" spans="2:7" ht="15.75" customHeight="1" x14ac:dyDescent="0.25">
      <c r="B1081" s="100"/>
      <c r="C1081" s="100"/>
      <c r="D1081" s="100"/>
      <c r="E1081" s="101"/>
      <c r="F1081" s="102"/>
      <c r="G1081" s="114"/>
    </row>
    <row r="1082" spans="2:7" ht="15.75" customHeight="1" x14ac:dyDescent="0.25">
      <c r="B1082" s="100"/>
      <c r="C1082" s="100"/>
      <c r="D1082" s="100"/>
      <c r="E1082" s="101"/>
      <c r="F1082" s="102"/>
      <c r="G1082" s="114"/>
    </row>
    <row r="1083" spans="2:7" ht="15.75" customHeight="1" x14ac:dyDescent="0.25">
      <c r="B1083" s="100"/>
      <c r="C1083" s="100"/>
      <c r="D1083" s="100"/>
      <c r="E1083" s="101"/>
      <c r="F1083" s="102"/>
      <c r="G1083" s="114"/>
    </row>
    <row r="1084" spans="2:7" ht="15.75" customHeight="1" x14ac:dyDescent="0.25">
      <c r="B1084" s="100"/>
      <c r="C1084" s="100"/>
      <c r="D1084" s="100"/>
      <c r="E1084" s="101"/>
      <c r="F1084" s="102"/>
      <c r="G1084" s="114"/>
    </row>
    <row r="1085" spans="2:7" ht="15.75" customHeight="1" x14ac:dyDescent="0.25">
      <c r="B1085" s="100"/>
      <c r="C1085" s="100"/>
      <c r="D1085" s="100"/>
      <c r="E1085" s="101"/>
      <c r="F1085" s="102"/>
      <c r="G1085" s="114"/>
    </row>
    <row r="1086" spans="2:7" ht="15.75" customHeight="1" x14ac:dyDescent="0.25">
      <c r="B1086" s="100"/>
      <c r="C1086" s="100"/>
      <c r="D1086" s="100"/>
      <c r="E1086" s="101"/>
      <c r="F1086" s="102"/>
      <c r="G1086" s="114"/>
    </row>
    <row r="1087" spans="2:7" ht="15.75" customHeight="1" x14ac:dyDescent="0.25">
      <c r="B1087" s="100"/>
      <c r="C1087" s="100"/>
      <c r="D1087" s="100"/>
      <c r="E1087" s="101"/>
      <c r="F1087" s="102"/>
      <c r="G1087" s="114"/>
    </row>
    <row r="1088" spans="2:7" ht="15.75" customHeight="1" x14ac:dyDescent="0.25">
      <c r="B1088" s="100"/>
      <c r="C1088" s="100"/>
      <c r="D1088" s="100"/>
      <c r="E1088" s="101"/>
      <c r="F1088" s="102"/>
      <c r="G1088" s="114"/>
    </row>
    <row r="1089" spans="2:7" ht="15.75" customHeight="1" x14ac:dyDescent="0.25">
      <c r="B1089" s="100"/>
      <c r="C1089" s="100"/>
      <c r="D1089" s="100"/>
      <c r="E1089" s="101"/>
      <c r="F1089" s="102"/>
      <c r="G1089" s="114"/>
    </row>
    <row r="1090" spans="2:7" ht="15.75" customHeight="1" x14ac:dyDescent="0.25">
      <c r="B1090" s="100"/>
      <c r="C1090" s="100"/>
      <c r="D1090" s="100"/>
      <c r="E1090" s="101"/>
      <c r="F1090" s="102"/>
      <c r="G1090" s="114"/>
    </row>
    <row r="1091" spans="2:7" ht="15.75" customHeight="1" x14ac:dyDescent="0.25">
      <c r="B1091" s="100"/>
      <c r="C1091" s="100"/>
      <c r="D1091" s="100"/>
      <c r="E1091" s="101"/>
      <c r="F1091" s="102"/>
      <c r="G1091" s="114"/>
    </row>
    <row r="1092" spans="2:7" ht="15.75" customHeight="1" x14ac:dyDescent="0.25">
      <c r="B1092" s="100"/>
      <c r="C1092" s="100"/>
      <c r="D1092" s="100"/>
      <c r="E1092" s="101"/>
      <c r="F1092" s="102"/>
      <c r="G1092" s="114"/>
    </row>
    <row r="1093" spans="2:7" ht="15.75" customHeight="1" x14ac:dyDescent="0.25">
      <c r="B1093" s="100"/>
      <c r="C1093" s="100"/>
      <c r="D1093" s="100"/>
      <c r="E1093" s="101"/>
      <c r="F1093" s="102"/>
      <c r="G1093" s="114"/>
    </row>
    <row r="1094" spans="2:7" ht="15.75" customHeight="1" x14ac:dyDescent="0.25">
      <c r="B1094" s="100"/>
      <c r="C1094" s="100"/>
      <c r="D1094" s="100"/>
      <c r="E1094" s="101"/>
      <c r="F1094" s="102"/>
      <c r="G1094" s="114"/>
    </row>
    <row r="1095" spans="2:7" ht="15.75" customHeight="1" x14ac:dyDescent="0.25">
      <c r="B1095" s="100"/>
      <c r="C1095" s="100"/>
      <c r="D1095" s="100"/>
      <c r="E1095" s="101"/>
      <c r="F1095" s="102"/>
      <c r="G1095" s="114"/>
    </row>
    <row r="1096" spans="2:7" ht="15.75" customHeight="1" x14ac:dyDescent="0.25">
      <c r="B1096" s="100"/>
      <c r="C1096" s="100"/>
      <c r="D1096" s="100"/>
      <c r="E1096" s="101"/>
      <c r="F1096" s="102"/>
      <c r="G1096" s="114"/>
    </row>
    <row r="1097" spans="2:7" ht="15.75" customHeight="1" x14ac:dyDescent="0.25">
      <c r="B1097" s="100"/>
      <c r="C1097" s="100"/>
      <c r="D1097" s="100"/>
      <c r="E1097" s="101"/>
      <c r="F1097" s="102"/>
      <c r="G1097" s="114"/>
    </row>
    <row r="1098" spans="2:7" ht="15.75" customHeight="1" x14ac:dyDescent="0.25">
      <c r="B1098" s="100"/>
      <c r="C1098" s="100"/>
      <c r="D1098" s="100"/>
      <c r="E1098" s="101"/>
      <c r="F1098" s="102"/>
      <c r="G1098" s="114"/>
    </row>
    <row r="1099" spans="2:7" ht="15.75" customHeight="1" x14ac:dyDescent="0.25">
      <c r="B1099" s="100"/>
      <c r="C1099" s="100"/>
      <c r="D1099" s="100"/>
      <c r="E1099" s="101"/>
      <c r="F1099" s="102"/>
      <c r="G1099" s="114"/>
    </row>
    <row r="1100" spans="2:7" ht="15.75" customHeight="1" x14ac:dyDescent="0.25">
      <c r="B1100" s="100"/>
      <c r="C1100" s="100"/>
      <c r="D1100" s="100"/>
      <c r="E1100" s="101"/>
      <c r="F1100" s="102"/>
      <c r="G1100" s="114"/>
    </row>
    <row r="1101" spans="2:7" ht="15.75" customHeight="1" x14ac:dyDescent="0.25">
      <c r="B1101" s="100"/>
      <c r="C1101" s="100"/>
      <c r="D1101" s="100"/>
      <c r="E1101" s="101"/>
      <c r="F1101" s="102"/>
      <c r="G1101" s="114"/>
    </row>
    <row r="1102" spans="2:7" ht="15.75" customHeight="1" x14ac:dyDescent="0.25">
      <c r="B1102" s="100"/>
      <c r="C1102" s="100"/>
      <c r="D1102" s="100"/>
      <c r="E1102" s="101"/>
      <c r="F1102" s="102"/>
      <c r="G1102" s="114"/>
    </row>
    <row r="1103" spans="2:7" ht="15.75" customHeight="1" x14ac:dyDescent="0.25">
      <c r="B1103" s="100"/>
      <c r="C1103" s="100"/>
      <c r="D1103" s="100"/>
      <c r="E1103" s="101"/>
      <c r="F1103" s="102"/>
      <c r="G1103" s="114"/>
    </row>
    <row r="1104" spans="2:7" ht="15.75" customHeight="1" x14ac:dyDescent="0.25">
      <c r="B1104" s="100"/>
      <c r="C1104" s="100"/>
      <c r="D1104" s="100"/>
      <c r="E1104" s="101"/>
      <c r="F1104" s="102"/>
      <c r="G1104" s="114"/>
    </row>
    <row r="1105" spans="2:7" ht="15.75" customHeight="1" x14ac:dyDescent="0.25">
      <c r="B1105" s="100"/>
      <c r="C1105" s="100"/>
      <c r="D1105" s="100"/>
      <c r="E1105" s="101"/>
      <c r="F1105" s="102"/>
      <c r="G1105" s="114"/>
    </row>
    <row r="1106" spans="2:7" ht="15.75" customHeight="1" x14ac:dyDescent="0.25">
      <c r="B1106" s="100"/>
      <c r="C1106" s="100"/>
      <c r="D1106" s="100"/>
      <c r="E1106" s="101"/>
      <c r="F1106" s="102"/>
      <c r="G1106" s="114"/>
    </row>
    <row r="1107" spans="2:7" ht="15.75" customHeight="1" x14ac:dyDescent="0.25">
      <c r="B1107" s="100"/>
      <c r="C1107" s="100"/>
      <c r="D1107" s="100"/>
      <c r="E1107" s="101"/>
      <c r="F1107" s="102"/>
      <c r="G1107" s="114"/>
    </row>
    <row r="1108" spans="2:7" ht="15.75" customHeight="1" x14ac:dyDescent="0.25">
      <c r="B1108" s="100"/>
      <c r="C1108" s="100"/>
      <c r="D1108" s="100"/>
      <c r="E1108" s="101"/>
      <c r="F1108" s="102"/>
      <c r="G1108" s="114"/>
    </row>
    <row r="1109" spans="2:7" ht="15.75" customHeight="1" x14ac:dyDescent="0.25">
      <c r="B1109" s="100"/>
      <c r="C1109" s="100"/>
      <c r="D1109" s="100"/>
      <c r="E1109" s="101"/>
      <c r="F1109" s="102"/>
      <c r="G1109" s="114"/>
    </row>
    <row r="1110" spans="2:7" ht="15.75" customHeight="1" x14ac:dyDescent="0.25">
      <c r="B1110" s="100"/>
      <c r="C1110" s="100"/>
      <c r="D1110" s="100"/>
      <c r="E1110" s="101"/>
      <c r="F1110" s="102"/>
      <c r="G1110" s="114"/>
    </row>
    <row r="1111" spans="2:7" ht="15.75" customHeight="1" x14ac:dyDescent="0.25">
      <c r="B1111" s="100"/>
      <c r="C1111" s="100"/>
      <c r="D1111" s="100"/>
      <c r="E1111" s="101"/>
      <c r="F1111" s="102"/>
      <c r="G1111" s="114"/>
    </row>
    <row r="1112" spans="2:7" ht="15.75" customHeight="1" x14ac:dyDescent="0.25">
      <c r="B1112" s="100"/>
      <c r="C1112" s="100"/>
      <c r="D1112" s="100"/>
      <c r="E1112" s="101"/>
      <c r="F1112" s="102"/>
      <c r="G1112" s="114"/>
    </row>
    <row r="1113" spans="2:7" ht="15.75" customHeight="1" x14ac:dyDescent="0.25">
      <c r="B1113" s="100"/>
      <c r="C1113" s="100"/>
      <c r="D1113" s="100"/>
      <c r="E1113" s="101"/>
      <c r="F1113" s="102"/>
      <c r="G1113" s="114"/>
    </row>
    <row r="1114" spans="2:7" ht="15.75" customHeight="1" x14ac:dyDescent="0.25">
      <c r="B1114" s="100"/>
      <c r="C1114" s="100"/>
      <c r="D1114" s="100"/>
      <c r="E1114" s="101"/>
      <c r="F1114" s="102"/>
      <c r="G1114" s="114"/>
    </row>
    <row r="1115" spans="2:7" ht="15.75" customHeight="1" x14ac:dyDescent="0.25">
      <c r="B1115" s="100"/>
      <c r="C1115" s="100"/>
      <c r="D1115" s="100"/>
      <c r="E1115" s="101"/>
      <c r="F1115" s="102"/>
      <c r="G1115" s="114"/>
    </row>
    <row r="1116" spans="2:7" ht="15.75" customHeight="1" x14ac:dyDescent="0.25">
      <c r="B1116" s="100"/>
      <c r="C1116" s="100"/>
      <c r="D1116" s="100"/>
      <c r="E1116" s="101"/>
      <c r="F1116" s="102"/>
      <c r="G1116" s="114"/>
    </row>
    <row r="1117" spans="2:7" ht="15.75" customHeight="1" x14ac:dyDescent="0.25">
      <c r="B1117" s="100"/>
      <c r="C1117" s="100"/>
      <c r="D1117" s="100"/>
      <c r="E1117" s="101"/>
      <c r="F1117" s="102"/>
      <c r="G1117" s="114"/>
    </row>
    <row r="1118" spans="2:7" ht="15.75" customHeight="1" x14ac:dyDescent="0.25">
      <c r="B1118" s="100"/>
      <c r="C1118" s="100"/>
      <c r="D1118" s="100"/>
      <c r="E1118" s="101"/>
      <c r="F1118" s="102"/>
      <c r="G1118" s="114"/>
    </row>
    <row r="1119" spans="2:7" ht="15.75" customHeight="1" x14ac:dyDescent="0.25">
      <c r="B1119" s="100"/>
      <c r="C1119" s="100"/>
      <c r="D1119" s="100"/>
      <c r="E1119" s="101"/>
      <c r="F1119" s="102"/>
      <c r="G1119" s="114"/>
    </row>
    <row r="1120" spans="2:7" ht="15.75" customHeight="1" x14ac:dyDescent="0.25">
      <c r="B1120" s="100"/>
      <c r="C1120" s="100"/>
      <c r="D1120" s="100"/>
      <c r="E1120" s="101"/>
      <c r="F1120" s="102"/>
      <c r="G1120" s="114"/>
    </row>
    <row r="1121" spans="2:7" ht="15.75" customHeight="1" x14ac:dyDescent="0.25">
      <c r="B1121" s="100"/>
      <c r="C1121" s="100"/>
      <c r="D1121" s="100"/>
      <c r="E1121" s="101"/>
      <c r="F1121" s="102"/>
      <c r="G1121" s="114"/>
    </row>
    <row r="1122" spans="2:7" ht="15.75" customHeight="1" x14ac:dyDescent="0.25">
      <c r="B1122" s="100"/>
      <c r="C1122" s="100"/>
      <c r="D1122" s="100"/>
      <c r="E1122" s="101"/>
      <c r="F1122" s="102"/>
      <c r="G1122" s="114"/>
    </row>
    <row r="1123" spans="2:7" ht="15.75" customHeight="1" x14ac:dyDescent="0.25">
      <c r="B1123" s="100"/>
      <c r="C1123" s="100"/>
      <c r="D1123" s="100"/>
      <c r="E1123" s="101"/>
      <c r="F1123" s="102"/>
      <c r="G1123" s="114"/>
    </row>
    <row r="1124" spans="2:7" ht="15.75" customHeight="1" x14ac:dyDescent="0.25">
      <c r="B1124" s="100"/>
      <c r="C1124" s="100"/>
      <c r="D1124" s="100"/>
      <c r="E1124" s="101"/>
      <c r="F1124" s="102"/>
      <c r="G1124" s="114"/>
    </row>
    <row r="1125" spans="2:7" ht="15.75" customHeight="1" x14ac:dyDescent="0.25">
      <c r="B1125" s="100"/>
      <c r="C1125" s="100"/>
      <c r="D1125" s="100"/>
      <c r="E1125" s="101"/>
      <c r="F1125" s="102"/>
      <c r="G1125" s="114"/>
    </row>
    <row r="1126" spans="2:7" ht="15.75" customHeight="1" x14ac:dyDescent="0.25">
      <c r="B1126" s="100"/>
      <c r="C1126" s="100"/>
      <c r="D1126" s="100"/>
      <c r="E1126" s="101"/>
      <c r="F1126" s="102"/>
      <c r="G1126" s="114"/>
    </row>
    <row r="1127" spans="2:7" ht="15.75" customHeight="1" x14ac:dyDescent="0.25">
      <c r="B1127" s="100"/>
      <c r="C1127" s="100"/>
      <c r="D1127" s="100"/>
      <c r="E1127" s="101"/>
      <c r="F1127" s="102"/>
      <c r="G1127" s="114"/>
    </row>
    <row r="1128" spans="2:7" ht="15.75" customHeight="1" x14ac:dyDescent="0.25">
      <c r="B1128" s="100"/>
      <c r="C1128" s="100"/>
      <c r="D1128" s="100"/>
      <c r="E1128" s="101"/>
      <c r="F1128" s="102"/>
      <c r="G1128" s="114"/>
    </row>
    <row r="1129" spans="2:7" ht="15.75" customHeight="1" x14ac:dyDescent="0.25">
      <c r="B1129" s="100"/>
      <c r="C1129" s="100"/>
      <c r="D1129" s="100"/>
      <c r="E1129" s="101"/>
      <c r="F1129" s="102"/>
      <c r="G1129" s="114"/>
    </row>
    <row r="1130" spans="2:7" ht="15.75" customHeight="1" x14ac:dyDescent="0.25">
      <c r="B1130" s="100"/>
      <c r="C1130" s="100"/>
      <c r="D1130" s="100"/>
      <c r="E1130" s="101"/>
      <c r="F1130" s="102"/>
      <c r="G1130" s="114"/>
    </row>
    <row r="1131" spans="2:7" ht="15.75" customHeight="1" x14ac:dyDescent="0.25">
      <c r="B1131" s="100"/>
      <c r="C1131" s="100"/>
      <c r="D1131" s="100"/>
      <c r="E1131" s="101"/>
      <c r="F1131" s="102"/>
      <c r="G1131" s="114"/>
    </row>
    <row r="1132" spans="2:7" ht="15.75" customHeight="1" x14ac:dyDescent="0.25">
      <c r="B1132" s="100"/>
      <c r="C1132" s="100"/>
      <c r="D1132" s="100"/>
      <c r="E1132" s="101"/>
      <c r="F1132" s="102"/>
      <c r="G1132" s="114"/>
    </row>
    <row r="1133" spans="2:7" ht="15.75" customHeight="1" x14ac:dyDescent="0.25">
      <c r="B1133" s="100"/>
      <c r="C1133" s="100"/>
      <c r="D1133" s="100"/>
      <c r="E1133" s="101"/>
      <c r="F1133" s="102"/>
      <c r="G1133" s="114"/>
    </row>
    <row r="1134" spans="2:7" ht="15.75" customHeight="1" x14ac:dyDescent="0.25">
      <c r="B1134" s="100"/>
      <c r="C1134" s="100"/>
      <c r="D1134" s="100"/>
      <c r="E1134" s="101"/>
      <c r="F1134" s="102"/>
      <c r="G1134" s="114"/>
    </row>
    <row r="1135" spans="2:7" ht="15.75" customHeight="1" x14ac:dyDescent="0.25">
      <c r="B1135" s="100"/>
      <c r="C1135" s="100"/>
      <c r="D1135" s="100"/>
      <c r="E1135" s="101"/>
      <c r="F1135" s="102"/>
      <c r="G1135" s="114"/>
    </row>
    <row r="1136" spans="2:7" ht="15.75" customHeight="1" x14ac:dyDescent="0.25">
      <c r="B1136" s="100"/>
      <c r="C1136" s="100"/>
      <c r="D1136" s="100"/>
      <c r="E1136" s="101"/>
      <c r="F1136" s="102"/>
      <c r="G1136" s="114"/>
    </row>
    <row r="1137" spans="2:7" ht="15.75" customHeight="1" x14ac:dyDescent="0.25">
      <c r="B1137" s="100"/>
      <c r="C1137" s="100"/>
      <c r="D1137" s="100"/>
      <c r="E1137" s="101"/>
      <c r="F1137" s="102"/>
      <c r="G1137" s="114"/>
    </row>
    <row r="1138" spans="2:7" ht="15.75" customHeight="1" x14ac:dyDescent="0.25">
      <c r="B1138" s="100"/>
      <c r="C1138" s="100"/>
      <c r="D1138" s="100"/>
      <c r="E1138" s="101"/>
      <c r="F1138" s="102"/>
      <c r="G1138" s="114"/>
    </row>
    <row r="1139" spans="2:7" ht="15.75" customHeight="1" x14ac:dyDescent="0.25">
      <c r="B1139" s="100"/>
      <c r="C1139" s="100"/>
      <c r="D1139" s="100"/>
      <c r="E1139" s="101"/>
      <c r="F1139" s="102"/>
      <c r="G1139" s="114"/>
    </row>
    <row r="1140" spans="2:7" ht="15.75" customHeight="1" x14ac:dyDescent="0.25">
      <c r="B1140" s="100"/>
      <c r="C1140" s="100"/>
      <c r="D1140" s="100"/>
      <c r="E1140" s="101"/>
      <c r="F1140" s="102"/>
      <c r="G1140" s="114"/>
    </row>
    <row r="1141" spans="2:7" ht="15.75" customHeight="1" x14ac:dyDescent="0.25">
      <c r="B1141" s="100"/>
      <c r="C1141" s="100"/>
      <c r="D1141" s="100"/>
      <c r="E1141" s="101"/>
      <c r="F1141" s="102"/>
      <c r="G1141" s="114"/>
    </row>
    <row r="1142" spans="2:7" ht="15.75" customHeight="1" x14ac:dyDescent="0.25">
      <c r="B1142" s="100"/>
      <c r="C1142" s="100"/>
      <c r="D1142" s="100"/>
      <c r="E1142" s="101"/>
      <c r="F1142" s="102"/>
      <c r="G1142" s="114"/>
    </row>
    <row r="1143" spans="2:7" ht="15.75" customHeight="1" x14ac:dyDescent="0.25">
      <c r="B1143" s="100"/>
      <c r="C1143" s="100"/>
      <c r="D1143" s="100"/>
      <c r="E1143" s="101"/>
      <c r="F1143" s="102"/>
      <c r="G1143" s="114"/>
    </row>
    <row r="1144" spans="2:7" ht="15.75" customHeight="1" x14ac:dyDescent="0.25">
      <c r="B1144" s="100"/>
      <c r="C1144" s="100"/>
      <c r="D1144" s="100"/>
      <c r="E1144" s="101"/>
      <c r="F1144" s="102"/>
      <c r="G1144" s="114"/>
    </row>
    <row r="1145" spans="2:7" ht="15.75" customHeight="1" x14ac:dyDescent="0.25">
      <c r="B1145" s="100"/>
      <c r="C1145" s="100"/>
      <c r="D1145" s="100"/>
      <c r="E1145" s="101"/>
      <c r="F1145" s="102"/>
      <c r="G1145" s="114"/>
    </row>
    <row r="1146" spans="2:7" ht="15.75" customHeight="1" x14ac:dyDescent="0.25">
      <c r="B1146" s="100"/>
      <c r="C1146" s="100"/>
      <c r="D1146" s="100"/>
      <c r="E1146" s="101"/>
      <c r="F1146" s="102"/>
      <c r="G1146" s="114"/>
    </row>
    <row r="1147" spans="2:7" ht="15.75" customHeight="1" x14ac:dyDescent="0.25">
      <c r="B1147" s="100"/>
      <c r="C1147" s="100"/>
      <c r="D1147" s="100"/>
      <c r="E1147" s="101"/>
      <c r="F1147" s="102"/>
      <c r="G1147" s="114"/>
    </row>
    <row r="1148" spans="2:7" ht="15.75" customHeight="1" x14ac:dyDescent="0.25">
      <c r="B1148" s="100"/>
      <c r="C1148" s="100"/>
      <c r="D1148" s="100"/>
      <c r="E1148" s="101"/>
      <c r="F1148" s="102"/>
      <c r="G1148" s="114"/>
    </row>
    <row r="1149" spans="2:7" ht="15.75" customHeight="1" x14ac:dyDescent="0.25">
      <c r="B1149" s="100"/>
      <c r="C1149" s="100"/>
      <c r="D1149" s="100"/>
      <c r="E1149" s="101"/>
      <c r="F1149" s="102"/>
      <c r="G1149" s="114"/>
    </row>
    <row r="1150" spans="2:7" ht="15.75" customHeight="1" x14ac:dyDescent="0.25">
      <c r="B1150" s="100"/>
      <c r="C1150" s="100"/>
      <c r="D1150" s="100"/>
      <c r="E1150" s="101"/>
      <c r="F1150" s="102"/>
      <c r="G1150" s="114"/>
    </row>
    <row r="1151" spans="2:7" ht="15.75" customHeight="1" x14ac:dyDescent="0.25">
      <c r="B1151" s="100"/>
      <c r="C1151" s="100"/>
      <c r="D1151" s="100"/>
      <c r="E1151" s="101"/>
      <c r="F1151" s="102"/>
      <c r="G1151" s="114"/>
    </row>
    <row r="1152" spans="2:7" ht="15.75" customHeight="1" x14ac:dyDescent="0.25">
      <c r="B1152" s="100"/>
      <c r="C1152" s="100"/>
      <c r="D1152" s="100"/>
      <c r="E1152" s="101"/>
      <c r="F1152" s="102"/>
      <c r="G1152" s="114"/>
    </row>
    <row r="1153" spans="2:7" ht="15.75" customHeight="1" x14ac:dyDescent="0.25">
      <c r="B1153" s="100"/>
      <c r="C1153" s="100"/>
      <c r="D1153" s="100"/>
      <c r="E1153" s="101"/>
      <c r="F1153" s="102"/>
      <c r="G1153" s="114"/>
    </row>
    <row r="1154" spans="2:7" ht="15.75" customHeight="1" x14ac:dyDescent="0.25">
      <c r="B1154" s="100"/>
      <c r="C1154" s="100"/>
      <c r="D1154" s="100"/>
      <c r="E1154" s="101"/>
      <c r="F1154" s="102"/>
      <c r="G1154" s="114"/>
    </row>
    <row r="1155" spans="2:7" ht="15.75" customHeight="1" x14ac:dyDescent="0.25">
      <c r="B1155" s="100"/>
      <c r="C1155" s="100"/>
      <c r="D1155" s="100"/>
      <c r="E1155" s="101"/>
      <c r="F1155" s="102"/>
      <c r="G1155" s="114"/>
    </row>
    <row r="1156" spans="2:7" ht="15.75" customHeight="1" x14ac:dyDescent="0.25">
      <c r="B1156" s="100"/>
      <c r="C1156" s="100"/>
      <c r="D1156" s="100"/>
      <c r="E1156" s="101"/>
      <c r="F1156" s="102"/>
      <c r="G1156" s="114"/>
    </row>
    <row r="1157" spans="2:7" ht="15.75" customHeight="1" x14ac:dyDescent="0.25">
      <c r="B1157" s="100"/>
      <c r="C1157" s="100"/>
      <c r="D1157" s="100"/>
      <c r="E1157" s="101"/>
      <c r="F1157" s="102"/>
      <c r="G1157" s="114"/>
    </row>
    <row r="1158" spans="2:7" ht="15.75" customHeight="1" x14ac:dyDescent="0.25">
      <c r="B1158" s="100"/>
      <c r="C1158" s="100"/>
      <c r="D1158" s="100"/>
      <c r="E1158" s="101"/>
      <c r="F1158" s="102"/>
      <c r="G1158" s="114"/>
    </row>
    <row r="1159" spans="2:7" ht="15.75" customHeight="1" x14ac:dyDescent="0.25">
      <c r="B1159" s="100"/>
      <c r="C1159" s="100"/>
      <c r="D1159" s="100"/>
      <c r="E1159" s="101"/>
      <c r="F1159" s="102"/>
      <c r="G1159" s="114"/>
    </row>
    <row r="1160" spans="2:7" ht="15.75" customHeight="1" x14ac:dyDescent="0.25">
      <c r="B1160" s="100"/>
      <c r="C1160" s="100"/>
      <c r="D1160" s="100"/>
      <c r="E1160" s="101"/>
      <c r="F1160" s="102"/>
      <c r="G1160" s="114"/>
    </row>
    <row r="1161" spans="2:7" ht="15.75" customHeight="1" x14ac:dyDescent="0.25">
      <c r="B1161" s="100"/>
      <c r="C1161" s="100"/>
      <c r="D1161" s="100"/>
      <c r="E1161" s="101"/>
      <c r="F1161" s="102"/>
      <c r="G1161" s="114"/>
    </row>
    <row r="1162" spans="2:7" ht="15.75" customHeight="1" x14ac:dyDescent="0.25">
      <c r="B1162" s="100"/>
      <c r="C1162" s="100"/>
      <c r="D1162" s="100"/>
      <c r="E1162" s="101"/>
      <c r="F1162" s="102"/>
      <c r="G1162" s="114"/>
    </row>
    <row r="1163" spans="2:7" ht="15.75" customHeight="1" x14ac:dyDescent="0.25">
      <c r="B1163" s="100"/>
      <c r="C1163" s="100"/>
      <c r="D1163" s="100"/>
      <c r="E1163" s="101"/>
      <c r="F1163" s="102"/>
      <c r="G1163" s="114"/>
    </row>
    <row r="1164" spans="2:7" ht="15.75" customHeight="1" x14ac:dyDescent="0.25">
      <c r="B1164" s="100"/>
      <c r="C1164" s="100"/>
      <c r="D1164" s="100"/>
      <c r="E1164" s="101"/>
      <c r="F1164" s="102"/>
      <c r="G1164" s="114"/>
    </row>
    <row r="1165" spans="2:7" ht="15.75" customHeight="1" x14ac:dyDescent="0.25">
      <c r="B1165" s="100"/>
      <c r="C1165" s="100"/>
      <c r="D1165" s="100"/>
      <c r="E1165" s="101"/>
      <c r="F1165" s="102"/>
      <c r="G1165" s="114"/>
    </row>
    <row r="1166" spans="2:7" ht="15.75" customHeight="1" x14ac:dyDescent="0.25">
      <c r="B1166" s="100"/>
      <c r="C1166" s="100"/>
      <c r="D1166" s="100"/>
      <c r="E1166" s="101"/>
      <c r="F1166" s="102"/>
      <c r="G1166" s="114"/>
    </row>
    <row r="1167" spans="2:7" ht="15.75" customHeight="1" x14ac:dyDescent="0.25">
      <c r="B1167" s="100"/>
      <c r="C1167" s="100"/>
      <c r="D1167" s="100"/>
      <c r="E1167" s="101"/>
      <c r="F1167" s="102"/>
      <c r="G1167" s="114"/>
    </row>
    <row r="1168" spans="2:7" ht="15.75" customHeight="1" x14ac:dyDescent="0.25">
      <c r="B1168" s="100"/>
      <c r="C1168" s="100"/>
      <c r="D1168" s="100"/>
      <c r="E1168" s="101"/>
      <c r="F1168" s="102"/>
      <c r="G1168" s="114"/>
    </row>
    <row r="1169" spans="2:7" ht="15.75" customHeight="1" x14ac:dyDescent="0.25">
      <c r="B1169" s="100"/>
      <c r="C1169" s="100"/>
      <c r="D1169" s="100"/>
      <c r="E1169" s="101"/>
      <c r="F1169" s="102"/>
      <c r="G1169" s="114"/>
    </row>
    <row r="1170" spans="2:7" ht="15.75" customHeight="1" x14ac:dyDescent="0.25">
      <c r="B1170" s="100"/>
      <c r="C1170" s="100"/>
      <c r="D1170" s="100"/>
      <c r="E1170" s="101"/>
      <c r="F1170" s="102"/>
      <c r="G1170" s="114"/>
    </row>
    <row r="1171" spans="2:7" ht="15.75" customHeight="1" x14ac:dyDescent="0.25">
      <c r="B1171" s="100"/>
      <c r="C1171" s="100"/>
      <c r="D1171" s="100"/>
      <c r="E1171" s="101"/>
      <c r="F1171" s="102"/>
      <c r="G1171" s="114"/>
    </row>
    <row r="1172" spans="2:7" ht="15.75" customHeight="1" x14ac:dyDescent="0.25">
      <c r="B1172" s="100"/>
      <c r="C1172" s="100"/>
      <c r="D1172" s="100"/>
      <c r="E1172" s="101"/>
      <c r="F1172" s="102"/>
      <c r="G1172" s="114"/>
    </row>
    <row r="1173" spans="2:7" ht="15.75" customHeight="1" x14ac:dyDescent="0.25">
      <c r="B1173" s="100"/>
      <c r="C1173" s="100"/>
      <c r="D1173" s="100"/>
      <c r="E1173" s="101"/>
      <c r="F1173" s="102"/>
      <c r="G1173" s="114"/>
    </row>
    <row r="1174" spans="2:7" ht="15.75" customHeight="1" x14ac:dyDescent="0.25">
      <c r="B1174" s="100"/>
      <c r="C1174" s="100"/>
      <c r="D1174" s="100"/>
      <c r="E1174" s="101"/>
      <c r="F1174" s="102"/>
      <c r="G1174" s="114"/>
    </row>
    <row r="1175" spans="2:7" ht="15.75" customHeight="1" x14ac:dyDescent="0.25">
      <c r="B1175" s="100"/>
      <c r="C1175" s="100"/>
      <c r="D1175" s="100"/>
      <c r="E1175" s="101"/>
      <c r="F1175" s="102"/>
      <c r="G1175" s="114"/>
    </row>
    <row r="1176" spans="2:7" ht="15.75" customHeight="1" x14ac:dyDescent="0.25">
      <c r="B1176" s="100"/>
      <c r="C1176" s="100"/>
      <c r="D1176" s="100"/>
      <c r="E1176" s="101"/>
      <c r="F1176" s="102"/>
      <c r="G1176" s="114"/>
    </row>
    <row r="1177" spans="2:7" ht="15.75" customHeight="1" x14ac:dyDescent="0.25">
      <c r="B1177" s="100"/>
      <c r="C1177" s="100"/>
      <c r="D1177" s="100"/>
      <c r="E1177" s="101"/>
      <c r="F1177" s="102"/>
      <c r="G1177" s="114"/>
    </row>
    <row r="1178" spans="2:7" ht="15.75" customHeight="1" x14ac:dyDescent="0.25">
      <c r="B1178" s="100"/>
      <c r="C1178" s="100"/>
      <c r="D1178" s="100"/>
      <c r="E1178" s="101"/>
      <c r="F1178" s="102"/>
      <c r="G1178" s="114"/>
    </row>
    <row r="1179" spans="2:7" ht="15.75" customHeight="1" x14ac:dyDescent="0.25">
      <c r="B1179" s="100"/>
      <c r="C1179" s="100"/>
      <c r="D1179" s="100"/>
      <c r="E1179" s="101"/>
      <c r="F1179" s="102"/>
      <c r="G1179" s="114"/>
    </row>
    <row r="1180" spans="2:7" ht="15.75" customHeight="1" x14ac:dyDescent="0.25">
      <c r="B1180" s="100"/>
      <c r="C1180" s="100"/>
      <c r="D1180" s="100"/>
      <c r="E1180" s="101"/>
      <c r="F1180" s="102"/>
      <c r="G1180" s="114"/>
    </row>
    <row r="1181" spans="2:7" ht="15.75" customHeight="1" x14ac:dyDescent="0.25">
      <c r="B1181" s="100"/>
      <c r="C1181" s="100"/>
      <c r="D1181" s="100"/>
      <c r="E1181" s="101"/>
      <c r="F1181" s="102"/>
      <c r="G1181" s="114"/>
    </row>
    <row r="1182" spans="2:7" ht="15.75" customHeight="1" x14ac:dyDescent="0.25">
      <c r="B1182" s="100"/>
      <c r="C1182" s="100"/>
      <c r="D1182" s="100"/>
      <c r="E1182" s="101"/>
      <c r="F1182" s="102"/>
      <c r="G1182" s="114"/>
    </row>
    <row r="1183" spans="2:7" ht="15.75" customHeight="1" x14ac:dyDescent="0.25">
      <c r="B1183" s="100"/>
      <c r="C1183" s="100"/>
      <c r="D1183" s="100"/>
      <c r="E1183" s="101"/>
      <c r="F1183" s="102"/>
      <c r="G1183" s="114"/>
    </row>
    <row r="1184" spans="2:7" ht="15.75" customHeight="1" x14ac:dyDescent="0.25">
      <c r="B1184" s="100"/>
      <c r="C1184" s="100"/>
      <c r="D1184" s="100"/>
      <c r="E1184" s="101"/>
      <c r="F1184" s="102"/>
      <c r="G1184" s="114"/>
    </row>
    <row r="1185" spans="2:7" ht="15.75" customHeight="1" x14ac:dyDescent="0.25">
      <c r="B1185" s="100"/>
      <c r="C1185" s="100"/>
      <c r="D1185" s="100"/>
      <c r="E1185" s="101"/>
      <c r="F1185" s="102"/>
      <c r="G1185" s="114"/>
    </row>
    <row r="1186" spans="2:7" ht="15.75" customHeight="1" x14ac:dyDescent="0.25">
      <c r="B1186" s="100"/>
      <c r="C1186" s="100"/>
      <c r="D1186" s="100"/>
      <c r="E1186" s="101"/>
      <c r="F1186" s="102"/>
      <c r="G1186" s="114"/>
    </row>
    <row r="1187" spans="2:7" ht="15.75" customHeight="1" x14ac:dyDescent="0.25">
      <c r="B1187" s="100"/>
      <c r="C1187" s="100"/>
      <c r="D1187" s="100"/>
      <c r="E1187" s="101"/>
      <c r="F1187" s="102"/>
      <c r="G1187" s="114"/>
    </row>
    <row r="1188" spans="2:7" ht="15.75" customHeight="1" x14ac:dyDescent="0.25">
      <c r="B1188" s="100"/>
      <c r="C1188" s="100"/>
      <c r="D1188" s="100"/>
      <c r="E1188" s="101"/>
      <c r="F1188" s="102"/>
      <c r="G1188" s="114"/>
    </row>
    <row r="1189" spans="2:7" ht="15.75" customHeight="1" x14ac:dyDescent="0.25">
      <c r="B1189" s="100"/>
      <c r="C1189" s="100"/>
      <c r="D1189" s="100"/>
      <c r="E1189" s="101"/>
      <c r="F1189" s="102"/>
      <c r="G1189" s="114"/>
    </row>
    <row r="1190" spans="2:7" ht="15.75" customHeight="1" x14ac:dyDescent="0.25">
      <c r="B1190" s="100"/>
      <c r="C1190" s="100"/>
      <c r="D1190" s="100"/>
      <c r="E1190" s="101"/>
      <c r="F1190" s="102"/>
      <c r="G1190" s="114"/>
    </row>
    <row r="1191" spans="2:7" ht="15.75" customHeight="1" x14ac:dyDescent="0.25">
      <c r="B1191" s="100"/>
      <c r="C1191" s="100"/>
      <c r="D1191" s="100"/>
      <c r="E1191" s="101"/>
      <c r="F1191" s="102"/>
      <c r="G1191" s="114"/>
    </row>
    <row r="1192" spans="2:7" ht="15.75" customHeight="1" x14ac:dyDescent="0.25">
      <c r="B1192" s="100"/>
      <c r="C1192" s="100"/>
      <c r="D1192" s="100"/>
      <c r="E1192" s="101"/>
      <c r="F1192" s="102"/>
      <c r="G1192" s="114"/>
    </row>
    <row r="1193" spans="2:7" ht="15.75" customHeight="1" x14ac:dyDescent="0.25">
      <c r="B1193" s="100"/>
      <c r="C1193" s="100"/>
      <c r="D1193" s="100"/>
      <c r="E1193" s="101"/>
      <c r="F1193" s="102"/>
      <c r="G1193" s="114"/>
    </row>
    <row r="1194" spans="2:7" ht="15.75" customHeight="1" x14ac:dyDescent="0.25">
      <c r="B1194" s="100"/>
      <c r="C1194" s="100"/>
      <c r="D1194" s="100"/>
      <c r="E1194" s="101"/>
      <c r="F1194" s="102"/>
      <c r="G1194" s="114"/>
    </row>
    <row r="1195" spans="2:7" ht="15.75" customHeight="1" x14ac:dyDescent="0.25">
      <c r="B1195" s="100"/>
      <c r="C1195" s="100"/>
      <c r="D1195" s="100"/>
      <c r="E1195" s="101"/>
      <c r="F1195" s="102"/>
      <c r="G1195" s="114"/>
    </row>
    <row r="1196" spans="2:7" ht="15.75" customHeight="1" x14ac:dyDescent="0.25">
      <c r="B1196" s="100"/>
      <c r="C1196" s="100"/>
      <c r="D1196" s="100"/>
      <c r="E1196" s="101"/>
      <c r="F1196" s="102"/>
      <c r="G1196" s="114"/>
    </row>
    <row r="1197" spans="2:7" ht="15.75" customHeight="1" x14ac:dyDescent="0.25">
      <c r="B1197" s="100"/>
      <c r="C1197" s="100"/>
      <c r="D1197" s="100"/>
      <c r="E1197" s="101"/>
      <c r="F1197" s="102"/>
      <c r="G1197" s="114"/>
    </row>
    <row r="1198" spans="2:7" ht="15.75" customHeight="1" x14ac:dyDescent="0.25">
      <c r="B1198" s="100"/>
      <c r="C1198" s="100"/>
      <c r="D1198" s="100"/>
      <c r="E1198" s="101"/>
      <c r="F1198" s="102"/>
      <c r="G1198" s="114"/>
    </row>
    <row r="1199" spans="2:7" ht="15.75" customHeight="1" x14ac:dyDescent="0.25">
      <c r="B1199" s="100"/>
      <c r="C1199" s="100"/>
      <c r="D1199" s="100"/>
      <c r="E1199" s="101"/>
      <c r="F1199" s="102"/>
      <c r="G1199" s="114"/>
    </row>
    <row r="1200" spans="2:7" ht="15.75" customHeight="1" x14ac:dyDescent="0.25">
      <c r="B1200" s="100"/>
      <c r="C1200" s="100"/>
      <c r="D1200" s="100"/>
      <c r="E1200" s="101"/>
      <c r="F1200" s="102"/>
      <c r="G1200" s="114"/>
    </row>
    <row r="1201" spans="2:7" ht="15.75" customHeight="1" x14ac:dyDescent="0.25">
      <c r="B1201" s="100"/>
      <c r="C1201" s="100"/>
      <c r="D1201" s="100"/>
      <c r="E1201" s="101"/>
      <c r="F1201" s="102"/>
      <c r="G1201" s="114"/>
    </row>
    <row r="1202" spans="2:7" ht="15.75" customHeight="1" x14ac:dyDescent="0.25">
      <c r="B1202" s="100"/>
      <c r="C1202" s="100"/>
      <c r="D1202" s="100"/>
      <c r="E1202" s="101"/>
      <c r="F1202" s="102"/>
      <c r="G1202" s="114"/>
    </row>
    <row r="1203" spans="2:7" ht="15.75" customHeight="1" x14ac:dyDescent="0.25">
      <c r="B1203" s="100"/>
      <c r="C1203" s="100"/>
      <c r="D1203" s="100"/>
      <c r="E1203" s="101"/>
      <c r="F1203" s="102"/>
      <c r="G1203" s="114"/>
    </row>
    <row r="1204" spans="2:7" ht="15.75" customHeight="1" x14ac:dyDescent="0.25">
      <c r="B1204" s="100"/>
      <c r="C1204" s="100"/>
      <c r="D1204" s="100"/>
      <c r="E1204" s="101"/>
      <c r="F1204" s="102"/>
      <c r="G1204" s="114"/>
    </row>
    <row r="1205" spans="2:7" ht="15.75" customHeight="1" x14ac:dyDescent="0.25">
      <c r="B1205" s="100"/>
      <c r="C1205" s="100"/>
      <c r="D1205" s="100"/>
      <c r="E1205" s="101"/>
      <c r="F1205" s="102"/>
      <c r="G1205" s="114"/>
    </row>
    <row r="1206" spans="2:7" ht="15.75" customHeight="1" x14ac:dyDescent="0.25">
      <c r="B1206" s="100"/>
      <c r="C1206" s="100"/>
      <c r="D1206" s="100"/>
      <c r="E1206" s="101"/>
      <c r="F1206" s="102"/>
      <c r="G1206" s="114"/>
    </row>
    <row r="1207" spans="2:7" ht="15.75" customHeight="1" x14ac:dyDescent="0.25">
      <c r="B1207" s="100"/>
      <c r="C1207" s="100"/>
      <c r="D1207" s="100"/>
      <c r="E1207" s="101"/>
      <c r="F1207" s="102"/>
      <c r="G1207" s="114"/>
    </row>
    <row r="1208" spans="2:7" ht="15.75" customHeight="1" x14ac:dyDescent="0.25">
      <c r="B1208" s="100"/>
      <c r="C1208" s="100"/>
      <c r="D1208" s="100"/>
      <c r="E1208" s="101"/>
      <c r="F1208" s="102"/>
      <c r="G1208" s="114"/>
    </row>
    <row r="1209" spans="2:7" ht="15.75" customHeight="1" x14ac:dyDescent="0.25">
      <c r="B1209" s="100"/>
      <c r="C1209" s="100"/>
      <c r="D1209" s="100"/>
      <c r="E1209" s="101"/>
      <c r="F1209" s="102"/>
      <c r="G1209" s="114"/>
    </row>
    <row r="1210" spans="2:7" ht="15.75" customHeight="1" x14ac:dyDescent="0.25">
      <c r="B1210" s="100"/>
      <c r="C1210" s="100"/>
      <c r="D1210" s="100"/>
      <c r="E1210" s="101"/>
      <c r="F1210" s="102"/>
      <c r="G1210" s="114"/>
    </row>
    <row r="1211" spans="2:7" ht="15.75" customHeight="1" x14ac:dyDescent="0.25">
      <c r="B1211" s="100"/>
      <c r="C1211" s="100"/>
      <c r="D1211" s="100"/>
      <c r="E1211" s="101"/>
      <c r="F1211" s="102"/>
      <c r="G1211" s="114"/>
    </row>
    <row r="1212" spans="2:7" ht="15.75" customHeight="1" x14ac:dyDescent="0.25">
      <c r="B1212" s="100"/>
      <c r="C1212" s="100"/>
      <c r="D1212" s="100"/>
      <c r="E1212" s="101"/>
      <c r="F1212" s="102"/>
      <c r="G1212" s="114"/>
    </row>
    <row r="1213" spans="2:7" ht="15.75" customHeight="1" x14ac:dyDescent="0.25">
      <c r="B1213" s="100"/>
      <c r="C1213" s="100"/>
      <c r="D1213" s="100"/>
      <c r="E1213" s="101"/>
      <c r="F1213" s="102"/>
      <c r="G1213" s="114"/>
    </row>
    <row r="1214" spans="2:7" ht="15.75" customHeight="1" x14ac:dyDescent="0.25">
      <c r="B1214" s="100"/>
      <c r="C1214" s="100"/>
      <c r="D1214" s="100"/>
      <c r="E1214" s="101"/>
      <c r="F1214" s="102"/>
      <c r="G1214" s="114"/>
    </row>
    <row r="1215" spans="2:7" ht="15.75" customHeight="1" x14ac:dyDescent="0.25">
      <c r="B1215" s="100"/>
      <c r="C1215" s="100"/>
      <c r="D1215" s="100"/>
      <c r="E1215" s="101"/>
      <c r="F1215" s="102"/>
      <c r="G1215" s="114"/>
    </row>
    <row r="1216" spans="2:7" ht="15.75" customHeight="1" x14ac:dyDescent="0.25">
      <c r="B1216" s="100"/>
      <c r="C1216" s="100"/>
      <c r="D1216" s="100"/>
      <c r="E1216" s="101"/>
      <c r="F1216" s="102"/>
      <c r="G1216" s="114"/>
    </row>
    <row r="1217" spans="2:7" ht="15.75" customHeight="1" x14ac:dyDescent="0.25">
      <c r="B1217" s="100"/>
      <c r="C1217" s="100"/>
      <c r="D1217" s="100"/>
      <c r="E1217" s="101"/>
      <c r="F1217" s="102"/>
      <c r="G1217" s="114"/>
    </row>
    <row r="1218" spans="2:7" ht="15.75" customHeight="1" x14ac:dyDescent="0.25">
      <c r="B1218" s="100"/>
      <c r="C1218" s="100"/>
      <c r="D1218" s="100"/>
      <c r="E1218" s="101"/>
      <c r="F1218" s="102"/>
      <c r="G1218" s="114"/>
    </row>
    <row r="1219" spans="2:7" ht="15.75" customHeight="1" x14ac:dyDescent="0.25">
      <c r="B1219" s="100"/>
      <c r="C1219" s="100"/>
      <c r="D1219" s="100"/>
      <c r="E1219" s="101"/>
      <c r="F1219" s="102"/>
      <c r="G1219" s="114"/>
    </row>
    <row r="1220" spans="2:7" ht="15.75" customHeight="1" x14ac:dyDescent="0.25">
      <c r="B1220" s="100"/>
      <c r="C1220" s="100"/>
      <c r="D1220" s="100"/>
      <c r="E1220" s="101"/>
      <c r="F1220" s="102"/>
      <c r="G1220" s="114"/>
    </row>
    <row r="1221" spans="2:7" ht="15.75" customHeight="1" x14ac:dyDescent="0.25">
      <c r="B1221" s="100"/>
      <c r="C1221" s="100"/>
      <c r="D1221" s="100"/>
      <c r="E1221" s="101"/>
      <c r="F1221" s="102"/>
      <c r="G1221" s="114"/>
    </row>
    <row r="1222" spans="2:7" ht="15.75" customHeight="1" x14ac:dyDescent="0.25">
      <c r="B1222" s="100"/>
      <c r="C1222" s="100"/>
      <c r="D1222" s="100"/>
      <c r="E1222" s="101"/>
      <c r="F1222" s="102"/>
      <c r="G1222" s="114"/>
    </row>
    <row r="1223" spans="2:7" ht="15.75" customHeight="1" x14ac:dyDescent="0.25">
      <c r="B1223" s="100"/>
      <c r="C1223" s="100"/>
      <c r="D1223" s="100"/>
      <c r="E1223" s="101"/>
      <c r="F1223" s="102"/>
      <c r="G1223" s="114"/>
    </row>
    <row r="1224" spans="2:7" ht="15.75" customHeight="1" x14ac:dyDescent="0.25">
      <c r="B1224" s="100"/>
      <c r="C1224" s="100"/>
      <c r="D1224" s="100"/>
      <c r="E1224" s="101"/>
      <c r="F1224" s="102"/>
      <c r="G1224" s="114"/>
    </row>
    <row r="1225" spans="2:7" ht="15.75" customHeight="1" x14ac:dyDescent="0.25">
      <c r="B1225" s="100"/>
      <c r="C1225" s="100"/>
      <c r="D1225" s="100"/>
      <c r="E1225" s="101"/>
      <c r="F1225" s="102"/>
      <c r="G1225" s="114"/>
    </row>
    <row r="1226" spans="2:7" ht="15.75" customHeight="1" x14ac:dyDescent="0.25">
      <c r="B1226" s="100"/>
      <c r="C1226" s="100"/>
      <c r="D1226" s="100"/>
      <c r="E1226" s="100"/>
      <c r="F1226" s="102"/>
      <c r="G1226" s="114"/>
    </row>
    <row r="1227" spans="2:7" ht="15.75" customHeight="1" x14ac:dyDescent="0.25">
      <c r="B1227" s="100"/>
      <c r="C1227" s="100"/>
      <c r="D1227" s="100"/>
      <c r="E1227" s="100"/>
      <c r="F1227" s="102"/>
      <c r="G1227" s="114"/>
    </row>
    <row r="1228" spans="2:7" ht="15.75" customHeight="1" x14ac:dyDescent="0.25">
      <c r="B1228" s="100"/>
      <c r="C1228" s="100"/>
      <c r="D1228" s="100"/>
      <c r="E1228" s="100"/>
      <c r="F1228" s="102"/>
      <c r="G1228" s="114"/>
    </row>
    <row r="1229" spans="2:7" ht="15.75" customHeight="1" x14ac:dyDescent="0.25">
      <c r="B1229" s="100"/>
      <c r="C1229" s="100"/>
      <c r="D1229" s="100"/>
      <c r="E1229" s="100"/>
      <c r="F1229" s="102"/>
      <c r="G1229" s="114"/>
    </row>
    <row r="1230" spans="2:7" ht="15.75" customHeight="1" x14ac:dyDescent="0.25">
      <c r="B1230" s="100"/>
      <c r="C1230" s="100"/>
      <c r="D1230" s="100"/>
      <c r="E1230" s="100"/>
      <c r="F1230" s="102"/>
      <c r="G1230" s="114"/>
    </row>
    <row r="1231" spans="2:7" ht="15.75" customHeight="1" x14ac:dyDescent="0.25">
      <c r="B1231" s="100"/>
      <c r="C1231" s="100"/>
      <c r="D1231" s="100"/>
      <c r="E1231" s="100"/>
      <c r="F1231" s="102"/>
      <c r="G1231" s="114"/>
    </row>
    <row r="1232" spans="2:7" ht="15.75" customHeight="1" x14ac:dyDescent="0.25">
      <c r="B1232" s="100"/>
      <c r="C1232" s="100"/>
      <c r="D1232" s="100"/>
      <c r="E1232" s="100"/>
      <c r="F1232" s="102"/>
      <c r="G1232" s="114"/>
    </row>
    <row r="1233" spans="2:7" ht="15.75" customHeight="1" x14ac:dyDescent="0.25">
      <c r="B1233" s="100"/>
      <c r="C1233" s="100"/>
      <c r="D1233" s="100"/>
      <c r="E1233" s="100"/>
      <c r="F1233" s="102"/>
      <c r="G1233" s="114"/>
    </row>
    <row r="1234" spans="2:7" ht="15.75" customHeight="1" x14ac:dyDescent="0.25">
      <c r="B1234" s="100"/>
      <c r="C1234" s="100"/>
      <c r="D1234" s="100"/>
      <c r="E1234" s="100"/>
      <c r="F1234" s="102"/>
      <c r="G1234" s="114"/>
    </row>
    <row r="1235" spans="2:7" ht="15.75" customHeight="1" x14ac:dyDescent="0.25">
      <c r="B1235" s="100"/>
      <c r="C1235" s="100"/>
      <c r="D1235" s="100"/>
      <c r="E1235" s="100"/>
      <c r="F1235" s="102"/>
      <c r="G1235" s="114"/>
    </row>
    <row r="1236" spans="2:7" ht="15.75" customHeight="1" x14ac:dyDescent="0.25">
      <c r="B1236" s="100"/>
      <c r="C1236" s="100"/>
      <c r="D1236" s="100"/>
      <c r="E1236" s="100"/>
      <c r="F1236" s="102"/>
      <c r="G1236" s="114"/>
    </row>
    <row r="1237" spans="2:7" ht="15.75" customHeight="1" x14ac:dyDescent="0.25">
      <c r="B1237" s="100"/>
      <c r="C1237" s="100"/>
      <c r="D1237" s="100"/>
      <c r="E1237" s="100"/>
      <c r="F1237" s="102"/>
      <c r="G1237" s="114"/>
    </row>
    <row r="1238" spans="2:7" ht="15.75" customHeight="1" x14ac:dyDescent="0.25">
      <c r="B1238" s="100"/>
      <c r="C1238" s="100"/>
      <c r="D1238" s="100"/>
      <c r="E1238" s="100"/>
      <c r="F1238" s="102"/>
      <c r="G1238" s="114"/>
    </row>
    <row r="1239" spans="2:7" ht="15.75" customHeight="1" x14ac:dyDescent="0.25">
      <c r="B1239" s="100"/>
      <c r="C1239" s="100"/>
      <c r="D1239" s="100"/>
      <c r="E1239" s="100"/>
      <c r="F1239" s="102"/>
      <c r="G1239" s="114"/>
    </row>
    <row r="1240" spans="2:7" ht="15.75" customHeight="1" x14ac:dyDescent="0.25">
      <c r="B1240" s="100"/>
      <c r="C1240" s="100"/>
      <c r="D1240" s="100"/>
      <c r="E1240" s="100"/>
      <c r="F1240" s="102"/>
      <c r="G1240" s="114"/>
    </row>
    <row r="1241" spans="2:7" ht="15.75" customHeight="1" x14ac:dyDescent="0.25">
      <c r="B1241" s="100"/>
      <c r="C1241" s="100"/>
      <c r="D1241" s="100"/>
      <c r="E1241" s="100"/>
      <c r="F1241" s="102"/>
      <c r="G1241" s="114"/>
    </row>
    <row r="1242" spans="2:7" ht="15.75" customHeight="1" x14ac:dyDescent="0.25">
      <c r="B1242" s="100"/>
      <c r="C1242" s="100"/>
      <c r="D1242" s="100"/>
      <c r="E1242" s="100"/>
      <c r="F1242" s="102"/>
      <c r="G1242" s="114"/>
    </row>
    <row r="1243" spans="2:7" ht="15.75" customHeight="1" x14ac:dyDescent="0.25">
      <c r="B1243" s="100"/>
      <c r="C1243" s="100"/>
      <c r="D1243" s="100"/>
      <c r="E1243" s="100"/>
      <c r="F1243" s="102"/>
      <c r="G1243" s="114"/>
    </row>
    <row r="1244" spans="2:7" ht="15.75" customHeight="1" x14ac:dyDescent="0.25">
      <c r="B1244" s="100"/>
      <c r="C1244" s="100"/>
      <c r="D1244" s="100"/>
      <c r="E1244" s="100"/>
      <c r="F1244" s="102"/>
      <c r="G1244" s="114"/>
    </row>
    <row r="1245" spans="2:7" ht="15.75" customHeight="1" x14ac:dyDescent="0.25">
      <c r="B1245" s="100"/>
      <c r="C1245" s="100"/>
      <c r="D1245" s="100"/>
      <c r="E1245" s="100"/>
      <c r="F1245" s="102"/>
      <c r="G1245" s="114"/>
    </row>
    <row r="1246" spans="2:7" ht="15.75" customHeight="1" x14ac:dyDescent="0.25">
      <c r="B1246" s="100"/>
      <c r="C1246" s="100"/>
      <c r="D1246" s="100"/>
      <c r="E1246" s="100"/>
      <c r="F1246" s="102"/>
      <c r="G1246" s="114"/>
    </row>
    <row r="1247" spans="2:7" ht="15.75" customHeight="1" x14ac:dyDescent="0.25">
      <c r="B1247" s="100"/>
      <c r="C1247" s="100"/>
      <c r="D1247" s="100"/>
      <c r="E1247" s="100"/>
      <c r="F1247" s="102"/>
      <c r="G1247" s="114"/>
    </row>
    <row r="1248" spans="2:7" ht="15.75" customHeight="1" x14ac:dyDescent="0.25">
      <c r="B1248" s="100"/>
      <c r="C1248" s="100"/>
      <c r="D1248" s="100"/>
      <c r="E1248" s="100"/>
      <c r="F1248" s="102"/>
      <c r="G1248" s="114"/>
    </row>
    <row r="1249" spans="2:7" ht="15.75" customHeight="1" x14ac:dyDescent="0.25">
      <c r="B1249" s="100"/>
      <c r="C1249" s="100"/>
      <c r="D1249" s="100"/>
      <c r="E1249" s="100"/>
      <c r="F1249" s="102"/>
      <c r="G1249" s="114"/>
    </row>
    <row r="1250" spans="2:7" ht="15.75" customHeight="1" x14ac:dyDescent="0.25">
      <c r="B1250" s="100"/>
      <c r="C1250" s="100"/>
      <c r="D1250" s="100"/>
      <c r="E1250" s="100"/>
      <c r="F1250" s="102"/>
      <c r="G1250" s="114"/>
    </row>
    <row r="1251" spans="2:7" ht="15.75" customHeight="1" x14ac:dyDescent="0.25">
      <c r="B1251" s="100"/>
      <c r="C1251" s="100"/>
      <c r="D1251" s="100"/>
      <c r="E1251" s="100"/>
      <c r="F1251" s="102"/>
      <c r="G1251" s="114"/>
    </row>
    <row r="1252" spans="2:7" ht="15.75" customHeight="1" x14ac:dyDescent="0.25">
      <c r="B1252" s="100"/>
      <c r="C1252" s="100"/>
      <c r="D1252" s="100"/>
      <c r="E1252" s="100"/>
      <c r="F1252" s="102"/>
      <c r="G1252" s="114"/>
    </row>
    <row r="1253" spans="2:7" ht="15.75" customHeight="1" x14ac:dyDescent="0.25">
      <c r="B1253" s="100"/>
      <c r="C1253" s="100"/>
      <c r="D1253" s="100"/>
      <c r="E1253" s="100"/>
      <c r="F1253" s="102"/>
      <c r="G1253" s="114"/>
    </row>
    <row r="1254" spans="2:7" ht="15.75" customHeight="1" x14ac:dyDescent="0.25">
      <c r="B1254" s="100"/>
      <c r="C1254" s="100"/>
      <c r="D1254" s="100"/>
      <c r="E1254" s="100"/>
      <c r="F1254" s="102"/>
      <c r="G1254" s="114"/>
    </row>
    <row r="1255" spans="2:7" ht="15.75" customHeight="1" x14ac:dyDescent="0.25">
      <c r="B1255" s="100"/>
      <c r="C1255" s="100"/>
      <c r="D1255" s="100"/>
      <c r="E1255" s="100"/>
      <c r="F1255" s="102"/>
      <c r="G1255" s="114"/>
    </row>
    <row r="1256" spans="2:7" ht="15.75" customHeight="1" x14ac:dyDescent="0.25">
      <c r="B1256" s="100"/>
      <c r="C1256" s="100"/>
      <c r="D1256" s="100"/>
      <c r="E1256" s="100"/>
      <c r="F1256" s="102"/>
      <c r="G1256" s="114"/>
    </row>
    <row r="1257" spans="2:7" ht="15.75" customHeight="1" x14ac:dyDescent="0.25">
      <c r="B1257" s="100"/>
      <c r="C1257" s="100"/>
      <c r="D1257" s="100"/>
      <c r="E1257" s="100"/>
      <c r="F1257" s="102"/>
      <c r="G1257" s="114"/>
    </row>
    <row r="1258" spans="2:7" ht="15.75" customHeight="1" x14ac:dyDescent="0.25">
      <c r="B1258" s="100"/>
      <c r="C1258" s="100"/>
      <c r="D1258" s="100"/>
      <c r="E1258" s="100"/>
      <c r="F1258" s="102"/>
      <c r="G1258" s="114"/>
    </row>
    <row r="1259" spans="2:7" ht="15.75" customHeight="1" x14ac:dyDescent="0.25">
      <c r="B1259" s="100"/>
      <c r="C1259" s="100"/>
      <c r="D1259" s="100"/>
      <c r="E1259" s="100"/>
      <c r="F1259" s="102"/>
      <c r="G1259" s="114"/>
    </row>
    <row r="1260" spans="2:7" ht="15.75" customHeight="1" x14ac:dyDescent="0.25">
      <c r="B1260" s="100"/>
      <c r="C1260" s="100"/>
      <c r="D1260" s="100"/>
      <c r="E1260" s="100"/>
      <c r="F1260" s="102"/>
      <c r="G1260" s="114"/>
    </row>
    <row r="1261" spans="2:7" ht="15.75" customHeight="1" x14ac:dyDescent="0.25">
      <c r="B1261" s="100"/>
      <c r="C1261" s="100"/>
      <c r="D1261" s="100"/>
      <c r="E1261" s="100"/>
      <c r="F1261" s="102"/>
      <c r="G1261" s="114"/>
    </row>
    <row r="1262" spans="2:7" ht="15.75" customHeight="1" x14ac:dyDescent="0.25">
      <c r="B1262" s="100"/>
      <c r="C1262" s="100"/>
      <c r="D1262" s="100"/>
      <c r="E1262" s="100"/>
      <c r="F1262" s="102"/>
      <c r="G1262" s="114"/>
    </row>
    <row r="1263" spans="2:7" ht="15.75" customHeight="1" x14ac:dyDescent="0.25">
      <c r="B1263" s="100"/>
      <c r="C1263" s="100"/>
      <c r="D1263" s="100"/>
      <c r="E1263" s="100"/>
      <c r="F1263" s="102"/>
      <c r="G1263" s="114"/>
    </row>
    <row r="1264" spans="2:7" ht="15.75" customHeight="1" x14ac:dyDescent="0.25">
      <c r="B1264" s="100"/>
      <c r="C1264" s="100"/>
      <c r="D1264" s="100"/>
      <c r="E1264" s="100"/>
      <c r="F1264" s="102"/>
      <c r="G1264" s="114"/>
    </row>
    <row r="1265" spans="2:7" ht="15.75" customHeight="1" x14ac:dyDescent="0.25">
      <c r="B1265" s="100"/>
      <c r="C1265" s="100"/>
      <c r="D1265" s="100"/>
      <c r="E1265" s="100"/>
      <c r="F1265" s="102"/>
      <c r="G1265" s="114"/>
    </row>
    <row r="1266" spans="2:7" ht="15.75" customHeight="1" x14ac:dyDescent="0.25">
      <c r="B1266" s="100"/>
      <c r="C1266" s="100"/>
      <c r="D1266" s="100"/>
      <c r="E1266" s="100"/>
      <c r="F1266" s="102"/>
      <c r="G1266" s="114"/>
    </row>
    <row r="1267" spans="2:7" ht="15.75" customHeight="1" x14ac:dyDescent="0.25">
      <c r="B1267" s="100"/>
      <c r="C1267" s="100"/>
      <c r="D1267" s="100"/>
      <c r="E1267" s="100"/>
      <c r="F1267" s="102"/>
      <c r="G1267" s="114"/>
    </row>
    <row r="1268" spans="2:7" ht="15.75" customHeight="1" x14ac:dyDescent="0.25">
      <c r="B1268" s="100"/>
      <c r="C1268" s="100"/>
      <c r="D1268" s="100"/>
      <c r="E1268" s="100"/>
      <c r="F1268" s="102"/>
      <c r="G1268" s="114"/>
    </row>
    <row r="1269" spans="2:7" ht="15.75" customHeight="1" x14ac:dyDescent="0.25">
      <c r="B1269" s="100"/>
      <c r="C1269" s="100"/>
      <c r="D1269" s="100"/>
      <c r="E1269" s="100"/>
      <c r="F1269" s="102"/>
      <c r="G1269" s="114"/>
    </row>
    <row r="1270" spans="2:7" ht="15.75" customHeight="1" x14ac:dyDescent="0.25">
      <c r="B1270" s="100"/>
      <c r="C1270" s="100"/>
      <c r="D1270" s="100"/>
      <c r="E1270" s="100"/>
      <c r="F1270" s="102"/>
      <c r="G1270" s="114"/>
    </row>
    <row r="1271" spans="2:7" ht="15.75" customHeight="1" x14ac:dyDescent="0.25">
      <c r="B1271" s="100"/>
      <c r="C1271" s="100"/>
      <c r="D1271" s="100"/>
      <c r="E1271" s="100"/>
      <c r="F1271" s="102"/>
      <c r="G1271" s="114"/>
    </row>
    <row r="1272" spans="2:7" ht="15.75" customHeight="1" x14ac:dyDescent="0.25">
      <c r="B1272" s="100"/>
      <c r="C1272" s="100"/>
      <c r="D1272" s="100"/>
      <c r="E1272" s="100"/>
      <c r="F1272" s="102"/>
      <c r="G1272" s="114"/>
    </row>
    <row r="1273" spans="2:7" ht="15.75" customHeight="1" x14ac:dyDescent="0.25">
      <c r="B1273" s="100"/>
      <c r="C1273" s="100"/>
      <c r="D1273" s="100"/>
      <c r="E1273" s="100"/>
      <c r="F1273" s="102"/>
      <c r="G1273" s="114"/>
    </row>
    <row r="1274" spans="2:7" ht="15.75" customHeight="1" x14ac:dyDescent="0.25">
      <c r="B1274" s="100"/>
      <c r="C1274" s="100"/>
      <c r="D1274" s="100"/>
      <c r="E1274" s="100"/>
      <c r="F1274" s="102"/>
      <c r="G1274" s="114"/>
    </row>
    <row r="1275" spans="2:7" ht="15.75" customHeight="1" x14ac:dyDescent="0.25">
      <c r="B1275" s="100"/>
      <c r="C1275" s="100"/>
      <c r="D1275" s="100"/>
      <c r="E1275" s="100"/>
      <c r="F1275" s="102"/>
      <c r="G1275" s="114"/>
    </row>
    <row r="1276" spans="2:7" ht="15.75" customHeight="1" x14ac:dyDescent="0.25">
      <c r="B1276" s="100"/>
      <c r="C1276" s="100"/>
      <c r="D1276" s="100"/>
      <c r="E1276" s="100"/>
      <c r="F1276" s="102"/>
      <c r="G1276" s="114"/>
    </row>
    <row r="1277" spans="2:7" ht="15.75" customHeight="1" x14ac:dyDescent="0.25">
      <c r="B1277" s="100"/>
      <c r="C1277" s="100"/>
      <c r="D1277" s="100"/>
      <c r="E1277" s="100"/>
      <c r="F1277" s="102"/>
      <c r="G1277" s="114"/>
    </row>
    <row r="1278" spans="2:7" ht="15.75" customHeight="1" x14ac:dyDescent="0.25">
      <c r="B1278" s="100"/>
      <c r="C1278" s="100"/>
      <c r="D1278" s="100"/>
      <c r="E1278" s="100"/>
      <c r="F1278" s="102"/>
      <c r="G1278" s="114"/>
    </row>
    <row r="1279" spans="2:7" ht="15.75" customHeight="1" x14ac:dyDescent="0.25">
      <c r="B1279" s="100"/>
      <c r="C1279" s="100"/>
      <c r="D1279" s="100"/>
      <c r="E1279" s="100"/>
      <c r="F1279" s="102"/>
      <c r="G1279" s="114"/>
    </row>
    <row r="1280" spans="2:7" ht="15.75" customHeight="1" x14ac:dyDescent="0.25">
      <c r="B1280" s="100"/>
      <c r="C1280" s="100"/>
      <c r="D1280" s="100"/>
      <c r="E1280" s="100"/>
      <c r="F1280" s="102"/>
      <c r="G1280" s="114"/>
    </row>
    <row r="1281" spans="2:7" ht="15.75" customHeight="1" x14ac:dyDescent="0.25">
      <c r="B1281" s="100"/>
      <c r="C1281" s="100"/>
      <c r="D1281" s="100"/>
      <c r="E1281" s="100"/>
      <c r="F1281" s="102"/>
      <c r="G1281" s="114"/>
    </row>
    <row r="1282" spans="2:7" ht="15.75" customHeight="1" x14ac:dyDescent="0.25">
      <c r="B1282" s="100"/>
      <c r="C1282" s="100"/>
      <c r="D1282" s="100"/>
      <c r="E1282" s="100"/>
      <c r="F1282" s="102"/>
      <c r="G1282" s="114"/>
    </row>
    <row r="1283" spans="2:7" ht="15.75" customHeight="1" x14ac:dyDescent="0.25">
      <c r="B1283" s="100"/>
      <c r="C1283" s="100"/>
      <c r="D1283" s="100"/>
      <c r="E1283" s="100"/>
      <c r="F1283" s="102"/>
      <c r="G1283" s="114"/>
    </row>
    <row r="1284" spans="2:7" ht="15.75" customHeight="1" x14ac:dyDescent="0.25">
      <c r="B1284" s="100"/>
      <c r="C1284" s="100"/>
      <c r="D1284" s="100"/>
      <c r="E1284" s="100"/>
      <c r="F1284" s="102"/>
      <c r="G1284" s="114"/>
    </row>
    <row r="1285" spans="2:7" ht="15.75" customHeight="1" x14ac:dyDescent="0.25">
      <c r="B1285" s="100"/>
      <c r="C1285" s="100"/>
      <c r="D1285" s="100"/>
      <c r="E1285" s="100"/>
      <c r="F1285" s="102"/>
      <c r="G1285" s="114"/>
    </row>
    <row r="1286" spans="2:7" ht="15.75" customHeight="1" x14ac:dyDescent="0.25">
      <c r="B1286" s="100"/>
      <c r="C1286" s="100"/>
      <c r="D1286" s="100"/>
      <c r="E1286" s="100"/>
      <c r="F1286" s="102"/>
      <c r="G1286" s="114"/>
    </row>
    <row r="1287" spans="2:7" ht="15.75" customHeight="1" x14ac:dyDescent="0.25">
      <c r="B1287" s="100"/>
      <c r="C1287" s="100"/>
      <c r="D1287" s="100"/>
      <c r="E1287" s="100"/>
      <c r="F1287" s="102"/>
      <c r="G1287" s="114"/>
    </row>
    <row r="1288" spans="2:7" ht="15.75" customHeight="1" x14ac:dyDescent="0.25">
      <c r="B1288" s="100"/>
      <c r="C1288" s="100"/>
      <c r="D1288" s="100"/>
      <c r="E1288" s="100"/>
      <c r="F1288" s="102"/>
      <c r="G1288" s="114"/>
    </row>
    <row r="1289" spans="2:7" ht="15.75" customHeight="1" x14ac:dyDescent="0.25">
      <c r="B1289" s="100"/>
      <c r="C1289" s="100"/>
      <c r="D1289" s="100"/>
      <c r="E1289" s="100"/>
      <c r="F1289" s="102"/>
      <c r="G1289" s="114"/>
    </row>
    <row r="1290" spans="2:7" ht="15.75" customHeight="1" x14ac:dyDescent="0.25">
      <c r="B1290" s="100"/>
      <c r="C1290" s="100"/>
      <c r="D1290" s="100"/>
      <c r="E1290" s="100"/>
      <c r="F1290" s="102"/>
      <c r="G1290" s="114"/>
    </row>
    <row r="1291" spans="2:7" ht="15.75" customHeight="1" x14ac:dyDescent="0.25">
      <c r="B1291" s="100"/>
      <c r="C1291" s="100"/>
      <c r="D1291" s="100"/>
      <c r="E1291" s="100"/>
      <c r="F1291" s="102"/>
      <c r="G1291" s="114"/>
    </row>
    <row r="1292" spans="2:7" ht="15.75" customHeight="1" x14ac:dyDescent="0.25">
      <c r="B1292" s="100"/>
      <c r="C1292" s="100"/>
      <c r="D1292" s="100"/>
      <c r="E1292" s="100"/>
      <c r="F1292" s="102"/>
      <c r="G1292" s="114"/>
    </row>
    <row r="1293" spans="2:7" ht="15.75" customHeight="1" x14ac:dyDescent="0.25">
      <c r="B1293" s="100"/>
      <c r="C1293" s="100"/>
      <c r="D1293" s="100"/>
      <c r="E1293" s="100"/>
      <c r="F1293" s="102"/>
      <c r="G1293" s="114"/>
    </row>
    <row r="1294" spans="2:7" ht="15.75" customHeight="1" x14ac:dyDescent="0.25">
      <c r="B1294" s="100"/>
      <c r="C1294" s="100"/>
      <c r="D1294" s="100"/>
      <c r="E1294" s="100"/>
      <c r="F1294" s="102"/>
      <c r="G1294" s="114"/>
    </row>
    <row r="1295" spans="2:7" ht="15.75" customHeight="1" x14ac:dyDescent="0.25">
      <c r="B1295" s="100"/>
      <c r="C1295" s="100"/>
      <c r="D1295" s="100"/>
      <c r="E1295" s="100"/>
      <c r="F1295" s="102"/>
      <c r="G1295" s="114"/>
    </row>
    <row r="1296" spans="2:7" ht="15.75" customHeight="1" x14ac:dyDescent="0.25">
      <c r="B1296" s="100"/>
      <c r="C1296" s="100"/>
      <c r="D1296" s="100"/>
      <c r="E1296" s="100"/>
      <c r="F1296" s="102"/>
      <c r="G1296" s="114"/>
    </row>
    <row r="1297" spans="2:7" ht="15.75" customHeight="1" x14ac:dyDescent="0.25">
      <c r="B1297" s="100"/>
      <c r="C1297" s="100"/>
      <c r="D1297" s="100"/>
      <c r="E1297" s="100"/>
      <c r="F1297" s="102"/>
      <c r="G1297" s="114"/>
    </row>
    <row r="1298" spans="2:7" ht="15.75" customHeight="1" x14ac:dyDescent="0.25">
      <c r="B1298" s="100"/>
      <c r="C1298" s="100"/>
      <c r="D1298" s="100"/>
      <c r="E1298" s="100"/>
      <c r="F1298" s="102"/>
      <c r="G1298" s="114"/>
    </row>
    <row r="1299" spans="2:7" ht="15.75" customHeight="1" x14ac:dyDescent="0.25">
      <c r="B1299" s="100"/>
      <c r="C1299" s="100"/>
      <c r="D1299" s="100"/>
      <c r="E1299" s="100"/>
      <c r="F1299" s="102"/>
      <c r="G1299" s="114"/>
    </row>
    <row r="1300" spans="2:7" ht="15.75" customHeight="1" x14ac:dyDescent="0.25">
      <c r="B1300" s="100"/>
      <c r="C1300" s="100"/>
      <c r="D1300" s="100"/>
      <c r="E1300" s="100"/>
      <c r="F1300" s="102"/>
      <c r="G1300" s="114"/>
    </row>
    <row r="1301" spans="2:7" ht="15.75" customHeight="1" x14ac:dyDescent="0.25">
      <c r="B1301" s="100"/>
      <c r="C1301" s="100"/>
      <c r="D1301" s="100"/>
      <c r="E1301" s="100"/>
      <c r="F1301" s="102"/>
      <c r="G1301" s="114"/>
    </row>
    <row r="1302" spans="2:7" ht="15.75" customHeight="1" x14ac:dyDescent="0.25">
      <c r="B1302" s="100"/>
      <c r="C1302" s="100"/>
      <c r="D1302" s="100"/>
      <c r="E1302" s="100"/>
      <c r="F1302" s="102"/>
      <c r="G1302" s="114"/>
    </row>
    <row r="1303" spans="2:7" ht="15.75" customHeight="1" x14ac:dyDescent="0.25">
      <c r="B1303" s="100"/>
      <c r="C1303" s="100"/>
      <c r="D1303" s="100"/>
      <c r="E1303" s="100"/>
      <c r="F1303" s="102"/>
      <c r="G1303" s="114"/>
    </row>
    <row r="1304" spans="2:7" ht="15.75" customHeight="1" x14ac:dyDescent="0.25">
      <c r="B1304" s="100"/>
      <c r="C1304" s="100"/>
      <c r="D1304" s="100"/>
      <c r="E1304" s="100"/>
      <c r="F1304" s="102"/>
      <c r="G1304" s="114"/>
    </row>
    <row r="1305" spans="2:7" ht="15.75" customHeight="1" x14ac:dyDescent="0.25">
      <c r="B1305" s="100"/>
      <c r="C1305" s="100"/>
      <c r="D1305" s="100"/>
      <c r="E1305" s="100"/>
      <c r="F1305" s="102"/>
      <c r="G1305" s="114"/>
    </row>
    <row r="1306" spans="2:7" ht="15.75" customHeight="1" x14ac:dyDescent="0.25">
      <c r="B1306" s="100"/>
      <c r="C1306" s="100"/>
      <c r="D1306" s="100"/>
      <c r="E1306" s="100"/>
      <c r="F1306" s="102"/>
      <c r="G1306" s="114"/>
    </row>
    <row r="1307" spans="2:7" ht="15.75" customHeight="1" x14ac:dyDescent="0.25">
      <c r="B1307" s="100"/>
      <c r="C1307" s="100"/>
      <c r="D1307" s="100"/>
      <c r="E1307" s="100"/>
      <c r="F1307" s="102"/>
      <c r="G1307" s="114"/>
    </row>
    <row r="1308" spans="2:7" ht="15.75" customHeight="1" x14ac:dyDescent="0.25">
      <c r="B1308" s="100"/>
      <c r="C1308" s="100"/>
      <c r="D1308" s="100"/>
      <c r="E1308" s="100"/>
      <c r="F1308" s="102"/>
      <c r="G1308" s="114"/>
    </row>
    <row r="1309" spans="2:7" ht="15.75" customHeight="1" x14ac:dyDescent="0.25">
      <c r="B1309" s="100"/>
      <c r="C1309" s="100"/>
      <c r="D1309" s="100"/>
      <c r="E1309" s="100"/>
      <c r="F1309" s="102"/>
      <c r="G1309" s="114"/>
    </row>
    <row r="1310" spans="2:7" ht="15.75" customHeight="1" x14ac:dyDescent="0.25">
      <c r="B1310" s="100"/>
      <c r="C1310" s="100"/>
      <c r="D1310" s="100"/>
      <c r="E1310" s="100"/>
      <c r="F1310" s="102"/>
      <c r="G1310" s="114"/>
    </row>
    <row r="1311" spans="2:7" ht="15.75" customHeight="1" x14ac:dyDescent="0.25">
      <c r="B1311" s="100"/>
      <c r="C1311" s="100"/>
      <c r="D1311" s="100"/>
      <c r="E1311" s="100"/>
      <c r="F1311" s="102"/>
      <c r="G1311" s="114"/>
    </row>
    <row r="1312" spans="2:7" ht="15.75" customHeight="1" x14ac:dyDescent="0.25">
      <c r="B1312" s="100"/>
      <c r="C1312" s="100"/>
      <c r="D1312" s="100"/>
      <c r="E1312" s="100"/>
      <c r="F1312" s="102"/>
      <c r="G1312" s="114"/>
    </row>
    <row r="1313" spans="2:7" ht="15.75" customHeight="1" x14ac:dyDescent="0.25">
      <c r="B1313" s="100"/>
      <c r="C1313" s="100"/>
      <c r="D1313" s="100"/>
      <c r="E1313" s="100"/>
      <c r="F1313" s="102"/>
      <c r="G1313" s="114"/>
    </row>
    <row r="1314" spans="2:7" ht="15.75" customHeight="1" x14ac:dyDescent="0.25">
      <c r="B1314" s="100"/>
      <c r="C1314" s="100"/>
      <c r="D1314" s="100"/>
      <c r="E1314" s="100"/>
      <c r="F1314" s="102"/>
      <c r="G1314" s="114"/>
    </row>
    <row r="1315" spans="2:7" ht="15.75" customHeight="1" x14ac:dyDescent="0.25">
      <c r="B1315" s="100"/>
      <c r="C1315" s="100"/>
      <c r="D1315" s="100"/>
      <c r="E1315" s="100"/>
      <c r="F1315" s="102"/>
      <c r="G1315" s="114"/>
    </row>
    <row r="1316" spans="2:7" ht="15.75" customHeight="1" x14ac:dyDescent="0.25">
      <c r="B1316" s="100"/>
      <c r="C1316" s="100"/>
      <c r="D1316" s="100"/>
      <c r="E1316" s="100"/>
      <c r="F1316" s="102"/>
      <c r="G1316" s="114"/>
    </row>
    <row r="1317" spans="2:7" ht="15.75" customHeight="1" x14ac:dyDescent="0.25">
      <c r="B1317" s="100"/>
      <c r="C1317" s="100"/>
      <c r="D1317" s="100"/>
      <c r="E1317" s="100"/>
      <c r="F1317" s="102"/>
      <c r="G1317" s="114"/>
    </row>
    <row r="1318" spans="2:7" ht="15.75" customHeight="1" x14ac:dyDescent="0.25">
      <c r="B1318" s="100"/>
      <c r="C1318" s="100"/>
      <c r="D1318" s="100"/>
      <c r="E1318" s="100"/>
      <c r="F1318" s="102"/>
      <c r="G1318" s="114"/>
    </row>
    <row r="1319" spans="2:7" ht="15.75" customHeight="1" x14ac:dyDescent="0.25">
      <c r="B1319" s="100"/>
      <c r="C1319" s="100"/>
      <c r="D1319" s="100"/>
      <c r="E1319" s="100"/>
      <c r="F1319" s="102"/>
      <c r="G1319" s="114"/>
    </row>
    <row r="1320" spans="2:7" ht="15.75" customHeight="1" x14ac:dyDescent="0.25">
      <c r="B1320" s="100"/>
      <c r="C1320" s="100"/>
      <c r="D1320" s="100"/>
      <c r="E1320" s="100"/>
      <c r="F1320" s="102"/>
      <c r="G1320" s="114"/>
    </row>
    <row r="1321" spans="2:7" ht="15.75" customHeight="1" x14ac:dyDescent="0.25">
      <c r="B1321" s="100"/>
      <c r="C1321" s="100"/>
      <c r="D1321" s="100"/>
      <c r="E1321" s="100"/>
      <c r="F1321" s="102"/>
      <c r="G1321" s="114"/>
    </row>
    <row r="1322" spans="2:7" ht="15.75" customHeight="1" x14ac:dyDescent="0.25">
      <c r="B1322" s="100"/>
      <c r="C1322" s="100"/>
      <c r="D1322" s="100"/>
      <c r="E1322" s="100"/>
      <c r="F1322" s="102"/>
      <c r="G1322" s="114"/>
    </row>
    <row r="1323" spans="2:7" ht="15.75" customHeight="1" x14ac:dyDescent="0.25">
      <c r="B1323" s="100"/>
      <c r="C1323" s="100"/>
      <c r="D1323" s="100"/>
      <c r="E1323" s="100"/>
      <c r="F1323" s="102"/>
      <c r="G1323" s="114"/>
    </row>
    <row r="1324" spans="2:7" ht="15.75" customHeight="1" x14ac:dyDescent="0.25">
      <c r="B1324" s="100"/>
      <c r="C1324" s="100"/>
      <c r="D1324" s="100"/>
      <c r="E1324" s="100"/>
      <c r="F1324" s="102"/>
      <c r="G1324" s="114"/>
    </row>
    <row r="1325" spans="2:7" ht="15.75" customHeight="1" x14ac:dyDescent="0.25">
      <c r="B1325" s="100"/>
      <c r="C1325" s="100"/>
      <c r="D1325" s="100"/>
      <c r="E1325" s="100"/>
      <c r="F1325" s="102"/>
      <c r="G1325" s="114"/>
    </row>
    <row r="1326" spans="2:7" ht="15.75" customHeight="1" x14ac:dyDescent="0.25">
      <c r="B1326" s="100"/>
      <c r="C1326" s="100"/>
      <c r="D1326" s="100"/>
      <c r="E1326" s="100"/>
      <c r="F1326" s="102"/>
      <c r="G1326" s="114"/>
    </row>
    <row r="1327" spans="2:7" ht="15.75" customHeight="1" x14ac:dyDescent="0.25">
      <c r="B1327" s="100"/>
      <c r="C1327" s="100"/>
      <c r="D1327" s="100"/>
      <c r="E1327" s="100"/>
      <c r="F1327" s="102"/>
      <c r="G1327" s="114"/>
    </row>
    <row r="1328" spans="2:7" ht="15.75" customHeight="1" x14ac:dyDescent="0.25">
      <c r="B1328" s="100"/>
      <c r="C1328" s="100"/>
      <c r="D1328" s="100"/>
      <c r="E1328" s="100"/>
      <c r="F1328" s="102"/>
      <c r="G1328" s="114"/>
    </row>
    <row r="1329" spans="2:7" ht="15.75" customHeight="1" x14ac:dyDescent="0.25">
      <c r="B1329" s="100"/>
      <c r="C1329" s="100"/>
      <c r="D1329" s="100"/>
      <c r="E1329" s="100"/>
      <c r="F1329" s="102"/>
      <c r="G1329" s="114"/>
    </row>
    <row r="1330" spans="2:7" ht="15.75" customHeight="1" x14ac:dyDescent="0.25">
      <c r="B1330" s="100"/>
      <c r="C1330" s="100"/>
      <c r="D1330" s="100"/>
      <c r="E1330" s="100"/>
      <c r="F1330" s="102"/>
      <c r="G1330" s="114"/>
    </row>
    <row r="1331" spans="2:7" ht="15.75" customHeight="1" x14ac:dyDescent="0.25">
      <c r="B1331" s="100"/>
      <c r="C1331" s="100"/>
      <c r="D1331" s="100"/>
      <c r="E1331" s="100"/>
      <c r="F1331" s="102"/>
      <c r="G1331" s="114"/>
    </row>
    <row r="1332" spans="2:7" ht="15.75" customHeight="1" x14ac:dyDescent="0.25">
      <c r="B1332" s="100"/>
      <c r="C1332" s="100"/>
      <c r="D1332" s="100"/>
      <c r="E1332" s="100"/>
      <c r="F1332" s="102"/>
      <c r="G1332" s="114"/>
    </row>
    <row r="1333" spans="2:7" ht="15.75" customHeight="1" x14ac:dyDescent="0.25">
      <c r="B1333" s="100"/>
      <c r="C1333" s="100"/>
      <c r="D1333" s="100"/>
      <c r="E1333" s="100"/>
      <c r="F1333" s="102"/>
      <c r="G1333" s="114"/>
    </row>
    <row r="1334" spans="2:7" ht="15.75" customHeight="1" x14ac:dyDescent="0.25">
      <c r="B1334" s="100"/>
      <c r="C1334" s="100"/>
      <c r="D1334" s="100"/>
      <c r="E1334" s="100"/>
      <c r="F1334" s="102"/>
      <c r="G1334" s="114"/>
    </row>
    <row r="1335" spans="2:7" ht="15.75" customHeight="1" x14ac:dyDescent="0.25">
      <c r="B1335" s="100"/>
      <c r="C1335" s="100"/>
      <c r="D1335" s="100"/>
      <c r="E1335" s="100"/>
      <c r="F1335" s="102"/>
      <c r="G1335" s="114"/>
    </row>
    <row r="1336" spans="2:7" ht="15.75" customHeight="1" x14ac:dyDescent="0.25">
      <c r="B1336" s="100"/>
      <c r="C1336" s="100"/>
      <c r="D1336" s="100"/>
      <c r="E1336" s="100"/>
      <c r="F1336" s="102"/>
      <c r="G1336" s="114"/>
    </row>
    <row r="1337" spans="2:7" ht="15.75" customHeight="1" x14ac:dyDescent="0.25">
      <c r="B1337" s="100"/>
      <c r="C1337" s="100"/>
      <c r="D1337" s="100"/>
      <c r="E1337" s="100"/>
      <c r="F1337" s="102"/>
      <c r="G1337" s="114"/>
    </row>
    <row r="1338" spans="2:7" ht="15.75" customHeight="1" x14ac:dyDescent="0.25">
      <c r="B1338" s="100"/>
      <c r="C1338" s="100"/>
      <c r="D1338" s="100"/>
      <c r="E1338" s="100"/>
      <c r="F1338" s="102"/>
      <c r="G1338" s="114"/>
    </row>
    <row r="1339" spans="2:7" ht="15.75" customHeight="1" x14ac:dyDescent="0.25">
      <c r="B1339" s="100"/>
      <c r="C1339" s="100"/>
      <c r="D1339" s="100"/>
      <c r="E1339" s="100"/>
      <c r="F1339" s="102"/>
      <c r="G1339" s="114"/>
    </row>
    <row r="1340" spans="2:7" ht="15.75" customHeight="1" x14ac:dyDescent="0.25">
      <c r="B1340" s="100"/>
      <c r="C1340" s="100"/>
      <c r="D1340" s="100"/>
      <c r="E1340" s="100"/>
      <c r="F1340" s="102"/>
      <c r="G1340" s="114"/>
    </row>
    <row r="1341" spans="2:7" ht="15.75" customHeight="1" x14ac:dyDescent="0.25">
      <c r="B1341" s="100"/>
      <c r="C1341" s="100"/>
      <c r="D1341" s="100"/>
      <c r="E1341" s="100"/>
      <c r="F1341" s="102"/>
      <c r="G1341" s="114"/>
    </row>
    <row r="1342" spans="2:7" ht="15.75" customHeight="1" x14ac:dyDescent="0.25">
      <c r="B1342" s="100"/>
      <c r="C1342" s="100"/>
      <c r="D1342" s="100"/>
      <c r="E1342" s="100"/>
      <c r="F1342" s="102"/>
      <c r="G1342" s="114"/>
    </row>
    <row r="1343" spans="2:7" ht="15.75" customHeight="1" x14ac:dyDescent="0.25">
      <c r="B1343" s="100"/>
      <c r="C1343" s="100"/>
      <c r="D1343" s="100"/>
      <c r="E1343" s="100"/>
      <c r="F1343" s="102"/>
      <c r="G1343" s="114"/>
    </row>
    <row r="1344" spans="2:7" ht="15.75" customHeight="1" x14ac:dyDescent="0.25">
      <c r="B1344" s="100"/>
      <c r="C1344" s="100"/>
      <c r="D1344" s="100"/>
      <c r="E1344" s="100"/>
      <c r="F1344" s="102"/>
      <c r="G1344" s="114"/>
    </row>
    <row r="1345" spans="2:7" ht="15.75" customHeight="1" x14ac:dyDescent="0.25">
      <c r="B1345" s="100"/>
      <c r="C1345" s="100"/>
      <c r="D1345" s="100"/>
      <c r="E1345" s="100"/>
      <c r="F1345" s="102"/>
      <c r="G1345" s="114"/>
    </row>
    <row r="1346" spans="2:7" ht="15.75" customHeight="1" x14ac:dyDescent="0.25">
      <c r="B1346" s="100"/>
      <c r="C1346" s="100"/>
      <c r="D1346" s="100"/>
      <c r="E1346" s="100"/>
      <c r="F1346" s="102"/>
      <c r="G1346" s="114"/>
    </row>
    <row r="1347" spans="2:7" ht="15.75" customHeight="1" x14ac:dyDescent="0.25">
      <c r="B1347" s="100"/>
      <c r="C1347" s="100"/>
      <c r="D1347" s="100"/>
      <c r="E1347" s="100"/>
      <c r="F1347" s="102"/>
      <c r="G1347" s="114"/>
    </row>
    <row r="1348" spans="2:7" ht="15.75" customHeight="1" x14ac:dyDescent="0.25">
      <c r="B1348" s="100"/>
      <c r="C1348" s="100"/>
      <c r="D1348" s="100"/>
      <c r="E1348" s="100"/>
      <c r="F1348" s="102"/>
      <c r="G1348" s="114"/>
    </row>
    <row r="1349" spans="2:7" ht="15.75" customHeight="1" x14ac:dyDescent="0.25">
      <c r="B1349" s="100"/>
      <c r="C1349" s="100"/>
      <c r="D1349" s="100"/>
      <c r="E1349" s="100"/>
      <c r="F1349" s="102"/>
      <c r="G1349" s="114"/>
    </row>
    <row r="1350" spans="2:7" ht="15.75" customHeight="1" x14ac:dyDescent="0.25">
      <c r="B1350" s="100"/>
      <c r="C1350" s="100"/>
      <c r="D1350" s="100"/>
      <c r="E1350" s="100"/>
      <c r="F1350" s="102"/>
      <c r="G1350" s="114"/>
    </row>
    <row r="1351" spans="2:7" ht="15.75" customHeight="1" x14ac:dyDescent="0.25">
      <c r="B1351" s="100"/>
      <c r="C1351" s="100"/>
      <c r="D1351" s="100"/>
      <c r="E1351" s="100"/>
      <c r="F1351" s="102"/>
      <c r="G1351" s="114"/>
    </row>
    <row r="1352" spans="2:7" ht="15.75" customHeight="1" x14ac:dyDescent="0.25">
      <c r="B1352" s="100"/>
      <c r="C1352" s="100"/>
      <c r="D1352" s="100"/>
      <c r="E1352" s="100"/>
      <c r="F1352" s="102"/>
      <c r="G1352" s="114"/>
    </row>
    <row r="1353" spans="2:7" ht="15.75" customHeight="1" x14ac:dyDescent="0.25">
      <c r="B1353" s="100"/>
      <c r="C1353" s="100"/>
      <c r="D1353" s="100"/>
      <c r="E1353" s="100"/>
      <c r="F1353" s="102"/>
      <c r="G1353" s="114"/>
    </row>
    <row r="1354" spans="2:7" ht="15.75" customHeight="1" x14ac:dyDescent="0.25">
      <c r="B1354" s="100"/>
      <c r="C1354" s="100"/>
      <c r="D1354" s="100"/>
      <c r="E1354" s="100"/>
      <c r="F1354" s="102"/>
      <c r="G1354" s="114"/>
    </row>
    <row r="1355" spans="2:7" ht="15.75" customHeight="1" x14ac:dyDescent="0.25">
      <c r="B1355" s="100"/>
      <c r="C1355" s="100"/>
      <c r="D1355" s="100"/>
      <c r="E1355" s="100"/>
      <c r="F1355" s="102"/>
      <c r="G1355" s="114"/>
    </row>
    <row r="1356" spans="2:7" ht="15.75" customHeight="1" x14ac:dyDescent="0.25">
      <c r="B1356" s="100"/>
      <c r="C1356" s="100"/>
      <c r="D1356" s="100"/>
      <c r="E1356" s="100"/>
      <c r="F1356" s="102"/>
      <c r="G1356" s="114"/>
    </row>
    <row r="1357" spans="2:7" ht="15.75" customHeight="1" x14ac:dyDescent="0.25">
      <c r="B1357" s="100"/>
      <c r="C1357" s="100"/>
      <c r="D1357" s="100"/>
      <c r="E1357" s="100"/>
      <c r="F1357" s="102"/>
      <c r="G1357" s="114"/>
    </row>
    <row r="1358" spans="2:7" ht="15.75" customHeight="1" x14ac:dyDescent="0.25">
      <c r="B1358" s="100"/>
      <c r="C1358" s="100"/>
      <c r="D1358" s="100"/>
      <c r="E1358" s="100"/>
      <c r="F1358" s="102"/>
      <c r="G1358" s="114"/>
    </row>
    <row r="1359" spans="2:7" ht="15.75" customHeight="1" x14ac:dyDescent="0.25">
      <c r="B1359" s="100"/>
      <c r="C1359" s="100"/>
      <c r="D1359" s="100"/>
      <c r="E1359" s="100"/>
      <c r="F1359" s="102"/>
      <c r="G1359" s="114"/>
    </row>
    <row r="1360" spans="2:7" ht="15.75" customHeight="1" x14ac:dyDescent="0.25">
      <c r="B1360" s="100"/>
      <c r="C1360" s="100"/>
      <c r="D1360" s="100"/>
      <c r="E1360" s="100"/>
      <c r="F1360" s="102"/>
      <c r="G1360" s="114"/>
    </row>
    <row r="1361" spans="2:7" ht="15.75" customHeight="1" x14ac:dyDescent="0.25">
      <c r="B1361" s="100"/>
      <c r="C1361" s="100"/>
      <c r="D1361" s="100"/>
      <c r="E1361" s="100"/>
      <c r="F1361" s="102"/>
      <c r="G1361" s="114"/>
    </row>
    <row r="1362" spans="2:7" ht="15.75" customHeight="1" x14ac:dyDescent="0.25">
      <c r="B1362" s="100"/>
      <c r="C1362" s="100"/>
      <c r="D1362" s="100"/>
      <c r="E1362" s="100"/>
      <c r="F1362" s="102"/>
      <c r="G1362" s="114"/>
    </row>
    <row r="1363" spans="2:7" ht="15.75" customHeight="1" x14ac:dyDescent="0.25">
      <c r="B1363" s="100"/>
      <c r="C1363" s="100"/>
      <c r="D1363" s="100"/>
      <c r="E1363" s="100"/>
      <c r="F1363" s="102"/>
      <c r="G1363" s="114"/>
    </row>
    <row r="1364" spans="2:7" ht="15.75" customHeight="1" x14ac:dyDescent="0.25">
      <c r="B1364" s="100"/>
      <c r="C1364" s="100"/>
      <c r="D1364" s="100"/>
      <c r="E1364" s="100"/>
      <c r="F1364" s="102"/>
      <c r="G1364" s="114"/>
    </row>
    <row r="1365" spans="2:7" ht="15.75" customHeight="1" x14ac:dyDescent="0.25">
      <c r="B1365" s="100"/>
      <c r="C1365" s="100"/>
      <c r="D1365" s="100"/>
      <c r="E1365" s="100"/>
      <c r="F1365" s="102"/>
      <c r="G1365" s="114"/>
    </row>
    <row r="1366" spans="2:7" ht="15.75" customHeight="1" x14ac:dyDescent="0.25">
      <c r="B1366" s="100"/>
      <c r="C1366" s="100"/>
      <c r="D1366" s="100"/>
      <c r="E1366" s="100"/>
      <c r="F1366" s="102"/>
      <c r="G1366" s="114"/>
    </row>
    <row r="1367" spans="2:7" ht="15.75" customHeight="1" x14ac:dyDescent="0.25">
      <c r="B1367" s="100"/>
      <c r="C1367" s="100"/>
      <c r="D1367" s="100"/>
      <c r="E1367" s="100"/>
      <c r="F1367" s="102"/>
      <c r="G1367" s="114"/>
    </row>
    <row r="1368" spans="2:7" ht="15.75" customHeight="1" x14ac:dyDescent="0.25">
      <c r="B1368" s="100"/>
      <c r="C1368" s="100"/>
      <c r="D1368" s="100"/>
      <c r="E1368" s="100"/>
      <c r="F1368" s="102"/>
      <c r="G1368" s="114"/>
    </row>
    <row r="1369" spans="2:7" ht="15.75" customHeight="1" x14ac:dyDescent="0.25">
      <c r="B1369" s="100"/>
      <c r="C1369" s="100"/>
      <c r="D1369" s="100"/>
      <c r="E1369" s="100"/>
      <c r="F1369" s="102"/>
      <c r="G1369" s="114"/>
    </row>
    <row r="1370" spans="2:7" ht="15.75" customHeight="1" x14ac:dyDescent="0.25">
      <c r="B1370" s="100"/>
      <c r="C1370" s="100"/>
      <c r="D1370" s="100"/>
      <c r="E1370" s="100"/>
      <c r="F1370" s="102"/>
      <c r="G1370" s="114"/>
    </row>
    <row r="1371" spans="2:7" ht="15.75" customHeight="1" x14ac:dyDescent="0.25">
      <c r="B1371" s="100"/>
      <c r="C1371" s="100"/>
      <c r="D1371" s="100"/>
      <c r="E1371" s="100"/>
      <c r="F1371" s="102"/>
      <c r="G1371" s="114"/>
    </row>
    <row r="1372" spans="2:7" ht="15.75" customHeight="1" x14ac:dyDescent="0.25">
      <c r="B1372" s="100"/>
      <c r="C1372" s="100"/>
      <c r="D1372" s="100"/>
      <c r="E1372" s="100"/>
      <c r="F1372" s="102"/>
      <c r="G1372" s="114"/>
    </row>
    <row r="1373" spans="2:7" ht="15.75" customHeight="1" x14ac:dyDescent="0.25">
      <c r="B1373" s="100"/>
      <c r="C1373" s="100"/>
      <c r="D1373" s="100"/>
      <c r="E1373" s="100"/>
      <c r="F1373" s="102"/>
      <c r="G1373" s="114"/>
    </row>
    <row r="1374" spans="2:7" ht="15.75" customHeight="1" x14ac:dyDescent="0.25">
      <c r="B1374" s="100"/>
      <c r="C1374" s="100"/>
      <c r="D1374" s="100"/>
      <c r="E1374" s="100"/>
      <c r="F1374" s="102"/>
      <c r="G1374" s="114"/>
    </row>
    <row r="1375" spans="2:7" ht="15.75" customHeight="1" x14ac:dyDescent="0.25">
      <c r="B1375" s="100"/>
      <c r="C1375" s="100"/>
      <c r="D1375" s="100"/>
      <c r="E1375" s="100"/>
      <c r="F1375" s="102"/>
      <c r="G1375" s="114"/>
    </row>
    <row r="1376" spans="2:7" ht="15.75" customHeight="1" x14ac:dyDescent="0.25">
      <c r="B1376" s="100"/>
      <c r="C1376" s="100"/>
      <c r="D1376" s="100"/>
      <c r="E1376" s="100"/>
      <c r="F1376" s="102"/>
      <c r="G1376" s="114"/>
    </row>
    <row r="1377" spans="2:7" ht="15.75" customHeight="1" x14ac:dyDescent="0.25">
      <c r="B1377" s="100"/>
      <c r="C1377" s="100"/>
      <c r="D1377" s="100"/>
      <c r="E1377" s="100"/>
      <c r="F1377" s="102"/>
      <c r="G1377" s="114"/>
    </row>
    <row r="1378" spans="2:7" ht="15.75" customHeight="1" x14ac:dyDescent="0.25">
      <c r="B1378" s="100"/>
      <c r="C1378" s="100"/>
      <c r="D1378" s="100"/>
      <c r="E1378" s="100"/>
      <c r="F1378" s="102"/>
      <c r="G1378" s="114"/>
    </row>
    <row r="1379" spans="2:7" ht="15.75" customHeight="1" x14ac:dyDescent="0.25">
      <c r="B1379" s="100"/>
      <c r="C1379" s="100"/>
      <c r="D1379" s="100"/>
      <c r="E1379" s="100"/>
      <c r="F1379" s="102"/>
      <c r="G1379" s="114"/>
    </row>
    <row r="1380" spans="2:7" ht="15.75" customHeight="1" x14ac:dyDescent="0.25">
      <c r="B1380" s="100"/>
      <c r="C1380" s="100"/>
      <c r="D1380" s="100"/>
      <c r="E1380" s="100"/>
      <c r="F1380" s="102"/>
      <c r="G1380" s="114"/>
    </row>
    <row r="1381" spans="2:7" ht="15.75" customHeight="1" x14ac:dyDescent="0.25">
      <c r="B1381" s="100"/>
      <c r="C1381" s="100"/>
      <c r="D1381" s="100"/>
      <c r="E1381" s="100"/>
      <c r="F1381" s="102"/>
      <c r="G1381" s="114"/>
    </row>
    <row r="1382" spans="2:7" ht="15.75" customHeight="1" x14ac:dyDescent="0.25">
      <c r="B1382" s="100"/>
      <c r="C1382" s="100"/>
      <c r="D1382" s="100"/>
      <c r="E1382" s="100"/>
      <c r="F1382" s="102"/>
      <c r="G1382" s="114"/>
    </row>
    <row r="1383" spans="2:7" ht="15.75" customHeight="1" x14ac:dyDescent="0.25">
      <c r="B1383" s="100"/>
      <c r="C1383" s="100"/>
      <c r="D1383" s="100"/>
      <c r="E1383" s="100"/>
      <c r="F1383" s="102"/>
      <c r="G1383" s="114"/>
    </row>
    <row r="1384" spans="2:7" ht="15.75" customHeight="1" x14ac:dyDescent="0.25">
      <c r="B1384" s="100"/>
      <c r="C1384" s="100"/>
      <c r="D1384" s="100"/>
      <c r="E1384" s="100"/>
      <c r="F1384" s="102"/>
      <c r="G1384" s="114"/>
    </row>
    <row r="1385" spans="2:7" ht="15.75" customHeight="1" x14ac:dyDescent="0.25">
      <c r="B1385" s="100"/>
      <c r="C1385" s="100"/>
      <c r="D1385" s="100"/>
      <c r="E1385" s="100"/>
      <c r="F1385" s="102"/>
      <c r="G1385" s="114"/>
    </row>
    <row r="1386" spans="2:7" ht="15.75" customHeight="1" x14ac:dyDescent="0.25">
      <c r="B1386" s="100"/>
      <c r="C1386" s="100"/>
      <c r="D1386" s="100"/>
      <c r="E1386" s="100"/>
      <c r="F1386" s="102"/>
      <c r="G1386" s="114"/>
    </row>
    <row r="1387" spans="2:7" ht="15.75" customHeight="1" x14ac:dyDescent="0.25">
      <c r="B1387" s="100"/>
      <c r="C1387" s="100"/>
      <c r="D1387" s="100"/>
      <c r="E1387" s="100"/>
      <c r="F1387" s="102"/>
      <c r="G1387" s="114"/>
    </row>
    <row r="1388" spans="2:7" ht="15.75" customHeight="1" x14ac:dyDescent="0.25">
      <c r="B1388" s="100"/>
      <c r="C1388" s="100"/>
      <c r="D1388" s="100"/>
      <c r="E1388" s="100"/>
      <c r="F1388" s="102"/>
      <c r="G1388" s="114"/>
    </row>
    <row r="1389" spans="2:7" ht="15.75" customHeight="1" x14ac:dyDescent="0.25">
      <c r="B1389" s="100"/>
      <c r="C1389" s="100"/>
      <c r="D1389" s="100"/>
      <c r="E1389" s="100"/>
      <c r="F1389" s="102"/>
      <c r="G1389" s="114"/>
    </row>
    <row r="1390" spans="2:7" ht="15.75" customHeight="1" x14ac:dyDescent="0.25">
      <c r="B1390" s="100"/>
      <c r="C1390" s="100"/>
      <c r="D1390" s="100"/>
      <c r="E1390" s="100"/>
      <c r="F1390" s="102"/>
      <c r="G1390" s="114"/>
    </row>
    <row r="1391" spans="2:7" ht="15.75" customHeight="1" x14ac:dyDescent="0.25">
      <c r="B1391" s="100"/>
      <c r="C1391" s="100"/>
      <c r="D1391" s="100"/>
      <c r="E1391" s="100"/>
      <c r="F1391" s="102"/>
      <c r="G1391" s="114"/>
    </row>
    <row r="1392" spans="2:7" ht="15.75" customHeight="1" x14ac:dyDescent="0.25">
      <c r="B1392" s="100"/>
      <c r="C1392" s="100"/>
      <c r="D1392" s="100"/>
      <c r="E1392" s="100"/>
      <c r="F1392" s="102"/>
      <c r="G1392" s="114"/>
    </row>
    <row r="1393" spans="2:7" ht="15.75" customHeight="1" x14ac:dyDescent="0.25">
      <c r="B1393" s="100"/>
      <c r="C1393" s="100"/>
      <c r="D1393" s="100"/>
      <c r="E1393" s="100"/>
      <c r="F1393" s="102"/>
      <c r="G1393" s="114"/>
    </row>
    <row r="1394" spans="2:7" ht="15.75" customHeight="1" x14ac:dyDescent="0.25">
      <c r="B1394" s="100"/>
      <c r="C1394" s="100"/>
      <c r="D1394" s="100"/>
      <c r="E1394" s="100"/>
      <c r="F1394" s="102"/>
      <c r="G1394" s="114"/>
    </row>
    <row r="1395" spans="2:7" ht="15.75" customHeight="1" x14ac:dyDescent="0.25">
      <c r="B1395" s="100"/>
      <c r="C1395" s="100"/>
      <c r="D1395" s="100"/>
      <c r="E1395" s="100"/>
      <c r="F1395" s="102"/>
      <c r="G1395" s="114"/>
    </row>
    <row r="1396" spans="2:7" ht="15.75" customHeight="1" x14ac:dyDescent="0.25">
      <c r="B1396" s="100"/>
      <c r="C1396" s="100"/>
      <c r="D1396" s="100"/>
      <c r="E1396" s="100"/>
      <c r="F1396" s="102"/>
      <c r="G1396" s="114"/>
    </row>
    <row r="1397" spans="2:7" ht="15.75" customHeight="1" x14ac:dyDescent="0.25">
      <c r="B1397" s="100"/>
      <c r="C1397" s="100"/>
      <c r="D1397" s="100"/>
      <c r="E1397" s="100"/>
      <c r="F1397" s="102"/>
      <c r="G1397" s="114"/>
    </row>
    <row r="1398" spans="2:7" ht="15.75" customHeight="1" x14ac:dyDescent="0.25">
      <c r="B1398" s="100"/>
      <c r="C1398" s="100"/>
      <c r="D1398" s="100"/>
      <c r="E1398" s="100"/>
      <c r="F1398" s="102"/>
      <c r="G1398" s="114"/>
    </row>
    <row r="1399" spans="2:7" ht="15.75" customHeight="1" x14ac:dyDescent="0.25">
      <c r="B1399" s="100"/>
      <c r="C1399" s="100"/>
      <c r="D1399" s="100"/>
      <c r="E1399" s="100"/>
      <c r="F1399" s="102"/>
      <c r="G1399" s="114"/>
    </row>
    <row r="1400" spans="2:7" ht="15.75" customHeight="1" x14ac:dyDescent="0.25">
      <c r="B1400" s="100"/>
      <c r="C1400" s="100"/>
      <c r="D1400" s="100"/>
      <c r="E1400" s="100"/>
      <c r="F1400" s="102"/>
      <c r="G1400" s="114"/>
    </row>
    <row r="1401" spans="2:7" ht="15.75" customHeight="1" x14ac:dyDescent="0.25">
      <c r="B1401" s="100"/>
      <c r="C1401" s="100"/>
      <c r="D1401" s="100"/>
      <c r="E1401" s="100"/>
      <c r="F1401" s="102"/>
      <c r="G1401" s="114"/>
    </row>
    <row r="1402" spans="2:7" ht="15.75" customHeight="1" x14ac:dyDescent="0.25">
      <c r="B1402" s="100"/>
      <c r="C1402" s="100"/>
      <c r="D1402" s="100"/>
      <c r="E1402" s="100"/>
      <c r="F1402" s="102"/>
      <c r="G1402" s="114"/>
    </row>
    <row r="1403" spans="2:7" ht="15.75" customHeight="1" x14ac:dyDescent="0.25">
      <c r="B1403" s="100"/>
      <c r="C1403" s="100"/>
      <c r="D1403" s="100"/>
      <c r="E1403" s="100"/>
      <c r="F1403" s="102"/>
      <c r="G1403" s="114"/>
    </row>
    <row r="1404" spans="2:7" ht="15.75" customHeight="1" x14ac:dyDescent="0.25">
      <c r="B1404" s="100"/>
      <c r="C1404" s="100"/>
      <c r="D1404" s="100"/>
      <c r="E1404" s="100"/>
      <c r="F1404" s="102"/>
      <c r="G1404" s="114"/>
    </row>
    <row r="1405" spans="2:7" ht="15.75" customHeight="1" x14ac:dyDescent="0.25">
      <c r="B1405" s="100"/>
      <c r="C1405" s="100"/>
      <c r="D1405" s="100"/>
      <c r="E1405" s="100"/>
      <c r="F1405" s="102"/>
      <c r="G1405" s="114"/>
    </row>
    <row r="1406" spans="2:7" ht="15.75" customHeight="1" x14ac:dyDescent="0.25">
      <c r="B1406" s="100"/>
      <c r="C1406" s="100"/>
      <c r="D1406" s="100"/>
      <c r="E1406" s="100"/>
      <c r="F1406" s="102"/>
      <c r="G1406" s="114"/>
    </row>
    <row r="1407" spans="2:7" ht="15.75" customHeight="1" x14ac:dyDescent="0.25">
      <c r="B1407" s="100"/>
      <c r="C1407" s="100"/>
      <c r="D1407" s="100"/>
      <c r="E1407" s="100"/>
      <c r="F1407" s="102"/>
      <c r="G1407" s="114"/>
    </row>
    <row r="1408" spans="2:7" ht="15.75" customHeight="1" x14ac:dyDescent="0.25">
      <c r="B1408" s="100"/>
      <c r="C1408" s="100"/>
      <c r="D1408" s="100"/>
      <c r="E1408" s="100"/>
      <c r="F1408" s="102"/>
      <c r="G1408" s="114"/>
    </row>
    <row r="1409" spans="2:7" ht="15.75" customHeight="1" x14ac:dyDescent="0.25">
      <c r="B1409" s="100"/>
      <c r="C1409" s="100"/>
      <c r="D1409" s="100"/>
      <c r="E1409" s="100"/>
      <c r="F1409" s="102"/>
      <c r="G1409" s="114"/>
    </row>
    <row r="1410" spans="2:7" ht="15.75" customHeight="1" x14ac:dyDescent="0.25">
      <c r="B1410" s="100"/>
      <c r="C1410" s="100"/>
      <c r="D1410" s="100"/>
      <c r="E1410" s="100"/>
      <c r="F1410" s="102"/>
      <c r="G1410" s="114"/>
    </row>
    <row r="1411" spans="2:7" ht="15.75" customHeight="1" x14ac:dyDescent="0.25">
      <c r="B1411" s="100"/>
      <c r="C1411" s="100"/>
      <c r="D1411" s="100"/>
      <c r="E1411" s="100"/>
      <c r="F1411" s="102"/>
      <c r="G1411" s="114"/>
    </row>
    <row r="1412" spans="2:7" ht="15.75" customHeight="1" x14ac:dyDescent="0.25">
      <c r="B1412" s="100"/>
      <c r="C1412" s="100"/>
      <c r="D1412" s="100"/>
      <c r="E1412" s="100"/>
      <c r="F1412" s="102"/>
      <c r="G1412" s="114"/>
    </row>
    <row r="1413" spans="2:7" ht="15.75" customHeight="1" x14ac:dyDescent="0.25">
      <c r="B1413" s="100"/>
      <c r="C1413" s="100"/>
      <c r="D1413" s="100"/>
      <c r="E1413" s="100"/>
      <c r="F1413" s="102"/>
      <c r="G1413" s="114"/>
    </row>
    <row r="1414" spans="2:7" ht="15.75" customHeight="1" x14ac:dyDescent="0.25">
      <c r="B1414" s="100"/>
      <c r="C1414" s="100"/>
      <c r="D1414" s="100"/>
      <c r="E1414" s="100"/>
      <c r="F1414" s="102"/>
      <c r="G1414" s="114"/>
    </row>
    <row r="1415" spans="2:7" ht="15.75" customHeight="1" x14ac:dyDescent="0.25">
      <c r="B1415" s="100"/>
      <c r="C1415" s="100"/>
      <c r="D1415" s="100"/>
      <c r="E1415" s="100"/>
      <c r="F1415" s="102"/>
      <c r="G1415" s="114"/>
    </row>
    <row r="1416" spans="2:7" ht="15.75" customHeight="1" x14ac:dyDescent="0.25">
      <c r="B1416" s="100"/>
      <c r="C1416" s="100"/>
      <c r="D1416" s="100"/>
      <c r="E1416" s="100"/>
      <c r="F1416" s="102"/>
      <c r="G1416" s="114"/>
    </row>
    <row r="1417" spans="2:7" ht="15.75" customHeight="1" x14ac:dyDescent="0.25">
      <c r="B1417" s="100"/>
      <c r="C1417" s="100"/>
      <c r="D1417" s="100"/>
      <c r="E1417" s="100"/>
      <c r="F1417" s="102"/>
      <c r="G1417" s="114"/>
    </row>
    <row r="1418" spans="2:7" ht="15.75" customHeight="1" x14ac:dyDescent="0.25">
      <c r="B1418" s="100"/>
      <c r="C1418" s="100"/>
      <c r="D1418" s="100"/>
      <c r="E1418" s="100"/>
      <c r="F1418" s="102"/>
      <c r="G1418" s="114"/>
    </row>
    <row r="1419" spans="2:7" ht="15.75" customHeight="1" x14ac:dyDescent="0.25">
      <c r="B1419" s="100"/>
      <c r="C1419" s="100"/>
      <c r="D1419" s="100"/>
      <c r="E1419" s="100"/>
      <c r="F1419" s="102"/>
      <c r="G1419" s="114"/>
    </row>
    <row r="1420" spans="2:7" ht="15.75" customHeight="1" x14ac:dyDescent="0.25">
      <c r="B1420" s="100"/>
      <c r="C1420" s="100"/>
      <c r="D1420" s="100"/>
      <c r="E1420" s="100"/>
      <c r="F1420" s="102"/>
      <c r="G1420" s="114"/>
    </row>
    <row r="1421" spans="2:7" ht="15.75" customHeight="1" x14ac:dyDescent="0.25">
      <c r="B1421" s="100"/>
      <c r="C1421" s="100"/>
      <c r="D1421" s="100"/>
      <c r="E1421" s="100"/>
      <c r="F1421" s="102"/>
      <c r="G1421" s="114"/>
    </row>
    <row r="1422" spans="2:7" ht="15.75" customHeight="1" x14ac:dyDescent="0.25">
      <c r="B1422" s="100"/>
      <c r="C1422" s="100"/>
      <c r="D1422" s="100"/>
      <c r="E1422" s="100"/>
      <c r="F1422" s="102"/>
      <c r="G1422" s="114"/>
    </row>
    <row r="1423" spans="2:7" ht="15.75" customHeight="1" x14ac:dyDescent="0.25">
      <c r="B1423" s="100"/>
      <c r="C1423" s="100"/>
      <c r="D1423" s="100"/>
      <c r="E1423" s="100"/>
      <c r="F1423" s="102"/>
      <c r="G1423" s="114"/>
    </row>
    <row r="1424" spans="2:7" ht="15.75" customHeight="1" x14ac:dyDescent="0.25">
      <c r="B1424" s="100"/>
      <c r="C1424" s="100"/>
      <c r="D1424" s="100"/>
      <c r="E1424" s="100"/>
      <c r="F1424" s="102"/>
      <c r="G1424" s="114"/>
    </row>
    <row r="1425" spans="2:7" ht="15.75" customHeight="1" x14ac:dyDescent="0.25">
      <c r="B1425" s="100"/>
      <c r="C1425" s="100"/>
      <c r="D1425" s="100"/>
      <c r="E1425" s="100"/>
      <c r="F1425" s="102"/>
      <c r="G1425" s="114"/>
    </row>
    <row r="1426" spans="2:7" ht="15.75" customHeight="1" x14ac:dyDescent="0.25">
      <c r="B1426" s="100"/>
      <c r="C1426" s="100"/>
      <c r="D1426" s="100"/>
      <c r="E1426" s="100"/>
      <c r="F1426" s="102"/>
      <c r="G1426" s="114"/>
    </row>
    <row r="1427" spans="2:7" ht="15.75" customHeight="1" x14ac:dyDescent="0.25">
      <c r="B1427" s="100"/>
      <c r="C1427" s="100"/>
      <c r="D1427" s="100"/>
      <c r="E1427" s="100"/>
      <c r="F1427" s="102"/>
      <c r="G1427" s="114"/>
    </row>
    <row r="1428" spans="2:7" ht="15.75" customHeight="1" x14ac:dyDescent="0.25">
      <c r="B1428" s="100"/>
      <c r="C1428" s="100"/>
      <c r="D1428" s="100"/>
      <c r="E1428" s="100"/>
      <c r="F1428" s="102"/>
      <c r="G1428" s="114"/>
    </row>
    <row r="1429" spans="2:7" ht="15.75" customHeight="1" x14ac:dyDescent="0.25">
      <c r="B1429" s="100"/>
      <c r="C1429" s="100"/>
      <c r="D1429" s="100"/>
      <c r="E1429" s="100"/>
      <c r="F1429" s="102"/>
      <c r="G1429" s="114"/>
    </row>
    <row r="1430" spans="2:7" ht="15.75" customHeight="1" x14ac:dyDescent="0.25">
      <c r="B1430" s="100"/>
      <c r="C1430" s="100"/>
      <c r="D1430" s="100"/>
      <c r="E1430" s="100"/>
      <c r="F1430" s="102"/>
      <c r="G1430" s="114"/>
    </row>
    <row r="1431" spans="2:7" ht="15.75" customHeight="1" x14ac:dyDescent="0.25">
      <c r="B1431" s="100"/>
      <c r="C1431" s="100"/>
      <c r="D1431" s="100"/>
      <c r="E1431" s="100"/>
      <c r="F1431" s="102"/>
      <c r="G1431" s="114"/>
    </row>
    <row r="1432" spans="2:7" ht="15.75" customHeight="1" x14ac:dyDescent="0.25">
      <c r="B1432" s="100"/>
      <c r="C1432" s="100"/>
      <c r="D1432" s="100"/>
      <c r="E1432" s="100"/>
      <c r="F1432" s="102"/>
      <c r="G1432" s="114"/>
    </row>
    <row r="1433" spans="2:7" ht="15.75" customHeight="1" x14ac:dyDescent="0.25">
      <c r="B1433" s="100"/>
      <c r="C1433" s="100"/>
      <c r="D1433" s="100"/>
      <c r="E1433" s="100"/>
      <c r="F1433" s="102"/>
      <c r="G1433" s="114"/>
    </row>
    <row r="1434" spans="2:7" ht="15.75" customHeight="1" x14ac:dyDescent="0.25">
      <c r="B1434" s="100"/>
      <c r="C1434" s="100"/>
      <c r="D1434" s="100"/>
      <c r="E1434" s="100"/>
      <c r="F1434" s="102"/>
      <c r="G1434" s="114"/>
    </row>
    <row r="1435" spans="2:7" ht="15.75" customHeight="1" x14ac:dyDescent="0.25">
      <c r="B1435" s="100"/>
      <c r="C1435" s="100"/>
      <c r="D1435" s="100"/>
      <c r="E1435" s="100"/>
      <c r="F1435" s="102"/>
      <c r="G1435" s="114"/>
    </row>
    <row r="1436" spans="2:7" ht="15.75" customHeight="1" x14ac:dyDescent="0.25">
      <c r="B1436" s="100"/>
      <c r="C1436" s="100"/>
      <c r="D1436" s="100"/>
      <c r="E1436" s="100"/>
      <c r="F1436" s="102"/>
      <c r="G1436" s="114"/>
    </row>
    <row r="1437" spans="2:7" ht="15.75" customHeight="1" x14ac:dyDescent="0.25">
      <c r="B1437" s="100"/>
      <c r="C1437" s="100"/>
      <c r="D1437" s="100"/>
      <c r="E1437" s="100"/>
      <c r="F1437" s="102"/>
      <c r="G1437" s="114"/>
    </row>
    <row r="1438" spans="2:7" ht="15.75" customHeight="1" x14ac:dyDescent="0.25">
      <c r="B1438" s="100"/>
      <c r="C1438" s="100"/>
      <c r="D1438" s="100"/>
      <c r="E1438" s="100"/>
      <c r="F1438" s="102"/>
      <c r="G1438" s="114"/>
    </row>
    <row r="1439" spans="2:7" ht="15.75" customHeight="1" x14ac:dyDescent="0.25">
      <c r="B1439" s="100"/>
      <c r="C1439" s="100"/>
      <c r="D1439" s="100"/>
      <c r="E1439" s="100"/>
      <c r="F1439" s="102"/>
      <c r="G1439" s="114"/>
    </row>
    <row r="1440" spans="2:7" ht="15.75" customHeight="1" x14ac:dyDescent="0.25">
      <c r="B1440" s="100"/>
      <c r="C1440" s="100"/>
      <c r="D1440" s="100"/>
      <c r="E1440" s="100"/>
      <c r="F1440" s="102"/>
      <c r="G1440" s="114"/>
    </row>
    <row r="1441" spans="2:7" ht="15.75" customHeight="1" x14ac:dyDescent="0.25">
      <c r="B1441" s="100"/>
      <c r="C1441" s="100"/>
      <c r="D1441" s="100"/>
      <c r="E1441" s="100"/>
      <c r="F1441" s="102"/>
      <c r="G1441" s="114"/>
    </row>
    <row r="1442" spans="2:7" ht="15.75" customHeight="1" x14ac:dyDescent="0.25">
      <c r="B1442" s="100"/>
      <c r="C1442" s="100"/>
      <c r="D1442" s="100"/>
      <c r="E1442" s="100"/>
      <c r="F1442" s="102"/>
      <c r="G1442" s="114"/>
    </row>
    <row r="1443" spans="2:7" ht="15.75" customHeight="1" x14ac:dyDescent="0.25">
      <c r="B1443" s="100"/>
      <c r="C1443" s="100"/>
      <c r="D1443" s="100"/>
      <c r="E1443" s="100"/>
      <c r="F1443" s="102"/>
      <c r="G1443" s="114"/>
    </row>
    <row r="1444" spans="2:7" ht="15.75" customHeight="1" x14ac:dyDescent="0.25">
      <c r="B1444" s="100"/>
      <c r="C1444" s="100"/>
      <c r="D1444" s="100"/>
      <c r="E1444" s="100"/>
      <c r="F1444" s="102"/>
      <c r="G1444" s="114"/>
    </row>
    <row r="1445" spans="2:7" ht="15.75" customHeight="1" x14ac:dyDescent="0.25">
      <c r="B1445" s="100"/>
      <c r="C1445" s="100"/>
      <c r="D1445" s="100"/>
      <c r="E1445" s="100"/>
      <c r="F1445" s="102"/>
      <c r="G1445" s="114"/>
    </row>
    <row r="1446" spans="2:7" ht="15.75" customHeight="1" x14ac:dyDescent="0.25">
      <c r="B1446" s="100"/>
      <c r="C1446" s="100"/>
      <c r="D1446" s="100"/>
      <c r="E1446" s="100"/>
      <c r="F1446" s="102"/>
      <c r="G1446" s="114"/>
    </row>
    <row r="1447" spans="2:7" ht="15.75" customHeight="1" x14ac:dyDescent="0.25">
      <c r="B1447" s="100"/>
      <c r="C1447" s="100"/>
      <c r="D1447" s="100"/>
      <c r="E1447" s="100"/>
      <c r="F1447" s="102"/>
      <c r="G1447" s="114"/>
    </row>
    <row r="1448" spans="2:7" ht="15.75" customHeight="1" x14ac:dyDescent="0.25">
      <c r="B1448" s="100"/>
      <c r="C1448" s="100"/>
      <c r="D1448" s="100"/>
      <c r="E1448" s="100"/>
      <c r="F1448" s="102"/>
      <c r="G1448" s="114"/>
    </row>
    <row r="1449" spans="2:7" ht="15.75" customHeight="1" x14ac:dyDescent="0.25">
      <c r="B1449" s="100"/>
      <c r="C1449" s="100"/>
      <c r="D1449" s="100"/>
      <c r="E1449" s="100"/>
      <c r="F1449" s="102"/>
      <c r="G1449" s="114"/>
    </row>
    <row r="1450" spans="2:7" ht="15.75" customHeight="1" x14ac:dyDescent="0.25">
      <c r="B1450" s="100"/>
      <c r="C1450" s="100"/>
      <c r="D1450" s="100"/>
      <c r="E1450" s="100"/>
      <c r="F1450" s="102"/>
      <c r="G1450" s="114"/>
    </row>
    <row r="1451" spans="2:7" ht="15.75" customHeight="1" x14ac:dyDescent="0.25">
      <c r="B1451" s="100"/>
      <c r="C1451" s="100"/>
      <c r="D1451" s="100"/>
      <c r="E1451" s="100"/>
      <c r="F1451" s="102"/>
      <c r="G1451" s="114"/>
    </row>
    <row r="1452" spans="2:7" ht="15.75" customHeight="1" x14ac:dyDescent="0.25">
      <c r="B1452" s="100"/>
      <c r="C1452" s="100"/>
      <c r="D1452" s="100"/>
      <c r="E1452" s="100"/>
      <c r="F1452" s="102"/>
      <c r="G1452" s="114"/>
    </row>
    <row r="1453" spans="2:7" ht="15.75" customHeight="1" x14ac:dyDescent="0.25">
      <c r="B1453" s="100"/>
      <c r="C1453" s="100"/>
      <c r="D1453" s="100"/>
      <c r="E1453" s="100"/>
      <c r="F1453" s="102"/>
      <c r="G1453" s="114"/>
    </row>
    <row r="1454" spans="2:7" ht="15.75" customHeight="1" x14ac:dyDescent="0.25">
      <c r="B1454" s="100"/>
      <c r="C1454" s="100"/>
      <c r="D1454" s="100"/>
      <c r="E1454" s="100"/>
      <c r="F1454" s="102"/>
      <c r="G1454" s="114"/>
    </row>
    <row r="1455" spans="2:7" ht="15.75" customHeight="1" x14ac:dyDescent="0.25">
      <c r="B1455" s="100"/>
      <c r="C1455" s="100"/>
      <c r="D1455" s="100"/>
      <c r="E1455" s="100"/>
      <c r="F1455" s="102"/>
      <c r="G1455" s="114"/>
    </row>
    <row r="1456" spans="2:7" ht="15.75" customHeight="1" x14ac:dyDescent="0.25">
      <c r="B1456" s="100"/>
      <c r="C1456" s="100"/>
      <c r="D1456" s="100"/>
      <c r="E1456" s="100"/>
      <c r="F1456" s="102"/>
      <c r="G1456" s="114"/>
    </row>
    <row r="1457" spans="2:7" ht="15.75" customHeight="1" x14ac:dyDescent="0.25">
      <c r="B1457" s="100"/>
      <c r="C1457" s="100"/>
      <c r="D1457" s="100"/>
      <c r="E1457" s="100"/>
      <c r="F1457" s="102"/>
      <c r="G1457" s="114"/>
    </row>
    <row r="1458" spans="2:7" ht="15.75" customHeight="1" x14ac:dyDescent="0.25">
      <c r="B1458" s="100"/>
      <c r="C1458" s="100"/>
      <c r="D1458" s="100"/>
      <c r="E1458" s="100"/>
      <c r="F1458" s="102"/>
      <c r="G1458" s="114"/>
    </row>
    <row r="1459" spans="2:7" ht="15.75" customHeight="1" x14ac:dyDescent="0.25">
      <c r="B1459" s="100"/>
      <c r="C1459" s="100"/>
      <c r="D1459" s="100"/>
      <c r="E1459" s="100"/>
      <c r="F1459" s="102"/>
      <c r="G1459" s="114"/>
    </row>
    <row r="1460" spans="2:7" ht="15.75" customHeight="1" x14ac:dyDescent="0.25">
      <c r="B1460" s="100"/>
      <c r="C1460" s="100"/>
      <c r="D1460" s="100"/>
      <c r="E1460" s="100"/>
      <c r="F1460" s="102"/>
      <c r="G1460" s="114"/>
    </row>
    <row r="1461" spans="2:7" ht="15.75" customHeight="1" x14ac:dyDescent="0.25">
      <c r="B1461" s="100"/>
      <c r="C1461" s="100"/>
      <c r="D1461" s="100"/>
      <c r="E1461" s="100"/>
      <c r="F1461" s="102"/>
      <c r="G1461" s="114"/>
    </row>
    <row r="1462" spans="2:7" ht="15.75" customHeight="1" x14ac:dyDescent="0.25">
      <c r="B1462" s="100"/>
      <c r="C1462" s="100"/>
      <c r="D1462" s="100"/>
      <c r="E1462" s="100"/>
      <c r="F1462" s="102"/>
      <c r="G1462" s="114"/>
    </row>
    <row r="1463" spans="2:7" ht="15.75" customHeight="1" x14ac:dyDescent="0.25">
      <c r="B1463" s="100"/>
      <c r="C1463" s="100"/>
      <c r="D1463" s="100"/>
      <c r="E1463" s="100"/>
      <c r="F1463" s="102"/>
      <c r="G1463" s="114"/>
    </row>
    <row r="1464" spans="2:7" ht="15.75" customHeight="1" x14ac:dyDescent="0.25">
      <c r="B1464" s="100"/>
      <c r="C1464" s="100"/>
      <c r="D1464" s="100"/>
      <c r="E1464" s="100"/>
      <c r="F1464" s="102"/>
      <c r="G1464" s="114"/>
    </row>
    <row r="1465" spans="2:7" ht="15.75" customHeight="1" x14ac:dyDescent="0.25">
      <c r="B1465" s="100"/>
      <c r="C1465" s="100"/>
      <c r="D1465" s="100"/>
      <c r="E1465" s="100"/>
      <c r="F1465" s="102"/>
      <c r="G1465" s="114"/>
    </row>
    <row r="1466" spans="2:7" ht="15.75" customHeight="1" x14ac:dyDescent="0.25">
      <c r="B1466" s="100"/>
      <c r="C1466" s="100"/>
      <c r="D1466" s="100"/>
      <c r="E1466" s="100"/>
      <c r="F1466" s="102"/>
      <c r="G1466" s="114"/>
    </row>
    <row r="1467" spans="2:7" ht="15.75" customHeight="1" x14ac:dyDescent="0.25">
      <c r="B1467" s="100"/>
      <c r="C1467" s="100"/>
      <c r="D1467" s="100"/>
      <c r="E1467" s="100"/>
      <c r="F1467" s="102"/>
      <c r="G1467" s="114"/>
    </row>
    <row r="1468" spans="2:7" ht="15.75" customHeight="1" x14ac:dyDescent="0.25">
      <c r="B1468" s="100"/>
      <c r="C1468" s="100"/>
      <c r="D1468" s="100"/>
      <c r="E1468" s="100"/>
      <c r="F1468" s="102"/>
      <c r="G1468" s="114"/>
    </row>
    <row r="1469" spans="2:7" ht="15.75" customHeight="1" x14ac:dyDescent="0.25">
      <c r="B1469" s="100"/>
      <c r="C1469" s="100"/>
      <c r="D1469" s="100"/>
      <c r="E1469" s="100"/>
      <c r="F1469" s="102"/>
      <c r="G1469" s="114"/>
    </row>
    <row r="1470" spans="2:7" ht="15.75" customHeight="1" x14ac:dyDescent="0.25">
      <c r="B1470" s="100"/>
      <c r="C1470" s="100"/>
      <c r="D1470" s="100"/>
      <c r="E1470" s="100"/>
      <c r="F1470" s="102"/>
      <c r="G1470" s="114"/>
    </row>
    <row r="1471" spans="2:7" ht="15.75" customHeight="1" x14ac:dyDescent="0.25">
      <c r="B1471" s="100"/>
      <c r="C1471" s="100"/>
      <c r="D1471" s="100"/>
      <c r="E1471" s="100"/>
      <c r="F1471" s="102"/>
      <c r="G1471" s="114"/>
    </row>
    <row r="1472" spans="2:7" ht="15.75" customHeight="1" x14ac:dyDescent="0.25">
      <c r="B1472" s="100"/>
      <c r="C1472" s="100"/>
      <c r="D1472" s="100"/>
      <c r="E1472" s="100"/>
      <c r="F1472" s="102"/>
      <c r="G1472" s="114"/>
    </row>
    <row r="1473" spans="2:7" ht="15.75" customHeight="1" x14ac:dyDescent="0.25">
      <c r="B1473" s="100"/>
      <c r="C1473" s="100"/>
      <c r="D1473" s="100"/>
      <c r="E1473" s="100"/>
      <c r="F1473" s="102"/>
      <c r="G1473" s="114"/>
    </row>
    <row r="1474" spans="2:7" ht="15.75" customHeight="1" x14ac:dyDescent="0.25">
      <c r="B1474" s="100"/>
      <c r="C1474" s="100"/>
      <c r="D1474" s="100"/>
      <c r="E1474" s="100"/>
      <c r="F1474" s="102"/>
      <c r="G1474" s="114"/>
    </row>
    <row r="1475" spans="2:7" ht="15.75" customHeight="1" x14ac:dyDescent="0.25">
      <c r="B1475" s="100"/>
      <c r="C1475" s="100"/>
      <c r="D1475" s="100"/>
      <c r="E1475" s="100"/>
      <c r="F1475" s="102"/>
      <c r="G1475" s="114"/>
    </row>
    <row r="1476" spans="2:7" ht="15.75" customHeight="1" x14ac:dyDescent="0.25">
      <c r="B1476" s="100"/>
      <c r="C1476" s="100"/>
      <c r="D1476" s="100"/>
      <c r="E1476" s="100"/>
      <c r="F1476" s="102"/>
      <c r="G1476" s="114"/>
    </row>
    <row r="1477" spans="2:7" ht="15.75" customHeight="1" x14ac:dyDescent="0.25">
      <c r="B1477" s="100"/>
      <c r="C1477" s="100"/>
      <c r="D1477" s="100"/>
      <c r="E1477" s="100"/>
      <c r="F1477" s="102"/>
      <c r="G1477" s="114"/>
    </row>
    <row r="1478" spans="2:7" ht="15.75" customHeight="1" x14ac:dyDescent="0.25">
      <c r="B1478" s="100"/>
      <c r="C1478" s="100"/>
      <c r="D1478" s="100"/>
      <c r="E1478" s="100"/>
      <c r="F1478" s="102"/>
      <c r="G1478" s="114"/>
    </row>
    <row r="1479" spans="2:7" ht="15.75" customHeight="1" x14ac:dyDescent="0.25">
      <c r="B1479" s="100"/>
      <c r="C1479" s="100"/>
      <c r="D1479" s="100"/>
      <c r="E1479" s="100"/>
      <c r="F1479" s="102"/>
      <c r="G1479" s="114"/>
    </row>
    <row r="1480" spans="2:7" ht="15.75" customHeight="1" x14ac:dyDescent="0.25">
      <c r="B1480" s="100"/>
      <c r="C1480" s="100"/>
      <c r="D1480" s="100"/>
      <c r="E1480" s="100"/>
      <c r="F1480" s="102"/>
      <c r="G1480" s="114"/>
    </row>
    <row r="1481" spans="2:7" ht="15.75" customHeight="1" x14ac:dyDescent="0.25">
      <c r="B1481" s="100"/>
      <c r="C1481" s="100"/>
      <c r="D1481" s="100"/>
      <c r="E1481" s="100"/>
      <c r="F1481" s="102"/>
      <c r="G1481" s="114"/>
    </row>
    <row r="1482" spans="2:7" ht="15.75" customHeight="1" x14ac:dyDescent="0.25">
      <c r="B1482" s="100"/>
      <c r="C1482" s="100"/>
      <c r="D1482" s="100"/>
      <c r="E1482" s="100"/>
      <c r="F1482" s="102"/>
      <c r="G1482" s="114"/>
    </row>
    <row r="1483" spans="2:7" ht="15.75" customHeight="1" x14ac:dyDescent="0.25">
      <c r="B1483" s="100"/>
      <c r="C1483" s="100"/>
      <c r="D1483" s="100"/>
      <c r="E1483" s="100"/>
      <c r="F1483" s="102"/>
      <c r="G1483" s="114"/>
    </row>
    <row r="1484" spans="2:7" ht="15.75" customHeight="1" x14ac:dyDescent="0.25">
      <c r="B1484" s="100"/>
      <c r="C1484" s="100"/>
      <c r="D1484" s="100"/>
      <c r="E1484" s="100"/>
      <c r="F1484" s="102"/>
      <c r="G1484" s="114"/>
    </row>
    <row r="1485" spans="2:7" ht="15.75" customHeight="1" x14ac:dyDescent="0.25">
      <c r="B1485" s="100"/>
      <c r="C1485" s="100"/>
      <c r="D1485" s="100"/>
      <c r="E1485" s="100"/>
      <c r="F1485" s="102"/>
      <c r="G1485" s="114"/>
    </row>
    <row r="1486" spans="2:7" ht="15.75" customHeight="1" x14ac:dyDescent="0.25">
      <c r="B1486" s="100"/>
      <c r="C1486" s="100"/>
      <c r="D1486" s="100"/>
      <c r="E1486" s="100"/>
      <c r="F1486" s="102"/>
      <c r="G1486" s="114"/>
    </row>
    <row r="1487" spans="2:7" ht="15.75" customHeight="1" x14ac:dyDescent="0.25">
      <c r="B1487" s="100"/>
      <c r="C1487" s="100"/>
      <c r="D1487" s="100"/>
      <c r="E1487" s="100"/>
      <c r="F1487" s="102"/>
      <c r="G1487" s="114"/>
    </row>
    <row r="1488" spans="2:7" ht="15.75" customHeight="1" x14ac:dyDescent="0.25">
      <c r="B1488" s="100"/>
      <c r="C1488" s="100"/>
      <c r="D1488" s="100"/>
      <c r="E1488" s="100"/>
      <c r="F1488" s="102"/>
      <c r="G1488" s="114"/>
    </row>
    <row r="1489" spans="2:7" ht="15.75" customHeight="1" x14ac:dyDescent="0.25">
      <c r="B1489" s="100"/>
      <c r="C1489" s="100"/>
      <c r="D1489" s="100"/>
      <c r="E1489" s="100"/>
      <c r="F1489" s="102"/>
      <c r="G1489" s="114"/>
    </row>
    <row r="1490" spans="2:7" ht="15.75" customHeight="1" x14ac:dyDescent="0.25">
      <c r="B1490" s="100"/>
      <c r="C1490" s="100"/>
      <c r="D1490" s="100"/>
      <c r="E1490" s="100"/>
      <c r="F1490" s="102"/>
      <c r="G1490" s="114"/>
    </row>
    <row r="1491" spans="2:7" ht="15.75" customHeight="1" x14ac:dyDescent="0.25">
      <c r="B1491" s="100"/>
      <c r="C1491" s="100"/>
      <c r="D1491" s="100"/>
      <c r="E1491" s="100"/>
      <c r="F1491" s="102"/>
      <c r="G1491" s="114"/>
    </row>
    <row r="1492" spans="2:7" ht="15.75" customHeight="1" x14ac:dyDescent="0.25">
      <c r="B1492" s="100"/>
      <c r="C1492" s="100"/>
      <c r="D1492" s="100"/>
      <c r="E1492" s="100"/>
      <c r="F1492" s="102"/>
      <c r="G1492" s="114"/>
    </row>
    <row r="1493" spans="2:7" ht="15.75" customHeight="1" x14ac:dyDescent="0.25">
      <c r="B1493" s="100"/>
      <c r="C1493" s="100"/>
      <c r="D1493" s="100"/>
      <c r="E1493" s="100"/>
      <c r="F1493" s="102"/>
      <c r="G1493" s="114"/>
    </row>
    <row r="1494" spans="2:7" ht="15.75" customHeight="1" x14ac:dyDescent="0.25">
      <c r="B1494" s="100"/>
      <c r="C1494" s="100"/>
      <c r="D1494" s="100"/>
      <c r="E1494" s="100"/>
      <c r="F1494" s="102"/>
      <c r="G1494" s="114"/>
    </row>
    <row r="1495" spans="2:7" ht="15.75" customHeight="1" x14ac:dyDescent="0.25">
      <c r="B1495" s="100"/>
      <c r="C1495" s="100"/>
      <c r="D1495" s="100"/>
      <c r="E1495" s="100"/>
      <c r="F1495" s="102"/>
      <c r="G1495" s="114"/>
    </row>
    <row r="1496" spans="2:7" ht="15.75" customHeight="1" x14ac:dyDescent="0.25">
      <c r="B1496" s="100"/>
      <c r="C1496" s="100"/>
      <c r="D1496" s="100"/>
      <c r="E1496" s="100"/>
      <c r="F1496" s="102"/>
      <c r="G1496" s="114"/>
    </row>
    <row r="1497" spans="2:7" ht="15.75" customHeight="1" x14ac:dyDescent="0.25">
      <c r="B1497" s="100"/>
      <c r="C1497" s="100"/>
      <c r="D1497" s="100"/>
      <c r="E1497" s="100"/>
      <c r="F1497" s="102"/>
      <c r="G1497" s="114"/>
    </row>
    <row r="1498" spans="2:7" ht="15.75" customHeight="1" x14ac:dyDescent="0.25">
      <c r="B1498" s="100"/>
      <c r="C1498" s="100"/>
      <c r="D1498" s="100"/>
      <c r="E1498" s="100"/>
      <c r="F1498" s="102"/>
      <c r="G1498" s="114"/>
    </row>
    <row r="1499" spans="2:7" ht="15.75" customHeight="1" x14ac:dyDescent="0.25">
      <c r="B1499" s="100"/>
      <c r="C1499" s="100"/>
      <c r="D1499" s="100"/>
      <c r="E1499" s="100"/>
      <c r="F1499" s="102"/>
      <c r="G1499" s="114"/>
    </row>
    <row r="1500" spans="2:7" ht="15.75" customHeight="1" x14ac:dyDescent="0.25">
      <c r="B1500" s="100"/>
      <c r="C1500" s="100"/>
      <c r="D1500" s="100"/>
      <c r="E1500" s="100"/>
      <c r="F1500" s="102"/>
      <c r="G1500" s="114"/>
    </row>
    <row r="1501" spans="2:7" ht="15.75" customHeight="1" x14ac:dyDescent="0.25">
      <c r="B1501" s="100"/>
      <c r="C1501" s="100"/>
      <c r="D1501" s="100"/>
      <c r="E1501" s="100"/>
      <c r="F1501" s="102"/>
      <c r="G1501" s="114"/>
    </row>
    <row r="1502" spans="2:7" ht="15.75" customHeight="1" x14ac:dyDescent="0.25">
      <c r="B1502" s="100"/>
      <c r="C1502" s="100"/>
      <c r="D1502" s="100"/>
      <c r="E1502" s="100"/>
      <c r="F1502" s="102"/>
      <c r="G1502" s="114"/>
    </row>
    <row r="1503" spans="2:7" ht="15.75" customHeight="1" x14ac:dyDescent="0.25">
      <c r="B1503" s="100"/>
      <c r="C1503" s="100"/>
      <c r="D1503" s="100"/>
      <c r="E1503" s="100"/>
      <c r="F1503" s="102"/>
      <c r="G1503" s="114"/>
    </row>
    <row r="1504" spans="2:7" ht="15.75" customHeight="1" x14ac:dyDescent="0.25">
      <c r="B1504" s="100"/>
      <c r="C1504" s="100"/>
      <c r="D1504" s="100"/>
      <c r="E1504" s="100"/>
      <c r="F1504" s="102"/>
      <c r="G1504" s="114"/>
    </row>
    <row r="1505" spans="2:7" ht="15.75" customHeight="1" x14ac:dyDescent="0.25">
      <c r="B1505" s="100"/>
      <c r="C1505" s="100"/>
      <c r="D1505" s="100"/>
      <c r="E1505" s="100"/>
      <c r="F1505" s="102"/>
      <c r="G1505" s="114"/>
    </row>
    <row r="1506" spans="2:7" ht="15.75" customHeight="1" x14ac:dyDescent="0.25">
      <c r="B1506" s="100"/>
      <c r="C1506" s="100"/>
      <c r="D1506" s="100"/>
      <c r="E1506" s="100"/>
      <c r="F1506" s="102"/>
      <c r="G1506" s="114"/>
    </row>
    <row r="1507" spans="2:7" ht="15.75" customHeight="1" x14ac:dyDescent="0.25">
      <c r="B1507" s="100"/>
      <c r="C1507" s="100"/>
      <c r="D1507" s="100"/>
      <c r="E1507" s="100"/>
      <c r="F1507" s="102"/>
      <c r="G1507" s="114"/>
    </row>
    <row r="1508" spans="2:7" ht="15.75" customHeight="1" x14ac:dyDescent="0.25">
      <c r="B1508" s="100"/>
      <c r="C1508" s="100"/>
      <c r="D1508" s="100"/>
      <c r="E1508" s="100"/>
      <c r="F1508" s="102"/>
      <c r="G1508" s="114"/>
    </row>
    <row r="1509" spans="2:7" ht="15.75" customHeight="1" x14ac:dyDescent="0.25">
      <c r="B1509" s="100"/>
      <c r="C1509" s="100"/>
      <c r="D1509" s="100"/>
      <c r="E1509" s="100"/>
      <c r="F1509" s="102"/>
      <c r="G1509" s="114"/>
    </row>
    <row r="1510" spans="2:7" ht="15.75" customHeight="1" x14ac:dyDescent="0.25">
      <c r="B1510" s="100"/>
      <c r="C1510" s="100"/>
      <c r="D1510" s="100"/>
      <c r="E1510" s="100"/>
      <c r="F1510" s="102"/>
      <c r="G1510" s="114"/>
    </row>
    <row r="1511" spans="2:7" ht="15.75" customHeight="1" x14ac:dyDescent="0.25">
      <c r="B1511" s="100"/>
      <c r="C1511" s="100"/>
      <c r="D1511" s="100"/>
      <c r="E1511" s="100"/>
      <c r="F1511" s="102"/>
      <c r="G1511" s="114"/>
    </row>
    <row r="1512" spans="2:7" ht="15.75" customHeight="1" x14ac:dyDescent="0.25">
      <c r="B1512" s="100"/>
      <c r="C1512" s="100"/>
      <c r="D1512" s="100"/>
      <c r="E1512" s="100"/>
      <c r="F1512" s="102"/>
      <c r="G1512" s="114"/>
    </row>
    <row r="1513" spans="2:7" ht="15.75" customHeight="1" x14ac:dyDescent="0.25">
      <c r="B1513" s="100"/>
      <c r="C1513" s="100"/>
      <c r="D1513" s="100"/>
      <c r="E1513" s="100"/>
      <c r="F1513" s="102"/>
      <c r="G1513" s="114"/>
    </row>
    <row r="1514" spans="2:7" ht="15.75" customHeight="1" x14ac:dyDescent="0.25">
      <c r="B1514" s="100"/>
      <c r="C1514" s="100"/>
      <c r="D1514" s="100"/>
      <c r="E1514" s="100"/>
      <c r="F1514" s="102"/>
      <c r="G1514" s="114"/>
    </row>
    <row r="1515" spans="2:7" ht="15.75" customHeight="1" x14ac:dyDescent="0.25">
      <c r="B1515" s="100"/>
      <c r="C1515" s="100"/>
      <c r="D1515" s="100"/>
      <c r="E1515" s="100"/>
      <c r="F1515" s="102"/>
      <c r="G1515" s="114"/>
    </row>
    <row r="1516" spans="2:7" ht="15.75" customHeight="1" x14ac:dyDescent="0.25">
      <c r="B1516" s="100"/>
      <c r="C1516" s="100"/>
      <c r="D1516" s="100"/>
      <c r="E1516" s="100"/>
      <c r="F1516" s="102"/>
      <c r="G1516" s="114"/>
    </row>
    <row r="1517" spans="2:7" ht="15.75" customHeight="1" x14ac:dyDescent="0.25">
      <c r="B1517" s="100"/>
      <c r="C1517" s="100"/>
      <c r="D1517" s="100"/>
      <c r="E1517" s="100"/>
      <c r="F1517" s="102"/>
      <c r="G1517" s="114"/>
    </row>
    <row r="1518" spans="2:7" ht="15.75" customHeight="1" x14ac:dyDescent="0.25">
      <c r="B1518" s="100"/>
      <c r="C1518" s="100"/>
      <c r="D1518" s="100"/>
      <c r="E1518" s="100"/>
      <c r="F1518" s="102"/>
      <c r="G1518" s="114"/>
    </row>
    <row r="1519" spans="2:7" ht="15.75" customHeight="1" x14ac:dyDescent="0.25">
      <c r="B1519" s="100"/>
      <c r="C1519" s="100"/>
      <c r="D1519" s="100"/>
      <c r="E1519" s="100"/>
      <c r="F1519" s="102"/>
      <c r="G1519" s="114"/>
    </row>
    <row r="1520" spans="2:7" ht="15.75" customHeight="1" x14ac:dyDescent="0.25">
      <c r="B1520" s="100"/>
      <c r="C1520" s="100"/>
      <c r="D1520" s="100"/>
      <c r="E1520" s="100"/>
      <c r="F1520" s="102"/>
      <c r="G1520" s="114"/>
    </row>
    <row r="1521" spans="2:7" ht="15.75" customHeight="1" x14ac:dyDescent="0.25">
      <c r="B1521" s="100"/>
      <c r="C1521" s="100"/>
      <c r="D1521" s="100"/>
      <c r="E1521" s="100"/>
      <c r="F1521" s="102"/>
      <c r="G1521" s="114"/>
    </row>
    <row r="1522" spans="2:7" ht="15.75" customHeight="1" x14ac:dyDescent="0.25">
      <c r="B1522" s="100"/>
      <c r="C1522" s="100"/>
      <c r="D1522" s="100"/>
      <c r="E1522" s="100"/>
      <c r="F1522" s="102"/>
      <c r="G1522" s="114"/>
    </row>
    <row r="1523" spans="2:7" ht="15.75" customHeight="1" x14ac:dyDescent="0.25">
      <c r="B1523" s="100"/>
      <c r="C1523" s="100"/>
      <c r="D1523" s="100"/>
      <c r="E1523" s="100"/>
      <c r="F1523" s="102"/>
      <c r="G1523" s="114"/>
    </row>
    <row r="1524" spans="2:7" ht="15.75" customHeight="1" x14ac:dyDescent="0.25">
      <c r="B1524" s="100"/>
      <c r="C1524" s="100"/>
      <c r="D1524" s="100"/>
      <c r="E1524" s="100"/>
      <c r="F1524" s="102"/>
      <c r="G1524" s="114"/>
    </row>
    <row r="1525" spans="2:7" ht="15.75" customHeight="1" x14ac:dyDescent="0.25">
      <c r="B1525" s="100"/>
      <c r="C1525" s="100"/>
      <c r="D1525" s="100"/>
      <c r="E1525" s="100"/>
      <c r="F1525" s="102"/>
      <c r="G1525" s="114"/>
    </row>
    <row r="1526" spans="2:7" ht="15.75" customHeight="1" x14ac:dyDescent="0.25">
      <c r="B1526" s="100"/>
      <c r="C1526" s="100"/>
      <c r="D1526" s="100"/>
      <c r="E1526" s="100"/>
      <c r="F1526" s="102"/>
      <c r="G1526" s="114"/>
    </row>
    <row r="1527" spans="2:7" ht="15.75" customHeight="1" x14ac:dyDescent="0.25">
      <c r="B1527" s="100"/>
      <c r="C1527" s="100"/>
      <c r="D1527" s="100"/>
      <c r="E1527" s="100"/>
      <c r="F1527" s="102"/>
      <c r="G1527" s="114"/>
    </row>
    <row r="1528" spans="2:7" ht="15.75" customHeight="1" x14ac:dyDescent="0.25">
      <c r="B1528" s="100"/>
      <c r="C1528" s="100"/>
      <c r="D1528" s="100"/>
      <c r="E1528" s="100"/>
      <c r="F1528" s="102"/>
      <c r="G1528" s="114"/>
    </row>
    <row r="1529" spans="2:7" ht="15.75" customHeight="1" x14ac:dyDescent="0.25">
      <c r="B1529" s="100"/>
      <c r="C1529" s="100"/>
      <c r="D1529" s="100"/>
      <c r="E1529" s="100"/>
      <c r="F1529" s="102"/>
      <c r="G1529" s="114"/>
    </row>
    <row r="1530" spans="2:7" ht="15.75" customHeight="1" x14ac:dyDescent="0.25">
      <c r="B1530" s="100"/>
      <c r="C1530" s="100"/>
      <c r="D1530" s="100"/>
      <c r="E1530" s="100"/>
      <c r="F1530" s="102"/>
      <c r="G1530" s="114"/>
    </row>
    <row r="1531" spans="2:7" ht="15.75" customHeight="1" x14ac:dyDescent="0.25">
      <c r="B1531" s="100"/>
      <c r="C1531" s="100"/>
      <c r="D1531" s="100"/>
      <c r="E1531" s="100"/>
      <c r="F1531" s="102"/>
      <c r="G1531" s="114"/>
    </row>
    <row r="1532" spans="2:7" ht="15.75" customHeight="1" x14ac:dyDescent="0.25">
      <c r="B1532" s="100"/>
      <c r="C1532" s="100"/>
      <c r="D1532" s="100"/>
      <c r="E1532" s="100"/>
      <c r="F1532" s="102"/>
      <c r="G1532" s="114"/>
    </row>
    <row r="1533" spans="2:7" ht="15.75" customHeight="1" x14ac:dyDescent="0.25">
      <c r="B1533" s="100"/>
      <c r="C1533" s="100"/>
      <c r="D1533" s="100"/>
      <c r="E1533" s="100"/>
      <c r="F1533" s="102"/>
      <c r="G1533" s="114"/>
    </row>
    <row r="1534" spans="2:7" ht="15.75" customHeight="1" x14ac:dyDescent="0.25">
      <c r="B1534" s="100"/>
      <c r="C1534" s="100"/>
      <c r="D1534" s="100"/>
      <c r="E1534" s="100"/>
      <c r="F1534" s="102"/>
      <c r="G1534" s="114"/>
    </row>
    <row r="1535" spans="2:7" ht="15.75" customHeight="1" x14ac:dyDescent="0.25">
      <c r="B1535" s="100"/>
      <c r="C1535" s="100"/>
      <c r="D1535" s="100"/>
      <c r="E1535" s="100"/>
      <c r="F1535" s="102"/>
      <c r="G1535" s="114"/>
    </row>
    <row r="1536" spans="2:7" ht="15.75" customHeight="1" x14ac:dyDescent="0.25">
      <c r="B1536" s="100"/>
      <c r="C1536" s="100"/>
      <c r="D1536" s="100"/>
      <c r="E1536" s="100"/>
      <c r="F1536" s="102"/>
      <c r="G1536" s="114"/>
    </row>
    <row r="1537" spans="2:7" ht="15.75" customHeight="1" x14ac:dyDescent="0.25">
      <c r="B1537" s="100"/>
      <c r="C1537" s="100"/>
      <c r="D1537" s="100"/>
      <c r="E1537" s="100"/>
      <c r="F1537" s="102"/>
      <c r="G1537" s="114"/>
    </row>
    <row r="1538" spans="2:7" ht="15.75" customHeight="1" x14ac:dyDescent="0.25">
      <c r="B1538" s="100"/>
      <c r="C1538" s="100"/>
      <c r="D1538" s="100"/>
      <c r="E1538" s="100"/>
      <c r="F1538" s="102"/>
      <c r="G1538" s="114"/>
    </row>
    <row r="1539" spans="2:7" ht="15.75" customHeight="1" x14ac:dyDescent="0.25">
      <c r="B1539" s="100"/>
      <c r="C1539" s="100"/>
      <c r="D1539" s="100"/>
      <c r="E1539" s="100"/>
      <c r="F1539" s="102"/>
      <c r="G1539" s="114"/>
    </row>
    <row r="1540" spans="2:7" ht="15.75" customHeight="1" x14ac:dyDescent="0.25">
      <c r="B1540" s="100"/>
      <c r="C1540" s="100"/>
      <c r="D1540" s="100"/>
      <c r="E1540" s="100"/>
      <c r="F1540" s="102"/>
      <c r="G1540" s="114"/>
    </row>
    <row r="1541" spans="2:7" ht="15.75" customHeight="1" x14ac:dyDescent="0.25">
      <c r="B1541" s="100"/>
      <c r="C1541" s="100"/>
      <c r="D1541" s="100"/>
      <c r="E1541" s="100"/>
      <c r="F1541" s="102"/>
      <c r="G1541" s="114"/>
    </row>
    <row r="1542" spans="2:7" ht="15.75" customHeight="1" x14ac:dyDescent="0.25">
      <c r="B1542" s="100"/>
      <c r="C1542" s="100"/>
      <c r="D1542" s="100"/>
      <c r="E1542" s="100"/>
      <c r="F1542" s="102"/>
      <c r="G1542" s="114"/>
    </row>
    <row r="1543" spans="2:7" ht="15.75" customHeight="1" x14ac:dyDescent="0.25">
      <c r="B1543" s="100"/>
      <c r="C1543" s="100"/>
      <c r="D1543" s="100"/>
      <c r="E1543" s="100"/>
      <c r="F1543" s="102"/>
      <c r="G1543" s="114"/>
    </row>
    <row r="1544" spans="2:7" ht="15.75" customHeight="1" x14ac:dyDescent="0.25">
      <c r="B1544" s="100"/>
      <c r="C1544" s="100"/>
      <c r="D1544" s="100"/>
      <c r="E1544" s="100"/>
      <c r="F1544" s="102"/>
      <c r="G1544" s="114"/>
    </row>
    <row r="1545" spans="2:7" ht="15.75" customHeight="1" x14ac:dyDescent="0.25">
      <c r="B1545" s="100"/>
      <c r="C1545" s="100"/>
      <c r="D1545" s="100"/>
      <c r="E1545" s="100"/>
      <c r="F1545" s="102"/>
      <c r="G1545" s="114"/>
    </row>
    <row r="1546" spans="2:7" ht="15.75" customHeight="1" x14ac:dyDescent="0.25">
      <c r="B1546" s="100"/>
      <c r="C1546" s="100"/>
      <c r="D1546" s="100"/>
      <c r="E1546" s="100"/>
      <c r="F1546" s="102"/>
      <c r="G1546" s="114"/>
    </row>
    <row r="1547" spans="2:7" ht="15.75" customHeight="1" x14ac:dyDescent="0.25">
      <c r="B1547" s="100"/>
      <c r="C1547" s="100"/>
      <c r="D1547" s="100"/>
      <c r="E1547" s="100"/>
      <c r="F1547" s="102"/>
      <c r="G1547" s="114"/>
    </row>
    <row r="1548" spans="2:7" ht="15.75" customHeight="1" x14ac:dyDescent="0.25">
      <c r="B1548" s="100"/>
      <c r="C1548" s="100"/>
      <c r="D1548" s="100"/>
      <c r="E1548" s="100"/>
      <c r="F1548" s="102"/>
      <c r="G1548" s="114"/>
    </row>
    <row r="1549" spans="2:7" ht="15.75" customHeight="1" x14ac:dyDescent="0.25">
      <c r="B1549" s="100"/>
      <c r="C1549" s="100"/>
      <c r="D1549" s="100"/>
      <c r="E1549" s="100"/>
      <c r="F1549" s="102"/>
      <c r="G1549" s="114"/>
    </row>
    <row r="1550" spans="2:7" ht="15.75" customHeight="1" x14ac:dyDescent="0.25">
      <c r="B1550" s="100"/>
      <c r="C1550" s="100"/>
      <c r="D1550" s="100"/>
      <c r="E1550" s="100"/>
      <c r="F1550" s="102"/>
      <c r="G1550" s="114"/>
    </row>
    <row r="1551" spans="2:7" ht="15.75" customHeight="1" x14ac:dyDescent="0.25">
      <c r="B1551" s="100"/>
      <c r="C1551" s="100"/>
      <c r="D1551" s="100"/>
      <c r="E1551" s="100"/>
      <c r="F1551" s="102"/>
      <c r="G1551" s="114"/>
    </row>
    <row r="1552" spans="2:7" ht="15.75" customHeight="1" x14ac:dyDescent="0.25">
      <c r="B1552" s="100"/>
      <c r="C1552" s="100"/>
      <c r="D1552" s="100"/>
      <c r="E1552" s="100"/>
      <c r="F1552" s="102"/>
      <c r="G1552" s="114"/>
    </row>
    <row r="1553" spans="2:7" ht="15.75" customHeight="1" x14ac:dyDescent="0.25">
      <c r="B1553" s="100"/>
      <c r="C1553" s="100"/>
      <c r="D1553" s="100"/>
      <c r="E1553" s="100"/>
      <c r="F1553" s="102"/>
      <c r="G1553" s="114"/>
    </row>
    <row r="1554" spans="2:7" ht="15.75" customHeight="1" x14ac:dyDescent="0.25">
      <c r="B1554" s="100"/>
      <c r="C1554" s="100"/>
      <c r="D1554" s="100"/>
      <c r="E1554" s="100"/>
      <c r="F1554" s="102"/>
      <c r="G1554" s="114"/>
    </row>
    <row r="1555" spans="2:7" ht="15.75" customHeight="1" x14ac:dyDescent="0.25">
      <c r="B1555" s="100"/>
      <c r="C1555" s="100"/>
      <c r="D1555" s="100"/>
      <c r="E1555" s="100"/>
      <c r="F1555" s="102"/>
      <c r="G1555" s="114"/>
    </row>
    <row r="1556" spans="2:7" ht="15.75" customHeight="1" x14ac:dyDescent="0.25">
      <c r="B1556" s="100"/>
      <c r="C1556" s="100"/>
      <c r="D1556" s="100"/>
      <c r="E1556" s="100"/>
      <c r="F1556" s="102"/>
      <c r="G1556" s="114"/>
    </row>
    <row r="1557" spans="2:7" ht="15.75" customHeight="1" x14ac:dyDescent="0.25">
      <c r="B1557" s="100"/>
      <c r="C1557" s="100"/>
      <c r="D1557" s="100"/>
      <c r="E1557" s="100"/>
      <c r="F1557" s="102"/>
      <c r="G1557" s="114"/>
    </row>
    <row r="1558" spans="2:7" ht="15.75" customHeight="1" x14ac:dyDescent="0.25">
      <c r="B1558" s="100"/>
      <c r="C1558" s="100"/>
      <c r="D1558" s="100"/>
      <c r="E1558" s="100"/>
      <c r="F1558" s="102"/>
      <c r="G1558" s="114"/>
    </row>
    <row r="1559" spans="2:7" ht="15.75" customHeight="1" x14ac:dyDescent="0.25">
      <c r="B1559" s="100"/>
      <c r="C1559" s="100"/>
      <c r="D1559" s="100"/>
      <c r="E1559" s="100"/>
      <c r="F1559" s="102"/>
      <c r="G1559" s="114"/>
    </row>
    <row r="1560" spans="2:7" ht="15.75" customHeight="1" x14ac:dyDescent="0.25">
      <c r="B1560" s="100"/>
      <c r="C1560" s="100"/>
      <c r="D1560" s="100"/>
      <c r="E1560" s="100"/>
      <c r="F1560" s="102"/>
      <c r="G1560" s="114"/>
    </row>
    <row r="1561" spans="2:7" ht="15.75" customHeight="1" x14ac:dyDescent="0.25">
      <c r="B1561" s="100"/>
      <c r="C1561" s="100"/>
      <c r="D1561" s="100"/>
      <c r="E1561" s="100"/>
      <c r="F1561" s="102"/>
      <c r="G1561" s="114"/>
    </row>
    <row r="1562" spans="2:7" ht="15.75" customHeight="1" x14ac:dyDescent="0.25">
      <c r="B1562" s="100"/>
      <c r="C1562" s="100"/>
      <c r="D1562" s="100"/>
      <c r="E1562" s="100"/>
      <c r="F1562" s="102"/>
      <c r="G1562" s="114"/>
    </row>
    <row r="1563" spans="2:7" ht="15.75" customHeight="1" x14ac:dyDescent="0.25">
      <c r="B1563" s="100"/>
      <c r="C1563" s="100"/>
      <c r="D1563" s="100"/>
      <c r="E1563" s="100"/>
      <c r="F1563" s="102"/>
      <c r="G1563" s="114"/>
    </row>
    <row r="1564" spans="2:7" ht="15.75" customHeight="1" x14ac:dyDescent="0.25">
      <c r="B1564" s="100"/>
      <c r="C1564" s="100"/>
      <c r="D1564" s="100"/>
      <c r="E1564" s="100"/>
      <c r="F1564" s="102"/>
      <c r="G1564" s="114"/>
    </row>
    <row r="1565" spans="2:7" ht="15.75" customHeight="1" x14ac:dyDescent="0.25">
      <c r="B1565" s="100"/>
      <c r="C1565" s="100"/>
      <c r="D1565" s="100"/>
      <c r="E1565" s="100"/>
      <c r="F1565" s="102"/>
      <c r="G1565" s="114"/>
    </row>
    <row r="1566" spans="2:7" ht="15.75" customHeight="1" x14ac:dyDescent="0.25">
      <c r="B1566" s="100"/>
      <c r="C1566" s="100"/>
      <c r="D1566" s="100"/>
      <c r="E1566" s="100"/>
      <c r="F1566" s="102"/>
      <c r="G1566" s="114"/>
    </row>
    <row r="1567" spans="2:7" ht="15.75" customHeight="1" x14ac:dyDescent="0.25">
      <c r="B1567" s="100"/>
      <c r="C1567" s="100"/>
      <c r="D1567" s="100"/>
      <c r="E1567" s="100"/>
      <c r="F1567" s="102"/>
      <c r="G1567" s="114"/>
    </row>
    <row r="1568" spans="2:7" ht="15.75" customHeight="1" x14ac:dyDescent="0.25">
      <c r="B1568" s="100"/>
      <c r="C1568" s="100"/>
      <c r="D1568" s="100"/>
      <c r="E1568" s="100"/>
      <c r="F1568" s="102"/>
      <c r="G1568" s="114"/>
    </row>
    <row r="1569" spans="2:7" ht="15.75" customHeight="1" x14ac:dyDescent="0.25">
      <c r="B1569" s="100"/>
      <c r="C1569" s="100"/>
      <c r="D1569" s="100"/>
      <c r="E1569" s="100"/>
      <c r="F1569" s="102"/>
      <c r="G1569" s="114"/>
    </row>
    <row r="1570" spans="2:7" ht="15.75" customHeight="1" x14ac:dyDescent="0.25">
      <c r="B1570" s="100"/>
      <c r="C1570" s="100"/>
      <c r="D1570" s="100"/>
      <c r="E1570" s="100"/>
      <c r="F1570" s="102"/>
      <c r="G1570" s="114"/>
    </row>
    <row r="1571" spans="2:7" ht="15.75" customHeight="1" x14ac:dyDescent="0.25">
      <c r="B1571" s="100"/>
      <c r="C1571" s="100"/>
      <c r="D1571" s="100"/>
      <c r="E1571" s="100"/>
      <c r="F1571" s="102"/>
      <c r="G1571" s="114"/>
    </row>
    <row r="1572" spans="2:7" ht="15.75" customHeight="1" x14ac:dyDescent="0.25">
      <c r="B1572" s="100"/>
      <c r="C1572" s="100"/>
      <c r="D1572" s="100"/>
      <c r="E1572" s="100"/>
      <c r="F1572" s="102"/>
      <c r="G1572" s="114"/>
    </row>
    <row r="1573" spans="2:7" ht="15.75" customHeight="1" x14ac:dyDescent="0.25">
      <c r="B1573" s="100"/>
      <c r="C1573" s="100"/>
      <c r="D1573" s="100"/>
      <c r="E1573" s="100"/>
      <c r="F1573" s="102"/>
      <c r="G1573" s="114"/>
    </row>
    <row r="1574" spans="2:7" ht="15.75" customHeight="1" x14ac:dyDescent="0.25">
      <c r="B1574" s="100"/>
      <c r="C1574" s="100"/>
      <c r="D1574" s="100"/>
      <c r="E1574" s="100"/>
      <c r="F1574" s="102"/>
      <c r="G1574" s="114"/>
    </row>
    <row r="1575" spans="2:7" ht="15.75" customHeight="1" x14ac:dyDescent="0.25">
      <c r="B1575" s="100"/>
      <c r="C1575" s="100"/>
      <c r="D1575" s="100"/>
      <c r="E1575" s="100"/>
      <c r="F1575" s="102"/>
      <c r="G1575" s="114"/>
    </row>
    <row r="1576" spans="2:7" ht="15.75" customHeight="1" x14ac:dyDescent="0.25">
      <c r="B1576" s="100"/>
      <c r="C1576" s="100"/>
      <c r="D1576" s="100"/>
      <c r="E1576" s="100"/>
      <c r="F1576" s="102"/>
      <c r="G1576" s="114"/>
    </row>
    <row r="1577" spans="2:7" ht="15.75" customHeight="1" x14ac:dyDescent="0.25">
      <c r="B1577" s="100"/>
      <c r="C1577" s="100"/>
      <c r="D1577" s="100"/>
      <c r="E1577" s="100"/>
      <c r="F1577" s="102"/>
      <c r="G1577" s="114"/>
    </row>
    <row r="1578" spans="2:7" ht="15.75" customHeight="1" x14ac:dyDescent="0.25">
      <c r="B1578" s="100"/>
      <c r="C1578" s="100"/>
      <c r="D1578" s="100"/>
      <c r="E1578" s="100"/>
      <c r="F1578" s="102"/>
      <c r="G1578" s="114"/>
    </row>
    <row r="1579" spans="2:7" ht="15.75" customHeight="1" x14ac:dyDescent="0.25">
      <c r="B1579" s="100"/>
      <c r="C1579" s="100"/>
      <c r="D1579" s="100"/>
      <c r="E1579" s="100"/>
      <c r="F1579" s="102"/>
      <c r="G1579" s="114"/>
    </row>
    <row r="1580" spans="2:7" ht="15.75" customHeight="1" x14ac:dyDescent="0.25">
      <c r="B1580" s="100"/>
      <c r="C1580" s="100"/>
      <c r="D1580" s="100"/>
      <c r="E1580" s="100"/>
      <c r="F1580" s="102"/>
      <c r="G1580" s="114"/>
    </row>
    <row r="1581" spans="2:7" ht="15.75" customHeight="1" x14ac:dyDescent="0.25">
      <c r="B1581" s="100"/>
      <c r="C1581" s="100"/>
      <c r="D1581" s="100"/>
      <c r="E1581" s="100"/>
      <c r="F1581" s="102"/>
      <c r="G1581" s="114"/>
    </row>
    <row r="1582" spans="2:7" ht="15.75" customHeight="1" x14ac:dyDescent="0.25">
      <c r="B1582" s="100"/>
      <c r="C1582" s="100"/>
      <c r="D1582" s="100"/>
      <c r="E1582" s="100"/>
      <c r="F1582" s="102"/>
      <c r="G1582" s="114"/>
    </row>
    <row r="1583" spans="2:7" ht="15.75" customHeight="1" x14ac:dyDescent="0.25">
      <c r="B1583" s="100"/>
      <c r="C1583" s="100"/>
      <c r="D1583" s="100"/>
      <c r="E1583" s="100"/>
      <c r="F1583" s="102"/>
      <c r="G1583" s="114"/>
    </row>
    <row r="1584" spans="2:7" ht="15.75" customHeight="1" x14ac:dyDescent="0.25">
      <c r="B1584" s="100"/>
      <c r="C1584" s="100"/>
      <c r="D1584" s="100"/>
      <c r="E1584" s="100"/>
      <c r="F1584" s="102"/>
      <c r="G1584" s="114"/>
    </row>
    <row r="1585" spans="2:7" ht="15.75" customHeight="1" x14ac:dyDescent="0.25">
      <c r="B1585" s="100"/>
      <c r="C1585" s="100"/>
      <c r="D1585" s="100"/>
      <c r="E1585" s="100"/>
      <c r="F1585" s="102"/>
      <c r="G1585" s="114"/>
    </row>
    <row r="1586" spans="2:7" ht="15.75" customHeight="1" x14ac:dyDescent="0.25">
      <c r="B1586" s="100"/>
      <c r="C1586" s="100"/>
      <c r="D1586" s="100"/>
      <c r="E1586" s="100"/>
      <c r="F1586" s="102"/>
      <c r="G1586" s="114"/>
    </row>
    <row r="1587" spans="2:7" ht="15.75" customHeight="1" x14ac:dyDescent="0.25">
      <c r="B1587" s="100"/>
      <c r="C1587" s="100"/>
      <c r="D1587" s="100"/>
      <c r="E1587" s="100"/>
      <c r="F1587" s="102"/>
      <c r="G1587" s="114"/>
    </row>
    <row r="1588" spans="2:7" ht="15.75" customHeight="1" x14ac:dyDescent="0.25">
      <c r="B1588" s="100"/>
      <c r="C1588" s="100"/>
      <c r="D1588" s="100"/>
      <c r="E1588" s="100"/>
      <c r="F1588" s="102"/>
      <c r="G1588" s="114"/>
    </row>
    <row r="1589" spans="2:7" ht="15.75" customHeight="1" x14ac:dyDescent="0.25">
      <c r="B1589" s="100"/>
      <c r="C1589" s="100"/>
      <c r="D1589" s="100"/>
      <c r="E1589" s="100"/>
      <c r="F1589" s="102"/>
      <c r="G1589" s="114"/>
    </row>
    <row r="1590" spans="2:7" ht="15.75" customHeight="1" x14ac:dyDescent="0.25">
      <c r="B1590" s="100"/>
      <c r="C1590" s="100"/>
      <c r="D1590" s="100"/>
      <c r="E1590" s="100"/>
      <c r="F1590" s="102"/>
      <c r="G1590" s="114"/>
    </row>
    <row r="1591" spans="2:7" ht="15.75" customHeight="1" x14ac:dyDescent="0.25">
      <c r="B1591" s="100"/>
      <c r="C1591" s="100"/>
      <c r="D1591" s="100"/>
      <c r="E1591" s="100"/>
      <c r="F1591" s="102"/>
      <c r="G1591" s="114"/>
    </row>
    <row r="1592" spans="2:7" ht="15.75" customHeight="1" x14ac:dyDescent="0.25">
      <c r="B1592" s="100"/>
      <c r="C1592" s="100"/>
      <c r="D1592" s="100"/>
      <c r="E1592" s="100"/>
      <c r="F1592" s="102"/>
      <c r="G1592" s="114"/>
    </row>
    <row r="1593" spans="2:7" ht="15.75" customHeight="1" x14ac:dyDescent="0.25">
      <c r="B1593" s="100"/>
      <c r="C1593" s="100"/>
      <c r="D1593" s="100"/>
      <c r="E1593" s="100"/>
      <c r="F1593" s="102"/>
      <c r="G1593" s="114"/>
    </row>
    <row r="1594" spans="2:7" ht="15.75" customHeight="1" x14ac:dyDescent="0.25">
      <c r="B1594" s="100"/>
      <c r="C1594" s="100"/>
      <c r="D1594" s="100"/>
      <c r="E1594" s="100"/>
      <c r="F1594" s="102"/>
      <c r="G1594" s="114"/>
    </row>
    <row r="1595" spans="2:7" ht="15.75" customHeight="1" x14ac:dyDescent="0.25">
      <c r="B1595" s="100"/>
      <c r="C1595" s="100"/>
      <c r="D1595" s="100"/>
      <c r="E1595" s="100"/>
      <c r="F1595" s="102"/>
      <c r="G1595" s="114"/>
    </row>
    <row r="1596" spans="2:7" ht="15.75" customHeight="1" x14ac:dyDescent="0.25">
      <c r="B1596" s="100"/>
      <c r="C1596" s="100"/>
      <c r="D1596" s="100"/>
      <c r="E1596" s="100"/>
      <c r="F1596" s="102"/>
      <c r="G1596" s="114"/>
    </row>
    <row r="1597" spans="2:7" ht="15.75" customHeight="1" x14ac:dyDescent="0.25">
      <c r="B1597" s="100"/>
      <c r="C1597" s="100"/>
      <c r="D1597" s="100"/>
      <c r="E1597" s="100"/>
      <c r="F1597" s="102"/>
      <c r="G1597" s="114"/>
    </row>
    <row r="1598" spans="2:7" ht="15.75" customHeight="1" x14ac:dyDescent="0.25">
      <c r="B1598" s="100"/>
      <c r="C1598" s="100"/>
      <c r="D1598" s="100"/>
      <c r="E1598" s="100"/>
      <c r="F1598" s="102"/>
      <c r="G1598" s="114"/>
    </row>
    <row r="1599" spans="2:7" ht="15.75" customHeight="1" x14ac:dyDescent="0.25">
      <c r="B1599" s="100"/>
      <c r="C1599" s="100"/>
      <c r="D1599" s="100"/>
      <c r="E1599" s="100"/>
      <c r="F1599" s="102"/>
      <c r="G1599" s="114"/>
    </row>
    <row r="1600" spans="2:7" ht="15.75" customHeight="1" x14ac:dyDescent="0.25">
      <c r="B1600" s="100"/>
      <c r="C1600" s="100"/>
      <c r="D1600" s="100"/>
      <c r="E1600" s="100"/>
      <c r="F1600" s="102"/>
      <c r="G1600" s="114"/>
    </row>
    <row r="1601" spans="2:7" ht="15.75" customHeight="1" x14ac:dyDescent="0.25">
      <c r="B1601" s="100"/>
      <c r="C1601" s="100"/>
      <c r="D1601" s="100"/>
      <c r="E1601" s="100"/>
      <c r="F1601" s="102"/>
      <c r="G1601" s="114"/>
    </row>
    <row r="1602" spans="2:7" ht="15.75" customHeight="1" x14ac:dyDescent="0.25">
      <c r="B1602" s="100"/>
      <c r="C1602" s="100"/>
      <c r="D1602" s="100"/>
      <c r="E1602" s="100"/>
      <c r="F1602" s="102"/>
      <c r="G1602" s="114"/>
    </row>
    <row r="1603" spans="2:7" ht="15.75" customHeight="1" x14ac:dyDescent="0.25">
      <c r="B1603" s="100"/>
      <c r="C1603" s="100"/>
      <c r="D1603" s="100"/>
      <c r="E1603" s="100"/>
      <c r="F1603" s="102"/>
      <c r="G1603" s="114"/>
    </row>
    <row r="1604" spans="2:7" ht="15.75" customHeight="1" x14ac:dyDescent="0.25">
      <c r="B1604" s="100"/>
      <c r="C1604" s="100"/>
      <c r="D1604" s="100"/>
      <c r="E1604" s="100"/>
      <c r="F1604" s="102"/>
      <c r="G1604" s="114"/>
    </row>
    <row r="1605" spans="2:7" ht="15.75" customHeight="1" x14ac:dyDescent="0.25">
      <c r="B1605" s="100"/>
      <c r="C1605" s="100"/>
      <c r="D1605" s="100"/>
      <c r="E1605" s="100"/>
      <c r="F1605" s="102"/>
      <c r="G1605" s="114"/>
    </row>
    <row r="1606" spans="2:7" ht="15.75" customHeight="1" x14ac:dyDescent="0.25">
      <c r="B1606" s="100"/>
      <c r="C1606" s="100"/>
      <c r="D1606" s="100"/>
      <c r="E1606" s="100"/>
      <c r="F1606" s="102"/>
      <c r="G1606" s="114"/>
    </row>
    <row r="1607" spans="2:7" ht="15.75" customHeight="1" x14ac:dyDescent="0.25">
      <c r="B1607" s="100"/>
      <c r="C1607" s="100"/>
      <c r="D1607" s="100"/>
      <c r="E1607" s="100"/>
      <c r="F1607" s="102"/>
      <c r="G1607" s="114"/>
    </row>
    <row r="1608" spans="2:7" ht="15.75" customHeight="1" x14ac:dyDescent="0.25">
      <c r="B1608" s="100"/>
      <c r="C1608" s="100"/>
      <c r="D1608" s="100"/>
      <c r="E1608" s="100"/>
      <c r="F1608" s="102"/>
      <c r="G1608" s="114"/>
    </row>
    <row r="1609" spans="2:7" ht="15.75" customHeight="1" x14ac:dyDescent="0.25">
      <c r="B1609" s="100"/>
      <c r="C1609" s="100"/>
      <c r="D1609" s="100"/>
      <c r="E1609" s="100"/>
      <c r="F1609" s="102"/>
      <c r="G1609" s="114"/>
    </row>
    <row r="1610" spans="2:7" ht="15.75" customHeight="1" x14ac:dyDescent="0.25">
      <c r="B1610" s="100"/>
      <c r="C1610" s="100"/>
      <c r="D1610" s="100"/>
      <c r="E1610" s="100"/>
      <c r="F1610" s="102"/>
      <c r="G1610" s="114"/>
    </row>
    <row r="1611" spans="2:7" ht="15.75" customHeight="1" x14ac:dyDescent="0.25">
      <c r="B1611" s="100"/>
      <c r="C1611" s="100"/>
      <c r="D1611" s="100"/>
      <c r="E1611" s="100"/>
      <c r="F1611" s="102"/>
      <c r="G1611" s="114"/>
    </row>
    <row r="1612" spans="2:7" ht="15.75" customHeight="1" x14ac:dyDescent="0.25">
      <c r="B1612" s="100"/>
      <c r="C1612" s="100"/>
      <c r="D1612" s="100"/>
      <c r="E1612" s="100"/>
      <c r="F1612" s="102"/>
      <c r="G1612" s="114"/>
    </row>
    <row r="1613" spans="2:7" ht="15.75" customHeight="1" x14ac:dyDescent="0.25">
      <c r="B1613" s="100"/>
      <c r="C1613" s="100"/>
      <c r="D1613" s="100"/>
      <c r="E1613" s="100"/>
      <c r="F1613" s="102"/>
      <c r="G1613" s="114"/>
    </row>
    <row r="1614" spans="2:7" ht="15.75" customHeight="1" x14ac:dyDescent="0.25">
      <c r="B1614" s="100"/>
      <c r="C1614" s="100"/>
      <c r="D1614" s="100"/>
      <c r="E1614" s="100"/>
      <c r="F1614" s="102"/>
      <c r="G1614" s="114"/>
    </row>
    <row r="1615" spans="2:7" ht="15.75" customHeight="1" x14ac:dyDescent="0.25">
      <c r="B1615" s="100"/>
      <c r="C1615" s="100"/>
      <c r="D1615" s="100"/>
      <c r="E1615" s="100"/>
      <c r="F1615" s="102"/>
      <c r="G1615" s="114"/>
    </row>
    <row r="1616" spans="2:7" ht="15.75" customHeight="1" x14ac:dyDescent="0.25">
      <c r="B1616" s="100"/>
      <c r="C1616" s="100"/>
      <c r="D1616" s="100"/>
      <c r="E1616" s="100"/>
      <c r="F1616" s="102"/>
      <c r="G1616" s="114"/>
    </row>
    <row r="1617" spans="2:7" ht="15.75" customHeight="1" x14ac:dyDescent="0.25">
      <c r="B1617" s="100"/>
      <c r="C1617" s="100"/>
      <c r="D1617" s="100"/>
      <c r="E1617" s="100"/>
      <c r="F1617" s="102"/>
      <c r="G1617" s="114"/>
    </row>
    <row r="1618" spans="2:7" ht="15.75" customHeight="1" x14ac:dyDescent="0.25">
      <c r="B1618" s="100"/>
      <c r="C1618" s="100"/>
      <c r="D1618" s="100"/>
      <c r="E1618" s="100"/>
      <c r="F1618" s="102"/>
      <c r="G1618" s="114"/>
    </row>
    <row r="1619" spans="2:7" ht="15.75" customHeight="1" x14ac:dyDescent="0.25">
      <c r="B1619" s="100"/>
      <c r="C1619" s="100"/>
      <c r="D1619" s="100"/>
      <c r="E1619" s="100"/>
      <c r="F1619" s="102"/>
      <c r="G1619" s="114"/>
    </row>
    <row r="1620" spans="2:7" ht="15.75" customHeight="1" x14ac:dyDescent="0.25">
      <c r="B1620" s="100"/>
      <c r="C1620" s="100"/>
      <c r="D1620" s="100"/>
      <c r="E1620" s="100"/>
      <c r="F1620" s="102"/>
      <c r="G1620" s="114"/>
    </row>
    <row r="1621" spans="2:7" ht="15.75" customHeight="1" x14ac:dyDescent="0.25">
      <c r="B1621" s="100"/>
      <c r="C1621" s="100"/>
      <c r="D1621" s="100"/>
      <c r="E1621" s="100"/>
      <c r="F1621" s="102"/>
      <c r="G1621" s="114"/>
    </row>
    <row r="1622" spans="2:7" ht="15.75" customHeight="1" x14ac:dyDescent="0.25">
      <c r="B1622" s="100"/>
      <c r="C1622" s="100"/>
      <c r="D1622" s="100"/>
      <c r="E1622" s="100"/>
      <c r="F1622" s="102"/>
      <c r="G1622" s="114"/>
    </row>
    <row r="1623" spans="2:7" ht="15.75" customHeight="1" x14ac:dyDescent="0.25">
      <c r="B1623" s="100"/>
      <c r="C1623" s="100"/>
      <c r="D1623" s="100"/>
      <c r="E1623" s="100"/>
      <c r="F1623" s="102"/>
      <c r="G1623" s="114"/>
    </row>
    <row r="1624" spans="2:7" ht="15.75" customHeight="1" x14ac:dyDescent="0.25">
      <c r="B1624" s="100"/>
      <c r="C1624" s="100"/>
      <c r="D1624" s="100"/>
      <c r="E1624" s="100"/>
      <c r="F1624" s="102"/>
      <c r="G1624" s="114"/>
    </row>
    <row r="1625" spans="2:7" ht="15.75" customHeight="1" x14ac:dyDescent="0.25">
      <c r="B1625" s="100"/>
      <c r="C1625" s="100"/>
      <c r="D1625" s="100"/>
      <c r="E1625" s="100"/>
      <c r="F1625" s="102"/>
      <c r="G1625" s="114"/>
    </row>
    <row r="1626" spans="2:7" ht="15.75" customHeight="1" x14ac:dyDescent="0.25">
      <c r="B1626" s="100"/>
      <c r="C1626" s="100"/>
      <c r="D1626" s="100"/>
      <c r="E1626" s="100"/>
      <c r="F1626" s="102"/>
      <c r="G1626" s="114"/>
    </row>
    <row r="1627" spans="2:7" ht="15.75" customHeight="1" x14ac:dyDescent="0.25">
      <c r="B1627" s="100"/>
      <c r="C1627" s="100"/>
      <c r="D1627" s="100"/>
      <c r="E1627" s="100"/>
      <c r="F1627" s="102"/>
      <c r="G1627" s="114"/>
    </row>
    <row r="1628" spans="2:7" ht="15.75" customHeight="1" x14ac:dyDescent="0.25">
      <c r="B1628" s="100"/>
      <c r="C1628" s="100"/>
      <c r="D1628" s="100"/>
      <c r="E1628" s="100"/>
      <c r="F1628" s="102"/>
      <c r="G1628" s="114"/>
    </row>
    <row r="1629" spans="2:7" ht="15.75" customHeight="1" x14ac:dyDescent="0.25">
      <c r="B1629" s="100"/>
      <c r="C1629" s="100"/>
      <c r="D1629" s="100"/>
      <c r="E1629" s="100"/>
      <c r="F1629" s="102"/>
      <c r="G1629" s="114"/>
    </row>
    <row r="1630" spans="2:7" ht="15.75" customHeight="1" x14ac:dyDescent="0.25">
      <c r="B1630" s="100"/>
      <c r="C1630" s="100"/>
      <c r="D1630" s="100"/>
      <c r="E1630" s="100"/>
      <c r="F1630" s="102"/>
      <c r="G1630" s="114"/>
    </row>
    <row r="1631" spans="2:7" ht="15.75" customHeight="1" x14ac:dyDescent="0.25">
      <c r="B1631" s="100"/>
      <c r="C1631" s="100"/>
      <c r="D1631" s="100"/>
      <c r="E1631" s="100"/>
      <c r="F1631" s="102"/>
      <c r="G1631" s="114"/>
    </row>
    <row r="1632" spans="2:7" ht="15.75" customHeight="1" x14ac:dyDescent="0.25">
      <c r="B1632" s="100"/>
      <c r="C1632" s="100"/>
      <c r="D1632" s="100"/>
      <c r="E1632" s="100"/>
      <c r="F1632" s="102"/>
      <c r="G1632" s="114"/>
    </row>
    <row r="1633" spans="2:7" ht="15.75" customHeight="1" x14ac:dyDescent="0.25">
      <c r="B1633" s="100"/>
      <c r="C1633" s="100"/>
      <c r="D1633" s="100"/>
      <c r="E1633" s="100"/>
      <c r="F1633" s="102"/>
      <c r="G1633" s="114"/>
    </row>
    <row r="1634" spans="2:7" ht="15.75" customHeight="1" x14ac:dyDescent="0.25">
      <c r="B1634" s="100"/>
      <c r="C1634" s="100"/>
      <c r="D1634" s="100"/>
      <c r="E1634" s="100"/>
      <c r="F1634" s="102"/>
      <c r="G1634" s="114"/>
    </row>
    <row r="1635" spans="2:7" ht="15.75" customHeight="1" x14ac:dyDescent="0.25">
      <c r="B1635" s="100"/>
      <c r="C1635" s="100"/>
      <c r="D1635" s="100"/>
      <c r="E1635" s="100"/>
      <c r="F1635" s="102"/>
      <c r="G1635" s="114"/>
    </row>
    <row r="1636" spans="2:7" ht="15.75" customHeight="1" x14ac:dyDescent="0.25">
      <c r="B1636" s="100"/>
      <c r="C1636" s="100"/>
      <c r="D1636" s="100"/>
      <c r="E1636" s="100"/>
      <c r="F1636" s="102"/>
      <c r="G1636" s="114"/>
    </row>
    <row r="1637" spans="2:7" ht="15.75" customHeight="1" x14ac:dyDescent="0.25">
      <c r="B1637" s="100"/>
      <c r="C1637" s="100"/>
      <c r="D1637" s="100"/>
      <c r="E1637" s="100"/>
      <c r="F1637" s="102"/>
      <c r="G1637" s="114"/>
    </row>
    <row r="1638" spans="2:7" ht="15.75" customHeight="1" x14ac:dyDescent="0.25">
      <c r="B1638" s="100"/>
      <c r="C1638" s="100"/>
      <c r="D1638" s="100"/>
      <c r="E1638" s="100"/>
      <c r="F1638" s="102"/>
      <c r="G1638" s="114"/>
    </row>
    <row r="1639" spans="2:7" ht="15.75" customHeight="1" x14ac:dyDescent="0.25">
      <c r="B1639" s="100"/>
      <c r="C1639" s="100"/>
      <c r="D1639" s="100"/>
      <c r="E1639" s="100"/>
      <c r="F1639" s="102"/>
      <c r="G1639" s="114"/>
    </row>
    <row r="1640" spans="2:7" ht="15.75" customHeight="1" x14ac:dyDescent="0.25">
      <c r="B1640" s="100"/>
      <c r="C1640" s="100"/>
      <c r="D1640" s="100"/>
      <c r="E1640" s="100"/>
      <c r="F1640" s="102"/>
      <c r="G1640" s="114"/>
    </row>
    <row r="1641" spans="2:7" ht="15.75" customHeight="1" x14ac:dyDescent="0.25">
      <c r="B1641" s="100"/>
      <c r="C1641" s="100"/>
      <c r="D1641" s="100"/>
      <c r="E1641" s="100"/>
      <c r="F1641" s="102"/>
      <c r="G1641" s="114"/>
    </row>
    <row r="1642" spans="2:7" ht="15.75" customHeight="1" x14ac:dyDescent="0.25">
      <c r="B1642" s="100"/>
      <c r="C1642" s="100"/>
      <c r="D1642" s="100"/>
      <c r="E1642" s="100"/>
      <c r="F1642" s="102"/>
      <c r="G1642" s="114"/>
    </row>
    <row r="1643" spans="2:7" ht="15.75" customHeight="1" x14ac:dyDescent="0.25">
      <c r="B1643" s="100"/>
      <c r="C1643" s="100"/>
      <c r="D1643" s="100"/>
      <c r="E1643" s="100"/>
      <c r="F1643" s="102"/>
      <c r="G1643" s="114"/>
    </row>
    <row r="1644" spans="2:7" ht="15.75" customHeight="1" x14ac:dyDescent="0.25">
      <c r="B1644" s="100"/>
      <c r="C1644" s="100"/>
      <c r="D1644" s="100"/>
      <c r="E1644" s="100"/>
      <c r="F1644" s="102"/>
      <c r="G1644" s="114"/>
    </row>
    <row r="1645" spans="2:7" ht="15.75" customHeight="1" x14ac:dyDescent="0.25">
      <c r="B1645" s="100"/>
      <c r="C1645" s="100"/>
      <c r="D1645" s="100"/>
      <c r="E1645" s="100"/>
      <c r="F1645" s="102"/>
      <c r="G1645" s="114"/>
    </row>
    <row r="1646" spans="2:7" ht="15.75" customHeight="1" x14ac:dyDescent="0.25">
      <c r="B1646" s="100"/>
      <c r="C1646" s="100"/>
      <c r="D1646" s="100"/>
      <c r="E1646" s="100"/>
      <c r="F1646" s="102"/>
      <c r="G1646" s="114"/>
    </row>
    <row r="1647" spans="2:7" ht="15.75" customHeight="1" x14ac:dyDescent="0.25">
      <c r="B1647" s="100"/>
      <c r="C1647" s="100"/>
      <c r="D1647" s="100"/>
      <c r="E1647" s="100"/>
      <c r="F1647" s="102"/>
      <c r="G1647" s="114"/>
    </row>
    <row r="1648" spans="2:7" ht="15.75" customHeight="1" x14ac:dyDescent="0.25">
      <c r="B1648" s="100"/>
      <c r="C1648" s="100"/>
      <c r="D1648" s="100"/>
      <c r="E1648" s="100"/>
      <c r="F1648" s="102"/>
      <c r="G1648" s="114"/>
    </row>
    <row r="1649" spans="2:7" ht="15.75" customHeight="1" x14ac:dyDescent="0.25">
      <c r="B1649" s="100"/>
      <c r="C1649" s="100"/>
      <c r="D1649" s="100"/>
      <c r="E1649" s="100"/>
      <c r="F1649" s="102"/>
      <c r="G1649" s="114"/>
    </row>
    <row r="1650" spans="2:7" ht="15.75" customHeight="1" x14ac:dyDescent="0.25">
      <c r="B1650" s="100"/>
      <c r="C1650" s="100"/>
      <c r="D1650" s="100"/>
      <c r="E1650" s="100"/>
      <c r="F1650" s="102"/>
      <c r="G1650" s="114"/>
    </row>
    <row r="1651" spans="2:7" ht="15.75" customHeight="1" x14ac:dyDescent="0.25">
      <c r="B1651" s="100"/>
      <c r="C1651" s="100"/>
      <c r="D1651" s="100"/>
      <c r="E1651" s="100"/>
      <c r="F1651" s="102"/>
      <c r="G1651" s="114"/>
    </row>
    <row r="1652" spans="2:7" ht="15.75" customHeight="1" x14ac:dyDescent="0.25">
      <c r="B1652" s="100"/>
      <c r="C1652" s="100"/>
      <c r="D1652" s="100"/>
      <c r="E1652" s="100"/>
      <c r="F1652" s="102"/>
      <c r="G1652" s="114"/>
    </row>
    <row r="1653" spans="2:7" ht="15.75" customHeight="1" x14ac:dyDescent="0.25">
      <c r="B1653" s="100"/>
      <c r="C1653" s="100"/>
      <c r="D1653" s="100"/>
      <c r="E1653" s="100"/>
      <c r="F1653" s="102"/>
      <c r="G1653" s="114"/>
    </row>
    <row r="1654" spans="2:7" ht="15.75" customHeight="1" x14ac:dyDescent="0.25">
      <c r="B1654" s="100"/>
      <c r="C1654" s="100"/>
      <c r="D1654" s="100"/>
      <c r="E1654" s="100"/>
      <c r="F1654" s="102"/>
      <c r="G1654" s="114"/>
    </row>
    <row r="1655" spans="2:7" ht="15.75" customHeight="1" x14ac:dyDescent="0.25">
      <c r="B1655" s="100"/>
      <c r="C1655" s="100"/>
      <c r="D1655" s="100"/>
      <c r="E1655" s="100"/>
      <c r="F1655" s="102"/>
      <c r="G1655" s="114"/>
    </row>
    <row r="1656" spans="2:7" ht="15.75" customHeight="1" x14ac:dyDescent="0.25">
      <c r="B1656" s="100"/>
      <c r="C1656" s="100"/>
      <c r="D1656" s="100"/>
      <c r="E1656" s="100"/>
      <c r="F1656" s="102"/>
      <c r="G1656" s="114"/>
    </row>
    <row r="1657" spans="2:7" ht="15.75" customHeight="1" x14ac:dyDescent="0.25">
      <c r="B1657" s="100"/>
      <c r="C1657" s="100"/>
      <c r="D1657" s="100"/>
      <c r="E1657" s="100"/>
      <c r="F1657" s="102"/>
      <c r="G1657" s="114"/>
    </row>
    <row r="1658" spans="2:7" ht="15.75" customHeight="1" x14ac:dyDescent="0.25">
      <c r="B1658" s="100"/>
      <c r="C1658" s="100"/>
      <c r="D1658" s="100"/>
      <c r="E1658" s="100"/>
      <c r="F1658" s="102"/>
      <c r="G1658" s="114"/>
    </row>
    <row r="1659" spans="2:7" ht="15.75" customHeight="1" x14ac:dyDescent="0.25">
      <c r="B1659" s="100"/>
      <c r="C1659" s="100"/>
      <c r="D1659" s="100"/>
      <c r="E1659" s="100"/>
      <c r="F1659" s="102"/>
      <c r="G1659" s="114"/>
    </row>
    <row r="1660" spans="2:7" ht="15.75" customHeight="1" x14ac:dyDescent="0.25">
      <c r="B1660" s="100"/>
      <c r="C1660" s="100"/>
      <c r="D1660" s="100"/>
      <c r="E1660" s="100"/>
      <c r="F1660" s="102"/>
      <c r="G1660" s="114"/>
    </row>
    <row r="1661" spans="2:7" ht="15.75" customHeight="1" x14ac:dyDescent="0.25">
      <c r="B1661" s="100"/>
      <c r="C1661" s="100"/>
      <c r="D1661" s="100"/>
      <c r="E1661" s="100"/>
      <c r="F1661" s="102"/>
      <c r="G1661" s="114"/>
    </row>
    <row r="1662" spans="2:7" ht="15.75" customHeight="1" x14ac:dyDescent="0.25">
      <c r="B1662" s="100"/>
      <c r="C1662" s="100"/>
      <c r="D1662" s="100"/>
      <c r="E1662" s="100"/>
      <c r="F1662" s="102"/>
      <c r="G1662" s="114"/>
    </row>
    <row r="1663" spans="2:7" ht="15.75" customHeight="1" x14ac:dyDescent="0.25">
      <c r="B1663" s="100"/>
      <c r="C1663" s="100"/>
      <c r="D1663" s="100"/>
      <c r="E1663" s="100"/>
      <c r="F1663" s="102"/>
      <c r="G1663" s="114"/>
    </row>
    <row r="1664" spans="2:7" ht="15.75" customHeight="1" x14ac:dyDescent="0.25">
      <c r="B1664" s="100"/>
      <c r="C1664" s="100"/>
      <c r="D1664" s="100"/>
      <c r="E1664" s="100"/>
      <c r="F1664" s="102"/>
      <c r="G1664" s="114"/>
    </row>
    <row r="1665" spans="2:7" ht="15.75" customHeight="1" x14ac:dyDescent="0.25">
      <c r="B1665" s="100"/>
      <c r="C1665" s="100"/>
      <c r="D1665" s="100"/>
      <c r="E1665" s="100"/>
      <c r="F1665" s="102"/>
      <c r="G1665" s="114"/>
    </row>
    <row r="1666" spans="2:7" ht="15.75" customHeight="1" x14ac:dyDescent="0.25">
      <c r="B1666" s="100"/>
      <c r="C1666" s="100"/>
      <c r="D1666" s="100"/>
      <c r="E1666" s="100"/>
      <c r="F1666" s="102"/>
      <c r="G1666" s="114"/>
    </row>
    <row r="1667" spans="2:7" ht="15.75" customHeight="1" x14ac:dyDescent="0.25">
      <c r="B1667" s="100"/>
      <c r="C1667" s="100"/>
      <c r="D1667" s="100"/>
      <c r="E1667" s="100"/>
      <c r="F1667" s="102"/>
      <c r="G1667" s="114"/>
    </row>
    <row r="1668" spans="2:7" ht="15.75" customHeight="1" x14ac:dyDescent="0.25">
      <c r="B1668" s="100"/>
      <c r="C1668" s="100"/>
      <c r="D1668" s="100"/>
      <c r="E1668" s="100"/>
      <c r="F1668" s="102"/>
      <c r="G1668" s="114"/>
    </row>
    <row r="1669" spans="2:7" ht="15.75" customHeight="1" x14ac:dyDescent="0.25">
      <c r="B1669" s="100"/>
      <c r="C1669" s="100"/>
      <c r="D1669" s="100"/>
      <c r="E1669" s="100"/>
      <c r="F1669" s="102"/>
      <c r="G1669" s="114"/>
    </row>
    <row r="1670" spans="2:7" ht="15.75" customHeight="1" x14ac:dyDescent="0.25">
      <c r="B1670" s="100"/>
      <c r="C1670" s="100"/>
      <c r="D1670" s="100"/>
      <c r="E1670" s="100"/>
      <c r="F1670" s="102"/>
      <c r="G1670" s="114"/>
    </row>
    <row r="1671" spans="2:7" ht="15.75" customHeight="1" x14ac:dyDescent="0.25">
      <c r="B1671" s="100"/>
      <c r="C1671" s="100"/>
      <c r="D1671" s="100"/>
      <c r="E1671" s="100"/>
      <c r="F1671" s="102"/>
      <c r="G1671" s="114"/>
    </row>
    <row r="1672" spans="2:7" ht="15.75" customHeight="1" x14ac:dyDescent="0.25">
      <c r="B1672" s="100"/>
      <c r="C1672" s="100"/>
      <c r="D1672" s="100"/>
      <c r="E1672" s="100"/>
      <c r="F1672" s="102"/>
      <c r="G1672" s="114"/>
    </row>
    <row r="1673" spans="2:7" ht="15.75" customHeight="1" x14ac:dyDescent="0.25">
      <c r="B1673" s="100"/>
      <c r="C1673" s="100"/>
      <c r="D1673" s="100"/>
      <c r="E1673" s="100"/>
      <c r="F1673" s="102"/>
      <c r="G1673" s="114"/>
    </row>
    <row r="1674" spans="2:7" ht="15.75" customHeight="1" x14ac:dyDescent="0.25">
      <c r="B1674" s="100"/>
      <c r="C1674" s="100"/>
      <c r="D1674" s="100"/>
      <c r="E1674" s="100"/>
      <c r="F1674" s="102"/>
      <c r="G1674" s="114"/>
    </row>
    <row r="1675" spans="2:7" ht="15.75" customHeight="1" x14ac:dyDescent="0.25">
      <c r="B1675" s="100"/>
      <c r="C1675" s="100"/>
      <c r="D1675" s="100"/>
      <c r="E1675" s="100"/>
      <c r="F1675" s="102"/>
      <c r="G1675" s="114"/>
    </row>
    <row r="1676" spans="2:7" ht="15.75" customHeight="1" x14ac:dyDescent="0.25">
      <c r="B1676" s="100"/>
      <c r="C1676" s="100"/>
      <c r="D1676" s="100"/>
      <c r="E1676" s="100"/>
      <c r="F1676" s="102"/>
      <c r="G1676" s="114"/>
    </row>
    <row r="1677" spans="2:7" ht="15.75" customHeight="1" x14ac:dyDescent="0.25">
      <c r="B1677" s="100"/>
      <c r="C1677" s="100"/>
      <c r="D1677" s="100"/>
      <c r="E1677" s="100"/>
      <c r="F1677" s="102"/>
      <c r="G1677" s="114"/>
    </row>
    <row r="1678" spans="2:7" ht="15.75" customHeight="1" x14ac:dyDescent="0.25">
      <c r="B1678" s="100"/>
      <c r="C1678" s="100"/>
      <c r="D1678" s="100"/>
      <c r="E1678" s="100"/>
      <c r="F1678" s="102"/>
      <c r="G1678" s="114"/>
    </row>
    <row r="1679" spans="2:7" ht="15.75" customHeight="1" x14ac:dyDescent="0.25">
      <c r="B1679" s="100"/>
      <c r="C1679" s="100"/>
      <c r="D1679" s="100"/>
      <c r="E1679" s="100"/>
      <c r="F1679" s="102"/>
      <c r="G1679" s="114"/>
    </row>
    <row r="1680" spans="2:7" ht="15.75" customHeight="1" x14ac:dyDescent="0.25">
      <c r="B1680" s="100"/>
      <c r="C1680" s="100"/>
      <c r="D1680" s="100"/>
      <c r="E1680" s="100"/>
      <c r="F1680" s="102"/>
      <c r="G1680" s="114"/>
    </row>
    <row r="1681" spans="2:7" ht="15.75" customHeight="1" x14ac:dyDescent="0.25">
      <c r="B1681" s="100"/>
      <c r="C1681" s="100"/>
      <c r="D1681" s="100"/>
      <c r="E1681" s="100"/>
      <c r="F1681" s="102"/>
      <c r="G1681" s="114"/>
    </row>
    <row r="1682" spans="2:7" ht="15.75" customHeight="1" x14ac:dyDescent="0.25">
      <c r="B1682" s="100"/>
      <c r="C1682" s="100"/>
      <c r="D1682" s="100"/>
      <c r="E1682" s="100"/>
      <c r="F1682" s="102"/>
      <c r="G1682" s="114"/>
    </row>
    <row r="1683" spans="2:7" ht="15.75" customHeight="1" x14ac:dyDescent="0.25">
      <c r="B1683" s="100"/>
      <c r="C1683" s="100"/>
      <c r="D1683" s="100"/>
      <c r="E1683" s="100"/>
      <c r="F1683" s="102"/>
      <c r="G1683" s="114"/>
    </row>
    <row r="1684" spans="2:7" ht="15.75" customHeight="1" x14ac:dyDescent="0.25">
      <c r="B1684" s="100"/>
      <c r="C1684" s="100"/>
      <c r="D1684" s="100"/>
      <c r="E1684" s="100"/>
      <c r="F1684" s="102"/>
      <c r="G1684" s="114"/>
    </row>
    <row r="1685" spans="2:7" ht="15.75" customHeight="1" x14ac:dyDescent="0.25">
      <c r="B1685" s="100"/>
      <c r="C1685" s="100"/>
      <c r="D1685" s="100"/>
      <c r="E1685" s="100"/>
      <c r="F1685" s="102"/>
      <c r="G1685" s="114"/>
    </row>
    <row r="1686" spans="2:7" ht="15.75" customHeight="1" x14ac:dyDescent="0.25">
      <c r="B1686" s="100"/>
      <c r="C1686" s="100"/>
      <c r="D1686" s="100"/>
      <c r="E1686" s="100"/>
      <c r="F1686" s="102"/>
      <c r="G1686" s="114"/>
    </row>
    <row r="1687" spans="2:7" ht="15.75" customHeight="1" x14ac:dyDescent="0.25">
      <c r="B1687" s="100"/>
      <c r="C1687" s="100"/>
      <c r="D1687" s="100"/>
      <c r="E1687" s="100"/>
      <c r="F1687" s="102"/>
      <c r="G1687" s="114"/>
    </row>
    <row r="1688" spans="2:7" ht="15.75" customHeight="1" x14ac:dyDescent="0.25">
      <c r="B1688" s="100"/>
      <c r="C1688" s="100"/>
      <c r="D1688" s="100"/>
      <c r="E1688" s="100"/>
      <c r="F1688" s="102"/>
      <c r="G1688" s="114"/>
    </row>
    <row r="1689" spans="2:7" ht="15.75" customHeight="1" x14ac:dyDescent="0.25">
      <c r="B1689" s="100"/>
      <c r="C1689" s="100"/>
      <c r="D1689" s="100"/>
      <c r="E1689" s="100"/>
      <c r="F1689" s="102"/>
      <c r="G1689" s="114"/>
    </row>
    <row r="1690" spans="2:7" ht="15.75" customHeight="1" x14ac:dyDescent="0.25">
      <c r="B1690" s="100"/>
      <c r="C1690" s="100"/>
      <c r="D1690" s="100"/>
      <c r="E1690" s="100"/>
      <c r="F1690" s="102"/>
      <c r="G1690" s="114"/>
    </row>
    <row r="1691" spans="2:7" ht="15.75" customHeight="1" x14ac:dyDescent="0.25">
      <c r="B1691" s="100"/>
      <c r="C1691" s="100"/>
      <c r="D1691" s="100"/>
      <c r="E1691" s="100"/>
      <c r="F1691" s="102"/>
      <c r="G1691" s="114"/>
    </row>
    <row r="1692" spans="2:7" ht="15.75" customHeight="1" x14ac:dyDescent="0.25">
      <c r="B1692" s="100"/>
      <c r="C1692" s="100"/>
      <c r="D1692" s="100"/>
      <c r="E1692" s="100"/>
      <c r="F1692" s="102"/>
      <c r="G1692" s="114"/>
    </row>
    <row r="1693" spans="2:7" ht="15.75" customHeight="1" x14ac:dyDescent="0.25">
      <c r="B1693" s="100"/>
      <c r="C1693" s="100"/>
      <c r="D1693" s="100"/>
      <c r="E1693" s="100"/>
      <c r="F1693" s="102"/>
      <c r="G1693" s="114"/>
    </row>
    <row r="1694" spans="2:7" ht="15.75" customHeight="1" x14ac:dyDescent="0.25">
      <c r="B1694" s="100"/>
      <c r="C1694" s="100"/>
      <c r="D1694" s="100"/>
      <c r="E1694" s="100"/>
      <c r="F1694" s="102"/>
      <c r="G1694" s="114"/>
    </row>
    <row r="1695" spans="2:7" ht="15.75" customHeight="1" x14ac:dyDescent="0.25">
      <c r="B1695" s="100"/>
      <c r="C1695" s="100"/>
      <c r="D1695" s="100"/>
      <c r="E1695" s="100"/>
      <c r="F1695" s="102"/>
      <c r="G1695" s="114"/>
    </row>
    <row r="1696" spans="2:7" ht="15.75" customHeight="1" x14ac:dyDescent="0.25">
      <c r="B1696" s="100"/>
      <c r="C1696" s="100"/>
      <c r="D1696" s="100"/>
      <c r="E1696" s="100"/>
      <c r="F1696" s="102"/>
      <c r="G1696" s="114"/>
    </row>
    <row r="1697" spans="2:7" ht="15.75" customHeight="1" x14ac:dyDescent="0.25">
      <c r="B1697" s="100"/>
      <c r="C1697" s="100"/>
      <c r="D1697" s="100"/>
      <c r="E1697" s="100"/>
      <c r="F1697" s="102"/>
      <c r="G1697" s="114"/>
    </row>
    <row r="1698" spans="2:7" ht="15.75" customHeight="1" x14ac:dyDescent="0.25">
      <c r="B1698" s="100"/>
      <c r="C1698" s="100"/>
      <c r="D1698" s="100"/>
      <c r="E1698" s="100"/>
      <c r="F1698" s="102"/>
      <c r="G1698" s="114"/>
    </row>
    <row r="1699" spans="2:7" ht="15.75" customHeight="1" x14ac:dyDescent="0.25">
      <c r="B1699" s="100"/>
      <c r="C1699" s="100"/>
      <c r="D1699" s="100"/>
      <c r="E1699" s="100"/>
      <c r="F1699" s="102"/>
      <c r="G1699" s="114"/>
    </row>
    <row r="1700" spans="2:7" ht="15.75" customHeight="1" x14ac:dyDescent="0.25">
      <c r="B1700" s="100"/>
      <c r="C1700" s="100"/>
      <c r="D1700" s="100"/>
      <c r="E1700" s="100"/>
      <c r="F1700" s="102"/>
      <c r="G1700" s="114"/>
    </row>
    <row r="1701" spans="2:7" ht="15.75" customHeight="1" x14ac:dyDescent="0.25">
      <c r="B1701" s="100"/>
      <c r="C1701" s="100"/>
      <c r="D1701" s="100"/>
      <c r="E1701" s="100"/>
      <c r="F1701" s="102"/>
      <c r="G1701" s="114"/>
    </row>
    <row r="1702" spans="2:7" ht="15.75" customHeight="1" x14ac:dyDescent="0.25">
      <c r="B1702" s="100"/>
      <c r="C1702" s="100"/>
      <c r="D1702" s="100"/>
      <c r="E1702" s="100"/>
      <c r="F1702" s="102"/>
      <c r="G1702" s="114"/>
    </row>
    <row r="1703" spans="2:7" ht="15.75" customHeight="1" x14ac:dyDescent="0.25">
      <c r="B1703" s="100"/>
      <c r="C1703" s="100"/>
      <c r="D1703" s="100"/>
      <c r="E1703" s="100"/>
      <c r="F1703" s="102"/>
      <c r="G1703" s="114"/>
    </row>
    <row r="1704" spans="2:7" ht="15.75" customHeight="1" x14ac:dyDescent="0.25">
      <c r="B1704" s="100"/>
      <c r="C1704" s="100"/>
      <c r="D1704" s="100"/>
      <c r="E1704" s="100"/>
      <c r="F1704" s="102"/>
      <c r="G1704" s="114"/>
    </row>
    <row r="1705" spans="2:7" ht="15.75" customHeight="1" x14ac:dyDescent="0.25">
      <c r="B1705" s="100"/>
      <c r="C1705" s="100"/>
      <c r="D1705" s="100"/>
      <c r="E1705" s="100"/>
      <c r="F1705" s="102"/>
      <c r="G1705" s="114"/>
    </row>
    <row r="1706" spans="2:7" ht="15.75" customHeight="1" x14ac:dyDescent="0.25">
      <c r="B1706" s="100"/>
      <c r="C1706" s="100"/>
      <c r="D1706" s="100"/>
      <c r="E1706" s="100"/>
      <c r="F1706" s="102"/>
      <c r="G1706" s="114"/>
    </row>
    <row r="1707" spans="2:7" ht="15.75" customHeight="1" x14ac:dyDescent="0.25">
      <c r="B1707" s="100"/>
      <c r="C1707" s="100"/>
      <c r="D1707" s="100"/>
      <c r="E1707" s="100"/>
      <c r="F1707" s="102"/>
      <c r="G1707" s="114"/>
    </row>
    <row r="1708" spans="2:7" ht="15.75" customHeight="1" x14ac:dyDescent="0.25">
      <c r="B1708" s="100"/>
      <c r="C1708" s="100"/>
      <c r="D1708" s="100"/>
      <c r="E1708" s="100"/>
      <c r="F1708" s="102"/>
      <c r="G1708" s="114"/>
    </row>
    <row r="1709" spans="2:7" ht="15.75" customHeight="1" x14ac:dyDescent="0.25">
      <c r="B1709" s="100"/>
      <c r="C1709" s="100"/>
      <c r="D1709" s="100"/>
      <c r="E1709" s="100"/>
      <c r="F1709" s="102"/>
      <c r="G1709" s="114"/>
    </row>
    <row r="1710" spans="2:7" ht="15.75" customHeight="1" x14ac:dyDescent="0.25">
      <c r="B1710" s="100"/>
      <c r="C1710" s="100"/>
      <c r="D1710" s="100"/>
      <c r="E1710" s="100"/>
      <c r="F1710" s="102"/>
      <c r="G1710" s="114"/>
    </row>
    <row r="1711" spans="2:7" ht="15.75" customHeight="1" x14ac:dyDescent="0.25">
      <c r="B1711" s="100"/>
      <c r="C1711" s="100"/>
      <c r="D1711" s="100"/>
      <c r="E1711" s="100"/>
      <c r="F1711" s="102"/>
      <c r="G1711" s="114"/>
    </row>
    <row r="1712" spans="2:7" ht="15.75" customHeight="1" x14ac:dyDescent="0.25">
      <c r="B1712" s="100"/>
      <c r="C1712" s="100"/>
      <c r="D1712" s="100"/>
      <c r="E1712" s="100"/>
      <c r="F1712" s="102"/>
      <c r="G1712" s="114"/>
    </row>
    <row r="1713" spans="2:7" ht="15.75" customHeight="1" x14ac:dyDescent="0.25">
      <c r="B1713" s="100"/>
      <c r="C1713" s="100"/>
      <c r="D1713" s="100"/>
      <c r="E1713" s="100"/>
      <c r="F1713" s="102"/>
      <c r="G1713" s="114"/>
    </row>
    <row r="1714" spans="2:7" ht="15.75" customHeight="1" x14ac:dyDescent="0.25">
      <c r="B1714" s="100"/>
      <c r="C1714" s="100"/>
      <c r="D1714" s="100"/>
      <c r="E1714" s="100"/>
      <c r="F1714" s="102"/>
      <c r="G1714" s="114"/>
    </row>
    <row r="1715" spans="2:7" ht="15.75" customHeight="1" x14ac:dyDescent="0.25">
      <c r="B1715" s="100"/>
      <c r="C1715" s="100"/>
      <c r="D1715" s="100"/>
      <c r="E1715" s="100"/>
      <c r="F1715" s="102"/>
      <c r="G1715" s="114"/>
    </row>
    <row r="1716" spans="2:7" ht="15.75" customHeight="1" x14ac:dyDescent="0.25">
      <c r="B1716" s="100"/>
      <c r="C1716" s="100"/>
      <c r="D1716" s="100"/>
      <c r="E1716" s="100"/>
      <c r="F1716" s="102"/>
      <c r="G1716" s="114"/>
    </row>
    <row r="1717" spans="2:7" ht="15.75" customHeight="1" x14ac:dyDescent="0.25">
      <c r="B1717" s="100"/>
      <c r="C1717" s="100"/>
      <c r="D1717" s="100"/>
      <c r="E1717" s="100"/>
      <c r="F1717" s="102"/>
      <c r="G1717" s="114"/>
    </row>
    <row r="1718" spans="2:7" ht="15.75" customHeight="1" x14ac:dyDescent="0.25">
      <c r="B1718" s="100"/>
      <c r="C1718" s="100"/>
      <c r="D1718" s="100"/>
      <c r="E1718" s="100"/>
      <c r="F1718" s="102"/>
      <c r="G1718" s="114"/>
    </row>
    <row r="1719" spans="2:7" ht="15.75" customHeight="1" x14ac:dyDescent="0.25">
      <c r="B1719" s="100"/>
      <c r="C1719" s="100"/>
      <c r="D1719" s="100"/>
      <c r="E1719" s="100"/>
      <c r="F1719" s="102"/>
      <c r="G1719" s="114"/>
    </row>
    <row r="1720" spans="2:7" ht="15.75" customHeight="1" x14ac:dyDescent="0.25">
      <c r="B1720" s="100"/>
      <c r="C1720" s="100"/>
      <c r="D1720" s="100"/>
      <c r="E1720" s="100"/>
      <c r="F1720" s="102"/>
      <c r="G1720" s="114"/>
    </row>
    <row r="1721" spans="2:7" ht="15.75" customHeight="1" x14ac:dyDescent="0.25">
      <c r="B1721" s="100"/>
      <c r="C1721" s="100"/>
      <c r="D1721" s="100"/>
      <c r="E1721" s="100"/>
      <c r="F1721" s="102"/>
      <c r="G1721" s="114"/>
    </row>
    <row r="1722" spans="2:7" ht="15.75" customHeight="1" x14ac:dyDescent="0.25">
      <c r="B1722" s="100"/>
      <c r="C1722" s="100"/>
      <c r="D1722" s="100"/>
      <c r="E1722" s="100"/>
      <c r="F1722" s="102"/>
      <c r="G1722" s="114"/>
    </row>
    <row r="1723" spans="2:7" ht="15.75" customHeight="1" x14ac:dyDescent="0.25">
      <c r="B1723" s="100"/>
      <c r="C1723" s="100"/>
      <c r="D1723" s="100"/>
      <c r="E1723" s="100"/>
      <c r="F1723" s="102"/>
      <c r="G1723" s="114"/>
    </row>
    <row r="1724" spans="2:7" ht="15.75" customHeight="1" x14ac:dyDescent="0.25">
      <c r="B1724" s="100"/>
      <c r="C1724" s="100"/>
      <c r="D1724" s="100"/>
      <c r="E1724" s="100"/>
      <c r="F1724" s="102"/>
      <c r="G1724" s="114"/>
    </row>
    <row r="1725" spans="2:7" ht="15.75" customHeight="1" x14ac:dyDescent="0.25">
      <c r="B1725" s="100"/>
      <c r="C1725" s="100"/>
      <c r="D1725" s="100"/>
      <c r="E1725" s="100"/>
      <c r="F1725" s="102"/>
      <c r="G1725" s="114"/>
    </row>
    <row r="1726" spans="2:7" ht="15.75" customHeight="1" x14ac:dyDescent="0.25">
      <c r="B1726" s="100"/>
      <c r="C1726" s="100"/>
      <c r="D1726" s="100"/>
      <c r="E1726" s="100"/>
      <c r="F1726" s="102"/>
      <c r="G1726" s="114"/>
    </row>
    <row r="1727" spans="2:7" ht="15.75" customHeight="1" x14ac:dyDescent="0.25">
      <c r="B1727" s="100"/>
      <c r="C1727" s="100"/>
      <c r="D1727" s="100"/>
      <c r="E1727" s="100"/>
      <c r="F1727" s="102"/>
      <c r="G1727" s="114"/>
    </row>
    <row r="1728" spans="2:7" ht="15.75" customHeight="1" x14ac:dyDescent="0.25">
      <c r="B1728" s="100"/>
      <c r="C1728" s="100"/>
      <c r="D1728" s="100"/>
      <c r="E1728" s="100"/>
      <c r="F1728" s="102"/>
      <c r="G1728" s="114"/>
    </row>
    <row r="1729" spans="2:7" ht="15.75" customHeight="1" x14ac:dyDescent="0.25">
      <c r="B1729" s="100"/>
      <c r="C1729" s="100"/>
      <c r="D1729" s="100"/>
      <c r="E1729" s="100"/>
      <c r="F1729" s="102"/>
      <c r="G1729" s="114"/>
    </row>
    <row r="1730" spans="2:7" ht="15.75" customHeight="1" x14ac:dyDescent="0.25">
      <c r="B1730" s="100"/>
      <c r="C1730" s="100"/>
      <c r="D1730" s="100"/>
      <c r="E1730" s="100"/>
      <c r="F1730" s="102"/>
      <c r="G1730" s="114"/>
    </row>
    <row r="1731" spans="2:7" ht="15.75" customHeight="1" x14ac:dyDescent="0.25">
      <c r="B1731" s="100"/>
      <c r="C1731" s="100"/>
      <c r="D1731" s="100"/>
      <c r="E1731" s="100"/>
      <c r="F1731" s="102"/>
      <c r="G1731" s="114"/>
    </row>
    <row r="1732" spans="2:7" ht="15.75" customHeight="1" x14ac:dyDescent="0.25">
      <c r="B1732" s="100"/>
      <c r="C1732" s="100"/>
      <c r="D1732" s="100"/>
      <c r="E1732" s="100"/>
      <c r="F1732" s="102"/>
      <c r="G1732" s="114"/>
    </row>
    <row r="1733" spans="2:7" ht="15.75" customHeight="1" x14ac:dyDescent="0.25">
      <c r="B1733" s="100"/>
      <c r="C1733" s="100"/>
      <c r="D1733" s="100"/>
      <c r="E1733" s="100"/>
      <c r="F1733" s="102"/>
      <c r="G1733" s="114"/>
    </row>
    <row r="1734" spans="2:7" ht="15.75" customHeight="1" x14ac:dyDescent="0.25">
      <c r="B1734" s="100"/>
      <c r="C1734" s="100"/>
      <c r="D1734" s="100"/>
      <c r="E1734" s="100"/>
      <c r="F1734" s="102"/>
      <c r="G1734" s="114"/>
    </row>
    <row r="1735" spans="2:7" ht="15.75" customHeight="1" x14ac:dyDescent="0.25">
      <c r="B1735" s="100"/>
      <c r="C1735" s="100"/>
      <c r="D1735" s="100"/>
      <c r="E1735" s="100"/>
      <c r="F1735" s="102"/>
      <c r="G1735" s="114"/>
    </row>
    <row r="1736" spans="2:7" ht="15.75" customHeight="1" x14ac:dyDescent="0.25">
      <c r="B1736" s="100"/>
      <c r="C1736" s="100"/>
      <c r="D1736" s="100"/>
      <c r="E1736" s="100"/>
      <c r="F1736" s="102"/>
      <c r="G1736" s="114"/>
    </row>
    <row r="1737" spans="2:7" ht="15.75" customHeight="1" x14ac:dyDescent="0.25">
      <c r="B1737" s="100"/>
      <c r="C1737" s="100"/>
      <c r="D1737" s="100"/>
      <c r="E1737" s="100"/>
      <c r="F1737" s="102"/>
      <c r="G1737" s="114"/>
    </row>
    <row r="1738" spans="2:7" ht="15.75" customHeight="1" x14ac:dyDescent="0.25">
      <c r="B1738" s="100"/>
      <c r="C1738" s="100"/>
      <c r="D1738" s="100"/>
      <c r="E1738" s="100"/>
      <c r="F1738" s="102"/>
      <c r="G1738" s="114"/>
    </row>
    <row r="1739" spans="2:7" ht="15.75" customHeight="1" x14ac:dyDescent="0.25">
      <c r="B1739" s="100"/>
      <c r="C1739" s="100"/>
      <c r="D1739" s="100"/>
      <c r="E1739" s="100"/>
      <c r="F1739" s="102"/>
      <c r="G1739" s="114"/>
    </row>
    <row r="1740" spans="2:7" ht="15.75" customHeight="1" x14ac:dyDescent="0.25">
      <c r="B1740" s="100"/>
      <c r="C1740" s="100"/>
      <c r="D1740" s="100"/>
      <c r="E1740" s="100"/>
      <c r="F1740" s="102"/>
      <c r="G1740" s="114"/>
    </row>
    <row r="1741" spans="2:7" ht="15.75" customHeight="1" x14ac:dyDescent="0.25">
      <c r="B1741" s="100"/>
      <c r="C1741" s="100"/>
      <c r="D1741" s="100"/>
      <c r="E1741" s="100"/>
      <c r="F1741" s="102"/>
      <c r="G1741" s="114"/>
    </row>
    <row r="1742" spans="2:7" ht="15.75" customHeight="1" x14ac:dyDescent="0.25">
      <c r="B1742" s="100"/>
      <c r="C1742" s="100"/>
      <c r="D1742" s="100"/>
      <c r="E1742" s="100"/>
      <c r="F1742" s="102"/>
      <c r="G1742" s="114"/>
    </row>
    <row r="1743" spans="2:7" ht="15.75" customHeight="1" x14ac:dyDescent="0.25">
      <c r="B1743" s="100"/>
      <c r="C1743" s="100"/>
      <c r="D1743" s="100"/>
      <c r="E1743" s="100"/>
      <c r="F1743" s="102"/>
      <c r="G1743" s="114"/>
    </row>
    <row r="1744" spans="2:7" ht="15.75" customHeight="1" x14ac:dyDescent="0.25">
      <c r="B1744" s="100"/>
      <c r="C1744" s="100"/>
      <c r="D1744" s="100"/>
      <c r="E1744" s="100"/>
      <c r="F1744" s="102"/>
      <c r="G1744" s="114"/>
    </row>
    <row r="1745" spans="2:7" ht="15.75" customHeight="1" x14ac:dyDescent="0.25">
      <c r="B1745" s="100"/>
      <c r="C1745" s="100"/>
      <c r="D1745" s="100"/>
      <c r="E1745" s="100"/>
      <c r="F1745" s="102"/>
      <c r="G1745" s="114"/>
    </row>
    <row r="1746" spans="2:7" ht="15.75" customHeight="1" x14ac:dyDescent="0.25">
      <c r="B1746" s="100"/>
      <c r="C1746" s="100"/>
      <c r="D1746" s="100"/>
      <c r="E1746" s="100"/>
      <c r="F1746" s="102"/>
      <c r="G1746" s="114"/>
    </row>
    <row r="1747" spans="2:7" ht="15.75" customHeight="1" x14ac:dyDescent="0.25">
      <c r="B1747" s="100"/>
      <c r="C1747" s="100"/>
      <c r="D1747" s="100"/>
      <c r="E1747" s="100"/>
      <c r="F1747" s="102"/>
      <c r="G1747" s="114"/>
    </row>
    <row r="1748" spans="2:7" ht="15.75" customHeight="1" x14ac:dyDescent="0.25">
      <c r="B1748" s="100"/>
      <c r="C1748" s="100"/>
      <c r="D1748" s="100"/>
      <c r="E1748" s="100"/>
      <c r="F1748" s="102"/>
      <c r="G1748" s="114"/>
    </row>
    <row r="1749" spans="2:7" ht="15.75" customHeight="1" x14ac:dyDescent="0.25">
      <c r="B1749" s="100"/>
      <c r="C1749" s="100"/>
      <c r="D1749" s="100"/>
      <c r="E1749" s="100"/>
      <c r="F1749" s="102"/>
      <c r="G1749" s="114"/>
    </row>
    <row r="1750" spans="2:7" ht="15.75" customHeight="1" x14ac:dyDescent="0.25">
      <c r="B1750" s="100"/>
      <c r="C1750" s="100"/>
      <c r="D1750" s="100"/>
      <c r="E1750" s="100"/>
      <c r="F1750" s="102"/>
      <c r="G1750" s="114"/>
    </row>
    <row r="1751" spans="2:7" ht="15.75" customHeight="1" x14ac:dyDescent="0.25">
      <c r="B1751" s="100"/>
      <c r="C1751" s="100"/>
      <c r="D1751" s="100"/>
      <c r="E1751" s="100"/>
      <c r="F1751" s="102"/>
      <c r="G1751" s="114"/>
    </row>
    <row r="1752" spans="2:7" ht="15.75" customHeight="1" x14ac:dyDescent="0.25">
      <c r="B1752" s="100"/>
      <c r="C1752" s="100"/>
      <c r="D1752" s="100"/>
      <c r="E1752" s="100"/>
      <c r="F1752" s="102"/>
      <c r="G1752" s="114"/>
    </row>
    <row r="1753" spans="2:7" ht="15.75" customHeight="1" x14ac:dyDescent="0.25">
      <c r="B1753" s="100"/>
      <c r="C1753" s="100"/>
      <c r="D1753" s="100"/>
      <c r="E1753" s="100"/>
      <c r="F1753" s="102"/>
      <c r="G1753" s="114"/>
    </row>
    <row r="1754" spans="2:7" ht="15.75" customHeight="1" x14ac:dyDescent="0.25">
      <c r="B1754" s="100"/>
      <c r="C1754" s="100"/>
      <c r="D1754" s="100"/>
      <c r="E1754" s="100"/>
      <c r="F1754" s="102"/>
      <c r="G1754" s="114"/>
    </row>
    <row r="1755" spans="2:7" ht="15.75" customHeight="1" x14ac:dyDescent="0.25">
      <c r="B1755" s="100"/>
      <c r="C1755" s="100"/>
      <c r="D1755" s="100"/>
      <c r="E1755" s="100"/>
      <c r="F1755" s="102"/>
      <c r="G1755" s="114"/>
    </row>
    <row r="1756" spans="2:7" ht="15.75" customHeight="1" x14ac:dyDescent="0.25">
      <c r="B1756" s="100"/>
      <c r="C1756" s="100"/>
      <c r="D1756" s="100"/>
      <c r="E1756" s="100"/>
      <c r="F1756" s="102"/>
      <c r="G1756" s="114"/>
    </row>
    <row r="1757" spans="2:7" ht="15.75" customHeight="1" x14ac:dyDescent="0.25">
      <c r="B1757" s="100"/>
      <c r="C1757" s="100"/>
      <c r="D1757" s="100"/>
      <c r="E1757" s="100"/>
      <c r="F1757" s="102"/>
      <c r="G1757" s="114"/>
    </row>
    <row r="1758" spans="2:7" ht="15.75" customHeight="1" x14ac:dyDescent="0.25">
      <c r="B1758" s="100"/>
      <c r="C1758" s="100"/>
      <c r="D1758" s="100"/>
      <c r="E1758" s="100"/>
      <c r="F1758" s="102"/>
      <c r="G1758" s="114"/>
    </row>
    <row r="1759" spans="2:7" ht="15.75" customHeight="1" x14ac:dyDescent="0.25">
      <c r="B1759" s="100"/>
      <c r="C1759" s="100"/>
      <c r="D1759" s="100"/>
      <c r="E1759" s="100"/>
      <c r="F1759" s="102"/>
      <c r="G1759" s="114"/>
    </row>
    <row r="1760" spans="2:7" ht="15.75" customHeight="1" x14ac:dyDescent="0.25">
      <c r="B1760" s="100"/>
      <c r="C1760" s="100"/>
      <c r="D1760" s="100"/>
      <c r="E1760" s="100"/>
      <c r="F1760" s="102"/>
      <c r="G1760" s="114"/>
    </row>
    <row r="1761" spans="2:7" ht="15.75" customHeight="1" x14ac:dyDescent="0.25">
      <c r="B1761" s="100"/>
      <c r="C1761" s="100"/>
      <c r="D1761" s="100"/>
      <c r="E1761" s="100"/>
      <c r="F1761" s="102"/>
      <c r="G1761" s="114"/>
    </row>
    <row r="1762" spans="2:7" ht="15.75" customHeight="1" x14ac:dyDescent="0.25">
      <c r="B1762" s="100"/>
      <c r="C1762" s="100"/>
      <c r="D1762" s="100"/>
      <c r="E1762" s="100"/>
      <c r="F1762" s="102"/>
      <c r="G1762" s="114"/>
    </row>
    <row r="1763" spans="2:7" ht="15.75" customHeight="1" x14ac:dyDescent="0.25">
      <c r="B1763" s="100"/>
      <c r="C1763" s="100"/>
      <c r="D1763" s="100"/>
      <c r="E1763" s="100"/>
      <c r="F1763" s="102"/>
      <c r="G1763" s="114"/>
    </row>
    <row r="1764" spans="2:7" ht="15.75" customHeight="1" x14ac:dyDescent="0.25">
      <c r="B1764" s="100"/>
      <c r="C1764" s="100"/>
      <c r="D1764" s="100"/>
      <c r="E1764" s="100"/>
      <c r="F1764" s="102"/>
      <c r="G1764" s="114"/>
    </row>
    <row r="1765" spans="2:7" ht="15.75" customHeight="1" x14ac:dyDescent="0.25">
      <c r="B1765" s="100"/>
      <c r="C1765" s="100"/>
      <c r="D1765" s="100"/>
      <c r="E1765" s="100"/>
      <c r="F1765" s="102"/>
      <c r="G1765" s="114"/>
    </row>
    <row r="1766" spans="2:7" ht="15.75" customHeight="1" x14ac:dyDescent="0.25">
      <c r="B1766" s="100"/>
      <c r="C1766" s="100"/>
      <c r="D1766" s="100"/>
      <c r="E1766" s="100"/>
      <c r="F1766" s="102"/>
      <c r="G1766" s="114"/>
    </row>
    <row r="1767" spans="2:7" ht="15.75" customHeight="1" x14ac:dyDescent="0.25">
      <c r="B1767" s="100"/>
      <c r="C1767" s="100"/>
      <c r="D1767" s="100"/>
      <c r="E1767" s="100"/>
      <c r="F1767" s="102"/>
      <c r="G1767" s="114"/>
    </row>
    <row r="1768" spans="2:7" ht="15.75" customHeight="1" x14ac:dyDescent="0.25">
      <c r="B1768" s="100"/>
      <c r="C1768" s="100"/>
      <c r="D1768" s="100"/>
      <c r="E1768" s="100"/>
      <c r="F1768" s="102"/>
      <c r="G1768" s="114"/>
    </row>
    <row r="1769" spans="2:7" ht="15.75" customHeight="1" x14ac:dyDescent="0.25">
      <c r="B1769" s="100"/>
      <c r="C1769" s="100"/>
      <c r="D1769" s="100"/>
      <c r="E1769" s="100"/>
      <c r="F1769" s="102"/>
      <c r="G1769" s="114"/>
    </row>
    <row r="1770" spans="2:7" ht="15.75" customHeight="1" x14ac:dyDescent="0.25">
      <c r="B1770" s="100"/>
      <c r="C1770" s="100"/>
      <c r="D1770" s="100"/>
      <c r="E1770" s="100"/>
      <c r="F1770" s="102"/>
      <c r="G1770" s="114"/>
    </row>
    <row r="1771" spans="2:7" ht="15.75" customHeight="1" x14ac:dyDescent="0.25">
      <c r="B1771" s="100"/>
      <c r="C1771" s="100"/>
      <c r="D1771" s="100"/>
      <c r="E1771" s="100"/>
      <c r="F1771" s="102"/>
      <c r="G1771" s="114"/>
    </row>
    <row r="1772" spans="2:7" ht="15.75" customHeight="1" x14ac:dyDescent="0.25">
      <c r="B1772" s="100"/>
      <c r="C1772" s="100"/>
      <c r="D1772" s="100"/>
      <c r="E1772" s="100"/>
      <c r="F1772" s="102"/>
      <c r="G1772" s="114"/>
    </row>
    <row r="1773" spans="2:7" ht="15.75" customHeight="1" x14ac:dyDescent="0.25">
      <c r="B1773" s="100"/>
      <c r="C1773" s="100"/>
      <c r="D1773" s="100"/>
      <c r="E1773" s="100"/>
      <c r="F1773" s="102"/>
      <c r="G1773" s="114"/>
    </row>
    <row r="1774" spans="2:7" ht="15.75" customHeight="1" x14ac:dyDescent="0.25">
      <c r="B1774" s="100"/>
      <c r="C1774" s="100"/>
      <c r="D1774" s="100"/>
      <c r="E1774" s="100"/>
      <c r="F1774" s="102"/>
      <c r="G1774" s="114"/>
    </row>
    <row r="1775" spans="2:7" ht="15.75" customHeight="1" x14ac:dyDescent="0.25">
      <c r="B1775" s="100"/>
      <c r="C1775" s="100"/>
      <c r="D1775" s="100"/>
      <c r="E1775" s="100"/>
      <c r="F1775" s="102"/>
      <c r="G1775" s="114"/>
    </row>
    <row r="1776" spans="2:7" ht="15.75" customHeight="1" x14ac:dyDescent="0.25">
      <c r="B1776" s="100"/>
      <c r="C1776" s="100"/>
      <c r="D1776" s="100"/>
      <c r="E1776" s="100"/>
      <c r="F1776" s="102"/>
      <c r="G1776" s="114"/>
    </row>
    <row r="1777" spans="2:7" ht="15.75" customHeight="1" x14ac:dyDescent="0.25">
      <c r="B1777" s="100"/>
      <c r="C1777" s="100"/>
      <c r="D1777" s="100"/>
      <c r="E1777" s="100"/>
      <c r="F1777" s="102"/>
      <c r="G1777" s="114"/>
    </row>
    <row r="1778" spans="2:7" ht="15.75" customHeight="1" x14ac:dyDescent="0.25">
      <c r="B1778" s="100"/>
      <c r="C1778" s="100"/>
      <c r="D1778" s="100"/>
      <c r="E1778" s="100"/>
      <c r="F1778" s="102"/>
      <c r="G1778" s="114"/>
    </row>
    <row r="1779" spans="2:7" ht="15.75" customHeight="1" x14ac:dyDescent="0.25">
      <c r="B1779" s="100"/>
      <c r="C1779" s="100"/>
      <c r="D1779" s="100"/>
      <c r="E1779" s="100"/>
      <c r="F1779" s="102"/>
      <c r="G1779" s="114"/>
    </row>
    <row r="1780" spans="2:7" ht="15.75" customHeight="1" x14ac:dyDescent="0.25">
      <c r="B1780" s="100"/>
      <c r="C1780" s="100"/>
      <c r="D1780" s="100"/>
      <c r="E1780" s="100"/>
      <c r="F1780" s="102"/>
      <c r="G1780" s="114"/>
    </row>
    <row r="1781" spans="2:7" ht="15.75" customHeight="1" x14ac:dyDescent="0.25">
      <c r="B1781" s="100"/>
      <c r="C1781" s="100"/>
      <c r="D1781" s="100"/>
      <c r="E1781" s="100"/>
      <c r="F1781" s="102"/>
      <c r="G1781" s="114"/>
    </row>
    <row r="1782" spans="2:7" ht="15.75" customHeight="1" x14ac:dyDescent="0.25">
      <c r="B1782" s="100"/>
      <c r="C1782" s="100"/>
      <c r="D1782" s="100"/>
      <c r="E1782" s="100"/>
      <c r="F1782" s="102"/>
      <c r="G1782" s="114"/>
    </row>
    <row r="1783" spans="2:7" ht="15.75" customHeight="1" x14ac:dyDescent="0.25">
      <c r="B1783" s="100"/>
      <c r="C1783" s="100"/>
      <c r="D1783" s="100"/>
      <c r="E1783" s="100"/>
      <c r="F1783" s="102"/>
      <c r="G1783" s="114"/>
    </row>
    <row r="1784" spans="2:7" ht="15.75" customHeight="1" x14ac:dyDescent="0.25">
      <c r="B1784" s="100"/>
      <c r="C1784" s="100"/>
      <c r="D1784" s="100"/>
      <c r="E1784" s="100"/>
      <c r="F1784" s="102"/>
      <c r="G1784" s="114"/>
    </row>
    <row r="1785" spans="2:7" ht="15.75" customHeight="1" x14ac:dyDescent="0.25">
      <c r="B1785" s="100"/>
      <c r="C1785" s="100"/>
      <c r="D1785" s="100"/>
      <c r="E1785" s="100"/>
      <c r="F1785" s="102"/>
      <c r="G1785" s="114"/>
    </row>
    <row r="1786" spans="2:7" ht="15.75" customHeight="1" x14ac:dyDescent="0.25">
      <c r="B1786" s="100"/>
      <c r="C1786" s="100"/>
      <c r="D1786" s="100"/>
      <c r="E1786" s="100"/>
      <c r="F1786" s="102"/>
      <c r="G1786" s="114"/>
    </row>
    <row r="1787" spans="2:7" ht="15.75" customHeight="1" x14ac:dyDescent="0.25">
      <c r="B1787" s="100"/>
      <c r="C1787" s="100"/>
      <c r="D1787" s="100"/>
      <c r="E1787" s="100"/>
      <c r="F1787" s="102"/>
      <c r="G1787" s="114"/>
    </row>
    <row r="1788" spans="2:7" ht="15.75" customHeight="1" x14ac:dyDescent="0.25">
      <c r="B1788" s="100"/>
      <c r="C1788" s="100"/>
      <c r="D1788" s="100"/>
      <c r="E1788" s="100"/>
      <c r="F1788" s="102"/>
      <c r="G1788" s="114"/>
    </row>
    <row r="1789" spans="2:7" ht="15.75" customHeight="1" x14ac:dyDescent="0.25">
      <c r="B1789" s="100"/>
      <c r="C1789" s="100"/>
      <c r="D1789" s="100"/>
      <c r="E1789" s="100"/>
      <c r="F1789" s="102"/>
      <c r="G1789" s="114"/>
    </row>
    <row r="1790" spans="2:7" ht="15.75" customHeight="1" x14ac:dyDescent="0.25">
      <c r="B1790" s="100"/>
      <c r="C1790" s="100"/>
      <c r="D1790" s="100"/>
      <c r="E1790" s="100"/>
      <c r="F1790" s="102"/>
      <c r="G1790" s="114"/>
    </row>
    <row r="1791" spans="2:7" ht="15.75" customHeight="1" x14ac:dyDescent="0.25">
      <c r="B1791" s="100"/>
      <c r="C1791" s="100"/>
      <c r="D1791" s="100"/>
      <c r="E1791" s="100"/>
      <c r="F1791" s="102"/>
      <c r="G1791" s="114"/>
    </row>
    <row r="1792" spans="2:7" ht="15.75" customHeight="1" x14ac:dyDescent="0.25">
      <c r="B1792" s="100"/>
      <c r="C1792" s="100"/>
      <c r="D1792" s="100"/>
      <c r="E1792" s="100"/>
      <c r="F1792" s="102"/>
      <c r="G1792" s="114"/>
    </row>
    <row r="1793" spans="2:7" ht="15.75" customHeight="1" x14ac:dyDescent="0.25">
      <c r="B1793" s="100"/>
      <c r="C1793" s="100"/>
      <c r="D1793" s="100"/>
      <c r="E1793" s="100"/>
      <c r="F1793" s="102"/>
      <c r="G1793" s="114"/>
    </row>
    <row r="1794" spans="2:7" ht="15.75" customHeight="1" x14ac:dyDescent="0.25">
      <c r="B1794" s="100"/>
      <c r="C1794" s="100"/>
      <c r="D1794" s="100"/>
      <c r="E1794" s="100"/>
      <c r="F1794" s="102"/>
      <c r="G1794" s="114"/>
    </row>
    <row r="1795" spans="2:7" ht="15.75" customHeight="1" x14ac:dyDescent="0.25">
      <c r="B1795" s="100"/>
      <c r="C1795" s="100"/>
      <c r="D1795" s="100"/>
      <c r="E1795" s="100"/>
      <c r="F1795" s="102"/>
      <c r="G1795" s="114"/>
    </row>
    <row r="1796" spans="2:7" ht="15.75" customHeight="1" x14ac:dyDescent="0.25">
      <c r="B1796" s="100"/>
      <c r="C1796" s="100"/>
      <c r="D1796" s="100"/>
      <c r="E1796" s="100"/>
      <c r="F1796" s="102"/>
      <c r="G1796" s="114"/>
    </row>
    <row r="1797" spans="2:7" ht="15.75" customHeight="1" x14ac:dyDescent="0.25">
      <c r="B1797" s="100"/>
      <c r="C1797" s="100"/>
      <c r="D1797" s="100"/>
      <c r="E1797" s="100"/>
      <c r="F1797" s="102"/>
      <c r="G1797" s="114"/>
    </row>
    <row r="1798" spans="2:7" ht="15.75" customHeight="1" x14ac:dyDescent="0.25">
      <c r="B1798" s="100"/>
      <c r="C1798" s="100"/>
      <c r="D1798" s="100"/>
      <c r="E1798" s="100"/>
      <c r="F1798" s="102"/>
      <c r="G1798" s="114"/>
    </row>
    <row r="1799" spans="2:7" ht="15.75" customHeight="1" x14ac:dyDescent="0.25">
      <c r="B1799" s="100"/>
      <c r="C1799" s="100"/>
      <c r="D1799" s="100"/>
      <c r="E1799" s="100"/>
      <c r="F1799" s="102"/>
      <c r="G1799" s="114"/>
    </row>
    <row r="1800" spans="2:7" ht="15.75" customHeight="1" x14ac:dyDescent="0.25">
      <c r="B1800" s="100"/>
      <c r="C1800" s="100"/>
      <c r="D1800" s="100"/>
      <c r="E1800" s="100"/>
      <c r="F1800" s="102"/>
      <c r="G1800" s="114"/>
    </row>
    <row r="1801" spans="2:7" ht="15.75" customHeight="1" x14ac:dyDescent="0.25">
      <c r="B1801" s="100"/>
      <c r="C1801" s="100"/>
      <c r="D1801" s="100"/>
      <c r="E1801" s="100"/>
      <c r="F1801" s="102"/>
      <c r="G1801" s="114"/>
    </row>
    <row r="1802" spans="2:7" ht="15.75" customHeight="1" x14ac:dyDescent="0.25">
      <c r="B1802" s="100"/>
      <c r="C1802" s="100"/>
      <c r="D1802" s="100"/>
      <c r="E1802" s="100"/>
      <c r="F1802" s="102"/>
      <c r="G1802" s="114"/>
    </row>
    <row r="1803" spans="2:7" ht="15.75" customHeight="1" x14ac:dyDescent="0.25">
      <c r="B1803" s="100"/>
      <c r="C1803" s="100"/>
      <c r="D1803" s="100"/>
      <c r="E1803" s="100"/>
      <c r="F1803" s="102"/>
      <c r="G1803" s="114"/>
    </row>
    <row r="1804" spans="2:7" ht="15.75" customHeight="1" x14ac:dyDescent="0.25">
      <c r="B1804" s="100"/>
      <c r="C1804" s="100"/>
      <c r="D1804" s="100"/>
      <c r="E1804" s="100"/>
      <c r="F1804" s="102"/>
      <c r="G1804" s="114"/>
    </row>
    <row r="1805" spans="2:7" ht="15.75" customHeight="1" x14ac:dyDescent="0.25">
      <c r="B1805" s="100"/>
      <c r="C1805" s="100"/>
      <c r="D1805" s="100"/>
      <c r="E1805" s="100"/>
      <c r="F1805" s="102"/>
      <c r="G1805" s="114"/>
    </row>
    <row r="1806" spans="2:7" ht="15.75" customHeight="1" x14ac:dyDescent="0.25">
      <c r="B1806" s="100"/>
      <c r="C1806" s="100"/>
      <c r="D1806" s="100"/>
      <c r="E1806" s="100"/>
      <c r="F1806" s="102"/>
      <c r="G1806" s="114"/>
    </row>
    <row r="1807" spans="2:7" ht="15.75" customHeight="1" x14ac:dyDescent="0.25">
      <c r="B1807" s="100"/>
      <c r="C1807" s="100"/>
      <c r="D1807" s="100"/>
      <c r="E1807" s="100"/>
      <c r="F1807" s="102"/>
      <c r="G1807" s="114"/>
    </row>
    <row r="1808" spans="2:7" ht="15.75" customHeight="1" x14ac:dyDescent="0.25">
      <c r="B1808" s="100"/>
      <c r="C1808" s="100"/>
      <c r="D1808" s="100"/>
      <c r="E1808" s="100"/>
      <c r="F1808" s="102"/>
      <c r="G1808" s="114"/>
    </row>
    <row r="1809" spans="2:7" ht="15.75" customHeight="1" x14ac:dyDescent="0.25">
      <c r="B1809" s="100"/>
      <c r="C1809" s="100"/>
      <c r="D1809" s="100"/>
      <c r="E1809" s="100"/>
      <c r="F1809" s="102"/>
      <c r="G1809" s="114"/>
    </row>
    <row r="1810" spans="2:7" ht="15.75" customHeight="1" x14ac:dyDescent="0.25">
      <c r="B1810" s="100"/>
      <c r="C1810" s="100"/>
      <c r="D1810" s="100"/>
      <c r="E1810" s="100"/>
      <c r="F1810" s="102"/>
      <c r="G1810" s="114"/>
    </row>
    <row r="1811" spans="2:7" ht="15.75" customHeight="1" x14ac:dyDescent="0.25">
      <c r="B1811" s="100"/>
      <c r="C1811" s="100"/>
      <c r="D1811" s="100"/>
      <c r="E1811" s="100"/>
      <c r="F1811" s="102"/>
      <c r="G1811" s="114"/>
    </row>
    <row r="1812" spans="2:7" ht="15.75" customHeight="1" x14ac:dyDescent="0.25">
      <c r="B1812" s="100"/>
      <c r="C1812" s="100"/>
      <c r="D1812" s="100"/>
      <c r="E1812" s="100"/>
      <c r="F1812" s="102"/>
      <c r="G1812" s="114"/>
    </row>
    <row r="1813" spans="2:7" ht="15.75" customHeight="1" x14ac:dyDescent="0.25">
      <c r="B1813" s="100"/>
      <c r="C1813" s="100"/>
      <c r="D1813" s="100"/>
      <c r="E1813" s="100"/>
      <c r="F1813" s="102"/>
      <c r="G1813" s="114"/>
    </row>
    <row r="1814" spans="2:7" ht="15.75" customHeight="1" x14ac:dyDescent="0.25">
      <c r="B1814" s="100"/>
      <c r="C1814" s="100"/>
      <c r="D1814" s="100"/>
      <c r="E1814" s="100"/>
      <c r="F1814" s="102"/>
      <c r="G1814" s="114"/>
    </row>
    <row r="1815" spans="2:7" ht="15.75" customHeight="1" x14ac:dyDescent="0.25">
      <c r="B1815" s="100"/>
      <c r="C1815" s="100"/>
      <c r="D1815" s="100"/>
      <c r="E1815" s="100"/>
      <c r="F1815" s="102"/>
      <c r="G1815" s="114"/>
    </row>
    <row r="1816" spans="2:7" ht="15.75" customHeight="1" x14ac:dyDescent="0.25">
      <c r="B1816" s="100"/>
      <c r="C1816" s="100"/>
      <c r="D1816" s="100"/>
      <c r="E1816" s="100"/>
      <c r="F1816" s="102"/>
      <c r="G1816" s="114"/>
    </row>
    <row r="1817" spans="2:7" ht="15.75" customHeight="1" x14ac:dyDescent="0.25">
      <c r="B1817" s="100"/>
      <c r="C1817" s="100"/>
      <c r="D1817" s="100"/>
      <c r="E1817" s="100"/>
      <c r="F1817" s="102"/>
      <c r="G1817" s="114"/>
    </row>
    <row r="1818" spans="2:7" ht="15.75" customHeight="1" x14ac:dyDescent="0.25">
      <c r="B1818" s="100"/>
      <c r="C1818" s="100"/>
      <c r="D1818" s="100"/>
      <c r="E1818" s="100"/>
      <c r="F1818" s="102"/>
      <c r="G1818" s="114"/>
    </row>
    <row r="1819" spans="2:7" ht="15.75" customHeight="1" x14ac:dyDescent="0.25">
      <c r="B1819" s="100"/>
      <c r="C1819" s="100"/>
      <c r="D1819" s="100"/>
      <c r="E1819" s="100"/>
      <c r="F1819" s="102"/>
      <c r="G1819" s="114"/>
    </row>
    <row r="1820" spans="2:7" ht="15.75" customHeight="1" x14ac:dyDescent="0.25">
      <c r="B1820" s="100"/>
      <c r="C1820" s="100"/>
      <c r="D1820" s="100"/>
      <c r="E1820" s="100"/>
      <c r="F1820" s="102"/>
      <c r="G1820" s="114"/>
    </row>
    <row r="1821" spans="2:7" ht="15.75" customHeight="1" x14ac:dyDescent="0.25">
      <c r="B1821" s="100"/>
      <c r="C1821" s="100"/>
      <c r="D1821" s="100"/>
      <c r="E1821" s="100"/>
      <c r="F1821" s="102"/>
      <c r="G1821" s="114"/>
    </row>
    <row r="1822" spans="2:7" ht="15.75" customHeight="1" x14ac:dyDescent="0.25">
      <c r="B1822" s="100"/>
      <c r="C1822" s="100"/>
      <c r="D1822" s="100"/>
      <c r="E1822" s="100"/>
      <c r="F1822" s="102"/>
      <c r="G1822" s="114"/>
    </row>
    <row r="1823" spans="2:7" ht="15.75" customHeight="1" x14ac:dyDescent="0.25">
      <c r="B1823" s="100"/>
      <c r="C1823" s="100"/>
      <c r="D1823" s="100"/>
      <c r="E1823" s="100"/>
      <c r="F1823" s="102"/>
      <c r="G1823" s="114"/>
    </row>
    <row r="1824" spans="2:7" ht="15.75" customHeight="1" x14ac:dyDescent="0.25">
      <c r="B1824" s="100"/>
      <c r="C1824" s="100"/>
      <c r="D1824" s="100"/>
      <c r="E1824" s="100"/>
      <c r="F1824" s="102"/>
      <c r="G1824" s="114"/>
    </row>
    <row r="1825" spans="2:7" ht="15.75" customHeight="1" x14ac:dyDescent="0.25">
      <c r="B1825" s="100"/>
      <c r="C1825" s="100"/>
      <c r="D1825" s="100"/>
      <c r="E1825" s="100"/>
      <c r="F1825" s="102"/>
      <c r="G1825" s="114"/>
    </row>
    <row r="1826" spans="2:7" ht="15.75" customHeight="1" x14ac:dyDescent="0.25">
      <c r="B1826" s="100"/>
      <c r="C1826" s="100"/>
      <c r="D1826" s="100"/>
      <c r="E1826" s="100"/>
      <c r="F1826" s="102"/>
      <c r="G1826" s="114"/>
    </row>
    <row r="1827" spans="2:7" ht="15.75" customHeight="1" x14ac:dyDescent="0.25">
      <c r="B1827" s="100"/>
      <c r="C1827" s="100"/>
      <c r="D1827" s="100"/>
      <c r="E1827" s="100"/>
      <c r="F1827" s="102"/>
      <c r="G1827" s="114"/>
    </row>
    <row r="1828" spans="2:7" ht="15.75" customHeight="1" x14ac:dyDescent="0.25">
      <c r="B1828" s="100"/>
      <c r="C1828" s="100"/>
      <c r="D1828" s="100"/>
      <c r="E1828" s="100"/>
      <c r="F1828" s="102"/>
      <c r="G1828" s="114"/>
    </row>
    <row r="1829" spans="2:7" ht="15.75" customHeight="1" x14ac:dyDescent="0.25">
      <c r="B1829" s="100"/>
      <c r="C1829" s="100"/>
      <c r="D1829" s="100"/>
      <c r="E1829" s="100"/>
      <c r="F1829" s="102"/>
      <c r="G1829" s="114"/>
    </row>
    <row r="1830" spans="2:7" ht="15.75" customHeight="1" x14ac:dyDescent="0.25">
      <c r="B1830" s="100"/>
      <c r="C1830" s="100"/>
      <c r="D1830" s="100"/>
      <c r="E1830" s="100"/>
      <c r="F1830" s="102"/>
      <c r="G1830" s="114"/>
    </row>
    <row r="1831" spans="2:7" ht="15.75" customHeight="1" x14ac:dyDescent="0.25">
      <c r="B1831" s="100"/>
      <c r="C1831" s="100"/>
      <c r="D1831" s="100"/>
      <c r="E1831" s="100"/>
      <c r="F1831" s="102"/>
      <c r="G1831" s="114"/>
    </row>
    <row r="1832" spans="2:7" ht="15.75" customHeight="1" x14ac:dyDescent="0.25">
      <c r="B1832" s="100"/>
      <c r="C1832" s="100"/>
      <c r="D1832" s="100"/>
      <c r="E1832" s="100"/>
      <c r="F1832" s="102"/>
      <c r="G1832" s="114"/>
    </row>
    <row r="1833" spans="2:7" ht="15.75" customHeight="1" x14ac:dyDescent="0.25">
      <c r="B1833" s="100"/>
      <c r="C1833" s="100"/>
      <c r="D1833" s="100"/>
      <c r="E1833" s="100"/>
      <c r="F1833" s="102"/>
      <c r="G1833" s="114"/>
    </row>
    <row r="1834" spans="2:7" ht="15.75" customHeight="1" x14ac:dyDescent="0.25">
      <c r="B1834" s="100"/>
      <c r="C1834" s="100"/>
      <c r="D1834" s="100"/>
      <c r="E1834" s="100"/>
      <c r="F1834" s="102"/>
      <c r="G1834" s="114"/>
    </row>
    <row r="1835" spans="2:7" ht="15.75" customHeight="1" x14ac:dyDescent="0.25">
      <c r="B1835" s="100"/>
      <c r="C1835" s="100"/>
      <c r="D1835" s="100"/>
      <c r="E1835" s="100"/>
      <c r="F1835" s="102"/>
      <c r="G1835" s="114"/>
    </row>
    <row r="1836" spans="2:7" ht="15.75" customHeight="1" x14ac:dyDescent="0.25">
      <c r="B1836" s="100"/>
      <c r="C1836" s="100"/>
      <c r="D1836" s="100"/>
      <c r="E1836" s="100"/>
      <c r="F1836" s="102"/>
      <c r="G1836" s="114"/>
    </row>
    <row r="1837" spans="2:7" ht="15.75" customHeight="1" x14ac:dyDescent="0.25">
      <c r="B1837" s="100"/>
      <c r="C1837" s="100"/>
      <c r="D1837" s="100"/>
      <c r="E1837" s="100"/>
      <c r="F1837" s="102"/>
      <c r="G1837" s="114"/>
    </row>
    <row r="1838" spans="2:7" ht="15.75" customHeight="1" x14ac:dyDescent="0.25">
      <c r="B1838" s="100"/>
      <c r="C1838" s="100"/>
      <c r="D1838" s="100"/>
      <c r="E1838" s="100"/>
      <c r="F1838" s="102"/>
      <c r="G1838" s="114"/>
    </row>
    <row r="1839" spans="2:7" ht="15.75" customHeight="1" x14ac:dyDescent="0.25">
      <c r="B1839" s="100"/>
      <c r="C1839" s="100"/>
      <c r="D1839" s="100"/>
      <c r="E1839" s="100"/>
      <c r="F1839" s="102"/>
      <c r="G1839" s="114"/>
    </row>
    <row r="1840" spans="2:7" ht="15.75" customHeight="1" x14ac:dyDescent="0.25">
      <c r="B1840" s="100"/>
      <c r="C1840" s="100"/>
      <c r="D1840" s="100"/>
      <c r="E1840" s="100"/>
      <c r="F1840" s="102"/>
      <c r="G1840" s="114"/>
    </row>
    <row r="1841" spans="2:7" ht="15.75" customHeight="1" x14ac:dyDescent="0.25">
      <c r="B1841" s="100"/>
      <c r="C1841" s="100"/>
      <c r="D1841" s="100"/>
      <c r="E1841" s="100"/>
      <c r="F1841" s="102"/>
      <c r="G1841" s="114"/>
    </row>
    <row r="1842" spans="2:7" ht="15.75" customHeight="1" x14ac:dyDescent="0.25">
      <c r="B1842" s="100"/>
      <c r="C1842" s="100"/>
      <c r="D1842" s="100"/>
      <c r="E1842" s="100"/>
      <c r="F1842" s="102"/>
      <c r="G1842" s="114"/>
    </row>
    <row r="1843" spans="2:7" ht="15.75" customHeight="1" x14ac:dyDescent="0.25">
      <c r="B1843" s="100"/>
      <c r="C1843" s="100"/>
      <c r="D1843" s="100"/>
      <c r="E1843" s="100"/>
      <c r="F1843" s="102"/>
      <c r="G1843" s="114"/>
    </row>
    <row r="1844" spans="2:7" ht="15.75" customHeight="1" x14ac:dyDescent="0.25">
      <c r="B1844" s="100"/>
      <c r="C1844" s="100"/>
      <c r="D1844" s="100"/>
      <c r="E1844" s="100"/>
      <c r="F1844" s="102"/>
      <c r="G1844" s="114"/>
    </row>
    <row r="1845" spans="2:7" ht="15.75" customHeight="1" x14ac:dyDescent="0.25">
      <c r="B1845" s="100"/>
      <c r="C1845" s="100"/>
      <c r="D1845" s="100"/>
      <c r="E1845" s="100"/>
      <c r="F1845" s="102"/>
      <c r="G1845" s="114"/>
    </row>
    <row r="1846" spans="2:7" ht="15.75" customHeight="1" x14ac:dyDescent="0.25">
      <c r="B1846" s="100"/>
      <c r="C1846" s="100"/>
      <c r="D1846" s="100"/>
      <c r="E1846" s="100"/>
      <c r="F1846" s="102"/>
      <c r="G1846" s="114"/>
    </row>
    <row r="1847" spans="2:7" ht="15.75" customHeight="1" x14ac:dyDescent="0.25">
      <c r="B1847" s="100"/>
      <c r="C1847" s="100"/>
      <c r="D1847" s="100"/>
      <c r="E1847" s="100"/>
      <c r="F1847" s="102"/>
      <c r="G1847" s="114"/>
    </row>
    <row r="1848" spans="2:7" ht="15.75" customHeight="1" x14ac:dyDescent="0.25">
      <c r="B1848" s="100"/>
      <c r="C1848" s="100"/>
      <c r="D1848" s="100"/>
      <c r="E1848" s="100"/>
      <c r="F1848" s="102"/>
      <c r="G1848" s="114"/>
    </row>
    <row r="1849" spans="2:7" ht="15.75" customHeight="1" x14ac:dyDescent="0.25">
      <c r="B1849" s="100"/>
      <c r="C1849" s="100"/>
      <c r="D1849" s="100"/>
      <c r="E1849" s="100"/>
      <c r="F1849" s="102"/>
      <c r="G1849" s="114"/>
    </row>
    <row r="1850" spans="2:7" ht="15.75" customHeight="1" x14ac:dyDescent="0.25">
      <c r="B1850" s="100"/>
      <c r="C1850" s="100"/>
      <c r="D1850" s="100"/>
      <c r="E1850" s="100"/>
      <c r="F1850" s="102"/>
      <c r="G1850" s="114"/>
    </row>
    <row r="1851" spans="2:7" ht="15.75" customHeight="1" x14ac:dyDescent="0.25">
      <c r="B1851" s="100"/>
      <c r="C1851" s="100"/>
      <c r="D1851" s="100"/>
      <c r="E1851" s="100"/>
      <c r="F1851" s="102"/>
      <c r="G1851" s="114"/>
    </row>
    <row r="1852" spans="2:7" ht="15.75" customHeight="1" x14ac:dyDescent="0.25">
      <c r="B1852" s="100"/>
      <c r="C1852" s="100"/>
      <c r="D1852" s="100"/>
      <c r="E1852" s="100"/>
      <c r="F1852" s="102"/>
      <c r="G1852" s="114"/>
    </row>
    <row r="1853" spans="2:7" ht="15.75" customHeight="1" x14ac:dyDescent="0.25">
      <c r="B1853" s="100"/>
      <c r="C1853" s="100"/>
      <c r="D1853" s="100"/>
      <c r="E1853" s="100"/>
      <c r="F1853" s="102"/>
      <c r="G1853" s="114"/>
    </row>
    <row r="1854" spans="2:7" ht="15.75" customHeight="1" x14ac:dyDescent="0.25">
      <c r="B1854" s="100"/>
      <c r="C1854" s="100"/>
      <c r="D1854" s="100"/>
      <c r="E1854" s="100"/>
      <c r="F1854" s="102"/>
      <c r="G1854" s="114"/>
    </row>
    <row r="1855" spans="2:7" ht="15.75" customHeight="1" x14ac:dyDescent="0.25">
      <c r="B1855" s="100"/>
      <c r="C1855" s="100"/>
      <c r="D1855" s="100"/>
      <c r="E1855" s="100"/>
      <c r="F1855" s="102"/>
      <c r="G1855" s="114"/>
    </row>
    <row r="1856" spans="2:7" ht="15.75" customHeight="1" x14ac:dyDescent="0.25">
      <c r="B1856" s="100"/>
      <c r="C1856" s="100"/>
      <c r="D1856" s="100"/>
      <c r="E1856" s="100"/>
      <c r="F1856" s="102"/>
      <c r="G1856" s="114"/>
    </row>
    <row r="1857" spans="2:7" ht="15.75" customHeight="1" x14ac:dyDescent="0.25">
      <c r="B1857" s="100"/>
      <c r="C1857" s="100"/>
      <c r="D1857" s="100"/>
      <c r="E1857" s="100"/>
      <c r="F1857" s="102"/>
      <c r="G1857" s="114"/>
    </row>
    <row r="1858" spans="2:7" ht="15.75" customHeight="1" x14ac:dyDescent="0.25">
      <c r="B1858" s="100"/>
      <c r="C1858" s="100"/>
      <c r="D1858" s="100"/>
      <c r="E1858" s="100"/>
      <c r="F1858" s="102"/>
      <c r="G1858" s="114"/>
    </row>
    <row r="1859" spans="2:7" ht="15.75" customHeight="1" x14ac:dyDescent="0.25">
      <c r="B1859" s="100"/>
      <c r="C1859" s="100"/>
      <c r="D1859" s="100"/>
      <c r="E1859" s="100"/>
      <c r="F1859" s="102"/>
      <c r="G1859" s="114"/>
    </row>
    <row r="1860" spans="2:7" ht="15.75" customHeight="1" x14ac:dyDescent="0.25">
      <c r="B1860" s="100"/>
      <c r="C1860" s="100"/>
      <c r="D1860" s="100"/>
      <c r="E1860" s="100"/>
      <c r="F1860" s="102"/>
      <c r="G1860" s="114"/>
    </row>
    <row r="1861" spans="2:7" ht="15.75" customHeight="1" x14ac:dyDescent="0.25">
      <c r="B1861" s="100"/>
      <c r="C1861" s="100"/>
      <c r="D1861" s="100"/>
      <c r="E1861" s="100"/>
      <c r="F1861" s="102"/>
      <c r="G1861" s="114"/>
    </row>
    <row r="1862" spans="2:7" ht="15.75" customHeight="1" x14ac:dyDescent="0.25">
      <c r="B1862" s="100"/>
      <c r="C1862" s="100"/>
      <c r="D1862" s="100"/>
      <c r="E1862" s="100"/>
      <c r="F1862" s="102"/>
      <c r="G1862" s="114"/>
    </row>
    <row r="1863" spans="2:7" ht="15.75" customHeight="1" x14ac:dyDescent="0.25">
      <c r="B1863" s="100"/>
      <c r="C1863" s="100"/>
      <c r="D1863" s="100"/>
      <c r="E1863" s="100"/>
      <c r="F1863" s="102"/>
      <c r="G1863" s="114"/>
    </row>
    <row r="1864" spans="2:7" ht="15.75" customHeight="1" x14ac:dyDescent="0.25">
      <c r="B1864" s="100"/>
      <c r="C1864" s="100"/>
      <c r="D1864" s="100"/>
      <c r="E1864" s="100"/>
      <c r="F1864" s="102"/>
      <c r="G1864" s="114"/>
    </row>
    <row r="1865" spans="2:7" ht="15.75" customHeight="1" x14ac:dyDescent="0.25">
      <c r="B1865" s="100"/>
      <c r="C1865" s="100"/>
      <c r="D1865" s="100"/>
      <c r="E1865" s="100"/>
      <c r="F1865" s="102"/>
      <c r="G1865" s="114"/>
    </row>
    <row r="1866" spans="2:7" ht="15.75" customHeight="1" x14ac:dyDescent="0.25">
      <c r="B1866" s="100"/>
      <c r="C1866" s="100"/>
      <c r="D1866" s="100"/>
      <c r="E1866" s="100"/>
      <c r="F1866" s="102"/>
      <c r="G1866" s="114"/>
    </row>
    <row r="1867" spans="2:7" ht="15.75" customHeight="1" x14ac:dyDescent="0.25">
      <c r="B1867" s="100"/>
      <c r="C1867" s="100"/>
      <c r="D1867" s="100"/>
      <c r="E1867" s="100"/>
      <c r="F1867" s="102"/>
      <c r="G1867" s="114"/>
    </row>
    <row r="1868" spans="2:7" ht="15.75" customHeight="1" x14ac:dyDescent="0.25">
      <c r="B1868" s="100"/>
      <c r="C1868" s="100"/>
      <c r="D1868" s="100"/>
      <c r="E1868" s="100"/>
      <c r="F1868" s="102"/>
      <c r="G1868" s="114"/>
    </row>
    <row r="1869" spans="2:7" ht="15.75" customHeight="1" x14ac:dyDescent="0.25">
      <c r="B1869" s="100"/>
      <c r="C1869" s="100"/>
      <c r="D1869" s="100"/>
      <c r="E1869" s="100"/>
      <c r="F1869" s="102"/>
      <c r="G1869" s="114"/>
    </row>
    <row r="1870" spans="2:7" ht="15.75" customHeight="1" x14ac:dyDescent="0.25">
      <c r="B1870" s="100"/>
      <c r="C1870" s="100"/>
      <c r="D1870" s="100"/>
      <c r="E1870" s="100"/>
      <c r="F1870" s="102"/>
      <c r="G1870" s="114"/>
    </row>
    <row r="1871" spans="2:7" ht="15.75" customHeight="1" x14ac:dyDescent="0.25">
      <c r="B1871" s="100"/>
      <c r="C1871" s="100"/>
      <c r="D1871" s="100"/>
      <c r="E1871" s="100"/>
      <c r="F1871" s="102"/>
      <c r="G1871" s="114"/>
    </row>
    <row r="1872" spans="2:7" ht="15.75" customHeight="1" x14ac:dyDescent="0.25">
      <c r="B1872" s="100"/>
      <c r="C1872" s="100"/>
      <c r="D1872" s="100"/>
      <c r="E1872" s="100"/>
      <c r="F1872" s="102"/>
      <c r="G1872" s="114"/>
    </row>
    <row r="1873" spans="2:7" ht="15.75" customHeight="1" x14ac:dyDescent="0.25">
      <c r="B1873" s="100"/>
      <c r="C1873" s="100"/>
      <c r="D1873" s="100"/>
      <c r="E1873" s="100"/>
      <c r="F1873" s="102"/>
      <c r="G1873" s="114"/>
    </row>
    <row r="1874" spans="2:7" ht="15.75" customHeight="1" x14ac:dyDescent="0.25">
      <c r="B1874" s="100"/>
      <c r="C1874" s="100"/>
      <c r="D1874" s="100"/>
      <c r="E1874" s="100"/>
      <c r="F1874" s="102"/>
      <c r="G1874" s="114"/>
    </row>
    <row r="1875" spans="2:7" ht="15.75" customHeight="1" x14ac:dyDescent="0.25">
      <c r="B1875" s="100"/>
      <c r="C1875" s="100"/>
      <c r="D1875" s="100"/>
      <c r="E1875" s="100"/>
      <c r="F1875" s="102"/>
      <c r="G1875" s="114"/>
    </row>
    <row r="1876" spans="2:7" ht="15.75" customHeight="1" x14ac:dyDescent="0.25">
      <c r="B1876" s="100"/>
      <c r="C1876" s="100"/>
      <c r="D1876" s="100"/>
      <c r="E1876" s="100"/>
      <c r="F1876" s="102"/>
      <c r="G1876" s="114"/>
    </row>
    <row r="1877" spans="2:7" ht="15.75" customHeight="1" x14ac:dyDescent="0.25">
      <c r="B1877" s="100"/>
      <c r="C1877" s="100"/>
      <c r="D1877" s="100"/>
      <c r="E1877" s="100"/>
      <c r="F1877" s="102"/>
      <c r="G1877" s="114"/>
    </row>
    <row r="1878" spans="2:7" ht="15.75" customHeight="1" x14ac:dyDescent="0.25">
      <c r="B1878" s="100"/>
      <c r="C1878" s="100"/>
      <c r="D1878" s="100"/>
      <c r="E1878" s="100"/>
      <c r="F1878" s="102"/>
      <c r="G1878" s="114"/>
    </row>
    <row r="1879" spans="2:7" ht="15.75" customHeight="1" x14ac:dyDescent="0.25">
      <c r="B1879" s="100"/>
      <c r="C1879" s="100"/>
      <c r="D1879" s="100"/>
      <c r="E1879" s="100"/>
      <c r="F1879" s="102"/>
      <c r="G1879" s="114"/>
    </row>
    <row r="1880" spans="2:7" ht="15.75" customHeight="1" x14ac:dyDescent="0.25">
      <c r="B1880" s="100"/>
      <c r="C1880" s="100"/>
      <c r="D1880" s="100"/>
      <c r="E1880" s="100"/>
      <c r="F1880" s="102"/>
      <c r="G1880" s="114"/>
    </row>
    <row r="1881" spans="2:7" ht="15.75" customHeight="1" x14ac:dyDescent="0.25">
      <c r="B1881" s="100"/>
      <c r="C1881" s="100"/>
      <c r="D1881" s="100"/>
      <c r="E1881" s="100"/>
      <c r="F1881" s="102"/>
      <c r="G1881" s="114"/>
    </row>
    <row r="1882" spans="2:7" ht="15.75" customHeight="1" x14ac:dyDescent="0.25">
      <c r="B1882" s="100"/>
      <c r="C1882" s="100"/>
      <c r="D1882" s="100"/>
      <c r="E1882" s="100"/>
      <c r="F1882" s="102"/>
      <c r="G1882" s="114"/>
    </row>
    <row r="1883" spans="2:7" ht="15.75" customHeight="1" x14ac:dyDescent="0.25">
      <c r="B1883" s="100"/>
      <c r="C1883" s="100"/>
      <c r="D1883" s="100"/>
      <c r="E1883" s="100"/>
      <c r="F1883" s="102"/>
      <c r="G1883" s="114"/>
    </row>
    <row r="1884" spans="2:7" ht="15.75" customHeight="1" x14ac:dyDescent="0.25">
      <c r="B1884" s="100"/>
      <c r="C1884" s="100"/>
      <c r="D1884" s="100"/>
      <c r="E1884" s="100"/>
      <c r="F1884" s="102"/>
      <c r="G1884" s="114"/>
    </row>
    <row r="1885" spans="2:7" ht="15.75" customHeight="1" x14ac:dyDescent="0.25">
      <c r="B1885" s="100"/>
      <c r="C1885" s="100"/>
      <c r="D1885" s="100"/>
      <c r="E1885" s="100"/>
      <c r="F1885" s="102"/>
      <c r="G1885" s="114"/>
    </row>
    <row r="1886" spans="2:7" ht="15.75" customHeight="1" x14ac:dyDescent="0.25">
      <c r="B1886" s="100"/>
      <c r="C1886" s="100"/>
      <c r="D1886" s="100"/>
      <c r="E1886" s="100"/>
      <c r="F1886" s="102"/>
      <c r="G1886" s="114"/>
    </row>
    <row r="1887" spans="2:7" ht="15.75" customHeight="1" x14ac:dyDescent="0.25">
      <c r="B1887" s="100"/>
      <c r="C1887" s="100"/>
      <c r="D1887" s="100"/>
      <c r="E1887" s="100"/>
      <c r="F1887" s="102"/>
      <c r="G1887" s="114"/>
    </row>
    <row r="1888" spans="2:7" ht="15.75" customHeight="1" x14ac:dyDescent="0.25">
      <c r="B1888" s="100"/>
      <c r="C1888" s="100"/>
      <c r="D1888" s="100"/>
      <c r="E1888" s="100"/>
      <c r="F1888" s="102"/>
      <c r="G1888" s="114"/>
    </row>
    <row r="1889" spans="2:7" ht="15.75" customHeight="1" x14ac:dyDescent="0.25">
      <c r="B1889" s="100"/>
      <c r="C1889" s="100"/>
      <c r="D1889" s="100"/>
      <c r="E1889" s="100"/>
      <c r="F1889" s="102"/>
      <c r="G1889" s="114"/>
    </row>
    <row r="1890" spans="2:7" ht="15.75" customHeight="1" x14ac:dyDescent="0.25">
      <c r="B1890" s="100"/>
      <c r="C1890" s="100"/>
      <c r="D1890" s="100"/>
      <c r="E1890" s="100"/>
      <c r="F1890" s="102"/>
      <c r="G1890" s="114"/>
    </row>
    <row r="1891" spans="2:7" ht="15.75" customHeight="1" x14ac:dyDescent="0.25">
      <c r="B1891" s="100"/>
      <c r="C1891" s="100"/>
      <c r="D1891" s="100"/>
      <c r="E1891" s="100"/>
      <c r="F1891" s="102"/>
      <c r="G1891" s="114"/>
    </row>
    <row r="1892" spans="2:7" ht="15.75" customHeight="1" x14ac:dyDescent="0.25">
      <c r="B1892" s="100"/>
      <c r="C1892" s="100"/>
      <c r="D1892" s="100"/>
      <c r="E1892" s="100"/>
      <c r="F1892" s="102"/>
      <c r="G1892" s="114"/>
    </row>
    <row r="1893" spans="2:7" ht="15.75" customHeight="1" x14ac:dyDescent="0.25">
      <c r="B1893" s="100"/>
      <c r="C1893" s="100"/>
      <c r="D1893" s="100"/>
      <c r="E1893" s="100"/>
      <c r="F1893" s="102"/>
      <c r="G1893" s="114"/>
    </row>
    <row r="1894" spans="2:7" ht="15.75" customHeight="1" x14ac:dyDescent="0.25">
      <c r="B1894" s="100"/>
      <c r="C1894" s="100"/>
      <c r="D1894" s="100"/>
      <c r="E1894" s="100"/>
      <c r="F1894" s="102"/>
      <c r="G1894" s="114"/>
    </row>
    <row r="1895" spans="2:7" ht="15.75" customHeight="1" x14ac:dyDescent="0.25">
      <c r="B1895" s="100"/>
      <c r="C1895" s="100"/>
      <c r="D1895" s="100"/>
      <c r="E1895" s="100"/>
      <c r="F1895" s="102"/>
      <c r="G1895" s="114"/>
    </row>
    <row r="1896" spans="2:7" ht="15.75" customHeight="1" x14ac:dyDescent="0.25">
      <c r="B1896" s="100"/>
      <c r="C1896" s="100"/>
      <c r="D1896" s="100"/>
      <c r="E1896" s="100"/>
      <c r="F1896" s="102"/>
      <c r="G1896" s="114"/>
    </row>
    <row r="1897" spans="2:7" ht="15.75" customHeight="1" x14ac:dyDescent="0.25">
      <c r="B1897" s="100"/>
      <c r="C1897" s="100"/>
      <c r="D1897" s="100"/>
      <c r="E1897" s="100"/>
      <c r="F1897" s="102"/>
      <c r="G1897" s="114"/>
    </row>
    <row r="1898" spans="2:7" ht="15.75" customHeight="1" x14ac:dyDescent="0.25">
      <c r="B1898" s="100"/>
      <c r="C1898" s="100"/>
      <c r="D1898" s="100"/>
      <c r="E1898" s="100"/>
      <c r="F1898" s="102"/>
      <c r="G1898" s="114"/>
    </row>
    <row r="1899" spans="2:7" ht="15.75" customHeight="1" x14ac:dyDescent="0.25">
      <c r="B1899" s="100"/>
      <c r="C1899" s="100"/>
      <c r="D1899" s="100"/>
      <c r="E1899" s="100"/>
      <c r="F1899" s="102"/>
      <c r="G1899" s="114"/>
    </row>
    <row r="1900" spans="2:7" ht="15.75" customHeight="1" x14ac:dyDescent="0.25">
      <c r="B1900" s="100"/>
      <c r="C1900" s="100"/>
      <c r="D1900" s="100"/>
      <c r="E1900" s="100"/>
      <c r="F1900" s="102"/>
      <c r="G1900" s="114"/>
    </row>
    <row r="1901" spans="2:7" ht="15.75" customHeight="1" x14ac:dyDescent="0.25">
      <c r="B1901" s="100"/>
      <c r="C1901" s="100"/>
      <c r="D1901" s="100"/>
      <c r="E1901" s="100"/>
      <c r="F1901" s="102"/>
      <c r="G1901" s="114"/>
    </row>
    <row r="1902" spans="2:7" ht="15.75" customHeight="1" x14ac:dyDescent="0.25">
      <c r="B1902" s="100"/>
      <c r="C1902" s="100"/>
      <c r="D1902" s="100"/>
      <c r="E1902" s="100"/>
      <c r="F1902" s="102"/>
      <c r="G1902" s="114"/>
    </row>
    <row r="1903" spans="2:7" ht="15.75" customHeight="1" x14ac:dyDescent="0.25">
      <c r="B1903" s="100"/>
      <c r="C1903" s="100"/>
      <c r="D1903" s="100"/>
      <c r="E1903" s="100"/>
      <c r="F1903" s="102"/>
      <c r="G1903" s="114"/>
    </row>
    <row r="1904" spans="2:7" ht="15.75" customHeight="1" x14ac:dyDescent="0.25">
      <c r="B1904" s="100"/>
      <c r="C1904" s="100"/>
      <c r="D1904" s="100"/>
      <c r="E1904" s="100"/>
      <c r="F1904" s="102"/>
      <c r="G1904" s="114"/>
    </row>
    <row r="1905" spans="2:7" ht="15.75" customHeight="1" x14ac:dyDescent="0.25">
      <c r="B1905" s="100"/>
      <c r="C1905" s="100"/>
      <c r="D1905" s="100"/>
      <c r="E1905" s="100"/>
      <c r="F1905" s="102"/>
      <c r="G1905" s="114"/>
    </row>
    <row r="1906" spans="2:7" ht="15.75" customHeight="1" x14ac:dyDescent="0.25">
      <c r="B1906" s="100"/>
      <c r="C1906" s="100"/>
      <c r="D1906" s="100"/>
      <c r="E1906" s="100"/>
      <c r="F1906" s="102"/>
      <c r="G1906" s="114"/>
    </row>
    <row r="1907" spans="2:7" ht="15.75" customHeight="1" x14ac:dyDescent="0.25">
      <c r="B1907" s="100"/>
      <c r="C1907" s="100"/>
      <c r="D1907" s="100"/>
      <c r="E1907" s="100"/>
      <c r="F1907" s="102"/>
      <c r="G1907" s="114"/>
    </row>
    <row r="1908" spans="2:7" ht="15.75" customHeight="1" x14ac:dyDescent="0.25">
      <c r="B1908" s="100"/>
      <c r="C1908" s="100"/>
      <c r="D1908" s="100"/>
      <c r="E1908" s="100"/>
      <c r="F1908" s="102"/>
      <c r="G1908" s="114"/>
    </row>
    <row r="1909" spans="2:7" ht="15.75" customHeight="1" x14ac:dyDescent="0.25">
      <c r="B1909" s="100"/>
      <c r="C1909" s="100"/>
      <c r="D1909" s="100"/>
      <c r="E1909" s="100"/>
      <c r="F1909" s="102"/>
      <c r="G1909" s="114"/>
    </row>
    <row r="1910" spans="2:7" ht="15.75" customHeight="1" x14ac:dyDescent="0.25">
      <c r="B1910" s="100"/>
      <c r="C1910" s="100"/>
      <c r="D1910" s="100"/>
      <c r="E1910" s="100"/>
      <c r="F1910" s="102"/>
      <c r="G1910" s="114"/>
    </row>
    <row r="1911" spans="2:7" ht="15.75" customHeight="1" x14ac:dyDescent="0.25">
      <c r="B1911" s="100"/>
      <c r="C1911" s="100"/>
      <c r="D1911" s="100"/>
      <c r="E1911" s="100"/>
      <c r="F1911" s="102"/>
      <c r="G1911" s="114"/>
    </row>
    <row r="1912" spans="2:7" ht="15.75" customHeight="1" x14ac:dyDescent="0.25">
      <c r="B1912" s="100"/>
      <c r="C1912" s="100"/>
      <c r="D1912" s="100"/>
      <c r="E1912" s="100"/>
      <c r="F1912" s="102"/>
      <c r="G1912" s="114"/>
    </row>
    <row r="1913" spans="2:7" ht="15.75" customHeight="1" x14ac:dyDescent="0.25">
      <c r="B1913" s="100"/>
      <c r="C1913" s="100"/>
      <c r="D1913" s="100"/>
      <c r="E1913" s="100"/>
      <c r="F1913" s="102"/>
      <c r="G1913" s="114"/>
    </row>
    <row r="1914" spans="2:7" ht="15.75" customHeight="1" x14ac:dyDescent="0.25">
      <c r="B1914" s="100"/>
      <c r="C1914" s="100"/>
      <c r="D1914" s="100"/>
      <c r="E1914" s="100"/>
      <c r="F1914" s="102"/>
      <c r="G1914" s="114"/>
    </row>
    <row r="1915" spans="2:7" ht="15.75" customHeight="1" x14ac:dyDescent="0.25">
      <c r="B1915" s="100"/>
      <c r="C1915" s="100"/>
      <c r="D1915" s="100"/>
      <c r="E1915" s="100"/>
      <c r="F1915" s="102"/>
      <c r="G1915" s="114"/>
    </row>
    <row r="1916" spans="2:7" ht="15.75" customHeight="1" x14ac:dyDescent="0.25">
      <c r="B1916" s="100"/>
      <c r="C1916" s="100"/>
      <c r="D1916" s="100"/>
      <c r="E1916" s="100"/>
      <c r="F1916" s="102"/>
      <c r="G1916" s="114"/>
    </row>
    <row r="1917" spans="2:7" ht="15.75" customHeight="1" x14ac:dyDescent="0.25">
      <c r="B1917" s="100"/>
      <c r="C1917" s="100"/>
      <c r="D1917" s="100"/>
      <c r="E1917" s="100"/>
      <c r="F1917" s="102"/>
      <c r="G1917" s="114"/>
    </row>
    <row r="1918" spans="2:7" ht="15.75" customHeight="1" x14ac:dyDescent="0.25">
      <c r="B1918" s="100"/>
      <c r="C1918" s="100"/>
      <c r="D1918" s="100"/>
      <c r="E1918" s="100"/>
      <c r="F1918" s="102"/>
      <c r="G1918" s="114"/>
    </row>
    <row r="1919" spans="2:7" ht="15.75" customHeight="1" x14ac:dyDescent="0.25">
      <c r="B1919" s="100"/>
      <c r="C1919" s="100"/>
      <c r="D1919" s="100"/>
      <c r="E1919" s="100"/>
      <c r="F1919" s="102"/>
      <c r="G1919" s="114"/>
    </row>
    <row r="1920" spans="2:7" ht="15.75" customHeight="1" x14ac:dyDescent="0.25">
      <c r="B1920" s="100"/>
      <c r="C1920" s="100"/>
      <c r="D1920" s="100"/>
      <c r="E1920" s="100"/>
      <c r="F1920" s="102"/>
      <c r="G1920" s="114"/>
    </row>
    <row r="1921" spans="2:7" ht="15.75" customHeight="1" x14ac:dyDescent="0.25">
      <c r="B1921" s="100"/>
      <c r="C1921" s="100"/>
      <c r="D1921" s="100"/>
      <c r="E1921" s="100"/>
      <c r="F1921" s="102"/>
      <c r="G1921" s="114"/>
    </row>
    <row r="1922" spans="2:7" ht="15.75" customHeight="1" x14ac:dyDescent="0.25">
      <c r="B1922" s="100"/>
      <c r="C1922" s="100"/>
      <c r="D1922" s="100"/>
      <c r="E1922" s="100"/>
      <c r="F1922" s="102"/>
      <c r="G1922" s="114"/>
    </row>
    <row r="1923" spans="2:7" ht="15.75" customHeight="1" x14ac:dyDescent="0.25">
      <c r="B1923" s="100"/>
      <c r="C1923" s="100"/>
      <c r="D1923" s="100"/>
      <c r="E1923" s="100"/>
      <c r="F1923" s="102"/>
      <c r="G1923" s="114"/>
    </row>
    <row r="1924" spans="2:7" ht="15.75" customHeight="1" x14ac:dyDescent="0.25">
      <c r="B1924" s="100"/>
      <c r="C1924" s="100"/>
      <c r="D1924" s="100"/>
      <c r="E1924" s="100"/>
      <c r="F1924" s="102"/>
      <c r="G1924" s="114"/>
    </row>
    <row r="1925" spans="2:7" ht="15.75" customHeight="1" x14ac:dyDescent="0.25">
      <c r="B1925" s="100"/>
      <c r="C1925" s="100"/>
      <c r="D1925" s="100"/>
      <c r="E1925" s="100"/>
      <c r="F1925" s="102"/>
      <c r="G1925" s="114"/>
    </row>
    <row r="1926" spans="2:7" ht="15.75" customHeight="1" x14ac:dyDescent="0.25">
      <c r="B1926" s="100"/>
      <c r="C1926" s="100"/>
      <c r="D1926" s="100"/>
      <c r="E1926" s="100"/>
      <c r="F1926" s="102"/>
      <c r="G1926" s="114"/>
    </row>
    <row r="1927" spans="2:7" ht="15.75" customHeight="1" x14ac:dyDescent="0.25">
      <c r="B1927" s="100"/>
      <c r="C1927" s="100"/>
      <c r="D1927" s="100"/>
      <c r="E1927" s="100"/>
      <c r="F1927" s="102"/>
      <c r="G1927" s="114"/>
    </row>
    <row r="1928" spans="2:7" ht="15.75" customHeight="1" x14ac:dyDescent="0.25">
      <c r="B1928" s="100"/>
      <c r="C1928" s="100"/>
      <c r="D1928" s="100"/>
      <c r="E1928" s="100"/>
      <c r="F1928" s="102"/>
      <c r="G1928" s="114"/>
    </row>
    <row r="1929" spans="2:7" ht="15.75" customHeight="1" x14ac:dyDescent="0.25">
      <c r="B1929" s="100"/>
      <c r="C1929" s="100"/>
      <c r="D1929" s="100"/>
      <c r="E1929" s="100"/>
      <c r="F1929" s="102"/>
      <c r="G1929" s="114"/>
    </row>
    <row r="1930" spans="2:7" ht="15.75" customHeight="1" x14ac:dyDescent="0.25">
      <c r="B1930" s="100"/>
      <c r="C1930" s="100"/>
      <c r="D1930" s="100"/>
      <c r="E1930" s="100"/>
      <c r="F1930" s="102"/>
      <c r="G1930" s="114"/>
    </row>
    <row r="1931" spans="2:7" ht="15.75" customHeight="1" x14ac:dyDescent="0.25">
      <c r="B1931" s="100"/>
      <c r="C1931" s="100"/>
      <c r="D1931" s="100"/>
      <c r="E1931" s="100"/>
      <c r="F1931" s="102"/>
      <c r="G1931" s="114"/>
    </row>
    <row r="1932" spans="2:7" ht="15.75" customHeight="1" x14ac:dyDescent="0.25">
      <c r="B1932" s="100"/>
      <c r="C1932" s="100"/>
      <c r="D1932" s="100"/>
      <c r="E1932" s="100"/>
      <c r="F1932" s="102"/>
      <c r="G1932" s="114"/>
    </row>
    <row r="1933" spans="2:7" ht="15.75" customHeight="1" x14ac:dyDescent="0.25">
      <c r="B1933" s="100"/>
      <c r="C1933" s="100"/>
      <c r="D1933" s="100"/>
      <c r="E1933" s="100"/>
      <c r="F1933" s="102"/>
      <c r="G1933" s="114"/>
    </row>
    <row r="1934" spans="2:7" ht="15.75" customHeight="1" x14ac:dyDescent="0.25">
      <c r="B1934" s="100"/>
      <c r="C1934" s="100"/>
      <c r="D1934" s="100"/>
      <c r="E1934" s="100"/>
      <c r="F1934" s="102"/>
      <c r="G1934" s="114"/>
    </row>
    <row r="1935" spans="2:7" ht="15.75" customHeight="1" x14ac:dyDescent="0.25">
      <c r="B1935" s="100"/>
      <c r="C1935" s="100"/>
      <c r="D1935" s="100"/>
      <c r="E1935" s="100"/>
      <c r="F1935" s="102"/>
      <c r="G1935" s="114"/>
    </row>
    <row r="1936" spans="2:7" ht="15.75" customHeight="1" x14ac:dyDescent="0.25">
      <c r="B1936" s="100"/>
      <c r="C1936" s="100"/>
      <c r="D1936" s="100"/>
      <c r="E1936" s="100"/>
      <c r="F1936" s="102"/>
      <c r="G1936" s="114"/>
    </row>
    <row r="1937" spans="2:7" ht="15.75" customHeight="1" x14ac:dyDescent="0.25">
      <c r="B1937" s="100"/>
      <c r="C1937" s="100"/>
      <c r="D1937" s="100"/>
      <c r="E1937" s="100"/>
      <c r="F1937" s="102"/>
      <c r="G1937" s="114"/>
    </row>
    <row r="1938" spans="2:7" ht="15.75" customHeight="1" x14ac:dyDescent="0.25">
      <c r="B1938" s="100"/>
      <c r="C1938" s="100"/>
      <c r="D1938" s="100"/>
      <c r="E1938" s="100"/>
      <c r="F1938" s="102"/>
      <c r="G1938" s="114"/>
    </row>
    <row r="1939" spans="2:7" ht="15.75" customHeight="1" x14ac:dyDescent="0.25">
      <c r="B1939" s="100"/>
      <c r="C1939" s="100"/>
      <c r="D1939" s="100"/>
      <c r="E1939" s="100"/>
      <c r="F1939" s="102"/>
      <c r="G1939" s="114"/>
    </row>
    <row r="1940" spans="2:7" ht="15.75" customHeight="1" x14ac:dyDescent="0.25">
      <c r="B1940" s="100"/>
      <c r="C1940" s="100"/>
      <c r="D1940" s="100"/>
      <c r="E1940" s="100"/>
      <c r="F1940" s="102"/>
      <c r="G1940" s="114"/>
    </row>
    <row r="1941" spans="2:7" ht="15.75" customHeight="1" x14ac:dyDescent="0.25">
      <c r="B1941" s="100"/>
      <c r="C1941" s="100"/>
      <c r="D1941" s="100"/>
      <c r="E1941" s="100"/>
      <c r="F1941" s="102"/>
      <c r="G1941" s="114"/>
    </row>
    <row r="1942" spans="2:7" ht="15.75" customHeight="1" x14ac:dyDescent="0.25">
      <c r="B1942" s="100"/>
      <c r="C1942" s="100"/>
      <c r="D1942" s="100"/>
      <c r="E1942" s="100"/>
      <c r="F1942" s="102"/>
      <c r="G1942" s="114"/>
    </row>
    <row r="1943" spans="2:7" ht="15.75" customHeight="1" x14ac:dyDescent="0.25">
      <c r="B1943" s="100"/>
      <c r="C1943" s="100"/>
      <c r="D1943" s="100"/>
      <c r="E1943" s="100"/>
      <c r="F1943" s="102"/>
      <c r="G1943" s="114"/>
    </row>
    <row r="1944" spans="2:7" ht="15.75" customHeight="1" x14ac:dyDescent="0.25">
      <c r="B1944" s="100"/>
      <c r="C1944" s="100"/>
      <c r="D1944" s="100"/>
      <c r="E1944" s="100"/>
      <c r="F1944" s="102"/>
      <c r="G1944" s="114"/>
    </row>
    <row r="1945" spans="2:7" ht="15.75" customHeight="1" x14ac:dyDescent="0.25">
      <c r="B1945" s="100"/>
      <c r="C1945" s="100"/>
      <c r="D1945" s="100"/>
      <c r="E1945" s="100"/>
      <c r="F1945" s="102"/>
      <c r="G1945" s="114"/>
    </row>
    <row r="1946" spans="2:7" ht="15.75" customHeight="1" x14ac:dyDescent="0.25">
      <c r="B1946" s="100"/>
      <c r="C1946" s="100"/>
      <c r="D1946" s="100"/>
      <c r="E1946" s="100"/>
      <c r="F1946" s="102"/>
      <c r="G1946" s="114"/>
    </row>
    <row r="1947" spans="2:7" ht="15.75" customHeight="1" x14ac:dyDescent="0.25">
      <c r="B1947" s="100"/>
      <c r="C1947" s="100"/>
      <c r="D1947" s="100"/>
      <c r="E1947" s="100"/>
      <c r="F1947" s="102"/>
      <c r="G1947" s="114"/>
    </row>
    <row r="1948" spans="2:7" ht="15.75" customHeight="1" x14ac:dyDescent="0.25">
      <c r="B1948" s="100"/>
      <c r="C1948" s="100"/>
      <c r="D1948" s="100"/>
      <c r="E1948" s="100"/>
      <c r="F1948" s="102"/>
      <c r="G1948" s="114"/>
    </row>
    <row r="1949" spans="2:7" ht="15.75" customHeight="1" x14ac:dyDescent="0.25">
      <c r="B1949" s="100"/>
      <c r="C1949" s="100"/>
      <c r="D1949" s="100"/>
      <c r="E1949" s="100"/>
      <c r="F1949" s="102"/>
      <c r="G1949" s="114"/>
    </row>
    <row r="1950" spans="2:7" ht="15.75" customHeight="1" x14ac:dyDescent="0.25">
      <c r="B1950" s="100"/>
      <c r="C1950" s="100"/>
      <c r="D1950" s="100"/>
      <c r="E1950" s="100"/>
      <c r="F1950" s="102"/>
      <c r="G1950" s="114"/>
    </row>
    <row r="1951" spans="2:7" ht="15.75" customHeight="1" x14ac:dyDescent="0.25">
      <c r="B1951" s="100"/>
      <c r="C1951" s="100"/>
      <c r="D1951" s="100"/>
      <c r="E1951" s="100"/>
      <c r="F1951" s="102"/>
      <c r="G1951" s="114"/>
    </row>
    <row r="1952" spans="2:7" ht="15.75" customHeight="1" x14ac:dyDescent="0.25">
      <c r="B1952" s="100"/>
      <c r="C1952" s="100"/>
      <c r="D1952" s="100"/>
      <c r="E1952" s="100"/>
      <c r="F1952" s="102"/>
      <c r="G1952" s="114"/>
    </row>
    <row r="1953" spans="2:7" ht="15.75" customHeight="1" x14ac:dyDescent="0.25">
      <c r="B1953" s="100"/>
      <c r="C1953" s="100"/>
      <c r="D1953" s="100"/>
      <c r="E1953" s="100"/>
      <c r="F1953" s="102"/>
      <c r="G1953" s="114"/>
    </row>
    <row r="1954" spans="2:7" ht="15.75" customHeight="1" x14ac:dyDescent="0.25">
      <c r="B1954" s="100"/>
      <c r="C1954" s="100"/>
      <c r="D1954" s="100"/>
      <c r="E1954" s="100"/>
      <c r="F1954" s="102"/>
      <c r="G1954" s="114"/>
    </row>
    <row r="1955" spans="2:7" ht="15.75" customHeight="1" x14ac:dyDescent="0.25">
      <c r="B1955" s="100"/>
      <c r="C1955" s="100"/>
      <c r="D1955" s="100"/>
      <c r="E1955" s="100"/>
      <c r="F1955" s="102"/>
      <c r="G1955" s="114"/>
    </row>
    <row r="1956" spans="2:7" ht="15.75" customHeight="1" x14ac:dyDescent="0.25">
      <c r="B1956" s="100"/>
      <c r="C1956" s="100"/>
      <c r="D1956" s="100"/>
      <c r="E1956" s="100"/>
      <c r="F1956" s="102"/>
      <c r="G1956" s="114"/>
    </row>
    <row r="1957" spans="2:7" ht="15.75" customHeight="1" x14ac:dyDescent="0.25">
      <c r="B1957" s="100"/>
      <c r="C1957" s="100"/>
      <c r="D1957" s="100"/>
      <c r="E1957" s="100"/>
      <c r="F1957" s="102"/>
      <c r="G1957" s="114"/>
    </row>
    <row r="1958" spans="2:7" ht="15.75" customHeight="1" x14ac:dyDescent="0.25">
      <c r="B1958" s="100"/>
      <c r="C1958" s="100"/>
      <c r="D1958" s="100"/>
      <c r="E1958" s="100"/>
      <c r="F1958" s="102"/>
      <c r="G1958" s="114"/>
    </row>
    <row r="1959" spans="2:7" ht="15.75" customHeight="1" x14ac:dyDescent="0.25">
      <c r="B1959" s="100"/>
      <c r="C1959" s="100"/>
      <c r="D1959" s="100"/>
      <c r="E1959" s="100"/>
      <c r="F1959" s="102"/>
      <c r="G1959" s="114"/>
    </row>
    <row r="1960" spans="2:7" ht="15.75" customHeight="1" x14ac:dyDescent="0.25">
      <c r="B1960" s="100"/>
      <c r="C1960" s="100"/>
      <c r="D1960" s="100"/>
      <c r="E1960" s="100"/>
      <c r="F1960" s="102"/>
      <c r="G1960" s="114"/>
    </row>
    <row r="1961" spans="2:7" ht="15.75" customHeight="1" x14ac:dyDescent="0.25">
      <c r="B1961" s="100"/>
      <c r="C1961" s="100"/>
      <c r="D1961" s="100"/>
      <c r="E1961" s="100"/>
      <c r="F1961" s="102"/>
      <c r="G1961" s="114"/>
    </row>
    <row r="1962" spans="2:7" ht="15.75" customHeight="1" x14ac:dyDescent="0.25">
      <c r="B1962" s="100"/>
      <c r="C1962" s="100"/>
      <c r="D1962" s="100"/>
      <c r="E1962" s="100"/>
      <c r="F1962" s="102"/>
      <c r="G1962" s="114"/>
    </row>
    <row r="1963" spans="2:7" ht="15.75" customHeight="1" x14ac:dyDescent="0.25">
      <c r="B1963" s="100"/>
      <c r="C1963" s="100"/>
      <c r="D1963" s="100"/>
      <c r="E1963" s="100"/>
      <c r="F1963" s="102"/>
      <c r="G1963" s="114"/>
    </row>
    <row r="1964" spans="2:7" ht="15.75" customHeight="1" x14ac:dyDescent="0.25">
      <c r="B1964" s="100"/>
      <c r="C1964" s="100"/>
      <c r="D1964" s="100"/>
      <c r="E1964" s="100"/>
      <c r="F1964" s="102"/>
      <c r="G1964" s="114"/>
    </row>
    <row r="1965" spans="2:7" ht="15.75" customHeight="1" x14ac:dyDescent="0.25">
      <c r="B1965" s="100"/>
      <c r="C1965" s="100"/>
      <c r="D1965" s="100"/>
      <c r="E1965" s="100"/>
      <c r="F1965" s="102"/>
      <c r="G1965" s="114"/>
    </row>
    <row r="1966" spans="2:7" ht="15.75" customHeight="1" x14ac:dyDescent="0.25">
      <c r="B1966" s="100"/>
      <c r="C1966" s="100"/>
      <c r="D1966" s="100"/>
      <c r="E1966" s="100"/>
      <c r="F1966" s="102"/>
      <c r="G1966" s="114"/>
    </row>
    <row r="1967" spans="2:7" ht="15.75" customHeight="1" x14ac:dyDescent="0.25">
      <c r="B1967" s="100"/>
      <c r="C1967" s="100"/>
      <c r="D1967" s="100"/>
      <c r="E1967" s="100"/>
      <c r="F1967" s="102"/>
      <c r="G1967" s="114"/>
    </row>
    <row r="1968" spans="2:7" ht="15.75" customHeight="1" x14ac:dyDescent="0.25">
      <c r="B1968" s="100"/>
      <c r="C1968" s="100"/>
      <c r="D1968" s="100"/>
      <c r="E1968" s="100"/>
      <c r="F1968" s="102"/>
      <c r="G1968" s="114"/>
    </row>
    <row r="1969" spans="2:7" ht="15.75" customHeight="1" x14ac:dyDescent="0.25">
      <c r="B1969" s="100"/>
      <c r="C1969" s="100"/>
      <c r="D1969" s="100"/>
      <c r="E1969" s="100"/>
      <c r="F1969" s="102"/>
      <c r="G1969" s="114"/>
    </row>
    <row r="1970" spans="2:7" ht="15.75" customHeight="1" x14ac:dyDescent="0.25">
      <c r="B1970" s="100"/>
      <c r="C1970" s="100"/>
      <c r="D1970" s="100"/>
      <c r="E1970" s="100"/>
      <c r="F1970" s="102"/>
      <c r="G1970" s="114"/>
    </row>
    <row r="1971" spans="2:7" ht="15.75" customHeight="1" x14ac:dyDescent="0.25">
      <c r="B1971" s="100"/>
      <c r="C1971" s="100"/>
      <c r="D1971" s="100"/>
      <c r="E1971" s="100"/>
      <c r="F1971" s="102"/>
      <c r="G1971" s="114"/>
    </row>
    <row r="1972" spans="2:7" ht="15.75" customHeight="1" x14ac:dyDescent="0.25">
      <c r="B1972" s="100"/>
      <c r="C1972" s="100"/>
      <c r="D1972" s="100"/>
      <c r="E1972" s="100"/>
      <c r="F1972" s="102"/>
      <c r="G1972" s="114"/>
    </row>
    <row r="1973" spans="2:7" ht="15.75" customHeight="1" x14ac:dyDescent="0.25">
      <c r="B1973" s="100"/>
      <c r="C1973" s="100"/>
      <c r="D1973" s="100"/>
      <c r="E1973" s="100"/>
      <c r="F1973" s="102"/>
      <c r="G1973" s="114"/>
    </row>
    <row r="1974" spans="2:7" ht="15.75" customHeight="1" x14ac:dyDescent="0.25">
      <c r="B1974" s="100"/>
      <c r="C1974" s="100"/>
      <c r="D1974" s="100"/>
      <c r="E1974" s="100"/>
      <c r="F1974" s="102"/>
      <c r="G1974" s="114"/>
    </row>
    <row r="1975" spans="2:7" ht="15.75" customHeight="1" x14ac:dyDescent="0.25">
      <c r="B1975" s="100"/>
      <c r="C1975" s="100"/>
      <c r="D1975" s="100"/>
      <c r="E1975" s="100"/>
      <c r="F1975" s="102"/>
      <c r="G1975" s="114"/>
    </row>
    <row r="1976" spans="2:7" ht="15.75" customHeight="1" x14ac:dyDescent="0.25">
      <c r="B1976" s="100"/>
      <c r="C1976" s="100"/>
      <c r="D1976" s="100"/>
      <c r="E1976" s="100"/>
      <c r="F1976" s="102"/>
      <c r="G1976" s="114"/>
    </row>
    <row r="1977" spans="2:7" ht="15.75" customHeight="1" x14ac:dyDescent="0.25">
      <c r="B1977" s="100"/>
      <c r="C1977" s="100"/>
      <c r="D1977" s="100"/>
      <c r="E1977" s="100"/>
      <c r="F1977" s="102"/>
      <c r="G1977" s="114"/>
    </row>
    <row r="1978" spans="2:7" ht="15.75" customHeight="1" x14ac:dyDescent="0.25">
      <c r="B1978" s="100"/>
      <c r="C1978" s="100"/>
      <c r="D1978" s="100"/>
      <c r="E1978" s="100"/>
      <c r="F1978" s="102"/>
      <c r="G1978" s="114"/>
    </row>
    <row r="1979" spans="2:7" ht="15.75" customHeight="1" x14ac:dyDescent="0.25">
      <c r="B1979" s="100"/>
      <c r="C1979" s="100"/>
      <c r="D1979" s="100"/>
      <c r="E1979" s="100"/>
      <c r="F1979" s="102"/>
      <c r="G1979" s="114"/>
    </row>
    <row r="1980" spans="2:7" ht="15.75" customHeight="1" x14ac:dyDescent="0.25">
      <c r="B1980" s="100"/>
      <c r="C1980" s="100"/>
      <c r="D1980" s="100"/>
      <c r="E1980" s="100"/>
      <c r="F1980" s="102"/>
      <c r="G1980" s="114"/>
    </row>
    <row r="1981" spans="2:7" ht="15.75" customHeight="1" x14ac:dyDescent="0.25">
      <c r="B1981" s="100"/>
      <c r="C1981" s="100"/>
      <c r="D1981" s="100"/>
      <c r="E1981" s="100"/>
      <c r="F1981" s="102"/>
      <c r="G1981" s="114"/>
    </row>
    <row r="1982" spans="2:7" ht="15.75" customHeight="1" x14ac:dyDescent="0.25">
      <c r="B1982" s="100"/>
      <c r="C1982" s="100"/>
      <c r="D1982" s="100"/>
      <c r="E1982" s="100"/>
      <c r="F1982" s="102"/>
      <c r="G1982" s="114"/>
    </row>
    <row r="1983" spans="2:7" ht="15.75" customHeight="1" x14ac:dyDescent="0.25">
      <c r="B1983" s="100"/>
      <c r="C1983" s="100"/>
      <c r="D1983" s="100"/>
      <c r="E1983" s="100"/>
      <c r="F1983" s="102"/>
      <c r="G1983" s="114"/>
    </row>
    <row r="1984" spans="2:7" ht="15.75" customHeight="1" x14ac:dyDescent="0.25">
      <c r="B1984" s="100"/>
      <c r="C1984" s="100"/>
      <c r="D1984" s="100"/>
      <c r="E1984" s="100"/>
      <c r="F1984" s="102"/>
      <c r="G1984" s="114"/>
    </row>
    <row r="1985" spans="2:7" ht="15.75" customHeight="1" x14ac:dyDescent="0.25">
      <c r="B1985" s="100"/>
      <c r="C1985" s="100"/>
      <c r="D1985" s="100"/>
      <c r="E1985" s="100"/>
      <c r="F1985" s="102"/>
      <c r="G1985" s="114"/>
    </row>
    <row r="1986" spans="2:7" ht="15.75" customHeight="1" x14ac:dyDescent="0.25">
      <c r="B1986" s="100"/>
      <c r="C1986" s="100"/>
      <c r="D1986" s="100"/>
      <c r="E1986" s="100"/>
      <c r="F1986" s="102"/>
      <c r="G1986" s="114"/>
    </row>
    <row r="1987" spans="2:7" ht="15.75" customHeight="1" x14ac:dyDescent="0.25">
      <c r="B1987" s="100"/>
      <c r="C1987" s="100"/>
      <c r="D1987" s="100"/>
      <c r="E1987" s="100"/>
      <c r="F1987" s="102"/>
      <c r="G1987" s="114"/>
    </row>
    <row r="1988" spans="2:7" ht="15.75" customHeight="1" x14ac:dyDescent="0.25">
      <c r="B1988" s="100"/>
      <c r="C1988" s="100"/>
      <c r="D1988" s="100"/>
      <c r="E1988" s="100"/>
      <c r="F1988" s="102"/>
      <c r="G1988" s="114"/>
    </row>
    <row r="1989" spans="2:7" ht="15.75" customHeight="1" x14ac:dyDescent="0.25">
      <c r="B1989" s="100"/>
      <c r="C1989" s="100"/>
      <c r="D1989" s="100"/>
      <c r="E1989" s="100"/>
      <c r="F1989" s="102"/>
      <c r="G1989" s="114"/>
    </row>
    <row r="1990" spans="2:7" ht="15.75" customHeight="1" x14ac:dyDescent="0.25">
      <c r="B1990" s="100"/>
      <c r="C1990" s="100"/>
      <c r="D1990" s="100"/>
      <c r="E1990" s="100"/>
      <c r="F1990" s="102"/>
      <c r="G1990" s="114"/>
    </row>
    <row r="1991" spans="2:7" ht="15.75" customHeight="1" x14ac:dyDescent="0.25">
      <c r="B1991" s="100"/>
      <c r="C1991" s="100"/>
      <c r="D1991" s="100"/>
      <c r="E1991" s="100"/>
      <c r="F1991" s="102"/>
      <c r="G1991" s="114"/>
    </row>
    <row r="1992" spans="2:7" ht="15.75" customHeight="1" x14ac:dyDescent="0.25">
      <c r="B1992" s="100"/>
      <c r="C1992" s="100"/>
      <c r="D1992" s="100"/>
      <c r="E1992" s="100"/>
      <c r="F1992" s="102"/>
      <c r="G1992" s="114"/>
    </row>
    <row r="1993" spans="2:7" ht="15.75" customHeight="1" x14ac:dyDescent="0.25">
      <c r="B1993" s="100"/>
      <c r="C1993" s="100"/>
      <c r="D1993" s="100"/>
      <c r="E1993" s="100"/>
      <c r="F1993" s="102"/>
      <c r="G1993" s="114"/>
    </row>
    <row r="1994" spans="2:7" ht="15.75" customHeight="1" x14ac:dyDescent="0.25">
      <c r="B1994" s="100"/>
      <c r="C1994" s="100"/>
      <c r="D1994" s="100"/>
      <c r="E1994" s="100"/>
      <c r="F1994" s="102"/>
      <c r="G1994" s="114"/>
    </row>
    <row r="1995" spans="2:7" ht="15.75" customHeight="1" x14ac:dyDescent="0.25">
      <c r="B1995" s="100"/>
      <c r="C1995" s="100"/>
      <c r="D1995" s="100"/>
      <c r="E1995" s="100"/>
      <c r="F1995" s="102"/>
      <c r="G1995" s="114"/>
    </row>
    <row r="1996" spans="2:7" ht="15.75" customHeight="1" x14ac:dyDescent="0.25">
      <c r="B1996" s="100"/>
      <c r="C1996" s="100"/>
      <c r="D1996" s="100"/>
      <c r="E1996" s="100"/>
      <c r="F1996" s="102"/>
      <c r="G1996" s="114"/>
    </row>
    <row r="1997" spans="2:7" ht="15.75" customHeight="1" x14ac:dyDescent="0.25">
      <c r="B1997" s="100"/>
      <c r="C1997" s="100"/>
      <c r="D1997" s="100"/>
      <c r="E1997" s="100"/>
      <c r="F1997" s="102"/>
      <c r="G1997" s="114"/>
    </row>
    <row r="1998" spans="2:7" ht="15.75" customHeight="1" x14ac:dyDescent="0.25">
      <c r="B1998" s="100"/>
      <c r="C1998" s="100"/>
      <c r="D1998" s="100"/>
      <c r="E1998" s="100"/>
      <c r="F1998" s="102"/>
      <c r="G1998" s="114"/>
    </row>
    <row r="1999" spans="2:7" ht="15.75" customHeight="1" x14ac:dyDescent="0.25">
      <c r="B1999" s="100"/>
      <c r="C1999" s="100"/>
      <c r="D1999" s="100"/>
      <c r="E1999" s="100"/>
      <c r="F1999" s="102"/>
      <c r="G1999" s="114"/>
    </row>
    <row r="2000" spans="2:7" ht="15.75" customHeight="1" x14ac:dyDescent="0.25">
      <c r="B2000" s="100"/>
      <c r="C2000" s="100"/>
      <c r="D2000" s="100"/>
      <c r="E2000" s="100"/>
      <c r="F2000" s="102"/>
      <c r="G2000" s="114"/>
    </row>
    <row r="2001" spans="2:7" ht="15.75" customHeight="1" x14ac:dyDescent="0.25">
      <c r="B2001" s="100"/>
      <c r="C2001" s="100"/>
      <c r="D2001" s="100"/>
      <c r="E2001" s="100"/>
      <c r="F2001" s="102"/>
      <c r="G2001" s="114"/>
    </row>
    <row r="2002" spans="2:7" ht="15.75" customHeight="1" x14ac:dyDescent="0.25">
      <c r="B2002" s="100"/>
      <c r="C2002" s="100"/>
      <c r="D2002" s="100"/>
      <c r="E2002" s="100"/>
      <c r="F2002" s="102"/>
      <c r="G2002" s="114"/>
    </row>
    <row r="2003" spans="2:7" ht="15.75" customHeight="1" x14ac:dyDescent="0.25">
      <c r="B2003" s="100"/>
      <c r="C2003" s="100"/>
      <c r="D2003" s="100"/>
      <c r="E2003" s="100"/>
      <c r="F2003" s="102"/>
      <c r="G2003" s="114"/>
    </row>
    <row r="2004" spans="2:7" ht="15.75" customHeight="1" x14ac:dyDescent="0.25">
      <c r="B2004" s="100"/>
      <c r="C2004" s="100"/>
      <c r="D2004" s="100"/>
      <c r="E2004" s="100"/>
      <c r="F2004" s="102"/>
      <c r="G2004" s="114"/>
    </row>
    <row r="2005" spans="2:7" ht="15.75" customHeight="1" x14ac:dyDescent="0.25">
      <c r="B2005" s="100"/>
      <c r="C2005" s="100"/>
      <c r="D2005" s="100"/>
      <c r="E2005" s="100"/>
      <c r="F2005" s="102"/>
      <c r="G2005" s="114"/>
    </row>
    <row r="2006" spans="2:7" ht="15.75" customHeight="1" x14ac:dyDescent="0.25">
      <c r="B2006" s="100"/>
      <c r="C2006" s="100"/>
      <c r="D2006" s="100"/>
      <c r="E2006" s="100"/>
      <c r="F2006" s="102"/>
      <c r="G2006" s="114"/>
    </row>
    <row r="2007" spans="2:7" ht="15.75" customHeight="1" x14ac:dyDescent="0.25">
      <c r="B2007" s="100"/>
      <c r="C2007" s="100"/>
      <c r="D2007" s="100"/>
      <c r="E2007" s="100"/>
      <c r="F2007" s="102"/>
      <c r="G2007" s="114"/>
    </row>
    <row r="2008" spans="2:7" ht="15.75" customHeight="1" x14ac:dyDescent="0.25">
      <c r="B2008" s="100"/>
      <c r="C2008" s="100"/>
      <c r="D2008" s="100"/>
      <c r="E2008" s="100"/>
      <c r="F2008" s="102"/>
      <c r="G2008" s="114"/>
    </row>
    <row r="2009" spans="2:7" ht="15.75" customHeight="1" x14ac:dyDescent="0.25">
      <c r="B2009" s="100"/>
      <c r="C2009" s="100"/>
      <c r="D2009" s="100"/>
      <c r="E2009" s="100"/>
      <c r="F2009" s="102"/>
      <c r="G2009" s="114"/>
    </row>
    <row r="2010" spans="2:7" ht="15.75" customHeight="1" x14ac:dyDescent="0.25">
      <c r="B2010" s="100"/>
      <c r="C2010" s="100"/>
      <c r="D2010" s="100"/>
      <c r="E2010" s="100"/>
      <c r="F2010" s="102"/>
      <c r="G2010" s="114"/>
    </row>
    <row r="2011" spans="2:7" ht="15.75" customHeight="1" x14ac:dyDescent="0.25">
      <c r="B2011" s="100"/>
      <c r="C2011" s="100"/>
      <c r="D2011" s="100"/>
      <c r="E2011" s="100"/>
      <c r="F2011" s="102"/>
      <c r="G2011" s="114"/>
    </row>
    <row r="2012" spans="2:7" ht="15.75" customHeight="1" x14ac:dyDescent="0.25">
      <c r="B2012" s="100"/>
      <c r="C2012" s="100"/>
      <c r="D2012" s="100"/>
      <c r="E2012" s="100"/>
      <c r="F2012" s="102"/>
      <c r="G2012" s="114"/>
    </row>
    <row r="2013" spans="2:7" ht="15.75" customHeight="1" x14ac:dyDescent="0.25">
      <c r="B2013" s="100"/>
      <c r="C2013" s="100"/>
      <c r="D2013" s="100"/>
      <c r="E2013" s="100"/>
      <c r="F2013" s="102"/>
      <c r="G2013" s="114"/>
    </row>
    <row r="2014" spans="2:7" ht="15.75" customHeight="1" x14ac:dyDescent="0.25">
      <c r="B2014" s="100"/>
      <c r="C2014" s="100"/>
      <c r="D2014" s="100"/>
      <c r="E2014" s="100"/>
      <c r="F2014" s="102"/>
      <c r="G2014" s="114"/>
    </row>
    <row r="2015" spans="2:7" ht="15.75" customHeight="1" x14ac:dyDescent="0.25">
      <c r="B2015" s="100"/>
      <c r="C2015" s="100"/>
      <c r="D2015" s="100"/>
      <c r="E2015" s="100"/>
      <c r="F2015" s="102"/>
      <c r="G2015" s="114"/>
    </row>
    <row r="2016" spans="2:7" ht="15.75" customHeight="1" x14ac:dyDescent="0.25">
      <c r="B2016" s="100"/>
      <c r="C2016" s="100"/>
      <c r="D2016" s="100"/>
      <c r="E2016" s="100"/>
      <c r="F2016" s="102"/>
      <c r="G2016" s="114"/>
    </row>
    <row r="2017" spans="2:7" ht="15.75" customHeight="1" x14ac:dyDescent="0.25">
      <c r="B2017" s="100"/>
      <c r="C2017" s="100"/>
      <c r="D2017" s="100"/>
      <c r="E2017" s="100"/>
      <c r="F2017" s="102"/>
      <c r="G2017" s="114"/>
    </row>
    <row r="2018" spans="2:7" ht="15.75" customHeight="1" x14ac:dyDescent="0.25">
      <c r="B2018" s="100"/>
      <c r="C2018" s="100"/>
      <c r="D2018" s="100"/>
      <c r="E2018" s="100"/>
      <c r="F2018" s="102"/>
      <c r="G2018" s="114"/>
    </row>
    <row r="2019" spans="2:7" ht="15.75" customHeight="1" x14ac:dyDescent="0.25">
      <c r="B2019" s="100"/>
      <c r="C2019" s="100"/>
      <c r="D2019" s="100"/>
      <c r="E2019" s="100"/>
      <c r="F2019" s="102"/>
      <c r="G2019" s="114"/>
    </row>
    <row r="2020" spans="2:7" ht="15.75" customHeight="1" x14ac:dyDescent="0.25">
      <c r="B2020" s="100"/>
      <c r="C2020" s="100"/>
      <c r="D2020" s="100"/>
      <c r="E2020" s="100"/>
      <c r="F2020" s="102"/>
      <c r="G2020" s="114"/>
    </row>
    <row r="2021" spans="2:7" ht="15.75" customHeight="1" x14ac:dyDescent="0.25">
      <c r="B2021" s="100"/>
      <c r="C2021" s="100"/>
      <c r="D2021" s="100"/>
      <c r="E2021" s="100"/>
      <c r="F2021" s="102"/>
      <c r="G2021" s="114"/>
    </row>
    <row r="2022" spans="2:7" ht="15.75" customHeight="1" x14ac:dyDescent="0.25">
      <c r="B2022" s="100"/>
      <c r="C2022" s="100"/>
      <c r="D2022" s="100"/>
      <c r="E2022" s="100"/>
      <c r="F2022" s="102"/>
      <c r="G2022" s="114"/>
    </row>
    <row r="2023" spans="2:7" ht="15.75" customHeight="1" x14ac:dyDescent="0.25">
      <c r="B2023" s="100"/>
      <c r="C2023" s="100"/>
      <c r="D2023" s="100"/>
      <c r="E2023" s="100"/>
      <c r="F2023" s="102"/>
      <c r="G2023" s="114"/>
    </row>
    <row r="2024" spans="2:7" ht="15.75" customHeight="1" x14ac:dyDescent="0.25">
      <c r="B2024" s="100"/>
      <c r="C2024" s="100"/>
      <c r="D2024" s="100"/>
      <c r="E2024" s="100"/>
      <c r="F2024" s="102"/>
      <c r="G2024" s="114"/>
    </row>
    <row r="2025" spans="2:7" ht="15.75" customHeight="1" x14ac:dyDescent="0.25">
      <c r="B2025" s="100"/>
      <c r="C2025" s="100"/>
      <c r="D2025" s="100"/>
      <c r="E2025" s="100"/>
      <c r="F2025" s="102"/>
      <c r="G2025" s="114"/>
    </row>
    <row r="2026" spans="2:7" ht="15.75" customHeight="1" x14ac:dyDescent="0.25">
      <c r="B2026" s="100"/>
      <c r="C2026" s="100"/>
      <c r="D2026" s="100"/>
      <c r="E2026" s="100"/>
      <c r="F2026" s="102"/>
      <c r="G2026" s="114"/>
    </row>
    <row r="2027" spans="2:7" ht="15.75" customHeight="1" x14ac:dyDescent="0.25">
      <c r="B2027" s="100"/>
      <c r="C2027" s="100"/>
      <c r="D2027" s="100"/>
      <c r="E2027" s="100"/>
      <c r="F2027" s="102"/>
      <c r="G2027" s="114"/>
    </row>
    <row r="2028" spans="2:7" ht="15.75" customHeight="1" x14ac:dyDescent="0.25">
      <c r="B2028" s="100"/>
      <c r="C2028" s="100"/>
      <c r="D2028" s="100"/>
      <c r="E2028" s="100"/>
      <c r="F2028" s="102"/>
      <c r="G2028" s="114"/>
    </row>
    <row r="2029" spans="2:7" ht="15.75" customHeight="1" x14ac:dyDescent="0.25">
      <c r="B2029" s="100"/>
      <c r="C2029" s="100"/>
      <c r="D2029" s="100"/>
      <c r="E2029" s="100"/>
      <c r="F2029" s="102"/>
      <c r="G2029" s="114"/>
    </row>
    <row r="2030" spans="2:7" ht="15.75" customHeight="1" x14ac:dyDescent="0.25">
      <c r="B2030" s="100"/>
      <c r="C2030" s="100"/>
      <c r="D2030" s="100"/>
      <c r="E2030" s="100"/>
      <c r="F2030" s="102"/>
      <c r="G2030" s="114"/>
    </row>
    <row r="2031" spans="2:7" ht="15.75" customHeight="1" x14ac:dyDescent="0.25">
      <c r="B2031" s="100"/>
      <c r="C2031" s="100"/>
      <c r="D2031" s="100"/>
      <c r="E2031" s="100"/>
      <c r="F2031" s="102"/>
      <c r="G2031" s="114"/>
    </row>
    <row r="2032" spans="2:7" ht="15.75" customHeight="1" x14ac:dyDescent="0.25">
      <c r="B2032" s="100"/>
      <c r="C2032" s="100"/>
      <c r="D2032" s="100"/>
      <c r="E2032" s="100"/>
      <c r="F2032" s="102"/>
      <c r="G2032" s="114"/>
    </row>
    <row r="2033" spans="2:7" ht="15.75" customHeight="1" x14ac:dyDescent="0.25">
      <c r="B2033" s="100"/>
      <c r="C2033" s="100"/>
      <c r="D2033" s="100"/>
      <c r="E2033" s="100"/>
      <c r="F2033" s="102"/>
      <c r="G2033" s="114"/>
    </row>
    <row r="2034" spans="2:7" ht="15.75" customHeight="1" x14ac:dyDescent="0.25">
      <c r="B2034" s="100"/>
      <c r="C2034" s="100"/>
      <c r="D2034" s="100"/>
      <c r="E2034" s="100"/>
      <c r="F2034" s="102"/>
      <c r="G2034" s="114"/>
    </row>
    <row r="2035" spans="2:7" ht="15.75" customHeight="1" x14ac:dyDescent="0.25">
      <c r="B2035" s="100"/>
      <c r="C2035" s="100"/>
      <c r="D2035" s="100"/>
      <c r="E2035" s="100"/>
      <c r="F2035" s="102"/>
      <c r="G2035" s="114"/>
    </row>
    <row r="2036" spans="2:7" ht="15.75" customHeight="1" x14ac:dyDescent="0.25">
      <c r="B2036" s="100"/>
      <c r="C2036" s="100"/>
      <c r="D2036" s="100"/>
      <c r="E2036" s="100"/>
      <c r="F2036" s="102"/>
      <c r="G2036" s="114"/>
    </row>
    <row r="2037" spans="2:7" ht="15.75" customHeight="1" x14ac:dyDescent="0.25">
      <c r="B2037" s="100"/>
      <c r="C2037" s="100"/>
      <c r="D2037" s="100"/>
      <c r="E2037" s="100"/>
      <c r="F2037" s="102"/>
      <c r="G2037" s="114"/>
    </row>
    <row r="2038" spans="2:7" ht="15.75" customHeight="1" x14ac:dyDescent="0.25">
      <c r="B2038" s="100"/>
      <c r="C2038" s="100"/>
      <c r="D2038" s="100"/>
      <c r="E2038" s="100"/>
      <c r="F2038" s="102"/>
      <c r="G2038" s="114"/>
    </row>
    <row r="2039" spans="2:7" ht="15.75" customHeight="1" x14ac:dyDescent="0.25">
      <c r="B2039" s="100"/>
      <c r="C2039" s="100"/>
      <c r="D2039" s="100"/>
      <c r="E2039" s="100"/>
      <c r="F2039" s="102"/>
      <c r="G2039" s="114"/>
    </row>
    <row r="2040" spans="2:7" ht="15.75" customHeight="1" x14ac:dyDescent="0.25">
      <c r="B2040" s="100"/>
      <c r="C2040" s="100"/>
      <c r="D2040" s="100"/>
      <c r="E2040" s="100"/>
      <c r="F2040" s="102"/>
      <c r="G2040" s="114"/>
    </row>
    <row r="2041" spans="2:7" ht="15.75" customHeight="1" x14ac:dyDescent="0.25">
      <c r="B2041" s="100"/>
      <c r="C2041" s="100"/>
      <c r="D2041" s="100"/>
      <c r="E2041" s="100"/>
      <c r="F2041" s="102"/>
      <c r="G2041" s="114"/>
    </row>
    <row r="2042" spans="2:7" ht="15.75" customHeight="1" x14ac:dyDescent="0.25">
      <c r="B2042" s="100"/>
      <c r="C2042" s="100"/>
      <c r="D2042" s="100"/>
      <c r="E2042" s="100"/>
      <c r="F2042" s="102"/>
      <c r="G2042" s="114"/>
    </row>
    <row r="2043" spans="2:7" ht="15.75" customHeight="1" x14ac:dyDescent="0.25">
      <c r="B2043" s="100"/>
      <c r="C2043" s="100"/>
      <c r="D2043" s="100"/>
      <c r="E2043" s="100"/>
      <c r="F2043" s="102"/>
      <c r="G2043" s="114"/>
    </row>
    <row r="2044" spans="2:7" ht="15.75" customHeight="1" x14ac:dyDescent="0.25">
      <c r="B2044" s="100"/>
      <c r="C2044" s="100"/>
      <c r="D2044" s="100"/>
      <c r="E2044" s="100"/>
      <c r="F2044" s="102"/>
      <c r="G2044" s="114"/>
    </row>
    <row r="2045" spans="2:7" ht="15.75" customHeight="1" x14ac:dyDescent="0.25">
      <c r="B2045" s="100"/>
      <c r="C2045" s="100"/>
      <c r="D2045" s="100"/>
      <c r="E2045" s="100"/>
      <c r="F2045" s="102"/>
      <c r="G2045" s="114"/>
    </row>
    <row r="2046" spans="2:7" ht="15.75" customHeight="1" x14ac:dyDescent="0.25">
      <c r="B2046" s="100"/>
      <c r="C2046" s="100"/>
      <c r="D2046" s="100"/>
      <c r="E2046" s="100"/>
      <c r="F2046" s="102"/>
      <c r="G2046" s="114"/>
    </row>
    <row r="2047" spans="2:7" ht="15.75" customHeight="1" x14ac:dyDescent="0.25">
      <c r="B2047" s="100"/>
      <c r="C2047" s="100"/>
      <c r="D2047" s="100"/>
      <c r="E2047" s="100"/>
      <c r="F2047" s="102"/>
      <c r="G2047" s="114"/>
    </row>
    <row r="2048" spans="2:7" ht="15.75" customHeight="1" x14ac:dyDescent="0.25">
      <c r="B2048" s="100"/>
      <c r="C2048" s="100"/>
      <c r="D2048" s="100"/>
      <c r="E2048" s="100"/>
      <c r="F2048" s="102"/>
      <c r="G2048" s="114"/>
    </row>
    <row r="2049" spans="2:7" ht="15.75" customHeight="1" x14ac:dyDescent="0.25">
      <c r="B2049" s="100"/>
      <c r="C2049" s="100"/>
      <c r="D2049" s="100"/>
      <c r="E2049" s="100"/>
      <c r="F2049" s="102"/>
      <c r="G2049" s="114"/>
    </row>
    <row r="2050" spans="2:7" ht="15.75" customHeight="1" x14ac:dyDescent="0.25">
      <c r="B2050" s="100"/>
      <c r="C2050" s="100"/>
      <c r="D2050" s="100"/>
      <c r="E2050" s="100"/>
      <c r="F2050" s="102"/>
      <c r="G2050" s="114"/>
    </row>
    <row r="2051" spans="2:7" ht="15.75" customHeight="1" x14ac:dyDescent="0.25">
      <c r="B2051" s="100"/>
      <c r="C2051" s="100"/>
      <c r="D2051" s="100"/>
      <c r="E2051" s="100"/>
      <c r="F2051" s="102"/>
      <c r="G2051" s="114"/>
    </row>
    <row r="2052" spans="2:7" ht="15.75" customHeight="1" x14ac:dyDescent="0.25">
      <c r="B2052" s="100"/>
      <c r="C2052" s="100"/>
      <c r="D2052" s="100"/>
      <c r="E2052" s="100"/>
      <c r="F2052" s="102"/>
      <c r="G2052" s="114"/>
    </row>
    <row r="2053" spans="2:7" ht="15.75" customHeight="1" x14ac:dyDescent="0.25">
      <c r="B2053" s="100"/>
      <c r="C2053" s="100"/>
      <c r="D2053" s="100"/>
      <c r="E2053" s="100"/>
      <c r="F2053" s="102"/>
      <c r="G2053" s="114"/>
    </row>
    <row r="2054" spans="2:7" ht="15.75" customHeight="1" x14ac:dyDescent="0.25">
      <c r="B2054" s="100"/>
      <c r="C2054" s="100"/>
      <c r="D2054" s="100"/>
      <c r="E2054" s="100"/>
      <c r="F2054" s="102"/>
      <c r="G2054" s="114"/>
    </row>
    <row r="2055" spans="2:7" ht="15.75" customHeight="1" x14ac:dyDescent="0.25">
      <c r="B2055" s="100"/>
      <c r="C2055" s="100"/>
      <c r="D2055" s="100"/>
      <c r="E2055" s="100"/>
      <c r="F2055" s="102"/>
      <c r="G2055" s="114"/>
    </row>
    <row r="2056" spans="2:7" ht="15.75" customHeight="1" x14ac:dyDescent="0.25">
      <c r="B2056" s="100"/>
      <c r="C2056" s="100"/>
      <c r="D2056" s="100"/>
      <c r="E2056" s="100"/>
      <c r="F2056" s="102"/>
      <c r="G2056" s="114"/>
    </row>
    <row r="2057" spans="2:7" ht="15.75" customHeight="1" x14ac:dyDescent="0.25">
      <c r="B2057" s="100"/>
      <c r="C2057" s="100"/>
      <c r="D2057" s="100"/>
      <c r="E2057" s="100"/>
      <c r="F2057" s="102"/>
      <c r="G2057" s="114"/>
    </row>
    <row r="2058" spans="2:7" ht="15.75" customHeight="1" x14ac:dyDescent="0.25">
      <c r="B2058" s="100"/>
      <c r="C2058" s="100"/>
      <c r="D2058" s="100"/>
      <c r="E2058" s="100"/>
      <c r="F2058" s="102"/>
      <c r="G2058" s="114"/>
    </row>
    <row r="2059" spans="2:7" ht="15.75" customHeight="1" x14ac:dyDescent="0.25">
      <c r="B2059" s="100"/>
      <c r="C2059" s="100"/>
      <c r="D2059" s="100"/>
      <c r="E2059" s="100"/>
      <c r="F2059" s="102"/>
      <c r="G2059" s="114"/>
    </row>
    <row r="2060" spans="2:7" ht="15.75" customHeight="1" x14ac:dyDescent="0.25">
      <c r="B2060" s="100"/>
      <c r="C2060" s="100"/>
      <c r="D2060" s="100"/>
      <c r="E2060" s="100"/>
      <c r="F2060" s="102"/>
      <c r="G2060" s="114"/>
    </row>
    <row r="2061" spans="2:7" ht="15.75" customHeight="1" x14ac:dyDescent="0.25">
      <c r="B2061" s="100"/>
      <c r="C2061" s="100"/>
      <c r="D2061" s="100"/>
      <c r="E2061" s="100"/>
      <c r="F2061" s="102"/>
      <c r="G2061" s="114"/>
    </row>
    <row r="2062" spans="2:7" ht="15.75" customHeight="1" x14ac:dyDescent="0.25">
      <c r="B2062" s="100"/>
      <c r="C2062" s="100"/>
      <c r="D2062" s="100"/>
      <c r="E2062" s="100"/>
      <c r="F2062" s="102"/>
      <c r="G2062" s="114"/>
    </row>
    <row r="2063" spans="2:7" ht="15.75" customHeight="1" x14ac:dyDescent="0.25">
      <c r="B2063" s="100"/>
      <c r="C2063" s="100"/>
      <c r="D2063" s="100"/>
      <c r="E2063" s="100"/>
      <c r="F2063" s="102"/>
      <c r="G2063" s="114"/>
    </row>
    <row r="2064" spans="2:7" ht="15.75" customHeight="1" x14ac:dyDescent="0.25">
      <c r="B2064" s="100"/>
      <c r="C2064" s="100"/>
      <c r="D2064" s="100"/>
      <c r="E2064" s="100"/>
      <c r="F2064" s="102"/>
      <c r="G2064" s="114"/>
    </row>
    <row r="2065" spans="2:7" ht="15.75" customHeight="1" x14ac:dyDescent="0.25">
      <c r="B2065" s="100"/>
      <c r="C2065" s="100"/>
      <c r="D2065" s="100"/>
      <c r="E2065" s="100"/>
      <c r="F2065" s="102"/>
      <c r="G2065" s="114"/>
    </row>
    <row r="2066" spans="2:7" ht="15.75" customHeight="1" x14ac:dyDescent="0.25">
      <c r="B2066" s="100"/>
      <c r="C2066" s="100"/>
      <c r="D2066" s="100"/>
      <c r="E2066" s="100"/>
      <c r="F2066" s="102"/>
      <c r="G2066" s="114"/>
    </row>
    <row r="2067" spans="2:7" ht="15.75" customHeight="1" x14ac:dyDescent="0.25">
      <c r="B2067" s="100"/>
      <c r="C2067" s="100"/>
      <c r="D2067" s="100"/>
      <c r="E2067" s="100"/>
      <c r="F2067" s="102"/>
      <c r="G2067" s="114"/>
    </row>
    <row r="2068" spans="2:7" ht="15.75" customHeight="1" x14ac:dyDescent="0.25">
      <c r="B2068" s="100"/>
      <c r="C2068" s="100"/>
      <c r="D2068" s="100"/>
      <c r="E2068" s="100"/>
      <c r="F2068" s="102"/>
      <c r="G2068" s="114"/>
    </row>
    <row r="2069" spans="2:7" ht="15.75" customHeight="1" x14ac:dyDescent="0.25">
      <c r="B2069" s="100"/>
      <c r="C2069" s="100"/>
      <c r="D2069" s="100"/>
      <c r="E2069" s="100"/>
      <c r="F2069" s="102"/>
      <c r="G2069" s="114"/>
    </row>
    <row r="2070" spans="2:7" ht="15.75" customHeight="1" x14ac:dyDescent="0.25">
      <c r="B2070" s="100"/>
      <c r="C2070" s="100"/>
      <c r="D2070" s="100"/>
      <c r="E2070" s="100"/>
      <c r="F2070" s="102"/>
      <c r="G2070" s="114"/>
    </row>
    <row r="2071" spans="2:7" ht="15.75" customHeight="1" x14ac:dyDescent="0.25">
      <c r="B2071" s="100"/>
      <c r="C2071" s="100"/>
      <c r="D2071" s="100"/>
      <c r="E2071" s="100"/>
      <c r="F2071" s="102"/>
      <c r="G2071" s="114"/>
    </row>
    <row r="2072" spans="2:7" ht="15.75" customHeight="1" x14ac:dyDescent="0.25">
      <c r="B2072" s="100"/>
      <c r="C2072" s="100"/>
      <c r="D2072" s="100"/>
      <c r="E2072" s="100"/>
      <c r="F2072" s="102"/>
      <c r="G2072" s="114"/>
    </row>
    <row r="2073" spans="2:7" ht="15.75" customHeight="1" x14ac:dyDescent="0.25">
      <c r="B2073" s="100"/>
      <c r="C2073" s="100"/>
      <c r="D2073" s="100"/>
      <c r="E2073" s="100"/>
      <c r="F2073" s="102"/>
      <c r="G2073" s="114"/>
    </row>
    <row r="2074" spans="2:7" ht="15.75" customHeight="1" x14ac:dyDescent="0.25">
      <c r="B2074" s="100"/>
      <c r="C2074" s="100"/>
      <c r="D2074" s="100"/>
      <c r="E2074" s="100"/>
      <c r="F2074" s="102"/>
      <c r="G2074" s="114"/>
    </row>
    <row r="2075" spans="2:7" ht="15.75" customHeight="1" x14ac:dyDescent="0.25">
      <c r="B2075" s="100"/>
      <c r="C2075" s="100"/>
      <c r="D2075" s="100"/>
      <c r="E2075" s="100"/>
      <c r="F2075" s="102"/>
      <c r="G2075" s="114"/>
    </row>
    <row r="2076" spans="2:7" ht="15.75" customHeight="1" x14ac:dyDescent="0.25">
      <c r="B2076" s="100"/>
      <c r="C2076" s="100"/>
      <c r="D2076" s="100"/>
      <c r="E2076" s="100"/>
      <c r="F2076" s="102"/>
      <c r="G2076" s="114"/>
    </row>
    <row r="2077" spans="2:7" ht="15.75" customHeight="1" x14ac:dyDescent="0.25">
      <c r="B2077" s="100"/>
      <c r="C2077" s="100"/>
      <c r="D2077" s="100"/>
      <c r="E2077" s="100"/>
      <c r="F2077" s="102"/>
      <c r="G2077" s="114"/>
    </row>
    <row r="2078" spans="2:7" ht="15.75" customHeight="1" x14ac:dyDescent="0.25">
      <c r="B2078" s="100"/>
      <c r="C2078" s="100"/>
      <c r="D2078" s="100"/>
      <c r="E2078" s="100"/>
      <c r="F2078" s="102"/>
      <c r="G2078" s="114"/>
    </row>
    <row r="2079" spans="2:7" ht="15.75" customHeight="1" x14ac:dyDescent="0.25">
      <c r="B2079" s="100"/>
      <c r="C2079" s="100"/>
      <c r="D2079" s="100"/>
      <c r="E2079" s="100"/>
      <c r="F2079" s="102"/>
      <c r="G2079" s="114"/>
    </row>
    <row r="2080" spans="2:7" ht="15.75" customHeight="1" x14ac:dyDescent="0.25">
      <c r="B2080" s="100"/>
      <c r="C2080" s="100"/>
      <c r="D2080" s="100"/>
      <c r="E2080" s="100"/>
      <c r="F2080" s="102"/>
      <c r="G2080" s="114"/>
    </row>
    <row r="2081" spans="2:7" ht="15.75" customHeight="1" x14ac:dyDescent="0.25">
      <c r="B2081" s="100"/>
      <c r="C2081" s="100"/>
      <c r="D2081" s="100"/>
      <c r="E2081" s="100"/>
      <c r="F2081" s="102"/>
      <c r="G2081" s="114"/>
    </row>
    <row r="2082" spans="2:7" ht="15.75" customHeight="1" x14ac:dyDescent="0.25">
      <c r="B2082" s="100"/>
      <c r="C2082" s="100"/>
      <c r="D2082" s="100"/>
      <c r="E2082" s="100"/>
      <c r="F2082" s="102"/>
      <c r="G2082" s="114"/>
    </row>
    <row r="2083" spans="2:7" ht="15.75" customHeight="1" x14ac:dyDescent="0.25">
      <c r="B2083" s="100"/>
      <c r="C2083" s="100"/>
      <c r="D2083" s="100"/>
      <c r="E2083" s="100"/>
      <c r="F2083" s="102"/>
      <c r="G2083" s="114"/>
    </row>
    <row r="2084" spans="2:7" ht="15.75" customHeight="1" x14ac:dyDescent="0.25">
      <c r="B2084" s="100"/>
      <c r="C2084" s="100"/>
      <c r="D2084" s="100"/>
      <c r="E2084" s="100"/>
      <c r="F2084" s="102"/>
      <c r="G2084" s="114"/>
    </row>
    <row r="2085" spans="2:7" ht="15.75" customHeight="1" x14ac:dyDescent="0.25">
      <c r="B2085" s="100"/>
      <c r="C2085" s="100"/>
      <c r="D2085" s="100"/>
      <c r="E2085" s="100"/>
      <c r="F2085" s="102"/>
      <c r="G2085" s="114"/>
    </row>
    <row r="2086" spans="2:7" ht="15.75" customHeight="1" x14ac:dyDescent="0.25">
      <c r="B2086" s="100"/>
      <c r="C2086" s="100"/>
      <c r="D2086" s="100"/>
      <c r="E2086" s="100"/>
      <c r="F2086" s="102"/>
      <c r="G2086" s="114"/>
    </row>
    <row r="2087" spans="2:7" ht="15.75" customHeight="1" x14ac:dyDescent="0.25">
      <c r="B2087" s="100"/>
      <c r="C2087" s="100"/>
      <c r="D2087" s="100"/>
      <c r="E2087" s="100"/>
      <c r="F2087" s="102"/>
      <c r="G2087" s="114"/>
    </row>
    <row r="2088" spans="2:7" ht="15.75" customHeight="1" x14ac:dyDescent="0.25">
      <c r="B2088" s="100"/>
      <c r="C2088" s="100"/>
      <c r="D2088" s="100"/>
      <c r="E2088" s="100"/>
      <c r="F2088" s="102"/>
      <c r="G2088" s="114"/>
    </row>
    <row r="2089" spans="2:7" ht="15.75" customHeight="1" x14ac:dyDescent="0.25">
      <c r="B2089" s="100"/>
      <c r="C2089" s="100"/>
      <c r="D2089" s="100"/>
      <c r="E2089" s="100"/>
      <c r="F2089" s="102"/>
      <c r="G2089" s="114"/>
    </row>
    <row r="2090" spans="2:7" ht="15.75" customHeight="1" x14ac:dyDescent="0.25">
      <c r="B2090" s="100"/>
      <c r="C2090" s="100"/>
      <c r="D2090" s="100"/>
      <c r="E2090" s="100"/>
      <c r="F2090" s="102"/>
      <c r="G2090" s="114"/>
    </row>
    <row r="2091" spans="2:7" ht="15.75" customHeight="1" x14ac:dyDescent="0.25">
      <c r="B2091" s="100"/>
      <c r="C2091" s="100"/>
      <c r="D2091" s="100"/>
      <c r="E2091" s="100"/>
      <c r="F2091" s="102"/>
      <c r="G2091" s="114"/>
    </row>
    <row r="2092" spans="2:7" ht="15.75" customHeight="1" x14ac:dyDescent="0.25">
      <c r="B2092" s="100"/>
      <c r="C2092" s="100"/>
      <c r="D2092" s="100"/>
      <c r="E2092" s="100"/>
      <c r="F2092" s="102"/>
      <c r="G2092" s="114"/>
    </row>
    <row r="2093" spans="2:7" ht="15.75" customHeight="1" x14ac:dyDescent="0.25">
      <c r="B2093" s="100"/>
      <c r="C2093" s="100"/>
      <c r="D2093" s="100"/>
      <c r="E2093" s="100"/>
      <c r="F2093" s="102"/>
      <c r="G2093" s="114"/>
    </row>
    <row r="2094" spans="2:7" ht="15.75" customHeight="1" x14ac:dyDescent="0.25">
      <c r="B2094" s="100"/>
      <c r="C2094" s="100"/>
      <c r="D2094" s="100"/>
      <c r="E2094" s="100"/>
      <c r="F2094" s="102"/>
      <c r="G2094" s="114"/>
    </row>
    <row r="2095" spans="2:7" ht="15.75" customHeight="1" x14ac:dyDescent="0.25">
      <c r="B2095" s="100"/>
      <c r="C2095" s="100"/>
      <c r="D2095" s="100"/>
      <c r="E2095" s="100"/>
      <c r="F2095" s="102"/>
      <c r="G2095" s="114"/>
    </row>
    <row r="2096" spans="2:7" ht="15.75" customHeight="1" x14ac:dyDescent="0.25">
      <c r="B2096" s="100"/>
      <c r="C2096" s="100"/>
      <c r="D2096" s="100"/>
      <c r="E2096" s="100"/>
      <c r="F2096" s="102"/>
      <c r="G2096" s="114"/>
    </row>
    <row r="2097" spans="2:7" ht="15.75" customHeight="1" x14ac:dyDescent="0.25">
      <c r="B2097" s="100"/>
      <c r="C2097" s="100"/>
      <c r="D2097" s="100"/>
      <c r="E2097" s="100"/>
      <c r="F2097" s="102"/>
      <c r="G2097" s="114"/>
    </row>
    <row r="2098" spans="2:7" ht="15.75" customHeight="1" x14ac:dyDescent="0.25">
      <c r="B2098" s="100"/>
      <c r="C2098" s="100"/>
      <c r="D2098" s="100"/>
      <c r="E2098" s="100"/>
      <c r="F2098" s="102"/>
      <c r="G2098" s="114"/>
    </row>
    <row r="2099" spans="2:7" ht="15.75" customHeight="1" x14ac:dyDescent="0.25">
      <c r="B2099" s="100"/>
      <c r="C2099" s="100"/>
      <c r="D2099" s="100"/>
      <c r="E2099" s="100"/>
      <c r="F2099" s="102"/>
      <c r="G2099" s="114"/>
    </row>
    <row r="2100" spans="2:7" ht="15.75" customHeight="1" x14ac:dyDescent="0.25">
      <c r="B2100" s="100"/>
      <c r="C2100" s="100"/>
      <c r="D2100" s="100"/>
      <c r="E2100" s="100"/>
      <c r="F2100" s="102"/>
      <c r="G2100" s="114"/>
    </row>
    <row r="2101" spans="2:7" ht="15.75" customHeight="1" x14ac:dyDescent="0.25">
      <c r="B2101" s="100"/>
      <c r="C2101" s="100"/>
      <c r="D2101" s="100"/>
      <c r="E2101" s="100"/>
      <c r="F2101" s="102"/>
      <c r="G2101" s="114"/>
    </row>
    <row r="2102" spans="2:7" ht="15.75" customHeight="1" x14ac:dyDescent="0.25">
      <c r="B2102" s="100"/>
      <c r="C2102" s="100"/>
      <c r="D2102" s="100"/>
      <c r="E2102" s="100"/>
      <c r="F2102" s="102"/>
      <c r="G2102" s="114"/>
    </row>
    <row r="2103" spans="2:7" ht="15.75" customHeight="1" x14ac:dyDescent="0.25">
      <c r="B2103" s="100"/>
      <c r="C2103" s="100"/>
      <c r="D2103" s="100"/>
      <c r="E2103" s="100"/>
      <c r="F2103" s="102"/>
      <c r="G2103" s="114"/>
    </row>
    <row r="2104" spans="2:7" ht="15.75" customHeight="1" x14ac:dyDescent="0.25">
      <c r="B2104" s="100"/>
      <c r="C2104" s="100"/>
      <c r="D2104" s="100"/>
      <c r="E2104" s="100"/>
      <c r="F2104" s="102"/>
      <c r="G2104" s="114"/>
    </row>
    <row r="2105" spans="2:7" ht="15.75" customHeight="1" x14ac:dyDescent="0.25">
      <c r="B2105" s="100"/>
      <c r="C2105" s="100"/>
      <c r="D2105" s="100"/>
      <c r="E2105" s="100"/>
      <c r="F2105" s="102"/>
      <c r="G2105" s="114"/>
    </row>
    <row r="2106" spans="2:7" ht="15.75" customHeight="1" x14ac:dyDescent="0.25">
      <c r="B2106" s="100"/>
      <c r="C2106" s="100"/>
      <c r="D2106" s="100"/>
      <c r="E2106" s="100"/>
      <c r="F2106" s="102"/>
      <c r="G2106" s="114"/>
    </row>
    <row r="2107" spans="2:7" ht="15.75" customHeight="1" x14ac:dyDescent="0.25">
      <c r="B2107" s="100"/>
      <c r="C2107" s="100"/>
      <c r="D2107" s="100"/>
      <c r="E2107" s="100"/>
      <c r="F2107" s="102"/>
      <c r="G2107" s="114"/>
    </row>
    <row r="2108" spans="2:7" ht="15.75" customHeight="1" x14ac:dyDescent="0.25">
      <c r="B2108" s="100"/>
      <c r="C2108" s="100"/>
      <c r="D2108" s="100"/>
      <c r="E2108" s="100"/>
      <c r="F2108" s="102"/>
      <c r="G2108" s="114"/>
    </row>
    <row r="2109" spans="2:7" ht="15.75" customHeight="1" x14ac:dyDescent="0.25">
      <c r="B2109" s="100"/>
      <c r="C2109" s="100"/>
      <c r="D2109" s="100"/>
      <c r="E2109" s="100"/>
      <c r="F2109" s="102"/>
      <c r="G2109" s="114"/>
    </row>
    <row r="2110" spans="2:7" ht="15.75" customHeight="1" x14ac:dyDescent="0.25">
      <c r="B2110" s="100"/>
      <c r="C2110" s="100"/>
      <c r="D2110" s="100"/>
      <c r="E2110" s="100"/>
      <c r="F2110" s="102"/>
      <c r="G2110" s="114"/>
    </row>
    <row r="2111" spans="2:7" ht="15.75" customHeight="1" x14ac:dyDescent="0.25">
      <c r="B2111" s="100"/>
      <c r="C2111" s="100"/>
      <c r="D2111" s="100"/>
      <c r="E2111" s="100"/>
      <c r="F2111" s="102"/>
      <c r="G2111" s="114"/>
    </row>
    <row r="2112" spans="2:7" ht="15.75" customHeight="1" x14ac:dyDescent="0.25">
      <c r="B2112" s="100"/>
      <c r="C2112" s="100"/>
      <c r="D2112" s="100"/>
      <c r="E2112" s="100"/>
      <c r="F2112" s="102"/>
      <c r="G2112" s="114"/>
    </row>
    <row r="2113" spans="2:7" ht="15.75" customHeight="1" x14ac:dyDescent="0.25">
      <c r="B2113" s="100"/>
      <c r="C2113" s="100"/>
      <c r="D2113" s="100"/>
      <c r="E2113" s="100"/>
      <c r="F2113" s="102"/>
      <c r="G2113" s="114"/>
    </row>
    <row r="2114" spans="2:7" ht="15.75" customHeight="1" x14ac:dyDescent="0.25">
      <c r="B2114" s="100"/>
      <c r="C2114" s="100"/>
      <c r="D2114" s="100"/>
      <c r="E2114" s="100"/>
      <c r="F2114" s="102"/>
      <c r="G2114" s="114"/>
    </row>
    <row r="2115" spans="2:7" ht="15.75" customHeight="1" x14ac:dyDescent="0.25">
      <c r="B2115" s="100"/>
      <c r="C2115" s="100"/>
      <c r="D2115" s="100"/>
      <c r="E2115" s="100"/>
      <c r="F2115" s="102"/>
      <c r="G2115" s="114"/>
    </row>
    <row r="2116" spans="2:7" ht="15.75" customHeight="1" x14ac:dyDescent="0.25">
      <c r="B2116" s="100"/>
      <c r="C2116" s="100"/>
      <c r="D2116" s="100"/>
      <c r="E2116" s="100"/>
      <c r="F2116" s="102"/>
      <c r="G2116" s="114"/>
    </row>
    <row r="2117" spans="2:7" ht="15.75" customHeight="1" x14ac:dyDescent="0.25">
      <c r="B2117" s="100"/>
      <c r="C2117" s="100"/>
      <c r="D2117" s="100"/>
      <c r="E2117" s="100"/>
      <c r="F2117" s="102"/>
      <c r="G2117" s="114"/>
    </row>
    <row r="2118" spans="2:7" ht="15.75" customHeight="1" x14ac:dyDescent="0.25">
      <c r="B2118" s="100"/>
      <c r="C2118" s="100"/>
      <c r="D2118" s="100"/>
      <c r="E2118" s="100"/>
      <c r="F2118" s="102"/>
      <c r="G2118" s="114"/>
    </row>
    <row r="2119" spans="2:7" ht="15.75" customHeight="1" x14ac:dyDescent="0.25">
      <c r="B2119" s="100"/>
      <c r="C2119" s="100"/>
      <c r="D2119" s="100"/>
      <c r="E2119" s="100"/>
      <c r="F2119" s="102"/>
      <c r="G2119" s="114"/>
    </row>
    <row r="2120" spans="2:7" ht="15.75" customHeight="1" x14ac:dyDescent="0.25">
      <c r="B2120" s="100"/>
      <c r="C2120" s="100"/>
      <c r="D2120" s="100"/>
      <c r="E2120" s="100"/>
      <c r="F2120" s="102"/>
      <c r="G2120" s="114"/>
    </row>
    <row r="2121" spans="2:7" ht="15.75" customHeight="1" x14ac:dyDescent="0.25">
      <c r="B2121" s="100"/>
      <c r="C2121" s="100"/>
      <c r="D2121" s="100"/>
      <c r="E2121" s="100"/>
      <c r="F2121" s="102"/>
      <c r="G2121" s="114"/>
    </row>
    <row r="2122" spans="2:7" ht="15.75" customHeight="1" x14ac:dyDescent="0.25">
      <c r="B2122" s="100"/>
      <c r="C2122" s="100"/>
      <c r="D2122" s="100"/>
      <c r="E2122" s="100"/>
      <c r="F2122" s="102"/>
      <c r="G2122" s="114"/>
    </row>
    <row r="2123" spans="2:7" ht="15.75" customHeight="1" x14ac:dyDescent="0.25">
      <c r="B2123" s="100"/>
      <c r="C2123" s="100"/>
      <c r="D2123" s="100"/>
      <c r="E2123" s="100"/>
      <c r="F2123" s="102"/>
      <c r="G2123" s="114"/>
    </row>
    <row r="2124" spans="2:7" ht="15.75" customHeight="1" x14ac:dyDescent="0.25">
      <c r="B2124" s="100"/>
      <c r="C2124" s="100"/>
      <c r="D2124" s="100"/>
      <c r="E2124" s="100"/>
      <c r="F2124" s="102"/>
      <c r="G2124" s="114"/>
    </row>
    <row r="2125" spans="2:7" ht="15.75" customHeight="1" x14ac:dyDescent="0.25">
      <c r="B2125" s="100"/>
      <c r="C2125" s="100"/>
      <c r="D2125" s="100"/>
      <c r="E2125" s="100"/>
      <c r="F2125" s="102"/>
      <c r="G2125" s="114"/>
    </row>
    <row r="2126" spans="2:7" ht="15.75" customHeight="1" x14ac:dyDescent="0.25">
      <c r="B2126" s="100"/>
      <c r="C2126" s="100"/>
      <c r="D2126" s="100"/>
      <c r="E2126" s="100"/>
      <c r="F2126" s="102"/>
      <c r="G2126" s="114"/>
    </row>
    <row r="2127" spans="2:7" ht="15.75" customHeight="1" x14ac:dyDescent="0.25">
      <c r="B2127" s="100"/>
      <c r="C2127" s="100"/>
      <c r="D2127" s="100"/>
      <c r="E2127" s="100"/>
      <c r="F2127" s="102"/>
      <c r="G2127" s="114"/>
    </row>
    <row r="2128" spans="2:7" ht="15.75" customHeight="1" x14ac:dyDescent="0.25">
      <c r="B2128" s="100"/>
      <c r="C2128" s="100"/>
      <c r="D2128" s="100"/>
      <c r="E2128" s="100"/>
      <c r="F2128" s="102"/>
      <c r="G2128" s="114"/>
    </row>
    <row r="2129" spans="2:7" ht="15.75" customHeight="1" x14ac:dyDescent="0.25">
      <c r="B2129" s="100"/>
      <c r="C2129" s="100"/>
      <c r="D2129" s="100"/>
      <c r="E2129" s="100"/>
      <c r="F2129" s="102"/>
      <c r="G2129" s="114"/>
    </row>
    <row r="2130" spans="2:7" ht="15.75" customHeight="1" x14ac:dyDescent="0.25">
      <c r="B2130" s="100"/>
      <c r="C2130" s="100"/>
      <c r="D2130" s="100"/>
      <c r="E2130" s="100"/>
      <c r="F2130" s="102"/>
      <c r="G2130" s="114"/>
    </row>
    <row r="2131" spans="2:7" ht="15.75" customHeight="1" x14ac:dyDescent="0.25">
      <c r="B2131" s="100"/>
      <c r="C2131" s="100"/>
      <c r="D2131" s="100"/>
      <c r="E2131" s="100"/>
      <c r="F2131" s="102"/>
      <c r="G2131" s="114"/>
    </row>
    <row r="2132" spans="2:7" ht="15.75" customHeight="1" x14ac:dyDescent="0.25">
      <c r="B2132" s="100"/>
      <c r="C2132" s="100"/>
      <c r="D2132" s="100"/>
      <c r="E2132" s="100"/>
      <c r="F2132" s="102"/>
      <c r="G2132" s="114"/>
    </row>
    <row r="2133" spans="2:7" ht="15.75" customHeight="1" x14ac:dyDescent="0.25">
      <c r="B2133" s="100"/>
      <c r="C2133" s="100"/>
      <c r="D2133" s="100"/>
      <c r="E2133" s="100"/>
      <c r="F2133" s="102"/>
      <c r="G2133" s="114"/>
    </row>
    <row r="2134" spans="2:7" ht="15.75" customHeight="1" x14ac:dyDescent="0.25">
      <c r="B2134" s="100"/>
      <c r="C2134" s="100"/>
      <c r="D2134" s="100"/>
      <c r="E2134" s="100"/>
      <c r="F2134" s="102"/>
      <c r="G2134" s="114"/>
    </row>
    <row r="2135" spans="2:7" ht="15.75" customHeight="1" x14ac:dyDescent="0.25">
      <c r="B2135" s="100"/>
      <c r="C2135" s="100"/>
      <c r="D2135" s="100"/>
      <c r="E2135" s="100"/>
      <c r="F2135" s="102"/>
      <c r="G2135" s="114"/>
    </row>
    <row r="2136" spans="2:7" ht="15.75" customHeight="1" x14ac:dyDescent="0.25">
      <c r="B2136" s="100"/>
      <c r="C2136" s="100"/>
      <c r="D2136" s="100"/>
      <c r="E2136" s="100"/>
      <c r="F2136" s="102"/>
      <c r="G2136" s="114"/>
    </row>
    <row r="2137" spans="2:7" ht="15.75" customHeight="1" x14ac:dyDescent="0.25">
      <c r="B2137" s="100"/>
      <c r="C2137" s="100"/>
      <c r="D2137" s="100"/>
      <c r="E2137" s="100"/>
      <c r="F2137" s="102"/>
      <c r="G2137" s="114"/>
    </row>
    <row r="2138" spans="2:7" ht="15.75" customHeight="1" x14ac:dyDescent="0.25">
      <c r="B2138" s="100"/>
      <c r="C2138" s="100"/>
      <c r="D2138" s="100"/>
      <c r="E2138" s="100"/>
      <c r="F2138" s="102"/>
      <c r="G2138" s="114"/>
    </row>
    <row r="2139" spans="2:7" ht="15.75" customHeight="1" x14ac:dyDescent="0.25">
      <c r="B2139" s="100"/>
      <c r="C2139" s="100"/>
      <c r="D2139" s="100"/>
      <c r="E2139" s="100"/>
      <c r="F2139" s="102"/>
      <c r="G2139" s="114"/>
    </row>
    <row r="2140" spans="2:7" ht="15.75" customHeight="1" x14ac:dyDescent="0.25">
      <c r="B2140" s="100"/>
      <c r="C2140" s="100"/>
      <c r="D2140" s="100"/>
      <c r="E2140" s="100"/>
      <c r="F2140" s="102"/>
      <c r="G2140" s="114"/>
    </row>
    <row r="2141" spans="2:7" ht="15.75" customHeight="1" x14ac:dyDescent="0.25">
      <c r="B2141" s="100"/>
      <c r="C2141" s="100"/>
      <c r="D2141" s="100"/>
      <c r="E2141" s="100"/>
      <c r="F2141" s="102"/>
      <c r="G2141" s="114"/>
    </row>
    <row r="2142" spans="2:7" ht="15.75" customHeight="1" x14ac:dyDescent="0.25">
      <c r="B2142" s="100"/>
      <c r="C2142" s="100"/>
      <c r="D2142" s="100"/>
      <c r="E2142" s="100"/>
      <c r="F2142" s="102"/>
      <c r="G2142" s="114"/>
    </row>
    <row r="2143" spans="2:7" ht="15.75" customHeight="1" x14ac:dyDescent="0.25">
      <c r="B2143" s="100"/>
      <c r="C2143" s="100"/>
      <c r="D2143" s="100"/>
      <c r="E2143" s="100"/>
      <c r="F2143" s="102"/>
      <c r="G2143" s="114"/>
    </row>
    <row r="2144" spans="2:7" ht="15.75" customHeight="1" x14ac:dyDescent="0.25">
      <c r="B2144" s="100"/>
      <c r="C2144" s="100"/>
      <c r="D2144" s="100"/>
      <c r="E2144" s="100"/>
      <c r="F2144" s="102"/>
      <c r="G2144" s="114"/>
    </row>
    <row r="2145" spans="2:7" ht="15.75" customHeight="1" x14ac:dyDescent="0.25">
      <c r="B2145" s="100"/>
      <c r="C2145" s="100"/>
      <c r="D2145" s="100"/>
      <c r="E2145" s="100"/>
      <c r="F2145" s="102"/>
      <c r="G2145" s="114"/>
    </row>
    <row r="2146" spans="2:7" ht="15.75" customHeight="1" x14ac:dyDescent="0.25">
      <c r="B2146" s="100"/>
      <c r="C2146" s="100"/>
      <c r="D2146" s="100"/>
      <c r="E2146" s="100"/>
      <c r="F2146" s="102"/>
      <c r="G2146" s="114"/>
    </row>
    <row r="2147" spans="2:7" ht="15.75" customHeight="1" x14ac:dyDescent="0.25">
      <c r="B2147" s="100"/>
      <c r="C2147" s="100"/>
      <c r="D2147" s="100"/>
      <c r="E2147" s="100"/>
      <c r="F2147" s="102"/>
      <c r="G2147" s="114"/>
    </row>
    <row r="2148" spans="2:7" ht="15.75" customHeight="1" x14ac:dyDescent="0.25">
      <c r="B2148" s="100"/>
      <c r="C2148" s="100"/>
      <c r="D2148" s="100"/>
      <c r="E2148" s="100"/>
      <c r="F2148" s="102"/>
      <c r="G2148" s="114"/>
    </row>
    <row r="2149" spans="2:7" ht="15.75" customHeight="1" x14ac:dyDescent="0.25">
      <c r="B2149" s="100"/>
      <c r="C2149" s="100"/>
      <c r="D2149" s="100"/>
      <c r="E2149" s="100"/>
      <c r="F2149" s="102"/>
      <c r="G2149" s="114"/>
    </row>
    <row r="2150" spans="2:7" ht="15.75" customHeight="1" x14ac:dyDescent="0.25">
      <c r="B2150" s="100"/>
      <c r="C2150" s="100"/>
      <c r="D2150" s="100"/>
      <c r="E2150" s="100"/>
      <c r="F2150" s="102"/>
      <c r="G2150" s="114"/>
    </row>
    <row r="2151" spans="2:7" ht="15.75" customHeight="1" x14ac:dyDescent="0.25">
      <c r="B2151" s="100"/>
      <c r="C2151" s="100"/>
      <c r="D2151" s="100"/>
      <c r="E2151" s="100"/>
      <c r="F2151" s="102"/>
      <c r="G2151" s="114"/>
    </row>
    <row r="2152" spans="2:7" ht="15.75" customHeight="1" x14ac:dyDescent="0.25">
      <c r="B2152" s="100"/>
      <c r="C2152" s="100"/>
      <c r="D2152" s="100"/>
      <c r="E2152" s="100"/>
      <c r="F2152" s="102"/>
      <c r="G2152" s="114"/>
    </row>
    <row r="2153" spans="2:7" ht="15.75" customHeight="1" x14ac:dyDescent="0.25">
      <c r="B2153" s="100"/>
      <c r="C2153" s="100"/>
      <c r="D2153" s="100"/>
      <c r="E2153" s="100"/>
      <c r="F2153" s="102"/>
      <c r="G2153" s="114"/>
    </row>
    <row r="2154" spans="2:7" ht="15.75" customHeight="1" x14ac:dyDescent="0.25">
      <c r="B2154" s="100"/>
      <c r="C2154" s="100"/>
      <c r="D2154" s="100"/>
      <c r="E2154" s="100"/>
      <c r="F2154" s="102"/>
      <c r="G2154" s="114"/>
    </row>
    <row r="2155" spans="2:7" ht="15.75" customHeight="1" x14ac:dyDescent="0.25">
      <c r="B2155" s="100"/>
      <c r="C2155" s="100"/>
      <c r="D2155" s="100"/>
      <c r="E2155" s="100"/>
      <c r="F2155" s="102"/>
      <c r="G2155" s="114"/>
    </row>
    <row r="2156" spans="2:7" ht="15.75" customHeight="1" x14ac:dyDescent="0.25">
      <c r="B2156" s="100"/>
      <c r="C2156" s="100"/>
      <c r="D2156" s="100"/>
      <c r="E2156" s="100"/>
      <c r="F2156" s="102"/>
      <c r="G2156" s="114"/>
    </row>
    <row r="2157" spans="2:7" ht="15.75" customHeight="1" x14ac:dyDescent="0.25">
      <c r="B2157" s="100"/>
      <c r="C2157" s="100"/>
      <c r="D2157" s="100"/>
      <c r="E2157" s="100"/>
      <c r="F2157" s="102"/>
      <c r="G2157" s="114"/>
    </row>
    <row r="2158" spans="2:7" ht="15.75" customHeight="1" x14ac:dyDescent="0.25">
      <c r="B2158" s="100"/>
      <c r="C2158" s="100"/>
      <c r="D2158" s="100"/>
      <c r="E2158" s="100"/>
      <c r="F2158" s="102"/>
      <c r="G2158" s="114"/>
    </row>
    <row r="2159" spans="2:7" ht="15.75" customHeight="1" x14ac:dyDescent="0.25">
      <c r="B2159" s="100"/>
      <c r="C2159" s="100"/>
      <c r="D2159" s="100"/>
      <c r="E2159" s="100"/>
      <c r="F2159" s="102"/>
      <c r="G2159" s="114"/>
    </row>
    <row r="2160" spans="2:7" ht="15.75" customHeight="1" x14ac:dyDescent="0.25">
      <c r="B2160" s="100"/>
      <c r="C2160" s="100"/>
      <c r="D2160" s="100"/>
      <c r="E2160" s="100"/>
      <c r="F2160" s="102"/>
      <c r="G2160" s="114"/>
    </row>
    <row r="2161" spans="2:7" ht="15.75" customHeight="1" x14ac:dyDescent="0.25">
      <c r="B2161" s="100"/>
      <c r="C2161" s="100"/>
      <c r="D2161" s="100"/>
      <c r="E2161" s="100"/>
      <c r="F2161" s="102"/>
      <c r="G2161" s="114"/>
    </row>
    <row r="2162" spans="2:7" ht="15.75" customHeight="1" x14ac:dyDescent="0.25">
      <c r="B2162" s="100"/>
      <c r="C2162" s="100"/>
      <c r="D2162" s="100"/>
      <c r="E2162" s="100"/>
      <c r="F2162" s="102"/>
      <c r="G2162" s="114"/>
    </row>
    <row r="2163" spans="2:7" ht="15.75" customHeight="1" x14ac:dyDescent="0.25">
      <c r="B2163" s="100"/>
      <c r="C2163" s="100"/>
      <c r="D2163" s="100"/>
      <c r="E2163" s="100"/>
      <c r="F2163" s="102"/>
      <c r="G2163" s="114"/>
    </row>
    <row r="2164" spans="2:7" ht="15.75" customHeight="1" x14ac:dyDescent="0.25">
      <c r="B2164" s="100"/>
      <c r="C2164" s="100"/>
      <c r="D2164" s="100"/>
      <c r="E2164" s="100"/>
      <c r="F2164" s="102"/>
      <c r="G2164" s="114"/>
    </row>
    <row r="2165" spans="2:7" ht="15.75" customHeight="1" x14ac:dyDescent="0.25">
      <c r="B2165" s="100"/>
      <c r="C2165" s="100"/>
      <c r="D2165" s="100"/>
      <c r="E2165" s="100"/>
      <c r="F2165" s="102"/>
      <c r="G2165" s="114"/>
    </row>
    <row r="2166" spans="2:7" ht="15.75" customHeight="1" x14ac:dyDescent="0.25">
      <c r="B2166" s="100"/>
      <c r="C2166" s="100"/>
      <c r="D2166" s="100"/>
      <c r="E2166" s="100"/>
      <c r="F2166" s="102"/>
      <c r="G2166" s="114"/>
    </row>
    <row r="2167" spans="2:7" ht="15.75" customHeight="1" x14ac:dyDescent="0.25">
      <c r="B2167" s="100"/>
      <c r="C2167" s="100"/>
      <c r="D2167" s="100"/>
      <c r="E2167" s="100"/>
      <c r="F2167" s="102"/>
      <c r="G2167" s="114"/>
    </row>
    <row r="2168" spans="2:7" ht="15.75" customHeight="1" x14ac:dyDescent="0.25">
      <c r="B2168" s="100"/>
      <c r="C2168" s="100"/>
      <c r="D2168" s="100"/>
      <c r="E2168" s="100"/>
      <c r="F2168" s="102"/>
      <c r="G2168" s="114"/>
    </row>
    <row r="2169" spans="2:7" ht="15.75" customHeight="1" x14ac:dyDescent="0.25">
      <c r="B2169" s="100"/>
      <c r="C2169" s="100"/>
      <c r="D2169" s="100"/>
      <c r="E2169" s="100"/>
      <c r="F2169" s="102"/>
      <c r="G2169" s="114"/>
    </row>
    <row r="2170" spans="2:7" ht="15.75" customHeight="1" x14ac:dyDescent="0.25">
      <c r="B2170" s="100"/>
      <c r="C2170" s="100"/>
      <c r="D2170" s="100"/>
      <c r="E2170" s="100"/>
      <c r="F2170" s="102"/>
      <c r="G2170" s="114"/>
    </row>
    <row r="2171" spans="2:7" ht="15.75" customHeight="1" x14ac:dyDescent="0.25">
      <c r="B2171" s="100"/>
      <c r="C2171" s="100"/>
      <c r="D2171" s="100"/>
      <c r="E2171" s="100"/>
      <c r="F2171" s="102"/>
      <c r="G2171" s="114"/>
    </row>
    <row r="2172" spans="2:7" ht="15.75" customHeight="1" x14ac:dyDescent="0.25">
      <c r="B2172" s="100"/>
      <c r="C2172" s="100"/>
      <c r="D2172" s="100"/>
      <c r="E2172" s="100"/>
      <c r="F2172" s="102"/>
      <c r="G2172" s="114"/>
    </row>
    <row r="2173" spans="2:7" ht="15.75" customHeight="1" x14ac:dyDescent="0.25">
      <c r="B2173" s="100"/>
      <c r="C2173" s="100"/>
      <c r="D2173" s="100"/>
      <c r="E2173" s="100"/>
      <c r="F2173" s="102"/>
      <c r="G2173" s="114"/>
    </row>
    <row r="2174" spans="2:7" ht="15.75" customHeight="1" x14ac:dyDescent="0.25">
      <c r="B2174" s="100"/>
      <c r="C2174" s="100"/>
      <c r="D2174" s="100"/>
      <c r="E2174" s="100"/>
      <c r="F2174" s="102"/>
      <c r="G2174" s="114"/>
    </row>
    <row r="2175" spans="2:7" ht="15.75" customHeight="1" x14ac:dyDescent="0.25">
      <c r="B2175" s="100"/>
      <c r="C2175" s="100"/>
      <c r="D2175" s="100"/>
      <c r="E2175" s="100"/>
      <c r="F2175" s="102"/>
      <c r="G2175" s="114"/>
    </row>
    <row r="2176" spans="2:7" ht="15.75" customHeight="1" x14ac:dyDescent="0.25">
      <c r="B2176" s="100"/>
      <c r="C2176" s="100"/>
      <c r="D2176" s="100"/>
      <c r="E2176" s="100"/>
      <c r="F2176" s="102"/>
      <c r="G2176" s="114"/>
    </row>
    <row r="2177" spans="2:7" ht="15.75" customHeight="1" x14ac:dyDescent="0.25">
      <c r="B2177" s="100"/>
      <c r="C2177" s="100"/>
      <c r="D2177" s="100"/>
      <c r="E2177" s="100"/>
      <c r="F2177" s="102"/>
      <c r="G2177" s="114"/>
    </row>
    <row r="2178" spans="2:7" ht="15.75" customHeight="1" x14ac:dyDescent="0.25">
      <c r="B2178" s="100"/>
      <c r="C2178" s="100"/>
      <c r="D2178" s="100"/>
      <c r="E2178" s="100"/>
      <c r="F2178" s="102"/>
      <c r="G2178" s="114"/>
    </row>
    <row r="2179" spans="2:7" ht="15.75" customHeight="1" x14ac:dyDescent="0.25">
      <c r="B2179" s="100"/>
      <c r="C2179" s="100"/>
      <c r="D2179" s="100"/>
      <c r="E2179" s="100"/>
      <c r="F2179" s="102"/>
      <c r="G2179" s="114"/>
    </row>
    <row r="2180" spans="2:7" ht="15.75" customHeight="1" x14ac:dyDescent="0.25">
      <c r="B2180" s="100"/>
      <c r="C2180" s="100"/>
      <c r="D2180" s="100"/>
      <c r="E2180" s="100"/>
      <c r="F2180" s="102"/>
      <c r="G2180" s="114"/>
    </row>
    <row r="2181" spans="2:7" ht="15.75" customHeight="1" x14ac:dyDescent="0.25">
      <c r="B2181" s="100"/>
      <c r="C2181" s="100"/>
      <c r="D2181" s="100"/>
      <c r="E2181" s="100"/>
      <c r="F2181" s="102"/>
      <c r="G2181" s="114"/>
    </row>
    <row r="2182" spans="2:7" ht="15.75" customHeight="1" x14ac:dyDescent="0.25">
      <c r="B2182" s="100"/>
      <c r="C2182" s="100"/>
      <c r="D2182" s="100"/>
      <c r="E2182" s="100"/>
      <c r="F2182" s="102"/>
      <c r="G2182" s="114"/>
    </row>
    <row r="2183" spans="2:7" ht="15.75" customHeight="1" x14ac:dyDescent="0.25">
      <c r="B2183" s="100"/>
      <c r="C2183" s="100"/>
      <c r="D2183" s="100"/>
      <c r="E2183" s="100"/>
      <c r="F2183" s="102"/>
      <c r="G2183" s="114"/>
    </row>
    <row r="2184" spans="2:7" ht="15.75" customHeight="1" x14ac:dyDescent="0.25">
      <c r="B2184" s="100"/>
      <c r="C2184" s="100"/>
      <c r="D2184" s="100"/>
      <c r="E2184" s="100"/>
      <c r="F2184" s="102"/>
      <c r="G2184" s="114"/>
    </row>
    <row r="2185" spans="2:7" ht="15.75" customHeight="1" x14ac:dyDescent="0.25">
      <c r="B2185" s="100"/>
      <c r="C2185" s="100"/>
      <c r="D2185" s="100"/>
      <c r="E2185" s="100"/>
      <c r="F2185" s="102"/>
      <c r="G2185" s="114"/>
    </row>
    <row r="2186" spans="2:7" ht="15.75" customHeight="1" x14ac:dyDescent="0.25">
      <c r="B2186" s="100"/>
      <c r="C2186" s="100"/>
      <c r="D2186" s="100"/>
      <c r="E2186" s="100"/>
      <c r="F2186" s="102"/>
      <c r="G2186" s="114"/>
    </row>
    <row r="2187" spans="2:7" ht="15.75" customHeight="1" x14ac:dyDescent="0.25">
      <c r="B2187" s="100"/>
      <c r="C2187" s="100"/>
      <c r="D2187" s="100"/>
      <c r="E2187" s="100"/>
      <c r="F2187" s="102"/>
      <c r="G2187" s="114"/>
    </row>
    <row r="2188" spans="2:7" ht="15.75" customHeight="1" x14ac:dyDescent="0.25">
      <c r="B2188" s="100"/>
      <c r="C2188" s="100"/>
      <c r="D2188" s="100"/>
      <c r="E2188" s="100"/>
      <c r="F2188" s="102"/>
      <c r="G2188" s="114"/>
    </row>
    <row r="2189" spans="2:7" ht="15.75" customHeight="1" x14ac:dyDescent="0.25">
      <c r="B2189" s="100"/>
      <c r="C2189" s="100"/>
      <c r="D2189" s="100"/>
      <c r="E2189" s="100"/>
      <c r="F2189" s="102"/>
      <c r="G2189" s="114"/>
    </row>
    <row r="2190" spans="2:7" ht="15.75" customHeight="1" x14ac:dyDescent="0.25">
      <c r="B2190" s="100"/>
      <c r="C2190" s="100"/>
      <c r="D2190" s="100"/>
      <c r="E2190" s="100"/>
      <c r="F2190" s="102"/>
      <c r="G2190" s="114"/>
    </row>
    <row r="2191" spans="2:7" ht="15.75" customHeight="1" x14ac:dyDescent="0.25">
      <c r="B2191" s="100"/>
      <c r="C2191" s="100"/>
      <c r="D2191" s="100"/>
      <c r="E2191" s="100"/>
      <c r="F2191" s="102"/>
      <c r="G2191" s="114"/>
    </row>
    <row r="2192" spans="2:7" ht="15.75" customHeight="1" x14ac:dyDescent="0.25">
      <c r="B2192" s="100"/>
      <c r="C2192" s="100"/>
      <c r="D2192" s="100"/>
      <c r="E2192" s="100"/>
      <c r="F2192" s="102"/>
      <c r="G2192" s="114"/>
    </row>
    <row r="2193" spans="2:7" ht="15.75" customHeight="1" x14ac:dyDescent="0.25">
      <c r="B2193" s="100"/>
      <c r="C2193" s="100"/>
      <c r="D2193" s="100"/>
      <c r="E2193" s="100"/>
      <c r="F2193" s="102"/>
      <c r="G2193" s="114"/>
    </row>
    <row r="2194" spans="2:7" ht="15.75" customHeight="1" x14ac:dyDescent="0.25">
      <c r="B2194" s="100"/>
      <c r="C2194" s="100"/>
      <c r="D2194" s="100"/>
      <c r="E2194" s="100"/>
      <c r="F2194" s="102"/>
      <c r="G2194" s="114"/>
    </row>
    <row r="2195" spans="2:7" ht="15.75" customHeight="1" x14ac:dyDescent="0.25">
      <c r="B2195" s="100"/>
      <c r="C2195" s="100"/>
      <c r="D2195" s="100"/>
      <c r="E2195" s="100"/>
      <c r="F2195" s="102"/>
      <c r="G2195" s="114"/>
    </row>
    <row r="2196" spans="2:7" ht="15.75" customHeight="1" x14ac:dyDescent="0.25">
      <c r="B2196" s="100"/>
      <c r="C2196" s="100"/>
      <c r="D2196" s="100"/>
      <c r="E2196" s="100"/>
      <c r="F2196" s="102"/>
      <c r="G2196" s="114"/>
    </row>
    <row r="2197" spans="2:7" ht="15.75" customHeight="1" x14ac:dyDescent="0.25">
      <c r="B2197" s="100"/>
      <c r="C2197" s="100"/>
      <c r="D2197" s="100"/>
      <c r="E2197" s="100"/>
      <c r="F2197" s="102"/>
      <c r="G2197" s="114"/>
    </row>
    <row r="2198" spans="2:7" ht="15.75" customHeight="1" x14ac:dyDescent="0.25">
      <c r="B2198" s="100"/>
      <c r="C2198" s="100"/>
      <c r="D2198" s="100"/>
      <c r="E2198" s="100"/>
      <c r="F2198" s="102"/>
      <c r="G2198" s="114"/>
    </row>
    <row r="2199" spans="2:7" ht="15.75" customHeight="1" x14ac:dyDescent="0.25">
      <c r="B2199" s="100"/>
      <c r="C2199" s="100"/>
      <c r="D2199" s="100"/>
      <c r="E2199" s="100"/>
      <c r="F2199" s="102"/>
      <c r="G2199" s="114"/>
    </row>
    <row r="2200" spans="2:7" ht="15.75" customHeight="1" x14ac:dyDescent="0.25">
      <c r="B2200" s="100"/>
      <c r="C2200" s="100"/>
      <c r="D2200" s="100"/>
      <c r="E2200" s="100"/>
      <c r="F2200" s="102"/>
      <c r="G2200" s="114"/>
    </row>
    <row r="2201" spans="2:7" ht="15.75" customHeight="1" x14ac:dyDescent="0.25">
      <c r="B2201" s="100"/>
      <c r="C2201" s="100"/>
      <c r="D2201" s="100"/>
      <c r="E2201" s="100"/>
      <c r="F2201" s="102"/>
      <c r="G2201" s="114"/>
    </row>
    <row r="2202" spans="2:7" ht="15.75" customHeight="1" x14ac:dyDescent="0.25">
      <c r="B2202" s="100"/>
      <c r="C2202" s="100"/>
      <c r="D2202" s="100"/>
      <c r="E2202" s="100"/>
      <c r="F2202" s="102"/>
      <c r="G2202" s="114"/>
    </row>
    <row r="2203" spans="2:7" ht="15.75" customHeight="1" x14ac:dyDescent="0.25">
      <c r="B2203" s="100"/>
      <c r="C2203" s="100"/>
      <c r="D2203" s="100"/>
      <c r="E2203" s="100"/>
      <c r="F2203" s="102"/>
      <c r="G2203" s="114"/>
    </row>
    <row r="2204" spans="2:7" ht="15.75" customHeight="1" x14ac:dyDescent="0.25">
      <c r="B2204" s="100"/>
      <c r="C2204" s="100"/>
      <c r="D2204" s="100"/>
      <c r="E2204" s="100"/>
      <c r="F2204" s="102"/>
      <c r="G2204" s="114"/>
    </row>
    <row r="2205" spans="2:7" ht="15.75" customHeight="1" x14ac:dyDescent="0.25">
      <c r="B2205" s="100"/>
      <c r="C2205" s="100"/>
      <c r="D2205" s="100"/>
      <c r="E2205" s="100"/>
      <c r="F2205" s="102"/>
      <c r="G2205" s="114"/>
    </row>
    <row r="2206" spans="2:7" ht="15.75" customHeight="1" x14ac:dyDescent="0.25">
      <c r="B2206" s="100"/>
      <c r="C2206" s="100"/>
      <c r="D2206" s="100"/>
      <c r="E2206" s="100"/>
      <c r="F2206" s="102"/>
      <c r="G2206" s="114"/>
    </row>
    <row r="2207" spans="2:7" ht="15.75" customHeight="1" x14ac:dyDescent="0.25">
      <c r="B2207" s="100"/>
      <c r="C2207" s="100"/>
      <c r="D2207" s="100"/>
      <c r="E2207" s="100"/>
      <c r="F2207" s="102"/>
      <c r="G2207" s="114"/>
    </row>
    <row r="2208" spans="2:7" ht="15.75" customHeight="1" x14ac:dyDescent="0.25">
      <c r="B2208" s="100"/>
      <c r="C2208" s="100"/>
      <c r="D2208" s="100"/>
      <c r="E2208" s="100"/>
      <c r="F2208" s="102"/>
      <c r="G2208" s="114"/>
    </row>
    <row r="2209" spans="2:7" ht="15.75" customHeight="1" x14ac:dyDescent="0.25">
      <c r="B2209" s="100"/>
      <c r="C2209" s="100"/>
      <c r="D2209" s="100"/>
      <c r="E2209" s="100"/>
      <c r="F2209" s="102"/>
      <c r="G2209" s="114"/>
    </row>
    <row r="2210" spans="2:7" ht="15.75" customHeight="1" x14ac:dyDescent="0.25">
      <c r="B2210" s="100"/>
      <c r="C2210" s="100"/>
      <c r="D2210" s="100"/>
      <c r="E2210" s="100"/>
      <c r="F2210" s="102"/>
      <c r="G2210" s="114"/>
    </row>
    <row r="2211" spans="2:7" ht="15.75" customHeight="1" x14ac:dyDescent="0.25">
      <c r="B2211" s="100"/>
      <c r="C2211" s="100"/>
      <c r="D2211" s="100"/>
      <c r="E2211" s="100"/>
      <c r="F2211" s="102"/>
      <c r="G2211" s="114"/>
    </row>
    <row r="2212" spans="2:7" ht="15.75" customHeight="1" x14ac:dyDescent="0.25">
      <c r="B2212" s="100"/>
      <c r="C2212" s="100"/>
      <c r="D2212" s="100"/>
      <c r="E2212" s="100"/>
      <c r="F2212" s="102"/>
      <c r="G2212" s="114"/>
    </row>
    <row r="2213" spans="2:7" ht="15.75" customHeight="1" x14ac:dyDescent="0.25">
      <c r="B2213" s="100"/>
      <c r="C2213" s="100"/>
      <c r="D2213" s="100"/>
      <c r="E2213" s="100"/>
      <c r="F2213" s="102"/>
      <c r="G2213" s="114"/>
    </row>
    <row r="2214" spans="2:7" ht="15.75" customHeight="1" x14ac:dyDescent="0.25">
      <c r="B2214" s="100"/>
      <c r="C2214" s="100"/>
      <c r="D2214" s="100"/>
      <c r="E2214" s="100"/>
      <c r="F2214" s="102"/>
      <c r="G2214" s="114"/>
    </row>
    <row r="2215" spans="2:7" ht="15.75" customHeight="1" x14ac:dyDescent="0.25">
      <c r="B2215" s="100"/>
      <c r="C2215" s="100"/>
      <c r="D2215" s="100"/>
      <c r="E2215" s="100"/>
      <c r="F2215" s="102"/>
      <c r="G2215" s="114"/>
    </row>
    <row r="2216" spans="2:7" ht="15.75" customHeight="1" x14ac:dyDescent="0.25">
      <c r="B2216" s="100"/>
      <c r="C2216" s="100"/>
      <c r="D2216" s="100"/>
      <c r="E2216" s="100"/>
      <c r="F2216" s="102"/>
      <c r="G2216" s="114"/>
    </row>
    <row r="2217" spans="2:7" ht="15.75" customHeight="1" x14ac:dyDescent="0.25">
      <c r="B2217" s="100"/>
      <c r="C2217" s="100"/>
      <c r="D2217" s="100"/>
      <c r="E2217" s="100"/>
      <c r="F2217" s="102"/>
      <c r="G2217" s="114"/>
    </row>
    <row r="2218" spans="2:7" ht="15.75" customHeight="1" x14ac:dyDescent="0.25">
      <c r="B2218" s="100"/>
      <c r="C2218" s="100"/>
      <c r="D2218" s="100"/>
      <c r="E2218" s="100"/>
      <c r="F2218" s="102"/>
      <c r="G2218" s="114"/>
    </row>
    <row r="2219" spans="2:7" ht="15.75" customHeight="1" x14ac:dyDescent="0.25">
      <c r="B2219" s="100"/>
      <c r="C2219" s="100"/>
      <c r="D2219" s="100"/>
      <c r="E2219" s="100"/>
      <c r="F2219" s="102"/>
      <c r="G2219" s="114"/>
    </row>
    <row r="2220" spans="2:7" ht="15.75" customHeight="1" x14ac:dyDescent="0.25">
      <c r="B2220" s="100"/>
      <c r="C2220" s="100"/>
      <c r="D2220" s="100"/>
      <c r="E2220" s="100"/>
      <c r="F2220" s="102"/>
      <c r="G2220" s="114"/>
    </row>
    <row r="2221" spans="2:7" ht="15.75" customHeight="1" x14ac:dyDescent="0.25">
      <c r="B2221" s="100"/>
      <c r="C2221" s="100"/>
      <c r="D2221" s="100"/>
      <c r="E2221" s="100"/>
      <c r="F2221" s="102"/>
      <c r="G2221" s="114"/>
    </row>
    <row r="2222" spans="2:7" ht="15.75" customHeight="1" x14ac:dyDescent="0.25">
      <c r="B2222" s="100"/>
      <c r="C2222" s="100"/>
      <c r="D2222" s="100"/>
      <c r="E2222" s="100"/>
      <c r="F2222" s="102"/>
      <c r="G2222" s="114"/>
    </row>
    <row r="2223" spans="2:7" ht="15.75" customHeight="1" x14ac:dyDescent="0.25">
      <c r="B2223" s="100"/>
      <c r="C2223" s="100"/>
      <c r="D2223" s="100"/>
      <c r="E2223" s="100"/>
      <c r="F2223" s="102"/>
      <c r="G2223" s="114"/>
    </row>
    <row r="2224" spans="2:7" ht="15.75" customHeight="1" x14ac:dyDescent="0.25">
      <c r="B2224" s="100"/>
      <c r="C2224" s="100"/>
      <c r="D2224" s="100"/>
      <c r="E2224" s="100"/>
      <c r="F2224" s="102"/>
      <c r="G2224" s="114"/>
    </row>
    <row r="2225" spans="2:7" ht="15.75" customHeight="1" x14ac:dyDescent="0.25">
      <c r="B2225" s="100"/>
      <c r="C2225" s="100"/>
      <c r="D2225" s="100"/>
      <c r="E2225" s="100"/>
      <c r="F2225" s="102"/>
      <c r="G2225" s="114"/>
    </row>
    <row r="2226" spans="2:7" ht="15.75" customHeight="1" x14ac:dyDescent="0.25">
      <c r="B2226" s="100"/>
      <c r="C2226" s="100"/>
      <c r="D2226" s="100"/>
      <c r="E2226" s="100"/>
      <c r="F2226" s="102"/>
      <c r="G2226" s="114"/>
    </row>
    <row r="2227" spans="2:7" ht="15.75" customHeight="1" x14ac:dyDescent="0.25">
      <c r="B2227" s="100"/>
      <c r="C2227" s="100"/>
      <c r="D2227" s="100"/>
      <c r="E2227" s="100"/>
      <c r="F2227" s="102"/>
      <c r="G2227" s="114"/>
    </row>
    <row r="2228" spans="2:7" ht="15.75" customHeight="1" x14ac:dyDescent="0.25">
      <c r="B2228" s="100"/>
      <c r="C2228" s="100"/>
      <c r="D2228" s="100"/>
      <c r="E2228" s="100"/>
      <c r="F2228" s="102"/>
      <c r="G2228" s="114"/>
    </row>
    <row r="2229" spans="2:7" ht="15.75" customHeight="1" x14ac:dyDescent="0.25">
      <c r="B2229" s="100"/>
      <c r="C2229" s="100"/>
      <c r="D2229" s="100"/>
      <c r="E2229" s="100"/>
      <c r="F2229" s="102"/>
      <c r="G2229" s="114"/>
    </row>
    <row r="2230" spans="2:7" ht="15.75" customHeight="1" x14ac:dyDescent="0.25">
      <c r="B2230" s="100"/>
      <c r="C2230" s="100"/>
      <c r="D2230" s="100"/>
      <c r="E2230" s="100"/>
      <c r="F2230" s="102"/>
      <c r="G2230" s="114"/>
    </row>
    <row r="2231" spans="2:7" ht="15.75" customHeight="1" x14ac:dyDescent="0.25">
      <c r="B2231" s="100"/>
      <c r="C2231" s="100"/>
      <c r="D2231" s="100"/>
      <c r="E2231" s="100"/>
      <c r="F2231" s="102"/>
      <c r="G2231" s="114"/>
    </row>
    <row r="2232" spans="2:7" ht="15.75" customHeight="1" x14ac:dyDescent="0.25">
      <c r="B2232" s="100"/>
      <c r="C2232" s="100"/>
      <c r="D2232" s="100"/>
      <c r="E2232" s="100"/>
      <c r="F2232" s="102"/>
      <c r="G2232" s="114"/>
    </row>
    <row r="2233" spans="2:7" ht="15.75" customHeight="1" x14ac:dyDescent="0.25">
      <c r="B2233" s="100"/>
      <c r="C2233" s="100"/>
      <c r="D2233" s="100"/>
      <c r="E2233" s="100"/>
      <c r="F2233" s="102"/>
      <c r="G2233" s="114"/>
    </row>
    <row r="2234" spans="2:7" ht="15.75" customHeight="1" x14ac:dyDescent="0.25">
      <c r="B2234" s="100"/>
      <c r="C2234" s="100"/>
      <c r="D2234" s="100"/>
      <c r="E2234" s="100"/>
      <c r="F2234" s="102"/>
      <c r="G2234" s="114"/>
    </row>
    <row r="2235" spans="2:7" ht="15.75" customHeight="1" x14ac:dyDescent="0.25">
      <c r="B2235" s="100"/>
      <c r="C2235" s="100"/>
      <c r="D2235" s="100"/>
      <c r="E2235" s="100"/>
      <c r="F2235" s="102"/>
      <c r="G2235" s="114"/>
    </row>
    <row r="2236" spans="2:7" ht="15.75" customHeight="1" x14ac:dyDescent="0.25">
      <c r="B2236" s="100"/>
      <c r="C2236" s="100"/>
      <c r="D2236" s="100"/>
      <c r="E2236" s="100"/>
      <c r="F2236" s="102"/>
      <c r="G2236" s="114"/>
    </row>
    <row r="2237" spans="2:7" ht="15.75" customHeight="1" x14ac:dyDescent="0.25">
      <c r="B2237" s="100"/>
      <c r="C2237" s="100"/>
      <c r="D2237" s="100"/>
      <c r="E2237" s="100"/>
      <c r="F2237" s="102"/>
      <c r="G2237" s="114"/>
    </row>
    <row r="2238" spans="2:7" ht="15.75" customHeight="1" x14ac:dyDescent="0.25">
      <c r="B2238" s="100"/>
      <c r="C2238" s="100"/>
      <c r="D2238" s="100"/>
      <c r="E2238" s="100"/>
      <c r="F2238" s="102"/>
      <c r="G2238" s="114"/>
    </row>
    <row r="2239" spans="2:7" ht="15.75" customHeight="1" x14ac:dyDescent="0.25">
      <c r="B2239" s="100"/>
      <c r="C2239" s="100"/>
      <c r="D2239" s="100"/>
      <c r="E2239" s="100"/>
      <c r="F2239" s="102"/>
      <c r="G2239" s="114"/>
    </row>
    <row r="2240" spans="2:7" ht="15.75" customHeight="1" x14ac:dyDescent="0.25">
      <c r="B2240" s="100"/>
      <c r="C2240" s="100"/>
      <c r="D2240" s="100"/>
      <c r="E2240" s="100"/>
      <c r="F2240" s="102"/>
      <c r="G2240" s="114"/>
    </row>
    <row r="2241" spans="2:7" ht="15.75" customHeight="1" x14ac:dyDescent="0.25">
      <c r="B2241" s="100"/>
      <c r="C2241" s="100"/>
      <c r="D2241" s="100"/>
      <c r="E2241" s="100"/>
      <c r="F2241" s="102"/>
      <c r="G2241" s="114"/>
    </row>
    <row r="2242" spans="2:7" ht="15.75" customHeight="1" x14ac:dyDescent="0.25">
      <c r="B2242" s="100"/>
      <c r="C2242" s="100"/>
      <c r="D2242" s="100"/>
      <c r="E2242" s="100"/>
      <c r="F2242" s="102"/>
      <c r="G2242" s="114"/>
    </row>
    <row r="2243" spans="2:7" ht="15.75" customHeight="1" x14ac:dyDescent="0.25">
      <c r="B2243" s="100"/>
      <c r="C2243" s="100"/>
      <c r="D2243" s="100"/>
      <c r="E2243" s="100"/>
      <c r="F2243" s="102"/>
      <c r="G2243" s="114"/>
    </row>
    <row r="2244" spans="2:7" ht="15.75" customHeight="1" x14ac:dyDescent="0.25">
      <c r="B2244" s="100"/>
      <c r="C2244" s="100"/>
      <c r="D2244" s="100"/>
      <c r="E2244" s="100"/>
      <c r="F2244" s="102"/>
      <c r="G2244" s="114"/>
    </row>
    <row r="2245" spans="2:7" ht="15.75" customHeight="1" x14ac:dyDescent="0.25">
      <c r="B2245" s="100"/>
      <c r="C2245" s="100"/>
      <c r="D2245" s="100"/>
      <c r="E2245" s="100"/>
      <c r="F2245" s="102"/>
      <c r="G2245" s="114"/>
    </row>
    <row r="2246" spans="2:7" ht="15.75" customHeight="1" x14ac:dyDescent="0.25">
      <c r="B2246" s="100"/>
      <c r="C2246" s="100"/>
      <c r="D2246" s="100"/>
      <c r="E2246" s="100"/>
      <c r="F2246" s="102"/>
      <c r="G2246" s="114"/>
    </row>
    <row r="2247" spans="2:7" ht="15.75" customHeight="1" x14ac:dyDescent="0.25">
      <c r="B2247" s="100"/>
      <c r="C2247" s="100"/>
      <c r="D2247" s="100"/>
      <c r="E2247" s="100"/>
      <c r="F2247" s="102"/>
      <c r="G2247" s="114"/>
    </row>
    <row r="2248" spans="2:7" ht="15.75" customHeight="1" x14ac:dyDescent="0.25">
      <c r="B2248" s="100"/>
      <c r="C2248" s="100"/>
      <c r="D2248" s="100"/>
      <c r="E2248" s="100"/>
      <c r="F2248" s="102"/>
      <c r="G2248" s="114"/>
    </row>
    <row r="2249" spans="2:7" ht="15.75" customHeight="1" x14ac:dyDescent="0.25">
      <c r="B2249" s="100"/>
      <c r="C2249" s="100"/>
      <c r="D2249" s="100"/>
      <c r="E2249" s="100"/>
      <c r="F2249" s="102"/>
      <c r="G2249" s="114"/>
    </row>
    <row r="2250" spans="2:7" ht="15.75" customHeight="1" x14ac:dyDescent="0.25">
      <c r="B2250" s="100"/>
      <c r="C2250" s="100"/>
      <c r="D2250" s="100"/>
      <c r="E2250" s="100"/>
      <c r="F2250" s="102"/>
      <c r="G2250" s="114"/>
    </row>
    <row r="2251" spans="2:7" ht="15.75" customHeight="1" x14ac:dyDescent="0.25">
      <c r="B2251" s="100"/>
      <c r="C2251" s="100"/>
      <c r="D2251" s="100"/>
      <c r="E2251" s="100"/>
      <c r="F2251" s="102"/>
      <c r="G2251" s="114"/>
    </row>
    <row r="2252" spans="2:7" ht="15.75" customHeight="1" x14ac:dyDescent="0.25">
      <c r="B2252" s="100"/>
      <c r="C2252" s="100"/>
      <c r="D2252" s="100"/>
      <c r="E2252" s="100"/>
      <c r="F2252" s="102"/>
      <c r="G2252" s="114"/>
    </row>
    <row r="2253" spans="2:7" ht="15.75" customHeight="1" x14ac:dyDescent="0.25">
      <c r="B2253" s="100"/>
      <c r="C2253" s="100"/>
      <c r="D2253" s="100"/>
      <c r="E2253" s="100"/>
      <c r="F2253" s="102"/>
      <c r="G2253" s="114"/>
    </row>
    <row r="2254" spans="2:7" ht="15.75" customHeight="1" x14ac:dyDescent="0.25">
      <c r="B2254" s="100"/>
      <c r="C2254" s="100"/>
      <c r="D2254" s="100"/>
      <c r="E2254" s="100"/>
      <c r="F2254" s="102"/>
      <c r="G2254" s="114"/>
    </row>
    <row r="2255" spans="2:7" ht="15.75" customHeight="1" x14ac:dyDescent="0.25">
      <c r="B2255" s="100"/>
      <c r="C2255" s="100"/>
      <c r="D2255" s="100"/>
      <c r="E2255" s="100"/>
      <c r="F2255" s="102"/>
      <c r="G2255" s="114"/>
    </row>
    <row r="2256" spans="2:7" ht="15.75" customHeight="1" x14ac:dyDescent="0.25">
      <c r="B2256" s="100"/>
      <c r="C2256" s="100"/>
      <c r="D2256" s="100"/>
      <c r="E2256" s="100"/>
      <c r="F2256" s="102"/>
      <c r="G2256" s="114"/>
    </row>
    <row r="2257" spans="2:7" ht="15.75" customHeight="1" x14ac:dyDescent="0.25">
      <c r="B2257" s="100"/>
      <c r="C2257" s="100"/>
      <c r="D2257" s="100"/>
      <c r="E2257" s="100"/>
      <c r="F2257" s="102"/>
      <c r="G2257" s="114"/>
    </row>
    <row r="2258" spans="2:7" ht="15.75" customHeight="1" x14ac:dyDescent="0.25">
      <c r="B2258" s="100"/>
      <c r="C2258" s="100"/>
      <c r="D2258" s="100"/>
      <c r="E2258" s="100"/>
      <c r="F2258" s="102"/>
      <c r="G2258" s="114"/>
    </row>
    <row r="2259" spans="2:7" ht="15.75" customHeight="1" x14ac:dyDescent="0.25">
      <c r="B2259" s="100"/>
      <c r="C2259" s="100"/>
      <c r="D2259" s="100"/>
      <c r="E2259" s="100"/>
      <c r="F2259" s="102"/>
      <c r="G2259" s="114"/>
    </row>
    <row r="2260" spans="2:7" ht="15.75" customHeight="1" x14ac:dyDescent="0.25">
      <c r="B2260" s="100"/>
      <c r="C2260" s="100"/>
      <c r="D2260" s="100"/>
      <c r="E2260" s="100"/>
      <c r="F2260" s="102"/>
      <c r="G2260" s="114"/>
    </row>
    <row r="2261" spans="2:7" ht="15.75" customHeight="1" x14ac:dyDescent="0.25">
      <c r="B2261" s="100"/>
      <c r="C2261" s="100"/>
      <c r="D2261" s="100"/>
      <c r="E2261" s="100"/>
      <c r="F2261" s="102"/>
      <c r="G2261" s="114"/>
    </row>
    <row r="2262" spans="2:7" ht="15.75" customHeight="1" x14ac:dyDescent="0.25">
      <c r="B2262" s="100"/>
      <c r="C2262" s="100"/>
      <c r="D2262" s="100"/>
      <c r="E2262" s="100"/>
      <c r="F2262" s="102"/>
      <c r="G2262" s="114"/>
    </row>
    <row r="2263" spans="2:7" ht="15.75" customHeight="1" x14ac:dyDescent="0.25">
      <c r="B2263" s="100"/>
      <c r="C2263" s="100"/>
      <c r="D2263" s="100"/>
      <c r="E2263" s="100"/>
      <c r="F2263" s="102"/>
      <c r="G2263" s="114"/>
    </row>
    <row r="2264" spans="2:7" ht="15.75" customHeight="1" x14ac:dyDescent="0.25">
      <c r="B2264" s="100"/>
      <c r="C2264" s="100"/>
      <c r="D2264" s="100"/>
      <c r="E2264" s="100"/>
      <c r="F2264" s="102"/>
      <c r="G2264" s="114"/>
    </row>
    <row r="2265" spans="2:7" ht="15.75" customHeight="1" x14ac:dyDescent="0.25">
      <c r="B2265" s="100"/>
      <c r="C2265" s="100"/>
      <c r="D2265" s="100"/>
      <c r="E2265" s="100"/>
      <c r="F2265" s="102"/>
      <c r="G2265" s="114"/>
    </row>
    <row r="2266" spans="2:7" ht="15.75" customHeight="1" x14ac:dyDescent="0.25">
      <c r="B2266" s="100"/>
      <c r="C2266" s="100"/>
      <c r="D2266" s="100"/>
      <c r="E2266" s="100"/>
      <c r="F2266" s="102"/>
      <c r="G2266" s="114"/>
    </row>
    <row r="2267" spans="2:7" ht="15.75" customHeight="1" x14ac:dyDescent="0.25">
      <c r="B2267" s="100"/>
      <c r="C2267" s="100"/>
      <c r="D2267" s="100"/>
      <c r="E2267" s="100"/>
      <c r="F2267" s="102"/>
      <c r="G2267" s="114"/>
    </row>
    <row r="2268" spans="2:7" ht="15.75" customHeight="1" x14ac:dyDescent="0.25">
      <c r="B2268" s="100"/>
      <c r="C2268" s="100"/>
      <c r="D2268" s="100"/>
      <c r="E2268" s="100"/>
      <c r="F2268" s="102"/>
      <c r="G2268" s="114"/>
    </row>
    <row r="2269" spans="2:7" ht="15.75" customHeight="1" x14ac:dyDescent="0.25">
      <c r="B2269" s="100"/>
      <c r="C2269" s="100"/>
      <c r="D2269" s="100"/>
      <c r="E2269" s="100"/>
      <c r="F2269" s="102"/>
      <c r="G2269" s="114"/>
    </row>
    <row r="2270" spans="2:7" ht="15.75" customHeight="1" x14ac:dyDescent="0.25">
      <c r="B2270" s="100"/>
      <c r="C2270" s="100"/>
      <c r="D2270" s="100"/>
      <c r="E2270" s="100"/>
      <c r="F2270" s="102"/>
      <c r="G2270" s="114"/>
    </row>
    <row r="2271" spans="2:7" ht="15.75" customHeight="1" x14ac:dyDescent="0.25">
      <c r="B2271" s="100"/>
      <c r="C2271" s="100"/>
      <c r="D2271" s="100"/>
      <c r="E2271" s="100"/>
      <c r="F2271" s="102"/>
      <c r="G2271" s="114"/>
    </row>
    <row r="2272" spans="2:7" ht="15.75" customHeight="1" x14ac:dyDescent="0.25">
      <c r="B2272" s="100"/>
      <c r="C2272" s="100"/>
      <c r="D2272" s="100"/>
      <c r="E2272" s="100"/>
      <c r="F2272" s="102"/>
      <c r="G2272" s="114"/>
    </row>
    <row r="2273" spans="2:7" ht="15.75" customHeight="1" x14ac:dyDescent="0.25">
      <c r="B2273" s="100"/>
      <c r="C2273" s="100"/>
      <c r="D2273" s="100"/>
      <c r="E2273" s="100"/>
      <c r="F2273" s="102"/>
      <c r="G2273" s="114"/>
    </row>
    <row r="2274" spans="2:7" ht="15.75" customHeight="1" x14ac:dyDescent="0.25">
      <c r="B2274" s="100"/>
      <c r="C2274" s="100"/>
      <c r="D2274" s="100"/>
      <c r="E2274" s="100"/>
      <c r="F2274" s="102"/>
      <c r="G2274" s="114"/>
    </row>
    <row r="2275" spans="2:7" ht="15.75" customHeight="1" x14ac:dyDescent="0.25">
      <c r="B2275" s="100"/>
      <c r="C2275" s="100"/>
      <c r="D2275" s="100"/>
      <c r="E2275" s="100"/>
      <c r="F2275" s="102"/>
      <c r="G2275" s="114"/>
    </row>
    <row r="2276" spans="2:7" ht="15.75" customHeight="1" x14ac:dyDescent="0.25">
      <c r="B2276" s="100"/>
      <c r="C2276" s="100"/>
      <c r="D2276" s="100"/>
      <c r="E2276" s="100"/>
      <c r="F2276" s="102"/>
      <c r="G2276" s="114"/>
    </row>
    <row r="2277" spans="2:7" ht="15.75" customHeight="1" x14ac:dyDescent="0.25">
      <c r="B2277" s="100"/>
      <c r="C2277" s="100"/>
      <c r="D2277" s="100"/>
      <c r="E2277" s="100"/>
      <c r="F2277" s="102"/>
      <c r="G2277" s="114"/>
    </row>
    <row r="2278" spans="2:7" ht="15.75" customHeight="1" x14ac:dyDescent="0.25">
      <c r="B2278" s="100"/>
      <c r="C2278" s="100"/>
      <c r="D2278" s="100"/>
      <c r="E2278" s="100"/>
      <c r="F2278" s="102"/>
      <c r="G2278" s="114"/>
    </row>
    <row r="2279" spans="2:7" ht="15.75" customHeight="1" x14ac:dyDescent="0.25">
      <c r="B2279" s="100"/>
      <c r="C2279" s="100"/>
      <c r="D2279" s="100"/>
      <c r="E2279" s="100"/>
      <c r="F2279" s="102"/>
      <c r="G2279" s="114"/>
    </row>
    <row r="2280" spans="2:7" ht="15.75" customHeight="1" x14ac:dyDescent="0.25">
      <c r="B2280" s="100"/>
      <c r="C2280" s="100"/>
      <c r="D2280" s="100"/>
      <c r="E2280" s="100"/>
      <c r="F2280" s="102"/>
      <c r="G2280" s="114"/>
    </row>
    <row r="2281" spans="2:7" ht="15.75" customHeight="1" x14ac:dyDescent="0.25">
      <c r="B2281" s="100"/>
      <c r="C2281" s="100"/>
      <c r="D2281" s="100"/>
      <c r="E2281" s="100"/>
      <c r="F2281" s="102"/>
      <c r="G2281" s="114"/>
    </row>
    <row r="2282" spans="2:7" ht="15.75" customHeight="1" x14ac:dyDescent="0.25">
      <c r="B2282" s="100"/>
      <c r="C2282" s="100"/>
      <c r="D2282" s="100"/>
      <c r="E2282" s="100"/>
      <c r="F2282" s="102"/>
      <c r="G2282" s="114"/>
    </row>
    <row r="2283" spans="2:7" ht="15.75" customHeight="1" x14ac:dyDescent="0.25">
      <c r="B2283" s="100"/>
      <c r="C2283" s="100"/>
      <c r="D2283" s="100"/>
      <c r="E2283" s="100"/>
      <c r="F2283" s="102"/>
      <c r="G2283" s="114"/>
    </row>
    <row r="2284" spans="2:7" ht="15.75" customHeight="1" x14ac:dyDescent="0.25">
      <c r="B2284" s="100"/>
      <c r="C2284" s="100"/>
      <c r="D2284" s="100"/>
      <c r="E2284" s="100"/>
      <c r="F2284" s="102"/>
      <c r="G2284" s="114"/>
    </row>
    <row r="2285" spans="2:7" ht="15.75" customHeight="1" x14ac:dyDescent="0.25">
      <c r="B2285" s="100"/>
      <c r="C2285" s="100"/>
      <c r="D2285" s="100"/>
      <c r="E2285" s="100"/>
      <c r="F2285" s="102"/>
      <c r="G2285" s="114"/>
    </row>
    <row r="2286" spans="2:7" ht="15.75" customHeight="1" x14ac:dyDescent="0.25">
      <c r="B2286" s="100"/>
      <c r="C2286" s="100"/>
      <c r="D2286" s="100"/>
      <c r="E2286" s="100"/>
      <c r="F2286" s="102"/>
      <c r="G2286" s="114"/>
    </row>
    <row r="2287" spans="2:7" ht="15.75" customHeight="1" x14ac:dyDescent="0.25">
      <c r="B2287" s="100"/>
      <c r="C2287" s="100"/>
      <c r="D2287" s="100"/>
      <c r="E2287" s="100"/>
      <c r="F2287" s="102"/>
      <c r="G2287" s="114"/>
    </row>
    <row r="2288" spans="2:7" ht="15.75" customHeight="1" x14ac:dyDescent="0.25">
      <c r="B2288" s="100"/>
      <c r="C2288" s="100"/>
      <c r="D2288" s="100"/>
      <c r="E2288" s="100"/>
      <c r="F2288" s="102"/>
      <c r="G2288" s="114"/>
    </row>
    <row r="2289" spans="2:7" ht="15.75" customHeight="1" x14ac:dyDescent="0.25">
      <c r="B2289" s="100"/>
      <c r="C2289" s="100"/>
      <c r="D2289" s="100"/>
      <c r="E2289" s="100"/>
      <c r="F2289" s="102"/>
      <c r="G2289" s="114"/>
    </row>
    <row r="2290" spans="2:7" ht="15.75" customHeight="1" x14ac:dyDescent="0.25">
      <c r="B2290" s="100"/>
      <c r="C2290" s="100"/>
      <c r="D2290" s="100"/>
      <c r="E2290" s="100"/>
      <c r="F2290" s="102"/>
      <c r="G2290" s="114"/>
    </row>
    <row r="2291" spans="2:7" ht="15.75" customHeight="1" x14ac:dyDescent="0.25">
      <c r="B2291" s="100"/>
      <c r="C2291" s="100"/>
      <c r="D2291" s="100"/>
      <c r="E2291" s="100"/>
      <c r="F2291" s="102"/>
      <c r="G2291" s="114"/>
    </row>
    <row r="2292" spans="2:7" ht="15.75" customHeight="1" x14ac:dyDescent="0.25">
      <c r="B2292" s="100"/>
      <c r="C2292" s="100"/>
      <c r="D2292" s="100"/>
      <c r="E2292" s="100"/>
      <c r="F2292" s="102"/>
      <c r="G2292" s="114"/>
    </row>
    <row r="2293" spans="2:7" ht="15.75" customHeight="1" x14ac:dyDescent="0.25">
      <c r="B2293" s="100"/>
      <c r="C2293" s="100"/>
      <c r="D2293" s="100"/>
      <c r="E2293" s="100"/>
      <c r="F2293" s="102"/>
      <c r="G2293" s="114"/>
    </row>
    <row r="2294" spans="2:7" ht="15.75" customHeight="1" x14ac:dyDescent="0.25">
      <c r="B2294" s="100"/>
      <c r="C2294" s="100"/>
      <c r="D2294" s="100"/>
      <c r="E2294" s="100"/>
      <c r="F2294" s="102"/>
      <c r="G2294" s="114"/>
    </row>
    <row r="2295" spans="2:7" ht="15.75" customHeight="1" x14ac:dyDescent="0.25">
      <c r="B2295" s="100"/>
      <c r="C2295" s="100"/>
      <c r="D2295" s="100"/>
      <c r="E2295" s="100"/>
      <c r="F2295" s="102"/>
      <c r="G2295" s="114"/>
    </row>
    <row r="2296" spans="2:7" ht="15.75" customHeight="1" x14ac:dyDescent="0.25">
      <c r="B2296" s="100"/>
      <c r="C2296" s="100"/>
      <c r="D2296" s="100"/>
      <c r="E2296" s="100"/>
      <c r="F2296" s="102"/>
      <c r="G2296" s="114"/>
    </row>
    <row r="2297" spans="2:7" ht="15.75" customHeight="1" x14ac:dyDescent="0.25">
      <c r="B2297" s="100"/>
      <c r="C2297" s="100"/>
      <c r="D2297" s="100"/>
      <c r="E2297" s="100"/>
      <c r="F2297" s="102"/>
      <c r="G2297" s="114"/>
    </row>
    <row r="2298" spans="2:7" ht="15.75" customHeight="1" x14ac:dyDescent="0.25">
      <c r="B2298" s="100"/>
      <c r="C2298" s="100"/>
      <c r="D2298" s="100"/>
      <c r="E2298" s="100"/>
      <c r="F2298" s="102"/>
      <c r="G2298" s="114"/>
    </row>
    <row r="2299" spans="2:7" ht="15.75" customHeight="1" x14ac:dyDescent="0.25">
      <c r="B2299" s="100"/>
      <c r="C2299" s="100"/>
      <c r="D2299" s="100"/>
      <c r="E2299" s="100"/>
      <c r="F2299" s="102"/>
      <c r="G2299" s="114"/>
    </row>
    <row r="2300" spans="2:7" ht="15.75" customHeight="1" x14ac:dyDescent="0.25">
      <c r="B2300" s="100"/>
      <c r="C2300" s="100"/>
      <c r="D2300" s="100"/>
      <c r="E2300" s="100"/>
      <c r="F2300" s="102"/>
      <c r="G2300" s="114"/>
    </row>
    <row r="2301" spans="2:7" ht="15.75" customHeight="1" x14ac:dyDescent="0.25">
      <c r="B2301" s="100"/>
      <c r="C2301" s="100"/>
      <c r="D2301" s="100"/>
      <c r="E2301" s="100"/>
      <c r="F2301" s="102"/>
      <c r="G2301" s="114"/>
    </row>
    <row r="2302" spans="2:7" ht="15.75" customHeight="1" x14ac:dyDescent="0.25">
      <c r="B2302" s="100"/>
      <c r="C2302" s="100"/>
      <c r="D2302" s="100"/>
      <c r="E2302" s="100"/>
      <c r="F2302" s="102"/>
      <c r="G2302" s="114"/>
    </row>
    <row r="2303" spans="2:7" ht="15.75" customHeight="1" x14ac:dyDescent="0.25">
      <c r="B2303" s="100"/>
      <c r="C2303" s="100"/>
      <c r="D2303" s="100"/>
      <c r="E2303" s="100"/>
      <c r="F2303" s="102"/>
      <c r="G2303" s="114"/>
    </row>
    <row r="2304" spans="2:7" ht="15.75" customHeight="1" x14ac:dyDescent="0.25">
      <c r="B2304" s="100"/>
      <c r="C2304" s="100"/>
      <c r="D2304" s="100"/>
      <c r="E2304" s="100"/>
      <c r="F2304" s="102"/>
      <c r="G2304" s="114"/>
    </row>
    <row r="2305" spans="2:7" ht="15.75" customHeight="1" x14ac:dyDescent="0.25">
      <c r="B2305" s="100"/>
      <c r="C2305" s="100"/>
      <c r="D2305" s="100"/>
      <c r="E2305" s="100"/>
      <c r="F2305" s="102"/>
      <c r="G2305" s="114"/>
    </row>
    <row r="2306" spans="2:7" ht="15.75" customHeight="1" x14ac:dyDescent="0.25">
      <c r="B2306" s="100"/>
      <c r="C2306" s="100"/>
      <c r="D2306" s="100"/>
      <c r="E2306" s="100"/>
      <c r="F2306" s="102"/>
      <c r="G2306" s="114"/>
    </row>
    <row r="2307" spans="2:7" ht="15.75" customHeight="1" x14ac:dyDescent="0.25">
      <c r="B2307" s="100"/>
      <c r="C2307" s="100"/>
      <c r="D2307" s="100"/>
      <c r="E2307" s="100"/>
      <c r="F2307" s="102"/>
      <c r="G2307" s="114"/>
    </row>
    <row r="2308" spans="2:7" ht="15.75" customHeight="1" x14ac:dyDescent="0.25">
      <c r="B2308" s="100"/>
      <c r="C2308" s="100"/>
      <c r="D2308" s="100"/>
      <c r="E2308" s="100"/>
      <c r="F2308" s="102"/>
      <c r="G2308" s="114"/>
    </row>
    <row r="2309" spans="2:7" ht="15.75" customHeight="1" x14ac:dyDescent="0.25">
      <c r="B2309" s="100"/>
      <c r="C2309" s="100"/>
      <c r="D2309" s="100"/>
      <c r="E2309" s="100"/>
      <c r="F2309" s="102"/>
      <c r="G2309" s="114"/>
    </row>
    <row r="2310" spans="2:7" ht="15.75" customHeight="1" x14ac:dyDescent="0.25">
      <c r="B2310" s="100"/>
      <c r="C2310" s="100"/>
      <c r="D2310" s="100"/>
      <c r="E2310" s="100"/>
      <c r="F2310" s="102"/>
      <c r="G2310" s="114"/>
    </row>
    <row r="2311" spans="2:7" ht="15.75" customHeight="1" x14ac:dyDescent="0.25">
      <c r="B2311" s="100"/>
      <c r="C2311" s="100"/>
      <c r="D2311" s="100"/>
      <c r="E2311" s="100"/>
      <c r="F2311" s="102"/>
      <c r="G2311" s="114"/>
    </row>
    <row r="2312" spans="2:7" ht="15.75" customHeight="1" x14ac:dyDescent="0.25">
      <c r="B2312" s="100"/>
      <c r="C2312" s="100"/>
      <c r="D2312" s="100"/>
      <c r="E2312" s="100"/>
      <c r="F2312" s="102"/>
      <c r="G2312" s="114"/>
    </row>
    <row r="2313" spans="2:7" ht="15.75" customHeight="1" x14ac:dyDescent="0.25">
      <c r="B2313" s="100"/>
      <c r="C2313" s="100"/>
      <c r="D2313" s="100"/>
      <c r="E2313" s="100"/>
      <c r="F2313" s="102"/>
      <c r="G2313" s="114"/>
    </row>
    <row r="2314" spans="2:7" ht="15.75" customHeight="1" x14ac:dyDescent="0.25">
      <c r="B2314" s="100"/>
      <c r="C2314" s="100"/>
      <c r="D2314" s="100"/>
      <c r="E2314" s="100"/>
      <c r="F2314" s="102"/>
      <c r="G2314" s="114"/>
    </row>
    <row r="2315" spans="2:7" ht="15.75" customHeight="1" x14ac:dyDescent="0.25">
      <c r="B2315" s="100"/>
      <c r="C2315" s="100"/>
      <c r="D2315" s="100"/>
      <c r="E2315" s="100"/>
      <c r="F2315" s="102"/>
      <c r="G2315" s="114"/>
    </row>
    <row r="2316" spans="2:7" ht="15.75" customHeight="1" x14ac:dyDescent="0.25">
      <c r="B2316" s="100"/>
      <c r="C2316" s="100"/>
      <c r="D2316" s="100"/>
      <c r="E2316" s="100"/>
      <c r="F2316" s="102"/>
      <c r="G2316" s="114"/>
    </row>
    <row r="2317" spans="2:7" ht="15.75" customHeight="1" x14ac:dyDescent="0.25">
      <c r="B2317" s="100"/>
      <c r="C2317" s="100"/>
      <c r="D2317" s="100"/>
      <c r="E2317" s="100"/>
      <c r="F2317" s="102"/>
      <c r="G2317" s="114"/>
    </row>
    <row r="2318" spans="2:7" ht="15.75" customHeight="1" x14ac:dyDescent="0.25">
      <c r="B2318" s="100"/>
      <c r="C2318" s="100"/>
      <c r="D2318" s="100"/>
      <c r="E2318" s="100"/>
      <c r="F2318" s="102"/>
      <c r="G2318" s="114"/>
    </row>
    <row r="2319" spans="2:7" ht="15.75" customHeight="1" x14ac:dyDescent="0.25">
      <c r="B2319" s="100"/>
      <c r="C2319" s="100"/>
      <c r="D2319" s="100"/>
      <c r="E2319" s="100"/>
      <c r="F2319" s="102"/>
      <c r="G2319" s="114"/>
    </row>
    <row r="2320" spans="2:7" ht="15.75" customHeight="1" x14ac:dyDescent="0.25">
      <c r="B2320" s="100"/>
      <c r="C2320" s="100"/>
      <c r="D2320" s="100"/>
      <c r="E2320" s="100"/>
      <c r="F2320" s="102"/>
      <c r="G2320" s="114"/>
    </row>
    <row r="2321" spans="2:7" ht="15.75" customHeight="1" x14ac:dyDescent="0.25">
      <c r="B2321" s="100"/>
      <c r="C2321" s="100"/>
      <c r="D2321" s="100"/>
      <c r="E2321" s="100"/>
      <c r="F2321" s="102"/>
      <c r="G2321" s="114"/>
    </row>
    <row r="2322" spans="2:7" ht="15.75" customHeight="1" x14ac:dyDescent="0.25">
      <c r="B2322" s="100"/>
      <c r="C2322" s="100"/>
      <c r="D2322" s="100"/>
      <c r="E2322" s="100"/>
      <c r="F2322" s="102"/>
      <c r="G2322" s="114"/>
    </row>
    <row r="2323" spans="2:7" ht="15.75" customHeight="1" x14ac:dyDescent="0.25">
      <c r="B2323" s="100"/>
      <c r="C2323" s="100"/>
      <c r="D2323" s="100"/>
      <c r="E2323" s="100"/>
      <c r="F2323" s="102"/>
      <c r="G2323" s="114"/>
    </row>
    <row r="2324" spans="2:7" ht="15.75" customHeight="1" x14ac:dyDescent="0.25">
      <c r="B2324" s="100"/>
      <c r="C2324" s="100"/>
      <c r="D2324" s="100"/>
      <c r="E2324" s="100"/>
      <c r="F2324" s="102"/>
      <c r="G2324" s="114"/>
    </row>
    <row r="2325" spans="2:7" ht="15.75" customHeight="1" x14ac:dyDescent="0.25">
      <c r="B2325" s="100"/>
      <c r="C2325" s="100"/>
      <c r="D2325" s="100"/>
      <c r="E2325" s="100"/>
      <c r="F2325" s="102"/>
      <c r="G2325" s="114"/>
    </row>
    <row r="2326" spans="2:7" ht="15.75" customHeight="1" x14ac:dyDescent="0.25">
      <c r="B2326" s="100"/>
      <c r="C2326" s="100"/>
      <c r="D2326" s="100"/>
      <c r="E2326" s="100"/>
      <c r="F2326" s="102"/>
      <c r="G2326" s="114"/>
    </row>
    <row r="2327" spans="2:7" ht="15.75" customHeight="1" x14ac:dyDescent="0.25">
      <c r="B2327" s="100"/>
      <c r="C2327" s="100"/>
      <c r="D2327" s="100"/>
      <c r="E2327" s="100"/>
      <c r="F2327" s="102"/>
      <c r="G2327" s="114"/>
    </row>
    <row r="2328" spans="2:7" ht="15.75" customHeight="1" x14ac:dyDescent="0.25">
      <c r="B2328" s="100"/>
      <c r="C2328" s="100"/>
      <c r="D2328" s="100"/>
      <c r="E2328" s="100"/>
      <c r="F2328" s="102"/>
      <c r="G2328" s="114"/>
    </row>
    <row r="2329" spans="2:7" ht="15.75" customHeight="1" x14ac:dyDescent="0.25">
      <c r="B2329" s="100"/>
      <c r="C2329" s="100"/>
      <c r="D2329" s="100"/>
      <c r="E2329" s="100"/>
      <c r="F2329" s="102"/>
      <c r="G2329" s="114"/>
    </row>
    <row r="2330" spans="2:7" ht="15.75" customHeight="1" x14ac:dyDescent="0.25">
      <c r="B2330" s="100"/>
      <c r="C2330" s="100"/>
      <c r="D2330" s="100"/>
      <c r="E2330" s="100"/>
      <c r="F2330" s="102"/>
      <c r="G2330" s="114"/>
    </row>
    <row r="2331" spans="2:7" ht="15.75" customHeight="1" x14ac:dyDescent="0.25">
      <c r="B2331" s="100"/>
      <c r="C2331" s="100"/>
      <c r="D2331" s="100"/>
      <c r="E2331" s="100"/>
      <c r="F2331" s="102"/>
      <c r="G2331" s="114"/>
    </row>
    <row r="2332" spans="2:7" ht="15.75" customHeight="1" x14ac:dyDescent="0.25">
      <c r="B2332" s="100"/>
      <c r="C2332" s="100"/>
      <c r="D2332" s="100"/>
      <c r="E2332" s="100"/>
      <c r="F2332" s="102"/>
      <c r="G2332" s="114"/>
    </row>
    <row r="2333" spans="2:7" ht="15.75" customHeight="1" x14ac:dyDescent="0.25">
      <c r="B2333" s="100"/>
      <c r="C2333" s="100"/>
      <c r="D2333" s="100"/>
      <c r="E2333" s="100"/>
      <c r="F2333" s="102"/>
      <c r="G2333" s="114"/>
    </row>
    <row r="2334" spans="2:7" ht="15.75" customHeight="1" x14ac:dyDescent="0.25">
      <c r="B2334" s="100"/>
      <c r="C2334" s="100"/>
      <c r="D2334" s="100"/>
      <c r="E2334" s="100"/>
      <c r="F2334" s="102"/>
      <c r="G2334" s="114"/>
    </row>
    <row r="2335" spans="2:7" ht="15.75" customHeight="1" x14ac:dyDescent="0.25">
      <c r="B2335" s="100"/>
      <c r="C2335" s="100"/>
      <c r="D2335" s="100"/>
      <c r="E2335" s="100"/>
      <c r="F2335" s="102"/>
      <c r="G2335" s="114"/>
    </row>
    <row r="2336" spans="2:7" ht="15.75" customHeight="1" x14ac:dyDescent="0.25">
      <c r="B2336" s="100"/>
      <c r="C2336" s="100"/>
      <c r="D2336" s="100"/>
      <c r="E2336" s="100"/>
      <c r="F2336" s="102"/>
      <c r="G2336" s="114"/>
    </row>
    <row r="2337" spans="2:7" ht="15.75" customHeight="1" x14ac:dyDescent="0.25">
      <c r="B2337" s="100"/>
      <c r="C2337" s="100"/>
      <c r="D2337" s="100"/>
      <c r="E2337" s="100"/>
      <c r="F2337" s="102"/>
      <c r="G2337" s="114"/>
    </row>
    <row r="2338" spans="2:7" ht="15.75" customHeight="1" x14ac:dyDescent="0.25">
      <c r="B2338" s="100"/>
      <c r="C2338" s="100"/>
      <c r="D2338" s="100"/>
      <c r="E2338" s="100"/>
      <c r="F2338" s="102"/>
      <c r="G2338" s="114"/>
    </row>
    <row r="2339" spans="2:7" ht="15.75" customHeight="1" x14ac:dyDescent="0.25">
      <c r="B2339" s="100"/>
      <c r="C2339" s="100"/>
      <c r="D2339" s="100"/>
      <c r="E2339" s="100"/>
      <c r="F2339" s="102"/>
      <c r="G2339" s="114"/>
    </row>
    <row r="2340" spans="2:7" ht="15.75" customHeight="1" x14ac:dyDescent="0.25">
      <c r="B2340" s="100"/>
      <c r="C2340" s="100"/>
      <c r="D2340" s="100"/>
      <c r="E2340" s="100"/>
      <c r="F2340" s="102"/>
      <c r="G2340" s="114"/>
    </row>
    <row r="2341" spans="2:7" ht="15.75" customHeight="1" x14ac:dyDescent="0.25">
      <c r="B2341" s="100"/>
      <c r="C2341" s="100"/>
      <c r="D2341" s="100"/>
      <c r="E2341" s="100"/>
      <c r="F2341" s="102"/>
      <c r="G2341" s="114"/>
    </row>
    <row r="2342" spans="2:7" ht="15.75" customHeight="1" x14ac:dyDescent="0.25">
      <c r="B2342" s="100"/>
      <c r="C2342" s="100"/>
      <c r="D2342" s="100"/>
      <c r="E2342" s="100"/>
      <c r="F2342" s="102"/>
      <c r="G2342" s="114"/>
    </row>
    <row r="2343" spans="2:7" ht="15.75" customHeight="1" x14ac:dyDescent="0.25">
      <c r="B2343" s="100"/>
      <c r="C2343" s="100"/>
      <c r="D2343" s="100"/>
      <c r="E2343" s="100"/>
      <c r="F2343" s="102"/>
      <c r="G2343" s="114"/>
    </row>
    <row r="2344" spans="2:7" ht="15.75" customHeight="1" x14ac:dyDescent="0.25">
      <c r="B2344" s="100"/>
      <c r="C2344" s="100"/>
      <c r="D2344" s="100"/>
      <c r="E2344" s="100"/>
      <c r="F2344" s="102"/>
      <c r="G2344" s="114"/>
    </row>
    <row r="2345" spans="2:7" ht="15.75" customHeight="1" x14ac:dyDescent="0.25">
      <c r="B2345" s="100"/>
      <c r="C2345" s="100"/>
      <c r="D2345" s="100"/>
      <c r="E2345" s="100"/>
      <c r="F2345" s="102"/>
      <c r="G2345" s="114"/>
    </row>
    <row r="2346" spans="2:7" ht="15.75" customHeight="1" x14ac:dyDescent="0.25">
      <c r="B2346" s="100"/>
      <c r="C2346" s="100"/>
      <c r="D2346" s="100"/>
      <c r="E2346" s="100"/>
      <c r="F2346" s="102"/>
      <c r="G2346" s="114"/>
    </row>
    <row r="2347" spans="2:7" ht="15.75" customHeight="1" x14ac:dyDescent="0.25">
      <c r="B2347" s="100"/>
      <c r="C2347" s="100"/>
      <c r="D2347" s="100"/>
      <c r="E2347" s="100"/>
      <c r="F2347" s="102"/>
      <c r="G2347" s="114"/>
    </row>
    <row r="2348" spans="2:7" ht="15.75" customHeight="1" x14ac:dyDescent="0.25">
      <c r="B2348" s="100"/>
      <c r="C2348" s="100"/>
      <c r="D2348" s="100"/>
      <c r="E2348" s="100"/>
      <c r="F2348" s="102"/>
      <c r="G2348" s="114"/>
    </row>
    <row r="2349" spans="2:7" ht="15.75" customHeight="1" x14ac:dyDescent="0.25">
      <c r="B2349" s="100"/>
      <c r="C2349" s="100"/>
      <c r="D2349" s="100"/>
      <c r="E2349" s="100"/>
      <c r="F2349" s="102"/>
      <c r="G2349" s="114"/>
    </row>
    <row r="2350" spans="2:7" ht="15.75" customHeight="1" x14ac:dyDescent="0.25">
      <c r="B2350" s="100"/>
      <c r="C2350" s="100"/>
      <c r="D2350" s="100"/>
      <c r="E2350" s="100"/>
      <c r="F2350" s="102"/>
      <c r="G2350" s="114"/>
    </row>
    <row r="2351" spans="2:7" ht="15.75" customHeight="1" x14ac:dyDescent="0.25">
      <c r="B2351" s="100"/>
      <c r="C2351" s="100"/>
      <c r="D2351" s="100"/>
      <c r="E2351" s="100"/>
      <c r="F2351" s="102"/>
      <c r="G2351" s="114"/>
    </row>
    <row r="2352" spans="2:7" ht="15.75" customHeight="1" x14ac:dyDescent="0.25">
      <c r="B2352" s="100"/>
      <c r="C2352" s="100"/>
      <c r="D2352" s="100"/>
      <c r="E2352" s="100"/>
      <c r="F2352" s="102"/>
      <c r="G2352" s="114"/>
    </row>
    <row r="2353" spans="2:7" ht="15.75" customHeight="1" x14ac:dyDescent="0.25">
      <c r="B2353" s="100"/>
      <c r="C2353" s="100"/>
      <c r="D2353" s="100"/>
      <c r="E2353" s="100"/>
      <c r="F2353" s="102"/>
      <c r="G2353" s="114"/>
    </row>
    <row r="2354" spans="2:7" ht="15.75" customHeight="1" x14ac:dyDescent="0.25">
      <c r="B2354" s="100"/>
      <c r="C2354" s="100"/>
      <c r="D2354" s="100"/>
      <c r="E2354" s="100"/>
      <c r="F2354" s="102"/>
      <c r="G2354" s="114"/>
    </row>
    <row r="2355" spans="2:7" ht="15.75" customHeight="1" x14ac:dyDescent="0.25">
      <c r="B2355" s="100"/>
      <c r="C2355" s="100"/>
      <c r="D2355" s="100"/>
      <c r="E2355" s="100"/>
      <c r="F2355" s="102"/>
      <c r="G2355" s="114"/>
    </row>
    <row r="2356" spans="2:7" ht="15.75" customHeight="1" x14ac:dyDescent="0.25">
      <c r="B2356" s="100"/>
      <c r="C2356" s="100"/>
      <c r="D2356" s="100"/>
      <c r="E2356" s="100"/>
      <c r="F2356" s="102"/>
      <c r="G2356" s="114"/>
    </row>
    <row r="2357" spans="2:7" ht="15.75" customHeight="1" x14ac:dyDescent="0.25">
      <c r="B2357" s="100"/>
      <c r="C2357" s="100"/>
      <c r="D2357" s="100"/>
      <c r="E2357" s="100"/>
      <c r="F2357" s="102"/>
      <c r="G2357" s="114"/>
    </row>
    <row r="2358" spans="2:7" ht="15.75" customHeight="1" x14ac:dyDescent="0.25">
      <c r="B2358" s="100"/>
      <c r="C2358" s="100"/>
      <c r="D2358" s="100"/>
      <c r="E2358" s="100"/>
      <c r="F2358" s="102"/>
      <c r="G2358" s="114"/>
    </row>
    <row r="2359" spans="2:7" ht="15.75" customHeight="1" x14ac:dyDescent="0.25">
      <c r="B2359" s="100"/>
      <c r="C2359" s="100"/>
      <c r="D2359" s="100"/>
      <c r="E2359" s="100"/>
      <c r="F2359" s="102"/>
      <c r="G2359" s="114"/>
    </row>
    <row r="2360" spans="2:7" ht="15.75" customHeight="1" x14ac:dyDescent="0.25">
      <c r="B2360" s="100"/>
      <c r="C2360" s="100"/>
      <c r="D2360" s="100"/>
      <c r="E2360" s="100"/>
      <c r="F2360" s="102"/>
      <c r="G2360" s="114"/>
    </row>
    <row r="2361" spans="2:7" ht="15.75" customHeight="1" x14ac:dyDescent="0.25">
      <c r="B2361" s="100"/>
      <c r="C2361" s="100"/>
      <c r="D2361" s="100"/>
      <c r="E2361" s="100"/>
      <c r="F2361" s="102"/>
      <c r="G2361" s="114"/>
    </row>
    <row r="2362" spans="2:7" ht="15.75" customHeight="1" x14ac:dyDescent="0.25">
      <c r="B2362" s="100"/>
      <c r="C2362" s="100"/>
      <c r="D2362" s="100"/>
      <c r="E2362" s="100"/>
      <c r="F2362" s="102"/>
      <c r="G2362" s="114"/>
    </row>
    <row r="2363" spans="2:7" ht="15.75" customHeight="1" x14ac:dyDescent="0.25">
      <c r="B2363" s="100"/>
      <c r="C2363" s="100"/>
      <c r="D2363" s="100"/>
      <c r="E2363" s="100"/>
      <c r="F2363" s="102"/>
      <c r="G2363" s="114"/>
    </row>
    <row r="2364" spans="2:7" ht="15.75" customHeight="1" x14ac:dyDescent="0.25">
      <c r="B2364" s="100"/>
      <c r="C2364" s="100"/>
      <c r="D2364" s="100"/>
      <c r="E2364" s="100"/>
      <c r="F2364" s="102"/>
      <c r="G2364" s="114"/>
    </row>
    <row r="2365" spans="2:7" ht="15.75" customHeight="1" x14ac:dyDescent="0.25">
      <c r="B2365" s="100"/>
      <c r="C2365" s="100"/>
      <c r="D2365" s="100"/>
      <c r="E2365" s="100"/>
      <c r="F2365" s="102"/>
      <c r="G2365" s="114"/>
    </row>
    <row r="2366" spans="2:7" ht="15.75" customHeight="1" x14ac:dyDescent="0.25">
      <c r="B2366" s="100"/>
      <c r="C2366" s="100"/>
      <c r="D2366" s="100"/>
      <c r="E2366" s="100"/>
      <c r="F2366" s="102"/>
      <c r="G2366" s="114"/>
    </row>
    <row r="2367" spans="2:7" ht="15.75" customHeight="1" x14ac:dyDescent="0.25">
      <c r="B2367" s="100"/>
      <c r="C2367" s="100"/>
      <c r="D2367" s="100"/>
      <c r="E2367" s="100"/>
      <c r="F2367" s="102"/>
      <c r="G2367" s="114"/>
    </row>
    <row r="2368" spans="2:7" ht="15.75" customHeight="1" x14ac:dyDescent="0.25">
      <c r="B2368" s="100"/>
      <c r="C2368" s="100"/>
      <c r="D2368" s="100"/>
      <c r="E2368" s="100"/>
      <c r="F2368" s="102"/>
      <c r="G2368" s="114"/>
    </row>
    <row r="2369" spans="2:7" ht="15.75" customHeight="1" x14ac:dyDescent="0.25">
      <c r="B2369" s="100"/>
      <c r="C2369" s="100"/>
      <c r="D2369" s="100"/>
      <c r="E2369" s="100"/>
      <c r="F2369" s="102"/>
      <c r="G2369" s="114"/>
    </row>
    <row r="2370" spans="2:7" ht="15.75" customHeight="1" x14ac:dyDescent="0.25">
      <c r="B2370" s="100"/>
      <c r="C2370" s="100"/>
      <c r="D2370" s="100"/>
      <c r="E2370" s="100"/>
      <c r="F2370" s="102"/>
      <c r="G2370" s="114"/>
    </row>
    <row r="2371" spans="2:7" ht="15.75" customHeight="1" x14ac:dyDescent="0.25">
      <c r="B2371" s="100"/>
      <c r="C2371" s="100"/>
      <c r="D2371" s="100"/>
      <c r="E2371" s="100"/>
      <c r="F2371" s="102"/>
      <c r="G2371" s="114"/>
    </row>
    <row r="2372" spans="2:7" ht="15.75" customHeight="1" x14ac:dyDescent="0.25">
      <c r="B2372" s="100"/>
      <c r="C2372" s="100"/>
      <c r="D2372" s="100"/>
      <c r="E2372" s="100"/>
      <c r="F2372" s="102"/>
      <c r="G2372" s="114"/>
    </row>
    <row r="2373" spans="2:7" ht="15.75" customHeight="1" x14ac:dyDescent="0.25">
      <c r="B2373" s="100"/>
      <c r="C2373" s="100"/>
      <c r="D2373" s="100"/>
      <c r="E2373" s="100"/>
      <c r="F2373" s="102"/>
      <c r="G2373" s="114"/>
    </row>
    <row r="2374" spans="2:7" ht="15.75" customHeight="1" x14ac:dyDescent="0.25">
      <c r="B2374" s="100"/>
      <c r="C2374" s="100"/>
      <c r="D2374" s="100"/>
      <c r="E2374" s="100"/>
      <c r="F2374" s="102"/>
      <c r="G2374" s="114"/>
    </row>
    <row r="2375" spans="2:7" ht="15.75" customHeight="1" x14ac:dyDescent="0.25">
      <c r="B2375" s="100"/>
      <c r="C2375" s="100"/>
      <c r="D2375" s="100"/>
      <c r="E2375" s="100"/>
      <c r="F2375" s="102"/>
      <c r="G2375" s="114"/>
    </row>
    <row r="2376" spans="2:7" ht="15.75" customHeight="1" x14ac:dyDescent="0.25">
      <c r="B2376" s="100"/>
      <c r="C2376" s="100"/>
      <c r="D2376" s="100"/>
      <c r="E2376" s="100"/>
      <c r="F2376" s="102"/>
      <c r="G2376" s="114"/>
    </row>
    <row r="2377" spans="2:7" ht="15.75" customHeight="1" x14ac:dyDescent="0.25">
      <c r="B2377" s="100"/>
      <c r="C2377" s="100"/>
      <c r="D2377" s="100"/>
      <c r="E2377" s="100"/>
      <c r="F2377" s="102"/>
      <c r="G2377" s="114"/>
    </row>
    <row r="2378" spans="2:7" ht="15.75" customHeight="1" x14ac:dyDescent="0.25">
      <c r="B2378" s="100"/>
      <c r="C2378" s="100"/>
      <c r="D2378" s="100"/>
      <c r="E2378" s="100"/>
      <c r="F2378" s="102"/>
      <c r="G2378" s="114"/>
    </row>
    <row r="2379" spans="2:7" ht="15.75" customHeight="1" x14ac:dyDescent="0.25">
      <c r="B2379" s="100"/>
      <c r="C2379" s="100"/>
      <c r="D2379" s="100"/>
      <c r="E2379" s="100"/>
      <c r="F2379" s="102"/>
      <c r="G2379" s="114"/>
    </row>
    <row r="2380" spans="2:7" ht="15.75" customHeight="1" x14ac:dyDescent="0.25">
      <c r="B2380" s="100"/>
      <c r="C2380" s="100"/>
      <c r="D2380" s="100"/>
      <c r="E2380" s="100"/>
      <c r="F2380" s="102"/>
      <c r="G2380" s="114"/>
    </row>
    <row r="2381" spans="2:7" ht="15.75" customHeight="1" x14ac:dyDescent="0.25">
      <c r="B2381" s="100"/>
      <c r="C2381" s="100"/>
      <c r="D2381" s="100"/>
      <c r="E2381" s="100"/>
      <c r="F2381" s="102"/>
      <c r="G2381" s="114"/>
    </row>
    <row r="2382" spans="2:7" ht="15.75" customHeight="1" x14ac:dyDescent="0.25">
      <c r="B2382" s="100"/>
      <c r="C2382" s="100"/>
      <c r="D2382" s="100"/>
      <c r="E2382" s="100"/>
      <c r="F2382" s="102"/>
      <c r="G2382" s="114"/>
    </row>
    <row r="2383" spans="2:7" ht="15.75" customHeight="1" x14ac:dyDescent="0.25">
      <c r="B2383" s="100"/>
      <c r="C2383" s="100"/>
      <c r="D2383" s="100"/>
      <c r="E2383" s="100"/>
      <c r="F2383" s="102"/>
      <c r="G2383" s="114"/>
    </row>
    <row r="2384" spans="2:7" ht="15.75" customHeight="1" x14ac:dyDescent="0.25">
      <c r="B2384" s="100"/>
      <c r="C2384" s="100"/>
      <c r="D2384" s="100"/>
      <c r="E2384" s="100"/>
      <c r="F2384" s="102"/>
      <c r="G2384" s="114"/>
    </row>
    <row r="2385" spans="2:7" ht="15.75" customHeight="1" x14ac:dyDescent="0.25">
      <c r="B2385" s="100"/>
      <c r="C2385" s="100"/>
      <c r="D2385" s="100"/>
      <c r="E2385" s="100"/>
      <c r="F2385" s="102"/>
      <c r="G2385" s="114"/>
    </row>
    <row r="2386" spans="2:7" ht="15.75" customHeight="1" x14ac:dyDescent="0.25">
      <c r="B2386" s="100"/>
      <c r="C2386" s="100"/>
      <c r="D2386" s="100"/>
      <c r="E2386" s="100"/>
      <c r="F2386" s="102"/>
      <c r="G2386" s="114"/>
    </row>
    <row r="2387" spans="2:7" ht="15.75" customHeight="1" x14ac:dyDescent="0.25">
      <c r="B2387" s="100"/>
      <c r="C2387" s="100"/>
      <c r="D2387" s="100"/>
      <c r="E2387" s="100"/>
      <c r="F2387" s="102"/>
      <c r="G2387" s="114"/>
    </row>
    <row r="2388" spans="2:7" ht="15.75" customHeight="1" x14ac:dyDescent="0.25">
      <c r="B2388" s="100"/>
      <c r="C2388" s="100"/>
      <c r="D2388" s="100"/>
      <c r="E2388" s="100"/>
      <c r="F2388" s="102"/>
      <c r="G2388" s="114"/>
    </row>
    <row r="2389" spans="2:7" ht="15.75" customHeight="1" x14ac:dyDescent="0.25">
      <c r="B2389" s="100"/>
      <c r="C2389" s="100"/>
      <c r="D2389" s="100"/>
      <c r="E2389" s="100"/>
      <c r="F2389" s="102"/>
      <c r="G2389" s="114"/>
    </row>
    <row r="2390" spans="2:7" ht="15.75" customHeight="1" x14ac:dyDescent="0.25">
      <c r="B2390" s="100"/>
      <c r="C2390" s="100"/>
      <c r="D2390" s="100"/>
      <c r="E2390" s="100"/>
      <c r="F2390" s="102"/>
      <c r="G2390" s="114"/>
    </row>
    <row r="2391" spans="2:7" ht="15.75" customHeight="1" x14ac:dyDescent="0.25">
      <c r="B2391" s="100"/>
      <c r="C2391" s="100"/>
      <c r="D2391" s="100"/>
      <c r="E2391" s="100"/>
      <c r="F2391" s="102"/>
      <c r="G2391" s="114"/>
    </row>
    <row r="2392" spans="2:7" ht="15.75" customHeight="1" x14ac:dyDescent="0.25">
      <c r="B2392" s="100"/>
      <c r="C2392" s="100"/>
      <c r="D2392" s="100"/>
      <c r="E2392" s="100"/>
      <c r="F2392" s="102"/>
      <c r="G2392" s="114"/>
    </row>
    <row r="2393" spans="2:7" ht="15.75" customHeight="1" x14ac:dyDescent="0.25">
      <c r="B2393" s="100"/>
      <c r="C2393" s="100"/>
      <c r="D2393" s="100"/>
      <c r="E2393" s="100"/>
      <c r="F2393" s="102"/>
      <c r="G2393" s="114"/>
    </row>
    <row r="2394" spans="2:7" ht="15.75" customHeight="1" x14ac:dyDescent="0.25">
      <c r="B2394" s="100"/>
      <c r="C2394" s="100"/>
      <c r="D2394" s="100"/>
      <c r="E2394" s="100"/>
      <c r="F2394" s="102"/>
      <c r="G2394" s="114"/>
    </row>
    <row r="2395" spans="2:7" ht="15.75" customHeight="1" x14ac:dyDescent="0.25">
      <c r="B2395" s="100"/>
      <c r="C2395" s="100"/>
      <c r="D2395" s="100"/>
      <c r="E2395" s="100"/>
      <c r="F2395" s="102"/>
      <c r="G2395" s="114"/>
    </row>
    <row r="2396" spans="2:7" ht="15.75" customHeight="1" x14ac:dyDescent="0.25">
      <c r="B2396" s="100"/>
      <c r="C2396" s="100"/>
      <c r="D2396" s="100"/>
      <c r="E2396" s="100"/>
      <c r="F2396" s="102"/>
      <c r="G2396" s="114"/>
    </row>
    <row r="2397" spans="2:7" ht="15.75" customHeight="1" x14ac:dyDescent="0.25">
      <c r="B2397" s="100"/>
      <c r="C2397" s="100"/>
      <c r="D2397" s="100"/>
      <c r="E2397" s="100"/>
      <c r="F2397" s="102"/>
      <c r="G2397" s="114"/>
    </row>
    <row r="2398" spans="2:7" ht="15.75" customHeight="1" x14ac:dyDescent="0.25">
      <c r="B2398" s="100"/>
      <c r="C2398" s="100"/>
      <c r="D2398" s="100"/>
      <c r="E2398" s="100"/>
      <c r="F2398" s="102"/>
      <c r="G2398" s="114"/>
    </row>
    <row r="2399" spans="2:7" ht="15.75" customHeight="1" x14ac:dyDescent="0.25">
      <c r="B2399" s="100"/>
      <c r="C2399" s="100"/>
      <c r="D2399" s="100"/>
      <c r="E2399" s="100"/>
      <c r="F2399" s="102"/>
      <c r="G2399" s="114"/>
    </row>
    <row r="2400" spans="2:7" ht="15.75" customHeight="1" x14ac:dyDescent="0.25">
      <c r="B2400" s="100"/>
      <c r="C2400" s="100"/>
      <c r="D2400" s="100"/>
      <c r="E2400" s="100"/>
      <c r="F2400" s="102"/>
      <c r="G2400" s="114"/>
    </row>
    <row r="2401" spans="2:7" ht="15.75" customHeight="1" x14ac:dyDescent="0.25">
      <c r="B2401" s="100"/>
      <c r="C2401" s="100"/>
      <c r="D2401" s="100"/>
      <c r="E2401" s="100"/>
      <c r="F2401" s="102"/>
      <c r="G2401" s="114"/>
    </row>
    <row r="2402" spans="2:7" ht="15.75" customHeight="1" x14ac:dyDescent="0.25">
      <c r="B2402" s="100"/>
      <c r="C2402" s="100"/>
      <c r="D2402" s="100"/>
      <c r="E2402" s="100"/>
      <c r="F2402" s="102"/>
      <c r="G2402" s="114"/>
    </row>
    <row r="2403" spans="2:7" ht="15.75" customHeight="1" x14ac:dyDescent="0.25">
      <c r="B2403" s="100"/>
      <c r="C2403" s="100"/>
      <c r="D2403" s="100"/>
      <c r="E2403" s="100"/>
      <c r="F2403" s="102"/>
      <c r="G2403" s="114"/>
    </row>
    <row r="2404" spans="2:7" ht="15.75" customHeight="1" x14ac:dyDescent="0.25">
      <c r="B2404" s="100"/>
      <c r="C2404" s="100"/>
      <c r="D2404" s="100"/>
      <c r="E2404" s="100"/>
      <c r="F2404" s="102"/>
      <c r="G2404" s="114"/>
    </row>
    <row r="2405" spans="2:7" ht="15.75" customHeight="1" x14ac:dyDescent="0.25">
      <c r="B2405" s="100"/>
      <c r="C2405" s="100"/>
      <c r="D2405" s="100"/>
      <c r="E2405" s="100"/>
      <c r="F2405" s="102"/>
      <c r="G2405" s="114"/>
    </row>
    <row r="2406" spans="2:7" ht="15.75" customHeight="1" x14ac:dyDescent="0.25">
      <c r="B2406" s="100"/>
      <c r="C2406" s="100"/>
      <c r="D2406" s="100"/>
      <c r="E2406" s="100"/>
      <c r="F2406" s="102"/>
      <c r="G2406" s="114"/>
    </row>
    <row r="2407" spans="2:7" ht="15.75" customHeight="1" x14ac:dyDescent="0.25">
      <c r="B2407" s="100"/>
      <c r="C2407" s="100"/>
      <c r="D2407" s="100"/>
      <c r="E2407" s="100"/>
      <c r="F2407" s="102"/>
      <c r="G2407" s="114"/>
    </row>
    <row r="2408" spans="2:7" ht="15.75" customHeight="1" x14ac:dyDescent="0.25">
      <c r="B2408" s="100"/>
      <c r="C2408" s="100"/>
      <c r="D2408" s="100"/>
      <c r="E2408" s="100"/>
      <c r="F2408" s="102"/>
      <c r="G2408" s="114"/>
    </row>
    <row r="2409" spans="2:7" ht="15.75" customHeight="1" x14ac:dyDescent="0.25">
      <c r="B2409" s="100"/>
      <c r="C2409" s="100"/>
      <c r="D2409" s="100"/>
      <c r="E2409" s="100"/>
      <c r="F2409" s="102"/>
      <c r="G2409" s="114"/>
    </row>
    <row r="2410" spans="2:7" ht="15.75" customHeight="1" x14ac:dyDescent="0.25">
      <c r="B2410" s="100"/>
      <c r="C2410" s="100"/>
      <c r="D2410" s="100"/>
      <c r="E2410" s="100"/>
      <c r="F2410" s="102"/>
      <c r="G2410" s="114"/>
    </row>
    <row r="2411" spans="2:7" ht="15.75" customHeight="1" x14ac:dyDescent="0.25">
      <c r="B2411" s="100"/>
      <c r="C2411" s="100"/>
      <c r="D2411" s="100"/>
      <c r="E2411" s="100"/>
      <c r="F2411" s="102"/>
      <c r="G2411" s="114"/>
    </row>
    <row r="2412" spans="2:7" ht="15.75" customHeight="1" x14ac:dyDescent="0.25">
      <c r="B2412" s="100"/>
      <c r="C2412" s="100"/>
      <c r="D2412" s="100"/>
      <c r="E2412" s="100"/>
      <c r="F2412" s="102"/>
      <c r="G2412" s="114"/>
    </row>
    <row r="2413" spans="2:7" ht="15.75" customHeight="1" x14ac:dyDescent="0.25">
      <c r="B2413" s="100"/>
      <c r="C2413" s="100"/>
      <c r="D2413" s="100"/>
      <c r="E2413" s="100"/>
      <c r="F2413" s="102"/>
      <c r="G2413" s="114"/>
    </row>
    <row r="2414" spans="2:7" ht="15.75" customHeight="1" x14ac:dyDescent="0.25">
      <c r="B2414" s="100"/>
      <c r="C2414" s="100"/>
      <c r="D2414" s="100"/>
      <c r="E2414" s="100"/>
      <c r="F2414" s="102"/>
      <c r="G2414" s="114"/>
    </row>
    <row r="2415" spans="2:7" ht="15.75" customHeight="1" x14ac:dyDescent="0.25">
      <c r="B2415" s="100"/>
      <c r="C2415" s="100"/>
      <c r="D2415" s="100"/>
      <c r="E2415" s="100"/>
      <c r="F2415" s="102"/>
      <c r="G2415" s="114"/>
    </row>
    <row r="2416" spans="2:7" ht="15.75" customHeight="1" x14ac:dyDescent="0.25">
      <c r="B2416" s="100"/>
      <c r="C2416" s="100"/>
      <c r="D2416" s="100"/>
      <c r="E2416" s="100"/>
      <c r="F2416" s="102"/>
      <c r="G2416" s="114"/>
    </row>
    <row r="2417" spans="2:7" ht="15.75" customHeight="1" x14ac:dyDescent="0.25">
      <c r="B2417" s="100"/>
      <c r="C2417" s="100"/>
      <c r="D2417" s="100"/>
      <c r="E2417" s="100"/>
      <c r="F2417" s="102"/>
      <c r="G2417" s="114"/>
    </row>
    <row r="2418" spans="2:7" ht="15.75" customHeight="1" x14ac:dyDescent="0.25">
      <c r="B2418" s="100"/>
      <c r="C2418" s="100"/>
      <c r="D2418" s="100"/>
      <c r="E2418" s="100"/>
      <c r="F2418" s="102"/>
      <c r="G2418" s="114"/>
    </row>
    <row r="2419" spans="2:7" ht="15.75" customHeight="1" x14ac:dyDescent="0.25">
      <c r="B2419" s="100"/>
      <c r="C2419" s="100"/>
      <c r="D2419" s="100"/>
      <c r="E2419" s="100"/>
      <c r="F2419" s="102"/>
      <c r="G2419" s="114"/>
    </row>
    <row r="2420" spans="2:7" ht="15.75" customHeight="1" x14ac:dyDescent="0.25">
      <c r="B2420" s="100"/>
      <c r="C2420" s="100"/>
      <c r="D2420" s="100"/>
      <c r="E2420" s="100"/>
      <c r="F2420" s="102"/>
      <c r="G2420" s="114"/>
    </row>
    <row r="2421" spans="2:7" ht="15.75" customHeight="1" x14ac:dyDescent="0.25">
      <c r="B2421" s="100"/>
      <c r="C2421" s="100"/>
      <c r="D2421" s="100"/>
      <c r="E2421" s="100"/>
      <c r="F2421" s="102"/>
      <c r="G2421" s="114"/>
    </row>
    <row r="2422" spans="2:7" ht="15.75" customHeight="1" x14ac:dyDescent="0.25">
      <c r="B2422" s="100"/>
      <c r="C2422" s="100"/>
      <c r="D2422" s="100"/>
      <c r="E2422" s="100"/>
      <c r="F2422" s="102"/>
      <c r="G2422" s="114"/>
    </row>
    <row r="2423" spans="2:7" ht="15.75" customHeight="1" x14ac:dyDescent="0.25">
      <c r="B2423" s="100"/>
      <c r="C2423" s="100"/>
      <c r="D2423" s="100"/>
      <c r="E2423" s="100"/>
      <c r="F2423" s="102"/>
      <c r="G2423" s="114"/>
    </row>
    <row r="2424" spans="2:7" ht="15.75" customHeight="1" x14ac:dyDescent="0.25">
      <c r="B2424" s="100"/>
      <c r="C2424" s="100"/>
      <c r="D2424" s="100"/>
      <c r="E2424" s="100"/>
      <c r="F2424" s="102"/>
      <c r="G2424" s="114"/>
    </row>
    <row r="2425" spans="2:7" ht="15.75" customHeight="1" x14ac:dyDescent="0.25">
      <c r="B2425" s="100"/>
      <c r="C2425" s="100"/>
      <c r="D2425" s="100"/>
      <c r="E2425" s="100"/>
      <c r="F2425" s="102"/>
      <c r="G2425" s="114"/>
    </row>
    <row r="2426" spans="2:7" ht="15.75" customHeight="1" x14ac:dyDescent="0.25">
      <c r="B2426" s="100"/>
      <c r="C2426" s="100"/>
      <c r="D2426" s="100"/>
      <c r="E2426" s="100"/>
      <c r="F2426" s="102"/>
      <c r="G2426" s="114"/>
    </row>
    <row r="2427" spans="2:7" ht="15.75" customHeight="1" x14ac:dyDescent="0.25">
      <c r="B2427" s="100"/>
      <c r="C2427" s="100"/>
      <c r="D2427" s="100"/>
      <c r="E2427" s="100"/>
      <c r="F2427" s="102"/>
      <c r="G2427" s="114"/>
    </row>
    <row r="2428" spans="2:7" ht="15.75" customHeight="1" x14ac:dyDescent="0.25">
      <c r="B2428" s="100"/>
      <c r="C2428" s="100"/>
      <c r="D2428" s="100"/>
      <c r="E2428" s="100"/>
      <c r="F2428" s="102"/>
      <c r="G2428" s="114"/>
    </row>
    <row r="2429" spans="2:7" ht="15.75" customHeight="1" x14ac:dyDescent="0.25">
      <c r="B2429" s="100"/>
      <c r="C2429" s="100"/>
      <c r="D2429" s="100"/>
      <c r="E2429" s="100"/>
      <c r="F2429" s="102"/>
      <c r="G2429" s="114"/>
    </row>
    <row r="2430" spans="2:7" ht="15.75" customHeight="1" x14ac:dyDescent="0.25">
      <c r="B2430" s="100"/>
      <c r="C2430" s="100"/>
      <c r="D2430" s="100"/>
      <c r="E2430" s="100"/>
      <c r="F2430" s="102"/>
      <c r="G2430" s="114"/>
    </row>
    <row r="2431" spans="2:7" ht="15.75" customHeight="1" x14ac:dyDescent="0.25">
      <c r="B2431" s="100"/>
      <c r="C2431" s="100"/>
      <c r="D2431" s="100"/>
      <c r="E2431" s="100"/>
      <c r="F2431" s="102"/>
      <c r="G2431" s="114"/>
    </row>
    <row r="2432" spans="2:7" ht="15.75" customHeight="1" x14ac:dyDescent="0.25">
      <c r="B2432" s="100"/>
      <c r="C2432" s="100"/>
      <c r="D2432" s="100"/>
      <c r="E2432" s="100"/>
      <c r="F2432" s="102"/>
      <c r="G2432" s="114"/>
    </row>
    <row r="2433" spans="2:7" ht="15.75" customHeight="1" x14ac:dyDescent="0.25">
      <c r="B2433" s="100"/>
      <c r="C2433" s="100"/>
      <c r="D2433" s="100"/>
      <c r="E2433" s="100"/>
      <c r="F2433" s="102"/>
      <c r="G2433" s="114"/>
    </row>
    <row r="2434" spans="2:7" ht="15.75" customHeight="1" x14ac:dyDescent="0.25">
      <c r="B2434" s="100"/>
      <c r="C2434" s="100"/>
      <c r="D2434" s="100"/>
      <c r="E2434" s="100"/>
      <c r="F2434" s="102"/>
      <c r="G2434" s="114"/>
    </row>
    <row r="2435" spans="2:7" ht="15.75" customHeight="1" x14ac:dyDescent="0.25">
      <c r="B2435" s="100"/>
      <c r="C2435" s="100"/>
      <c r="D2435" s="100"/>
      <c r="E2435" s="100"/>
      <c r="F2435" s="102"/>
      <c r="G2435" s="114"/>
    </row>
    <row r="2436" spans="2:7" ht="15.75" customHeight="1" x14ac:dyDescent="0.25">
      <c r="B2436" s="100"/>
      <c r="C2436" s="100"/>
      <c r="D2436" s="100"/>
      <c r="E2436" s="100"/>
      <c r="F2436" s="102"/>
      <c r="G2436" s="114"/>
    </row>
    <row r="2437" spans="2:7" ht="15.75" customHeight="1" x14ac:dyDescent="0.25">
      <c r="B2437" s="100"/>
      <c r="C2437" s="100"/>
      <c r="D2437" s="100"/>
      <c r="E2437" s="100"/>
      <c r="F2437" s="102"/>
      <c r="G2437" s="114"/>
    </row>
    <row r="2438" spans="2:7" ht="15.75" customHeight="1" x14ac:dyDescent="0.25">
      <c r="B2438" s="100"/>
      <c r="C2438" s="100"/>
      <c r="D2438" s="100"/>
      <c r="E2438" s="100"/>
      <c r="F2438" s="102"/>
      <c r="G2438" s="114"/>
    </row>
    <row r="2439" spans="2:7" ht="15.75" customHeight="1" x14ac:dyDescent="0.25">
      <c r="B2439" s="100"/>
      <c r="C2439" s="100"/>
      <c r="D2439" s="100"/>
      <c r="E2439" s="100"/>
      <c r="F2439" s="102"/>
      <c r="G2439" s="114"/>
    </row>
    <row r="2440" spans="2:7" ht="15.75" customHeight="1" x14ac:dyDescent="0.25">
      <c r="B2440" s="100"/>
      <c r="C2440" s="100"/>
      <c r="D2440" s="100"/>
      <c r="E2440" s="100"/>
      <c r="F2440" s="102"/>
      <c r="G2440" s="114"/>
    </row>
    <row r="2441" spans="2:7" ht="15.75" customHeight="1" x14ac:dyDescent="0.25">
      <c r="B2441" s="100"/>
      <c r="C2441" s="100"/>
      <c r="D2441" s="100"/>
      <c r="E2441" s="100"/>
      <c r="F2441" s="102"/>
      <c r="G2441" s="114"/>
    </row>
    <row r="2442" spans="2:7" ht="15.75" customHeight="1" x14ac:dyDescent="0.25">
      <c r="B2442" s="100"/>
      <c r="C2442" s="100"/>
      <c r="D2442" s="100"/>
      <c r="E2442" s="100"/>
      <c r="F2442" s="102"/>
      <c r="G2442" s="114"/>
    </row>
    <row r="2443" spans="2:7" ht="15.75" customHeight="1" x14ac:dyDescent="0.25">
      <c r="B2443" s="100"/>
      <c r="C2443" s="100"/>
      <c r="D2443" s="100"/>
      <c r="E2443" s="100"/>
      <c r="F2443" s="102"/>
      <c r="G2443" s="114"/>
    </row>
    <row r="2444" spans="2:7" ht="15.75" customHeight="1" x14ac:dyDescent="0.25">
      <c r="B2444" s="100"/>
      <c r="C2444" s="100"/>
      <c r="D2444" s="100"/>
      <c r="E2444" s="100"/>
      <c r="F2444" s="102"/>
      <c r="G2444" s="114"/>
    </row>
    <row r="2445" spans="2:7" ht="15.75" customHeight="1" x14ac:dyDescent="0.25">
      <c r="B2445" s="100"/>
      <c r="C2445" s="100"/>
      <c r="D2445" s="100"/>
      <c r="E2445" s="100"/>
      <c r="F2445" s="102"/>
      <c r="G2445" s="114"/>
    </row>
    <row r="2446" spans="2:7" ht="15.75" customHeight="1" x14ac:dyDescent="0.25">
      <c r="B2446" s="100"/>
      <c r="C2446" s="100"/>
      <c r="D2446" s="100"/>
      <c r="E2446" s="100"/>
      <c r="F2446" s="102"/>
      <c r="G2446" s="114"/>
    </row>
    <row r="2447" spans="2:7" ht="15.75" customHeight="1" x14ac:dyDescent="0.25">
      <c r="B2447" s="100"/>
      <c r="C2447" s="100"/>
      <c r="D2447" s="100"/>
      <c r="E2447" s="100"/>
      <c r="F2447" s="102"/>
      <c r="G2447" s="114"/>
    </row>
    <row r="2448" spans="2:7" ht="15.75" customHeight="1" x14ac:dyDescent="0.25">
      <c r="B2448" s="100"/>
      <c r="C2448" s="100"/>
      <c r="D2448" s="100"/>
      <c r="E2448" s="100"/>
      <c r="F2448" s="102"/>
      <c r="G2448" s="114"/>
    </row>
    <row r="2449" spans="2:7" ht="15.75" customHeight="1" x14ac:dyDescent="0.25">
      <c r="B2449" s="100"/>
      <c r="C2449" s="100"/>
      <c r="D2449" s="100"/>
      <c r="E2449" s="100"/>
      <c r="F2449" s="102"/>
      <c r="G2449" s="114"/>
    </row>
    <row r="2450" spans="2:7" ht="15.75" customHeight="1" x14ac:dyDescent="0.25">
      <c r="B2450" s="100"/>
      <c r="C2450" s="100"/>
      <c r="D2450" s="100"/>
      <c r="E2450" s="100"/>
      <c r="F2450" s="102"/>
      <c r="G2450" s="114"/>
    </row>
    <row r="2451" spans="2:7" ht="15.75" customHeight="1" x14ac:dyDescent="0.25">
      <c r="B2451" s="100"/>
      <c r="C2451" s="100"/>
      <c r="D2451" s="100"/>
      <c r="E2451" s="100"/>
      <c r="F2451" s="102"/>
      <c r="G2451" s="114"/>
    </row>
    <row r="2452" spans="2:7" ht="15.75" customHeight="1" x14ac:dyDescent="0.25">
      <c r="B2452" s="100"/>
      <c r="C2452" s="100"/>
      <c r="D2452" s="100"/>
      <c r="E2452" s="100"/>
      <c r="F2452" s="102"/>
      <c r="G2452" s="114"/>
    </row>
    <row r="2453" spans="2:7" ht="15.75" customHeight="1" x14ac:dyDescent="0.25">
      <c r="B2453" s="100"/>
      <c r="C2453" s="100"/>
      <c r="D2453" s="100"/>
      <c r="E2453" s="100"/>
      <c r="F2453" s="102"/>
      <c r="G2453" s="114"/>
    </row>
    <row r="2454" spans="2:7" ht="15.75" customHeight="1" x14ac:dyDescent="0.25">
      <c r="B2454" s="100"/>
      <c r="C2454" s="100"/>
      <c r="D2454" s="100"/>
      <c r="E2454" s="100"/>
      <c r="F2454" s="102"/>
      <c r="G2454" s="114"/>
    </row>
    <row r="2455" spans="2:7" ht="15.75" customHeight="1" x14ac:dyDescent="0.25">
      <c r="B2455" s="100"/>
      <c r="C2455" s="100"/>
      <c r="D2455" s="100"/>
      <c r="E2455" s="100"/>
      <c r="F2455" s="102"/>
      <c r="G2455" s="114"/>
    </row>
    <row r="2456" spans="2:7" ht="15.75" customHeight="1" x14ac:dyDescent="0.25">
      <c r="B2456" s="100"/>
      <c r="C2456" s="100"/>
      <c r="D2456" s="100"/>
      <c r="E2456" s="100"/>
      <c r="F2456" s="102"/>
      <c r="G2456" s="114"/>
    </row>
    <row r="2457" spans="2:7" ht="15.75" customHeight="1" x14ac:dyDescent="0.25">
      <c r="B2457" s="100"/>
      <c r="C2457" s="100"/>
      <c r="D2457" s="100"/>
      <c r="E2457" s="100"/>
      <c r="F2457" s="102"/>
      <c r="G2457" s="114"/>
    </row>
    <row r="2458" spans="2:7" ht="15.75" customHeight="1" x14ac:dyDescent="0.25">
      <c r="B2458" s="100"/>
      <c r="C2458" s="100"/>
      <c r="D2458" s="100"/>
      <c r="E2458" s="100"/>
      <c r="F2458" s="102"/>
      <c r="G2458" s="114"/>
    </row>
    <row r="2459" spans="2:7" ht="15.75" customHeight="1" x14ac:dyDescent="0.25">
      <c r="B2459" s="100"/>
      <c r="C2459" s="100"/>
      <c r="D2459" s="100"/>
      <c r="E2459" s="100"/>
      <c r="F2459" s="102"/>
      <c r="G2459" s="114"/>
    </row>
    <row r="2460" spans="2:7" ht="15.75" customHeight="1" x14ac:dyDescent="0.25">
      <c r="B2460" s="100"/>
      <c r="C2460" s="100"/>
      <c r="D2460" s="100"/>
      <c r="E2460" s="100"/>
      <c r="F2460" s="102"/>
      <c r="G2460" s="114"/>
    </row>
    <row r="2461" spans="2:7" ht="15.75" customHeight="1" x14ac:dyDescent="0.25">
      <c r="B2461" s="100"/>
      <c r="C2461" s="100"/>
      <c r="D2461" s="100"/>
      <c r="E2461" s="100"/>
      <c r="F2461" s="102"/>
      <c r="G2461" s="114"/>
    </row>
    <row r="2462" spans="2:7" ht="15.75" customHeight="1" x14ac:dyDescent="0.25">
      <c r="B2462" s="100"/>
      <c r="C2462" s="100"/>
      <c r="D2462" s="100"/>
      <c r="E2462" s="100"/>
      <c r="F2462" s="102"/>
      <c r="G2462" s="114"/>
    </row>
    <row r="2463" spans="2:7" ht="15.75" customHeight="1" x14ac:dyDescent="0.25">
      <c r="B2463" s="100"/>
      <c r="C2463" s="100"/>
      <c r="D2463" s="100"/>
      <c r="E2463" s="100"/>
      <c r="F2463" s="102"/>
      <c r="G2463" s="114"/>
    </row>
    <row r="2464" spans="2:7" ht="15.75" customHeight="1" x14ac:dyDescent="0.25">
      <c r="B2464" s="100"/>
      <c r="C2464" s="100"/>
      <c r="D2464" s="100"/>
      <c r="E2464" s="100"/>
      <c r="F2464" s="102"/>
      <c r="G2464" s="114"/>
    </row>
    <row r="2465" spans="2:7" ht="15.75" customHeight="1" x14ac:dyDescent="0.25">
      <c r="B2465" s="100"/>
      <c r="C2465" s="100"/>
      <c r="D2465" s="100"/>
      <c r="E2465" s="100"/>
      <c r="F2465" s="102"/>
      <c r="G2465" s="114"/>
    </row>
    <row r="2466" spans="2:7" ht="15.75" customHeight="1" x14ac:dyDescent="0.25">
      <c r="B2466" s="100"/>
      <c r="C2466" s="100"/>
      <c r="D2466" s="100"/>
      <c r="E2466" s="100"/>
      <c r="F2466" s="102"/>
      <c r="G2466" s="114"/>
    </row>
    <row r="2467" spans="2:7" ht="15.75" customHeight="1" x14ac:dyDescent="0.25">
      <c r="B2467" s="100"/>
      <c r="C2467" s="100"/>
      <c r="D2467" s="100"/>
      <c r="E2467" s="100"/>
      <c r="F2467" s="102"/>
      <c r="G2467" s="114"/>
    </row>
    <row r="2468" spans="2:7" ht="15.75" customHeight="1" x14ac:dyDescent="0.25">
      <c r="B2468" s="100"/>
      <c r="C2468" s="100"/>
      <c r="D2468" s="100"/>
      <c r="E2468" s="100"/>
      <c r="F2468" s="102"/>
      <c r="G2468" s="114"/>
    </row>
    <row r="2469" spans="2:7" ht="15.75" customHeight="1" x14ac:dyDescent="0.25">
      <c r="B2469" s="100"/>
      <c r="C2469" s="100"/>
      <c r="D2469" s="100"/>
      <c r="E2469" s="100"/>
      <c r="F2469" s="102"/>
      <c r="G2469" s="114"/>
    </row>
    <row r="2470" spans="2:7" ht="15.75" customHeight="1" x14ac:dyDescent="0.25">
      <c r="B2470" s="100"/>
      <c r="C2470" s="100"/>
      <c r="D2470" s="100"/>
      <c r="E2470" s="100"/>
      <c r="F2470" s="102"/>
      <c r="G2470" s="114"/>
    </row>
    <row r="2471" spans="2:7" ht="15.75" customHeight="1" x14ac:dyDescent="0.25">
      <c r="B2471" s="100"/>
      <c r="C2471" s="100"/>
      <c r="D2471" s="100"/>
      <c r="E2471" s="100"/>
      <c r="F2471" s="102"/>
      <c r="G2471" s="114"/>
    </row>
    <row r="2472" spans="2:7" ht="15.75" customHeight="1" x14ac:dyDescent="0.25">
      <c r="B2472" s="100"/>
      <c r="C2472" s="100"/>
      <c r="D2472" s="100"/>
      <c r="E2472" s="100"/>
      <c r="F2472" s="102"/>
      <c r="G2472" s="114"/>
    </row>
    <row r="2473" spans="2:7" ht="15.75" customHeight="1" x14ac:dyDescent="0.25">
      <c r="B2473" s="100"/>
      <c r="C2473" s="100"/>
      <c r="D2473" s="100"/>
      <c r="E2473" s="100"/>
      <c r="F2473" s="102"/>
      <c r="G2473" s="114"/>
    </row>
    <row r="2474" spans="2:7" ht="15.75" customHeight="1" x14ac:dyDescent="0.25">
      <c r="B2474" s="100"/>
      <c r="C2474" s="100"/>
      <c r="D2474" s="100"/>
      <c r="E2474" s="100"/>
      <c r="F2474" s="102"/>
      <c r="G2474" s="114"/>
    </row>
    <row r="2475" spans="2:7" ht="15.75" customHeight="1" x14ac:dyDescent="0.25">
      <c r="B2475" s="100"/>
      <c r="C2475" s="100"/>
      <c r="D2475" s="100"/>
      <c r="E2475" s="100"/>
      <c r="F2475" s="102"/>
      <c r="G2475" s="114"/>
    </row>
    <row r="2476" spans="2:7" ht="15.75" customHeight="1" x14ac:dyDescent="0.25">
      <c r="B2476" s="100"/>
      <c r="C2476" s="100"/>
      <c r="D2476" s="100"/>
      <c r="E2476" s="100"/>
      <c r="F2476" s="102"/>
      <c r="G2476" s="114"/>
    </row>
    <row r="2477" spans="2:7" ht="15.75" customHeight="1" x14ac:dyDescent="0.25">
      <c r="B2477" s="100"/>
      <c r="C2477" s="100"/>
      <c r="D2477" s="100"/>
      <c r="E2477" s="100"/>
      <c r="F2477" s="102"/>
      <c r="G2477" s="114"/>
    </row>
    <row r="2478" spans="2:7" ht="15.75" customHeight="1" x14ac:dyDescent="0.25">
      <c r="B2478" s="100"/>
      <c r="C2478" s="100"/>
      <c r="D2478" s="100"/>
      <c r="E2478" s="100"/>
      <c r="F2478" s="102"/>
      <c r="G2478" s="114"/>
    </row>
    <row r="2479" spans="2:7" ht="15.75" customHeight="1" x14ac:dyDescent="0.25">
      <c r="B2479" s="100"/>
      <c r="C2479" s="100"/>
      <c r="D2479" s="100"/>
      <c r="E2479" s="100"/>
      <c r="F2479" s="102"/>
      <c r="G2479" s="114"/>
    </row>
    <row r="2480" spans="2:7" ht="15.75" customHeight="1" x14ac:dyDescent="0.25">
      <c r="B2480" s="100"/>
      <c r="C2480" s="100"/>
      <c r="D2480" s="100"/>
      <c r="E2480" s="100"/>
      <c r="F2480" s="102"/>
      <c r="G2480" s="114"/>
    </row>
    <row r="2481" spans="2:7" ht="15.75" customHeight="1" x14ac:dyDescent="0.25">
      <c r="B2481" s="100"/>
      <c r="C2481" s="100"/>
      <c r="D2481" s="100"/>
      <c r="E2481" s="100"/>
      <c r="F2481" s="102"/>
      <c r="G2481" s="114"/>
    </row>
    <row r="2482" spans="2:7" ht="15.75" customHeight="1" x14ac:dyDescent="0.25">
      <c r="B2482" s="100"/>
      <c r="C2482" s="100"/>
      <c r="D2482" s="100"/>
      <c r="E2482" s="100"/>
      <c r="F2482" s="102"/>
      <c r="G2482" s="114"/>
    </row>
    <row r="2483" spans="2:7" ht="15.75" customHeight="1" x14ac:dyDescent="0.25">
      <c r="B2483" s="100"/>
      <c r="C2483" s="100"/>
      <c r="D2483" s="100"/>
      <c r="E2483" s="100"/>
      <c r="F2483" s="102"/>
      <c r="G2483" s="114"/>
    </row>
    <row r="2484" spans="2:7" ht="15.75" customHeight="1" x14ac:dyDescent="0.25">
      <c r="B2484" s="100"/>
      <c r="C2484" s="100"/>
      <c r="D2484" s="100"/>
      <c r="E2484" s="100"/>
      <c r="F2484" s="102"/>
      <c r="G2484" s="114"/>
    </row>
    <row r="2485" spans="2:7" ht="15.75" customHeight="1" x14ac:dyDescent="0.25">
      <c r="B2485" s="100"/>
      <c r="C2485" s="100"/>
      <c r="D2485" s="100"/>
      <c r="E2485" s="100"/>
      <c r="F2485" s="102"/>
      <c r="G2485" s="114"/>
    </row>
    <row r="2486" spans="2:7" ht="15.75" customHeight="1" x14ac:dyDescent="0.25">
      <c r="B2486" s="100"/>
      <c r="C2486" s="100"/>
      <c r="D2486" s="100"/>
      <c r="E2486" s="100"/>
      <c r="F2486" s="102"/>
      <c r="G2486" s="114"/>
    </row>
    <row r="2487" spans="2:7" ht="15.75" customHeight="1" x14ac:dyDescent="0.25">
      <c r="B2487" s="100"/>
      <c r="C2487" s="100"/>
      <c r="D2487" s="100"/>
      <c r="E2487" s="100"/>
      <c r="F2487" s="102"/>
      <c r="G2487" s="114"/>
    </row>
    <row r="2488" spans="2:7" ht="15.75" customHeight="1" x14ac:dyDescent="0.25">
      <c r="B2488" s="100"/>
      <c r="C2488" s="100"/>
      <c r="D2488" s="100"/>
      <c r="E2488" s="100"/>
      <c r="F2488" s="102"/>
      <c r="G2488" s="114"/>
    </row>
    <row r="2489" spans="2:7" ht="15.75" customHeight="1" x14ac:dyDescent="0.25">
      <c r="B2489" s="100"/>
      <c r="C2489" s="100"/>
      <c r="D2489" s="100"/>
      <c r="E2489" s="100"/>
      <c r="F2489" s="102"/>
      <c r="G2489" s="114"/>
    </row>
    <row r="2490" spans="2:7" ht="15.75" customHeight="1" x14ac:dyDescent="0.25">
      <c r="B2490" s="100"/>
      <c r="C2490" s="100"/>
      <c r="D2490" s="100"/>
      <c r="E2490" s="100"/>
      <c r="F2490" s="102"/>
      <c r="G2490" s="114"/>
    </row>
    <row r="2491" spans="2:7" ht="15.75" customHeight="1" x14ac:dyDescent="0.25">
      <c r="B2491" s="100"/>
      <c r="C2491" s="100"/>
      <c r="D2491" s="100"/>
      <c r="E2491" s="100"/>
      <c r="F2491" s="102"/>
      <c r="G2491" s="114"/>
    </row>
    <row r="2492" spans="2:7" ht="15.75" customHeight="1" x14ac:dyDescent="0.25">
      <c r="B2492" s="100"/>
      <c r="C2492" s="100"/>
      <c r="D2492" s="100"/>
      <c r="E2492" s="100"/>
      <c r="F2492" s="102"/>
      <c r="G2492" s="114"/>
    </row>
    <row r="2493" spans="2:7" ht="15.75" customHeight="1" x14ac:dyDescent="0.25">
      <c r="B2493" s="100"/>
      <c r="C2493" s="100"/>
      <c r="D2493" s="100"/>
      <c r="E2493" s="100"/>
      <c r="F2493" s="102"/>
      <c r="G2493" s="114"/>
    </row>
    <row r="2494" spans="2:7" ht="15.75" customHeight="1" x14ac:dyDescent="0.25">
      <c r="B2494" s="100"/>
      <c r="C2494" s="100"/>
      <c r="D2494" s="100"/>
      <c r="E2494" s="100"/>
      <c r="F2494" s="102"/>
      <c r="G2494" s="114"/>
    </row>
    <row r="2495" spans="2:7" ht="15.75" customHeight="1" x14ac:dyDescent="0.25">
      <c r="B2495" s="100"/>
      <c r="C2495" s="100"/>
      <c r="D2495" s="100"/>
      <c r="E2495" s="100"/>
      <c r="F2495" s="102"/>
      <c r="G2495" s="114"/>
    </row>
    <row r="2496" spans="2:7" ht="15.75" customHeight="1" x14ac:dyDescent="0.25">
      <c r="B2496" s="100"/>
      <c r="C2496" s="100"/>
      <c r="D2496" s="100"/>
      <c r="E2496" s="100"/>
      <c r="F2496" s="102"/>
      <c r="G2496" s="114"/>
    </row>
    <row r="2497" spans="2:7" ht="15.75" customHeight="1" x14ac:dyDescent="0.25">
      <c r="B2497" s="100"/>
      <c r="C2497" s="100"/>
      <c r="D2497" s="100"/>
      <c r="E2497" s="100"/>
      <c r="F2497" s="102"/>
      <c r="G2497" s="114"/>
    </row>
    <row r="2498" spans="2:7" ht="15.75" customHeight="1" x14ac:dyDescent="0.25">
      <c r="B2498" s="100"/>
      <c r="C2498" s="100"/>
      <c r="D2498" s="100"/>
      <c r="E2498" s="100"/>
      <c r="F2498" s="102"/>
      <c r="G2498" s="114"/>
    </row>
    <row r="2499" spans="2:7" ht="15.75" customHeight="1" x14ac:dyDescent="0.25">
      <c r="B2499" s="100"/>
      <c r="C2499" s="100"/>
      <c r="D2499" s="100"/>
      <c r="E2499" s="100"/>
      <c r="F2499" s="102"/>
      <c r="G2499" s="114"/>
    </row>
    <row r="2500" spans="2:7" ht="15.75" customHeight="1" x14ac:dyDescent="0.25">
      <c r="B2500" s="100"/>
      <c r="C2500" s="100"/>
      <c r="D2500" s="100"/>
      <c r="E2500" s="100"/>
      <c r="F2500" s="102"/>
      <c r="G2500" s="114"/>
    </row>
    <row r="2501" spans="2:7" ht="15.75" customHeight="1" x14ac:dyDescent="0.25">
      <c r="B2501" s="100"/>
      <c r="C2501" s="100"/>
      <c r="D2501" s="100"/>
      <c r="E2501" s="100"/>
      <c r="F2501" s="102"/>
      <c r="G2501" s="114"/>
    </row>
    <row r="2502" spans="2:7" ht="15.75" customHeight="1" x14ac:dyDescent="0.25">
      <c r="B2502" s="100"/>
      <c r="C2502" s="100"/>
      <c r="D2502" s="100"/>
      <c r="E2502" s="100"/>
      <c r="F2502" s="102"/>
      <c r="G2502" s="114"/>
    </row>
    <row r="2503" spans="2:7" ht="15.75" customHeight="1" x14ac:dyDescent="0.25">
      <c r="B2503" s="100"/>
      <c r="C2503" s="100"/>
      <c r="D2503" s="100"/>
      <c r="E2503" s="100"/>
      <c r="F2503" s="102"/>
      <c r="G2503" s="114"/>
    </row>
    <row r="2504" spans="2:7" ht="15.75" customHeight="1" x14ac:dyDescent="0.25">
      <c r="B2504" s="100"/>
      <c r="C2504" s="100"/>
      <c r="D2504" s="100"/>
      <c r="E2504" s="100"/>
      <c r="F2504" s="102"/>
      <c r="G2504" s="114"/>
    </row>
    <row r="2505" spans="2:7" ht="15.75" customHeight="1" x14ac:dyDescent="0.25">
      <c r="B2505" s="100"/>
      <c r="C2505" s="100"/>
      <c r="D2505" s="100"/>
      <c r="E2505" s="100"/>
      <c r="F2505" s="102"/>
      <c r="G2505" s="114"/>
    </row>
    <row r="2506" spans="2:7" ht="15.75" customHeight="1" x14ac:dyDescent="0.25">
      <c r="B2506" s="100"/>
      <c r="C2506" s="100"/>
      <c r="D2506" s="100"/>
      <c r="E2506" s="100"/>
      <c r="F2506" s="102"/>
      <c r="G2506" s="114"/>
    </row>
    <row r="2507" spans="2:7" ht="15.75" customHeight="1" x14ac:dyDescent="0.25">
      <c r="B2507" s="100"/>
      <c r="C2507" s="100"/>
      <c r="D2507" s="100"/>
      <c r="E2507" s="100"/>
      <c r="F2507" s="102"/>
      <c r="G2507" s="114"/>
    </row>
    <row r="2508" spans="2:7" ht="15.75" customHeight="1" x14ac:dyDescent="0.25">
      <c r="B2508" s="100"/>
      <c r="C2508" s="100"/>
      <c r="D2508" s="100"/>
      <c r="E2508" s="100"/>
      <c r="F2508" s="102"/>
      <c r="G2508" s="114"/>
    </row>
    <row r="2509" spans="2:7" ht="15.75" customHeight="1" x14ac:dyDescent="0.25">
      <c r="B2509" s="100"/>
      <c r="C2509" s="100"/>
      <c r="D2509" s="100"/>
      <c r="E2509" s="100"/>
      <c r="F2509" s="102"/>
      <c r="G2509" s="114"/>
    </row>
    <row r="2510" spans="2:7" ht="15.75" customHeight="1" x14ac:dyDescent="0.25">
      <c r="B2510" s="100"/>
      <c r="C2510" s="100"/>
      <c r="D2510" s="100"/>
      <c r="E2510" s="100"/>
      <c r="F2510" s="102"/>
      <c r="G2510" s="114"/>
    </row>
    <row r="2511" spans="2:7" ht="15.75" customHeight="1" x14ac:dyDescent="0.25">
      <c r="B2511" s="100"/>
      <c r="C2511" s="100"/>
      <c r="D2511" s="100"/>
      <c r="E2511" s="100"/>
      <c r="F2511" s="102"/>
      <c r="G2511" s="114"/>
    </row>
    <row r="2512" spans="2:7" ht="15.75" customHeight="1" x14ac:dyDescent="0.25">
      <c r="B2512" s="100"/>
      <c r="C2512" s="100"/>
      <c r="D2512" s="100"/>
      <c r="E2512" s="100"/>
      <c r="F2512" s="102"/>
      <c r="G2512" s="114"/>
    </row>
    <row r="2513" spans="2:7" ht="15.75" customHeight="1" x14ac:dyDescent="0.25">
      <c r="B2513" s="100"/>
      <c r="C2513" s="100"/>
      <c r="D2513" s="100"/>
      <c r="E2513" s="100"/>
      <c r="F2513" s="102"/>
      <c r="G2513" s="114"/>
    </row>
    <row r="2514" spans="2:7" ht="15.75" customHeight="1" x14ac:dyDescent="0.25">
      <c r="B2514" s="100"/>
      <c r="C2514" s="100"/>
      <c r="D2514" s="100"/>
      <c r="E2514" s="100"/>
      <c r="F2514" s="102"/>
      <c r="G2514" s="114"/>
    </row>
    <row r="2515" spans="2:7" ht="15.75" customHeight="1" x14ac:dyDescent="0.25">
      <c r="B2515" s="100"/>
      <c r="C2515" s="100"/>
      <c r="D2515" s="100"/>
      <c r="E2515" s="100"/>
      <c r="F2515" s="102"/>
      <c r="G2515" s="114"/>
    </row>
    <row r="2516" spans="2:7" ht="15.75" customHeight="1" x14ac:dyDescent="0.25">
      <c r="B2516" s="100"/>
      <c r="C2516" s="100"/>
      <c r="D2516" s="100"/>
      <c r="E2516" s="100"/>
      <c r="F2516" s="102"/>
      <c r="G2516" s="114"/>
    </row>
    <row r="2517" spans="2:7" ht="15.75" customHeight="1" x14ac:dyDescent="0.25">
      <c r="B2517" s="100"/>
      <c r="C2517" s="100"/>
      <c r="D2517" s="100"/>
      <c r="E2517" s="100"/>
      <c r="F2517" s="102"/>
      <c r="G2517" s="114"/>
    </row>
    <row r="2518" spans="2:7" ht="15.75" customHeight="1" x14ac:dyDescent="0.25">
      <c r="B2518" s="100"/>
      <c r="C2518" s="100"/>
      <c r="D2518" s="100"/>
      <c r="E2518" s="100"/>
      <c r="F2518" s="102"/>
      <c r="G2518" s="114"/>
    </row>
    <row r="2519" spans="2:7" ht="15.75" customHeight="1" x14ac:dyDescent="0.25">
      <c r="B2519" s="100"/>
      <c r="C2519" s="100"/>
      <c r="D2519" s="100"/>
      <c r="E2519" s="100"/>
      <c r="F2519" s="102"/>
      <c r="G2519" s="114"/>
    </row>
    <row r="2520" spans="2:7" ht="15.75" customHeight="1" x14ac:dyDescent="0.25">
      <c r="B2520" s="100"/>
      <c r="C2520" s="100"/>
      <c r="D2520" s="100"/>
      <c r="E2520" s="100"/>
      <c r="F2520" s="102"/>
      <c r="G2520" s="114"/>
    </row>
    <row r="2521" spans="2:7" ht="15.75" customHeight="1" x14ac:dyDescent="0.25">
      <c r="B2521" s="100"/>
      <c r="C2521" s="100"/>
      <c r="D2521" s="100"/>
      <c r="E2521" s="100"/>
      <c r="F2521" s="102"/>
      <c r="G2521" s="114"/>
    </row>
    <row r="2522" spans="2:7" ht="15.75" customHeight="1" x14ac:dyDescent="0.25">
      <c r="B2522" s="100"/>
      <c r="C2522" s="100"/>
      <c r="D2522" s="100"/>
      <c r="E2522" s="100"/>
      <c r="F2522" s="102"/>
      <c r="G2522" s="114"/>
    </row>
    <row r="2523" spans="2:7" ht="15.75" customHeight="1" x14ac:dyDescent="0.25">
      <c r="B2523" s="100"/>
      <c r="C2523" s="100"/>
      <c r="D2523" s="100"/>
      <c r="E2523" s="100"/>
      <c r="F2523" s="102"/>
      <c r="G2523" s="114"/>
    </row>
    <row r="2524" spans="2:7" ht="15.75" customHeight="1" x14ac:dyDescent="0.25">
      <c r="B2524" s="100"/>
      <c r="C2524" s="100"/>
      <c r="D2524" s="100"/>
      <c r="E2524" s="100"/>
      <c r="F2524" s="102"/>
      <c r="G2524" s="114"/>
    </row>
    <row r="2525" spans="2:7" ht="15.75" customHeight="1" x14ac:dyDescent="0.25">
      <c r="B2525" s="100"/>
      <c r="C2525" s="100"/>
      <c r="D2525" s="100"/>
      <c r="E2525" s="100"/>
      <c r="F2525" s="102"/>
      <c r="G2525" s="114"/>
    </row>
    <row r="2526" spans="2:7" ht="15.75" customHeight="1" x14ac:dyDescent="0.25">
      <c r="B2526" s="100"/>
      <c r="C2526" s="100"/>
      <c r="D2526" s="100"/>
      <c r="E2526" s="100"/>
      <c r="F2526" s="102"/>
      <c r="G2526" s="114"/>
    </row>
    <row r="2527" spans="2:7" ht="15.75" customHeight="1" x14ac:dyDescent="0.25">
      <c r="B2527" s="100"/>
      <c r="C2527" s="100"/>
      <c r="D2527" s="100"/>
      <c r="E2527" s="100"/>
      <c r="F2527" s="102"/>
      <c r="G2527" s="114"/>
    </row>
    <row r="2528" spans="2:7" ht="15.75" customHeight="1" x14ac:dyDescent="0.25">
      <c r="B2528" s="100"/>
      <c r="C2528" s="100"/>
      <c r="D2528" s="100"/>
      <c r="E2528" s="100"/>
      <c r="F2528" s="102"/>
      <c r="G2528" s="114"/>
    </row>
    <row r="2529" spans="2:7" ht="15.75" customHeight="1" x14ac:dyDescent="0.25">
      <c r="B2529" s="100"/>
      <c r="C2529" s="100"/>
      <c r="D2529" s="100"/>
      <c r="E2529" s="100"/>
      <c r="F2529" s="102"/>
      <c r="G2529" s="114"/>
    </row>
    <row r="2530" spans="2:7" ht="15.75" customHeight="1" x14ac:dyDescent="0.25">
      <c r="B2530" s="100"/>
      <c r="C2530" s="100"/>
      <c r="D2530" s="100"/>
      <c r="E2530" s="100"/>
      <c r="F2530" s="102"/>
      <c r="G2530" s="114"/>
    </row>
    <row r="2531" spans="2:7" ht="15.75" customHeight="1" x14ac:dyDescent="0.25">
      <c r="B2531" s="100"/>
      <c r="C2531" s="100"/>
      <c r="D2531" s="100"/>
      <c r="E2531" s="100"/>
      <c r="F2531" s="102"/>
      <c r="G2531" s="114"/>
    </row>
    <row r="2532" spans="2:7" ht="15.75" customHeight="1" x14ac:dyDescent="0.25">
      <c r="B2532" s="100"/>
      <c r="C2532" s="100"/>
      <c r="D2532" s="100"/>
      <c r="E2532" s="100"/>
      <c r="F2532" s="102"/>
      <c r="G2532" s="114"/>
    </row>
    <row r="2533" spans="2:7" ht="15.75" customHeight="1" x14ac:dyDescent="0.25">
      <c r="B2533" s="100"/>
      <c r="C2533" s="100"/>
      <c r="D2533" s="100"/>
      <c r="E2533" s="100"/>
      <c r="F2533" s="102"/>
      <c r="G2533" s="114"/>
    </row>
    <row r="2534" spans="2:7" ht="15.75" customHeight="1" x14ac:dyDescent="0.25">
      <c r="B2534" s="100"/>
      <c r="C2534" s="100"/>
      <c r="D2534" s="100"/>
      <c r="E2534" s="100"/>
      <c r="F2534" s="102"/>
      <c r="G2534" s="114"/>
    </row>
    <row r="2535" spans="2:7" ht="15.75" customHeight="1" x14ac:dyDescent="0.25">
      <c r="B2535" s="100"/>
      <c r="C2535" s="100"/>
      <c r="D2535" s="100"/>
      <c r="E2535" s="100"/>
      <c r="F2535" s="102"/>
      <c r="G2535" s="114"/>
    </row>
    <row r="2536" spans="2:7" ht="15.75" customHeight="1" x14ac:dyDescent="0.25">
      <c r="B2536" s="100"/>
      <c r="C2536" s="100"/>
      <c r="D2536" s="100"/>
      <c r="E2536" s="100"/>
      <c r="F2536" s="102"/>
      <c r="G2536" s="114"/>
    </row>
    <row r="2537" spans="2:7" ht="15.75" customHeight="1" x14ac:dyDescent="0.25">
      <c r="B2537" s="100"/>
      <c r="C2537" s="100"/>
      <c r="D2537" s="100"/>
      <c r="E2537" s="100"/>
      <c r="F2537" s="102"/>
      <c r="G2537" s="114"/>
    </row>
    <row r="2538" spans="2:7" ht="15.75" customHeight="1" x14ac:dyDescent="0.25">
      <c r="B2538" s="100"/>
      <c r="C2538" s="100"/>
      <c r="D2538" s="100"/>
      <c r="E2538" s="100"/>
      <c r="F2538" s="102"/>
      <c r="G2538" s="114"/>
    </row>
    <row r="2539" spans="2:7" ht="15.75" customHeight="1" x14ac:dyDescent="0.25">
      <c r="B2539" s="100"/>
      <c r="C2539" s="100"/>
      <c r="D2539" s="100"/>
      <c r="E2539" s="100"/>
      <c r="F2539" s="102"/>
      <c r="G2539" s="114"/>
    </row>
    <row r="2540" spans="2:7" ht="15.75" customHeight="1" x14ac:dyDescent="0.25">
      <c r="B2540" s="100"/>
      <c r="C2540" s="100"/>
      <c r="D2540" s="100"/>
      <c r="E2540" s="100"/>
      <c r="F2540" s="102"/>
      <c r="G2540" s="114"/>
    </row>
    <row r="2541" spans="2:7" ht="15.75" customHeight="1" x14ac:dyDescent="0.25">
      <c r="B2541" s="100"/>
      <c r="C2541" s="100"/>
      <c r="D2541" s="100"/>
      <c r="E2541" s="100"/>
      <c r="F2541" s="102"/>
      <c r="G2541" s="114"/>
    </row>
    <row r="2542" spans="2:7" ht="15.75" customHeight="1" x14ac:dyDescent="0.25">
      <c r="B2542" s="100"/>
      <c r="C2542" s="100"/>
      <c r="D2542" s="100"/>
      <c r="E2542" s="100"/>
      <c r="F2542" s="102"/>
      <c r="G2542" s="114"/>
    </row>
    <row r="2543" spans="2:7" ht="15.75" customHeight="1" x14ac:dyDescent="0.25">
      <c r="B2543" s="100"/>
      <c r="C2543" s="100"/>
      <c r="D2543" s="100"/>
      <c r="E2543" s="100"/>
      <c r="F2543" s="102"/>
      <c r="G2543" s="114"/>
    </row>
    <row r="2544" spans="2:7" ht="15.75" customHeight="1" x14ac:dyDescent="0.25">
      <c r="B2544" s="100"/>
      <c r="C2544" s="100"/>
      <c r="D2544" s="100"/>
      <c r="E2544" s="100"/>
      <c r="F2544" s="102"/>
      <c r="G2544" s="114"/>
    </row>
    <row r="2545" spans="2:7" ht="15.75" customHeight="1" x14ac:dyDescent="0.25">
      <c r="B2545" s="100"/>
      <c r="C2545" s="100"/>
      <c r="D2545" s="100"/>
      <c r="E2545" s="100"/>
      <c r="F2545" s="102"/>
      <c r="G2545" s="114"/>
    </row>
    <row r="2546" spans="2:7" ht="15.75" customHeight="1" x14ac:dyDescent="0.25">
      <c r="B2546" s="100"/>
      <c r="C2546" s="100"/>
      <c r="D2546" s="100"/>
      <c r="E2546" s="100"/>
      <c r="F2546" s="102"/>
      <c r="G2546" s="114"/>
    </row>
    <row r="2547" spans="2:7" ht="15.75" customHeight="1" x14ac:dyDescent="0.25">
      <c r="B2547" s="100"/>
      <c r="C2547" s="100"/>
      <c r="D2547" s="100"/>
      <c r="E2547" s="100"/>
      <c r="F2547" s="102"/>
      <c r="G2547" s="114"/>
    </row>
    <row r="2548" spans="2:7" ht="15.75" customHeight="1" x14ac:dyDescent="0.25">
      <c r="B2548" s="100"/>
      <c r="C2548" s="100"/>
      <c r="D2548" s="100"/>
      <c r="E2548" s="100"/>
      <c r="F2548" s="102"/>
      <c r="G2548" s="114"/>
    </row>
    <row r="2549" spans="2:7" ht="15.75" customHeight="1" x14ac:dyDescent="0.25">
      <c r="B2549" s="100"/>
      <c r="C2549" s="100"/>
      <c r="D2549" s="100"/>
      <c r="E2549" s="100"/>
      <c r="F2549" s="102"/>
      <c r="G2549" s="114"/>
    </row>
    <row r="2550" spans="2:7" ht="15.75" customHeight="1" x14ac:dyDescent="0.25">
      <c r="B2550" s="100"/>
      <c r="C2550" s="100"/>
      <c r="D2550" s="100"/>
      <c r="E2550" s="100"/>
      <c r="F2550" s="102"/>
      <c r="G2550" s="114"/>
    </row>
    <row r="2551" spans="2:7" ht="15.75" customHeight="1" x14ac:dyDescent="0.25">
      <c r="B2551" s="100"/>
      <c r="C2551" s="100"/>
      <c r="D2551" s="100"/>
      <c r="E2551" s="100"/>
      <c r="F2551" s="102"/>
      <c r="G2551" s="114"/>
    </row>
    <row r="2552" spans="2:7" ht="15.75" customHeight="1" x14ac:dyDescent="0.25">
      <c r="B2552" s="100"/>
      <c r="C2552" s="100"/>
      <c r="D2552" s="100"/>
      <c r="E2552" s="100"/>
      <c r="F2552" s="102"/>
      <c r="G2552" s="114"/>
    </row>
    <row r="2553" spans="2:7" ht="15.75" customHeight="1" x14ac:dyDescent="0.25">
      <c r="B2553" s="100"/>
      <c r="C2553" s="100"/>
      <c r="D2553" s="100"/>
      <c r="E2553" s="100"/>
      <c r="F2553" s="102"/>
      <c r="G2553" s="114"/>
    </row>
    <row r="2554" spans="2:7" ht="15.75" customHeight="1" x14ac:dyDescent="0.25">
      <c r="B2554" s="100"/>
      <c r="C2554" s="100"/>
      <c r="D2554" s="100"/>
      <c r="E2554" s="100"/>
      <c r="F2554" s="102"/>
      <c r="G2554" s="114"/>
    </row>
    <row r="2555" spans="2:7" ht="15.75" customHeight="1" x14ac:dyDescent="0.25">
      <c r="B2555" s="100"/>
      <c r="C2555" s="100"/>
      <c r="D2555" s="100"/>
      <c r="E2555" s="100"/>
      <c r="F2555" s="102"/>
      <c r="G2555" s="114"/>
    </row>
    <row r="2556" spans="2:7" ht="15.75" customHeight="1" x14ac:dyDescent="0.25">
      <c r="B2556" s="100"/>
      <c r="C2556" s="100"/>
      <c r="D2556" s="100"/>
      <c r="E2556" s="100"/>
      <c r="F2556" s="102"/>
      <c r="G2556" s="114"/>
    </row>
    <row r="2557" spans="2:7" ht="15.75" customHeight="1" x14ac:dyDescent="0.25">
      <c r="B2557" s="100"/>
      <c r="C2557" s="100"/>
      <c r="D2557" s="100"/>
      <c r="E2557" s="100"/>
      <c r="F2557" s="102"/>
      <c r="G2557" s="114"/>
    </row>
    <row r="2558" spans="2:7" ht="15.75" customHeight="1" x14ac:dyDescent="0.25">
      <c r="B2558" s="100"/>
      <c r="C2558" s="100"/>
      <c r="D2558" s="100"/>
      <c r="E2558" s="100"/>
      <c r="F2558" s="102"/>
      <c r="G2558" s="114"/>
    </row>
    <row r="2559" spans="2:7" ht="15.75" customHeight="1" x14ac:dyDescent="0.25">
      <c r="B2559" s="100"/>
      <c r="C2559" s="100"/>
      <c r="D2559" s="100"/>
      <c r="E2559" s="100"/>
      <c r="F2559" s="102"/>
      <c r="G2559" s="114"/>
    </row>
    <row r="2560" spans="2:7" ht="15.75" customHeight="1" x14ac:dyDescent="0.25">
      <c r="B2560" s="100"/>
      <c r="C2560" s="100"/>
      <c r="D2560" s="100"/>
      <c r="E2560" s="100"/>
      <c r="F2560" s="102"/>
      <c r="G2560" s="114"/>
    </row>
    <row r="2561" spans="2:7" ht="15.75" customHeight="1" x14ac:dyDescent="0.25">
      <c r="B2561" s="100"/>
      <c r="C2561" s="100"/>
      <c r="D2561" s="100"/>
      <c r="E2561" s="100"/>
      <c r="F2561" s="102"/>
      <c r="G2561" s="114"/>
    </row>
    <row r="2562" spans="2:7" ht="15.75" customHeight="1" x14ac:dyDescent="0.25">
      <c r="B2562" s="100"/>
      <c r="C2562" s="100"/>
      <c r="D2562" s="100"/>
      <c r="E2562" s="100"/>
      <c r="F2562" s="102"/>
      <c r="G2562" s="114"/>
    </row>
    <row r="2563" spans="2:7" ht="15.75" customHeight="1" x14ac:dyDescent="0.25">
      <c r="B2563" s="100"/>
      <c r="C2563" s="100"/>
      <c r="D2563" s="100"/>
      <c r="E2563" s="100"/>
      <c r="F2563" s="102"/>
      <c r="G2563" s="114"/>
    </row>
    <row r="2564" spans="2:7" ht="15.75" customHeight="1" x14ac:dyDescent="0.25">
      <c r="B2564" s="100"/>
      <c r="C2564" s="100"/>
      <c r="D2564" s="100"/>
      <c r="E2564" s="100"/>
      <c r="F2564" s="102"/>
      <c r="G2564" s="114"/>
    </row>
    <row r="2565" spans="2:7" ht="15.75" customHeight="1" x14ac:dyDescent="0.25">
      <c r="B2565" s="100"/>
      <c r="C2565" s="100"/>
      <c r="D2565" s="100"/>
      <c r="E2565" s="100"/>
      <c r="F2565" s="102"/>
      <c r="G2565" s="114"/>
    </row>
    <row r="2566" spans="2:7" ht="15.75" customHeight="1" x14ac:dyDescent="0.25">
      <c r="B2566" s="100"/>
      <c r="C2566" s="100"/>
      <c r="D2566" s="100"/>
      <c r="E2566" s="100"/>
      <c r="F2566" s="102"/>
      <c r="G2566" s="114"/>
    </row>
    <row r="2567" spans="2:7" ht="15.75" customHeight="1" x14ac:dyDescent="0.25">
      <c r="B2567" s="100"/>
      <c r="C2567" s="100"/>
      <c r="D2567" s="100"/>
      <c r="E2567" s="100"/>
      <c r="F2567" s="102"/>
      <c r="G2567" s="114"/>
    </row>
    <row r="2568" spans="2:7" ht="15.75" customHeight="1" x14ac:dyDescent="0.25">
      <c r="B2568" s="100"/>
      <c r="C2568" s="100"/>
      <c r="D2568" s="100"/>
      <c r="E2568" s="100"/>
      <c r="F2568" s="102"/>
      <c r="G2568" s="114"/>
    </row>
    <row r="2569" spans="2:7" ht="15.75" customHeight="1" x14ac:dyDescent="0.25">
      <c r="B2569" s="100"/>
      <c r="C2569" s="100"/>
      <c r="D2569" s="100"/>
      <c r="E2569" s="100"/>
      <c r="F2569" s="102"/>
      <c r="G2569" s="114"/>
    </row>
    <row r="2570" spans="2:7" ht="15.75" customHeight="1" x14ac:dyDescent="0.25">
      <c r="B2570" s="100"/>
      <c r="C2570" s="100"/>
      <c r="D2570" s="100"/>
      <c r="E2570" s="100"/>
      <c r="F2570" s="102"/>
      <c r="G2570" s="114"/>
    </row>
    <row r="2571" spans="2:7" ht="15.75" customHeight="1" x14ac:dyDescent="0.25">
      <c r="B2571" s="100"/>
      <c r="C2571" s="100"/>
      <c r="D2571" s="100"/>
      <c r="E2571" s="100"/>
      <c r="F2571" s="102"/>
      <c r="G2571" s="114"/>
    </row>
    <row r="2572" spans="2:7" ht="15.75" customHeight="1" x14ac:dyDescent="0.25">
      <c r="B2572" s="100"/>
      <c r="C2572" s="100"/>
      <c r="D2572" s="100"/>
      <c r="E2572" s="100"/>
      <c r="F2572" s="102"/>
      <c r="G2572" s="114"/>
    </row>
    <row r="2573" spans="2:7" ht="15.75" customHeight="1" x14ac:dyDescent="0.25">
      <c r="B2573" s="100"/>
      <c r="C2573" s="100"/>
      <c r="D2573" s="100"/>
      <c r="E2573" s="100"/>
      <c r="F2573" s="102"/>
      <c r="G2573" s="114"/>
    </row>
    <row r="2574" spans="2:7" ht="15.75" customHeight="1" x14ac:dyDescent="0.25">
      <c r="B2574" s="100"/>
      <c r="C2574" s="100"/>
      <c r="D2574" s="100"/>
      <c r="E2574" s="100"/>
      <c r="F2574" s="102"/>
      <c r="G2574" s="114"/>
    </row>
    <row r="2575" spans="2:7" ht="15.75" customHeight="1" x14ac:dyDescent="0.25">
      <c r="B2575" s="100"/>
      <c r="C2575" s="100"/>
      <c r="D2575" s="100"/>
      <c r="E2575" s="100"/>
      <c r="F2575" s="102"/>
      <c r="G2575" s="114"/>
    </row>
    <row r="2576" spans="2:7" ht="15.75" customHeight="1" x14ac:dyDescent="0.25">
      <c r="B2576" s="100"/>
      <c r="C2576" s="100"/>
      <c r="D2576" s="100"/>
      <c r="E2576" s="100"/>
      <c r="F2576" s="102"/>
      <c r="G2576" s="114"/>
    </row>
    <row r="2577" spans="2:7" ht="15.75" customHeight="1" x14ac:dyDescent="0.25">
      <c r="B2577" s="100"/>
      <c r="C2577" s="100"/>
      <c r="D2577" s="100"/>
      <c r="E2577" s="100"/>
      <c r="F2577" s="102"/>
      <c r="G2577" s="114"/>
    </row>
    <row r="2578" spans="2:7" ht="15.75" customHeight="1" x14ac:dyDescent="0.25">
      <c r="B2578" s="100"/>
      <c r="C2578" s="100"/>
      <c r="D2578" s="100"/>
      <c r="E2578" s="100"/>
      <c r="F2578" s="102"/>
      <c r="G2578" s="114"/>
    </row>
    <row r="2579" spans="2:7" ht="15.75" customHeight="1" x14ac:dyDescent="0.25">
      <c r="B2579" s="100"/>
      <c r="C2579" s="100"/>
      <c r="D2579" s="100"/>
      <c r="E2579" s="100"/>
      <c r="F2579" s="102"/>
      <c r="G2579" s="114"/>
    </row>
    <row r="2580" spans="2:7" ht="15.75" customHeight="1" x14ac:dyDescent="0.25">
      <c r="B2580" s="100"/>
      <c r="C2580" s="100"/>
      <c r="D2580" s="100"/>
      <c r="E2580" s="100"/>
      <c r="F2580" s="102"/>
      <c r="G2580" s="114"/>
    </row>
    <row r="2581" spans="2:7" ht="15.75" customHeight="1" x14ac:dyDescent="0.25">
      <c r="B2581" s="100"/>
      <c r="C2581" s="100"/>
      <c r="D2581" s="100"/>
      <c r="E2581" s="100"/>
      <c r="F2581" s="102"/>
      <c r="G2581" s="114"/>
    </row>
    <row r="2582" spans="2:7" ht="15.75" customHeight="1" x14ac:dyDescent="0.25">
      <c r="B2582" s="100"/>
      <c r="C2582" s="100"/>
      <c r="D2582" s="100"/>
      <c r="E2582" s="100"/>
      <c r="F2582" s="102"/>
      <c r="G2582" s="114"/>
    </row>
    <row r="2583" spans="2:7" ht="15.75" customHeight="1" x14ac:dyDescent="0.25">
      <c r="B2583" s="100"/>
      <c r="C2583" s="100"/>
      <c r="D2583" s="100"/>
      <c r="E2583" s="100"/>
      <c r="F2583" s="102"/>
      <c r="G2583" s="114"/>
    </row>
    <row r="2584" spans="2:7" ht="15.75" customHeight="1" x14ac:dyDescent="0.25">
      <c r="B2584" s="100"/>
      <c r="C2584" s="100"/>
      <c r="D2584" s="100"/>
      <c r="E2584" s="100"/>
      <c r="F2584" s="102"/>
      <c r="G2584" s="114"/>
    </row>
    <row r="2585" spans="2:7" ht="15.75" customHeight="1" x14ac:dyDescent="0.25">
      <c r="B2585" s="100"/>
      <c r="C2585" s="100"/>
      <c r="D2585" s="100"/>
      <c r="E2585" s="100"/>
      <c r="F2585" s="102"/>
      <c r="G2585" s="114"/>
    </row>
    <row r="2586" spans="2:7" ht="15.75" customHeight="1" x14ac:dyDescent="0.25">
      <c r="B2586" s="100"/>
      <c r="C2586" s="100"/>
      <c r="D2586" s="100"/>
      <c r="E2586" s="100"/>
      <c r="F2586" s="102"/>
      <c r="G2586" s="114"/>
    </row>
    <row r="2587" spans="2:7" ht="15.75" customHeight="1" x14ac:dyDescent="0.25">
      <c r="B2587" s="100"/>
      <c r="C2587" s="100"/>
      <c r="D2587" s="100"/>
      <c r="E2587" s="100"/>
      <c r="F2587" s="102"/>
      <c r="G2587" s="114"/>
    </row>
    <row r="2588" spans="2:7" ht="15.75" customHeight="1" x14ac:dyDescent="0.25">
      <c r="B2588" s="100"/>
      <c r="C2588" s="100"/>
      <c r="D2588" s="100"/>
      <c r="E2588" s="100"/>
      <c r="F2588" s="102"/>
      <c r="G2588" s="114"/>
    </row>
    <row r="2589" spans="2:7" ht="15.75" customHeight="1" x14ac:dyDescent="0.25">
      <c r="B2589" s="100"/>
      <c r="C2589" s="100"/>
      <c r="D2589" s="100"/>
      <c r="E2589" s="100"/>
      <c r="F2589" s="102"/>
      <c r="G2589" s="114"/>
    </row>
    <row r="2590" spans="2:7" ht="15.75" customHeight="1" x14ac:dyDescent="0.25">
      <c r="B2590" s="100"/>
      <c r="C2590" s="100"/>
      <c r="D2590" s="100"/>
      <c r="E2590" s="100"/>
      <c r="F2590" s="102"/>
      <c r="G2590" s="114"/>
    </row>
    <row r="2591" spans="2:7" ht="15.75" customHeight="1" x14ac:dyDescent="0.25">
      <c r="B2591" s="100"/>
      <c r="C2591" s="100"/>
      <c r="D2591" s="100"/>
      <c r="E2591" s="100"/>
      <c r="F2591" s="102"/>
      <c r="G2591" s="114"/>
    </row>
    <row r="2592" spans="2:7" ht="15.75" customHeight="1" x14ac:dyDescent="0.25">
      <c r="B2592" s="100"/>
      <c r="C2592" s="100"/>
      <c r="D2592" s="100"/>
      <c r="E2592" s="100"/>
      <c r="F2592" s="102"/>
      <c r="G2592" s="114"/>
    </row>
    <row r="2593" spans="2:7" ht="15.75" customHeight="1" x14ac:dyDescent="0.25">
      <c r="B2593" s="100"/>
      <c r="C2593" s="100"/>
      <c r="D2593" s="100"/>
      <c r="E2593" s="100"/>
      <c r="F2593" s="102"/>
      <c r="G2593" s="114"/>
    </row>
    <row r="2594" spans="2:7" ht="15.75" customHeight="1" x14ac:dyDescent="0.25">
      <c r="B2594" s="100"/>
      <c r="C2594" s="100"/>
      <c r="D2594" s="100"/>
      <c r="E2594" s="100"/>
      <c r="F2594" s="102"/>
      <c r="G2594" s="114"/>
    </row>
    <row r="2595" spans="2:7" ht="15.75" customHeight="1" x14ac:dyDescent="0.25">
      <c r="B2595" s="100"/>
      <c r="C2595" s="100"/>
      <c r="D2595" s="100"/>
      <c r="E2595" s="100"/>
      <c r="F2595" s="102"/>
      <c r="G2595" s="114"/>
    </row>
    <row r="2596" spans="2:7" ht="15.75" customHeight="1" x14ac:dyDescent="0.25">
      <c r="B2596" s="100"/>
      <c r="C2596" s="100"/>
      <c r="D2596" s="100"/>
      <c r="E2596" s="100"/>
      <c r="F2596" s="102"/>
      <c r="G2596" s="114"/>
    </row>
    <row r="2597" spans="2:7" ht="15.75" customHeight="1" x14ac:dyDescent="0.25">
      <c r="B2597" s="100"/>
      <c r="C2597" s="100"/>
      <c r="D2597" s="100"/>
      <c r="E2597" s="100"/>
      <c r="F2597" s="102"/>
      <c r="G2597" s="114"/>
    </row>
    <row r="2598" spans="2:7" ht="15.75" customHeight="1" x14ac:dyDescent="0.25">
      <c r="B2598" s="100"/>
      <c r="C2598" s="100"/>
      <c r="D2598" s="100"/>
      <c r="E2598" s="100"/>
      <c r="F2598" s="102"/>
      <c r="G2598" s="114"/>
    </row>
    <row r="2599" spans="2:7" ht="15.75" customHeight="1" x14ac:dyDescent="0.25">
      <c r="B2599" s="100"/>
      <c r="C2599" s="100"/>
      <c r="D2599" s="100"/>
      <c r="E2599" s="100"/>
      <c r="F2599" s="102"/>
      <c r="G2599" s="114"/>
    </row>
    <row r="2600" spans="2:7" ht="15.75" customHeight="1" x14ac:dyDescent="0.25">
      <c r="B2600" s="100"/>
      <c r="C2600" s="100"/>
      <c r="D2600" s="100"/>
      <c r="E2600" s="100"/>
      <c r="F2600" s="102"/>
      <c r="G2600" s="114"/>
    </row>
    <row r="2601" spans="2:7" ht="15.75" customHeight="1" x14ac:dyDescent="0.25">
      <c r="B2601" s="100"/>
      <c r="C2601" s="100"/>
      <c r="D2601" s="100"/>
      <c r="E2601" s="100"/>
      <c r="F2601" s="102"/>
      <c r="G2601" s="114"/>
    </row>
    <row r="2602" spans="2:7" ht="15.75" customHeight="1" x14ac:dyDescent="0.25">
      <c r="B2602" s="100"/>
      <c r="C2602" s="100"/>
      <c r="D2602" s="100"/>
      <c r="E2602" s="100"/>
      <c r="F2602" s="102"/>
      <c r="G2602" s="114"/>
    </row>
    <row r="2603" spans="2:7" ht="15.75" customHeight="1" x14ac:dyDescent="0.25">
      <c r="B2603" s="100"/>
      <c r="C2603" s="100"/>
      <c r="D2603" s="100"/>
      <c r="E2603" s="100"/>
      <c r="F2603" s="102"/>
      <c r="G2603" s="114"/>
    </row>
    <row r="2604" spans="2:7" ht="15.75" customHeight="1" x14ac:dyDescent="0.25">
      <c r="B2604" s="100"/>
      <c r="C2604" s="100"/>
      <c r="D2604" s="100"/>
      <c r="E2604" s="100"/>
      <c r="F2604" s="102"/>
      <c r="G2604" s="114"/>
    </row>
    <row r="2605" spans="2:7" ht="15.75" customHeight="1" x14ac:dyDescent="0.25">
      <c r="B2605" s="100"/>
      <c r="C2605" s="100"/>
      <c r="D2605" s="100"/>
      <c r="E2605" s="100"/>
      <c r="F2605" s="102"/>
      <c r="G2605" s="114"/>
    </row>
    <row r="2606" spans="2:7" ht="15.75" customHeight="1" x14ac:dyDescent="0.25">
      <c r="B2606" s="100"/>
      <c r="C2606" s="100"/>
      <c r="D2606" s="100"/>
      <c r="E2606" s="100"/>
      <c r="F2606" s="102"/>
      <c r="G2606" s="114"/>
    </row>
    <row r="2607" spans="2:7" ht="15.75" customHeight="1" x14ac:dyDescent="0.25">
      <c r="B2607" s="100"/>
      <c r="C2607" s="100"/>
      <c r="D2607" s="100"/>
      <c r="E2607" s="100"/>
      <c r="F2607" s="102"/>
      <c r="G2607" s="114"/>
    </row>
    <row r="2608" spans="2:7" ht="15.75" customHeight="1" x14ac:dyDescent="0.25">
      <c r="B2608" s="100"/>
      <c r="C2608" s="100"/>
      <c r="D2608" s="100"/>
      <c r="E2608" s="100"/>
      <c r="F2608" s="102"/>
      <c r="G2608" s="114"/>
    </row>
    <row r="2609" spans="2:7" ht="15.75" customHeight="1" x14ac:dyDescent="0.25">
      <c r="B2609" s="100"/>
      <c r="C2609" s="100"/>
      <c r="D2609" s="100"/>
      <c r="E2609" s="100"/>
      <c r="F2609" s="102"/>
      <c r="G2609" s="114"/>
    </row>
    <row r="2610" spans="2:7" ht="15.75" customHeight="1" x14ac:dyDescent="0.25">
      <c r="B2610" s="100"/>
      <c r="C2610" s="100"/>
      <c r="D2610" s="100"/>
      <c r="E2610" s="100"/>
      <c r="F2610" s="102"/>
      <c r="G2610" s="114"/>
    </row>
    <row r="2611" spans="2:7" ht="15.75" customHeight="1" x14ac:dyDescent="0.25">
      <c r="B2611" s="100"/>
      <c r="C2611" s="100"/>
      <c r="D2611" s="100"/>
      <c r="E2611" s="100"/>
      <c r="F2611" s="102"/>
      <c r="G2611" s="114"/>
    </row>
    <row r="2612" spans="2:7" ht="15.75" customHeight="1" x14ac:dyDescent="0.25">
      <c r="B2612" s="100"/>
      <c r="C2612" s="100"/>
      <c r="D2612" s="100"/>
      <c r="E2612" s="100"/>
      <c r="F2612" s="102"/>
      <c r="G2612" s="114"/>
    </row>
    <row r="2613" spans="2:7" ht="15.75" customHeight="1" x14ac:dyDescent="0.25">
      <c r="B2613" s="100"/>
      <c r="C2613" s="100"/>
      <c r="D2613" s="100"/>
      <c r="E2613" s="100"/>
      <c r="F2613" s="102"/>
      <c r="G2613" s="114"/>
    </row>
    <row r="2614" spans="2:7" ht="15.75" customHeight="1" x14ac:dyDescent="0.25">
      <c r="B2614" s="100"/>
      <c r="C2614" s="100"/>
      <c r="D2614" s="100"/>
      <c r="E2614" s="100"/>
      <c r="F2614" s="102"/>
      <c r="G2614" s="114"/>
    </row>
    <row r="2615" spans="2:7" ht="15.75" customHeight="1" x14ac:dyDescent="0.25">
      <c r="B2615" s="100"/>
      <c r="C2615" s="100"/>
      <c r="D2615" s="100"/>
      <c r="E2615" s="100"/>
      <c r="F2615" s="102"/>
      <c r="G2615" s="114"/>
    </row>
    <row r="2616" spans="2:7" ht="15.75" customHeight="1" x14ac:dyDescent="0.25">
      <c r="B2616" s="100"/>
      <c r="C2616" s="100"/>
      <c r="D2616" s="100"/>
      <c r="E2616" s="100"/>
      <c r="F2616" s="102"/>
      <c r="G2616" s="114"/>
    </row>
    <row r="2617" spans="2:7" ht="15.75" customHeight="1" x14ac:dyDescent="0.25">
      <c r="B2617" s="100"/>
      <c r="C2617" s="100"/>
      <c r="D2617" s="100"/>
      <c r="E2617" s="100"/>
      <c r="F2617" s="102"/>
      <c r="G2617" s="114"/>
    </row>
    <row r="2618" spans="2:7" ht="15.75" customHeight="1" x14ac:dyDescent="0.25">
      <c r="B2618" s="100"/>
      <c r="C2618" s="100"/>
      <c r="D2618" s="100"/>
      <c r="E2618" s="100"/>
      <c r="F2618" s="102"/>
      <c r="G2618" s="114"/>
    </row>
    <row r="2619" spans="2:7" ht="15.75" customHeight="1" x14ac:dyDescent="0.25">
      <c r="B2619" s="100"/>
      <c r="C2619" s="100"/>
      <c r="D2619" s="100"/>
      <c r="E2619" s="100"/>
      <c r="F2619" s="102"/>
      <c r="G2619" s="114"/>
    </row>
    <row r="2620" spans="2:7" ht="15.75" customHeight="1" x14ac:dyDescent="0.25">
      <c r="B2620" s="100"/>
      <c r="C2620" s="100"/>
      <c r="D2620" s="100"/>
      <c r="E2620" s="100"/>
      <c r="F2620" s="102"/>
      <c r="G2620" s="114"/>
    </row>
    <row r="2621" spans="2:7" ht="15.75" customHeight="1" x14ac:dyDescent="0.25">
      <c r="B2621" s="100"/>
      <c r="C2621" s="100"/>
      <c r="D2621" s="100"/>
      <c r="E2621" s="100"/>
      <c r="F2621" s="102"/>
      <c r="G2621" s="114"/>
    </row>
    <row r="2622" spans="2:7" ht="15.75" customHeight="1" x14ac:dyDescent="0.25">
      <c r="B2622" s="100"/>
      <c r="C2622" s="100"/>
      <c r="D2622" s="100"/>
      <c r="E2622" s="100"/>
      <c r="F2622" s="102"/>
      <c r="G2622" s="114"/>
    </row>
    <row r="2623" spans="2:7" ht="15.75" customHeight="1" x14ac:dyDescent="0.25">
      <c r="B2623" s="100"/>
      <c r="C2623" s="100"/>
      <c r="D2623" s="100"/>
      <c r="E2623" s="100"/>
      <c r="F2623" s="102"/>
      <c r="G2623" s="114"/>
    </row>
    <row r="2624" spans="2:7" ht="15.75" customHeight="1" x14ac:dyDescent="0.25">
      <c r="B2624" s="100"/>
      <c r="C2624" s="100"/>
      <c r="D2624" s="100"/>
      <c r="E2624" s="100"/>
      <c r="F2624" s="102"/>
      <c r="G2624" s="114"/>
    </row>
    <row r="2625" spans="2:7" ht="15.75" customHeight="1" x14ac:dyDescent="0.25">
      <c r="B2625" s="100"/>
      <c r="C2625" s="100"/>
      <c r="D2625" s="100"/>
      <c r="E2625" s="100"/>
      <c r="F2625" s="102"/>
      <c r="G2625" s="114"/>
    </row>
    <row r="2626" spans="2:7" ht="15.75" customHeight="1" x14ac:dyDescent="0.25">
      <c r="B2626" s="100"/>
      <c r="C2626" s="100"/>
      <c r="D2626" s="100"/>
      <c r="E2626" s="100"/>
      <c r="F2626" s="102"/>
      <c r="G2626" s="114"/>
    </row>
    <row r="2627" spans="2:7" ht="15.75" customHeight="1" x14ac:dyDescent="0.25">
      <c r="B2627" s="100"/>
      <c r="C2627" s="100"/>
      <c r="D2627" s="100"/>
      <c r="E2627" s="100"/>
      <c r="F2627" s="102"/>
      <c r="G2627" s="114"/>
    </row>
    <row r="2628" spans="2:7" ht="15.75" customHeight="1" x14ac:dyDescent="0.25">
      <c r="B2628" s="100"/>
      <c r="C2628" s="100"/>
      <c r="D2628" s="100"/>
      <c r="E2628" s="100"/>
      <c r="F2628" s="102"/>
      <c r="G2628" s="114"/>
    </row>
    <row r="2629" spans="2:7" ht="15.75" customHeight="1" x14ac:dyDescent="0.25">
      <c r="B2629" s="100"/>
      <c r="C2629" s="100"/>
      <c r="D2629" s="100"/>
      <c r="E2629" s="100"/>
      <c r="F2629" s="102"/>
      <c r="G2629" s="114"/>
    </row>
    <row r="2630" spans="2:7" ht="15.75" customHeight="1" x14ac:dyDescent="0.25">
      <c r="B2630" s="100"/>
      <c r="C2630" s="100"/>
      <c r="D2630" s="100"/>
      <c r="E2630" s="100"/>
      <c r="F2630" s="102"/>
      <c r="G2630" s="114"/>
    </row>
    <row r="2631" spans="2:7" ht="15.75" customHeight="1" x14ac:dyDescent="0.25">
      <c r="B2631" s="100"/>
      <c r="C2631" s="100"/>
      <c r="D2631" s="100"/>
      <c r="E2631" s="100"/>
      <c r="F2631" s="102"/>
      <c r="G2631" s="114"/>
    </row>
    <row r="2632" spans="2:7" ht="15.75" customHeight="1" x14ac:dyDescent="0.25">
      <c r="B2632" s="100"/>
      <c r="C2632" s="100"/>
      <c r="D2632" s="100"/>
      <c r="E2632" s="100"/>
      <c r="F2632" s="102"/>
      <c r="G2632" s="114"/>
    </row>
    <row r="2633" spans="2:7" ht="15.75" customHeight="1" x14ac:dyDescent="0.25">
      <c r="B2633" s="100"/>
      <c r="C2633" s="100"/>
      <c r="D2633" s="100"/>
      <c r="E2633" s="100"/>
      <c r="F2633" s="102"/>
      <c r="G2633" s="114"/>
    </row>
    <row r="2634" spans="2:7" ht="15.75" customHeight="1" x14ac:dyDescent="0.25">
      <c r="B2634" s="100"/>
      <c r="C2634" s="100"/>
      <c r="D2634" s="100"/>
      <c r="E2634" s="100"/>
      <c r="F2634" s="102"/>
      <c r="G2634" s="114"/>
    </row>
    <row r="2635" spans="2:7" ht="15.75" customHeight="1" x14ac:dyDescent="0.25">
      <c r="B2635" s="100"/>
      <c r="C2635" s="100"/>
      <c r="D2635" s="100"/>
      <c r="E2635" s="100"/>
      <c r="F2635" s="102"/>
      <c r="G2635" s="114"/>
    </row>
    <row r="2636" spans="2:7" ht="15.75" customHeight="1" x14ac:dyDescent="0.25">
      <c r="B2636" s="100"/>
      <c r="C2636" s="100"/>
      <c r="D2636" s="100"/>
      <c r="E2636" s="100"/>
      <c r="F2636" s="102"/>
      <c r="G2636" s="114"/>
    </row>
    <row r="2637" spans="2:7" ht="15.75" customHeight="1" x14ac:dyDescent="0.25">
      <c r="B2637" s="100"/>
      <c r="C2637" s="100"/>
      <c r="D2637" s="100"/>
      <c r="E2637" s="100"/>
      <c r="F2637" s="102"/>
      <c r="G2637" s="114"/>
    </row>
    <row r="2638" spans="2:7" ht="15.75" customHeight="1" x14ac:dyDescent="0.25">
      <c r="B2638" s="100"/>
      <c r="C2638" s="100"/>
      <c r="D2638" s="100"/>
      <c r="E2638" s="100"/>
      <c r="F2638" s="102"/>
      <c r="G2638" s="114"/>
    </row>
    <row r="2639" spans="2:7" ht="15.75" customHeight="1" x14ac:dyDescent="0.25">
      <c r="B2639" s="100"/>
      <c r="C2639" s="100"/>
      <c r="D2639" s="100"/>
      <c r="E2639" s="100"/>
      <c r="F2639" s="102"/>
      <c r="G2639" s="114"/>
    </row>
    <row r="2640" spans="2:7" ht="15.75" customHeight="1" x14ac:dyDescent="0.25">
      <c r="B2640" s="100"/>
      <c r="C2640" s="100"/>
      <c r="D2640" s="100"/>
      <c r="E2640" s="100"/>
      <c r="F2640" s="102"/>
      <c r="G2640" s="114"/>
    </row>
    <row r="2641" spans="2:7" ht="15.75" customHeight="1" x14ac:dyDescent="0.25">
      <c r="B2641" s="100"/>
      <c r="C2641" s="100"/>
      <c r="D2641" s="100"/>
      <c r="E2641" s="100"/>
      <c r="F2641" s="102"/>
      <c r="G2641" s="114"/>
    </row>
    <row r="2642" spans="2:7" ht="15.75" customHeight="1" x14ac:dyDescent="0.25">
      <c r="B2642" s="100"/>
      <c r="C2642" s="100"/>
      <c r="D2642" s="100"/>
      <c r="E2642" s="100"/>
      <c r="F2642" s="102"/>
      <c r="G2642" s="114"/>
    </row>
    <row r="2643" spans="2:7" ht="15.75" customHeight="1" x14ac:dyDescent="0.25">
      <c r="B2643" s="100"/>
      <c r="C2643" s="100"/>
      <c r="D2643" s="100"/>
      <c r="E2643" s="100"/>
      <c r="F2643" s="102"/>
      <c r="G2643" s="114"/>
    </row>
    <row r="2644" spans="2:7" ht="15.75" customHeight="1" x14ac:dyDescent="0.25">
      <c r="B2644" s="100"/>
      <c r="C2644" s="100"/>
      <c r="D2644" s="100"/>
      <c r="E2644" s="100"/>
      <c r="F2644" s="102"/>
      <c r="G2644" s="114"/>
    </row>
    <row r="2645" spans="2:7" ht="15.75" customHeight="1" x14ac:dyDescent="0.25">
      <c r="B2645" s="100"/>
      <c r="C2645" s="100"/>
      <c r="D2645" s="100"/>
      <c r="E2645" s="100"/>
      <c r="F2645" s="102"/>
      <c r="G2645" s="114"/>
    </row>
    <row r="2646" spans="2:7" ht="15.75" customHeight="1" x14ac:dyDescent="0.25">
      <c r="B2646" s="100"/>
      <c r="C2646" s="100"/>
      <c r="D2646" s="100"/>
      <c r="E2646" s="100"/>
      <c r="F2646" s="102"/>
      <c r="G2646" s="114"/>
    </row>
    <row r="2647" spans="2:7" ht="15.75" customHeight="1" x14ac:dyDescent="0.25">
      <c r="B2647" s="100"/>
      <c r="C2647" s="100"/>
      <c r="D2647" s="100"/>
      <c r="E2647" s="100"/>
      <c r="F2647" s="102"/>
      <c r="G2647" s="114"/>
    </row>
    <row r="2648" spans="2:7" ht="15.75" customHeight="1" x14ac:dyDescent="0.25">
      <c r="B2648" s="100"/>
      <c r="C2648" s="100"/>
      <c r="D2648" s="100"/>
      <c r="E2648" s="100"/>
      <c r="F2648" s="102"/>
      <c r="G2648" s="114"/>
    </row>
    <row r="2649" spans="2:7" ht="15.75" customHeight="1" x14ac:dyDescent="0.25">
      <c r="B2649" s="100"/>
      <c r="C2649" s="100"/>
      <c r="D2649" s="100"/>
      <c r="E2649" s="100"/>
      <c r="F2649" s="102"/>
      <c r="G2649" s="114"/>
    </row>
    <row r="2650" spans="2:7" ht="15.75" customHeight="1" x14ac:dyDescent="0.25">
      <c r="B2650" s="100"/>
      <c r="C2650" s="100"/>
      <c r="D2650" s="100"/>
      <c r="E2650" s="100"/>
      <c r="F2650" s="102"/>
      <c r="G2650" s="114"/>
    </row>
    <row r="2651" spans="2:7" ht="15.75" customHeight="1" x14ac:dyDescent="0.25">
      <c r="B2651" s="100"/>
      <c r="C2651" s="100"/>
      <c r="D2651" s="100"/>
      <c r="E2651" s="100"/>
      <c r="F2651" s="102"/>
      <c r="G2651" s="114"/>
    </row>
    <row r="2652" spans="2:7" ht="15.75" customHeight="1" x14ac:dyDescent="0.25">
      <c r="B2652" s="100"/>
      <c r="C2652" s="100"/>
      <c r="D2652" s="100"/>
      <c r="E2652" s="100"/>
      <c r="F2652" s="102"/>
      <c r="G2652" s="114"/>
    </row>
    <row r="2653" spans="2:7" ht="15.75" customHeight="1" x14ac:dyDescent="0.25">
      <c r="B2653" s="100"/>
      <c r="C2653" s="100"/>
      <c r="D2653" s="100"/>
      <c r="E2653" s="100"/>
      <c r="F2653" s="102"/>
      <c r="G2653" s="114"/>
    </row>
    <row r="2654" spans="2:7" ht="15.75" customHeight="1" x14ac:dyDescent="0.25">
      <c r="B2654" s="100"/>
      <c r="C2654" s="100"/>
      <c r="D2654" s="100"/>
      <c r="E2654" s="100"/>
      <c r="F2654" s="102"/>
      <c r="G2654" s="114"/>
    </row>
    <row r="2655" spans="2:7" ht="15.75" customHeight="1" x14ac:dyDescent="0.25">
      <c r="B2655" s="100"/>
      <c r="C2655" s="100"/>
      <c r="D2655" s="100"/>
      <c r="E2655" s="100"/>
      <c r="F2655" s="102"/>
      <c r="G2655" s="114"/>
    </row>
    <row r="2656" spans="2:7" ht="15.75" customHeight="1" x14ac:dyDescent="0.25">
      <c r="B2656" s="100"/>
      <c r="C2656" s="100"/>
      <c r="D2656" s="100"/>
      <c r="E2656" s="100"/>
      <c r="F2656" s="102"/>
      <c r="G2656" s="114"/>
    </row>
    <row r="2657" spans="2:7" ht="15.75" customHeight="1" x14ac:dyDescent="0.25">
      <c r="B2657" s="100"/>
      <c r="C2657" s="100"/>
      <c r="D2657" s="100"/>
      <c r="E2657" s="100"/>
      <c r="F2657" s="102"/>
      <c r="G2657" s="114"/>
    </row>
    <row r="2658" spans="2:7" ht="15.75" customHeight="1" x14ac:dyDescent="0.25">
      <c r="B2658" s="100"/>
      <c r="C2658" s="100"/>
      <c r="D2658" s="100"/>
      <c r="E2658" s="100"/>
      <c r="F2658" s="102"/>
      <c r="G2658" s="114"/>
    </row>
    <row r="2659" spans="2:7" ht="15.75" customHeight="1" x14ac:dyDescent="0.25">
      <c r="B2659" s="100"/>
      <c r="C2659" s="100"/>
      <c r="D2659" s="100"/>
      <c r="E2659" s="100"/>
      <c r="F2659" s="102"/>
      <c r="G2659" s="114"/>
    </row>
    <row r="2660" spans="2:7" ht="15.75" customHeight="1" x14ac:dyDescent="0.25">
      <c r="B2660" s="100"/>
      <c r="C2660" s="100"/>
      <c r="D2660" s="100"/>
      <c r="E2660" s="100"/>
      <c r="F2660" s="102"/>
      <c r="G2660" s="114"/>
    </row>
    <row r="2661" spans="2:7" ht="15.75" customHeight="1" x14ac:dyDescent="0.25">
      <c r="B2661" s="100"/>
      <c r="C2661" s="100"/>
      <c r="D2661" s="100"/>
      <c r="E2661" s="100"/>
      <c r="F2661" s="102"/>
      <c r="G2661" s="114"/>
    </row>
    <row r="2662" spans="2:7" ht="15.75" customHeight="1" x14ac:dyDescent="0.25">
      <c r="B2662" s="100"/>
      <c r="C2662" s="100"/>
      <c r="D2662" s="100"/>
      <c r="E2662" s="100"/>
      <c r="F2662" s="102"/>
      <c r="G2662" s="114"/>
    </row>
    <row r="2663" spans="2:7" ht="15.75" customHeight="1" x14ac:dyDescent="0.25">
      <c r="B2663" s="100"/>
      <c r="C2663" s="100"/>
      <c r="D2663" s="100"/>
      <c r="E2663" s="100"/>
      <c r="F2663" s="102"/>
      <c r="G2663" s="114"/>
    </row>
    <row r="2664" spans="2:7" ht="15.75" customHeight="1" x14ac:dyDescent="0.25">
      <c r="B2664" s="100"/>
      <c r="C2664" s="100"/>
      <c r="D2664" s="100"/>
      <c r="E2664" s="100"/>
      <c r="F2664" s="102"/>
      <c r="G2664" s="114"/>
    </row>
    <row r="2665" spans="2:7" ht="15.75" customHeight="1" x14ac:dyDescent="0.25">
      <c r="B2665" s="100"/>
      <c r="C2665" s="100"/>
      <c r="D2665" s="100"/>
      <c r="E2665" s="100"/>
      <c r="F2665" s="102"/>
      <c r="G2665" s="114"/>
    </row>
    <row r="2666" spans="2:7" ht="15.75" customHeight="1" x14ac:dyDescent="0.25">
      <c r="B2666" s="100"/>
      <c r="C2666" s="100"/>
      <c r="D2666" s="100"/>
      <c r="E2666" s="100"/>
      <c r="F2666" s="102"/>
      <c r="G2666" s="114"/>
    </row>
    <row r="2667" spans="2:7" ht="15.75" customHeight="1" x14ac:dyDescent="0.25">
      <c r="B2667" s="100"/>
      <c r="C2667" s="100"/>
      <c r="D2667" s="100"/>
      <c r="E2667" s="100"/>
      <c r="F2667" s="102"/>
      <c r="G2667" s="114"/>
    </row>
    <row r="2668" spans="2:7" ht="15.75" customHeight="1" x14ac:dyDescent="0.25">
      <c r="B2668" s="100"/>
      <c r="C2668" s="100"/>
      <c r="D2668" s="100"/>
      <c r="E2668" s="100"/>
      <c r="F2668" s="102"/>
      <c r="G2668" s="114"/>
    </row>
    <row r="2669" spans="2:7" ht="15.75" customHeight="1" x14ac:dyDescent="0.25">
      <c r="B2669" s="100"/>
      <c r="C2669" s="100"/>
      <c r="D2669" s="100"/>
      <c r="E2669" s="100"/>
      <c r="F2669" s="102"/>
      <c r="G2669" s="114"/>
    </row>
    <row r="2670" spans="2:7" ht="15.75" customHeight="1" x14ac:dyDescent="0.25">
      <c r="B2670" s="100"/>
      <c r="C2670" s="100"/>
      <c r="D2670" s="100"/>
      <c r="E2670" s="100"/>
      <c r="F2670" s="102"/>
      <c r="G2670" s="114"/>
    </row>
    <row r="2671" spans="2:7" ht="15.75" customHeight="1" x14ac:dyDescent="0.25">
      <c r="B2671" s="100"/>
      <c r="C2671" s="100"/>
      <c r="D2671" s="100"/>
      <c r="E2671" s="100"/>
      <c r="F2671" s="102"/>
      <c r="G2671" s="114"/>
    </row>
    <row r="2672" spans="2:7" ht="15.75" customHeight="1" x14ac:dyDescent="0.25">
      <c r="B2672" s="100"/>
      <c r="C2672" s="100"/>
      <c r="D2672" s="100"/>
      <c r="E2672" s="100"/>
      <c r="F2672" s="102"/>
      <c r="G2672" s="114"/>
    </row>
    <row r="2673" spans="2:7" ht="15.75" customHeight="1" x14ac:dyDescent="0.25">
      <c r="B2673" s="100"/>
      <c r="C2673" s="100"/>
      <c r="D2673" s="100"/>
      <c r="E2673" s="100"/>
      <c r="F2673" s="102"/>
      <c r="G2673" s="114"/>
    </row>
    <row r="2674" spans="2:7" ht="15.75" customHeight="1" x14ac:dyDescent="0.25">
      <c r="B2674" s="100"/>
      <c r="C2674" s="100"/>
      <c r="D2674" s="100"/>
      <c r="E2674" s="100"/>
      <c r="F2674" s="102"/>
      <c r="G2674" s="114"/>
    </row>
    <row r="2675" spans="2:7" ht="15.75" customHeight="1" x14ac:dyDescent="0.25">
      <c r="B2675" s="100"/>
      <c r="C2675" s="100"/>
      <c r="D2675" s="100"/>
      <c r="E2675" s="100"/>
      <c r="F2675" s="102"/>
      <c r="G2675" s="114"/>
    </row>
    <row r="2676" spans="2:7" ht="15.75" customHeight="1" x14ac:dyDescent="0.25">
      <c r="B2676" s="100"/>
      <c r="C2676" s="100"/>
      <c r="D2676" s="100"/>
      <c r="E2676" s="100"/>
      <c r="F2676" s="102"/>
      <c r="G2676" s="114"/>
    </row>
    <row r="2677" spans="2:7" ht="15.75" customHeight="1" x14ac:dyDescent="0.25">
      <c r="B2677" s="100"/>
      <c r="C2677" s="100"/>
      <c r="D2677" s="100"/>
      <c r="E2677" s="100"/>
      <c r="F2677" s="102"/>
      <c r="G2677" s="114"/>
    </row>
    <row r="2678" spans="2:7" ht="15.75" customHeight="1" x14ac:dyDescent="0.25">
      <c r="B2678" s="100"/>
      <c r="C2678" s="100"/>
      <c r="D2678" s="100"/>
      <c r="E2678" s="100"/>
      <c r="F2678" s="102"/>
      <c r="G2678" s="114"/>
    </row>
    <row r="2679" spans="2:7" ht="15.75" customHeight="1" x14ac:dyDescent="0.25">
      <c r="B2679" s="100"/>
      <c r="C2679" s="100"/>
      <c r="D2679" s="100"/>
      <c r="E2679" s="100"/>
      <c r="F2679" s="102"/>
      <c r="G2679" s="114"/>
    </row>
    <row r="2680" spans="2:7" ht="15.75" customHeight="1" x14ac:dyDescent="0.25">
      <c r="B2680" s="100"/>
      <c r="C2680" s="100"/>
      <c r="D2680" s="100"/>
      <c r="E2680" s="100"/>
      <c r="F2680" s="102"/>
      <c r="G2680" s="114"/>
    </row>
    <row r="2681" spans="2:7" ht="15.75" customHeight="1" x14ac:dyDescent="0.25">
      <c r="B2681" s="100"/>
      <c r="C2681" s="100"/>
      <c r="D2681" s="100"/>
      <c r="E2681" s="100"/>
      <c r="F2681" s="102"/>
      <c r="G2681" s="114"/>
    </row>
    <row r="2682" spans="2:7" ht="15.75" customHeight="1" x14ac:dyDescent="0.25">
      <c r="B2682" s="100"/>
      <c r="C2682" s="100"/>
      <c r="D2682" s="100"/>
      <c r="E2682" s="100"/>
      <c r="F2682" s="102"/>
      <c r="G2682" s="114"/>
    </row>
    <row r="2683" spans="2:7" ht="15.75" customHeight="1" x14ac:dyDescent="0.25">
      <c r="B2683" s="100"/>
      <c r="C2683" s="100"/>
      <c r="D2683" s="100"/>
      <c r="E2683" s="100"/>
      <c r="F2683" s="102"/>
      <c r="G2683" s="114"/>
    </row>
    <row r="2684" spans="2:7" ht="15.75" customHeight="1" x14ac:dyDescent="0.25">
      <c r="B2684" s="100"/>
      <c r="C2684" s="100"/>
      <c r="D2684" s="100"/>
      <c r="E2684" s="100"/>
      <c r="F2684" s="102"/>
      <c r="G2684" s="114"/>
    </row>
    <row r="2685" spans="2:7" ht="15.75" customHeight="1" x14ac:dyDescent="0.25">
      <c r="B2685" s="100"/>
      <c r="C2685" s="100"/>
      <c r="D2685" s="100"/>
      <c r="E2685" s="100"/>
      <c r="F2685" s="102"/>
      <c r="G2685" s="114"/>
    </row>
    <row r="2686" spans="2:7" ht="15.75" customHeight="1" x14ac:dyDescent="0.25">
      <c r="B2686" s="100"/>
      <c r="C2686" s="100"/>
      <c r="D2686" s="100"/>
      <c r="E2686" s="100"/>
      <c r="F2686" s="102"/>
      <c r="G2686" s="114"/>
    </row>
    <row r="2687" spans="2:7" ht="15.75" customHeight="1" x14ac:dyDescent="0.25">
      <c r="B2687" s="100"/>
      <c r="C2687" s="100"/>
      <c r="D2687" s="100"/>
      <c r="E2687" s="100"/>
      <c r="F2687" s="102"/>
      <c r="G2687" s="114"/>
    </row>
    <row r="2688" spans="2:7" ht="15.75" customHeight="1" x14ac:dyDescent="0.25">
      <c r="B2688" s="100"/>
      <c r="C2688" s="100"/>
      <c r="D2688" s="100"/>
      <c r="E2688" s="100"/>
      <c r="F2688" s="102"/>
      <c r="G2688" s="114"/>
    </row>
    <row r="2689" spans="2:7" ht="15.75" customHeight="1" x14ac:dyDescent="0.25">
      <c r="B2689" s="100"/>
      <c r="C2689" s="100"/>
      <c r="D2689" s="100"/>
      <c r="E2689" s="100"/>
      <c r="F2689" s="102"/>
      <c r="G2689" s="114"/>
    </row>
    <row r="2690" spans="2:7" ht="15.75" customHeight="1" x14ac:dyDescent="0.25">
      <c r="B2690" s="100"/>
      <c r="C2690" s="100"/>
      <c r="D2690" s="100"/>
      <c r="E2690" s="100"/>
      <c r="F2690" s="102"/>
      <c r="G2690" s="114"/>
    </row>
    <row r="2691" spans="2:7" ht="15.75" customHeight="1" x14ac:dyDescent="0.25">
      <c r="B2691" s="100"/>
      <c r="C2691" s="100"/>
      <c r="D2691" s="100"/>
      <c r="E2691" s="100"/>
      <c r="F2691" s="102"/>
      <c r="G2691" s="114"/>
    </row>
    <row r="2692" spans="2:7" ht="15.75" customHeight="1" x14ac:dyDescent="0.25">
      <c r="B2692" s="100"/>
      <c r="C2692" s="100"/>
      <c r="D2692" s="100"/>
      <c r="E2692" s="100"/>
      <c r="F2692" s="102"/>
      <c r="G2692" s="114"/>
    </row>
    <row r="2693" spans="2:7" ht="15.75" customHeight="1" x14ac:dyDescent="0.25">
      <c r="B2693" s="100"/>
      <c r="C2693" s="100"/>
      <c r="D2693" s="100"/>
      <c r="E2693" s="100"/>
      <c r="F2693" s="102"/>
      <c r="G2693" s="114"/>
    </row>
    <row r="2694" spans="2:7" ht="15.75" customHeight="1" x14ac:dyDescent="0.25">
      <c r="B2694" s="100"/>
      <c r="C2694" s="100"/>
      <c r="D2694" s="100"/>
      <c r="E2694" s="100"/>
      <c r="F2694" s="102"/>
      <c r="G2694" s="114"/>
    </row>
    <row r="2695" spans="2:7" ht="15.75" customHeight="1" x14ac:dyDescent="0.25">
      <c r="B2695" s="100"/>
      <c r="C2695" s="100"/>
      <c r="D2695" s="100"/>
      <c r="E2695" s="100"/>
      <c r="F2695" s="102"/>
      <c r="G2695" s="114"/>
    </row>
    <row r="2696" spans="2:7" ht="15.75" customHeight="1" x14ac:dyDescent="0.25">
      <c r="B2696" s="100"/>
      <c r="C2696" s="100"/>
      <c r="D2696" s="100"/>
      <c r="E2696" s="100"/>
      <c r="F2696" s="102"/>
      <c r="G2696" s="114"/>
    </row>
    <row r="2697" spans="2:7" ht="15.75" customHeight="1" x14ac:dyDescent="0.25">
      <c r="B2697" s="100"/>
      <c r="C2697" s="100"/>
      <c r="D2697" s="100"/>
      <c r="E2697" s="100"/>
      <c r="F2697" s="102"/>
      <c r="G2697" s="114"/>
    </row>
    <row r="2698" spans="2:7" ht="15.75" customHeight="1" x14ac:dyDescent="0.25">
      <c r="B2698" s="100"/>
      <c r="C2698" s="100"/>
      <c r="D2698" s="100"/>
      <c r="E2698" s="100"/>
      <c r="F2698" s="102"/>
      <c r="G2698" s="114"/>
    </row>
    <row r="2699" spans="2:7" ht="15.75" customHeight="1" x14ac:dyDescent="0.25">
      <c r="B2699" s="100"/>
      <c r="C2699" s="100"/>
      <c r="D2699" s="100"/>
      <c r="E2699" s="100"/>
      <c r="F2699" s="102"/>
      <c r="G2699" s="114"/>
    </row>
    <row r="2700" spans="2:7" ht="15.75" customHeight="1" x14ac:dyDescent="0.25">
      <c r="B2700" s="100"/>
      <c r="C2700" s="100"/>
      <c r="D2700" s="100"/>
      <c r="E2700" s="100"/>
      <c r="F2700" s="102"/>
      <c r="G2700" s="114"/>
    </row>
    <row r="2701" spans="2:7" ht="15.75" customHeight="1" x14ac:dyDescent="0.25">
      <c r="B2701" s="100"/>
      <c r="C2701" s="100"/>
      <c r="D2701" s="100"/>
      <c r="E2701" s="100"/>
      <c r="F2701" s="102"/>
      <c r="G2701" s="114"/>
    </row>
    <row r="2702" spans="2:7" ht="15.75" customHeight="1" x14ac:dyDescent="0.25">
      <c r="B2702" s="100"/>
      <c r="C2702" s="100"/>
      <c r="D2702" s="100"/>
      <c r="E2702" s="100"/>
      <c r="F2702" s="102"/>
      <c r="G2702" s="114"/>
    </row>
    <row r="2703" spans="2:7" ht="15.75" customHeight="1" x14ac:dyDescent="0.25">
      <c r="B2703" s="100"/>
      <c r="C2703" s="100"/>
      <c r="D2703" s="100"/>
      <c r="E2703" s="100"/>
      <c r="F2703" s="102"/>
      <c r="G2703" s="114"/>
    </row>
    <row r="2704" spans="2:7" ht="15.75" customHeight="1" x14ac:dyDescent="0.25">
      <c r="B2704" s="100"/>
      <c r="C2704" s="100"/>
      <c r="D2704" s="100"/>
      <c r="E2704" s="100"/>
      <c r="F2704" s="102"/>
      <c r="G2704" s="114"/>
    </row>
    <row r="2705" spans="2:7" ht="15.75" customHeight="1" x14ac:dyDescent="0.25">
      <c r="B2705" s="100"/>
      <c r="C2705" s="100"/>
      <c r="D2705" s="100"/>
      <c r="E2705" s="100"/>
      <c r="F2705" s="102"/>
      <c r="G2705" s="114"/>
    </row>
    <row r="2706" spans="2:7" ht="15.75" customHeight="1" x14ac:dyDescent="0.25">
      <c r="B2706" s="100"/>
      <c r="C2706" s="100"/>
      <c r="D2706" s="100"/>
      <c r="E2706" s="100"/>
      <c r="F2706" s="102"/>
      <c r="G2706" s="114"/>
    </row>
    <row r="2707" spans="2:7" ht="15.75" customHeight="1" x14ac:dyDescent="0.25">
      <c r="B2707" s="100"/>
      <c r="C2707" s="100"/>
      <c r="D2707" s="100"/>
      <c r="E2707" s="100"/>
      <c r="F2707" s="102"/>
      <c r="G2707" s="114"/>
    </row>
    <row r="2708" spans="2:7" ht="15.75" customHeight="1" x14ac:dyDescent="0.25">
      <c r="B2708" s="100"/>
      <c r="C2708" s="100"/>
      <c r="D2708" s="100"/>
      <c r="E2708" s="100"/>
      <c r="F2708" s="102"/>
      <c r="G2708" s="114"/>
    </row>
    <row r="2709" spans="2:7" ht="15.75" customHeight="1" x14ac:dyDescent="0.25">
      <c r="B2709" s="100"/>
      <c r="C2709" s="100"/>
      <c r="D2709" s="100"/>
      <c r="E2709" s="100"/>
      <c r="F2709" s="102"/>
      <c r="G2709" s="114"/>
    </row>
    <row r="2710" spans="2:7" ht="15.75" customHeight="1" x14ac:dyDescent="0.25">
      <c r="B2710" s="100"/>
      <c r="C2710" s="100"/>
      <c r="D2710" s="100"/>
      <c r="E2710" s="100"/>
      <c r="F2710" s="102"/>
      <c r="G2710" s="114"/>
    </row>
    <row r="2711" spans="2:7" ht="15.75" customHeight="1" x14ac:dyDescent="0.25">
      <c r="B2711" s="100"/>
      <c r="C2711" s="100"/>
      <c r="D2711" s="100"/>
      <c r="E2711" s="100"/>
      <c r="F2711" s="102"/>
      <c r="G2711" s="114"/>
    </row>
    <row r="2712" spans="2:7" ht="15.75" customHeight="1" x14ac:dyDescent="0.25">
      <c r="B2712" s="100"/>
      <c r="C2712" s="100"/>
      <c r="D2712" s="100"/>
      <c r="E2712" s="100"/>
      <c r="F2712" s="102"/>
      <c r="G2712" s="114"/>
    </row>
    <row r="2713" spans="2:7" ht="15.75" customHeight="1" x14ac:dyDescent="0.25">
      <c r="B2713" s="100"/>
      <c r="C2713" s="100"/>
      <c r="D2713" s="100"/>
      <c r="E2713" s="100"/>
      <c r="F2713" s="102"/>
      <c r="G2713" s="114"/>
    </row>
    <row r="2714" spans="2:7" ht="15.75" customHeight="1" x14ac:dyDescent="0.25">
      <c r="B2714" s="100"/>
      <c r="C2714" s="100"/>
      <c r="D2714" s="100"/>
      <c r="E2714" s="100"/>
      <c r="F2714" s="102"/>
      <c r="G2714" s="114"/>
    </row>
    <row r="2715" spans="2:7" ht="15.75" customHeight="1" x14ac:dyDescent="0.25">
      <c r="B2715" s="100"/>
      <c r="C2715" s="100"/>
      <c r="D2715" s="100"/>
      <c r="E2715" s="100"/>
      <c r="F2715" s="102"/>
      <c r="G2715" s="114"/>
    </row>
    <row r="2716" spans="2:7" ht="15.75" customHeight="1" x14ac:dyDescent="0.25">
      <c r="B2716" s="100"/>
      <c r="C2716" s="100"/>
      <c r="D2716" s="100"/>
      <c r="E2716" s="100"/>
      <c r="F2716" s="102"/>
      <c r="G2716" s="114"/>
    </row>
    <row r="2717" spans="2:7" ht="15.75" customHeight="1" x14ac:dyDescent="0.25">
      <c r="B2717" s="100"/>
      <c r="C2717" s="100"/>
      <c r="D2717" s="100"/>
      <c r="E2717" s="100"/>
      <c r="F2717" s="102"/>
      <c r="G2717" s="114"/>
    </row>
    <row r="2718" spans="2:7" ht="15.75" customHeight="1" x14ac:dyDescent="0.25">
      <c r="B2718" s="100"/>
      <c r="C2718" s="100"/>
      <c r="D2718" s="100"/>
      <c r="E2718" s="100"/>
      <c r="F2718" s="102"/>
      <c r="G2718" s="114"/>
    </row>
    <row r="2719" spans="2:7" ht="15.75" customHeight="1" x14ac:dyDescent="0.25">
      <c r="B2719" s="100"/>
      <c r="C2719" s="100"/>
      <c r="D2719" s="100"/>
      <c r="E2719" s="100"/>
      <c r="F2719" s="102"/>
      <c r="G2719" s="114"/>
    </row>
    <row r="2720" spans="2:7" ht="15.75" customHeight="1" x14ac:dyDescent="0.25">
      <c r="B2720" s="100"/>
      <c r="C2720" s="100"/>
      <c r="D2720" s="100"/>
      <c r="E2720" s="100"/>
      <c r="F2720" s="102"/>
      <c r="G2720" s="114"/>
    </row>
    <row r="2721" spans="2:7" ht="15.75" customHeight="1" x14ac:dyDescent="0.25">
      <c r="B2721" s="100"/>
      <c r="C2721" s="100"/>
      <c r="D2721" s="100"/>
      <c r="E2721" s="100"/>
      <c r="F2721" s="102"/>
      <c r="G2721" s="114"/>
    </row>
    <row r="2722" spans="2:7" ht="15.75" customHeight="1" x14ac:dyDescent="0.25">
      <c r="B2722" s="100"/>
      <c r="C2722" s="100"/>
      <c r="D2722" s="100"/>
      <c r="E2722" s="100"/>
      <c r="F2722" s="102"/>
      <c r="G2722" s="114"/>
    </row>
    <row r="2723" spans="2:7" ht="15.75" customHeight="1" x14ac:dyDescent="0.25">
      <c r="B2723" s="100"/>
      <c r="C2723" s="100"/>
      <c r="D2723" s="100"/>
      <c r="E2723" s="100"/>
      <c r="F2723" s="102"/>
      <c r="G2723" s="114"/>
    </row>
    <row r="2724" spans="2:7" ht="15.75" customHeight="1" x14ac:dyDescent="0.25">
      <c r="B2724" s="100"/>
      <c r="C2724" s="100"/>
      <c r="D2724" s="100"/>
      <c r="E2724" s="100"/>
      <c r="F2724" s="102"/>
      <c r="G2724" s="114"/>
    </row>
    <row r="2725" spans="2:7" ht="15.75" customHeight="1" x14ac:dyDescent="0.25">
      <c r="B2725" s="100"/>
      <c r="C2725" s="100"/>
      <c r="D2725" s="100"/>
      <c r="E2725" s="100"/>
      <c r="F2725" s="102"/>
      <c r="G2725" s="114"/>
    </row>
    <row r="2726" spans="2:7" ht="15.75" customHeight="1" x14ac:dyDescent="0.25">
      <c r="B2726" s="100"/>
      <c r="C2726" s="100"/>
      <c r="D2726" s="100"/>
      <c r="E2726" s="100"/>
      <c r="F2726" s="102"/>
      <c r="G2726" s="114"/>
    </row>
    <row r="2727" spans="2:7" ht="15.75" customHeight="1" x14ac:dyDescent="0.25">
      <c r="B2727" s="100"/>
      <c r="C2727" s="100"/>
      <c r="D2727" s="100"/>
      <c r="E2727" s="100"/>
      <c r="F2727" s="102"/>
      <c r="G2727" s="114"/>
    </row>
    <row r="2728" spans="2:7" ht="15.75" customHeight="1" x14ac:dyDescent="0.25">
      <c r="B2728" s="100"/>
      <c r="C2728" s="100"/>
      <c r="D2728" s="100"/>
      <c r="E2728" s="100"/>
      <c r="F2728" s="102"/>
      <c r="G2728" s="114"/>
    </row>
    <row r="2729" spans="2:7" ht="15.75" customHeight="1" x14ac:dyDescent="0.25">
      <c r="B2729" s="100"/>
      <c r="C2729" s="100"/>
      <c r="D2729" s="100"/>
      <c r="E2729" s="100"/>
      <c r="F2729" s="102"/>
      <c r="G2729" s="114"/>
    </row>
    <row r="2730" spans="2:7" ht="15.75" customHeight="1" x14ac:dyDescent="0.25">
      <c r="B2730" s="100"/>
      <c r="C2730" s="100"/>
      <c r="D2730" s="100"/>
      <c r="E2730" s="100"/>
      <c r="F2730" s="102"/>
      <c r="G2730" s="114"/>
    </row>
    <row r="2731" spans="2:7" ht="15.75" customHeight="1" x14ac:dyDescent="0.25">
      <c r="B2731" s="100"/>
      <c r="C2731" s="100"/>
      <c r="D2731" s="100"/>
      <c r="E2731" s="100"/>
      <c r="F2731" s="102"/>
      <c r="G2731" s="114"/>
    </row>
    <row r="2732" spans="2:7" ht="15.75" customHeight="1" x14ac:dyDescent="0.25">
      <c r="B2732" s="100"/>
      <c r="C2732" s="100"/>
      <c r="D2732" s="100"/>
      <c r="E2732" s="100"/>
      <c r="F2732" s="102"/>
      <c r="G2732" s="114"/>
    </row>
    <row r="2733" spans="2:7" ht="15.75" customHeight="1" x14ac:dyDescent="0.25">
      <c r="B2733" s="100"/>
      <c r="C2733" s="100"/>
      <c r="D2733" s="100"/>
      <c r="E2733" s="100"/>
      <c r="F2733" s="102"/>
      <c r="G2733" s="114"/>
    </row>
    <row r="2734" spans="2:7" ht="15.75" customHeight="1" x14ac:dyDescent="0.25">
      <c r="B2734" s="100"/>
      <c r="C2734" s="100"/>
      <c r="D2734" s="100"/>
      <c r="E2734" s="100"/>
      <c r="F2734" s="102"/>
      <c r="G2734" s="114"/>
    </row>
    <row r="2735" spans="2:7" ht="15.75" customHeight="1" x14ac:dyDescent="0.25">
      <c r="B2735" s="100"/>
      <c r="C2735" s="100"/>
      <c r="D2735" s="100"/>
      <c r="E2735" s="100"/>
      <c r="F2735" s="102"/>
      <c r="G2735" s="114"/>
    </row>
    <row r="2736" spans="2:7" ht="15.75" customHeight="1" x14ac:dyDescent="0.25">
      <c r="B2736" s="100"/>
      <c r="C2736" s="100"/>
      <c r="D2736" s="100"/>
      <c r="E2736" s="100"/>
      <c r="F2736" s="102"/>
      <c r="G2736" s="114"/>
    </row>
    <row r="2737" spans="2:7" ht="15.75" customHeight="1" x14ac:dyDescent="0.25">
      <c r="B2737" s="100"/>
      <c r="C2737" s="100"/>
      <c r="D2737" s="100"/>
      <c r="E2737" s="100"/>
      <c r="F2737" s="102"/>
      <c r="G2737" s="114"/>
    </row>
    <row r="2738" spans="2:7" ht="15.75" customHeight="1" x14ac:dyDescent="0.25">
      <c r="B2738" s="100"/>
      <c r="C2738" s="100"/>
      <c r="D2738" s="100"/>
      <c r="E2738" s="100"/>
      <c r="F2738" s="102"/>
      <c r="G2738" s="114"/>
    </row>
    <row r="2739" spans="2:7" ht="15.75" customHeight="1" x14ac:dyDescent="0.25">
      <c r="B2739" s="100"/>
      <c r="C2739" s="100"/>
      <c r="D2739" s="100"/>
      <c r="E2739" s="100"/>
      <c r="F2739" s="102"/>
      <c r="G2739" s="114"/>
    </row>
    <row r="2740" spans="2:7" ht="15.75" customHeight="1" x14ac:dyDescent="0.25">
      <c r="B2740" s="100"/>
      <c r="C2740" s="100"/>
      <c r="D2740" s="100"/>
      <c r="E2740" s="100"/>
      <c r="F2740" s="102"/>
      <c r="G2740" s="114"/>
    </row>
    <row r="2741" spans="2:7" ht="15.75" customHeight="1" x14ac:dyDescent="0.25">
      <c r="B2741" s="100"/>
      <c r="C2741" s="100"/>
      <c r="D2741" s="100"/>
      <c r="E2741" s="100"/>
      <c r="F2741" s="102"/>
      <c r="G2741" s="114"/>
    </row>
    <row r="2742" spans="2:7" ht="15.75" customHeight="1" x14ac:dyDescent="0.25">
      <c r="B2742" s="100"/>
      <c r="C2742" s="100"/>
      <c r="D2742" s="100"/>
      <c r="E2742" s="100"/>
      <c r="F2742" s="102"/>
      <c r="G2742" s="114"/>
    </row>
    <row r="2743" spans="2:7" ht="15.75" customHeight="1" x14ac:dyDescent="0.25">
      <c r="B2743" s="100"/>
      <c r="C2743" s="100"/>
      <c r="D2743" s="100"/>
      <c r="E2743" s="100"/>
      <c r="F2743" s="102"/>
      <c r="G2743" s="114"/>
    </row>
    <row r="2744" spans="2:7" ht="15.75" customHeight="1" x14ac:dyDescent="0.25">
      <c r="B2744" s="100"/>
      <c r="C2744" s="100"/>
      <c r="D2744" s="100"/>
      <c r="E2744" s="100"/>
      <c r="F2744" s="102"/>
      <c r="G2744" s="114"/>
    </row>
    <row r="2745" spans="2:7" ht="15.75" customHeight="1" x14ac:dyDescent="0.25">
      <c r="B2745" s="100"/>
      <c r="C2745" s="100"/>
      <c r="D2745" s="100"/>
      <c r="E2745" s="100"/>
      <c r="F2745" s="102"/>
      <c r="G2745" s="114"/>
    </row>
    <row r="2746" spans="2:7" ht="15.75" customHeight="1" x14ac:dyDescent="0.25">
      <c r="B2746" s="100"/>
      <c r="C2746" s="100"/>
      <c r="D2746" s="100"/>
      <c r="E2746" s="100"/>
      <c r="F2746" s="102"/>
      <c r="G2746" s="114"/>
    </row>
    <row r="2747" spans="2:7" ht="15.75" customHeight="1" x14ac:dyDescent="0.25">
      <c r="B2747" s="100"/>
      <c r="C2747" s="100"/>
      <c r="D2747" s="100"/>
      <c r="E2747" s="100"/>
      <c r="F2747" s="102"/>
      <c r="G2747" s="114"/>
    </row>
    <row r="2748" spans="2:7" ht="15.75" customHeight="1" x14ac:dyDescent="0.25">
      <c r="B2748" s="100"/>
      <c r="C2748" s="100"/>
      <c r="D2748" s="100"/>
      <c r="E2748" s="100"/>
      <c r="F2748" s="102"/>
      <c r="G2748" s="114"/>
    </row>
    <row r="2749" spans="2:7" ht="15.75" customHeight="1" x14ac:dyDescent="0.25">
      <c r="B2749" s="100"/>
      <c r="C2749" s="100"/>
      <c r="D2749" s="100"/>
      <c r="E2749" s="100"/>
      <c r="F2749" s="102"/>
      <c r="G2749" s="114"/>
    </row>
    <row r="2750" spans="2:7" ht="15.75" customHeight="1" x14ac:dyDescent="0.25">
      <c r="B2750" s="100"/>
      <c r="C2750" s="100"/>
      <c r="D2750" s="100"/>
      <c r="E2750" s="100"/>
      <c r="F2750" s="102"/>
      <c r="G2750" s="114"/>
    </row>
    <row r="2751" spans="2:7" ht="15.75" customHeight="1" x14ac:dyDescent="0.25">
      <c r="B2751" s="100"/>
      <c r="C2751" s="100"/>
      <c r="D2751" s="100"/>
      <c r="E2751" s="100"/>
      <c r="F2751" s="102"/>
      <c r="G2751" s="114"/>
    </row>
    <row r="2752" spans="2:7" ht="15.75" customHeight="1" x14ac:dyDescent="0.25">
      <c r="B2752" s="100"/>
      <c r="C2752" s="100"/>
      <c r="D2752" s="100"/>
      <c r="E2752" s="100"/>
      <c r="F2752" s="102"/>
      <c r="G2752" s="114"/>
    </row>
    <row r="2753" spans="2:7" ht="15.75" customHeight="1" x14ac:dyDescent="0.25">
      <c r="B2753" s="100"/>
      <c r="C2753" s="100"/>
      <c r="D2753" s="100"/>
      <c r="E2753" s="100"/>
      <c r="F2753" s="102"/>
      <c r="G2753" s="114"/>
    </row>
    <row r="2754" spans="2:7" ht="15.75" customHeight="1" x14ac:dyDescent="0.25">
      <c r="B2754" s="100"/>
      <c r="C2754" s="100"/>
      <c r="D2754" s="100"/>
      <c r="E2754" s="100"/>
      <c r="F2754" s="102"/>
      <c r="G2754" s="114"/>
    </row>
    <row r="2755" spans="2:7" ht="15.75" customHeight="1" x14ac:dyDescent="0.25">
      <c r="B2755" s="100"/>
      <c r="C2755" s="100"/>
      <c r="D2755" s="100"/>
      <c r="E2755" s="100"/>
      <c r="F2755" s="102"/>
      <c r="G2755" s="114"/>
    </row>
    <row r="2756" spans="2:7" ht="15.75" customHeight="1" x14ac:dyDescent="0.25">
      <c r="B2756" s="100"/>
      <c r="C2756" s="100"/>
      <c r="D2756" s="100"/>
      <c r="E2756" s="100"/>
      <c r="F2756" s="102"/>
      <c r="G2756" s="114"/>
    </row>
    <row r="2757" spans="2:7" ht="15.75" customHeight="1" x14ac:dyDescent="0.25">
      <c r="B2757" s="100"/>
      <c r="C2757" s="100"/>
      <c r="D2757" s="100"/>
      <c r="E2757" s="100"/>
      <c r="F2757" s="102"/>
      <c r="G2757" s="114"/>
    </row>
    <row r="2758" spans="2:7" ht="15.75" customHeight="1" x14ac:dyDescent="0.25">
      <c r="B2758" s="100"/>
      <c r="C2758" s="100"/>
      <c r="D2758" s="100"/>
      <c r="E2758" s="100"/>
      <c r="F2758" s="102"/>
      <c r="G2758" s="114"/>
    </row>
    <row r="2759" spans="2:7" ht="15.75" customHeight="1" x14ac:dyDescent="0.25">
      <c r="B2759" s="100"/>
      <c r="C2759" s="100"/>
      <c r="D2759" s="100"/>
      <c r="E2759" s="100"/>
      <c r="F2759" s="102"/>
      <c r="G2759" s="114"/>
    </row>
    <row r="2760" spans="2:7" ht="15.75" customHeight="1" x14ac:dyDescent="0.25">
      <c r="B2760" s="100"/>
      <c r="C2760" s="100"/>
      <c r="D2760" s="100"/>
      <c r="E2760" s="100"/>
      <c r="F2760" s="102"/>
      <c r="G2760" s="114"/>
    </row>
    <row r="2761" spans="2:7" ht="15.75" customHeight="1" x14ac:dyDescent="0.25">
      <c r="B2761" s="100"/>
      <c r="C2761" s="100"/>
      <c r="D2761" s="100"/>
      <c r="E2761" s="100"/>
      <c r="F2761" s="102"/>
      <c r="G2761" s="114"/>
    </row>
    <row r="2762" spans="2:7" ht="15.75" customHeight="1" x14ac:dyDescent="0.25">
      <c r="B2762" s="100"/>
      <c r="C2762" s="100"/>
      <c r="D2762" s="100"/>
      <c r="E2762" s="100"/>
      <c r="F2762" s="102"/>
      <c r="G2762" s="114"/>
    </row>
    <row r="2763" spans="2:7" ht="15.75" customHeight="1" x14ac:dyDescent="0.25">
      <c r="B2763" s="100"/>
      <c r="C2763" s="100"/>
      <c r="D2763" s="100"/>
      <c r="E2763" s="100"/>
      <c r="F2763" s="102"/>
      <c r="G2763" s="114"/>
    </row>
    <row r="2764" spans="2:7" ht="15.75" customHeight="1" x14ac:dyDescent="0.25">
      <c r="B2764" s="100"/>
      <c r="C2764" s="100"/>
      <c r="D2764" s="100"/>
      <c r="E2764" s="100"/>
      <c r="F2764" s="102"/>
      <c r="G2764" s="114"/>
    </row>
    <row r="2765" spans="2:7" ht="15.75" customHeight="1" x14ac:dyDescent="0.25">
      <c r="B2765" s="100"/>
      <c r="C2765" s="100"/>
      <c r="D2765" s="100"/>
      <c r="E2765" s="100"/>
      <c r="F2765" s="102"/>
      <c r="G2765" s="114"/>
    </row>
    <row r="2766" spans="2:7" ht="15.75" customHeight="1" x14ac:dyDescent="0.25">
      <c r="B2766" s="100"/>
      <c r="C2766" s="100"/>
      <c r="D2766" s="100"/>
      <c r="E2766" s="100"/>
      <c r="F2766" s="102"/>
      <c r="G2766" s="114"/>
    </row>
    <row r="2767" spans="2:7" ht="15.75" customHeight="1" x14ac:dyDescent="0.25">
      <c r="B2767" s="100"/>
      <c r="C2767" s="100"/>
      <c r="D2767" s="100"/>
      <c r="E2767" s="100"/>
      <c r="F2767" s="102"/>
      <c r="G2767" s="114"/>
    </row>
    <row r="2768" spans="2:7" ht="15.75" customHeight="1" x14ac:dyDescent="0.25">
      <c r="B2768" s="100"/>
      <c r="C2768" s="100"/>
      <c r="D2768" s="100"/>
      <c r="E2768" s="100"/>
      <c r="F2768" s="102"/>
      <c r="G2768" s="114"/>
    </row>
    <row r="2769" spans="2:7" ht="15.75" customHeight="1" x14ac:dyDescent="0.25">
      <c r="B2769" s="100"/>
      <c r="C2769" s="100"/>
      <c r="D2769" s="100"/>
      <c r="E2769" s="100"/>
      <c r="F2769" s="102"/>
      <c r="G2769" s="114"/>
    </row>
    <row r="2770" spans="2:7" ht="15.75" customHeight="1" x14ac:dyDescent="0.25">
      <c r="B2770" s="100"/>
      <c r="C2770" s="100"/>
      <c r="D2770" s="100"/>
      <c r="E2770" s="100"/>
      <c r="F2770" s="102"/>
      <c r="G2770" s="114"/>
    </row>
    <row r="2771" spans="2:7" ht="15.75" customHeight="1" x14ac:dyDescent="0.25">
      <c r="B2771" s="100"/>
      <c r="C2771" s="100"/>
      <c r="D2771" s="100"/>
      <c r="E2771" s="100"/>
      <c r="F2771" s="102"/>
      <c r="G2771" s="114"/>
    </row>
    <row r="2772" spans="2:7" ht="15.75" customHeight="1" x14ac:dyDescent="0.25">
      <c r="B2772" s="100"/>
      <c r="C2772" s="100"/>
      <c r="D2772" s="100"/>
      <c r="E2772" s="100"/>
      <c r="F2772" s="102"/>
      <c r="G2772" s="114"/>
    </row>
    <row r="2773" spans="2:7" ht="15.75" customHeight="1" x14ac:dyDescent="0.25">
      <c r="B2773" s="100"/>
      <c r="C2773" s="100"/>
      <c r="D2773" s="100"/>
      <c r="E2773" s="100"/>
      <c r="F2773" s="102"/>
      <c r="G2773" s="114"/>
    </row>
    <row r="2774" spans="2:7" ht="15.75" customHeight="1" x14ac:dyDescent="0.25">
      <c r="B2774" s="100"/>
      <c r="C2774" s="100"/>
      <c r="D2774" s="100"/>
      <c r="E2774" s="100"/>
      <c r="F2774" s="102"/>
      <c r="G2774" s="114"/>
    </row>
    <row r="2775" spans="2:7" ht="15.75" customHeight="1" x14ac:dyDescent="0.25">
      <c r="B2775" s="100"/>
      <c r="C2775" s="100"/>
      <c r="D2775" s="100"/>
      <c r="E2775" s="100"/>
      <c r="F2775" s="102"/>
      <c r="G2775" s="114"/>
    </row>
    <row r="2776" spans="2:7" ht="15.75" customHeight="1" x14ac:dyDescent="0.25">
      <c r="B2776" s="100"/>
      <c r="C2776" s="100"/>
      <c r="D2776" s="100"/>
      <c r="E2776" s="100"/>
      <c r="F2776" s="102"/>
      <c r="G2776" s="114"/>
    </row>
    <row r="2777" spans="2:7" ht="15.75" customHeight="1" x14ac:dyDescent="0.25">
      <c r="B2777" s="100"/>
      <c r="C2777" s="100"/>
      <c r="D2777" s="100"/>
      <c r="E2777" s="100"/>
      <c r="F2777" s="102"/>
      <c r="G2777" s="114"/>
    </row>
    <row r="2778" spans="2:7" ht="15.75" customHeight="1" x14ac:dyDescent="0.25">
      <c r="B2778" s="100"/>
      <c r="C2778" s="100"/>
      <c r="D2778" s="100"/>
      <c r="E2778" s="100"/>
      <c r="F2778" s="102"/>
      <c r="G2778" s="114"/>
    </row>
    <row r="2779" spans="2:7" ht="15.75" customHeight="1" x14ac:dyDescent="0.25">
      <c r="B2779" s="100"/>
      <c r="C2779" s="100"/>
      <c r="D2779" s="100"/>
      <c r="E2779" s="100"/>
      <c r="F2779" s="102"/>
      <c r="G2779" s="114"/>
    </row>
    <row r="2780" spans="2:7" ht="15.75" customHeight="1" x14ac:dyDescent="0.25">
      <c r="B2780" s="100"/>
      <c r="C2780" s="100"/>
      <c r="D2780" s="100"/>
      <c r="E2780" s="100"/>
      <c r="F2780" s="102"/>
      <c r="G2780" s="114"/>
    </row>
    <row r="2781" spans="2:7" ht="15.75" customHeight="1" x14ac:dyDescent="0.25">
      <c r="B2781" s="100"/>
      <c r="C2781" s="100"/>
      <c r="D2781" s="100"/>
      <c r="E2781" s="100"/>
      <c r="F2781" s="102"/>
      <c r="G2781" s="114"/>
    </row>
    <row r="2782" spans="2:7" ht="15.75" customHeight="1" x14ac:dyDescent="0.25">
      <c r="B2782" s="100"/>
      <c r="C2782" s="100"/>
      <c r="D2782" s="100"/>
      <c r="E2782" s="100"/>
      <c r="F2782" s="102"/>
      <c r="G2782" s="114"/>
    </row>
    <row r="2783" spans="2:7" ht="15.75" customHeight="1" x14ac:dyDescent="0.25">
      <c r="B2783" s="100"/>
      <c r="C2783" s="100"/>
      <c r="D2783" s="100"/>
      <c r="E2783" s="100"/>
      <c r="F2783" s="102"/>
      <c r="G2783" s="114"/>
    </row>
    <row r="2784" spans="2:7" ht="15.75" customHeight="1" x14ac:dyDescent="0.25">
      <c r="B2784" s="100"/>
      <c r="C2784" s="100"/>
      <c r="D2784" s="100"/>
      <c r="E2784" s="100"/>
      <c r="F2784" s="102"/>
      <c r="G2784" s="114"/>
    </row>
    <row r="2785" spans="2:7" ht="15.75" customHeight="1" x14ac:dyDescent="0.25">
      <c r="B2785" s="100"/>
      <c r="C2785" s="100"/>
      <c r="D2785" s="100"/>
      <c r="E2785" s="100"/>
      <c r="F2785" s="102"/>
      <c r="G2785" s="114"/>
    </row>
    <row r="2786" spans="2:7" ht="15.75" customHeight="1" x14ac:dyDescent="0.25">
      <c r="B2786" s="100"/>
      <c r="C2786" s="100"/>
      <c r="D2786" s="100"/>
      <c r="E2786" s="100"/>
      <c r="F2786" s="102"/>
      <c r="G2786" s="114"/>
    </row>
    <row r="2787" spans="2:7" ht="15.75" customHeight="1" x14ac:dyDescent="0.25">
      <c r="B2787" s="100"/>
      <c r="C2787" s="100"/>
      <c r="D2787" s="100"/>
      <c r="E2787" s="100"/>
      <c r="F2787" s="102"/>
      <c r="G2787" s="114"/>
    </row>
    <row r="2788" spans="2:7" ht="15.75" customHeight="1" x14ac:dyDescent="0.25">
      <c r="B2788" s="100"/>
      <c r="C2788" s="100"/>
      <c r="D2788" s="100"/>
      <c r="E2788" s="100"/>
      <c r="F2788" s="102"/>
      <c r="G2788" s="114"/>
    </row>
    <row r="2789" spans="2:7" ht="15.75" customHeight="1" x14ac:dyDescent="0.25">
      <c r="B2789" s="100"/>
      <c r="C2789" s="100"/>
      <c r="D2789" s="100"/>
      <c r="E2789" s="100"/>
      <c r="F2789" s="102"/>
      <c r="G2789" s="114"/>
    </row>
    <row r="2790" spans="2:7" ht="15.75" customHeight="1" x14ac:dyDescent="0.25">
      <c r="B2790" s="100"/>
      <c r="C2790" s="100"/>
      <c r="D2790" s="100"/>
      <c r="E2790" s="100"/>
      <c r="F2790" s="102"/>
      <c r="G2790" s="114"/>
    </row>
    <row r="2791" spans="2:7" ht="15.75" customHeight="1" x14ac:dyDescent="0.25">
      <c r="B2791" s="100"/>
      <c r="C2791" s="100"/>
      <c r="D2791" s="100"/>
      <c r="E2791" s="100"/>
      <c r="F2791" s="102"/>
      <c r="G2791" s="114"/>
    </row>
    <row r="2792" spans="2:7" ht="15.75" customHeight="1" x14ac:dyDescent="0.25">
      <c r="B2792" s="100"/>
      <c r="C2792" s="100"/>
      <c r="D2792" s="100"/>
      <c r="E2792" s="100"/>
      <c r="F2792" s="102"/>
      <c r="G2792" s="114"/>
    </row>
    <row r="2793" spans="2:7" ht="15.75" customHeight="1" x14ac:dyDescent="0.25">
      <c r="B2793" s="100"/>
      <c r="C2793" s="100"/>
      <c r="D2793" s="100"/>
      <c r="E2793" s="100"/>
      <c r="F2793" s="102"/>
      <c r="G2793" s="114"/>
    </row>
    <row r="2794" spans="2:7" ht="15.75" customHeight="1" x14ac:dyDescent="0.25">
      <c r="B2794" s="100"/>
      <c r="C2794" s="100"/>
      <c r="D2794" s="100"/>
      <c r="E2794" s="100"/>
      <c r="F2794" s="102"/>
      <c r="G2794" s="114"/>
    </row>
    <row r="2795" spans="2:7" ht="15.75" customHeight="1" x14ac:dyDescent="0.25">
      <c r="B2795" s="100"/>
      <c r="C2795" s="100"/>
      <c r="D2795" s="100"/>
      <c r="E2795" s="100"/>
      <c r="F2795" s="102"/>
      <c r="G2795" s="114"/>
    </row>
    <row r="2796" spans="2:7" ht="15.75" customHeight="1" x14ac:dyDescent="0.25">
      <c r="B2796" s="100"/>
      <c r="C2796" s="100"/>
      <c r="D2796" s="100"/>
      <c r="E2796" s="100"/>
      <c r="F2796" s="102"/>
      <c r="G2796" s="114"/>
    </row>
    <row r="2797" spans="2:7" ht="15.75" customHeight="1" x14ac:dyDescent="0.25">
      <c r="B2797" s="100"/>
      <c r="C2797" s="100"/>
      <c r="D2797" s="100"/>
      <c r="E2797" s="100"/>
      <c r="F2797" s="102"/>
      <c r="G2797" s="114"/>
    </row>
    <row r="2798" spans="2:7" ht="15.75" customHeight="1" x14ac:dyDescent="0.25">
      <c r="B2798" s="100"/>
      <c r="C2798" s="100"/>
      <c r="D2798" s="100"/>
      <c r="E2798" s="100"/>
      <c r="F2798" s="102"/>
      <c r="G2798" s="114"/>
    </row>
    <row r="2799" spans="2:7" ht="15.75" customHeight="1" x14ac:dyDescent="0.25">
      <c r="B2799" s="100"/>
      <c r="C2799" s="100"/>
      <c r="D2799" s="100"/>
      <c r="E2799" s="100"/>
      <c r="F2799" s="102"/>
      <c r="G2799" s="114"/>
    </row>
    <row r="2800" spans="2:7" ht="15.75" customHeight="1" x14ac:dyDescent="0.25">
      <c r="B2800" s="100"/>
      <c r="C2800" s="100"/>
      <c r="D2800" s="100"/>
      <c r="E2800" s="100"/>
      <c r="F2800" s="102"/>
      <c r="G2800" s="114"/>
    </row>
    <row r="2801" spans="2:7" ht="15.75" customHeight="1" x14ac:dyDescent="0.25">
      <c r="B2801" s="100"/>
      <c r="C2801" s="100"/>
      <c r="D2801" s="100"/>
      <c r="E2801" s="100"/>
      <c r="F2801" s="102"/>
      <c r="G2801" s="114"/>
    </row>
    <row r="2802" spans="2:7" ht="15.75" customHeight="1" x14ac:dyDescent="0.25">
      <c r="B2802" s="100"/>
      <c r="C2802" s="100"/>
      <c r="D2802" s="100"/>
      <c r="E2802" s="100"/>
      <c r="F2802" s="102"/>
      <c r="G2802" s="114"/>
    </row>
    <row r="2803" spans="2:7" ht="15.75" customHeight="1" x14ac:dyDescent="0.25">
      <c r="B2803" s="100"/>
      <c r="C2803" s="100"/>
      <c r="D2803" s="100"/>
      <c r="E2803" s="100"/>
      <c r="F2803" s="102"/>
      <c r="G2803" s="114"/>
    </row>
    <row r="2804" spans="2:7" ht="15.75" customHeight="1" x14ac:dyDescent="0.25">
      <c r="B2804" s="100"/>
      <c r="C2804" s="100"/>
      <c r="D2804" s="100"/>
      <c r="E2804" s="100"/>
      <c r="F2804" s="102"/>
      <c r="G2804" s="114"/>
    </row>
    <row r="2805" spans="2:7" ht="15.75" customHeight="1" x14ac:dyDescent="0.25">
      <c r="B2805" s="100"/>
      <c r="C2805" s="100"/>
      <c r="D2805" s="100"/>
      <c r="E2805" s="100"/>
      <c r="F2805" s="102"/>
      <c r="G2805" s="114"/>
    </row>
    <row r="2806" spans="2:7" ht="15.75" customHeight="1" x14ac:dyDescent="0.25">
      <c r="B2806" s="100"/>
      <c r="C2806" s="100"/>
      <c r="D2806" s="100"/>
      <c r="E2806" s="100"/>
      <c r="F2806" s="102"/>
      <c r="G2806" s="114"/>
    </row>
    <row r="2807" spans="2:7" ht="15.75" customHeight="1" x14ac:dyDescent="0.25">
      <c r="B2807" s="100"/>
      <c r="C2807" s="100"/>
      <c r="D2807" s="100"/>
      <c r="E2807" s="100"/>
      <c r="F2807" s="102"/>
      <c r="G2807" s="114"/>
    </row>
    <row r="2808" spans="2:7" ht="15.75" customHeight="1" x14ac:dyDescent="0.25">
      <c r="B2808" s="100"/>
      <c r="C2808" s="100"/>
      <c r="D2808" s="100"/>
      <c r="E2808" s="100"/>
      <c r="F2808" s="102"/>
      <c r="G2808" s="114"/>
    </row>
    <row r="2809" spans="2:7" ht="15.75" customHeight="1" x14ac:dyDescent="0.25">
      <c r="B2809" s="100"/>
      <c r="C2809" s="100"/>
      <c r="D2809" s="100"/>
      <c r="E2809" s="100"/>
      <c r="F2809" s="102"/>
      <c r="G2809" s="114"/>
    </row>
    <row r="2810" spans="2:7" ht="15.75" customHeight="1" x14ac:dyDescent="0.25">
      <c r="B2810" s="100"/>
      <c r="C2810" s="100"/>
      <c r="D2810" s="100"/>
      <c r="E2810" s="100"/>
      <c r="F2810" s="102"/>
      <c r="G2810" s="114"/>
    </row>
    <row r="2811" spans="2:7" ht="15.75" customHeight="1" x14ac:dyDescent="0.25">
      <c r="B2811" s="100"/>
      <c r="C2811" s="100"/>
      <c r="D2811" s="100"/>
      <c r="E2811" s="100"/>
      <c r="F2811" s="102"/>
      <c r="G2811" s="114"/>
    </row>
    <row r="2812" spans="2:7" ht="15.75" customHeight="1" x14ac:dyDescent="0.25">
      <c r="B2812" s="100"/>
      <c r="C2812" s="100"/>
      <c r="D2812" s="100"/>
      <c r="E2812" s="100"/>
      <c r="F2812" s="102"/>
      <c r="G2812" s="114"/>
    </row>
    <row r="2813" spans="2:7" ht="15.75" customHeight="1" x14ac:dyDescent="0.25">
      <c r="B2813" s="100"/>
      <c r="C2813" s="100"/>
      <c r="D2813" s="100"/>
      <c r="E2813" s="100"/>
      <c r="F2813" s="102"/>
      <c r="G2813" s="114"/>
    </row>
    <row r="2814" spans="2:7" ht="15.75" customHeight="1" x14ac:dyDescent="0.25">
      <c r="B2814" s="100"/>
      <c r="C2814" s="100"/>
      <c r="D2814" s="100"/>
      <c r="E2814" s="100"/>
      <c r="F2814" s="102"/>
      <c r="G2814" s="114"/>
    </row>
    <row r="2815" spans="2:7" ht="15.75" customHeight="1" x14ac:dyDescent="0.25">
      <c r="B2815" s="100"/>
      <c r="C2815" s="100"/>
      <c r="D2815" s="100"/>
      <c r="E2815" s="100"/>
      <c r="F2815" s="102"/>
      <c r="G2815" s="114"/>
    </row>
    <row r="2816" spans="2:7" ht="15.75" customHeight="1" x14ac:dyDescent="0.25">
      <c r="B2816" s="100"/>
      <c r="C2816" s="100"/>
      <c r="D2816" s="100"/>
      <c r="E2816" s="100"/>
      <c r="F2816" s="102"/>
      <c r="G2816" s="114"/>
    </row>
    <row r="2817" spans="2:7" ht="15.75" customHeight="1" x14ac:dyDescent="0.25">
      <c r="B2817" s="100"/>
      <c r="C2817" s="100"/>
      <c r="D2817" s="100"/>
      <c r="E2817" s="100"/>
      <c r="F2817" s="102"/>
      <c r="G2817" s="114"/>
    </row>
    <row r="2818" spans="2:7" ht="15.75" customHeight="1" x14ac:dyDescent="0.25">
      <c r="B2818" s="100"/>
      <c r="C2818" s="100"/>
      <c r="D2818" s="100"/>
      <c r="E2818" s="100"/>
      <c r="F2818" s="102"/>
      <c r="G2818" s="114"/>
    </row>
    <row r="2819" spans="2:7" ht="15.75" customHeight="1" x14ac:dyDescent="0.25">
      <c r="B2819" s="100"/>
      <c r="C2819" s="100"/>
      <c r="D2819" s="100"/>
      <c r="E2819" s="100"/>
      <c r="F2819" s="102"/>
      <c r="G2819" s="114"/>
    </row>
    <row r="2820" spans="2:7" ht="15.75" customHeight="1" x14ac:dyDescent="0.25">
      <c r="B2820" s="100"/>
      <c r="C2820" s="100"/>
      <c r="D2820" s="100"/>
      <c r="E2820" s="100"/>
      <c r="F2820" s="102"/>
      <c r="G2820" s="114"/>
    </row>
    <row r="2821" spans="2:7" ht="15.75" customHeight="1" x14ac:dyDescent="0.25">
      <c r="B2821" s="100"/>
      <c r="C2821" s="100"/>
      <c r="D2821" s="100"/>
      <c r="E2821" s="100"/>
      <c r="F2821" s="102"/>
      <c r="G2821" s="114"/>
    </row>
    <row r="2822" spans="2:7" ht="15.75" customHeight="1" x14ac:dyDescent="0.25">
      <c r="B2822" s="100"/>
      <c r="C2822" s="100"/>
      <c r="D2822" s="100"/>
      <c r="E2822" s="100"/>
      <c r="F2822" s="102"/>
      <c r="G2822" s="114"/>
    </row>
    <row r="2823" spans="2:7" ht="15.75" customHeight="1" x14ac:dyDescent="0.25">
      <c r="B2823" s="100"/>
      <c r="C2823" s="100"/>
      <c r="D2823" s="100"/>
      <c r="E2823" s="100"/>
      <c r="F2823" s="102"/>
      <c r="G2823" s="114"/>
    </row>
    <row r="2824" spans="2:7" ht="15.75" customHeight="1" x14ac:dyDescent="0.25">
      <c r="B2824" s="100"/>
      <c r="C2824" s="100"/>
      <c r="D2824" s="100"/>
      <c r="E2824" s="100"/>
      <c r="F2824" s="102"/>
      <c r="G2824" s="114"/>
    </row>
    <row r="2825" spans="2:7" ht="15.75" customHeight="1" x14ac:dyDescent="0.25">
      <c r="B2825" s="100"/>
      <c r="C2825" s="100"/>
      <c r="D2825" s="100"/>
      <c r="E2825" s="100"/>
      <c r="F2825" s="102"/>
      <c r="G2825" s="114"/>
    </row>
    <row r="2826" spans="2:7" ht="15.75" customHeight="1" x14ac:dyDescent="0.25">
      <c r="B2826" s="100"/>
      <c r="C2826" s="100"/>
      <c r="D2826" s="100"/>
      <c r="E2826" s="100"/>
      <c r="F2826" s="102"/>
      <c r="G2826" s="114"/>
    </row>
    <row r="2827" spans="2:7" ht="15.75" customHeight="1" x14ac:dyDescent="0.25">
      <c r="B2827" s="100"/>
      <c r="C2827" s="100"/>
      <c r="D2827" s="100"/>
      <c r="E2827" s="100"/>
      <c r="F2827" s="102"/>
      <c r="G2827" s="114"/>
    </row>
    <row r="2828" spans="2:7" ht="15.75" customHeight="1" x14ac:dyDescent="0.25">
      <c r="B2828" s="100"/>
      <c r="C2828" s="100"/>
      <c r="D2828" s="100"/>
      <c r="E2828" s="100"/>
      <c r="F2828" s="102"/>
      <c r="G2828" s="114"/>
    </row>
    <row r="2829" spans="2:7" ht="15.75" customHeight="1" x14ac:dyDescent="0.25">
      <c r="B2829" s="100"/>
      <c r="C2829" s="100"/>
      <c r="D2829" s="100"/>
      <c r="E2829" s="100"/>
      <c r="F2829" s="102"/>
      <c r="G2829" s="114"/>
    </row>
    <row r="2830" spans="2:7" ht="15.75" customHeight="1" x14ac:dyDescent="0.25">
      <c r="B2830" s="100"/>
      <c r="C2830" s="100"/>
      <c r="D2830" s="100"/>
      <c r="E2830" s="100"/>
      <c r="F2830" s="102"/>
      <c r="G2830" s="114"/>
    </row>
    <row r="2831" spans="2:7" ht="15.75" customHeight="1" x14ac:dyDescent="0.25">
      <c r="B2831" s="100"/>
      <c r="C2831" s="100"/>
      <c r="D2831" s="100"/>
      <c r="E2831" s="100"/>
      <c r="F2831" s="102"/>
      <c r="G2831" s="114"/>
    </row>
    <row r="2832" spans="2:7" ht="15.75" customHeight="1" x14ac:dyDescent="0.25">
      <c r="B2832" s="100"/>
      <c r="C2832" s="100"/>
      <c r="D2832" s="100"/>
      <c r="E2832" s="100"/>
      <c r="F2832" s="102"/>
      <c r="G2832" s="114"/>
    </row>
    <row r="2833" spans="2:7" ht="15.75" customHeight="1" x14ac:dyDescent="0.25">
      <c r="B2833" s="100"/>
      <c r="C2833" s="100"/>
      <c r="D2833" s="100"/>
      <c r="E2833" s="100"/>
      <c r="F2833" s="102"/>
      <c r="G2833" s="114"/>
    </row>
    <row r="2834" spans="2:7" ht="15.75" customHeight="1" x14ac:dyDescent="0.25">
      <c r="B2834" s="100"/>
      <c r="C2834" s="100"/>
      <c r="D2834" s="100"/>
      <c r="E2834" s="100"/>
      <c r="F2834" s="102"/>
      <c r="G2834" s="114"/>
    </row>
    <row r="2835" spans="2:7" ht="15.75" customHeight="1" x14ac:dyDescent="0.25">
      <c r="B2835" s="100"/>
      <c r="C2835" s="100"/>
      <c r="D2835" s="100"/>
      <c r="E2835" s="100"/>
      <c r="F2835" s="102"/>
      <c r="G2835" s="114"/>
    </row>
    <row r="2836" spans="2:7" ht="15.75" customHeight="1" x14ac:dyDescent="0.25">
      <c r="B2836" s="100"/>
      <c r="C2836" s="100"/>
      <c r="D2836" s="100"/>
      <c r="E2836" s="100"/>
      <c r="F2836" s="102"/>
      <c r="G2836" s="114"/>
    </row>
    <row r="2837" spans="2:7" ht="15.75" customHeight="1" x14ac:dyDescent="0.25">
      <c r="B2837" s="100"/>
      <c r="C2837" s="100"/>
      <c r="D2837" s="100"/>
      <c r="E2837" s="100"/>
      <c r="F2837" s="102"/>
      <c r="G2837" s="114"/>
    </row>
    <row r="2838" spans="2:7" ht="15.75" customHeight="1" x14ac:dyDescent="0.25">
      <c r="B2838" s="100"/>
      <c r="C2838" s="100"/>
      <c r="D2838" s="100"/>
      <c r="E2838" s="100"/>
      <c r="F2838" s="102"/>
      <c r="G2838" s="114"/>
    </row>
    <row r="2839" spans="2:7" ht="15.75" customHeight="1" x14ac:dyDescent="0.25">
      <c r="B2839" s="100"/>
      <c r="C2839" s="100"/>
      <c r="D2839" s="100"/>
      <c r="E2839" s="100"/>
      <c r="F2839" s="102"/>
      <c r="G2839" s="114"/>
    </row>
    <row r="2840" spans="2:7" ht="15.75" customHeight="1" x14ac:dyDescent="0.25">
      <c r="B2840" s="100"/>
      <c r="C2840" s="100"/>
      <c r="D2840" s="100"/>
      <c r="E2840" s="100"/>
      <c r="F2840" s="102"/>
      <c r="G2840" s="114"/>
    </row>
    <row r="2841" spans="2:7" ht="15.75" customHeight="1" x14ac:dyDescent="0.25">
      <c r="B2841" s="100"/>
      <c r="C2841" s="100"/>
      <c r="D2841" s="100"/>
      <c r="E2841" s="100"/>
      <c r="F2841" s="102"/>
      <c r="G2841" s="114"/>
    </row>
    <row r="2842" spans="2:7" ht="15.75" customHeight="1" x14ac:dyDescent="0.25">
      <c r="B2842" s="100"/>
      <c r="C2842" s="100"/>
      <c r="D2842" s="100"/>
      <c r="E2842" s="100"/>
      <c r="F2842" s="102"/>
      <c r="G2842" s="114"/>
    </row>
    <row r="2843" spans="2:7" ht="15.75" customHeight="1" x14ac:dyDescent="0.25">
      <c r="B2843" s="100"/>
      <c r="C2843" s="100"/>
      <c r="D2843" s="100"/>
      <c r="E2843" s="100"/>
      <c r="F2843" s="102"/>
      <c r="G2843" s="114"/>
    </row>
    <row r="2844" spans="2:7" ht="15.75" customHeight="1" x14ac:dyDescent="0.25">
      <c r="B2844" s="100"/>
      <c r="C2844" s="100"/>
      <c r="D2844" s="100"/>
      <c r="E2844" s="100"/>
      <c r="F2844" s="102"/>
      <c r="G2844" s="114"/>
    </row>
    <row r="2845" spans="2:7" ht="15.75" customHeight="1" x14ac:dyDescent="0.25">
      <c r="B2845" s="100"/>
      <c r="C2845" s="100"/>
      <c r="D2845" s="100"/>
      <c r="E2845" s="100"/>
      <c r="F2845" s="102"/>
      <c r="G2845" s="114"/>
    </row>
    <row r="2846" spans="2:7" ht="15.75" customHeight="1" x14ac:dyDescent="0.25">
      <c r="B2846" s="100"/>
      <c r="C2846" s="100"/>
      <c r="D2846" s="100"/>
      <c r="E2846" s="100"/>
      <c r="F2846" s="102"/>
      <c r="G2846" s="114"/>
    </row>
    <row r="2847" spans="2:7" ht="15.75" customHeight="1" x14ac:dyDescent="0.25">
      <c r="B2847" s="100"/>
      <c r="C2847" s="100"/>
      <c r="D2847" s="100"/>
      <c r="E2847" s="100"/>
      <c r="F2847" s="102"/>
      <c r="G2847" s="114"/>
    </row>
    <row r="2848" spans="2:7" ht="15.75" customHeight="1" x14ac:dyDescent="0.25">
      <c r="B2848" s="100"/>
      <c r="C2848" s="100"/>
      <c r="D2848" s="100"/>
      <c r="E2848" s="100"/>
      <c r="F2848" s="102"/>
      <c r="G2848" s="114"/>
    </row>
    <row r="2849" spans="2:7" ht="15.75" customHeight="1" x14ac:dyDescent="0.25">
      <c r="B2849" s="100"/>
      <c r="C2849" s="100"/>
      <c r="D2849" s="100"/>
      <c r="E2849" s="100"/>
      <c r="F2849" s="102"/>
      <c r="G2849" s="114"/>
    </row>
    <row r="2850" spans="2:7" ht="15.75" customHeight="1" x14ac:dyDescent="0.25">
      <c r="B2850" s="100"/>
      <c r="C2850" s="100"/>
      <c r="D2850" s="100"/>
      <c r="E2850" s="100"/>
      <c r="F2850" s="102"/>
      <c r="G2850" s="114"/>
    </row>
    <row r="2851" spans="2:7" ht="15.75" customHeight="1" x14ac:dyDescent="0.25">
      <c r="B2851" s="100"/>
      <c r="C2851" s="100"/>
      <c r="D2851" s="100"/>
      <c r="E2851" s="100"/>
      <c r="F2851" s="102"/>
      <c r="G2851" s="114"/>
    </row>
    <row r="2852" spans="2:7" ht="15.75" customHeight="1" x14ac:dyDescent="0.25">
      <c r="B2852" s="100"/>
      <c r="C2852" s="100"/>
      <c r="D2852" s="100"/>
      <c r="E2852" s="100"/>
      <c r="F2852" s="102"/>
      <c r="G2852" s="114"/>
    </row>
    <row r="2853" spans="2:7" ht="15.75" customHeight="1" x14ac:dyDescent="0.25">
      <c r="B2853" s="100"/>
      <c r="C2853" s="100"/>
      <c r="D2853" s="100"/>
      <c r="E2853" s="100"/>
      <c r="F2853" s="102"/>
      <c r="G2853" s="114"/>
    </row>
    <row r="2854" spans="2:7" ht="15.75" customHeight="1" x14ac:dyDescent="0.25">
      <c r="B2854" s="100"/>
      <c r="C2854" s="100"/>
      <c r="D2854" s="100"/>
      <c r="E2854" s="100"/>
      <c r="F2854" s="102"/>
      <c r="G2854" s="114"/>
    </row>
    <row r="2855" spans="2:7" ht="15.75" customHeight="1" x14ac:dyDescent="0.25">
      <c r="B2855" s="100"/>
      <c r="C2855" s="100"/>
      <c r="D2855" s="100"/>
      <c r="E2855" s="100"/>
      <c r="F2855" s="102"/>
      <c r="G2855" s="114"/>
    </row>
    <row r="2856" spans="2:7" ht="15.75" customHeight="1" x14ac:dyDescent="0.25">
      <c r="B2856" s="100"/>
      <c r="C2856" s="100"/>
      <c r="D2856" s="100"/>
      <c r="E2856" s="100"/>
      <c r="F2856" s="102"/>
      <c r="G2856" s="114"/>
    </row>
    <row r="2857" spans="2:7" ht="15.75" customHeight="1" x14ac:dyDescent="0.25">
      <c r="B2857" s="100"/>
      <c r="C2857" s="100"/>
      <c r="D2857" s="100"/>
      <c r="E2857" s="100"/>
      <c r="F2857" s="102"/>
      <c r="G2857" s="114"/>
    </row>
    <row r="2858" spans="2:7" ht="15.75" customHeight="1" x14ac:dyDescent="0.25">
      <c r="B2858" s="100"/>
      <c r="C2858" s="100"/>
      <c r="D2858" s="100"/>
      <c r="E2858" s="100"/>
      <c r="F2858" s="102"/>
      <c r="G2858" s="114"/>
    </row>
    <row r="2859" spans="2:7" ht="15.75" customHeight="1" x14ac:dyDescent="0.25">
      <c r="B2859" s="100"/>
      <c r="C2859" s="100"/>
      <c r="D2859" s="100"/>
      <c r="E2859" s="100"/>
      <c r="F2859" s="102"/>
      <c r="G2859" s="114"/>
    </row>
    <row r="2860" spans="2:7" ht="15.75" customHeight="1" x14ac:dyDescent="0.25">
      <c r="B2860" s="100"/>
      <c r="C2860" s="100"/>
      <c r="D2860" s="100"/>
      <c r="E2860" s="100"/>
      <c r="F2860" s="102"/>
      <c r="G2860" s="114"/>
    </row>
    <row r="2861" spans="2:7" ht="15.75" customHeight="1" x14ac:dyDescent="0.25">
      <c r="B2861" s="100"/>
      <c r="C2861" s="100"/>
      <c r="D2861" s="100"/>
      <c r="E2861" s="100"/>
      <c r="F2861" s="102"/>
      <c r="G2861" s="114"/>
    </row>
    <row r="2862" spans="2:7" ht="15.75" customHeight="1" x14ac:dyDescent="0.25">
      <c r="B2862" s="100"/>
      <c r="C2862" s="100"/>
      <c r="D2862" s="100"/>
      <c r="E2862" s="100"/>
      <c r="F2862" s="102"/>
      <c r="G2862" s="114"/>
    </row>
    <row r="2863" spans="2:7" ht="15.75" customHeight="1" x14ac:dyDescent="0.25">
      <c r="B2863" s="100"/>
      <c r="C2863" s="100"/>
      <c r="D2863" s="100"/>
      <c r="E2863" s="100"/>
      <c r="F2863" s="102"/>
      <c r="G2863" s="114"/>
    </row>
    <row r="2864" spans="2:7" ht="15.75" customHeight="1" x14ac:dyDescent="0.25">
      <c r="B2864" s="100"/>
      <c r="C2864" s="100"/>
      <c r="D2864" s="100"/>
      <c r="E2864" s="100"/>
      <c r="F2864" s="102"/>
      <c r="G2864" s="114"/>
    </row>
    <row r="2865" spans="2:7" ht="15.75" customHeight="1" x14ac:dyDescent="0.25">
      <c r="B2865" s="100"/>
      <c r="C2865" s="100"/>
      <c r="D2865" s="100"/>
      <c r="E2865" s="100"/>
      <c r="F2865" s="102"/>
      <c r="G2865" s="114"/>
    </row>
    <row r="2866" spans="2:7" ht="15.75" customHeight="1" x14ac:dyDescent="0.25">
      <c r="B2866" s="100"/>
      <c r="C2866" s="100"/>
      <c r="D2866" s="100"/>
      <c r="E2866" s="100"/>
      <c r="F2866" s="102"/>
      <c r="G2866" s="114"/>
    </row>
    <row r="2867" spans="2:7" ht="15.75" customHeight="1" x14ac:dyDescent="0.25">
      <c r="B2867" s="100"/>
      <c r="C2867" s="100"/>
      <c r="D2867" s="100"/>
      <c r="E2867" s="100"/>
      <c r="F2867" s="102"/>
      <c r="G2867" s="114"/>
    </row>
    <row r="2868" spans="2:7" ht="15.75" customHeight="1" x14ac:dyDescent="0.25">
      <c r="B2868" s="100"/>
      <c r="C2868" s="100"/>
      <c r="D2868" s="100"/>
      <c r="E2868" s="100"/>
      <c r="F2868" s="102"/>
      <c r="G2868" s="114"/>
    </row>
    <row r="2869" spans="2:7" ht="15.75" customHeight="1" x14ac:dyDescent="0.25">
      <c r="B2869" s="100"/>
      <c r="C2869" s="100"/>
      <c r="D2869" s="100"/>
      <c r="E2869" s="100"/>
      <c r="F2869" s="102"/>
      <c r="G2869" s="114"/>
    </row>
    <row r="2870" spans="2:7" ht="15.75" customHeight="1" x14ac:dyDescent="0.25">
      <c r="B2870" s="100"/>
      <c r="C2870" s="100"/>
      <c r="D2870" s="100"/>
      <c r="E2870" s="100"/>
      <c r="F2870" s="102"/>
      <c r="G2870" s="114"/>
    </row>
    <row r="2871" spans="2:7" ht="15.75" customHeight="1" x14ac:dyDescent="0.25">
      <c r="B2871" s="100"/>
      <c r="C2871" s="100"/>
      <c r="D2871" s="100"/>
      <c r="E2871" s="100"/>
      <c r="F2871" s="102"/>
      <c r="G2871" s="114"/>
    </row>
    <row r="2872" spans="2:7" ht="15.75" customHeight="1" x14ac:dyDescent="0.25">
      <c r="B2872" s="100"/>
      <c r="C2872" s="100"/>
      <c r="D2872" s="100"/>
      <c r="E2872" s="100"/>
      <c r="F2872" s="102"/>
      <c r="G2872" s="114"/>
    </row>
    <row r="2873" spans="2:7" ht="15.75" customHeight="1" x14ac:dyDescent="0.25">
      <c r="B2873" s="100"/>
      <c r="C2873" s="100"/>
      <c r="D2873" s="100"/>
      <c r="E2873" s="100"/>
      <c r="F2873" s="102"/>
      <c r="G2873" s="114"/>
    </row>
    <row r="2874" spans="2:7" ht="15.75" customHeight="1" x14ac:dyDescent="0.25">
      <c r="B2874" s="100"/>
      <c r="C2874" s="100"/>
      <c r="D2874" s="100"/>
      <c r="E2874" s="100"/>
      <c r="F2874" s="102"/>
      <c r="G2874" s="114"/>
    </row>
    <row r="2875" spans="2:7" ht="15.75" customHeight="1" x14ac:dyDescent="0.25">
      <c r="B2875" s="100"/>
      <c r="C2875" s="100"/>
      <c r="D2875" s="100"/>
      <c r="E2875" s="100"/>
      <c r="F2875" s="102"/>
      <c r="G2875" s="114"/>
    </row>
    <row r="2876" spans="2:7" ht="15.75" customHeight="1" x14ac:dyDescent="0.25">
      <c r="B2876" s="100"/>
      <c r="C2876" s="100"/>
      <c r="D2876" s="100"/>
      <c r="E2876" s="100"/>
      <c r="F2876" s="102"/>
      <c r="G2876" s="114"/>
    </row>
    <row r="2877" spans="2:7" ht="15.75" customHeight="1" x14ac:dyDescent="0.25">
      <c r="B2877" s="100"/>
      <c r="C2877" s="100"/>
      <c r="D2877" s="100"/>
      <c r="E2877" s="100"/>
      <c r="F2877" s="102"/>
      <c r="G2877" s="114"/>
    </row>
    <row r="2878" spans="2:7" ht="15.75" customHeight="1" x14ac:dyDescent="0.25">
      <c r="B2878" s="100"/>
      <c r="C2878" s="100"/>
      <c r="D2878" s="100"/>
      <c r="E2878" s="100"/>
      <c r="F2878" s="102"/>
      <c r="G2878" s="114"/>
    </row>
    <row r="2879" spans="2:7" ht="15.75" customHeight="1" x14ac:dyDescent="0.25">
      <c r="B2879" s="100"/>
      <c r="C2879" s="100"/>
      <c r="D2879" s="100"/>
      <c r="E2879" s="100"/>
      <c r="F2879" s="102"/>
      <c r="G2879" s="114"/>
    </row>
    <row r="2880" spans="2:7" ht="15.75" customHeight="1" x14ac:dyDescent="0.25">
      <c r="B2880" s="100"/>
      <c r="C2880" s="100"/>
      <c r="D2880" s="100"/>
      <c r="E2880" s="100"/>
      <c r="F2880" s="102"/>
      <c r="G2880" s="114"/>
    </row>
    <row r="2881" spans="2:7" ht="15.75" customHeight="1" x14ac:dyDescent="0.25">
      <c r="B2881" s="100"/>
      <c r="C2881" s="100"/>
      <c r="D2881" s="100"/>
      <c r="E2881" s="100"/>
      <c r="F2881" s="102"/>
      <c r="G2881" s="114"/>
    </row>
    <row r="2882" spans="2:7" ht="15.75" customHeight="1" x14ac:dyDescent="0.25">
      <c r="B2882" s="100"/>
      <c r="C2882" s="100"/>
      <c r="D2882" s="100"/>
      <c r="E2882" s="100"/>
      <c r="F2882" s="102"/>
      <c r="G2882" s="114"/>
    </row>
    <row r="2883" spans="2:7" ht="15.75" customHeight="1" x14ac:dyDescent="0.25">
      <c r="B2883" s="100"/>
      <c r="C2883" s="100"/>
      <c r="D2883" s="100"/>
      <c r="E2883" s="100"/>
      <c r="F2883" s="102"/>
      <c r="G2883" s="114"/>
    </row>
    <row r="2884" spans="2:7" ht="15.75" customHeight="1" x14ac:dyDescent="0.25">
      <c r="B2884" s="100"/>
      <c r="C2884" s="100"/>
      <c r="D2884" s="100"/>
      <c r="E2884" s="100"/>
      <c r="F2884" s="102"/>
      <c r="G2884" s="114"/>
    </row>
    <row r="2885" spans="2:7" ht="15.75" customHeight="1" x14ac:dyDescent="0.25">
      <c r="B2885" s="100"/>
      <c r="C2885" s="100"/>
      <c r="D2885" s="100"/>
      <c r="E2885" s="100"/>
      <c r="F2885" s="102"/>
      <c r="G2885" s="114"/>
    </row>
    <row r="2886" spans="2:7" ht="15.75" customHeight="1" x14ac:dyDescent="0.25">
      <c r="B2886" s="100"/>
      <c r="C2886" s="100"/>
      <c r="D2886" s="100"/>
      <c r="E2886" s="100"/>
      <c r="F2886" s="102"/>
      <c r="G2886" s="114"/>
    </row>
    <row r="2887" spans="2:7" ht="15.75" customHeight="1" x14ac:dyDescent="0.25">
      <c r="B2887" s="100"/>
      <c r="C2887" s="100"/>
      <c r="D2887" s="100"/>
      <c r="E2887" s="100"/>
      <c r="F2887" s="102"/>
      <c r="G2887" s="114"/>
    </row>
    <row r="2888" spans="2:7" ht="15.75" customHeight="1" x14ac:dyDescent="0.25">
      <c r="B2888" s="100"/>
      <c r="C2888" s="100"/>
      <c r="D2888" s="100"/>
      <c r="E2888" s="100"/>
      <c r="F2888" s="102"/>
      <c r="G2888" s="114"/>
    </row>
    <row r="2889" spans="2:7" ht="15.75" customHeight="1" x14ac:dyDescent="0.25">
      <c r="B2889" s="100"/>
      <c r="C2889" s="100"/>
      <c r="D2889" s="100"/>
      <c r="E2889" s="100"/>
      <c r="F2889" s="102"/>
      <c r="G2889" s="114"/>
    </row>
    <row r="2890" spans="2:7" ht="15.75" customHeight="1" x14ac:dyDescent="0.25">
      <c r="B2890" s="100"/>
      <c r="C2890" s="100"/>
      <c r="D2890" s="100"/>
      <c r="E2890" s="100"/>
      <c r="F2890" s="102"/>
      <c r="G2890" s="114"/>
    </row>
    <row r="2891" spans="2:7" ht="15.75" customHeight="1" x14ac:dyDescent="0.25">
      <c r="B2891" s="100"/>
      <c r="C2891" s="100"/>
      <c r="D2891" s="100"/>
      <c r="E2891" s="100"/>
      <c r="F2891" s="102"/>
      <c r="G2891" s="114"/>
    </row>
    <row r="2892" spans="2:7" ht="15.75" customHeight="1" x14ac:dyDescent="0.25">
      <c r="B2892" s="100"/>
      <c r="C2892" s="100"/>
      <c r="D2892" s="100"/>
      <c r="E2892" s="100"/>
      <c r="F2892" s="102"/>
      <c r="G2892" s="114"/>
    </row>
    <row r="2893" spans="2:7" ht="15.75" customHeight="1" x14ac:dyDescent="0.25">
      <c r="B2893" s="100"/>
      <c r="C2893" s="100"/>
      <c r="D2893" s="100"/>
      <c r="E2893" s="100"/>
      <c r="F2893" s="102"/>
      <c r="G2893" s="114"/>
    </row>
    <row r="2894" spans="2:7" ht="15.75" customHeight="1" x14ac:dyDescent="0.25">
      <c r="B2894" s="100"/>
      <c r="C2894" s="100"/>
      <c r="D2894" s="100"/>
      <c r="E2894" s="100"/>
      <c r="F2894" s="102"/>
      <c r="G2894" s="114"/>
    </row>
    <row r="2895" spans="2:7" ht="15.75" customHeight="1" x14ac:dyDescent="0.25">
      <c r="B2895" s="100"/>
      <c r="C2895" s="100"/>
      <c r="D2895" s="100"/>
      <c r="E2895" s="100"/>
      <c r="F2895" s="102"/>
      <c r="G2895" s="114"/>
    </row>
    <row r="2896" spans="2:7" ht="15.75" customHeight="1" x14ac:dyDescent="0.25">
      <c r="B2896" s="100"/>
      <c r="C2896" s="100"/>
      <c r="D2896" s="100"/>
      <c r="E2896" s="100"/>
      <c r="F2896" s="102"/>
      <c r="G2896" s="114"/>
    </row>
    <row r="2897" spans="2:7" ht="15.75" customHeight="1" x14ac:dyDescent="0.25">
      <c r="B2897" s="100"/>
      <c r="C2897" s="100"/>
      <c r="D2897" s="100"/>
      <c r="E2897" s="100"/>
      <c r="F2897" s="102"/>
      <c r="G2897" s="114"/>
    </row>
    <row r="2898" spans="2:7" ht="15.75" customHeight="1" x14ac:dyDescent="0.25">
      <c r="B2898" s="100"/>
      <c r="C2898" s="100"/>
      <c r="D2898" s="100"/>
      <c r="E2898" s="100"/>
      <c r="F2898" s="102"/>
      <c r="G2898" s="114"/>
    </row>
    <row r="2899" spans="2:7" ht="15.75" customHeight="1" x14ac:dyDescent="0.25">
      <c r="B2899" s="100"/>
      <c r="C2899" s="100"/>
      <c r="D2899" s="100"/>
      <c r="E2899" s="100"/>
      <c r="F2899" s="102"/>
      <c r="G2899" s="114"/>
    </row>
    <row r="2900" spans="2:7" ht="15.75" customHeight="1" x14ac:dyDescent="0.25">
      <c r="B2900" s="100"/>
      <c r="C2900" s="100"/>
      <c r="D2900" s="100"/>
      <c r="E2900" s="100"/>
      <c r="F2900" s="102"/>
      <c r="G2900" s="114"/>
    </row>
    <row r="2901" spans="2:7" ht="15.75" customHeight="1" x14ac:dyDescent="0.25">
      <c r="B2901" s="100"/>
      <c r="C2901" s="100"/>
      <c r="D2901" s="100"/>
      <c r="E2901" s="100"/>
      <c r="F2901" s="102"/>
      <c r="G2901" s="114"/>
    </row>
    <row r="2902" spans="2:7" ht="15.75" customHeight="1" x14ac:dyDescent="0.25">
      <c r="B2902" s="100"/>
      <c r="C2902" s="100"/>
      <c r="D2902" s="100"/>
      <c r="E2902" s="100"/>
      <c r="F2902" s="102"/>
      <c r="G2902" s="114"/>
    </row>
    <row r="2903" spans="2:7" ht="15.75" customHeight="1" x14ac:dyDescent="0.25">
      <c r="B2903" s="100"/>
      <c r="C2903" s="100"/>
      <c r="D2903" s="100"/>
      <c r="E2903" s="100"/>
      <c r="F2903" s="102"/>
      <c r="G2903" s="114"/>
    </row>
    <row r="2904" spans="2:7" ht="15.75" customHeight="1" x14ac:dyDescent="0.25">
      <c r="B2904" s="100"/>
      <c r="C2904" s="100"/>
      <c r="D2904" s="100"/>
      <c r="E2904" s="100"/>
      <c r="F2904" s="102"/>
      <c r="G2904" s="114"/>
    </row>
    <row r="2905" spans="2:7" ht="15.75" customHeight="1" x14ac:dyDescent="0.25">
      <c r="B2905" s="100"/>
      <c r="C2905" s="100"/>
      <c r="D2905" s="100"/>
      <c r="E2905" s="100"/>
      <c r="F2905" s="102"/>
      <c r="G2905" s="114"/>
    </row>
    <row r="2906" spans="2:7" ht="15.75" customHeight="1" x14ac:dyDescent="0.25">
      <c r="B2906" s="100"/>
      <c r="C2906" s="100"/>
      <c r="D2906" s="100"/>
      <c r="E2906" s="100"/>
      <c r="F2906" s="102"/>
      <c r="G2906" s="114"/>
    </row>
    <row r="2907" spans="2:7" ht="15.75" customHeight="1" x14ac:dyDescent="0.25">
      <c r="B2907" s="100"/>
      <c r="C2907" s="100"/>
      <c r="D2907" s="100"/>
      <c r="E2907" s="100"/>
      <c r="F2907" s="102"/>
      <c r="G2907" s="114"/>
    </row>
    <row r="2908" spans="2:7" ht="15.75" customHeight="1" x14ac:dyDescent="0.25">
      <c r="B2908" s="100"/>
      <c r="C2908" s="100"/>
      <c r="D2908" s="100"/>
      <c r="E2908" s="100"/>
      <c r="F2908" s="102"/>
      <c r="G2908" s="114"/>
    </row>
    <row r="2909" spans="2:7" ht="15.75" customHeight="1" x14ac:dyDescent="0.25">
      <c r="B2909" s="100"/>
      <c r="C2909" s="100"/>
      <c r="D2909" s="100"/>
      <c r="E2909" s="100"/>
      <c r="F2909" s="102"/>
      <c r="G2909" s="114"/>
    </row>
    <row r="2910" spans="2:7" ht="15.75" customHeight="1" x14ac:dyDescent="0.25">
      <c r="B2910" s="100"/>
      <c r="C2910" s="100"/>
      <c r="D2910" s="100"/>
      <c r="E2910" s="100"/>
      <c r="F2910" s="102"/>
      <c r="G2910" s="114"/>
    </row>
    <row r="2911" spans="2:7" ht="15.75" customHeight="1" x14ac:dyDescent="0.25">
      <c r="B2911" s="100"/>
      <c r="C2911" s="100"/>
      <c r="D2911" s="100"/>
      <c r="E2911" s="100"/>
      <c r="F2911" s="102"/>
      <c r="G2911" s="114"/>
    </row>
    <row r="2912" spans="2:7" ht="15.75" customHeight="1" x14ac:dyDescent="0.25">
      <c r="B2912" s="100"/>
      <c r="C2912" s="100"/>
      <c r="D2912" s="100"/>
      <c r="E2912" s="100"/>
      <c r="F2912" s="102"/>
      <c r="G2912" s="114"/>
    </row>
    <row r="2913" spans="2:7" ht="15.75" customHeight="1" x14ac:dyDescent="0.25">
      <c r="B2913" s="100"/>
      <c r="C2913" s="100"/>
      <c r="D2913" s="100"/>
      <c r="E2913" s="100"/>
      <c r="F2913" s="102"/>
      <c r="G2913" s="114"/>
    </row>
    <row r="2914" spans="2:7" ht="15.75" customHeight="1" x14ac:dyDescent="0.25">
      <c r="B2914" s="100"/>
      <c r="C2914" s="100"/>
      <c r="D2914" s="100"/>
      <c r="E2914" s="100"/>
      <c r="F2914" s="102"/>
      <c r="G2914" s="114"/>
    </row>
    <row r="2915" spans="2:7" ht="15.75" customHeight="1" x14ac:dyDescent="0.25">
      <c r="B2915" s="100"/>
      <c r="C2915" s="100"/>
      <c r="D2915" s="100"/>
      <c r="E2915" s="100"/>
      <c r="F2915" s="102"/>
      <c r="G2915" s="114"/>
    </row>
    <row r="2916" spans="2:7" ht="15.75" customHeight="1" x14ac:dyDescent="0.25">
      <c r="B2916" s="100"/>
      <c r="C2916" s="100"/>
      <c r="D2916" s="100"/>
      <c r="E2916" s="100"/>
      <c r="F2916" s="102"/>
      <c r="G2916" s="114"/>
    </row>
    <row r="2917" spans="2:7" ht="15.75" customHeight="1" x14ac:dyDescent="0.25">
      <c r="B2917" s="100"/>
      <c r="C2917" s="100"/>
      <c r="D2917" s="100"/>
      <c r="E2917" s="100"/>
      <c r="F2917" s="102"/>
      <c r="G2917" s="114"/>
    </row>
    <row r="2918" spans="2:7" ht="15.75" customHeight="1" x14ac:dyDescent="0.25">
      <c r="B2918" s="100"/>
      <c r="C2918" s="100"/>
      <c r="D2918" s="100"/>
      <c r="E2918" s="100"/>
      <c r="F2918" s="102"/>
      <c r="G2918" s="114"/>
    </row>
    <row r="2919" spans="2:7" ht="15.75" customHeight="1" x14ac:dyDescent="0.25">
      <c r="B2919" s="100"/>
      <c r="C2919" s="100"/>
      <c r="D2919" s="100"/>
      <c r="E2919" s="100"/>
      <c r="F2919" s="102"/>
      <c r="G2919" s="114"/>
    </row>
    <row r="2920" spans="2:7" ht="15.75" customHeight="1" x14ac:dyDescent="0.25">
      <c r="B2920" s="100"/>
      <c r="C2920" s="100"/>
      <c r="D2920" s="100"/>
      <c r="E2920" s="100"/>
      <c r="F2920" s="102"/>
      <c r="G2920" s="114"/>
    </row>
    <row r="2921" spans="2:7" ht="15.75" customHeight="1" x14ac:dyDescent="0.25">
      <c r="B2921" s="100"/>
      <c r="C2921" s="100"/>
      <c r="D2921" s="100"/>
      <c r="E2921" s="100"/>
      <c r="F2921" s="102"/>
      <c r="G2921" s="114"/>
    </row>
    <row r="2922" spans="2:7" ht="15.75" customHeight="1" x14ac:dyDescent="0.25">
      <c r="B2922" s="100"/>
      <c r="C2922" s="100"/>
      <c r="D2922" s="100"/>
      <c r="E2922" s="100"/>
      <c r="F2922" s="102"/>
      <c r="G2922" s="114"/>
    </row>
    <row r="2923" spans="2:7" ht="15.75" customHeight="1" x14ac:dyDescent="0.25">
      <c r="B2923" s="100"/>
      <c r="C2923" s="100"/>
      <c r="D2923" s="100"/>
      <c r="E2923" s="100"/>
      <c r="F2923" s="102"/>
      <c r="G2923" s="114"/>
    </row>
    <row r="2924" spans="2:7" ht="15.75" customHeight="1" x14ac:dyDescent="0.25">
      <c r="B2924" s="100"/>
      <c r="C2924" s="100"/>
      <c r="D2924" s="100"/>
      <c r="E2924" s="100"/>
      <c r="F2924" s="102"/>
      <c r="G2924" s="114"/>
    </row>
    <row r="2925" spans="2:7" ht="15.75" customHeight="1" x14ac:dyDescent="0.25">
      <c r="B2925" s="100"/>
      <c r="C2925" s="100"/>
      <c r="D2925" s="100"/>
      <c r="E2925" s="100"/>
      <c r="F2925" s="102"/>
      <c r="G2925" s="114"/>
    </row>
    <row r="2926" spans="2:7" ht="15.75" customHeight="1" x14ac:dyDescent="0.25">
      <c r="B2926" s="100"/>
      <c r="C2926" s="100"/>
      <c r="D2926" s="100"/>
      <c r="E2926" s="100"/>
      <c r="F2926" s="102"/>
      <c r="G2926" s="114"/>
    </row>
    <row r="2927" spans="2:7" ht="15.75" customHeight="1" x14ac:dyDescent="0.25">
      <c r="B2927" s="100"/>
      <c r="C2927" s="100"/>
      <c r="D2927" s="100"/>
      <c r="E2927" s="100"/>
      <c r="F2927" s="102"/>
      <c r="G2927" s="114"/>
    </row>
    <row r="2928" spans="2:7" ht="15.75" customHeight="1" x14ac:dyDescent="0.25">
      <c r="B2928" s="100"/>
      <c r="C2928" s="100"/>
      <c r="D2928" s="100"/>
      <c r="E2928" s="100"/>
      <c r="F2928" s="102"/>
      <c r="G2928" s="114"/>
    </row>
    <row r="2929" spans="2:7" ht="15.75" customHeight="1" x14ac:dyDescent="0.25">
      <c r="B2929" s="100"/>
      <c r="C2929" s="100"/>
      <c r="D2929" s="100"/>
      <c r="E2929" s="100"/>
      <c r="F2929" s="102"/>
      <c r="G2929" s="114"/>
    </row>
    <row r="2930" spans="2:7" ht="15.75" customHeight="1" x14ac:dyDescent="0.25">
      <c r="B2930" s="100"/>
      <c r="C2930" s="100"/>
      <c r="D2930" s="100"/>
      <c r="E2930" s="100"/>
      <c r="F2930" s="102"/>
      <c r="G2930" s="114"/>
    </row>
    <row r="2931" spans="2:7" ht="15.75" customHeight="1" x14ac:dyDescent="0.25">
      <c r="B2931" s="100"/>
      <c r="C2931" s="100"/>
      <c r="D2931" s="100"/>
      <c r="E2931" s="100"/>
      <c r="F2931" s="102"/>
      <c r="G2931" s="114"/>
    </row>
    <row r="2932" spans="2:7" ht="15.75" customHeight="1" x14ac:dyDescent="0.25">
      <c r="B2932" s="100"/>
      <c r="C2932" s="100"/>
      <c r="D2932" s="100"/>
      <c r="E2932" s="100"/>
      <c r="F2932" s="102"/>
      <c r="G2932" s="114"/>
    </row>
    <row r="2933" spans="2:7" ht="15.75" customHeight="1" x14ac:dyDescent="0.25">
      <c r="B2933" s="100"/>
      <c r="C2933" s="100"/>
      <c r="D2933" s="100"/>
      <c r="E2933" s="100"/>
      <c r="F2933" s="102"/>
      <c r="G2933" s="114"/>
    </row>
    <row r="2934" spans="2:7" ht="15.75" customHeight="1" x14ac:dyDescent="0.25">
      <c r="B2934" s="100"/>
      <c r="C2934" s="100"/>
      <c r="D2934" s="100"/>
      <c r="E2934" s="100"/>
      <c r="F2934" s="102"/>
      <c r="G2934" s="114"/>
    </row>
    <row r="2935" spans="2:7" ht="15.75" customHeight="1" x14ac:dyDescent="0.25">
      <c r="B2935" s="100"/>
      <c r="C2935" s="100"/>
      <c r="D2935" s="100"/>
      <c r="E2935" s="100"/>
      <c r="F2935" s="102"/>
      <c r="G2935" s="114"/>
    </row>
    <row r="2936" spans="2:7" ht="15.75" customHeight="1" x14ac:dyDescent="0.25">
      <c r="B2936" s="100"/>
      <c r="C2936" s="100"/>
      <c r="D2936" s="100"/>
      <c r="E2936" s="100"/>
      <c r="F2936" s="102"/>
      <c r="G2936" s="114"/>
    </row>
    <row r="2937" spans="2:7" ht="15.75" customHeight="1" x14ac:dyDescent="0.25">
      <c r="B2937" s="100"/>
      <c r="C2937" s="100"/>
      <c r="D2937" s="100"/>
      <c r="E2937" s="100"/>
      <c r="F2937" s="102"/>
      <c r="G2937" s="114"/>
    </row>
    <row r="2938" spans="2:7" ht="15.75" customHeight="1" x14ac:dyDescent="0.25">
      <c r="B2938" s="100"/>
      <c r="C2938" s="100"/>
      <c r="D2938" s="100"/>
      <c r="E2938" s="100"/>
      <c r="F2938" s="102"/>
      <c r="G2938" s="114"/>
    </row>
    <row r="2939" spans="2:7" ht="15.75" customHeight="1" x14ac:dyDescent="0.25">
      <c r="B2939" s="100"/>
      <c r="C2939" s="100"/>
      <c r="D2939" s="100"/>
      <c r="E2939" s="100"/>
      <c r="F2939" s="102"/>
      <c r="G2939" s="114"/>
    </row>
    <row r="2940" spans="2:7" ht="15.75" customHeight="1" x14ac:dyDescent="0.25">
      <c r="B2940" s="100"/>
      <c r="C2940" s="100"/>
      <c r="D2940" s="100"/>
      <c r="E2940" s="100"/>
      <c r="F2940" s="102"/>
      <c r="G2940" s="114"/>
    </row>
    <row r="2941" spans="2:7" ht="15.75" customHeight="1" x14ac:dyDescent="0.25">
      <c r="B2941" s="100"/>
      <c r="C2941" s="100"/>
      <c r="D2941" s="100"/>
      <c r="E2941" s="100"/>
      <c r="F2941" s="102"/>
      <c r="G2941" s="114"/>
    </row>
    <row r="2942" spans="2:7" ht="15.75" customHeight="1" x14ac:dyDescent="0.25">
      <c r="B2942" s="100"/>
      <c r="C2942" s="100"/>
      <c r="D2942" s="100"/>
      <c r="E2942" s="100"/>
      <c r="F2942" s="102"/>
      <c r="G2942" s="114"/>
    </row>
    <row r="2943" spans="2:7" ht="15.75" customHeight="1" x14ac:dyDescent="0.25">
      <c r="B2943" s="100"/>
      <c r="C2943" s="100"/>
      <c r="D2943" s="100"/>
      <c r="E2943" s="100"/>
      <c r="F2943" s="102"/>
      <c r="G2943" s="114"/>
    </row>
    <row r="2944" spans="2:7" ht="15.75" customHeight="1" x14ac:dyDescent="0.25">
      <c r="B2944" s="100"/>
      <c r="C2944" s="100"/>
      <c r="D2944" s="100"/>
      <c r="E2944" s="100"/>
      <c r="F2944" s="102"/>
      <c r="G2944" s="114"/>
    </row>
    <row r="2945" spans="2:7" ht="15.75" customHeight="1" x14ac:dyDescent="0.25">
      <c r="B2945" s="100"/>
      <c r="C2945" s="100"/>
      <c r="D2945" s="100"/>
      <c r="E2945" s="100"/>
      <c r="F2945" s="102"/>
      <c r="G2945" s="114"/>
    </row>
    <row r="2946" spans="2:7" ht="15.75" customHeight="1" x14ac:dyDescent="0.25">
      <c r="B2946" s="100"/>
      <c r="C2946" s="100"/>
      <c r="D2946" s="100"/>
      <c r="E2946" s="100"/>
      <c r="F2946" s="102"/>
      <c r="G2946" s="114"/>
    </row>
    <row r="2947" spans="2:7" ht="15.75" customHeight="1" x14ac:dyDescent="0.25">
      <c r="B2947" s="100"/>
      <c r="C2947" s="100"/>
      <c r="D2947" s="100"/>
      <c r="E2947" s="100"/>
      <c r="F2947" s="102"/>
      <c r="G2947" s="114"/>
    </row>
    <row r="2948" spans="2:7" ht="15.75" customHeight="1" x14ac:dyDescent="0.25">
      <c r="B2948" s="100"/>
      <c r="C2948" s="100"/>
      <c r="D2948" s="100"/>
      <c r="E2948" s="100"/>
      <c r="F2948" s="102"/>
      <c r="G2948" s="114"/>
    </row>
    <row r="2949" spans="2:7" ht="15.75" customHeight="1" x14ac:dyDescent="0.25">
      <c r="B2949" s="100"/>
      <c r="C2949" s="100"/>
      <c r="D2949" s="100"/>
      <c r="E2949" s="100"/>
      <c r="F2949" s="102"/>
      <c r="G2949" s="114"/>
    </row>
    <row r="2950" spans="2:7" ht="15.75" customHeight="1" x14ac:dyDescent="0.25">
      <c r="B2950" s="100"/>
      <c r="C2950" s="100"/>
      <c r="D2950" s="100"/>
      <c r="E2950" s="100"/>
      <c r="F2950" s="102"/>
      <c r="G2950" s="114"/>
    </row>
    <row r="2951" spans="2:7" ht="15.75" customHeight="1" x14ac:dyDescent="0.25">
      <c r="B2951" s="100"/>
      <c r="C2951" s="100"/>
      <c r="D2951" s="100"/>
      <c r="E2951" s="100"/>
      <c r="F2951" s="102"/>
      <c r="G2951" s="114"/>
    </row>
    <row r="2952" spans="2:7" ht="15.75" customHeight="1" x14ac:dyDescent="0.25">
      <c r="B2952" s="100"/>
      <c r="C2952" s="100"/>
      <c r="D2952" s="100"/>
      <c r="E2952" s="100"/>
      <c r="F2952" s="102"/>
      <c r="G2952" s="114"/>
    </row>
    <row r="2953" spans="2:7" ht="15.75" customHeight="1" x14ac:dyDescent="0.25">
      <c r="B2953" s="100"/>
      <c r="C2953" s="100"/>
      <c r="D2953" s="100"/>
      <c r="E2953" s="100"/>
      <c r="F2953" s="102"/>
      <c r="G2953" s="114"/>
    </row>
    <row r="2954" spans="2:7" ht="15.75" customHeight="1" x14ac:dyDescent="0.25">
      <c r="B2954" s="100"/>
      <c r="C2954" s="100"/>
      <c r="D2954" s="100"/>
      <c r="E2954" s="100"/>
      <c r="F2954" s="102"/>
      <c r="G2954" s="114"/>
    </row>
    <row r="2955" spans="2:7" ht="15.75" customHeight="1" x14ac:dyDescent="0.25">
      <c r="B2955" s="100"/>
      <c r="C2955" s="100"/>
      <c r="D2955" s="100"/>
      <c r="E2955" s="100"/>
      <c r="F2955" s="102"/>
      <c r="G2955" s="114"/>
    </row>
    <row r="2956" spans="2:7" ht="15.75" customHeight="1" x14ac:dyDescent="0.25">
      <c r="B2956" s="100"/>
      <c r="C2956" s="100"/>
      <c r="D2956" s="100"/>
      <c r="E2956" s="100"/>
      <c r="F2956" s="102"/>
      <c r="G2956" s="114"/>
    </row>
    <row r="2957" spans="2:7" ht="15.75" customHeight="1" x14ac:dyDescent="0.25">
      <c r="B2957" s="100"/>
      <c r="C2957" s="100"/>
      <c r="D2957" s="100"/>
      <c r="E2957" s="100"/>
      <c r="F2957" s="102"/>
      <c r="G2957" s="114"/>
    </row>
    <row r="2958" spans="2:7" ht="15.75" customHeight="1" x14ac:dyDescent="0.25">
      <c r="B2958" s="100"/>
      <c r="C2958" s="100"/>
      <c r="D2958" s="100"/>
      <c r="E2958" s="100"/>
      <c r="F2958" s="102"/>
      <c r="G2958" s="114"/>
    </row>
    <row r="2959" spans="2:7" ht="15.75" customHeight="1" x14ac:dyDescent="0.25">
      <c r="B2959" s="100"/>
      <c r="C2959" s="100"/>
      <c r="D2959" s="100"/>
      <c r="E2959" s="100"/>
      <c r="F2959" s="102"/>
      <c r="G2959" s="114"/>
    </row>
    <row r="2960" spans="2:7" ht="15.75" customHeight="1" x14ac:dyDescent="0.25">
      <c r="B2960" s="100"/>
      <c r="C2960" s="100"/>
      <c r="D2960" s="100"/>
      <c r="E2960" s="100"/>
      <c r="F2960" s="102"/>
      <c r="G2960" s="114"/>
    </row>
    <row r="2961" spans="2:7" ht="15.75" customHeight="1" x14ac:dyDescent="0.25">
      <c r="B2961" s="100"/>
      <c r="C2961" s="100"/>
      <c r="D2961" s="100"/>
      <c r="E2961" s="100"/>
      <c r="F2961" s="102"/>
      <c r="G2961" s="114"/>
    </row>
    <row r="2962" spans="2:7" ht="15.75" customHeight="1" x14ac:dyDescent="0.25">
      <c r="B2962" s="100"/>
      <c r="C2962" s="100"/>
      <c r="D2962" s="100"/>
      <c r="E2962" s="100"/>
      <c r="F2962" s="102"/>
      <c r="G2962" s="114"/>
    </row>
    <row r="2963" spans="2:7" ht="15.75" customHeight="1" x14ac:dyDescent="0.25">
      <c r="B2963" s="100"/>
      <c r="C2963" s="100"/>
      <c r="D2963" s="100"/>
      <c r="E2963" s="100"/>
      <c r="F2963" s="102"/>
      <c r="G2963" s="114"/>
    </row>
    <row r="2964" spans="2:7" ht="15.75" customHeight="1" x14ac:dyDescent="0.25">
      <c r="B2964" s="100"/>
      <c r="C2964" s="100"/>
      <c r="D2964" s="100"/>
      <c r="E2964" s="100"/>
      <c r="F2964" s="102"/>
      <c r="G2964" s="114"/>
    </row>
    <row r="2965" spans="2:7" ht="15.75" customHeight="1" x14ac:dyDescent="0.25">
      <c r="B2965" s="100"/>
      <c r="C2965" s="100"/>
      <c r="D2965" s="100"/>
      <c r="E2965" s="100"/>
      <c r="F2965" s="102"/>
      <c r="G2965" s="114"/>
    </row>
    <row r="2966" spans="2:7" ht="15.75" customHeight="1" x14ac:dyDescent="0.25">
      <c r="B2966" s="100"/>
      <c r="C2966" s="100"/>
      <c r="D2966" s="100"/>
      <c r="E2966" s="100"/>
      <c r="F2966" s="102"/>
      <c r="G2966" s="114"/>
    </row>
    <row r="2967" spans="2:7" ht="15.75" customHeight="1" x14ac:dyDescent="0.25">
      <c r="B2967" s="100"/>
      <c r="C2967" s="100"/>
      <c r="D2967" s="100"/>
      <c r="E2967" s="100"/>
      <c r="F2967" s="102"/>
      <c r="G2967" s="114"/>
    </row>
    <row r="2968" spans="2:7" ht="15.75" customHeight="1" x14ac:dyDescent="0.25">
      <c r="B2968" s="100"/>
      <c r="C2968" s="100"/>
      <c r="D2968" s="100"/>
      <c r="E2968" s="100"/>
      <c r="F2968" s="102"/>
      <c r="G2968" s="114"/>
    </row>
    <row r="2969" spans="2:7" ht="15.75" customHeight="1" x14ac:dyDescent="0.25">
      <c r="B2969" s="100"/>
      <c r="C2969" s="100"/>
      <c r="D2969" s="100"/>
      <c r="E2969" s="100"/>
      <c r="F2969" s="102"/>
      <c r="G2969" s="114"/>
    </row>
    <row r="2970" spans="2:7" ht="15.75" customHeight="1" x14ac:dyDescent="0.25">
      <c r="B2970" s="100"/>
      <c r="C2970" s="100"/>
      <c r="D2970" s="100"/>
      <c r="E2970" s="100"/>
      <c r="F2970" s="102"/>
      <c r="G2970" s="114"/>
    </row>
    <row r="2971" spans="2:7" ht="15.75" customHeight="1" x14ac:dyDescent="0.25">
      <c r="B2971" s="100"/>
      <c r="C2971" s="100"/>
      <c r="D2971" s="100"/>
      <c r="E2971" s="100"/>
      <c r="F2971" s="102"/>
      <c r="G2971" s="114"/>
    </row>
    <row r="2972" spans="2:7" ht="15.75" customHeight="1" x14ac:dyDescent="0.25">
      <c r="B2972" s="100"/>
      <c r="C2972" s="100"/>
      <c r="D2972" s="100"/>
      <c r="E2972" s="100"/>
      <c r="F2972" s="102"/>
      <c r="G2972" s="114"/>
    </row>
    <row r="2973" spans="2:7" ht="15.75" customHeight="1" x14ac:dyDescent="0.25">
      <c r="B2973" s="100"/>
      <c r="C2973" s="100"/>
      <c r="D2973" s="100"/>
      <c r="E2973" s="100"/>
      <c r="F2973" s="102"/>
      <c r="G2973" s="114"/>
    </row>
    <row r="2974" spans="2:7" ht="15.75" customHeight="1" x14ac:dyDescent="0.25">
      <c r="B2974" s="100"/>
      <c r="C2974" s="100"/>
      <c r="D2974" s="100"/>
      <c r="E2974" s="100"/>
      <c r="F2974" s="102"/>
      <c r="G2974" s="114"/>
    </row>
    <row r="2975" spans="2:7" ht="15.75" customHeight="1" x14ac:dyDescent="0.25">
      <c r="B2975" s="100"/>
      <c r="C2975" s="100"/>
      <c r="D2975" s="100"/>
      <c r="E2975" s="100"/>
      <c r="F2975" s="102"/>
      <c r="G2975" s="114"/>
    </row>
    <row r="2976" spans="2:7" ht="15.75" customHeight="1" x14ac:dyDescent="0.25">
      <c r="B2976" s="100"/>
      <c r="C2976" s="100"/>
      <c r="D2976" s="100"/>
      <c r="E2976" s="100"/>
      <c r="F2976" s="102"/>
      <c r="G2976" s="114"/>
    </row>
    <row r="2977" spans="2:7" ht="15.75" customHeight="1" x14ac:dyDescent="0.25">
      <c r="B2977" s="100"/>
      <c r="C2977" s="100"/>
      <c r="D2977" s="100"/>
      <c r="E2977" s="100"/>
      <c r="F2977" s="102"/>
      <c r="G2977" s="114"/>
    </row>
    <row r="2978" spans="2:7" ht="15.75" customHeight="1" x14ac:dyDescent="0.25">
      <c r="B2978" s="100"/>
      <c r="C2978" s="100"/>
      <c r="D2978" s="100"/>
      <c r="E2978" s="100"/>
      <c r="F2978" s="102"/>
      <c r="G2978" s="114"/>
    </row>
    <row r="2979" spans="2:7" ht="15.75" customHeight="1" x14ac:dyDescent="0.25">
      <c r="B2979" s="100"/>
      <c r="C2979" s="100"/>
      <c r="D2979" s="100"/>
      <c r="E2979" s="100"/>
      <c r="F2979" s="102"/>
      <c r="G2979" s="114"/>
    </row>
    <row r="2980" spans="2:7" ht="15.75" customHeight="1" x14ac:dyDescent="0.25">
      <c r="B2980" s="100"/>
      <c r="C2980" s="100"/>
      <c r="D2980" s="100"/>
      <c r="E2980" s="100"/>
      <c r="F2980" s="102"/>
      <c r="G2980" s="114"/>
    </row>
    <row r="2981" spans="2:7" ht="15.75" customHeight="1" x14ac:dyDescent="0.25">
      <c r="B2981" s="100"/>
      <c r="C2981" s="100"/>
      <c r="D2981" s="100"/>
      <c r="E2981" s="100"/>
      <c r="F2981" s="102"/>
      <c r="G2981" s="114"/>
    </row>
    <row r="2982" spans="2:7" ht="15.75" customHeight="1" x14ac:dyDescent="0.25">
      <c r="B2982" s="100"/>
      <c r="C2982" s="100"/>
      <c r="D2982" s="100"/>
      <c r="E2982" s="100"/>
      <c r="F2982" s="102"/>
      <c r="G2982" s="114"/>
    </row>
    <row r="2983" spans="2:7" ht="15.75" customHeight="1" x14ac:dyDescent="0.25">
      <c r="B2983" s="100"/>
      <c r="C2983" s="100"/>
      <c r="D2983" s="100"/>
      <c r="E2983" s="100"/>
      <c r="F2983" s="102"/>
      <c r="G2983" s="114"/>
    </row>
    <row r="2984" spans="2:7" ht="15.75" customHeight="1" x14ac:dyDescent="0.25">
      <c r="B2984" s="100"/>
      <c r="C2984" s="100"/>
      <c r="D2984" s="100"/>
      <c r="E2984" s="100"/>
      <c r="F2984" s="102"/>
      <c r="G2984" s="114"/>
    </row>
    <row r="2985" spans="2:7" ht="15.75" customHeight="1" x14ac:dyDescent="0.25">
      <c r="B2985" s="100"/>
      <c r="C2985" s="100"/>
      <c r="D2985" s="100"/>
      <c r="E2985" s="100"/>
      <c r="F2985" s="102"/>
      <c r="G2985" s="114"/>
    </row>
    <row r="2986" spans="2:7" ht="15.75" customHeight="1" x14ac:dyDescent="0.25">
      <c r="B2986" s="100"/>
      <c r="C2986" s="100"/>
      <c r="D2986" s="100"/>
      <c r="E2986" s="100"/>
      <c r="F2986" s="102"/>
      <c r="G2986" s="114"/>
    </row>
    <row r="2987" spans="2:7" ht="15.75" customHeight="1" x14ac:dyDescent="0.25">
      <c r="B2987" s="100"/>
      <c r="C2987" s="100"/>
      <c r="D2987" s="100"/>
      <c r="E2987" s="100"/>
      <c r="F2987" s="102"/>
      <c r="G2987" s="114"/>
    </row>
    <row r="2988" spans="2:7" ht="15.75" customHeight="1" x14ac:dyDescent="0.25">
      <c r="B2988" s="100"/>
      <c r="C2988" s="100"/>
      <c r="D2988" s="100"/>
      <c r="E2988" s="100"/>
      <c r="F2988" s="102"/>
      <c r="G2988" s="114"/>
    </row>
    <row r="2989" spans="2:7" ht="15.75" customHeight="1" x14ac:dyDescent="0.25">
      <c r="B2989" s="100"/>
      <c r="C2989" s="100"/>
      <c r="D2989" s="100"/>
      <c r="E2989" s="100"/>
      <c r="F2989" s="102"/>
      <c r="G2989" s="114"/>
    </row>
    <row r="2990" spans="2:7" ht="15.75" customHeight="1" x14ac:dyDescent="0.25">
      <c r="B2990" s="100"/>
      <c r="C2990" s="100"/>
      <c r="D2990" s="100"/>
      <c r="E2990" s="100"/>
      <c r="F2990" s="102"/>
      <c r="G2990" s="114"/>
    </row>
    <row r="2991" spans="2:7" ht="15.75" customHeight="1" x14ac:dyDescent="0.25">
      <c r="B2991" s="100"/>
      <c r="C2991" s="100"/>
      <c r="D2991" s="100"/>
      <c r="E2991" s="100"/>
      <c r="F2991" s="102"/>
      <c r="G2991" s="114"/>
    </row>
    <row r="2992" spans="2:7" ht="15.75" customHeight="1" x14ac:dyDescent="0.25">
      <c r="B2992" s="100"/>
      <c r="C2992" s="100"/>
      <c r="D2992" s="100"/>
      <c r="E2992" s="100"/>
      <c r="F2992" s="102"/>
      <c r="G2992" s="114"/>
    </row>
    <row r="2993" spans="2:7" ht="15.75" customHeight="1" x14ac:dyDescent="0.25">
      <c r="B2993" s="100"/>
      <c r="C2993" s="100"/>
      <c r="D2993" s="100"/>
      <c r="E2993" s="100"/>
      <c r="F2993" s="102"/>
      <c r="G2993" s="114"/>
    </row>
    <row r="2994" spans="2:7" ht="15.75" customHeight="1" x14ac:dyDescent="0.25">
      <c r="B2994" s="100"/>
      <c r="C2994" s="100"/>
      <c r="D2994" s="100"/>
      <c r="E2994" s="100"/>
      <c r="F2994" s="102"/>
      <c r="G2994" s="114"/>
    </row>
    <row r="2995" spans="2:7" ht="15.75" customHeight="1" x14ac:dyDescent="0.25">
      <c r="B2995" s="100"/>
      <c r="C2995" s="100"/>
      <c r="D2995" s="100"/>
      <c r="E2995" s="100"/>
      <c r="F2995" s="102"/>
      <c r="G2995" s="114"/>
    </row>
    <row r="2996" spans="2:7" ht="15.75" customHeight="1" x14ac:dyDescent="0.25">
      <c r="B2996" s="100"/>
      <c r="C2996" s="100"/>
      <c r="D2996" s="100"/>
      <c r="E2996" s="100"/>
      <c r="F2996" s="102"/>
      <c r="G2996" s="114"/>
    </row>
    <row r="2997" spans="2:7" ht="15.75" customHeight="1" x14ac:dyDescent="0.25">
      <c r="B2997" s="100"/>
      <c r="C2997" s="100"/>
      <c r="D2997" s="100"/>
      <c r="E2997" s="100"/>
      <c r="F2997" s="102"/>
      <c r="G2997" s="114"/>
    </row>
    <row r="2998" spans="2:7" ht="15.75" customHeight="1" x14ac:dyDescent="0.25">
      <c r="B2998" s="100"/>
      <c r="C2998" s="100"/>
      <c r="D2998" s="100"/>
      <c r="E2998" s="100"/>
      <c r="F2998" s="102"/>
      <c r="G2998" s="114"/>
    </row>
    <row r="2999" spans="2:7" ht="15.75" customHeight="1" x14ac:dyDescent="0.25">
      <c r="B2999" s="100"/>
      <c r="C2999" s="100"/>
      <c r="D2999" s="100"/>
      <c r="E2999" s="100"/>
      <c r="F2999" s="102"/>
      <c r="G2999" s="114"/>
    </row>
    <row r="3000" spans="2:7" ht="15.75" customHeight="1" x14ac:dyDescent="0.25">
      <c r="B3000" s="100"/>
      <c r="C3000" s="100"/>
      <c r="D3000" s="100"/>
      <c r="E3000" s="100"/>
      <c r="F3000" s="102"/>
      <c r="G3000" s="114"/>
    </row>
    <row r="3001" spans="2:7" ht="15.75" customHeight="1" x14ac:dyDescent="0.25">
      <c r="B3001" s="100"/>
      <c r="C3001" s="100"/>
      <c r="D3001" s="100"/>
      <c r="E3001" s="100"/>
      <c r="F3001" s="102"/>
      <c r="G3001" s="114"/>
    </row>
    <row r="3002" spans="2:7" ht="15.75" customHeight="1" x14ac:dyDescent="0.25">
      <c r="B3002" s="100"/>
      <c r="C3002" s="100"/>
      <c r="D3002" s="100"/>
      <c r="E3002" s="100"/>
      <c r="F3002" s="102"/>
      <c r="G3002" s="114"/>
    </row>
    <row r="3003" spans="2:7" ht="15.75" customHeight="1" x14ac:dyDescent="0.25">
      <c r="B3003" s="100"/>
      <c r="C3003" s="100"/>
      <c r="D3003" s="100"/>
      <c r="E3003" s="100"/>
      <c r="F3003" s="102"/>
      <c r="G3003" s="114"/>
    </row>
    <row r="3004" spans="2:7" ht="15.75" customHeight="1" x14ac:dyDescent="0.25">
      <c r="B3004" s="100"/>
      <c r="C3004" s="100"/>
      <c r="D3004" s="100"/>
      <c r="E3004" s="100"/>
      <c r="F3004" s="102"/>
      <c r="G3004" s="114"/>
    </row>
    <row r="3005" spans="2:7" ht="15.75" customHeight="1" x14ac:dyDescent="0.25">
      <c r="B3005" s="100"/>
      <c r="C3005" s="100"/>
      <c r="D3005" s="100"/>
      <c r="E3005" s="100"/>
      <c r="F3005" s="102"/>
      <c r="G3005" s="114"/>
    </row>
    <row r="3006" spans="2:7" ht="15.75" customHeight="1" x14ac:dyDescent="0.25">
      <c r="B3006" s="100"/>
      <c r="C3006" s="100"/>
      <c r="D3006" s="100"/>
      <c r="E3006" s="100"/>
      <c r="F3006" s="102"/>
      <c r="G3006" s="114"/>
    </row>
    <row r="3007" spans="2:7" ht="15.75" customHeight="1" x14ac:dyDescent="0.25">
      <c r="B3007" s="100"/>
      <c r="C3007" s="100"/>
      <c r="D3007" s="100"/>
      <c r="E3007" s="100"/>
      <c r="F3007" s="102"/>
      <c r="G3007" s="114"/>
    </row>
    <row r="3008" spans="2:7" ht="15.75" customHeight="1" x14ac:dyDescent="0.25">
      <c r="B3008" s="100"/>
      <c r="C3008" s="100"/>
      <c r="D3008" s="100"/>
      <c r="E3008" s="100"/>
      <c r="F3008" s="102"/>
      <c r="G3008" s="114"/>
    </row>
    <row r="3009" spans="2:7" ht="15.75" customHeight="1" x14ac:dyDescent="0.25">
      <c r="B3009" s="100"/>
      <c r="C3009" s="100"/>
      <c r="D3009" s="100"/>
      <c r="E3009" s="100"/>
      <c r="F3009" s="102"/>
      <c r="G3009" s="114"/>
    </row>
    <row r="3010" spans="2:7" ht="15.75" customHeight="1" x14ac:dyDescent="0.25">
      <c r="B3010" s="100"/>
      <c r="C3010" s="100"/>
      <c r="D3010" s="100"/>
      <c r="E3010" s="100"/>
      <c r="F3010" s="102"/>
      <c r="G3010" s="114"/>
    </row>
    <row r="3011" spans="2:7" ht="15.75" customHeight="1" x14ac:dyDescent="0.25">
      <c r="B3011" s="100"/>
      <c r="C3011" s="100"/>
      <c r="D3011" s="100"/>
      <c r="E3011" s="100"/>
      <c r="F3011" s="102"/>
      <c r="G3011" s="114"/>
    </row>
    <row r="3012" spans="2:7" ht="15.75" customHeight="1" x14ac:dyDescent="0.25">
      <c r="B3012" s="100"/>
      <c r="C3012" s="100"/>
      <c r="D3012" s="100"/>
      <c r="E3012" s="100"/>
      <c r="F3012" s="102"/>
      <c r="G3012" s="114"/>
    </row>
    <row r="3013" spans="2:7" ht="15.75" customHeight="1" x14ac:dyDescent="0.25">
      <c r="B3013" s="100"/>
      <c r="C3013" s="100"/>
      <c r="D3013" s="100"/>
      <c r="E3013" s="100"/>
      <c r="F3013" s="102"/>
      <c r="G3013" s="114"/>
    </row>
    <row r="3014" spans="2:7" ht="15.75" customHeight="1" x14ac:dyDescent="0.25">
      <c r="B3014" s="100"/>
      <c r="C3014" s="100"/>
      <c r="D3014" s="100"/>
      <c r="E3014" s="100"/>
      <c r="F3014" s="102"/>
      <c r="G3014" s="114"/>
    </row>
    <row r="3015" spans="2:7" ht="15.75" customHeight="1" x14ac:dyDescent="0.25">
      <c r="B3015" s="100"/>
      <c r="C3015" s="100"/>
      <c r="D3015" s="100"/>
      <c r="E3015" s="100"/>
      <c r="F3015" s="102"/>
      <c r="G3015" s="114"/>
    </row>
    <row r="3016" spans="2:7" ht="15.75" customHeight="1" x14ac:dyDescent="0.25">
      <c r="B3016" s="100"/>
      <c r="C3016" s="100"/>
      <c r="D3016" s="100"/>
      <c r="E3016" s="100"/>
      <c r="F3016" s="102"/>
      <c r="G3016" s="114"/>
    </row>
    <row r="3017" spans="2:7" ht="15.75" customHeight="1" x14ac:dyDescent="0.25">
      <c r="B3017" s="100"/>
      <c r="C3017" s="100"/>
      <c r="D3017" s="100"/>
      <c r="E3017" s="100"/>
      <c r="F3017" s="102"/>
      <c r="G3017" s="114"/>
    </row>
    <row r="3018" spans="2:7" ht="15.75" customHeight="1" x14ac:dyDescent="0.25">
      <c r="B3018" s="100"/>
      <c r="C3018" s="100"/>
      <c r="D3018" s="100"/>
      <c r="E3018" s="100"/>
      <c r="F3018" s="102"/>
      <c r="G3018" s="114"/>
    </row>
    <row r="3019" spans="2:7" ht="15.75" customHeight="1" x14ac:dyDescent="0.25">
      <c r="B3019" s="100"/>
      <c r="C3019" s="100"/>
      <c r="D3019" s="100"/>
      <c r="E3019" s="100"/>
      <c r="F3019" s="102"/>
      <c r="G3019" s="114"/>
    </row>
    <row r="3020" spans="2:7" ht="15.75" customHeight="1" x14ac:dyDescent="0.25">
      <c r="B3020" s="100"/>
      <c r="C3020" s="100"/>
      <c r="D3020" s="100"/>
      <c r="E3020" s="100"/>
      <c r="F3020" s="102"/>
      <c r="G3020" s="114"/>
    </row>
    <row r="3021" spans="2:7" ht="15.75" customHeight="1" x14ac:dyDescent="0.25">
      <c r="B3021" s="100"/>
      <c r="C3021" s="100"/>
      <c r="D3021" s="100"/>
      <c r="E3021" s="100"/>
      <c r="F3021" s="102"/>
      <c r="G3021" s="114"/>
    </row>
    <row r="3022" spans="2:7" ht="15.75" customHeight="1" x14ac:dyDescent="0.25">
      <c r="B3022" s="100"/>
      <c r="C3022" s="100"/>
      <c r="D3022" s="100"/>
      <c r="E3022" s="100"/>
      <c r="F3022" s="102"/>
      <c r="G3022" s="114"/>
    </row>
    <row r="3023" spans="2:7" ht="15.75" customHeight="1" x14ac:dyDescent="0.25">
      <c r="B3023" s="100"/>
      <c r="C3023" s="100"/>
      <c r="D3023" s="100"/>
      <c r="E3023" s="100"/>
      <c r="F3023" s="102"/>
      <c r="G3023" s="114"/>
    </row>
    <row r="3024" spans="2:7" ht="15.75" customHeight="1" x14ac:dyDescent="0.25">
      <c r="B3024" s="100"/>
      <c r="C3024" s="100"/>
      <c r="D3024" s="100"/>
      <c r="E3024" s="100"/>
      <c r="F3024" s="102"/>
      <c r="G3024" s="114"/>
    </row>
    <row r="3025" spans="2:7" ht="15.75" customHeight="1" x14ac:dyDescent="0.25">
      <c r="B3025" s="100"/>
      <c r="C3025" s="100"/>
      <c r="D3025" s="100"/>
      <c r="E3025" s="100"/>
      <c r="F3025" s="102"/>
      <c r="G3025" s="114"/>
    </row>
    <row r="3026" spans="2:7" ht="15.75" customHeight="1" x14ac:dyDescent="0.25">
      <c r="B3026" s="100"/>
      <c r="C3026" s="100"/>
      <c r="D3026" s="100"/>
      <c r="E3026" s="100"/>
      <c r="F3026" s="102"/>
      <c r="G3026" s="114"/>
    </row>
    <row r="3027" spans="2:7" ht="15.75" customHeight="1" x14ac:dyDescent="0.25">
      <c r="B3027" s="100"/>
      <c r="C3027" s="100"/>
      <c r="D3027" s="100"/>
      <c r="E3027" s="100"/>
      <c r="F3027" s="102"/>
      <c r="G3027" s="114"/>
    </row>
    <row r="3028" spans="2:7" ht="15.75" customHeight="1" x14ac:dyDescent="0.25">
      <c r="B3028" s="100"/>
      <c r="C3028" s="100"/>
      <c r="D3028" s="100"/>
      <c r="E3028" s="100"/>
      <c r="F3028" s="102"/>
      <c r="G3028" s="114"/>
    </row>
    <row r="3029" spans="2:7" ht="15.75" customHeight="1" x14ac:dyDescent="0.25">
      <c r="B3029" s="100"/>
      <c r="C3029" s="100"/>
      <c r="D3029" s="100"/>
      <c r="E3029" s="100"/>
      <c r="F3029" s="102"/>
      <c r="G3029" s="114"/>
    </row>
    <row r="3030" spans="2:7" ht="15.75" customHeight="1" x14ac:dyDescent="0.25">
      <c r="B3030" s="100"/>
      <c r="C3030" s="100"/>
      <c r="D3030" s="100"/>
      <c r="E3030" s="100"/>
      <c r="F3030" s="102"/>
      <c r="G3030" s="114"/>
    </row>
    <row r="3031" spans="2:7" ht="15.75" customHeight="1" x14ac:dyDescent="0.25">
      <c r="B3031" s="100"/>
      <c r="C3031" s="100"/>
      <c r="D3031" s="100"/>
      <c r="E3031" s="100"/>
      <c r="F3031" s="102"/>
      <c r="G3031" s="114"/>
    </row>
    <row r="3032" spans="2:7" ht="15.75" customHeight="1" x14ac:dyDescent="0.25">
      <c r="B3032" s="100"/>
      <c r="C3032" s="100"/>
      <c r="D3032" s="100"/>
      <c r="E3032" s="100"/>
      <c r="F3032" s="102"/>
      <c r="G3032" s="114"/>
    </row>
    <row r="3033" spans="2:7" ht="15.75" customHeight="1" x14ac:dyDescent="0.25">
      <c r="B3033" s="100"/>
      <c r="C3033" s="100"/>
      <c r="D3033" s="100"/>
      <c r="E3033" s="100"/>
      <c r="F3033" s="102"/>
      <c r="G3033" s="114"/>
    </row>
    <row r="3034" spans="2:7" ht="15.75" customHeight="1" x14ac:dyDescent="0.25">
      <c r="B3034" s="100"/>
      <c r="C3034" s="100"/>
      <c r="D3034" s="100"/>
      <c r="E3034" s="100"/>
      <c r="F3034" s="102"/>
      <c r="G3034" s="114"/>
    </row>
    <row r="3035" spans="2:7" ht="15.75" customHeight="1" x14ac:dyDescent="0.25">
      <c r="B3035" s="100"/>
      <c r="C3035" s="100"/>
      <c r="D3035" s="100"/>
      <c r="E3035" s="100"/>
      <c r="F3035" s="102"/>
      <c r="G3035" s="114"/>
    </row>
    <row r="3036" spans="2:7" ht="15.75" customHeight="1" x14ac:dyDescent="0.25">
      <c r="B3036" s="100"/>
      <c r="C3036" s="100"/>
      <c r="D3036" s="100"/>
      <c r="E3036" s="100"/>
      <c r="F3036" s="102"/>
      <c r="G3036" s="114"/>
    </row>
    <row r="3037" spans="2:7" ht="15.75" customHeight="1" x14ac:dyDescent="0.25">
      <c r="B3037" s="100"/>
      <c r="C3037" s="100"/>
      <c r="D3037" s="100"/>
      <c r="E3037" s="100"/>
      <c r="F3037" s="102"/>
      <c r="G3037" s="114"/>
    </row>
    <row r="3038" spans="2:7" ht="15.75" customHeight="1" x14ac:dyDescent="0.25">
      <c r="B3038" s="100"/>
      <c r="C3038" s="100"/>
      <c r="D3038" s="100"/>
      <c r="E3038" s="100"/>
      <c r="F3038" s="102"/>
      <c r="G3038" s="114"/>
    </row>
    <row r="3039" spans="2:7" ht="15.75" customHeight="1" x14ac:dyDescent="0.25">
      <c r="B3039" s="100"/>
      <c r="C3039" s="100"/>
      <c r="D3039" s="100"/>
      <c r="E3039" s="100"/>
      <c r="F3039" s="102"/>
      <c r="G3039" s="114"/>
    </row>
    <row r="3040" spans="2:7" ht="15.75" customHeight="1" x14ac:dyDescent="0.25">
      <c r="B3040" s="100"/>
      <c r="C3040" s="100"/>
      <c r="D3040" s="100"/>
      <c r="E3040" s="100"/>
      <c r="F3040" s="102"/>
      <c r="G3040" s="114"/>
    </row>
    <row r="3041" spans="2:7" ht="15.75" customHeight="1" x14ac:dyDescent="0.25">
      <c r="B3041" s="100"/>
      <c r="C3041" s="100"/>
      <c r="D3041" s="100"/>
      <c r="E3041" s="100"/>
      <c r="F3041" s="102"/>
      <c r="G3041" s="114"/>
    </row>
    <row r="3042" spans="2:7" ht="15.75" customHeight="1" x14ac:dyDescent="0.25">
      <c r="B3042" s="100"/>
      <c r="C3042" s="100"/>
      <c r="D3042" s="100"/>
      <c r="E3042" s="100"/>
      <c r="F3042" s="102"/>
      <c r="G3042" s="114"/>
    </row>
    <row r="3043" spans="2:7" ht="15.75" customHeight="1" x14ac:dyDescent="0.25">
      <c r="B3043" s="100"/>
      <c r="C3043" s="100"/>
      <c r="D3043" s="100"/>
      <c r="E3043" s="100"/>
      <c r="F3043" s="102"/>
      <c r="G3043" s="114"/>
    </row>
    <row r="3044" spans="2:7" ht="15.75" customHeight="1" x14ac:dyDescent="0.25">
      <c r="B3044" s="100"/>
      <c r="C3044" s="100"/>
      <c r="D3044" s="100"/>
      <c r="E3044" s="100"/>
      <c r="F3044" s="102"/>
      <c r="G3044" s="114"/>
    </row>
    <row r="3045" spans="2:7" ht="15.75" customHeight="1" x14ac:dyDescent="0.25">
      <c r="B3045" s="100"/>
      <c r="C3045" s="100"/>
      <c r="D3045" s="100"/>
      <c r="E3045" s="100"/>
      <c r="F3045" s="102"/>
      <c r="G3045" s="114"/>
    </row>
    <row r="3046" spans="2:7" ht="15.75" customHeight="1" x14ac:dyDescent="0.25">
      <c r="B3046" s="100"/>
      <c r="C3046" s="100"/>
      <c r="D3046" s="100"/>
      <c r="E3046" s="100"/>
      <c r="F3046" s="102"/>
      <c r="G3046" s="114"/>
    </row>
    <row r="3047" spans="2:7" ht="15.75" customHeight="1" x14ac:dyDescent="0.25">
      <c r="B3047" s="100"/>
      <c r="C3047" s="100"/>
      <c r="D3047" s="100"/>
      <c r="E3047" s="100"/>
      <c r="F3047" s="102"/>
      <c r="G3047" s="114"/>
    </row>
    <row r="3048" spans="2:7" ht="15.75" customHeight="1" x14ac:dyDescent="0.25">
      <c r="B3048" s="100"/>
      <c r="C3048" s="100"/>
      <c r="D3048" s="100"/>
      <c r="E3048" s="100"/>
      <c r="F3048" s="102"/>
      <c r="G3048" s="114"/>
    </row>
    <row r="3049" spans="2:7" ht="15.75" customHeight="1" x14ac:dyDescent="0.25">
      <c r="B3049" s="100"/>
      <c r="C3049" s="100"/>
      <c r="D3049" s="100"/>
      <c r="E3049" s="100"/>
      <c r="F3049" s="102"/>
      <c r="G3049" s="114"/>
    </row>
    <row r="3050" spans="2:7" ht="15.75" customHeight="1" x14ac:dyDescent="0.25">
      <c r="B3050" s="100"/>
      <c r="C3050" s="100"/>
      <c r="D3050" s="100"/>
      <c r="E3050" s="100"/>
      <c r="F3050" s="102"/>
      <c r="G3050" s="114"/>
    </row>
    <row r="3051" spans="2:7" ht="15.75" customHeight="1" x14ac:dyDescent="0.25">
      <c r="B3051" s="100"/>
      <c r="C3051" s="100"/>
      <c r="D3051" s="100"/>
      <c r="E3051" s="100"/>
      <c r="F3051" s="102"/>
      <c r="G3051" s="114"/>
    </row>
    <row r="3052" spans="2:7" ht="15.75" customHeight="1" x14ac:dyDescent="0.25">
      <c r="B3052" s="100"/>
      <c r="C3052" s="100"/>
      <c r="D3052" s="100"/>
      <c r="E3052" s="100"/>
      <c r="F3052" s="102"/>
      <c r="G3052" s="114"/>
    </row>
    <row r="3053" spans="2:7" ht="15.75" customHeight="1" x14ac:dyDescent="0.25">
      <c r="B3053" s="100"/>
      <c r="C3053" s="100"/>
      <c r="D3053" s="100"/>
      <c r="E3053" s="100"/>
      <c r="F3053" s="102"/>
      <c r="G3053" s="114"/>
    </row>
    <row r="3054" spans="2:7" ht="15.75" customHeight="1" x14ac:dyDescent="0.25">
      <c r="B3054" s="100"/>
      <c r="C3054" s="100"/>
      <c r="D3054" s="100"/>
      <c r="E3054" s="100"/>
      <c r="F3054" s="102"/>
      <c r="G3054" s="114"/>
    </row>
    <row r="3055" spans="2:7" ht="15.75" customHeight="1" x14ac:dyDescent="0.25">
      <c r="B3055" s="100"/>
      <c r="C3055" s="100"/>
      <c r="D3055" s="100"/>
      <c r="E3055" s="100"/>
      <c r="F3055" s="102"/>
      <c r="G3055" s="114"/>
    </row>
    <row r="3056" spans="2:7" ht="15.75" customHeight="1" x14ac:dyDescent="0.25">
      <c r="B3056" s="100"/>
      <c r="C3056" s="100"/>
      <c r="D3056" s="100"/>
      <c r="E3056" s="100"/>
      <c r="F3056" s="102"/>
      <c r="G3056" s="114"/>
    </row>
    <row r="3057" spans="2:7" ht="15.75" customHeight="1" x14ac:dyDescent="0.25">
      <c r="B3057" s="100"/>
      <c r="C3057" s="100"/>
      <c r="D3057" s="100"/>
      <c r="E3057" s="100"/>
      <c r="F3057" s="102"/>
      <c r="G3057" s="114"/>
    </row>
    <row r="3058" spans="2:7" ht="15.75" customHeight="1" x14ac:dyDescent="0.25">
      <c r="B3058" s="100"/>
      <c r="C3058" s="100"/>
      <c r="D3058" s="100"/>
      <c r="E3058" s="100"/>
      <c r="F3058" s="102"/>
      <c r="G3058" s="114"/>
    </row>
    <row r="3059" spans="2:7" ht="15.75" customHeight="1" x14ac:dyDescent="0.25">
      <c r="B3059" s="100"/>
      <c r="C3059" s="100"/>
      <c r="D3059" s="100"/>
      <c r="E3059" s="100"/>
      <c r="F3059" s="102"/>
      <c r="G3059" s="114"/>
    </row>
    <row r="3060" spans="2:7" ht="15.75" customHeight="1" x14ac:dyDescent="0.25">
      <c r="B3060" s="100"/>
      <c r="C3060" s="100"/>
      <c r="D3060" s="100"/>
      <c r="E3060" s="100"/>
      <c r="F3060" s="102"/>
      <c r="G3060" s="114"/>
    </row>
    <row r="3061" spans="2:7" ht="15.75" customHeight="1" x14ac:dyDescent="0.25">
      <c r="B3061" s="100"/>
      <c r="C3061" s="100"/>
      <c r="D3061" s="100"/>
      <c r="E3061" s="100"/>
      <c r="F3061" s="102"/>
      <c r="G3061" s="114"/>
    </row>
    <row r="3062" spans="2:7" ht="15.75" customHeight="1" x14ac:dyDescent="0.25">
      <c r="B3062" s="100"/>
      <c r="C3062" s="100"/>
      <c r="D3062" s="100"/>
      <c r="E3062" s="100"/>
      <c r="F3062" s="102"/>
      <c r="G3062" s="114"/>
    </row>
    <row r="3063" spans="2:7" ht="15.75" customHeight="1" x14ac:dyDescent="0.25">
      <c r="B3063" s="100"/>
      <c r="C3063" s="100"/>
      <c r="D3063" s="100"/>
      <c r="E3063" s="100"/>
      <c r="F3063" s="102"/>
      <c r="G3063" s="114"/>
    </row>
    <row r="3064" spans="2:7" ht="15.75" customHeight="1" x14ac:dyDescent="0.25">
      <c r="B3064" s="100"/>
      <c r="C3064" s="100"/>
      <c r="D3064" s="100"/>
      <c r="E3064" s="100"/>
      <c r="F3064" s="102"/>
      <c r="G3064" s="114"/>
    </row>
    <row r="3065" spans="2:7" ht="15.75" customHeight="1" x14ac:dyDescent="0.25">
      <c r="B3065" s="100"/>
      <c r="C3065" s="100"/>
      <c r="D3065" s="100"/>
      <c r="E3065" s="100"/>
      <c r="F3065" s="102"/>
      <c r="G3065" s="114"/>
    </row>
    <row r="3066" spans="2:7" ht="15.75" customHeight="1" x14ac:dyDescent="0.25">
      <c r="B3066" s="100"/>
      <c r="C3066" s="100"/>
      <c r="D3066" s="100"/>
      <c r="E3066" s="100"/>
      <c r="F3066" s="102"/>
      <c r="G3066" s="114"/>
    </row>
    <row r="3067" spans="2:7" ht="15.75" customHeight="1" x14ac:dyDescent="0.25">
      <c r="B3067" s="100"/>
      <c r="C3067" s="100"/>
      <c r="D3067" s="100"/>
      <c r="E3067" s="100"/>
      <c r="F3067" s="102"/>
      <c r="G3067" s="114"/>
    </row>
    <row r="3068" spans="2:7" ht="15.75" customHeight="1" x14ac:dyDescent="0.25">
      <c r="B3068" s="100"/>
      <c r="C3068" s="100"/>
      <c r="D3068" s="100"/>
      <c r="E3068" s="100"/>
      <c r="F3068" s="102"/>
      <c r="G3068" s="114"/>
    </row>
    <row r="3069" spans="2:7" ht="15.75" customHeight="1" x14ac:dyDescent="0.25">
      <c r="B3069" s="100"/>
      <c r="C3069" s="100"/>
      <c r="D3069" s="100"/>
      <c r="E3069" s="100"/>
      <c r="F3069" s="102"/>
      <c r="G3069" s="114"/>
    </row>
    <row r="3070" spans="2:7" ht="15.75" customHeight="1" x14ac:dyDescent="0.25">
      <c r="B3070" s="100"/>
      <c r="C3070" s="100"/>
      <c r="D3070" s="100"/>
      <c r="E3070" s="100"/>
      <c r="F3070" s="102"/>
      <c r="G3070" s="114"/>
    </row>
    <row r="3071" spans="2:7" ht="15.75" customHeight="1" x14ac:dyDescent="0.25">
      <c r="B3071" s="100"/>
      <c r="C3071" s="100"/>
      <c r="D3071" s="100"/>
      <c r="E3071" s="100"/>
      <c r="F3071" s="102"/>
      <c r="G3071" s="114"/>
    </row>
    <row r="3072" spans="2:7" ht="15.75" customHeight="1" x14ac:dyDescent="0.25">
      <c r="B3072" s="100"/>
      <c r="C3072" s="100"/>
      <c r="D3072" s="100"/>
      <c r="E3072" s="100"/>
      <c r="F3072" s="102"/>
      <c r="G3072" s="114"/>
    </row>
    <row r="3073" spans="2:7" ht="15.75" customHeight="1" x14ac:dyDescent="0.25">
      <c r="B3073" s="100"/>
      <c r="C3073" s="100"/>
      <c r="D3073" s="100"/>
      <c r="E3073" s="100"/>
      <c r="F3073" s="102"/>
      <c r="G3073" s="114"/>
    </row>
    <row r="3074" spans="2:7" ht="15.75" customHeight="1" x14ac:dyDescent="0.25">
      <c r="B3074" s="100"/>
      <c r="C3074" s="100"/>
      <c r="D3074" s="100"/>
      <c r="E3074" s="100"/>
      <c r="F3074" s="102"/>
      <c r="G3074" s="114"/>
    </row>
    <row r="3075" spans="2:7" ht="15.75" customHeight="1" x14ac:dyDescent="0.25">
      <c r="B3075" s="100"/>
      <c r="C3075" s="100"/>
      <c r="D3075" s="100"/>
      <c r="E3075" s="100"/>
      <c r="F3075" s="102"/>
      <c r="G3075" s="114"/>
    </row>
    <row r="3076" spans="2:7" ht="15.75" customHeight="1" x14ac:dyDescent="0.25">
      <c r="B3076" s="100"/>
      <c r="C3076" s="100"/>
      <c r="D3076" s="100"/>
      <c r="E3076" s="100"/>
      <c r="F3076" s="102"/>
      <c r="G3076" s="114"/>
    </row>
    <row r="3077" spans="2:7" ht="15.75" customHeight="1" x14ac:dyDescent="0.25">
      <c r="B3077" s="100"/>
      <c r="C3077" s="100"/>
      <c r="D3077" s="100"/>
      <c r="E3077" s="100"/>
      <c r="F3077" s="102"/>
      <c r="G3077" s="114"/>
    </row>
    <row r="3078" spans="2:7" ht="15.75" customHeight="1" x14ac:dyDescent="0.25">
      <c r="B3078" s="100"/>
      <c r="C3078" s="100"/>
      <c r="D3078" s="100"/>
      <c r="E3078" s="100"/>
      <c r="F3078" s="102"/>
      <c r="G3078" s="114"/>
    </row>
    <row r="3079" spans="2:7" ht="15.75" customHeight="1" x14ac:dyDescent="0.25">
      <c r="B3079" s="100"/>
      <c r="C3079" s="100"/>
      <c r="D3079" s="100"/>
      <c r="E3079" s="100"/>
      <c r="F3079" s="102"/>
      <c r="G3079" s="114"/>
    </row>
    <row r="3080" spans="2:7" ht="15.75" customHeight="1" x14ac:dyDescent="0.25">
      <c r="B3080" s="100"/>
      <c r="C3080" s="100"/>
      <c r="D3080" s="100"/>
      <c r="E3080" s="100"/>
      <c r="F3080" s="102"/>
      <c r="G3080" s="114"/>
    </row>
    <row r="3081" spans="2:7" ht="15.75" customHeight="1" x14ac:dyDescent="0.25">
      <c r="B3081" s="100"/>
      <c r="C3081" s="100"/>
      <c r="D3081" s="100"/>
      <c r="E3081" s="100"/>
      <c r="F3081" s="102"/>
      <c r="G3081" s="114"/>
    </row>
    <row r="3082" spans="2:7" ht="15.75" customHeight="1" x14ac:dyDescent="0.25">
      <c r="B3082" s="100"/>
      <c r="C3082" s="100"/>
      <c r="D3082" s="100"/>
      <c r="E3082" s="100"/>
      <c r="F3082" s="102"/>
      <c r="G3082" s="114"/>
    </row>
    <row r="3083" spans="2:7" ht="15.75" customHeight="1" x14ac:dyDescent="0.25">
      <c r="B3083" s="100"/>
      <c r="C3083" s="100"/>
      <c r="D3083" s="100"/>
      <c r="E3083" s="100"/>
      <c r="F3083" s="102"/>
      <c r="G3083" s="114"/>
    </row>
    <row r="3084" spans="2:7" ht="15.75" customHeight="1" x14ac:dyDescent="0.25">
      <c r="B3084" s="100"/>
      <c r="C3084" s="100"/>
      <c r="D3084" s="100"/>
      <c r="E3084" s="100"/>
      <c r="F3084" s="102"/>
      <c r="G3084" s="114"/>
    </row>
    <row r="3085" spans="2:7" ht="15.75" customHeight="1" x14ac:dyDescent="0.25">
      <c r="B3085" s="100"/>
      <c r="C3085" s="100"/>
      <c r="D3085" s="100"/>
      <c r="E3085" s="100"/>
      <c r="F3085" s="102"/>
      <c r="G3085" s="114"/>
    </row>
    <row r="3086" spans="2:7" ht="15.75" customHeight="1" x14ac:dyDescent="0.25">
      <c r="B3086" s="100"/>
      <c r="C3086" s="100"/>
      <c r="D3086" s="100"/>
      <c r="E3086" s="100"/>
      <c r="F3086" s="102"/>
      <c r="G3086" s="114"/>
    </row>
    <row r="3087" spans="2:7" ht="15.75" customHeight="1" x14ac:dyDescent="0.25">
      <c r="B3087" s="100"/>
      <c r="C3087" s="100"/>
      <c r="D3087" s="100"/>
      <c r="E3087" s="100"/>
      <c r="F3087" s="102"/>
      <c r="G3087" s="114"/>
    </row>
    <row r="3088" spans="2:7" ht="15.75" customHeight="1" x14ac:dyDescent="0.25">
      <c r="B3088" s="100"/>
      <c r="C3088" s="100"/>
      <c r="D3088" s="100"/>
      <c r="E3088" s="100"/>
      <c r="F3088" s="102"/>
      <c r="G3088" s="114"/>
    </row>
    <row r="3089" spans="2:7" ht="15.75" customHeight="1" x14ac:dyDescent="0.25">
      <c r="B3089" s="100"/>
      <c r="C3089" s="100"/>
      <c r="D3089" s="100"/>
      <c r="E3089" s="100"/>
      <c r="F3089" s="102"/>
      <c r="G3089" s="114"/>
    </row>
    <row r="3090" spans="2:7" ht="15.75" customHeight="1" x14ac:dyDescent="0.25">
      <c r="B3090" s="100"/>
      <c r="C3090" s="100"/>
      <c r="D3090" s="100"/>
      <c r="E3090" s="100"/>
      <c r="F3090" s="102"/>
      <c r="G3090" s="114"/>
    </row>
    <row r="3091" spans="2:7" ht="15.75" customHeight="1" x14ac:dyDescent="0.25">
      <c r="B3091" s="100"/>
      <c r="C3091" s="100"/>
      <c r="D3091" s="100"/>
      <c r="E3091" s="100"/>
      <c r="F3091" s="102"/>
      <c r="G3091" s="114"/>
    </row>
    <row r="3092" spans="2:7" ht="15.75" customHeight="1" x14ac:dyDescent="0.25">
      <c r="B3092" s="100"/>
      <c r="C3092" s="100"/>
      <c r="D3092" s="100"/>
      <c r="E3092" s="100"/>
      <c r="F3092" s="102"/>
      <c r="G3092" s="114"/>
    </row>
    <row r="3093" spans="2:7" ht="15.75" customHeight="1" x14ac:dyDescent="0.25">
      <c r="B3093" s="100"/>
      <c r="C3093" s="100"/>
      <c r="D3093" s="100"/>
      <c r="E3093" s="100"/>
      <c r="F3093" s="102"/>
      <c r="G3093" s="114"/>
    </row>
    <row r="3094" spans="2:7" ht="15.75" customHeight="1" x14ac:dyDescent="0.25">
      <c r="B3094" s="100"/>
      <c r="C3094" s="100"/>
      <c r="D3094" s="100"/>
      <c r="E3094" s="100"/>
      <c r="F3094" s="102"/>
      <c r="G3094" s="114"/>
    </row>
    <row r="3095" spans="2:7" ht="15.75" customHeight="1" x14ac:dyDescent="0.25">
      <c r="B3095" s="100"/>
      <c r="C3095" s="100"/>
      <c r="D3095" s="100"/>
      <c r="E3095" s="100"/>
      <c r="F3095" s="102"/>
      <c r="G3095" s="114"/>
    </row>
    <row r="3096" spans="2:7" ht="15.75" customHeight="1" x14ac:dyDescent="0.25">
      <c r="B3096" s="100"/>
      <c r="C3096" s="100"/>
      <c r="D3096" s="100"/>
      <c r="E3096" s="100"/>
      <c r="F3096" s="102"/>
      <c r="G3096" s="114"/>
    </row>
    <row r="3097" spans="2:7" ht="15.75" customHeight="1" x14ac:dyDescent="0.25">
      <c r="B3097" s="100"/>
      <c r="C3097" s="100"/>
      <c r="D3097" s="100"/>
      <c r="E3097" s="100"/>
      <c r="F3097" s="102"/>
      <c r="G3097" s="114"/>
    </row>
    <row r="3098" spans="2:7" ht="15.75" customHeight="1" x14ac:dyDescent="0.25">
      <c r="B3098" s="100"/>
      <c r="C3098" s="100"/>
      <c r="D3098" s="100"/>
      <c r="E3098" s="100"/>
      <c r="F3098" s="102"/>
      <c r="G3098" s="114"/>
    </row>
    <row r="3099" spans="2:7" ht="15.75" customHeight="1" x14ac:dyDescent="0.25">
      <c r="B3099" s="100"/>
      <c r="C3099" s="100"/>
      <c r="D3099" s="100"/>
      <c r="E3099" s="100"/>
      <c r="F3099" s="102"/>
      <c r="G3099" s="114"/>
    </row>
    <row r="3100" spans="2:7" ht="15.75" customHeight="1" x14ac:dyDescent="0.25">
      <c r="B3100" s="100"/>
      <c r="C3100" s="100"/>
      <c r="D3100" s="100"/>
      <c r="E3100" s="100"/>
      <c r="F3100" s="102"/>
      <c r="G3100" s="114"/>
    </row>
    <row r="3101" spans="2:7" ht="15.75" customHeight="1" x14ac:dyDescent="0.25">
      <c r="B3101" s="100"/>
      <c r="C3101" s="100"/>
      <c r="D3101" s="100"/>
      <c r="E3101" s="100"/>
      <c r="F3101" s="102"/>
      <c r="G3101" s="114"/>
    </row>
    <row r="3102" spans="2:7" ht="15.75" customHeight="1" x14ac:dyDescent="0.25">
      <c r="B3102" s="100"/>
      <c r="C3102" s="100"/>
      <c r="D3102" s="100"/>
      <c r="E3102" s="100"/>
      <c r="F3102" s="102"/>
      <c r="G3102" s="114"/>
    </row>
    <row r="3103" spans="2:7" ht="15.75" customHeight="1" x14ac:dyDescent="0.25">
      <c r="B3103" s="100"/>
      <c r="C3103" s="100"/>
      <c r="D3103" s="100"/>
      <c r="E3103" s="100"/>
      <c r="F3103" s="102"/>
      <c r="G3103" s="114"/>
    </row>
    <row r="3104" spans="2:7" ht="15.75" customHeight="1" x14ac:dyDescent="0.25">
      <c r="B3104" s="100"/>
      <c r="C3104" s="100"/>
      <c r="D3104" s="100"/>
      <c r="E3104" s="100"/>
      <c r="F3104" s="102"/>
      <c r="G3104" s="114"/>
    </row>
    <row r="3105" spans="2:7" ht="15.75" customHeight="1" x14ac:dyDescent="0.25">
      <c r="B3105" s="100"/>
      <c r="C3105" s="100"/>
      <c r="D3105" s="100"/>
      <c r="E3105" s="100"/>
      <c r="F3105" s="102"/>
      <c r="G3105" s="114"/>
    </row>
    <row r="3106" spans="2:7" ht="15.75" customHeight="1" x14ac:dyDescent="0.25">
      <c r="B3106" s="100"/>
      <c r="C3106" s="100"/>
      <c r="D3106" s="100"/>
      <c r="E3106" s="100"/>
      <c r="F3106" s="102"/>
      <c r="G3106" s="114"/>
    </row>
    <row r="3107" spans="2:7" ht="15.75" customHeight="1" x14ac:dyDescent="0.25">
      <c r="B3107" s="100"/>
      <c r="C3107" s="100"/>
      <c r="D3107" s="100"/>
      <c r="E3107" s="100"/>
      <c r="F3107" s="102"/>
      <c r="G3107" s="114"/>
    </row>
    <row r="3108" spans="2:7" ht="15.75" customHeight="1" x14ac:dyDescent="0.25">
      <c r="B3108" s="100"/>
      <c r="C3108" s="100"/>
      <c r="D3108" s="100"/>
      <c r="E3108" s="100"/>
      <c r="F3108" s="102"/>
      <c r="G3108" s="114"/>
    </row>
    <row r="3109" spans="2:7" ht="15.75" customHeight="1" x14ac:dyDescent="0.25">
      <c r="B3109" s="100"/>
      <c r="C3109" s="100"/>
      <c r="D3109" s="100"/>
      <c r="E3109" s="100"/>
      <c r="F3109" s="102"/>
      <c r="G3109" s="114"/>
    </row>
    <row r="3110" spans="2:7" ht="15.75" customHeight="1" x14ac:dyDescent="0.25">
      <c r="B3110" s="100"/>
      <c r="C3110" s="100"/>
      <c r="D3110" s="100"/>
      <c r="E3110" s="100"/>
      <c r="F3110" s="102"/>
      <c r="G3110" s="114"/>
    </row>
    <row r="3111" spans="2:7" ht="15.75" customHeight="1" x14ac:dyDescent="0.25">
      <c r="B3111" s="100"/>
      <c r="C3111" s="100"/>
      <c r="D3111" s="100"/>
      <c r="E3111" s="100"/>
      <c r="F3111" s="102"/>
      <c r="G3111" s="114"/>
    </row>
    <row r="3112" spans="2:7" ht="15.75" customHeight="1" x14ac:dyDescent="0.25">
      <c r="B3112" s="100"/>
      <c r="C3112" s="100"/>
      <c r="D3112" s="100"/>
      <c r="E3112" s="100"/>
      <c r="F3112" s="102"/>
      <c r="G3112" s="114"/>
    </row>
    <row r="3113" spans="2:7" ht="15.75" customHeight="1" x14ac:dyDescent="0.25">
      <c r="B3113" s="100"/>
      <c r="C3113" s="100"/>
      <c r="D3113" s="100"/>
      <c r="E3113" s="100"/>
      <c r="F3113" s="102"/>
      <c r="G3113" s="114"/>
    </row>
    <row r="3114" spans="2:7" ht="15.75" customHeight="1" x14ac:dyDescent="0.25">
      <c r="B3114" s="100"/>
      <c r="C3114" s="100"/>
      <c r="D3114" s="100"/>
      <c r="E3114" s="100"/>
      <c r="F3114" s="102"/>
      <c r="G3114" s="114"/>
    </row>
    <row r="3115" spans="2:7" ht="15.75" customHeight="1" x14ac:dyDescent="0.25">
      <c r="B3115" s="100"/>
      <c r="C3115" s="100"/>
      <c r="D3115" s="100"/>
      <c r="E3115" s="100"/>
      <c r="F3115" s="102"/>
      <c r="G3115" s="114"/>
    </row>
    <row r="3116" spans="2:7" ht="15.75" customHeight="1" x14ac:dyDescent="0.25">
      <c r="B3116" s="100"/>
      <c r="C3116" s="100"/>
      <c r="D3116" s="100"/>
      <c r="E3116" s="100"/>
      <c r="F3116" s="102"/>
      <c r="G3116" s="114"/>
    </row>
    <row r="3117" spans="2:7" ht="15.75" customHeight="1" x14ac:dyDescent="0.25">
      <c r="B3117" s="100"/>
      <c r="C3117" s="100"/>
      <c r="D3117" s="100"/>
      <c r="E3117" s="100"/>
      <c r="F3117" s="102"/>
      <c r="G3117" s="114"/>
    </row>
    <row r="3118" spans="2:7" ht="15.75" customHeight="1" x14ac:dyDescent="0.25">
      <c r="B3118" s="100"/>
      <c r="C3118" s="100"/>
      <c r="D3118" s="100"/>
      <c r="E3118" s="100"/>
      <c r="F3118" s="102"/>
      <c r="G3118" s="114"/>
    </row>
    <row r="3119" spans="2:7" ht="15.75" customHeight="1" x14ac:dyDescent="0.25">
      <c r="B3119" s="100"/>
      <c r="C3119" s="100"/>
      <c r="D3119" s="100"/>
      <c r="E3119" s="100"/>
      <c r="F3119" s="102"/>
      <c r="G3119" s="114"/>
    </row>
    <row r="3120" spans="2:7" ht="15.75" customHeight="1" x14ac:dyDescent="0.25">
      <c r="B3120" s="100"/>
      <c r="C3120" s="100"/>
      <c r="D3120" s="100"/>
      <c r="E3120" s="100"/>
      <c r="F3120" s="102"/>
      <c r="G3120" s="114"/>
    </row>
    <row r="3121" spans="2:7" ht="15.75" customHeight="1" x14ac:dyDescent="0.25">
      <c r="B3121" s="100"/>
      <c r="C3121" s="100"/>
      <c r="D3121" s="100"/>
      <c r="E3121" s="100"/>
      <c r="F3121" s="102"/>
      <c r="G3121" s="114"/>
    </row>
    <row r="3122" spans="2:7" ht="15.75" customHeight="1" x14ac:dyDescent="0.25">
      <c r="B3122" s="100"/>
      <c r="C3122" s="100"/>
      <c r="D3122" s="100"/>
      <c r="E3122" s="100"/>
      <c r="F3122" s="102"/>
      <c r="G3122" s="114"/>
    </row>
    <row r="3123" spans="2:7" ht="15.75" customHeight="1" x14ac:dyDescent="0.25">
      <c r="B3123" s="100"/>
      <c r="C3123" s="100"/>
      <c r="D3123" s="100"/>
      <c r="E3123" s="100"/>
      <c r="F3123" s="102"/>
      <c r="G3123" s="114"/>
    </row>
    <row r="3124" spans="2:7" ht="15.75" customHeight="1" x14ac:dyDescent="0.25">
      <c r="B3124" s="100"/>
      <c r="C3124" s="100"/>
      <c r="D3124" s="100"/>
      <c r="E3124" s="100"/>
      <c r="F3124" s="102"/>
      <c r="G3124" s="114"/>
    </row>
    <row r="3125" spans="2:7" ht="15.75" customHeight="1" x14ac:dyDescent="0.25">
      <c r="B3125" s="100"/>
      <c r="C3125" s="100"/>
      <c r="D3125" s="100"/>
      <c r="E3125" s="100"/>
      <c r="F3125" s="102"/>
      <c r="G3125" s="114"/>
    </row>
    <row r="3126" spans="2:7" ht="15.75" customHeight="1" x14ac:dyDescent="0.25">
      <c r="B3126" s="100"/>
      <c r="C3126" s="100"/>
      <c r="D3126" s="100"/>
      <c r="E3126" s="100"/>
      <c r="F3126" s="102"/>
      <c r="G3126" s="114"/>
    </row>
    <row r="3127" spans="2:7" ht="15.75" customHeight="1" x14ac:dyDescent="0.25">
      <c r="B3127" s="100"/>
      <c r="C3127" s="100"/>
      <c r="D3127" s="100"/>
      <c r="E3127" s="100"/>
      <c r="F3127" s="102"/>
      <c r="G3127" s="114"/>
    </row>
    <row r="3128" spans="2:7" ht="15.75" customHeight="1" x14ac:dyDescent="0.25">
      <c r="B3128" s="100"/>
      <c r="C3128" s="100"/>
      <c r="D3128" s="100"/>
      <c r="E3128" s="100"/>
      <c r="F3128" s="102"/>
      <c r="G3128" s="114"/>
    </row>
    <row r="3129" spans="2:7" ht="15.75" customHeight="1" x14ac:dyDescent="0.25">
      <c r="B3129" s="100"/>
      <c r="C3129" s="100"/>
      <c r="D3129" s="100"/>
      <c r="E3129" s="100"/>
      <c r="F3129" s="102"/>
      <c r="G3129" s="114"/>
    </row>
    <row r="3130" spans="2:7" ht="15.75" customHeight="1" x14ac:dyDescent="0.25">
      <c r="B3130" s="100"/>
      <c r="C3130" s="100"/>
      <c r="D3130" s="100"/>
      <c r="E3130" s="100"/>
      <c r="F3130" s="102"/>
      <c r="G3130" s="114"/>
    </row>
    <row r="3131" spans="2:7" ht="15.75" customHeight="1" x14ac:dyDescent="0.25">
      <c r="B3131" s="100"/>
      <c r="C3131" s="100"/>
      <c r="D3131" s="100"/>
      <c r="E3131" s="100"/>
      <c r="F3131" s="102"/>
      <c r="G3131" s="114"/>
    </row>
    <row r="3132" spans="2:7" ht="15.75" customHeight="1" x14ac:dyDescent="0.25">
      <c r="B3132" s="100"/>
      <c r="C3132" s="100"/>
      <c r="D3132" s="100"/>
      <c r="E3132" s="100"/>
      <c r="F3132" s="102"/>
      <c r="G3132" s="114"/>
    </row>
    <row r="3133" spans="2:7" ht="15.75" customHeight="1" x14ac:dyDescent="0.25">
      <c r="B3133" s="100"/>
      <c r="C3133" s="100"/>
      <c r="D3133" s="100"/>
      <c r="E3133" s="100"/>
      <c r="F3133" s="102"/>
      <c r="G3133" s="114"/>
    </row>
    <row r="3134" spans="2:7" ht="15.75" customHeight="1" x14ac:dyDescent="0.25">
      <c r="B3134" s="100"/>
      <c r="C3134" s="100"/>
      <c r="D3134" s="100"/>
      <c r="E3134" s="100"/>
      <c r="F3134" s="102"/>
      <c r="G3134" s="114"/>
    </row>
    <row r="3135" spans="2:7" ht="15.75" customHeight="1" x14ac:dyDescent="0.25">
      <c r="B3135" s="100"/>
      <c r="C3135" s="100"/>
      <c r="D3135" s="100"/>
      <c r="E3135" s="100"/>
      <c r="F3135" s="102"/>
      <c r="G3135" s="114"/>
    </row>
    <row r="3136" spans="2:7" ht="15.75" customHeight="1" x14ac:dyDescent="0.25">
      <c r="B3136" s="100"/>
      <c r="C3136" s="100"/>
      <c r="D3136" s="100"/>
      <c r="E3136" s="100"/>
      <c r="F3136" s="102"/>
      <c r="G3136" s="114"/>
    </row>
    <row r="3137" spans="2:7" ht="15.75" customHeight="1" x14ac:dyDescent="0.25">
      <c r="B3137" s="100"/>
      <c r="C3137" s="100"/>
      <c r="D3137" s="100"/>
      <c r="E3137" s="100"/>
      <c r="F3137" s="102"/>
      <c r="G3137" s="114"/>
    </row>
    <row r="3138" spans="2:7" ht="15.75" customHeight="1" x14ac:dyDescent="0.25">
      <c r="B3138" s="100"/>
      <c r="C3138" s="100"/>
      <c r="D3138" s="100"/>
      <c r="E3138" s="100"/>
      <c r="F3138" s="102"/>
      <c r="G3138" s="114"/>
    </row>
    <row r="3139" spans="2:7" ht="15.75" customHeight="1" x14ac:dyDescent="0.25">
      <c r="B3139" s="100"/>
      <c r="C3139" s="100"/>
      <c r="D3139" s="100"/>
      <c r="E3139" s="100"/>
      <c r="F3139" s="102"/>
      <c r="G3139" s="114"/>
    </row>
    <row r="3140" spans="2:7" ht="15.75" customHeight="1" x14ac:dyDescent="0.25">
      <c r="B3140" s="100"/>
      <c r="C3140" s="100"/>
      <c r="D3140" s="100"/>
      <c r="E3140" s="100"/>
      <c r="F3140" s="102"/>
      <c r="G3140" s="114"/>
    </row>
    <row r="3141" spans="2:7" ht="15.75" customHeight="1" x14ac:dyDescent="0.25">
      <c r="B3141" s="100"/>
      <c r="C3141" s="100"/>
      <c r="D3141" s="100"/>
      <c r="E3141" s="100"/>
      <c r="F3141" s="102"/>
      <c r="G3141" s="114"/>
    </row>
    <row r="3142" spans="2:7" ht="15.75" customHeight="1" x14ac:dyDescent="0.25">
      <c r="B3142" s="100"/>
      <c r="C3142" s="100"/>
      <c r="D3142" s="100"/>
      <c r="E3142" s="100"/>
      <c r="F3142" s="102"/>
      <c r="G3142" s="114"/>
    </row>
    <row r="3143" spans="2:7" ht="15.75" customHeight="1" x14ac:dyDescent="0.25">
      <c r="B3143" s="100"/>
      <c r="C3143" s="100"/>
      <c r="D3143" s="100"/>
      <c r="E3143" s="100"/>
      <c r="F3143" s="102"/>
      <c r="G3143" s="114"/>
    </row>
    <row r="3144" spans="2:7" ht="15.75" customHeight="1" x14ac:dyDescent="0.25">
      <c r="B3144" s="100"/>
      <c r="C3144" s="100"/>
      <c r="D3144" s="100"/>
      <c r="E3144" s="100"/>
      <c r="F3144" s="102"/>
      <c r="G3144" s="114"/>
    </row>
    <row r="3145" spans="2:7" ht="15.75" customHeight="1" x14ac:dyDescent="0.25">
      <c r="B3145" s="100"/>
      <c r="C3145" s="100"/>
      <c r="D3145" s="100"/>
      <c r="E3145" s="100"/>
      <c r="F3145" s="102"/>
      <c r="G3145" s="114"/>
    </row>
    <row r="3146" spans="2:7" ht="15.75" customHeight="1" x14ac:dyDescent="0.25">
      <c r="B3146" s="100"/>
      <c r="C3146" s="100"/>
      <c r="D3146" s="100"/>
      <c r="E3146" s="100"/>
      <c r="F3146" s="102"/>
      <c r="G3146" s="114"/>
    </row>
    <row r="3147" spans="2:7" ht="15.75" customHeight="1" x14ac:dyDescent="0.25">
      <c r="B3147" s="100"/>
      <c r="C3147" s="100"/>
      <c r="D3147" s="100"/>
      <c r="E3147" s="100"/>
      <c r="F3147" s="102"/>
      <c r="G3147" s="114"/>
    </row>
    <row r="3148" spans="2:7" ht="15.75" customHeight="1" x14ac:dyDescent="0.25">
      <c r="B3148" s="100"/>
      <c r="C3148" s="100"/>
      <c r="D3148" s="100"/>
      <c r="E3148" s="100"/>
      <c r="F3148" s="102"/>
      <c r="G3148" s="114"/>
    </row>
    <row r="3149" spans="2:7" ht="15.75" customHeight="1" x14ac:dyDescent="0.25">
      <c r="B3149" s="100"/>
      <c r="C3149" s="100"/>
      <c r="D3149" s="100"/>
      <c r="E3149" s="100"/>
      <c r="F3149" s="102"/>
      <c r="G3149" s="114"/>
    </row>
    <row r="3150" spans="2:7" ht="15.75" customHeight="1" x14ac:dyDescent="0.25">
      <c r="B3150" s="100"/>
      <c r="C3150" s="100"/>
      <c r="D3150" s="100"/>
      <c r="E3150" s="100"/>
      <c r="F3150" s="102"/>
      <c r="G3150" s="114"/>
    </row>
    <row r="3151" spans="2:7" ht="15.75" customHeight="1" x14ac:dyDescent="0.25">
      <c r="B3151" s="100"/>
      <c r="C3151" s="100"/>
      <c r="D3151" s="100"/>
      <c r="E3151" s="100"/>
      <c r="F3151" s="102"/>
      <c r="G3151" s="114"/>
    </row>
    <row r="3152" spans="2:7" ht="15.75" customHeight="1" x14ac:dyDescent="0.25">
      <c r="B3152" s="100"/>
      <c r="C3152" s="100"/>
      <c r="D3152" s="100"/>
      <c r="E3152" s="100"/>
      <c r="F3152" s="102"/>
      <c r="G3152" s="114"/>
    </row>
    <row r="3153" spans="2:7" ht="15.75" customHeight="1" x14ac:dyDescent="0.25">
      <c r="B3153" s="100"/>
      <c r="C3153" s="100"/>
      <c r="D3153" s="100"/>
      <c r="E3153" s="100"/>
      <c r="F3153" s="102"/>
      <c r="G3153" s="114"/>
    </row>
    <row r="3154" spans="2:7" ht="15.75" customHeight="1" x14ac:dyDescent="0.25">
      <c r="B3154" s="100"/>
      <c r="C3154" s="100"/>
      <c r="D3154" s="100"/>
      <c r="E3154" s="100"/>
      <c r="F3154" s="102"/>
      <c r="G3154" s="114"/>
    </row>
    <row r="3155" spans="2:7" ht="15.75" customHeight="1" x14ac:dyDescent="0.25">
      <c r="B3155" s="100"/>
      <c r="C3155" s="100"/>
      <c r="D3155" s="100"/>
      <c r="E3155" s="100"/>
      <c r="F3155" s="102"/>
      <c r="G3155" s="114"/>
    </row>
    <row r="3156" spans="2:7" ht="15.75" customHeight="1" x14ac:dyDescent="0.25">
      <c r="B3156" s="100"/>
      <c r="C3156" s="100"/>
      <c r="D3156" s="100"/>
      <c r="E3156" s="100"/>
      <c r="F3156" s="102"/>
      <c r="G3156" s="114"/>
    </row>
    <row r="3157" spans="2:7" ht="15.75" customHeight="1" x14ac:dyDescent="0.25">
      <c r="B3157" s="100"/>
      <c r="C3157" s="100"/>
      <c r="D3157" s="100"/>
      <c r="E3157" s="100"/>
      <c r="F3157" s="102"/>
      <c r="G3157" s="114"/>
    </row>
    <row r="3158" spans="2:7" ht="15.75" customHeight="1" x14ac:dyDescent="0.25">
      <c r="B3158" s="100"/>
      <c r="C3158" s="100"/>
      <c r="D3158" s="100"/>
      <c r="E3158" s="100"/>
      <c r="F3158" s="102"/>
      <c r="G3158" s="114"/>
    </row>
    <row r="3159" spans="2:7" ht="15.75" customHeight="1" x14ac:dyDescent="0.25">
      <c r="B3159" s="100"/>
      <c r="C3159" s="100"/>
      <c r="D3159" s="100"/>
      <c r="E3159" s="100"/>
      <c r="F3159" s="102"/>
      <c r="G3159" s="114"/>
    </row>
    <row r="3160" spans="2:7" ht="15.75" customHeight="1" x14ac:dyDescent="0.25">
      <c r="B3160" s="100"/>
      <c r="C3160" s="100"/>
      <c r="D3160" s="100"/>
      <c r="E3160" s="100"/>
      <c r="F3160" s="102"/>
      <c r="G3160" s="114"/>
    </row>
    <row r="3161" spans="2:7" ht="15.75" customHeight="1" x14ac:dyDescent="0.25">
      <c r="B3161" s="100"/>
      <c r="C3161" s="100"/>
      <c r="D3161" s="100"/>
      <c r="E3161" s="100"/>
      <c r="F3161" s="102"/>
      <c r="G3161" s="114"/>
    </row>
    <row r="3162" spans="2:7" ht="15.75" customHeight="1" x14ac:dyDescent="0.25">
      <c r="B3162" s="100"/>
      <c r="C3162" s="100"/>
      <c r="D3162" s="100"/>
      <c r="E3162" s="100"/>
      <c r="F3162" s="102"/>
      <c r="G3162" s="114"/>
    </row>
    <row r="3163" spans="2:7" ht="15.75" customHeight="1" x14ac:dyDescent="0.25">
      <c r="B3163" s="100"/>
      <c r="C3163" s="100"/>
      <c r="D3163" s="100"/>
      <c r="E3163" s="100"/>
      <c r="F3163" s="102"/>
      <c r="G3163" s="114"/>
    </row>
    <row r="3164" spans="2:7" ht="15.75" customHeight="1" x14ac:dyDescent="0.25">
      <c r="B3164" s="100"/>
      <c r="C3164" s="100"/>
      <c r="D3164" s="100"/>
      <c r="E3164" s="100"/>
      <c r="F3164" s="102"/>
      <c r="G3164" s="114"/>
    </row>
    <row r="3165" spans="2:7" ht="15.75" customHeight="1" x14ac:dyDescent="0.25">
      <c r="B3165" s="100"/>
      <c r="C3165" s="100"/>
      <c r="D3165" s="100"/>
      <c r="E3165" s="100"/>
      <c r="F3165" s="102"/>
      <c r="G3165" s="114"/>
    </row>
    <row r="3166" spans="2:7" ht="15.75" customHeight="1" x14ac:dyDescent="0.25">
      <c r="B3166" s="100"/>
      <c r="C3166" s="100"/>
      <c r="D3166" s="100"/>
      <c r="E3166" s="100"/>
      <c r="F3166" s="102"/>
      <c r="G3166" s="114"/>
    </row>
    <row r="3167" spans="2:7" ht="15.75" customHeight="1" x14ac:dyDescent="0.25">
      <c r="B3167" s="100"/>
      <c r="C3167" s="100"/>
      <c r="D3167" s="100"/>
      <c r="E3167" s="100"/>
      <c r="F3167" s="102"/>
      <c r="G3167" s="114"/>
    </row>
    <row r="3168" spans="2:7" ht="15.75" customHeight="1" x14ac:dyDescent="0.25">
      <c r="B3168" s="100"/>
      <c r="C3168" s="100"/>
      <c r="D3168" s="100"/>
      <c r="E3168" s="100"/>
      <c r="F3168" s="102"/>
      <c r="G3168" s="114"/>
    </row>
    <row r="3169" spans="2:7" ht="15.75" customHeight="1" x14ac:dyDescent="0.25">
      <c r="B3169" s="100"/>
      <c r="C3169" s="100"/>
      <c r="D3169" s="100"/>
      <c r="E3169" s="100"/>
      <c r="F3169" s="102"/>
      <c r="G3169" s="114"/>
    </row>
    <row r="3170" spans="2:7" ht="15.75" customHeight="1" x14ac:dyDescent="0.25">
      <c r="B3170" s="100"/>
      <c r="C3170" s="100"/>
      <c r="D3170" s="100"/>
      <c r="E3170" s="100"/>
      <c r="F3170" s="102"/>
      <c r="G3170" s="114"/>
    </row>
    <row r="3171" spans="2:7" ht="15.75" customHeight="1" x14ac:dyDescent="0.25">
      <c r="B3171" s="100"/>
      <c r="C3171" s="100"/>
      <c r="D3171" s="100"/>
      <c r="E3171" s="100"/>
      <c r="F3171" s="102"/>
      <c r="G3171" s="114"/>
    </row>
    <row r="3172" spans="2:7" ht="15.75" customHeight="1" x14ac:dyDescent="0.25">
      <c r="B3172" s="100"/>
      <c r="C3172" s="100"/>
      <c r="D3172" s="100"/>
      <c r="E3172" s="100"/>
      <c r="F3172" s="102"/>
      <c r="G3172" s="114"/>
    </row>
    <row r="3173" spans="2:7" ht="15.75" customHeight="1" x14ac:dyDescent="0.25">
      <c r="B3173" s="100"/>
      <c r="C3173" s="100"/>
      <c r="D3173" s="100"/>
      <c r="E3173" s="100"/>
      <c r="F3173" s="102"/>
      <c r="G3173" s="114"/>
    </row>
    <row r="3174" spans="2:7" ht="15.75" customHeight="1" x14ac:dyDescent="0.25">
      <c r="B3174" s="100"/>
      <c r="C3174" s="100"/>
      <c r="D3174" s="100"/>
      <c r="E3174" s="100"/>
      <c r="F3174" s="102"/>
      <c r="G3174" s="114"/>
    </row>
    <row r="3175" spans="2:7" ht="15.75" customHeight="1" x14ac:dyDescent="0.25">
      <c r="B3175" s="100"/>
      <c r="C3175" s="100"/>
      <c r="D3175" s="100"/>
      <c r="E3175" s="100"/>
      <c r="F3175" s="102"/>
      <c r="G3175" s="114"/>
    </row>
    <row r="3176" spans="2:7" ht="15.75" customHeight="1" x14ac:dyDescent="0.25">
      <c r="B3176" s="100"/>
      <c r="C3176" s="100"/>
      <c r="D3176" s="100"/>
      <c r="E3176" s="100"/>
      <c r="F3176" s="102"/>
      <c r="G3176" s="114"/>
    </row>
    <row r="3177" spans="2:7" ht="15.75" customHeight="1" x14ac:dyDescent="0.25">
      <c r="B3177" s="100"/>
      <c r="C3177" s="100"/>
      <c r="D3177" s="100"/>
      <c r="E3177" s="100"/>
      <c r="F3177" s="102"/>
      <c r="G3177" s="114"/>
    </row>
    <row r="3178" spans="2:7" ht="15.75" customHeight="1" x14ac:dyDescent="0.25">
      <c r="B3178" s="100"/>
      <c r="C3178" s="100"/>
      <c r="D3178" s="100"/>
      <c r="E3178" s="100"/>
      <c r="F3178" s="102"/>
      <c r="G3178" s="114"/>
    </row>
    <row r="3179" spans="2:7" ht="15.75" customHeight="1" x14ac:dyDescent="0.25">
      <c r="B3179" s="100"/>
      <c r="C3179" s="100"/>
      <c r="D3179" s="100"/>
      <c r="E3179" s="100"/>
      <c r="F3179" s="102"/>
      <c r="G3179" s="114"/>
    </row>
    <row r="3180" spans="2:7" ht="15.75" customHeight="1" x14ac:dyDescent="0.25">
      <c r="B3180" s="100"/>
      <c r="C3180" s="100"/>
      <c r="D3180" s="100"/>
      <c r="E3180" s="100"/>
      <c r="F3180" s="102"/>
      <c r="G3180" s="114"/>
    </row>
    <row r="3181" spans="2:7" ht="15.75" customHeight="1" x14ac:dyDescent="0.25">
      <c r="B3181" s="100"/>
      <c r="C3181" s="100"/>
      <c r="D3181" s="100"/>
      <c r="E3181" s="100"/>
      <c r="F3181" s="102"/>
      <c r="G3181" s="114"/>
    </row>
    <row r="3182" spans="2:7" ht="15.75" customHeight="1" x14ac:dyDescent="0.25">
      <c r="B3182" s="100"/>
      <c r="C3182" s="100"/>
      <c r="D3182" s="100"/>
      <c r="E3182" s="100"/>
      <c r="F3182" s="102"/>
      <c r="G3182" s="114"/>
    </row>
    <row r="3183" spans="2:7" ht="15.75" customHeight="1" x14ac:dyDescent="0.25">
      <c r="B3183" s="100"/>
      <c r="C3183" s="100"/>
      <c r="D3183" s="100"/>
      <c r="E3183" s="100"/>
      <c r="F3183" s="102"/>
      <c r="G3183" s="114"/>
    </row>
    <row r="3184" spans="2:7" ht="15.75" customHeight="1" x14ac:dyDescent="0.25">
      <c r="B3184" s="100"/>
      <c r="C3184" s="100"/>
      <c r="D3184" s="100"/>
      <c r="E3184" s="100"/>
      <c r="F3184" s="102"/>
      <c r="G3184" s="114"/>
    </row>
    <row r="3185" spans="2:7" ht="15.75" customHeight="1" x14ac:dyDescent="0.25">
      <c r="B3185" s="100"/>
      <c r="C3185" s="100"/>
      <c r="D3185" s="100"/>
      <c r="E3185" s="100"/>
      <c r="F3185" s="102"/>
      <c r="G3185" s="114"/>
    </row>
    <row r="3186" spans="2:7" ht="15.75" customHeight="1" x14ac:dyDescent="0.25">
      <c r="B3186" s="100"/>
      <c r="C3186" s="100"/>
      <c r="D3186" s="100"/>
      <c r="E3186" s="100"/>
      <c r="F3186" s="102"/>
      <c r="G3186" s="114"/>
    </row>
    <row r="3187" spans="2:7" ht="15.75" customHeight="1" x14ac:dyDescent="0.25">
      <c r="B3187" s="100"/>
      <c r="C3187" s="100"/>
      <c r="D3187" s="100"/>
      <c r="E3187" s="100"/>
      <c r="F3187" s="102"/>
      <c r="G3187" s="114"/>
    </row>
    <row r="3188" spans="2:7" ht="15.75" customHeight="1" x14ac:dyDescent="0.25">
      <c r="B3188" s="100"/>
      <c r="C3188" s="100"/>
      <c r="D3188" s="100"/>
      <c r="E3188" s="100"/>
      <c r="F3188" s="102"/>
      <c r="G3188" s="114"/>
    </row>
    <row r="3189" spans="2:7" ht="15.75" customHeight="1" x14ac:dyDescent="0.25">
      <c r="B3189" s="100"/>
      <c r="C3189" s="100"/>
      <c r="D3189" s="100"/>
      <c r="E3189" s="100"/>
      <c r="F3189" s="102"/>
      <c r="G3189" s="114"/>
    </row>
    <row r="3190" spans="2:7" ht="15.75" customHeight="1" x14ac:dyDescent="0.25">
      <c r="B3190" s="100"/>
      <c r="C3190" s="100"/>
      <c r="D3190" s="100"/>
      <c r="E3190" s="100"/>
      <c r="F3190" s="102"/>
      <c r="G3190" s="114"/>
    </row>
    <row r="3191" spans="2:7" ht="15.75" customHeight="1" x14ac:dyDescent="0.25">
      <c r="B3191" s="100"/>
      <c r="C3191" s="100"/>
      <c r="D3191" s="100"/>
      <c r="E3191" s="100"/>
      <c r="F3191" s="102"/>
      <c r="G3191" s="114"/>
    </row>
    <row r="3192" spans="2:7" ht="15.75" customHeight="1" x14ac:dyDescent="0.25">
      <c r="B3192" s="100"/>
      <c r="C3192" s="100"/>
      <c r="D3192" s="100"/>
      <c r="E3192" s="100"/>
      <c r="F3192" s="102"/>
      <c r="G3192" s="114"/>
    </row>
    <row r="3193" spans="2:7" ht="15.75" customHeight="1" x14ac:dyDescent="0.25">
      <c r="B3193" s="100"/>
      <c r="C3193" s="100"/>
      <c r="D3193" s="100"/>
      <c r="E3193" s="100"/>
      <c r="F3193" s="102"/>
      <c r="G3193" s="114"/>
    </row>
    <row r="3194" spans="2:7" ht="15.75" customHeight="1" x14ac:dyDescent="0.25">
      <c r="B3194" s="100"/>
      <c r="C3194" s="100"/>
      <c r="D3194" s="100"/>
      <c r="E3194" s="100"/>
      <c r="F3194" s="102"/>
      <c r="G3194" s="114"/>
    </row>
    <row r="3195" spans="2:7" ht="15.75" customHeight="1" x14ac:dyDescent="0.25">
      <c r="B3195" s="100"/>
      <c r="C3195" s="100"/>
      <c r="D3195" s="100"/>
      <c r="E3195" s="100"/>
      <c r="F3195" s="102"/>
      <c r="G3195" s="114"/>
    </row>
    <row r="3196" spans="2:7" ht="15.75" customHeight="1" x14ac:dyDescent="0.25">
      <c r="B3196" s="100"/>
      <c r="C3196" s="100"/>
      <c r="D3196" s="100"/>
      <c r="E3196" s="100"/>
      <c r="F3196" s="102"/>
      <c r="G3196" s="114"/>
    </row>
    <row r="3197" spans="2:7" ht="15.75" customHeight="1" x14ac:dyDescent="0.25">
      <c r="B3197" s="100"/>
      <c r="C3197" s="100"/>
      <c r="D3197" s="100"/>
      <c r="E3197" s="100"/>
      <c r="F3197" s="102"/>
      <c r="G3197" s="114"/>
    </row>
    <row r="3198" spans="2:7" ht="15.75" customHeight="1" x14ac:dyDescent="0.25">
      <c r="B3198" s="100"/>
      <c r="C3198" s="100"/>
      <c r="D3198" s="100"/>
      <c r="E3198" s="100"/>
      <c r="F3198" s="102"/>
      <c r="G3198" s="114"/>
    </row>
    <row r="3199" spans="2:7" ht="15.75" customHeight="1" x14ac:dyDescent="0.25">
      <c r="B3199" s="100"/>
      <c r="C3199" s="100"/>
      <c r="D3199" s="100"/>
      <c r="E3199" s="100"/>
      <c r="F3199" s="102"/>
      <c r="G3199" s="114"/>
    </row>
    <row r="3200" spans="2:7" ht="15.75" customHeight="1" x14ac:dyDescent="0.25">
      <c r="B3200" s="100"/>
      <c r="C3200" s="100"/>
      <c r="D3200" s="100"/>
      <c r="E3200" s="100"/>
      <c r="F3200" s="102"/>
      <c r="G3200" s="114"/>
    </row>
    <row r="3201" spans="2:7" ht="15.75" customHeight="1" x14ac:dyDescent="0.25">
      <c r="B3201" s="100"/>
      <c r="C3201" s="100"/>
      <c r="D3201" s="100"/>
      <c r="E3201" s="100"/>
      <c r="F3201" s="102"/>
      <c r="G3201" s="114"/>
    </row>
    <row r="3202" spans="2:7" ht="15.75" customHeight="1" x14ac:dyDescent="0.25">
      <c r="B3202" s="100"/>
      <c r="C3202" s="100"/>
      <c r="D3202" s="100"/>
      <c r="E3202" s="100"/>
      <c r="F3202" s="102"/>
      <c r="G3202" s="114"/>
    </row>
    <row r="3203" spans="2:7" ht="15.75" customHeight="1" x14ac:dyDescent="0.25">
      <c r="B3203" s="100"/>
      <c r="C3203" s="100"/>
      <c r="D3203" s="100"/>
      <c r="E3203" s="100"/>
      <c r="F3203" s="102"/>
      <c r="G3203" s="114"/>
    </row>
    <row r="3204" spans="2:7" ht="15.75" customHeight="1" x14ac:dyDescent="0.25">
      <c r="B3204" s="100"/>
      <c r="C3204" s="100"/>
      <c r="D3204" s="100"/>
      <c r="E3204" s="100"/>
      <c r="F3204" s="102"/>
      <c r="G3204" s="114"/>
    </row>
    <row r="3205" spans="2:7" ht="15.75" customHeight="1" x14ac:dyDescent="0.25">
      <c r="B3205" s="100"/>
      <c r="C3205" s="100"/>
      <c r="D3205" s="100"/>
      <c r="E3205" s="100"/>
      <c r="F3205" s="102"/>
      <c r="G3205" s="114"/>
    </row>
    <row r="3206" spans="2:7" ht="15.75" customHeight="1" x14ac:dyDescent="0.25">
      <c r="B3206" s="100"/>
      <c r="C3206" s="100"/>
      <c r="D3206" s="100"/>
      <c r="E3206" s="100"/>
      <c r="F3206" s="102"/>
      <c r="G3206" s="114"/>
    </row>
    <row r="3207" spans="2:7" ht="15.75" customHeight="1" x14ac:dyDescent="0.25">
      <c r="B3207" s="100"/>
      <c r="C3207" s="100"/>
      <c r="D3207" s="100"/>
      <c r="E3207" s="100"/>
      <c r="F3207" s="102"/>
      <c r="G3207" s="114"/>
    </row>
    <row r="3208" spans="2:7" ht="15.75" customHeight="1" x14ac:dyDescent="0.25">
      <c r="B3208" s="100"/>
      <c r="C3208" s="100"/>
      <c r="D3208" s="100"/>
      <c r="E3208" s="100"/>
      <c r="F3208" s="102"/>
      <c r="G3208" s="114"/>
    </row>
    <row r="3209" spans="2:7" ht="15.75" customHeight="1" x14ac:dyDescent="0.25">
      <c r="B3209" s="100"/>
      <c r="C3209" s="100"/>
      <c r="D3209" s="100"/>
      <c r="E3209" s="100"/>
      <c r="F3209" s="102"/>
      <c r="G3209" s="114"/>
    </row>
    <row r="3210" spans="2:7" ht="15.75" customHeight="1" x14ac:dyDescent="0.25">
      <c r="B3210" s="100"/>
      <c r="C3210" s="100"/>
      <c r="D3210" s="100"/>
      <c r="E3210" s="100"/>
      <c r="F3210" s="102"/>
      <c r="G3210" s="114"/>
    </row>
    <row r="3211" spans="2:7" ht="15.75" customHeight="1" x14ac:dyDescent="0.25">
      <c r="B3211" s="100"/>
      <c r="C3211" s="100"/>
      <c r="D3211" s="100"/>
      <c r="E3211" s="100"/>
      <c r="F3211" s="102"/>
      <c r="G3211" s="114"/>
    </row>
    <row r="3212" spans="2:7" ht="15.75" customHeight="1" x14ac:dyDescent="0.25">
      <c r="B3212" s="100"/>
      <c r="C3212" s="100"/>
      <c r="D3212" s="100"/>
      <c r="E3212" s="100"/>
      <c r="F3212" s="102"/>
      <c r="G3212" s="114"/>
    </row>
    <row r="3213" spans="2:7" ht="15.75" customHeight="1" x14ac:dyDescent="0.25">
      <c r="B3213" s="100"/>
      <c r="C3213" s="100"/>
      <c r="D3213" s="100"/>
      <c r="E3213" s="100"/>
      <c r="F3213" s="102"/>
      <c r="G3213" s="114"/>
    </row>
    <row r="3214" spans="2:7" ht="15.75" customHeight="1" x14ac:dyDescent="0.25">
      <c r="B3214" s="100"/>
      <c r="C3214" s="100"/>
      <c r="D3214" s="100"/>
      <c r="E3214" s="100"/>
      <c r="F3214" s="102"/>
      <c r="G3214" s="114"/>
    </row>
    <row r="3215" spans="2:7" ht="15.75" customHeight="1" x14ac:dyDescent="0.25">
      <c r="B3215" s="100"/>
      <c r="C3215" s="100"/>
      <c r="D3215" s="100"/>
      <c r="E3215" s="100"/>
      <c r="F3215" s="102"/>
      <c r="G3215" s="114"/>
    </row>
    <row r="3216" spans="2:7" ht="15.75" customHeight="1" x14ac:dyDescent="0.25">
      <c r="B3216" s="100"/>
      <c r="C3216" s="100"/>
      <c r="D3216" s="100"/>
      <c r="E3216" s="100"/>
      <c r="F3216" s="102"/>
      <c r="G3216" s="114"/>
    </row>
    <row r="3217" spans="2:7" ht="15.75" customHeight="1" x14ac:dyDescent="0.25">
      <c r="B3217" s="100"/>
      <c r="C3217" s="100"/>
      <c r="D3217" s="100"/>
      <c r="E3217" s="100"/>
      <c r="F3217" s="102"/>
      <c r="G3217" s="114"/>
    </row>
    <row r="3218" spans="2:7" ht="15.75" customHeight="1" x14ac:dyDescent="0.25">
      <c r="B3218" s="100"/>
      <c r="C3218" s="100"/>
      <c r="D3218" s="100"/>
      <c r="E3218" s="100"/>
      <c r="F3218" s="102"/>
      <c r="G3218" s="114"/>
    </row>
    <row r="3219" spans="2:7" ht="15.75" customHeight="1" x14ac:dyDescent="0.25">
      <c r="B3219" s="100"/>
      <c r="C3219" s="100"/>
      <c r="D3219" s="100"/>
      <c r="E3219" s="100"/>
      <c r="F3219" s="102"/>
      <c r="G3219" s="114"/>
    </row>
    <row r="3220" spans="2:7" ht="15.75" customHeight="1" x14ac:dyDescent="0.25">
      <c r="B3220" s="100"/>
      <c r="C3220" s="100"/>
      <c r="D3220" s="100"/>
      <c r="E3220" s="100"/>
      <c r="F3220" s="102"/>
      <c r="G3220" s="114"/>
    </row>
    <row r="3221" spans="2:7" ht="15.75" customHeight="1" x14ac:dyDescent="0.25">
      <c r="B3221" s="100"/>
      <c r="C3221" s="100"/>
      <c r="D3221" s="100"/>
      <c r="E3221" s="100"/>
      <c r="F3221" s="102"/>
      <c r="G3221" s="114"/>
    </row>
    <row r="3222" spans="2:7" ht="15.75" customHeight="1" x14ac:dyDescent="0.25">
      <c r="B3222" s="100"/>
      <c r="C3222" s="100"/>
      <c r="D3222" s="100"/>
      <c r="E3222" s="100"/>
      <c r="F3222" s="102"/>
      <c r="G3222" s="114"/>
    </row>
    <row r="3223" spans="2:7" ht="15.75" customHeight="1" x14ac:dyDescent="0.25">
      <c r="B3223" s="100"/>
      <c r="C3223" s="100"/>
      <c r="D3223" s="100"/>
      <c r="E3223" s="100"/>
      <c r="F3223" s="102"/>
      <c r="G3223" s="114"/>
    </row>
    <row r="3224" spans="2:7" ht="15.75" customHeight="1" x14ac:dyDescent="0.25">
      <c r="B3224" s="100"/>
      <c r="C3224" s="100"/>
      <c r="D3224" s="100"/>
      <c r="E3224" s="100"/>
      <c r="F3224" s="102"/>
      <c r="G3224" s="114"/>
    </row>
    <row r="3225" spans="2:7" ht="15.75" customHeight="1" x14ac:dyDescent="0.25">
      <c r="B3225" s="100"/>
      <c r="C3225" s="100"/>
      <c r="D3225" s="100"/>
      <c r="E3225" s="100"/>
      <c r="F3225" s="102"/>
      <c r="G3225" s="114"/>
    </row>
    <row r="3226" spans="2:7" ht="15.75" customHeight="1" x14ac:dyDescent="0.25">
      <c r="B3226" s="100"/>
      <c r="C3226" s="100"/>
      <c r="D3226" s="100"/>
      <c r="E3226" s="100"/>
      <c r="F3226" s="102"/>
      <c r="G3226" s="114"/>
    </row>
    <row r="3227" spans="2:7" ht="15.75" customHeight="1" x14ac:dyDescent="0.25">
      <c r="B3227" s="100"/>
      <c r="C3227" s="100"/>
      <c r="D3227" s="100"/>
      <c r="E3227" s="100"/>
      <c r="F3227" s="102"/>
      <c r="G3227" s="114"/>
    </row>
    <row r="3228" spans="2:7" ht="15.75" customHeight="1" x14ac:dyDescent="0.25">
      <c r="B3228" s="100"/>
      <c r="C3228" s="100"/>
      <c r="D3228" s="100"/>
      <c r="E3228" s="100"/>
      <c r="F3228" s="102"/>
      <c r="G3228" s="114"/>
    </row>
    <row r="3229" spans="2:7" ht="15.75" customHeight="1" x14ac:dyDescent="0.25">
      <c r="B3229" s="100"/>
      <c r="C3229" s="100"/>
      <c r="D3229" s="100"/>
      <c r="E3229" s="100"/>
      <c r="F3229" s="102"/>
      <c r="G3229" s="114"/>
    </row>
    <row r="3230" spans="2:7" ht="15.75" customHeight="1" x14ac:dyDescent="0.25">
      <c r="B3230" s="100"/>
      <c r="C3230" s="100"/>
      <c r="D3230" s="100"/>
      <c r="E3230" s="100"/>
      <c r="F3230" s="102"/>
      <c r="G3230" s="114"/>
    </row>
    <row r="3231" spans="2:7" ht="15.75" customHeight="1" x14ac:dyDescent="0.25">
      <c r="B3231" s="100"/>
      <c r="C3231" s="100"/>
      <c r="D3231" s="100"/>
      <c r="E3231" s="100"/>
      <c r="F3231" s="102"/>
      <c r="G3231" s="114"/>
    </row>
    <row r="3232" spans="2:7" ht="15.75" customHeight="1" x14ac:dyDescent="0.25">
      <c r="B3232" s="100"/>
      <c r="C3232" s="100"/>
      <c r="D3232" s="100"/>
      <c r="E3232" s="100"/>
      <c r="F3232" s="102"/>
      <c r="G3232" s="114"/>
    </row>
    <row r="3233" spans="2:7" ht="15.75" customHeight="1" x14ac:dyDescent="0.25">
      <c r="B3233" s="100"/>
      <c r="C3233" s="100"/>
      <c r="D3233" s="100"/>
      <c r="E3233" s="100"/>
      <c r="F3233" s="102"/>
      <c r="G3233" s="114"/>
    </row>
    <row r="3234" spans="2:7" ht="15.75" customHeight="1" x14ac:dyDescent="0.25">
      <c r="B3234" s="100"/>
      <c r="C3234" s="100"/>
      <c r="D3234" s="100"/>
      <c r="E3234" s="100"/>
      <c r="F3234" s="102"/>
      <c r="G3234" s="114"/>
    </row>
    <row r="3235" spans="2:7" ht="15.75" customHeight="1" x14ac:dyDescent="0.25">
      <c r="B3235" s="100"/>
      <c r="C3235" s="100"/>
      <c r="D3235" s="100"/>
      <c r="E3235" s="100"/>
      <c r="F3235" s="102"/>
      <c r="G3235" s="114"/>
    </row>
    <row r="3236" spans="2:7" ht="15.75" customHeight="1" x14ac:dyDescent="0.25">
      <c r="B3236" s="100"/>
      <c r="C3236" s="100"/>
      <c r="D3236" s="100"/>
      <c r="E3236" s="100"/>
      <c r="F3236" s="102"/>
      <c r="G3236" s="114"/>
    </row>
    <row r="3237" spans="2:7" ht="15.75" customHeight="1" x14ac:dyDescent="0.25">
      <c r="B3237" s="100"/>
      <c r="C3237" s="100"/>
      <c r="D3237" s="100"/>
      <c r="E3237" s="100"/>
      <c r="F3237" s="102"/>
      <c r="G3237" s="114"/>
    </row>
    <row r="3238" spans="2:7" ht="15.75" customHeight="1" x14ac:dyDescent="0.25">
      <c r="B3238" s="100"/>
      <c r="C3238" s="100"/>
      <c r="D3238" s="100"/>
      <c r="E3238" s="100"/>
      <c r="F3238" s="102"/>
      <c r="G3238" s="114"/>
    </row>
    <row r="3239" spans="2:7" ht="15.75" customHeight="1" x14ac:dyDescent="0.25">
      <c r="B3239" s="100"/>
      <c r="C3239" s="100"/>
      <c r="D3239" s="100"/>
      <c r="E3239" s="100"/>
      <c r="F3239" s="102"/>
      <c r="G3239" s="114"/>
    </row>
    <row r="3240" spans="2:7" ht="15.75" customHeight="1" x14ac:dyDescent="0.25">
      <c r="B3240" s="100"/>
      <c r="C3240" s="100"/>
      <c r="D3240" s="100"/>
      <c r="E3240" s="100"/>
      <c r="F3240" s="102"/>
      <c r="G3240" s="114"/>
    </row>
    <row r="3241" spans="2:7" ht="15.75" customHeight="1" x14ac:dyDescent="0.25">
      <c r="B3241" s="100"/>
      <c r="C3241" s="100"/>
      <c r="D3241" s="100"/>
      <c r="E3241" s="100"/>
      <c r="F3241" s="102"/>
      <c r="G3241" s="114"/>
    </row>
    <row r="3242" spans="2:7" ht="15.75" customHeight="1" x14ac:dyDescent="0.25">
      <c r="B3242" s="100"/>
      <c r="C3242" s="100"/>
      <c r="D3242" s="100"/>
      <c r="E3242" s="100"/>
      <c r="F3242" s="102"/>
      <c r="G3242" s="114"/>
    </row>
    <row r="3243" spans="2:7" ht="15.75" customHeight="1" x14ac:dyDescent="0.25">
      <c r="B3243" s="100"/>
      <c r="C3243" s="100"/>
      <c r="D3243" s="100"/>
      <c r="E3243" s="100"/>
      <c r="F3243" s="102"/>
      <c r="G3243" s="114"/>
    </row>
    <row r="3244" spans="2:7" ht="15.75" customHeight="1" x14ac:dyDescent="0.25">
      <c r="B3244" s="100"/>
      <c r="C3244" s="100"/>
      <c r="D3244" s="100"/>
      <c r="E3244" s="100"/>
      <c r="F3244" s="102"/>
      <c r="G3244" s="114"/>
    </row>
    <row r="3245" spans="2:7" ht="15.75" customHeight="1" x14ac:dyDescent="0.25">
      <c r="B3245" s="100"/>
      <c r="C3245" s="100"/>
      <c r="D3245" s="100"/>
      <c r="E3245" s="100"/>
      <c r="F3245" s="102"/>
      <c r="G3245" s="114"/>
    </row>
    <row r="3246" spans="2:7" ht="15.75" customHeight="1" x14ac:dyDescent="0.25">
      <c r="B3246" s="100"/>
      <c r="C3246" s="100"/>
      <c r="D3246" s="100"/>
      <c r="E3246" s="100"/>
      <c r="F3246" s="102"/>
      <c r="G3246" s="114"/>
    </row>
    <row r="3247" spans="2:7" ht="15.75" customHeight="1" x14ac:dyDescent="0.25">
      <c r="B3247" s="100"/>
      <c r="C3247" s="100"/>
      <c r="D3247" s="100"/>
      <c r="E3247" s="100"/>
      <c r="F3247" s="102"/>
      <c r="G3247" s="114"/>
    </row>
    <row r="3248" spans="2:7" ht="15.75" customHeight="1" x14ac:dyDescent="0.25">
      <c r="B3248" s="100"/>
      <c r="C3248" s="100"/>
      <c r="D3248" s="100"/>
      <c r="E3248" s="100"/>
      <c r="F3248" s="102"/>
      <c r="G3248" s="114"/>
    </row>
    <row r="3249" spans="2:7" ht="15.75" customHeight="1" x14ac:dyDescent="0.25">
      <c r="B3249" s="100"/>
      <c r="C3249" s="100"/>
      <c r="D3249" s="100"/>
      <c r="E3249" s="100"/>
      <c r="F3249" s="102"/>
      <c r="G3249" s="114"/>
    </row>
    <row r="3250" spans="2:7" ht="15.75" customHeight="1" x14ac:dyDescent="0.25">
      <c r="B3250" s="100"/>
      <c r="C3250" s="100"/>
      <c r="D3250" s="100"/>
      <c r="E3250" s="100"/>
      <c r="F3250" s="102"/>
      <c r="G3250" s="114"/>
    </row>
    <row r="3251" spans="2:7" ht="15.75" customHeight="1" x14ac:dyDescent="0.25">
      <c r="B3251" s="100"/>
      <c r="C3251" s="100"/>
      <c r="D3251" s="100"/>
      <c r="E3251" s="100"/>
      <c r="F3251" s="102"/>
      <c r="G3251" s="114"/>
    </row>
    <row r="3252" spans="2:7" ht="15.75" customHeight="1" x14ac:dyDescent="0.25">
      <c r="B3252" s="100"/>
      <c r="C3252" s="100"/>
      <c r="D3252" s="100"/>
      <c r="E3252" s="100"/>
      <c r="F3252" s="102"/>
      <c r="G3252" s="114"/>
    </row>
    <row r="3253" spans="2:7" ht="15.75" customHeight="1" x14ac:dyDescent="0.25">
      <c r="B3253" s="100"/>
      <c r="C3253" s="100"/>
      <c r="D3253" s="100"/>
      <c r="E3253" s="100"/>
      <c r="F3253" s="102"/>
      <c r="G3253" s="114"/>
    </row>
    <row r="3254" spans="2:7" ht="15.75" customHeight="1" x14ac:dyDescent="0.25">
      <c r="B3254" s="100"/>
      <c r="C3254" s="100"/>
      <c r="D3254" s="100"/>
      <c r="E3254" s="100"/>
      <c r="F3254" s="102"/>
      <c r="G3254" s="114"/>
    </row>
    <row r="3255" spans="2:7" ht="15.75" customHeight="1" x14ac:dyDescent="0.25">
      <c r="B3255" s="100"/>
      <c r="C3255" s="100"/>
      <c r="D3255" s="100"/>
      <c r="E3255" s="100"/>
      <c r="F3255" s="102"/>
      <c r="G3255" s="114"/>
    </row>
    <row r="3256" spans="2:7" ht="15.75" customHeight="1" x14ac:dyDescent="0.25">
      <c r="B3256" s="100"/>
      <c r="C3256" s="100"/>
      <c r="D3256" s="100"/>
      <c r="E3256" s="100"/>
      <c r="F3256" s="102"/>
      <c r="G3256" s="114"/>
    </row>
    <row r="3257" spans="2:7" ht="15.75" customHeight="1" x14ac:dyDescent="0.25">
      <c r="B3257" s="100"/>
      <c r="C3257" s="100"/>
      <c r="D3257" s="100"/>
      <c r="E3257" s="100"/>
      <c r="F3257" s="102"/>
      <c r="G3257" s="114"/>
    </row>
    <row r="3258" spans="2:7" ht="15.75" customHeight="1" x14ac:dyDescent="0.25">
      <c r="B3258" s="100"/>
      <c r="C3258" s="100"/>
      <c r="D3258" s="100"/>
      <c r="E3258" s="100"/>
      <c r="F3258" s="102"/>
      <c r="G3258" s="114"/>
    </row>
    <row r="3259" spans="2:7" ht="15.75" customHeight="1" x14ac:dyDescent="0.25">
      <c r="B3259" s="100"/>
      <c r="C3259" s="100"/>
      <c r="D3259" s="100"/>
      <c r="E3259" s="100"/>
      <c r="F3259" s="102"/>
      <c r="G3259" s="114"/>
    </row>
    <row r="3260" spans="2:7" ht="15.75" customHeight="1" x14ac:dyDescent="0.25">
      <c r="B3260" s="100"/>
      <c r="C3260" s="100"/>
      <c r="D3260" s="100"/>
      <c r="E3260" s="100"/>
      <c r="F3260" s="102"/>
      <c r="G3260" s="114"/>
    </row>
    <row r="3261" spans="2:7" ht="15.75" customHeight="1" x14ac:dyDescent="0.25">
      <c r="B3261" s="100"/>
      <c r="C3261" s="100"/>
      <c r="D3261" s="100"/>
      <c r="E3261" s="100"/>
      <c r="F3261" s="102"/>
      <c r="G3261" s="114"/>
    </row>
    <row r="3262" spans="2:7" ht="15.75" customHeight="1" x14ac:dyDescent="0.25">
      <c r="B3262" s="100"/>
      <c r="C3262" s="100"/>
      <c r="D3262" s="100"/>
      <c r="E3262" s="100"/>
      <c r="F3262" s="102"/>
      <c r="G3262" s="114"/>
    </row>
    <row r="3263" spans="2:7" ht="15.75" customHeight="1" x14ac:dyDescent="0.25">
      <c r="B3263" s="100"/>
      <c r="C3263" s="100"/>
      <c r="D3263" s="100"/>
      <c r="E3263" s="100"/>
      <c r="F3263" s="102"/>
      <c r="G3263" s="114"/>
    </row>
    <row r="3264" spans="2:7" ht="15.75" customHeight="1" x14ac:dyDescent="0.25">
      <c r="B3264" s="100"/>
      <c r="C3264" s="100"/>
      <c r="D3264" s="100"/>
      <c r="E3264" s="100"/>
      <c r="F3264" s="102"/>
      <c r="G3264" s="114"/>
    </row>
    <row r="3265" spans="2:7" ht="15.75" customHeight="1" x14ac:dyDescent="0.25">
      <c r="B3265" s="100"/>
      <c r="C3265" s="100"/>
      <c r="D3265" s="100"/>
      <c r="E3265" s="100"/>
      <c r="F3265" s="102"/>
      <c r="G3265" s="114"/>
    </row>
    <row r="3266" spans="2:7" ht="15.75" customHeight="1" x14ac:dyDescent="0.25">
      <c r="B3266" s="100"/>
      <c r="C3266" s="100"/>
      <c r="D3266" s="100"/>
      <c r="E3266" s="100"/>
      <c r="F3266" s="102"/>
      <c r="G3266" s="114"/>
    </row>
    <row r="3267" spans="2:7" ht="15.75" customHeight="1" x14ac:dyDescent="0.25">
      <c r="B3267" s="100"/>
      <c r="C3267" s="100"/>
      <c r="D3267" s="100"/>
      <c r="E3267" s="100"/>
      <c r="F3267" s="102"/>
      <c r="G3267" s="114"/>
    </row>
    <row r="3268" spans="2:7" ht="15.75" customHeight="1" x14ac:dyDescent="0.25">
      <c r="B3268" s="100"/>
      <c r="C3268" s="100"/>
      <c r="D3268" s="100"/>
      <c r="E3268" s="100"/>
      <c r="F3268" s="102"/>
      <c r="G3268" s="114"/>
    </row>
    <row r="3269" spans="2:7" ht="15.75" customHeight="1" x14ac:dyDescent="0.25">
      <c r="B3269" s="100"/>
      <c r="C3269" s="100"/>
      <c r="D3269" s="100"/>
      <c r="E3269" s="100"/>
      <c r="F3269" s="102"/>
      <c r="G3269" s="114"/>
    </row>
    <row r="3270" spans="2:7" ht="15.75" customHeight="1" x14ac:dyDescent="0.25">
      <c r="B3270" s="100"/>
      <c r="C3270" s="100"/>
      <c r="D3270" s="100"/>
      <c r="E3270" s="100"/>
      <c r="F3270" s="102"/>
      <c r="G3270" s="114"/>
    </row>
    <row r="3271" spans="2:7" ht="15.75" customHeight="1" x14ac:dyDescent="0.25">
      <c r="B3271" s="100"/>
      <c r="C3271" s="100"/>
      <c r="D3271" s="100"/>
      <c r="E3271" s="100"/>
      <c r="F3271" s="102"/>
      <c r="G3271" s="114"/>
    </row>
    <row r="3272" spans="2:7" ht="15.75" customHeight="1" x14ac:dyDescent="0.25">
      <c r="B3272" s="100"/>
      <c r="C3272" s="100"/>
      <c r="D3272" s="100"/>
      <c r="E3272" s="100"/>
      <c r="F3272" s="102"/>
      <c r="G3272" s="114"/>
    </row>
    <row r="3273" spans="2:7" ht="15.75" customHeight="1" x14ac:dyDescent="0.25">
      <c r="B3273" s="100"/>
      <c r="C3273" s="100"/>
      <c r="D3273" s="100"/>
      <c r="E3273" s="100"/>
      <c r="F3273" s="102"/>
      <c r="G3273" s="114"/>
    </row>
    <row r="3274" spans="2:7" ht="15.75" customHeight="1" x14ac:dyDescent="0.25">
      <c r="B3274" s="100"/>
      <c r="C3274" s="100"/>
      <c r="D3274" s="100"/>
      <c r="E3274" s="100"/>
      <c r="F3274" s="102"/>
      <c r="G3274" s="114"/>
    </row>
    <row r="3275" spans="2:7" ht="15.75" customHeight="1" x14ac:dyDescent="0.25">
      <c r="B3275" s="100"/>
      <c r="C3275" s="100"/>
      <c r="D3275" s="100"/>
      <c r="E3275" s="100"/>
      <c r="F3275" s="102"/>
      <c r="G3275" s="114"/>
    </row>
    <row r="3276" spans="2:7" ht="15.75" customHeight="1" x14ac:dyDescent="0.25">
      <c r="B3276" s="100"/>
      <c r="C3276" s="100"/>
      <c r="D3276" s="100"/>
      <c r="E3276" s="100"/>
      <c r="F3276" s="102"/>
      <c r="G3276" s="114"/>
    </row>
    <row r="3277" spans="2:7" ht="15.75" customHeight="1" x14ac:dyDescent="0.25">
      <c r="B3277" s="100"/>
      <c r="C3277" s="100"/>
      <c r="D3277" s="100"/>
      <c r="E3277" s="100"/>
      <c r="F3277" s="102"/>
      <c r="G3277" s="114"/>
    </row>
    <row r="3278" spans="2:7" ht="15.75" customHeight="1" x14ac:dyDescent="0.25">
      <c r="B3278" s="100"/>
      <c r="C3278" s="100"/>
      <c r="D3278" s="100"/>
      <c r="E3278" s="100"/>
      <c r="F3278" s="102"/>
      <c r="G3278" s="114"/>
    </row>
    <row r="3279" spans="2:7" ht="15.75" customHeight="1" x14ac:dyDescent="0.25">
      <c r="B3279" s="100"/>
      <c r="C3279" s="100"/>
      <c r="D3279" s="100"/>
      <c r="E3279" s="100"/>
      <c r="F3279" s="102"/>
      <c r="G3279" s="114"/>
    </row>
    <row r="3280" spans="2:7" ht="15.75" customHeight="1" x14ac:dyDescent="0.25">
      <c r="B3280" s="100"/>
      <c r="C3280" s="100"/>
      <c r="D3280" s="100"/>
      <c r="E3280" s="100"/>
      <c r="F3280" s="102"/>
      <c r="G3280" s="114"/>
    </row>
    <row r="3281" spans="2:7" ht="15.75" customHeight="1" x14ac:dyDescent="0.25">
      <c r="B3281" s="100"/>
      <c r="C3281" s="100"/>
      <c r="D3281" s="100"/>
      <c r="E3281" s="100"/>
      <c r="F3281" s="102"/>
      <c r="G3281" s="114"/>
    </row>
    <row r="3282" spans="2:7" ht="15.75" customHeight="1" x14ac:dyDescent="0.25">
      <c r="B3282" s="100"/>
      <c r="C3282" s="100"/>
      <c r="D3282" s="100"/>
      <c r="E3282" s="100"/>
      <c r="F3282" s="102"/>
      <c r="G3282" s="114"/>
    </row>
    <row r="3283" spans="2:7" ht="15.75" customHeight="1" x14ac:dyDescent="0.25">
      <c r="B3283" s="100"/>
      <c r="C3283" s="100"/>
      <c r="D3283" s="100"/>
      <c r="E3283" s="100"/>
      <c r="F3283" s="102"/>
      <c r="G3283" s="114"/>
    </row>
    <row r="3284" spans="2:7" ht="15.75" customHeight="1" x14ac:dyDescent="0.25">
      <c r="B3284" s="100"/>
      <c r="C3284" s="100"/>
      <c r="D3284" s="100"/>
      <c r="E3284" s="100"/>
      <c r="F3284" s="102"/>
      <c r="G3284" s="114"/>
    </row>
    <row r="3285" spans="2:7" ht="15.75" customHeight="1" x14ac:dyDescent="0.25">
      <c r="B3285" s="100"/>
      <c r="C3285" s="100"/>
      <c r="D3285" s="100"/>
      <c r="E3285" s="100"/>
      <c r="F3285" s="102"/>
      <c r="G3285" s="114"/>
    </row>
    <row r="3286" spans="2:7" ht="15.75" customHeight="1" x14ac:dyDescent="0.25">
      <c r="B3286" s="100"/>
      <c r="C3286" s="100"/>
      <c r="D3286" s="100"/>
      <c r="E3286" s="100"/>
      <c r="F3286" s="102"/>
      <c r="G3286" s="114"/>
    </row>
    <row r="3287" spans="2:7" ht="15.75" customHeight="1" x14ac:dyDescent="0.25">
      <c r="B3287" s="100"/>
      <c r="C3287" s="100"/>
      <c r="D3287" s="100"/>
      <c r="E3287" s="100"/>
      <c r="F3287" s="102"/>
      <c r="G3287" s="114"/>
    </row>
    <row r="3288" spans="2:7" ht="15.75" customHeight="1" x14ac:dyDescent="0.25">
      <c r="B3288" s="100"/>
      <c r="C3288" s="100"/>
      <c r="D3288" s="100"/>
      <c r="E3288" s="100"/>
      <c r="F3288" s="102"/>
      <c r="G3288" s="114"/>
    </row>
    <row r="3289" spans="2:7" ht="15.75" customHeight="1" x14ac:dyDescent="0.25">
      <c r="B3289" s="100"/>
      <c r="C3289" s="100"/>
      <c r="D3289" s="100"/>
      <c r="E3289" s="100"/>
      <c r="F3289" s="102"/>
      <c r="G3289" s="114"/>
    </row>
    <row r="3290" spans="2:7" ht="15.75" customHeight="1" x14ac:dyDescent="0.25">
      <c r="B3290" s="100"/>
      <c r="C3290" s="100"/>
      <c r="D3290" s="100"/>
      <c r="E3290" s="100"/>
      <c r="F3290" s="102"/>
      <c r="G3290" s="114"/>
    </row>
    <row r="3291" spans="2:7" ht="15.75" customHeight="1" x14ac:dyDescent="0.25">
      <c r="B3291" s="100"/>
      <c r="C3291" s="100"/>
      <c r="D3291" s="100"/>
      <c r="E3291" s="100"/>
      <c r="F3291" s="102"/>
      <c r="G3291" s="114"/>
    </row>
    <row r="3292" spans="2:7" ht="15.75" customHeight="1" x14ac:dyDescent="0.25">
      <c r="B3292" s="100"/>
      <c r="C3292" s="100"/>
      <c r="D3292" s="100"/>
      <c r="E3292" s="100"/>
      <c r="F3292" s="102"/>
      <c r="G3292" s="114"/>
    </row>
    <row r="3293" spans="2:7" ht="15.75" customHeight="1" x14ac:dyDescent="0.25">
      <c r="B3293" s="100"/>
      <c r="C3293" s="100"/>
      <c r="D3293" s="100"/>
      <c r="E3293" s="100"/>
      <c r="F3293" s="102"/>
      <c r="G3293" s="114"/>
    </row>
    <row r="3294" spans="2:7" ht="15.75" customHeight="1" x14ac:dyDescent="0.25">
      <c r="B3294" s="100"/>
      <c r="C3294" s="100"/>
      <c r="D3294" s="100"/>
      <c r="E3294" s="100"/>
      <c r="F3294" s="102"/>
      <c r="G3294" s="114"/>
    </row>
    <row r="3295" spans="2:7" ht="15.75" customHeight="1" x14ac:dyDescent="0.25">
      <c r="B3295" s="100"/>
      <c r="C3295" s="100"/>
      <c r="D3295" s="100"/>
      <c r="E3295" s="100"/>
      <c r="F3295" s="102"/>
      <c r="G3295" s="114"/>
    </row>
    <row r="3296" spans="2:7" ht="15.75" customHeight="1" x14ac:dyDescent="0.25">
      <c r="B3296" s="100"/>
      <c r="C3296" s="100"/>
      <c r="D3296" s="100"/>
      <c r="E3296" s="100"/>
      <c r="F3296" s="102"/>
      <c r="G3296" s="114"/>
    </row>
    <row r="3297" spans="2:7" ht="15.75" customHeight="1" x14ac:dyDescent="0.25">
      <c r="B3297" s="100"/>
      <c r="C3297" s="100"/>
      <c r="D3297" s="100"/>
      <c r="E3297" s="100"/>
      <c r="F3297" s="102"/>
      <c r="G3297" s="114"/>
    </row>
    <row r="3298" spans="2:7" ht="15.75" customHeight="1" x14ac:dyDescent="0.25">
      <c r="B3298" s="100"/>
      <c r="C3298" s="100"/>
      <c r="D3298" s="100"/>
      <c r="E3298" s="100"/>
      <c r="F3298" s="102"/>
      <c r="G3298" s="114"/>
    </row>
    <row r="3299" spans="2:7" ht="15.75" customHeight="1" x14ac:dyDescent="0.25">
      <c r="B3299" s="100"/>
      <c r="C3299" s="100"/>
      <c r="D3299" s="100"/>
      <c r="E3299" s="100"/>
      <c r="F3299" s="102"/>
      <c r="G3299" s="114"/>
    </row>
    <row r="3300" spans="2:7" ht="15.75" customHeight="1" x14ac:dyDescent="0.25">
      <c r="B3300" s="100"/>
      <c r="C3300" s="100"/>
      <c r="D3300" s="100"/>
      <c r="E3300" s="100"/>
      <c r="F3300" s="102"/>
      <c r="G3300" s="114"/>
    </row>
    <row r="3301" spans="2:7" ht="15.75" customHeight="1" x14ac:dyDescent="0.25">
      <c r="B3301" s="100"/>
      <c r="C3301" s="100"/>
      <c r="D3301" s="100"/>
      <c r="E3301" s="100"/>
      <c r="F3301" s="102"/>
      <c r="G3301" s="114"/>
    </row>
    <row r="3302" spans="2:7" ht="15.75" customHeight="1" x14ac:dyDescent="0.25">
      <c r="B3302" s="100"/>
      <c r="C3302" s="100"/>
      <c r="D3302" s="100"/>
      <c r="E3302" s="100"/>
      <c r="F3302" s="102"/>
      <c r="G3302" s="114"/>
    </row>
    <row r="3303" spans="2:7" ht="15.75" customHeight="1" x14ac:dyDescent="0.25">
      <c r="B3303" s="100"/>
      <c r="C3303" s="100"/>
      <c r="D3303" s="100"/>
      <c r="E3303" s="100"/>
      <c r="F3303" s="102"/>
      <c r="G3303" s="114"/>
    </row>
    <row r="3304" spans="2:7" ht="15.75" customHeight="1" x14ac:dyDescent="0.25">
      <c r="B3304" s="100"/>
      <c r="C3304" s="100"/>
      <c r="D3304" s="100"/>
      <c r="E3304" s="100"/>
      <c r="F3304" s="102"/>
      <c r="G3304" s="114"/>
    </row>
    <row r="3305" spans="2:7" ht="15.75" customHeight="1" x14ac:dyDescent="0.25">
      <c r="B3305" s="100"/>
      <c r="C3305" s="100"/>
      <c r="D3305" s="100"/>
      <c r="E3305" s="100"/>
      <c r="F3305" s="102"/>
      <c r="G3305" s="114"/>
    </row>
    <row r="3306" spans="2:7" ht="15.75" customHeight="1" x14ac:dyDescent="0.25">
      <c r="B3306" s="100"/>
      <c r="C3306" s="100"/>
      <c r="D3306" s="100"/>
      <c r="E3306" s="100"/>
      <c r="F3306" s="102"/>
      <c r="G3306" s="114"/>
    </row>
    <row r="3307" spans="2:7" ht="15.75" customHeight="1" x14ac:dyDescent="0.25">
      <c r="B3307" s="100"/>
      <c r="C3307" s="100"/>
      <c r="D3307" s="100"/>
      <c r="E3307" s="100"/>
      <c r="F3307" s="102"/>
      <c r="G3307" s="114"/>
    </row>
    <row r="3308" spans="2:7" ht="15.75" customHeight="1" x14ac:dyDescent="0.25">
      <c r="B3308" s="100"/>
      <c r="C3308" s="100"/>
      <c r="D3308" s="100"/>
      <c r="E3308" s="100"/>
      <c r="F3308" s="102"/>
      <c r="G3308" s="114"/>
    </row>
    <row r="3309" spans="2:7" ht="15.75" customHeight="1" x14ac:dyDescent="0.25">
      <c r="B3309" s="100"/>
      <c r="C3309" s="100"/>
      <c r="D3309" s="100"/>
      <c r="E3309" s="100"/>
      <c r="F3309" s="102"/>
      <c r="G3309" s="114"/>
    </row>
    <row r="3310" spans="2:7" ht="15.75" customHeight="1" x14ac:dyDescent="0.25">
      <c r="B3310" s="100"/>
      <c r="C3310" s="100"/>
      <c r="D3310" s="100"/>
      <c r="E3310" s="100"/>
      <c r="F3310" s="102"/>
      <c r="G3310" s="114"/>
    </row>
    <row r="3311" spans="2:7" ht="15.75" customHeight="1" x14ac:dyDescent="0.25">
      <c r="B3311" s="100"/>
      <c r="C3311" s="100"/>
      <c r="D3311" s="100"/>
      <c r="E3311" s="100"/>
      <c r="F3311" s="102"/>
      <c r="G3311" s="114"/>
    </row>
    <row r="3312" spans="2:7" ht="15.75" customHeight="1" x14ac:dyDescent="0.25">
      <c r="B3312" s="100"/>
      <c r="C3312" s="100"/>
      <c r="D3312" s="100"/>
      <c r="E3312" s="100"/>
      <c r="F3312" s="102"/>
      <c r="G3312" s="114"/>
    </row>
    <row r="3313" spans="2:7" ht="15.75" customHeight="1" x14ac:dyDescent="0.25">
      <c r="B3313" s="100"/>
      <c r="C3313" s="100"/>
      <c r="D3313" s="100"/>
      <c r="E3313" s="100"/>
      <c r="F3313" s="102"/>
      <c r="G3313" s="114"/>
    </row>
    <row r="3314" spans="2:7" ht="15.75" customHeight="1" x14ac:dyDescent="0.25">
      <c r="B3314" s="100"/>
      <c r="C3314" s="100"/>
      <c r="D3314" s="100"/>
      <c r="E3314" s="100"/>
      <c r="F3314" s="102"/>
      <c r="G3314" s="114"/>
    </row>
    <row r="3315" spans="2:7" ht="15.75" customHeight="1" x14ac:dyDescent="0.25">
      <c r="B3315" s="100"/>
      <c r="C3315" s="100"/>
      <c r="D3315" s="100"/>
      <c r="E3315" s="100"/>
      <c r="F3315" s="102"/>
      <c r="G3315" s="114"/>
    </row>
    <row r="3316" spans="2:7" ht="15.75" customHeight="1" x14ac:dyDescent="0.25">
      <c r="B3316" s="100"/>
      <c r="C3316" s="100"/>
      <c r="D3316" s="100"/>
      <c r="E3316" s="100"/>
      <c r="F3316" s="102"/>
      <c r="G3316" s="114"/>
    </row>
    <row r="3317" spans="2:7" ht="15.75" customHeight="1" x14ac:dyDescent="0.25">
      <c r="B3317" s="100"/>
      <c r="C3317" s="100"/>
      <c r="D3317" s="100"/>
      <c r="E3317" s="100"/>
      <c r="F3317" s="102"/>
      <c r="G3317" s="114"/>
    </row>
    <row r="3318" spans="2:7" ht="15.75" customHeight="1" x14ac:dyDescent="0.25">
      <c r="B3318" s="100"/>
      <c r="C3318" s="100"/>
      <c r="D3318" s="100"/>
      <c r="E3318" s="100"/>
      <c r="F3318" s="102"/>
      <c r="G3318" s="114"/>
    </row>
    <row r="3319" spans="2:7" ht="15.75" customHeight="1" x14ac:dyDescent="0.25">
      <c r="B3319" s="100"/>
      <c r="C3319" s="100"/>
      <c r="D3319" s="100"/>
      <c r="E3319" s="100"/>
      <c r="F3319" s="102"/>
      <c r="G3319" s="114"/>
    </row>
    <row r="3320" spans="2:7" ht="15.75" customHeight="1" x14ac:dyDescent="0.25">
      <c r="B3320" s="100"/>
      <c r="C3320" s="100"/>
      <c r="D3320" s="100"/>
      <c r="E3320" s="100"/>
      <c r="F3320" s="102"/>
      <c r="G3320" s="114"/>
    </row>
    <row r="3321" spans="2:7" ht="15.75" customHeight="1" x14ac:dyDescent="0.25">
      <c r="B3321" s="100"/>
      <c r="C3321" s="100"/>
      <c r="D3321" s="100"/>
      <c r="E3321" s="100"/>
      <c r="F3321" s="102"/>
      <c r="G3321" s="114"/>
    </row>
    <row r="3322" spans="2:7" ht="15.75" customHeight="1" x14ac:dyDescent="0.25">
      <c r="B3322" s="100"/>
      <c r="C3322" s="100"/>
      <c r="D3322" s="100"/>
      <c r="E3322" s="100"/>
      <c r="F3322" s="102"/>
      <c r="G3322" s="114"/>
    </row>
    <row r="3323" spans="2:7" ht="15.75" customHeight="1" x14ac:dyDescent="0.25">
      <c r="B3323" s="100"/>
      <c r="C3323" s="100"/>
      <c r="D3323" s="100"/>
      <c r="E3323" s="100"/>
      <c r="F3323" s="102"/>
      <c r="G3323" s="114"/>
    </row>
    <row r="3324" spans="2:7" ht="15.75" customHeight="1" x14ac:dyDescent="0.25">
      <c r="B3324" s="100"/>
      <c r="C3324" s="100"/>
      <c r="D3324" s="100"/>
      <c r="E3324" s="100"/>
      <c r="F3324" s="102"/>
      <c r="G3324" s="114"/>
    </row>
    <row r="3325" spans="2:7" ht="15.75" customHeight="1" x14ac:dyDescent="0.25">
      <c r="B3325" s="100"/>
      <c r="C3325" s="100"/>
      <c r="D3325" s="100"/>
      <c r="E3325" s="100"/>
      <c r="F3325" s="102"/>
      <c r="G3325" s="114"/>
    </row>
    <row r="3326" spans="2:7" ht="15.75" customHeight="1" x14ac:dyDescent="0.25">
      <c r="B3326" s="100"/>
      <c r="C3326" s="100"/>
      <c r="D3326" s="100"/>
      <c r="E3326" s="100"/>
      <c r="F3326" s="102"/>
      <c r="G3326" s="114"/>
    </row>
    <row r="3327" spans="2:7" ht="15.75" customHeight="1" x14ac:dyDescent="0.25">
      <c r="B3327" s="100"/>
      <c r="C3327" s="100"/>
      <c r="D3327" s="100"/>
      <c r="E3327" s="100"/>
      <c r="F3327" s="102"/>
      <c r="G3327" s="114"/>
    </row>
    <row r="3328" spans="2:7" ht="15.75" customHeight="1" x14ac:dyDescent="0.25">
      <c r="B3328" s="100"/>
      <c r="C3328" s="100"/>
      <c r="D3328" s="100"/>
      <c r="E3328" s="100"/>
      <c r="F3328" s="102"/>
      <c r="G3328" s="114"/>
    </row>
    <row r="3329" spans="2:7" ht="15.75" customHeight="1" x14ac:dyDescent="0.25">
      <c r="B3329" s="100"/>
      <c r="C3329" s="100"/>
      <c r="D3329" s="100"/>
      <c r="E3329" s="100"/>
      <c r="F3329" s="102"/>
      <c r="G3329" s="114"/>
    </row>
    <row r="3330" spans="2:7" ht="15.75" customHeight="1" x14ac:dyDescent="0.25">
      <c r="B3330" s="100"/>
      <c r="C3330" s="100"/>
      <c r="D3330" s="100"/>
      <c r="E3330" s="100"/>
      <c r="F3330" s="102"/>
      <c r="G3330" s="114"/>
    </row>
    <row r="3331" spans="2:7" ht="15.75" customHeight="1" x14ac:dyDescent="0.25">
      <c r="B3331" s="100"/>
      <c r="C3331" s="100"/>
      <c r="D3331" s="100"/>
      <c r="E3331" s="100"/>
      <c r="F3331" s="102"/>
      <c r="G3331" s="114"/>
    </row>
    <row r="3332" spans="2:7" ht="15.75" customHeight="1" x14ac:dyDescent="0.25">
      <c r="B3332" s="100"/>
      <c r="C3332" s="100"/>
      <c r="D3332" s="100"/>
      <c r="E3332" s="100"/>
      <c r="F3332" s="102"/>
      <c r="G3332" s="114"/>
    </row>
    <row r="3333" spans="2:7" ht="15.75" customHeight="1" x14ac:dyDescent="0.25">
      <c r="B3333" s="100"/>
      <c r="C3333" s="100"/>
      <c r="D3333" s="100"/>
      <c r="E3333" s="100"/>
      <c r="F3333" s="102"/>
      <c r="G3333" s="114"/>
    </row>
    <row r="3334" spans="2:7" ht="15.75" customHeight="1" x14ac:dyDescent="0.25">
      <c r="B3334" s="100"/>
      <c r="C3334" s="100"/>
      <c r="D3334" s="100"/>
      <c r="E3334" s="100"/>
      <c r="F3334" s="102"/>
      <c r="G3334" s="114"/>
    </row>
    <row r="3335" spans="2:7" ht="15.75" customHeight="1" x14ac:dyDescent="0.25">
      <c r="B3335" s="100"/>
      <c r="C3335" s="100"/>
      <c r="D3335" s="100"/>
      <c r="E3335" s="100"/>
      <c r="F3335" s="102"/>
      <c r="G3335" s="114"/>
    </row>
    <row r="3336" spans="2:7" ht="15.75" customHeight="1" x14ac:dyDescent="0.25">
      <c r="B3336" s="100"/>
      <c r="C3336" s="100"/>
      <c r="D3336" s="100"/>
      <c r="E3336" s="100"/>
      <c r="F3336" s="102"/>
      <c r="G3336" s="114"/>
    </row>
    <row r="3337" spans="2:7" ht="15.75" customHeight="1" x14ac:dyDescent="0.25">
      <c r="B3337" s="100"/>
      <c r="C3337" s="100"/>
      <c r="D3337" s="100"/>
      <c r="E3337" s="100"/>
      <c r="F3337" s="102"/>
      <c r="G3337" s="114"/>
    </row>
    <row r="3338" spans="2:7" ht="15.75" customHeight="1" x14ac:dyDescent="0.25">
      <c r="B3338" s="100"/>
      <c r="C3338" s="100"/>
      <c r="D3338" s="100"/>
      <c r="E3338" s="100"/>
      <c r="F3338" s="102"/>
      <c r="G3338" s="114"/>
    </row>
    <row r="3339" spans="2:7" ht="15.75" customHeight="1" x14ac:dyDescent="0.25">
      <c r="B3339" s="100"/>
      <c r="C3339" s="100"/>
      <c r="D3339" s="100"/>
      <c r="E3339" s="100"/>
      <c r="F3339" s="102"/>
      <c r="G3339" s="114"/>
    </row>
    <row r="3340" spans="2:7" ht="15.75" customHeight="1" x14ac:dyDescent="0.25">
      <c r="B3340" s="100"/>
      <c r="C3340" s="100"/>
      <c r="D3340" s="100"/>
      <c r="E3340" s="100"/>
      <c r="F3340" s="102"/>
      <c r="G3340" s="114"/>
    </row>
    <row r="3341" spans="2:7" ht="15.75" customHeight="1" x14ac:dyDescent="0.25">
      <c r="B3341" s="100"/>
      <c r="C3341" s="100"/>
      <c r="D3341" s="100"/>
      <c r="E3341" s="100"/>
      <c r="F3341" s="102"/>
      <c r="G3341" s="114"/>
    </row>
    <row r="3342" spans="2:7" ht="15.75" customHeight="1" x14ac:dyDescent="0.25">
      <c r="B3342" s="100"/>
      <c r="C3342" s="100"/>
      <c r="D3342" s="100"/>
      <c r="E3342" s="100"/>
      <c r="F3342" s="102"/>
      <c r="G3342" s="114"/>
    </row>
    <row r="3343" spans="2:7" ht="15.75" customHeight="1" x14ac:dyDescent="0.25">
      <c r="B3343" s="100"/>
      <c r="C3343" s="100"/>
      <c r="D3343" s="100"/>
      <c r="E3343" s="100"/>
      <c r="F3343" s="102"/>
      <c r="G3343" s="114"/>
    </row>
    <row r="3344" spans="2:7" ht="15.75" customHeight="1" x14ac:dyDescent="0.25">
      <c r="B3344" s="100"/>
      <c r="C3344" s="100"/>
      <c r="D3344" s="100"/>
      <c r="E3344" s="100"/>
      <c r="F3344" s="102"/>
      <c r="G3344" s="114"/>
    </row>
    <row r="3345" spans="2:7" ht="15.75" customHeight="1" x14ac:dyDescent="0.25">
      <c r="B3345" s="100"/>
      <c r="C3345" s="100"/>
      <c r="D3345" s="100"/>
      <c r="E3345" s="100"/>
      <c r="F3345" s="102"/>
      <c r="G3345" s="114"/>
    </row>
    <row r="3346" spans="2:7" ht="15.75" customHeight="1" x14ac:dyDescent="0.25">
      <c r="B3346" s="100"/>
      <c r="C3346" s="100"/>
      <c r="D3346" s="100"/>
      <c r="E3346" s="100"/>
      <c r="F3346" s="102"/>
      <c r="G3346" s="114"/>
    </row>
    <row r="3347" spans="2:7" ht="15.75" customHeight="1" x14ac:dyDescent="0.25">
      <c r="B3347" s="100"/>
      <c r="C3347" s="100"/>
      <c r="D3347" s="100"/>
      <c r="E3347" s="100"/>
      <c r="F3347" s="102"/>
      <c r="G3347" s="114"/>
    </row>
    <row r="3348" spans="2:7" ht="15.75" customHeight="1" x14ac:dyDescent="0.25">
      <c r="B3348" s="100"/>
      <c r="C3348" s="100"/>
      <c r="D3348" s="100"/>
      <c r="E3348" s="100"/>
      <c r="F3348" s="102"/>
      <c r="G3348" s="114"/>
    </row>
    <row r="3349" spans="2:7" ht="15.75" customHeight="1" x14ac:dyDescent="0.25">
      <c r="B3349" s="100"/>
      <c r="C3349" s="100"/>
      <c r="D3349" s="100"/>
      <c r="E3349" s="100"/>
      <c r="F3349" s="102"/>
      <c r="G3349" s="114"/>
    </row>
    <row r="3350" spans="2:7" ht="15.75" customHeight="1" x14ac:dyDescent="0.25">
      <c r="B3350" s="100"/>
      <c r="C3350" s="100"/>
      <c r="D3350" s="100"/>
      <c r="E3350" s="100"/>
      <c r="F3350" s="102"/>
      <c r="G3350" s="114"/>
    </row>
    <row r="3351" spans="2:7" ht="15.75" customHeight="1" x14ac:dyDescent="0.25">
      <c r="B3351" s="100"/>
      <c r="C3351" s="100"/>
      <c r="D3351" s="100"/>
      <c r="E3351" s="100"/>
      <c r="F3351" s="102"/>
      <c r="G3351" s="114"/>
    </row>
    <row r="3352" spans="2:7" ht="15.75" customHeight="1" x14ac:dyDescent="0.25">
      <c r="B3352" s="100"/>
      <c r="C3352" s="100"/>
      <c r="D3352" s="100"/>
      <c r="E3352" s="100"/>
      <c r="F3352" s="102"/>
      <c r="G3352" s="114"/>
    </row>
    <row r="3353" spans="2:7" ht="15.75" customHeight="1" x14ac:dyDescent="0.25">
      <c r="B3353" s="100"/>
      <c r="C3353" s="100"/>
      <c r="D3353" s="100"/>
      <c r="E3353" s="100"/>
      <c r="F3353" s="102"/>
      <c r="G3353" s="114"/>
    </row>
    <row r="3354" spans="2:7" ht="15.75" customHeight="1" x14ac:dyDescent="0.25">
      <c r="B3354" s="100"/>
      <c r="C3354" s="100"/>
      <c r="D3354" s="100"/>
      <c r="E3354" s="100"/>
      <c r="F3354" s="102"/>
      <c r="G3354" s="114"/>
    </row>
    <row r="3355" spans="2:7" ht="15.75" customHeight="1" x14ac:dyDescent="0.25">
      <c r="B3355" s="100"/>
      <c r="C3355" s="100"/>
      <c r="D3355" s="100"/>
      <c r="E3355" s="100"/>
      <c r="F3355" s="102"/>
      <c r="G3355" s="114"/>
    </row>
    <row r="3356" spans="2:7" ht="15.75" customHeight="1" x14ac:dyDescent="0.25">
      <c r="B3356" s="100"/>
      <c r="C3356" s="100"/>
      <c r="D3356" s="100"/>
      <c r="E3356" s="100"/>
      <c r="F3356" s="102"/>
      <c r="G3356" s="114"/>
    </row>
    <row r="3357" spans="2:7" ht="15.75" customHeight="1" x14ac:dyDescent="0.25">
      <c r="B3357" s="100"/>
      <c r="C3357" s="100"/>
      <c r="D3357" s="100"/>
      <c r="E3357" s="100"/>
      <c r="F3357" s="102"/>
      <c r="G3357" s="114"/>
    </row>
    <row r="3358" spans="2:7" ht="15.75" customHeight="1" x14ac:dyDescent="0.25">
      <c r="B3358" s="100"/>
      <c r="C3358" s="100"/>
      <c r="D3358" s="100"/>
      <c r="E3358" s="100"/>
      <c r="F3358" s="102"/>
      <c r="G3358" s="114"/>
    </row>
    <row r="3359" spans="2:7" ht="15.75" customHeight="1" x14ac:dyDescent="0.25">
      <c r="B3359" s="100"/>
      <c r="C3359" s="100"/>
      <c r="D3359" s="100"/>
      <c r="E3359" s="100"/>
      <c r="F3359" s="102"/>
      <c r="G3359" s="114"/>
    </row>
    <row r="3360" spans="2:7" ht="15.75" customHeight="1" x14ac:dyDescent="0.25">
      <c r="B3360" s="100"/>
      <c r="C3360" s="100"/>
      <c r="D3360" s="100"/>
      <c r="E3360" s="100"/>
      <c r="F3360" s="102"/>
      <c r="G3360" s="114"/>
    </row>
    <row r="3361" spans="2:7" ht="15.75" customHeight="1" x14ac:dyDescent="0.25">
      <c r="B3361" s="100"/>
      <c r="C3361" s="100"/>
      <c r="D3361" s="100"/>
      <c r="E3361" s="100"/>
      <c r="F3361" s="102"/>
      <c r="G3361" s="114"/>
    </row>
    <row r="3362" spans="2:7" ht="15.75" customHeight="1" x14ac:dyDescent="0.25">
      <c r="B3362" s="100"/>
      <c r="C3362" s="100"/>
      <c r="D3362" s="100"/>
      <c r="E3362" s="100"/>
      <c r="F3362" s="102"/>
      <c r="G3362" s="114"/>
    </row>
    <row r="3363" spans="2:7" ht="15.75" customHeight="1" x14ac:dyDescent="0.25">
      <c r="B3363" s="100"/>
      <c r="C3363" s="100"/>
      <c r="D3363" s="100"/>
      <c r="E3363" s="100"/>
      <c r="F3363" s="102"/>
      <c r="G3363" s="114"/>
    </row>
    <row r="3364" spans="2:7" ht="15.75" customHeight="1" x14ac:dyDescent="0.25">
      <c r="B3364" s="100"/>
      <c r="C3364" s="100"/>
      <c r="D3364" s="100"/>
      <c r="E3364" s="100"/>
      <c r="F3364" s="102"/>
      <c r="G3364" s="114"/>
    </row>
    <row r="3365" spans="2:7" ht="15.75" customHeight="1" x14ac:dyDescent="0.25">
      <c r="B3365" s="100"/>
      <c r="C3365" s="100"/>
      <c r="D3365" s="100"/>
      <c r="E3365" s="100"/>
      <c r="F3365" s="102"/>
      <c r="G3365" s="114"/>
    </row>
    <row r="3366" spans="2:7" ht="15.75" customHeight="1" x14ac:dyDescent="0.25">
      <c r="B3366" s="100"/>
      <c r="C3366" s="100"/>
      <c r="D3366" s="100"/>
      <c r="E3366" s="100"/>
      <c r="F3366" s="102"/>
      <c r="G3366" s="114"/>
    </row>
    <row r="3367" spans="2:7" ht="15.75" customHeight="1" x14ac:dyDescent="0.25">
      <c r="B3367" s="100"/>
      <c r="C3367" s="100"/>
      <c r="D3367" s="100"/>
      <c r="E3367" s="100"/>
      <c r="F3367" s="102"/>
      <c r="G3367" s="114"/>
    </row>
    <row r="3368" spans="2:7" ht="15.75" customHeight="1" x14ac:dyDescent="0.25">
      <c r="B3368" s="100"/>
      <c r="C3368" s="100"/>
      <c r="D3368" s="100"/>
      <c r="E3368" s="100"/>
      <c r="F3368" s="102"/>
      <c r="G3368" s="114"/>
    </row>
    <row r="3369" spans="2:7" ht="15.75" customHeight="1" x14ac:dyDescent="0.25">
      <c r="B3369" s="100"/>
      <c r="C3369" s="100"/>
      <c r="D3369" s="100"/>
      <c r="E3369" s="100"/>
      <c r="F3369" s="102"/>
      <c r="G3369" s="114"/>
    </row>
    <row r="3370" spans="2:7" ht="15.75" customHeight="1" x14ac:dyDescent="0.25">
      <c r="B3370" s="100"/>
      <c r="C3370" s="100"/>
      <c r="D3370" s="100"/>
      <c r="E3370" s="100"/>
      <c r="F3370" s="102"/>
      <c r="G3370" s="114"/>
    </row>
    <row r="3371" spans="2:7" ht="15.75" customHeight="1" x14ac:dyDescent="0.25">
      <c r="B3371" s="100"/>
      <c r="C3371" s="100"/>
      <c r="D3371" s="100"/>
      <c r="E3371" s="100"/>
      <c r="F3371" s="102"/>
      <c r="G3371" s="114"/>
    </row>
    <row r="3372" spans="2:7" ht="15.75" customHeight="1" x14ac:dyDescent="0.25">
      <c r="B3372" s="100"/>
      <c r="C3372" s="100"/>
      <c r="D3372" s="100"/>
      <c r="E3372" s="100"/>
      <c r="F3372" s="102"/>
      <c r="G3372" s="114"/>
    </row>
    <row r="3373" spans="2:7" ht="15.75" customHeight="1" x14ac:dyDescent="0.25">
      <c r="B3373" s="100"/>
      <c r="C3373" s="100"/>
      <c r="D3373" s="100"/>
      <c r="E3373" s="100"/>
      <c r="F3373" s="102"/>
      <c r="G3373" s="114"/>
    </row>
    <row r="3374" spans="2:7" ht="15.75" customHeight="1" x14ac:dyDescent="0.25">
      <c r="B3374" s="100"/>
      <c r="C3374" s="100"/>
      <c r="D3374" s="100"/>
      <c r="E3374" s="100"/>
      <c r="F3374" s="102"/>
      <c r="G3374" s="114"/>
    </row>
    <row r="3375" spans="2:7" ht="15.75" customHeight="1" x14ac:dyDescent="0.25">
      <c r="B3375" s="100"/>
      <c r="C3375" s="100"/>
      <c r="D3375" s="100"/>
      <c r="E3375" s="100"/>
      <c r="F3375" s="102"/>
      <c r="G3375" s="114"/>
    </row>
    <row r="3376" spans="2:7" ht="15.75" customHeight="1" x14ac:dyDescent="0.25">
      <c r="B3376" s="100"/>
      <c r="C3376" s="100"/>
      <c r="D3376" s="100"/>
      <c r="E3376" s="100"/>
      <c r="F3376" s="102"/>
      <c r="G3376" s="114"/>
    </row>
    <row r="3377" spans="2:7" ht="15.75" customHeight="1" x14ac:dyDescent="0.25">
      <c r="B3377" s="100"/>
      <c r="C3377" s="100"/>
      <c r="D3377" s="100"/>
      <c r="E3377" s="100"/>
      <c r="F3377" s="102"/>
      <c r="G3377" s="114"/>
    </row>
    <row r="3378" spans="2:7" ht="15.75" customHeight="1" x14ac:dyDescent="0.25">
      <c r="B3378" s="100"/>
      <c r="C3378" s="100"/>
      <c r="D3378" s="100"/>
      <c r="E3378" s="100"/>
      <c r="F3378" s="102"/>
      <c r="G3378" s="114"/>
    </row>
    <row r="3379" spans="2:7" ht="15.75" customHeight="1" x14ac:dyDescent="0.25">
      <c r="B3379" s="100"/>
      <c r="C3379" s="100"/>
      <c r="D3379" s="100"/>
      <c r="E3379" s="100"/>
      <c r="F3379" s="102"/>
      <c r="G3379" s="114"/>
    </row>
    <row r="3380" spans="2:7" ht="15.75" customHeight="1" x14ac:dyDescent="0.25">
      <c r="B3380" s="100"/>
      <c r="C3380" s="100"/>
      <c r="D3380" s="100"/>
      <c r="E3380" s="100"/>
      <c r="F3380" s="102"/>
      <c r="G3380" s="114"/>
    </row>
    <row r="3381" spans="2:7" ht="15.75" customHeight="1" x14ac:dyDescent="0.25">
      <c r="B3381" s="100"/>
      <c r="C3381" s="100"/>
      <c r="D3381" s="100"/>
      <c r="E3381" s="100"/>
      <c r="F3381" s="102"/>
      <c r="G3381" s="114"/>
    </row>
    <row r="3382" spans="2:7" ht="15.75" customHeight="1" x14ac:dyDescent="0.25">
      <c r="B3382" s="100"/>
      <c r="C3382" s="100"/>
      <c r="D3382" s="100"/>
      <c r="E3382" s="100"/>
      <c r="F3382" s="102"/>
      <c r="G3382" s="114"/>
    </row>
    <row r="3383" spans="2:7" ht="15.75" customHeight="1" x14ac:dyDescent="0.25">
      <c r="B3383" s="100"/>
      <c r="C3383" s="100"/>
      <c r="D3383" s="100"/>
      <c r="E3383" s="100"/>
      <c r="F3383" s="102"/>
      <c r="G3383" s="114"/>
    </row>
    <row r="3384" spans="2:7" ht="15.75" customHeight="1" x14ac:dyDescent="0.25">
      <c r="B3384" s="100"/>
      <c r="C3384" s="100"/>
      <c r="D3384" s="100"/>
      <c r="E3384" s="100"/>
      <c r="F3384" s="102"/>
      <c r="G3384" s="114"/>
    </row>
    <row r="3385" spans="2:7" ht="15.75" customHeight="1" x14ac:dyDescent="0.25">
      <c r="B3385" s="100"/>
      <c r="C3385" s="100"/>
      <c r="D3385" s="100"/>
      <c r="E3385" s="100"/>
      <c r="F3385" s="102"/>
      <c r="G3385" s="114"/>
    </row>
    <row r="3386" spans="2:7" ht="15.75" customHeight="1" x14ac:dyDescent="0.25">
      <c r="B3386" s="100"/>
      <c r="C3386" s="100"/>
      <c r="D3386" s="100"/>
      <c r="E3386" s="100"/>
      <c r="F3386" s="102"/>
      <c r="G3386" s="114"/>
    </row>
    <row r="3387" spans="2:7" ht="15.75" customHeight="1" x14ac:dyDescent="0.25">
      <c r="B3387" s="100"/>
      <c r="C3387" s="100"/>
      <c r="D3387" s="100"/>
      <c r="E3387" s="100"/>
      <c r="F3387" s="102"/>
      <c r="G3387" s="114"/>
    </row>
    <row r="3388" spans="2:7" ht="15.75" customHeight="1" x14ac:dyDescent="0.25">
      <c r="B3388" s="100"/>
      <c r="C3388" s="100"/>
      <c r="D3388" s="100"/>
      <c r="E3388" s="100"/>
      <c r="F3388" s="102"/>
      <c r="G3388" s="114"/>
    </row>
    <row r="3389" spans="2:7" ht="15.75" customHeight="1" x14ac:dyDescent="0.25">
      <c r="B3389" s="100"/>
      <c r="C3389" s="100"/>
      <c r="D3389" s="100"/>
      <c r="E3389" s="100"/>
      <c r="F3389" s="102"/>
      <c r="G3389" s="114"/>
    </row>
    <row r="3390" spans="2:7" ht="15.75" customHeight="1" x14ac:dyDescent="0.25">
      <c r="B3390" s="100"/>
      <c r="C3390" s="100"/>
      <c r="D3390" s="100"/>
      <c r="E3390" s="100"/>
      <c r="F3390" s="102"/>
      <c r="G3390" s="114"/>
    </row>
    <row r="3391" spans="2:7" ht="15.75" customHeight="1" x14ac:dyDescent="0.25">
      <c r="B3391" s="100"/>
      <c r="C3391" s="100"/>
      <c r="D3391" s="100"/>
      <c r="E3391" s="100"/>
      <c r="F3391" s="102"/>
      <c r="G3391" s="114"/>
    </row>
    <row r="3392" spans="2:7" ht="15.75" customHeight="1" x14ac:dyDescent="0.25">
      <c r="B3392" s="100"/>
      <c r="C3392" s="100"/>
      <c r="D3392" s="100"/>
      <c r="E3392" s="100"/>
      <c r="F3392" s="102"/>
      <c r="G3392" s="114"/>
    </row>
    <row r="3393" spans="2:7" ht="15.75" customHeight="1" x14ac:dyDescent="0.25">
      <c r="B3393" s="100"/>
      <c r="C3393" s="100"/>
      <c r="D3393" s="100"/>
      <c r="E3393" s="100"/>
      <c r="F3393" s="102"/>
      <c r="G3393" s="114"/>
    </row>
    <row r="3394" spans="2:7" ht="15.75" customHeight="1" x14ac:dyDescent="0.25">
      <c r="B3394" s="100"/>
      <c r="C3394" s="100"/>
      <c r="D3394" s="100"/>
      <c r="E3394" s="100"/>
      <c r="F3394" s="102"/>
      <c r="G3394" s="114"/>
    </row>
    <row r="3395" spans="2:7" ht="15.75" customHeight="1" x14ac:dyDescent="0.25">
      <c r="B3395" s="100"/>
      <c r="C3395" s="100"/>
      <c r="D3395" s="100"/>
      <c r="E3395" s="100"/>
      <c r="F3395" s="102"/>
      <c r="G3395" s="114"/>
    </row>
    <row r="3396" spans="2:7" ht="15.75" customHeight="1" x14ac:dyDescent="0.25">
      <c r="B3396" s="100"/>
      <c r="C3396" s="100"/>
      <c r="D3396" s="100"/>
      <c r="E3396" s="100"/>
      <c r="F3396" s="102"/>
      <c r="G3396" s="114"/>
    </row>
    <row r="3397" spans="2:7" ht="15.75" customHeight="1" x14ac:dyDescent="0.25">
      <c r="B3397" s="100"/>
      <c r="C3397" s="100"/>
      <c r="D3397" s="100"/>
      <c r="E3397" s="100"/>
      <c r="F3397" s="102"/>
      <c r="G3397" s="114"/>
    </row>
    <row r="3398" spans="2:7" ht="15.75" customHeight="1" x14ac:dyDescent="0.25">
      <c r="B3398" s="100"/>
      <c r="C3398" s="100"/>
      <c r="D3398" s="100"/>
      <c r="E3398" s="100"/>
      <c r="F3398" s="102"/>
      <c r="G3398" s="114"/>
    </row>
    <row r="3399" spans="2:7" ht="15.75" customHeight="1" x14ac:dyDescent="0.25">
      <c r="B3399" s="100"/>
      <c r="C3399" s="100"/>
      <c r="D3399" s="100"/>
      <c r="E3399" s="100"/>
      <c r="F3399" s="102"/>
      <c r="G3399" s="114"/>
    </row>
    <row r="3400" spans="2:7" ht="15.75" customHeight="1" x14ac:dyDescent="0.25">
      <c r="B3400" s="100"/>
      <c r="C3400" s="100"/>
      <c r="D3400" s="100"/>
      <c r="E3400" s="100"/>
      <c r="F3400" s="102"/>
      <c r="G3400" s="114"/>
    </row>
    <row r="3401" spans="2:7" ht="15.75" customHeight="1" x14ac:dyDescent="0.25">
      <c r="B3401" s="100"/>
      <c r="C3401" s="100"/>
      <c r="D3401" s="100"/>
      <c r="E3401" s="100"/>
      <c r="F3401" s="102"/>
      <c r="G3401" s="114"/>
    </row>
    <row r="3402" spans="2:7" ht="15.75" customHeight="1" x14ac:dyDescent="0.25">
      <c r="B3402" s="100"/>
      <c r="C3402" s="100"/>
      <c r="D3402" s="100"/>
      <c r="E3402" s="100"/>
      <c r="F3402" s="102"/>
      <c r="G3402" s="114"/>
    </row>
    <row r="3403" spans="2:7" ht="15.75" customHeight="1" x14ac:dyDescent="0.25">
      <c r="B3403" s="100"/>
      <c r="C3403" s="100"/>
      <c r="D3403" s="100"/>
      <c r="E3403" s="100"/>
      <c r="F3403" s="102"/>
      <c r="G3403" s="114"/>
    </row>
    <row r="3404" spans="2:7" ht="15.75" customHeight="1" x14ac:dyDescent="0.25">
      <c r="B3404" s="100"/>
      <c r="C3404" s="100"/>
      <c r="D3404" s="100"/>
      <c r="E3404" s="100"/>
      <c r="F3404" s="102"/>
      <c r="G3404" s="114"/>
    </row>
    <row r="3405" spans="2:7" ht="15.75" customHeight="1" x14ac:dyDescent="0.25">
      <c r="B3405" s="100"/>
      <c r="C3405" s="100"/>
      <c r="D3405" s="100"/>
      <c r="E3405" s="100"/>
      <c r="F3405" s="102"/>
      <c r="G3405" s="114"/>
    </row>
    <row r="3406" spans="2:7" ht="15.75" customHeight="1" x14ac:dyDescent="0.25">
      <c r="B3406" s="100"/>
      <c r="C3406" s="100"/>
      <c r="D3406" s="100"/>
      <c r="E3406" s="100"/>
      <c r="F3406" s="102"/>
      <c r="G3406" s="114"/>
    </row>
    <row r="3407" spans="2:7" ht="15.75" customHeight="1" x14ac:dyDescent="0.25">
      <c r="B3407" s="100"/>
      <c r="C3407" s="100"/>
      <c r="D3407" s="100"/>
      <c r="E3407" s="100"/>
      <c r="F3407" s="102"/>
      <c r="G3407" s="114"/>
    </row>
    <row r="3408" spans="2:7" ht="15.75" customHeight="1" x14ac:dyDescent="0.25">
      <c r="B3408" s="100"/>
      <c r="C3408" s="100"/>
      <c r="D3408" s="100"/>
      <c r="E3408" s="100"/>
      <c r="F3408" s="102"/>
      <c r="G3408" s="114"/>
    </row>
    <row r="3409" spans="2:7" ht="15.75" customHeight="1" x14ac:dyDescent="0.25">
      <c r="B3409" s="100"/>
      <c r="C3409" s="100"/>
      <c r="D3409" s="100"/>
      <c r="E3409" s="100"/>
      <c r="F3409" s="102"/>
      <c r="G3409" s="114"/>
    </row>
    <row r="3410" spans="2:7" ht="15.75" customHeight="1" x14ac:dyDescent="0.25">
      <c r="B3410" s="100"/>
      <c r="C3410" s="100"/>
      <c r="D3410" s="100"/>
      <c r="E3410" s="100"/>
      <c r="F3410" s="102"/>
      <c r="G3410" s="114"/>
    </row>
    <row r="3411" spans="2:7" ht="15.75" customHeight="1" x14ac:dyDescent="0.25">
      <c r="B3411" s="100"/>
      <c r="C3411" s="100"/>
      <c r="D3411" s="100"/>
      <c r="E3411" s="100"/>
      <c r="F3411" s="102"/>
      <c r="G3411" s="114"/>
    </row>
    <row r="3412" spans="2:7" ht="15.75" customHeight="1" x14ac:dyDescent="0.25">
      <c r="B3412" s="100"/>
      <c r="C3412" s="100"/>
      <c r="D3412" s="100"/>
      <c r="E3412" s="100"/>
      <c r="F3412" s="102"/>
      <c r="G3412" s="114"/>
    </row>
    <row r="3413" spans="2:7" ht="15.75" customHeight="1" x14ac:dyDescent="0.25">
      <c r="B3413" s="100"/>
      <c r="C3413" s="100"/>
      <c r="D3413" s="100"/>
      <c r="E3413" s="100"/>
      <c r="F3413" s="102"/>
      <c r="G3413" s="114"/>
    </row>
    <row r="3414" spans="2:7" ht="15.75" customHeight="1" x14ac:dyDescent="0.25">
      <c r="B3414" s="100"/>
      <c r="C3414" s="100"/>
      <c r="D3414" s="100"/>
      <c r="E3414" s="100"/>
      <c r="F3414" s="102"/>
      <c r="G3414" s="114"/>
    </row>
    <row r="3415" spans="2:7" ht="15.75" customHeight="1" x14ac:dyDescent="0.25">
      <c r="B3415" s="100"/>
      <c r="C3415" s="100"/>
      <c r="D3415" s="100"/>
      <c r="E3415" s="100"/>
      <c r="F3415" s="102"/>
      <c r="G3415" s="114"/>
    </row>
    <row r="3416" spans="2:7" ht="15.75" customHeight="1" x14ac:dyDescent="0.25">
      <c r="B3416" s="100"/>
      <c r="C3416" s="100"/>
      <c r="D3416" s="100"/>
      <c r="E3416" s="100"/>
      <c r="F3416" s="102"/>
      <c r="G3416" s="114"/>
    </row>
    <row r="3417" spans="2:7" ht="15.75" customHeight="1" x14ac:dyDescent="0.25">
      <c r="B3417" s="100"/>
      <c r="C3417" s="100"/>
      <c r="D3417" s="100"/>
      <c r="E3417" s="100"/>
      <c r="F3417" s="102"/>
      <c r="G3417" s="114"/>
    </row>
    <row r="3418" spans="2:7" ht="15.75" customHeight="1" x14ac:dyDescent="0.25">
      <c r="B3418" s="100"/>
      <c r="C3418" s="100"/>
      <c r="D3418" s="100"/>
      <c r="E3418" s="100"/>
      <c r="F3418" s="102"/>
      <c r="G3418" s="114"/>
    </row>
    <row r="3419" spans="2:7" ht="15.75" customHeight="1" x14ac:dyDescent="0.25">
      <c r="B3419" s="100"/>
      <c r="C3419" s="100"/>
      <c r="D3419" s="100"/>
      <c r="E3419" s="100"/>
      <c r="F3419" s="102"/>
      <c r="G3419" s="114"/>
    </row>
    <row r="3420" spans="2:7" ht="15.75" customHeight="1" x14ac:dyDescent="0.25">
      <c r="B3420" s="100"/>
      <c r="C3420" s="100"/>
      <c r="D3420" s="100"/>
      <c r="E3420" s="100"/>
      <c r="F3420" s="102"/>
      <c r="G3420" s="114"/>
    </row>
    <row r="3421" spans="2:7" ht="15.75" customHeight="1" x14ac:dyDescent="0.25">
      <c r="B3421" s="100"/>
      <c r="C3421" s="100"/>
      <c r="D3421" s="100"/>
      <c r="E3421" s="100"/>
      <c r="F3421" s="102"/>
      <c r="G3421" s="114"/>
    </row>
    <row r="3422" spans="2:7" ht="15.75" customHeight="1" x14ac:dyDescent="0.25">
      <c r="B3422" s="100"/>
      <c r="C3422" s="100"/>
      <c r="D3422" s="100"/>
      <c r="E3422" s="100"/>
      <c r="F3422" s="102"/>
      <c r="G3422" s="114"/>
    </row>
    <row r="3423" spans="2:7" ht="15.75" customHeight="1" x14ac:dyDescent="0.25">
      <c r="B3423" s="100"/>
      <c r="C3423" s="100"/>
      <c r="D3423" s="100"/>
      <c r="E3423" s="100"/>
      <c r="F3423" s="102"/>
      <c r="G3423" s="114"/>
    </row>
    <row r="3424" spans="2:7" ht="15.75" customHeight="1" x14ac:dyDescent="0.25">
      <c r="B3424" s="100"/>
      <c r="C3424" s="100"/>
      <c r="D3424" s="100"/>
      <c r="E3424" s="100"/>
      <c r="F3424" s="102"/>
      <c r="G3424" s="114"/>
    </row>
    <row r="3425" spans="2:7" ht="15.75" customHeight="1" x14ac:dyDescent="0.25">
      <c r="B3425" s="100"/>
      <c r="C3425" s="100"/>
      <c r="D3425" s="100"/>
      <c r="E3425" s="100"/>
      <c r="F3425" s="102"/>
      <c r="G3425" s="114"/>
    </row>
    <row r="3426" spans="2:7" ht="15.75" customHeight="1" x14ac:dyDescent="0.25">
      <c r="B3426" s="100"/>
      <c r="C3426" s="100"/>
      <c r="D3426" s="100"/>
      <c r="E3426" s="100"/>
      <c r="F3426" s="102"/>
      <c r="G3426" s="114"/>
    </row>
    <row r="3427" spans="2:7" ht="15.75" customHeight="1" x14ac:dyDescent="0.25">
      <c r="B3427" s="100"/>
      <c r="C3427" s="100"/>
      <c r="D3427" s="100"/>
      <c r="E3427" s="100"/>
      <c r="F3427" s="102"/>
      <c r="G3427" s="114"/>
    </row>
    <row r="3428" spans="2:7" ht="15.75" customHeight="1" x14ac:dyDescent="0.25">
      <c r="B3428" s="100"/>
      <c r="C3428" s="100"/>
      <c r="D3428" s="100"/>
      <c r="E3428" s="100"/>
      <c r="F3428" s="102"/>
      <c r="G3428" s="114"/>
    </row>
    <row r="3429" spans="2:7" ht="15.75" customHeight="1" x14ac:dyDescent="0.25">
      <c r="B3429" s="100"/>
      <c r="C3429" s="100"/>
      <c r="D3429" s="100"/>
      <c r="E3429" s="100"/>
      <c r="F3429" s="102"/>
      <c r="G3429" s="114"/>
    </row>
    <row r="3430" spans="2:7" ht="15.75" customHeight="1" x14ac:dyDescent="0.25">
      <c r="B3430" s="100"/>
      <c r="C3430" s="100"/>
      <c r="D3430" s="100"/>
      <c r="E3430" s="100"/>
      <c r="F3430" s="102"/>
      <c r="G3430" s="114"/>
    </row>
    <row r="3431" spans="2:7" ht="15.75" customHeight="1" x14ac:dyDescent="0.25">
      <c r="B3431" s="100"/>
      <c r="C3431" s="100"/>
      <c r="D3431" s="100"/>
      <c r="E3431" s="100"/>
      <c r="F3431" s="102"/>
      <c r="G3431" s="114"/>
    </row>
    <row r="3432" spans="2:7" ht="15.75" customHeight="1" x14ac:dyDescent="0.25">
      <c r="B3432" s="100"/>
      <c r="C3432" s="100"/>
      <c r="D3432" s="100"/>
      <c r="E3432" s="100"/>
      <c r="F3432" s="102"/>
      <c r="G3432" s="114"/>
    </row>
    <row r="3433" spans="2:7" ht="15.75" customHeight="1" x14ac:dyDescent="0.25">
      <c r="B3433" s="100"/>
      <c r="C3433" s="100"/>
      <c r="D3433" s="100"/>
      <c r="E3433" s="100"/>
      <c r="F3433" s="102"/>
      <c r="G3433" s="114"/>
    </row>
    <row r="3434" spans="2:7" ht="15.75" customHeight="1" x14ac:dyDescent="0.25">
      <c r="B3434" s="100"/>
      <c r="C3434" s="100"/>
      <c r="D3434" s="100"/>
      <c r="E3434" s="100"/>
      <c r="F3434" s="102"/>
      <c r="G3434" s="114"/>
    </row>
    <row r="3435" spans="2:7" ht="15.75" customHeight="1" x14ac:dyDescent="0.25">
      <c r="B3435" s="100"/>
      <c r="C3435" s="100"/>
      <c r="D3435" s="100"/>
      <c r="E3435" s="100"/>
      <c r="F3435" s="102"/>
      <c r="G3435" s="114"/>
    </row>
    <row r="3436" spans="2:7" ht="15.75" customHeight="1" x14ac:dyDescent="0.25">
      <c r="B3436" s="100"/>
      <c r="C3436" s="100"/>
      <c r="D3436" s="100"/>
      <c r="E3436" s="100"/>
      <c r="F3436" s="102"/>
      <c r="G3436" s="114"/>
    </row>
    <row r="3437" spans="2:7" ht="15.75" customHeight="1" x14ac:dyDescent="0.25">
      <c r="B3437" s="100"/>
      <c r="C3437" s="100"/>
      <c r="D3437" s="100"/>
      <c r="E3437" s="100"/>
      <c r="F3437" s="102"/>
      <c r="G3437" s="114"/>
    </row>
    <row r="3438" spans="2:7" ht="15.75" customHeight="1" x14ac:dyDescent="0.25">
      <c r="B3438" s="100"/>
      <c r="C3438" s="100"/>
      <c r="D3438" s="100"/>
      <c r="E3438" s="100"/>
      <c r="F3438" s="102"/>
      <c r="G3438" s="114"/>
    </row>
    <row r="3439" spans="2:7" ht="15.75" customHeight="1" x14ac:dyDescent="0.25">
      <c r="B3439" s="100"/>
      <c r="C3439" s="100"/>
      <c r="D3439" s="100"/>
      <c r="E3439" s="100"/>
      <c r="F3439" s="102"/>
      <c r="G3439" s="114"/>
    </row>
    <row r="3440" spans="2:7" ht="15.75" customHeight="1" x14ac:dyDescent="0.25">
      <c r="B3440" s="100"/>
      <c r="C3440" s="100"/>
      <c r="D3440" s="100"/>
      <c r="E3440" s="100"/>
      <c r="F3440" s="102"/>
      <c r="G3440" s="114"/>
    </row>
    <row r="3441" spans="2:7" ht="15.75" customHeight="1" x14ac:dyDescent="0.25">
      <c r="B3441" s="100"/>
      <c r="C3441" s="100"/>
      <c r="D3441" s="100"/>
      <c r="E3441" s="100"/>
      <c r="F3441" s="102"/>
      <c r="G3441" s="114"/>
    </row>
    <row r="3442" spans="2:7" ht="15.75" customHeight="1" x14ac:dyDescent="0.25">
      <c r="B3442" s="100"/>
      <c r="C3442" s="100"/>
      <c r="D3442" s="100"/>
      <c r="E3442" s="100"/>
      <c r="F3442" s="102"/>
      <c r="G3442" s="114"/>
    </row>
    <row r="3443" spans="2:7" ht="15.75" customHeight="1" x14ac:dyDescent="0.25">
      <c r="B3443" s="100"/>
      <c r="C3443" s="100"/>
      <c r="D3443" s="100"/>
      <c r="E3443" s="100"/>
      <c r="F3443" s="102"/>
      <c r="G3443" s="114"/>
    </row>
    <row r="3444" spans="2:7" ht="15.75" customHeight="1" x14ac:dyDescent="0.25">
      <c r="B3444" s="100"/>
      <c r="C3444" s="100"/>
      <c r="D3444" s="100"/>
      <c r="E3444" s="100"/>
      <c r="F3444" s="102"/>
      <c r="G3444" s="114"/>
    </row>
    <row r="3445" spans="2:7" ht="15.75" customHeight="1" x14ac:dyDescent="0.25">
      <c r="B3445" s="100"/>
      <c r="C3445" s="100"/>
      <c r="D3445" s="100"/>
      <c r="E3445" s="100"/>
      <c r="F3445" s="102"/>
      <c r="G3445" s="114"/>
    </row>
    <row r="3446" spans="2:7" ht="15.75" customHeight="1" x14ac:dyDescent="0.25">
      <c r="B3446" s="100"/>
      <c r="C3446" s="100"/>
      <c r="D3446" s="100"/>
      <c r="E3446" s="100"/>
      <c r="F3446" s="102"/>
      <c r="G3446" s="114"/>
    </row>
    <row r="3447" spans="2:7" ht="15.75" customHeight="1" x14ac:dyDescent="0.25">
      <c r="B3447" s="100"/>
      <c r="C3447" s="100"/>
      <c r="D3447" s="100"/>
      <c r="E3447" s="100"/>
      <c r="F3447" s="102"/>
      <c r="G3447" s="114"/>
    </row>
    <row r="3448" spans="2:7" ht="15.75" customHeight="1" x14ac:dyDescent="0.25">
      <c r="B3448" s="100"/>
      <c r="C3448" s="100"/>
      <c r="D3448" s="100"/>
      <c r="E3448" s="100"/>
      <c r="F3448" s="102"/>
      <c r="G3448" s="114"/>
    </row>
    <row r="3449" spans="2:7" ht="15.75" customHeight="1" x14ac:dyDescent="0.25">
      <c r="B3449" s="100"/>
      <c r="C3449" s="100"/>
      <c r="D3449" s="100"/>
      <c r="E3449" s="100"/>
      <c r="F3449" s="102"/>
      <c r="G3449" s="114"/>
    </row>
    <row r="3450" spans="2:7" ht="15.75" customHeight="1" x14ac:dyDescent="0.25">
      <c r="B3450" s="100"/>
      <c r="C3450" s="100"/>
      <c r="D3450" s="100"/>
      <c r="E3450" s="100"/>
      <c r="F3450" s="102"/>
      <c r="G3450" s="114"/>
    </row>
    <row r="3451" spans="2:7" ht="15.75" customHeight="1" x14ac:dyDescent="0.25">
      <c r="B3451" s="100"/>
      <c r="C3451" s="100"/>
      <c r="D3451" s="100"/>
      <c r="E3451" s="100"/>
      <c r="F3451" s="102"/>
      <c r="G3451" s="114"/>
    </row>
    <row r="3452" spans="2:7" ht="15.75" customHeight="1" x14ac:dyDescent="0.25">
      <c r="B3452" s="100"/>
      <c r="C3452" s="100"/>
      <c r="D3452" s="100"/>
      <c r="E3452" s="100"/>
      <c r="F3452" s="102"/>
      <c r="G3452" s="114"/>
    </row>
    <row r="3453" spans="2:7" ht="15.75" customHeight="1" x14ac:dyDescent="0.25">
      <c r="B3453" s="100"/>
      <c r="C3453" s="100"/>
      <c r="D3453" s="100"/>
      <c r="E3453" s="100"/>
      <c r="F3453" s="102"/>
      <c r="G3453" s="114"/>
    </row>
    <row r="3454" spans="2:7" ht="15.75" customHeight="1" x14ac:dyDescent="0.25">
      <c r="B3454" s="100"/>
      <c r="C3454" s="100"/>
      <c r="D3454" s="100"/>
      <c r="E3454" s="100"/>
      <c r="F3454" s="102"/>
      <c r="G3454" s="114"/>
    </row>
    <row r="3455" spans="2:7" ht="15.75" customHeight="1" x14ac:dyDescent="0.25">
      <c r="B3455" s="100"/>
      <c r="C3455" s="100"/>
      <c r="D3455" s="100"/>
      <c r="E3455" s="100"/>
      <c r="F3455" s="102"/>
      <c r="G3455" s="114"/>
    </row>
    <row r="3456" spans="2:7" ht="15.75" customHeight="1" x14ac:dyDescent="0.25">
      <c r="B3456" s="100"/>
      <c r="C3456" s="100"/>
      <c r="D3456" s="100"/>
      <c r="E3456" s="100"/>
      <c r="F3456" s="102"/>
      <c r="G3456" s="114"/>
    </row>
    <row r="3457" spans="2:7" ht="15.75" customHeight="1" x14ac:dyDescent="0.25">
      <c r="B3457" s="100"/>
      <c r="C3457" s="100"/>
      <c r="D3457" s="100"/>
      <c r="E3457" s="100"/>
      <c r="F3457" s="102"/>
      <c r="G3457" s="114"/>
    </row>
    <row r="3458" spans="2:7" ht="15.75" customHeight="1" x14ac:dyDescent="0.25">
      <c r="B3458" s="100"/>
      <c r="C3458" s="100"/>
      <c r="D3458" s="100"/>
      <c r="E3458" s="100"/>
      <c r="F3458" s="102"/>
      <c r="G3458" s="114"/>
    </row>
    <row r="3459" spans="2:7" ht="15.75" customHeight="1" x14ac:dyDescent="0.25">
      <c r="B3459" s="100"/>
      <c r="C3459" s="100"/>
      <c r="D3459" s="100"/>
      <c r="E3459" s="100"/>
      <c r="F3459" s="102"/>
      <c r="G3459" s="114"/>
    </row>
    <row r="3460" spans="2:7" ht="15.75" customHeight="1" x14ac:dyDescent="0.25">
      <c r="B3460" s="100"/>
      <c r="C3460" s="100"/>
      <c r="D3460" s="100"/>
      <c r="E3460" s="100"/>
      <c r="F3460" s="102"/>
      <c r="G3460" s="114"/>
    </row>
    <row r="3461" spans="2:7" ht="15.75" customHeight="1" x14ac:dyDescent="0.25">
      <c r="B3461" s="100"/>
      <c r="C3461" s="100"/>
      <c r="D3461" s="100"/>
      <c r="E3461" s="100"/>
      <c r="F3461" s="102"/>
      <c r="G3461" s="114"/>
    </row>
    <row r="3462" spans="2:7" ht="15.75" customHeight="1" x14ac:dyDescent="0.25">
      <c r="B3462" s="100"/>
      <c r="C3462" s="100"/>
      <c r="D3462" s="100"/>
      <c r="E3462" s="100"/>
      <c r="F3462" s="102"/>
      <c r="G3462" s="114"/>
    </row>
    <row r="3463" spans="2:7" ht="15.75" customHeight="1" x14ac:dyDescent="0.25">
      <c r="B3463" s="100"/>
      <c r="C3463" s="100"/>
      <c r="D3463" s="100"/>
      <c r="E3463" s="100"/>
      <c r="F3463" s="102"/>
      <c r="G3463" s="114"/>
    </row>
    <row r="3464" spans="2:7" ht="15.75" customHeight="1" x14ac:dyDescent="0.25">
      <c r="B3464" s="100"/>
      <c r="C3464" s="100"/>
      <c r="D3464" s="100"/>
      <c r="E3464" s="100"/>
      <c r="F3464" s="102"/>
      <c r="G3464" s="114"/>
    </row>
    <row r="3465" spans="2:7" ht="15.75" customHeight="1" x14ac:dyDescent="0.25">
      <c r="B3465" s="100"/>
      <c r="C3465" s="100"/>
      <c r="D3465" s="100"/>
      <c r="E3465" s="100"/>
      <c r="F3465" s="102"/>
      <c r="G3465" s="114"/>
    </row>
    <row r="3466" spans="2:7" ht="15.75" customHeight="1" x14ac:dyDescent="0.25">
      <c r="B3466" s="100"/>
      <c r="C3466" s="100"/>
      <c r="D3466" s="100"/>
      <c r="E3466" s="100"/>
      <c r="F3466" s="102"/>
      <c r="G3466" s="114"/>
    </row>
    <row r="3467" spans="2:7" ht="15.75" customHeight="1" x14ac:dyDescent="0.25">
      <c r="B3467" s="100"/>
      <c r="C3467" s="100"/>
      <c r="D3467" s="100"/>
      <c r="E3467" s="100"/>
      <c r="F3467" s="102"/>
      <c r="G3467" s="114"/>
    </row>
    <row r="3468" spans="2:7" ht="15.75" customHeight="1" x14ac:dyDescent="0.25">
      <c r="B3468" s="100"/>
      <c r="C3468" s="100"/>
      <c r="D3468" s="100"/>
      <c r="E3468" s="100"/>
      <c r="F3468" s="102"/>
      <c r="G3468" s="114"/>
    </row>
    <row r="3469" spans="2:7" ht="15.75" customHeight="1" x14ac:dyDescent="0.25">
      <c r="B3469" s="100"/>
      <c r="C3469" s="100"/>
      <c r="D3469" s="100"/>
      <c r="E3469" s="100"/>
      <c r="F3469" s="102"/>
      <c r="G3469" s="114"/>
    </row>
    <row r="3470" spans="2:7" ht="15.75" customHeight="1" x14ac:dyDescent="0.25">
      <c r="B3470" s="100"/>
      <c r="C3470" s="100"/>
      <c r="D3470" s="100"/>
      <c r="E3470" s="100"/>
      <c r="F3470" s="102"/>
      <c r="G3470" s="114"/>
    </row>
    <row r="3471" spans="2:7" ht="15.75" customHeight="1" x14ac:dyDescent="0.25">
      <c r="B3471" s="100"/>
      <c r="C3471" s="100"/>
      <c r="D3471" s="100"/>
      <c r="E3471" s="100"/>
      <c r="F3471" s="102"/>
      <c r="G3471" s="114"/>
    </row>
    <row r="3472" spans="2:7" ht="15.75" customHeight="1" x14ac:dyDescent="0.25">
      <c r="B3472" s="100"/>
      <c r="C3472" s="100"/>
      <c r="D3472" s="100"/>
      <c r="E3472" s="100"/>
      <c r="F3472" s="102"/>
      <c r="G3472" s="114"/>
    </row>
    <row r="3473" spans="2:7" ht="15.75" customHeight="1" x14ac:dyDescent="0.25">
      <c r="B3473" s="100"/>
      <c r="C3473" s="100"/>
      <c r="D3473" s="100"/>
      <c r="E3473" s="100"/>
      <c r="F3473" s="102"/>
      <c r="G3473" s="114"/>
    </row>
    <row r="3474" spans="2:7" ht="15.75" customHeight="1" x14ac:dyDescent="0.25">
      <c r="B3474" s="100"/>
      <c r="C3474" s="100"/>
      <c r="D3474" s="100"/>
      <c r="E3474" s="100"/>
      <c r="F3474" s="102"/>
      <c r="G3474" s="114"/>
    </row>
    <row r="3475" spans="2:7" ht="15.75" customHeight="1" x14ac:dyDescent="0.25">
      <c r="B3475" s="100"/>
      <c r="C3475" s="100"/>
      <c r="D3475" s="100"/>
      <c r="E3475" s="100"/>
      <c r="F3475" s="102"/>
      <c r="G3475" s="114"/>
    </row>
    <row r="3476" spans="2:7" ht="15.75" customHeight="1" x14ac:dyDescent="0.25">
      <c r="B3476" s="100"/>
      <c r="C3476" s="100"/>
      <c r="D3476" s="100"/>
      <c r="E3476" s="100"/>
      <c r="F3476" s="102"/>
      <c r="G3476" s="114"/>
    </row>
    <row r="3477" spans="2:7" ht="15.75" customHeight="1" x14ac:dyDescent="0.25">
      <c r="B3477" s="100"/>
      <c r="C3477" s="100"/>
      <c r="D3477" s="100"/>
      <c r="E3477" s="100"/>
      <c r="F3477" s="102"/>
      <c r="G3477" s="114"/>
    </row>
    <row r="3478" spans="2:7" ht="15.75" customHeight="1" x14ac:dyDescent="0.25">
      <c r="B3478" s="100"/>
      <c r="C3478" s="100"/>
      <c r="D3478" s="100"/>
      <c r="E3478" s="100"/>
      <c r="F3478" s="102"/>
      <c r="G3478" s="114"/>
    </row>
    <row r="3479" spans="2:7" ht="15.75" customHeight="1" x14ac:dyDescent="0.25">
      <c r="B3479" s="100"/>
      <c r="C3479" s="100"/>
      <c r="D3479" s="100"/>
      <c r="E3479" s="100"/>
      <c r="F3479" s="102"/>
      <c r="G3479" s="114"/>
    </row>
    <row r="3480" spans="2:7" ht="15.75" customHeight="1" x14ac:dyDescent="0.25">
      <c r="B3480" s="100"/>
      <c r="C3480" s="100"/>
      <c r="D3480" s="100"/>
      <c r="E3480" s="100"/>
      <c r="F3480" s="102"/>
      <c r="G3480" s="114"/>
    </row>
    <row r="3481" spans="2:7" ht="15.75" customHeight="1" x14ac:dyDescent="0.25">
      <c r="B3481" s="100"/>
      <c r="C3481" s="100"/>
      <c r="D3481" s="100"/>
      <c r="E3481" s="100"/>
      <c r="F3481" s="102"/>
      <c r="G3481" s="114"/>
    </row>
    <row r="3482" spans="2:7" ht="15.75" customHeight="1" x14ac:dyDescent="0.25">
      <c r="B3482" s="100"/>
      <c r="C3482" s="100"/>
      <c r="D3482" s="100"/>
      <c r="E3482" s="100"/>
      <c r="F3482" s="102"/>
      <c r="G3482" s="114"/>
    </row>
    <row r="3483" spans="2:7" ht="15.75" customHeight="1" x14ac:dyDescent="0.25">
      <c r="B3483" s="100"/>
      <c r="C3483" s="100"/>
      <c r="D3483" s="100"/>
      <c r="E3483" s="100"/>
      <c r="F3483" s="102"/>
      <c r="G3483" s="114"/>
    </row>
    <row r="3484" spans="2:7" ht="15.75" customHeight="1" x14ac:dyDescent="0.25">
      <c r="B3484" s="100"/>
      <c r="C3484" s="100"/>
      <c r="D3484" s="100"/>
      <c r="E3484" s="100"/>
      <c r="F3484" s="102"/>
      <c r="G3484" s="114"/>
    </row>
    <row r="3485" spans="2:7" ht="15.75" customHeight="1" x14ac:dyDescent="0.25">
      <c r="B3485" s="100"/>
      <c r="C3485" s="100"/>
      <c r="D3485" s="100"/>
      <c r="E3485" s="100"/>
      <c r="F3485" s="102"/>
      <c r="G3485" s="114"/>
    </row>
    <row r="3486" spans="2:7" ht="15.75" customHeight="1" x14ac:dyDescent="0.25">
      <c r="B3486" s="100"/>
      <c r="C3486" s="100"/>
      <c r="D3486" s="100"/>
      <c r="E3486" s="100"/>
      <c r="F3486" s="102"/>
      <c r="G3486" s="114"/>
    </row>
    <row r="3487" spans="2:7" ht="15.75" customHeight="1" x14ac:dyDescent="0.25">
      <c r="B3487" s="100"/>
      <c r="C3487" s="100"/>
      <c r="D3487" s="100"/>
      <c r="E3487" s="100"/>
      <c r="F3487" s="102"/>
      <c r="G3487" s="114"/>
    </row>
    <row r="3488" spans="2:7" ht="15.75" customHeight="1" x14ac:dyDescent="0.25">
      <c r="B3488" s="100"/>
      <c r="C3488" s="100"/>
      <c r="D3488" s="100"/>
      <c r="E3488" s="100"/>
      <c r="F3488" s="102"/>
      <c r="G3488" s="114"/>
    </row>
    <row r="3489" spans="2:7" ht="15.75" customHeight="1" x14ac:dyDescent="0.25">
      <c r="B3489" s="100"/>
      <c r="C3489" s="100"/>
      <c r="D3489" s="100"/>
      <c r="E3489" s="100"/>
      <c r="F3489" s="102"/>
      <c r="G3489" s="114"/>
    </row>
    <row r="3490" spans="2:7" ht="15.75" customHeight="1" x14ac:dyDescent="0.25">
      <c r="B3490" s="100"/>
      <c r="C3490" s="100"/>
      <c r="D3490" s="100"/>
      <c r="E3490" s="100"/>
      <c r="F3490" s="102"/>
      <c r="G3490" s="114"/>
    </row>
    <row r="3491" spans="2:7" ht="15.75" customHeight="1" x14ac:dyDescent="0.25">
      <c r="B3491" s="100"/>
      <c r="C3491" s="100"/>
      <c r="D3491" s="100"/>
      <c r="E3491" s="100"/>
      <c r="F3491" s="102"/>
      <c r="G3491" s="114"/>
    </row>
    <row r="3492" spans="2:7" ht="15.75" customHeight="1" x14ac:dyDescent="0.25">
      <c r="B3492" s="100"/>
      <c r="C3492" s="100"/>
      <c r="D3492" s="100"/>
      <c r="E3492" s="100"/>
      <c r="F3492" s="102"/>
      <c r="G3492" s="114"/>
    </row>
    <row r="3493" spans="2:7" ht="15.75" customHeight="1" x14ac:dyDescent="0.25">
      <c r="B3493" s="100"/>
      <c r="C3493" s="100"/>
      <c r="D3493" s="100"/>
      <c r="E3493" s="100"/>
      <c r="F3493" s="102"/>
      <c r="G3493" s="114"/>
    </row>
    <row r="3494" spans="2:7" ht="15.75" customHeight="1" x14ac:dyDescent="0.25">
      <c r="B3494" s="100"/>
      <c r="C3494" s="100"/>
      <c r="D3494" s="100"/>
      <c r="E3494" s="100"/>
      <c r="F3494" s="102"/>
      <c r="G3494" s="114"/>
    </row>
    <row r="3495" spans="2:7" ht="15.75" customHeight="1" x14ac:dyDescent="0.25">
      <c r="B3495" s="100"/>
      <c r="C3495" s="100"/>
      <c r="D3495" s="100"/>
      <c r="E3495" s="100"/>
      <c r="F3495" s="102"/>
      <c r="G3495" s="114"/>
    </row>
    <row r="3496" spans="2:7" ht="15.75" customHeight="1" x14ac:dyDescent="0.25">
      <c r="B3496" s="100"/>
      <c r="C3496" s="100"/>
      <c r="D3496" s="100"/>
      <c r="E3496" s="100"/>
      <c r="F3496" s="102"/>
      <c r="G3496" s="114"/>
    </row>
    <row r="3497" spans="2:7" ht="15.75" customHeight="1" x14ac:dyDescent="0.25">
      <c r="B3497" s="100"/>
      <c r="C3497" s="100"/>
      <c r="D3497" s="100"/>
      <c r="E3497" s="100"/>
      <c r="F3497" s="102"/>
      <c r="G3497" s="114"/>
    </row>
    <row r="3498" spans="2:7" ht="15.75" customHeight="1" x14ac:dyDescent="0.25">
      <c r="B3498" s="100"/>
      <c r="C3498" s="100"/>
      <c r="D3498" s="100"/>
      <c r="E3498" s="100"/>
      <c r="F3498" s="102"/>
      <c r="G3498" s="114"/>
    </row>
    <row r="3499" spans="2:7" ht="15.75" customHeight="1" x14ac:dyDescent="0.25">
      <c r="B3499" s="100"/>
      <c r="C3499" s="100"/>
      <c r="D3499" s="100"/>
      <c r="E3499" s="100"/>
      <c r="F3499" s="102"/>
      <c r="G3499" s="114"/>
    </row>
    <row r="3500" spans="2:7" ht="15.75" customHeight="1" x14ac:dyDescent="0.25">
      <c r="B3500" s="100"/>
      <c r="C3500" s="100"/>
      <c r="D3500" s="100"/>
      <c r="E3500" s="100"/>
      <c r="F3500" s="102"/>
      <c r="G3500" s="114"/>
    </row>
    <row r="3501" spans="2:7" ht="15.75" customHeight="1" x14ac:dyDescent="0.25">
      <c r="B3501" s="100"/>
      <c r="C3501" s="100"/>
      <c r="D3501" s="100"/>
      <c r="E3501" s="100"/>
      <c r="F3501" s="102"/>
      <c r="G3501" s="114"/>
    </row>
    <row r="3502" spans="2:7" ht="15.75" customHeight="1" x14ac:dyDescent="0.25">
      <c r="B3502" s="100"/>
      <c r="C3502" s="100"/>
      <c r="D3502" s="100"/>
      <c r="E3502" s="100"/>
      <c r="F3502" s="102"/>
      <c r="G3502" s="114"/>
    </row>
    <row r="3503" spans="2:7" ht="15.75" customHeight="1" x14ac:dyDescent="0.25">
      <c r="B3503" s="100"/>
      <c r="C3503" s="100"/>
      <c r="D3503" s="100"/>
      <c r="E3503" s="100"/>
      <c r="F3503" s="102"/>
      <c r="G3503" s="114"/>
    </row>
    <row r="3504" spans="2:7" ht="15.75" customHeight="1" x14ac:dyDescent="0.25">
      <c r="B3504" s="100"/>
      <c r="C3504" s="100"/>
      <c r="D3504" s="100"/>
      <c r="E3504" s="100"/>
      <c r="F3504" s="102"/>
      <c r="G3504" s="114"/>
    </row>
    <row r="3505" spans="2:7" ht="15.75" customHeight="1" x14ac:dyDescent="0.25">
      <c r="B3505" s="100"/>
      <c r="C3505" s="100"/>
      <c r="D3505" s="100"/>
      <c r="E3505" s="100"/>
      <c r="F3505" s="102"/>
      <c r="G3505" s="114"/>
    </row>
    <row r="3506" spans="2:7" ht="15.75" customHeight="1" x14ac:dyDescent="0.25">
      <c r="B3506" s="100"/>
      <c r="C3506" s="100"/>
      <c r="D3506" s="100"/>
      <c r="E3506" s="100"/>
      <c r="F3506" s="102"/>
      <c r="G3506" s="114"/>
    </row>
    <row r="3507" spans="2:7" ht="15.75" customHeight="1" x14ac:dyDescent="0.25">
      <c r="B3507" s="100"/>
      <c r="C3507" s="100"/>
      <c r="D3507" s="100"/>
      <c r="E3507" s="100"/>
      <c r="F3507" s="102"/>
      <c r="G3507" s="114"/>
    </row>
    <row r="3508" spans="2:7" ht="15.75" customHeight="1" x14ac:dyDescent="0.25">
      <c r="B3508" s="100"/>
      <c r="C3508" s="100"/>
      <c r="D3508" s="100"/>
      <c r="E3508" s="100"/>
      <c r="F3508" s="102"/>
      <c r="G3508" s="114"/>
    </row>
    <row r="3509" spans="2:7" ht="15.75" customHeight="1" x14ac:dyDescent="0.25">
      <c r="B3509" s="100"/>
      <c r="C3509" s="100"/>
      <c r="D3509" s="100"/>
      <c r="E3509" s="100"/>
      <c r="F3509" s="102"/>
      <c r="G3509" s="114"/>
    </row>
    <row r="3510" spans="2:7" ht="15.75" customHeight="1" x14ac:dyDescent="0.25">
      <c r="B3510" s="100"/>
      <c r="C3510" s="100"/>
      <c r="D3510" s="100"/>
      <c r="E3510" s="100"/>
      <c r="F3510" s="102"/>
      <c r="G3510" s="114"/>
    </row>
    <row r="3511" spans="2:7" ht="15.75" customHeight="1" x14ac:dyDescent="0.25">
      <c r="B3511" s="100"/>
      <c r="C3511" s="100"/>
      <c r="D3511" s="100"/>
      <c r="E3511" s="100"/>
      <c r="F3511" s="102"/>
      <c r="G3511" s="114"/>
    </row>
    <row r="3512" spans="2:7" ht="15.75" customHeight="1" x14ac:dyDescent="0.25">
      <c r="B3512" s="100"/>
      <c r="C3512" s="100"/>
      <c r="D3512" s="100"/>
      <c r="E3512" s="100"/>
      <c r="F3512" s="102"/>
      <c r="G3512" s="114"/>
    </row>
    <row r="3513" spans="2:7" ht="15.75" customHeight="1" x14ac:dyDescent="0.25">
      <c r="B3513" s="100"/>
      <c r="C3513" s="100"/>
      <c r="D3513" s="100"/>
      <c r="E3513" s="100"/>
      <c r="F3513" s="102"/>
      <c r="G3513" s="114"/>
    </row>
    <row r="3514" spans="2:7" ht="15.75" customHeight="1" x14ac:dyDescent="0.25">
      <c r="B3514" s="100"/>
      <c r="C3514" s="100"/>
      <c r="D3514" s="100"/>
      <c r="E3514" s="100"/>
      <c r="F3514" s="102"/>
      <c r="G3514" s="114"/>
    </row>
    <row r="3515" spans="2:7" ht="15.75" customHeight="1" x14ac:dyDescent="0.25">
      <c r="B3515" s="100"/>
      <c r="C3515" s="100"/>
      <c r="D3515" s="100"/>
      <c r="E3515" s="100"/>
      <c r="F3515" s="102"/>
      <c r="G3515" s="114"/>
    </row>
    <row r="3516" spans="2:7" ht="15.75" customHeight="1" x14ac:dyDescent="0.25">
      <c r="B3516" s="100"/>
      <c r="C3516" s="100"/>
      <c r="D3516" s="100"/>
      <c r="E3516" s="100"/>
      <c r="F3516" s="102"/>
      <c r="G3516" s="114"/>
    </row>
    <row r="3517" spans="2:7" ht="15.75" customHeight="1" x14ac:dyDescent="0.25">
      <c r="B3517" s="100"/>
      <c r="C3517" s="100"/>
      <c r="D3517" s="100"/>
      <c r="E3517" s="100"/>
      <c r="F3517" s="102"/>
      <c r="G3517" s="114"/>
    </row>
    <row r="3518" spans="2:7" ht="15.75" customHeight="1" x14ac:dyDescent="0.25">
      <c r="B3518" s="100"/>
      <c r="C3518" s="100"/>
      <c r="D3518" s="100"/>
      <c r="E3518" s="100"/>
      <c r="F3518" s="102"/>
      <c r="G3518" s="114"/>
    </row>
    <row r="3519" spans="2:7" ht="15.75" customHeight="1" x14ac:dyDescent="0.25">
      <c r="B3519" s="100"/>
      <c r="C3519" s="100"/>
      <c r="D3519" s="100"/>
      <c r="E3519" s="100"/>
      <c r="F3519" s="102"/>
      <c r="G3519" s="114"/>
    </row>
    <row r="3520" spans="2:7" ht="15.75" customHeight="1" x14ac:dyDescent="0.25">
      <c r="B3520" s="100"/>
      <c r="C3520" s="100"/>
      <c r="D3520" s="100"/>
      <c r="E3520" s="100"/>
      <c r="F3520" s="102"/>
      <c r="G3520" s="114"/>
    </row>
    <row r="3521" spans="2:7" ht="15.75" customHeight="1" x14ac:dyDescent="0.25">
      <c r="B3521" s="100"/>
      <c r="C3521" s="100"/>
      <c r="D3521" s="100"/>
      <c r="E3521" s="100"/>
      <c r="F3521" s="102"/>
      <c r="G3521" s="114"/>
    </row>
    <row r="3522" spans="2:7" ht="15.75" customHeight="1" x14ac:dyDescent="0.25">
      <c r="B3522" s="100"/>
      <c r="C3522" s="100"/>
      <c r="D3522" s="100"/>
      <c r="E3522" s="100"/>
      <c r="F3522" s="102"/>
      <c r="G3522" s="114"/>
    </row>
    <row r="3523" spans="2:7" ht="15.75" customHeight="1" x14ac:dyDescent="0.25">
      <c r="B3523" s="100"/>
      <c r="C3523" s="100"/>
      <c r="D3523" s="100"/>
      <c r="E3523" s="100"/>
      <c r="F3523" s="102"/>
      <c r="G3523" s="114"/>
    </row>
    <row r="3524" spans="2:7" ht="15.75" customHeight="1" x14ac:dyDescent="0.25">
      <c r="B3524" s="100"/>
      <c r="C3524" s="100"/>
      <c r="D3524" s="100"/>
      <c r="E3524" s="100"/>
      <c r="F3524" s="102"/>
      <c r="G3524" s="114"/>
    </row>
    <row r="3525" spans="2:7" ht="15.75" customHeight="1" x14ac:dyDescent="0.25">
      <c r="B3525" s="100"/>
      <c r="C3525" s="100"/>
      <c r="D3525" s="100"/>
      <c r="E3525" s="100"/>
      <c r="F3525" s="102"/>
      <c r="G3525" s="114"/>
    </row>
    <row r="3526" spans="2:7" ht="15.75" customHeight="1" x14ac:dyDescent="0.25">
      <c r="B3526" s="100"/>
      <c r="C3526" s="100"/>
      <c r="D3526" s="100"/>
      <c r="E3526" s="100"/>
      <c r="F3526" s="102"/>
      <c r="G3526" s="114"/>
    </row>
    <row r="3527" spans="2:7" ht="15.75" customHeight="1" x14ac:dyDescent="0.25">
      <c r="B3527" s="100"/>
      <c r="C3527" s="100"/>
      <c r="D3527" s="100"/>
      <c r="E3527" s="100"/>
      <c r="F3527" s="102"/>
      <c r="G3527" s="114"/>
    </row>
    <row r="3528" spans="2:7" ht="15.75" customHeight="1" x14ac:dyDescent="0.25">
      <c r="B3528" s="100"/>
      <c r="C3528" s="100"/>
      <c r="D3528" s="100"/>
      <c r="E3528" s="100"/>
      <c r="F3528" s="102"/>
      <c r="G3528" s="114"/>
    </row>
    <row r="3529" spans="2:7" ht="15.75" customHeight="1" x14ac:dyDescent="0.25">
      <c r="B3529" s="100"/>
      <c r="C3529" s="100"/>
      <c r="D3529" s="100"/>
      <c r="E3529" s="100"/>
      <c r="F3529" s="102"/>
      <c r="G3529" s="114"/>
    </row>
    <row r="3530" spans="2:7" ht="15.75" customHeight="1" x14ac:dyDescent="0.25">
      <c r="B3530" s="100"/>
      <c r="C3530" s="100"/>
      <c r="D3530" s="100"/>
      <c r="E3530" s="100"/>
      <c r="F3530" s="102"/>
      <c r="G3530" s="114"/>
    </row>
    <row r="3531" spans="2:7" ht="15.75" customHeight="1" x14ac:dyDescent="0.25">
      <c r="B3531" s="100"/>
      <c r="C3531" s="100"/>
      <c r="D3531" s="100"/>
      <c r="E3531" s="100"/>
      <c r="F3531" s="102"/>
      <c r="G3531" s="114"/>
    </row>
    <row r="3532" spans="2:7" ht="15.75" customHeight="1" x14ac:dyDescent="0.25">
      <c r="B3532" s="100"/>
      <c r="C3532" s="100"/>
      <c r="D3532" s="100"/>
      <c r="E3532" s="100"/>
      <c r="F3532" s="102"/>
      <c r="G3532" s="114"/>
    </row>
    <row r="3533" spans="2:7" ht="15.75" customHeight="1" x14ac:dyDescent="0.25">
      <c r="B3533" s="100"/>
      <c r="C3533" s="100"/>
      <c r="D3533" s="100"/>
      <c r="E3533" s="100"/>
      <c r="F3533" s="102"/>
      <c r="G3533" s="114"/>
    </row>
    <row r="3534" spans="2:7" ht="15.75" customHeight="1" x14ac:dyDescent="0.25">
      <c r="B3534" s="100"/>
      <c r="C3534" s="100"/>
      <c r="D3534" s="100"/>
      <c r="E3534" s="100"/>
      <c r="F3534" s="102"/>
      <c r="G3534" s="114"/>
    </row>
    <row r="3535" spans="2:7" ht="15.75" customHeight="1" x14ac:dyDescent="0.25">
      <c r="B3535" s="100"/>
      <c r="C3535" s="100"/>
      <c r="D3535" s="100"/>
      <c r="E3535" s="100"/>
      <c r="F3535" s="102"/>
      <c r="G3535" s="114"/>
    </row>
    <row r="3536" spans="2:7" ht="15.75" customHeight="1" x14ac:dyDescent="0.25">
      <c r="B3536" s="100"/>
      <c r="C3536" s="100"/>
      <c r="D3536" s="100"/>
      <c r="E3536" s="100"/>
      <c r="F3536" s="102"/>
      <c r="G3536" s="114"/>
    </row>
    <row r="3537" spans="2:7" ht="15.75" customHeight="1" x14ac:dyDescent="0.25">
      <c r="B3537" s="100"/>
      <c r="C3537" s="100"/>
      <c r="D3537" s="100"/>
      <c r="E3537" s="100"/>
      <c r="F3537" s="102"/>
      <c r="G3537" s="114"/>
    </row>
    <row r="3538" spans="2:7" ht="15.75" customHeight="1" x14ac:dyDescent="0.25">
      <c r="B3538" s="100"/>
      <c r="C3538" s="100"/>
      <c r="D3538" s="100"/>
      <c r="E3538" s="100"/>
      <c r="F3538" s="102"/>
      <c r="G3538" s="114"/>
    </row>
    <row r="3539" spans="2:7" ht="15.75" customHeight="1" x14ac:dyDescent="0.25">
      <c r="B3539" s="100"/>
      <c r="C3539" s="100"/>
      <c r="D3539" s="100"/>
      <c r="E3539" s="100"/>
      <c r="F3539" s="102"/>
      <c r="G3539" s="114"/>
    </row>
    <row r="3540" spans="2:7" ht="15.75" customHeight="1" x14ac:dyDescent="0.25">
      <c r="B3540" s="100"/>
      <c r="C3540" s="100"/>
      <c r="D3540" s="100"/>
      <c r="E3540" s="100"/>
      <c r="F3540" s="102"/>
      <c r="G3540" s="114"/>
    </row>
    <row r="3541" spans="2:7" ht="15.75" customHeight="1" x14ac:dyDescent="0.25">
      <c r="B3541" s="100"/>
      <c r="C3541" s="100"/>
      <c r="D3541" s="100"/>
      <c r="E3541" s="100"/>
      <c r="F3541" s="102"/>
      <c r="G3541" s="114"/>
    </row>
    <row r="3542" spans="2:7" ht="15.75" customHeight="1" x14ac:dyDescent="0.25">
      <c r="B3542" s="100"/>
      <c r="C3542" s="100"/>
      <c r="D3542" s="100"/>
      <c r="E3542" s="100"/>
      <c r="F3542" s="102"/>
      <c r="G3542" s="114"/>
    </row>
    <row r="3543" spans="2:7" ht="15.75" customHeight="1" x14ac:dyDescent="0.25">
      <c r="B3543" s="100"/>
      <c r="C3543" s="100"/>
      <c r="D3543" s="100"/>
      <c r="E3543" s="100"/>
      <c r="F3543" s="102"/>
      <c r="G3543" s="114"/>
    </row>
    <row r="3544" spans="2:7" ht="15.75" customHeight="1" x14ac:dyDescent="0.25">
      <c r="B3544" s="100"/>
      <c r="C3544" s="100"/>
      <c r="D3544" s="100"/>
      <c r="E3544" s="100"/>
      <c r="F3544" s="102"/>
      <c r="G3544" s="114"/>
    </row>
    <row r="3545" spans="2:7" ht="15.75" customHeight="1" x14ac:dyDescent="0.25">
      <c r="B3545" s="100"/>
      <c r="C3545" s="100"/>
      <c r="D3545" s="100"/>
      <c r="E3545" s="100"/>
      <c r="F3545" s="102"/>
      <c r="G3545" s="114"/>
    </row>
    <row r="3546" spans="2:7" ht="15.75" customHeight="1" x14ac:dyDescent="0.25">
      <c r="B3546" s="100"/>
      <c r="C3546" s="100"/>
      <c r="D3546" s="100"/>
      <c r="E3546" s="100"/>
      <c r="F3546" s="102"/>
      <c r="G3546" s="114"/>
    </row>
    <row r="3547" spans="2:7" ht="15.75" customHeight="1" x14ac:dyDescent="0.25">
      <c r="B3547" s="100"/>
      <c r="C3547" s="100"/>
      <c r="D3547" s="100"/>
      <c r="E3547" s="100"/>
      <c r="F3547" s="102"/>
      <c r="G3547" s="114"/>
    </row>
    <row r="3548" spans="2:7" ht="15.75" customHeight="1" x14ac:dyDescent="0.25">
      <c r="B3548" s="100"/>
      <c r="C3548" s="100"/>
      <c r="D3548" s="100"/>
      <c r="E3548" s="100"/>
      <c r="F3548" s="102"/>
      <c r="G3548" s="114"/>
    </row>
    <row r="3549" spans="2:7" ht="15.75" customHeight="1" x14ac:dyDescent="0.25">
      <c r="B3549" s="100"/>
      <c r="C3549" s="100"/>
      <c r="D3549" s="100"/>
      <c r="E3549" s="100"/>
      <c r="F3549" s="102"/>
      <c r="G3549" s="114"/>
    </row>
    <row r="3550" spans="2:7" ht="15.75" customHeight="1" x14ac:dyDescent="0.25">
      <c r="B3550" s="100"/>
      <c r="C3550" s="100"/>
      <c r="D3550" s="100"/>
      <c r="E3550" s="100"/>
      <c r="F3550" s="102"/>
      <c r="G3550" s="114"/>
    </row>
    <row r="3551" spans="2:7" ht="15.75" customHeight="1" x14ac:dyDescent="0.25">
      <c r="B3551" s="100"/>
      <c r="C3551" s="100"/>
      <c r="D3551" s="100"/>
      <c r="E3551" s="100"/>
      <c r="F3551" s="102"/>
      <c r="G3551" s="114"/>
    </row>
    <row r="3552" spans="2:7" ht="15.75" customHeight="1" x14ac:dyDescent="0.25">
      <c r="B3552" s="100"/>
      <c r="C3552" s="100"/>
      <c r="D3552" s="100"/>
      <c r="E3552" s="100"/>
      <c r="F3552" s="102"/>
      <c r="G3552" s="114"/>
    </row>
    <row r="3553" spans="2:7" ht="15.75" customHeight="1" x14ac:dyDescent="0.25">
      <c r="B3553" s="100"/>
      <c r="C3553" s="100"/>
      <c r="D3553" s="100"/>
      <c r="E3553" s="100"/>
      <c r="F3553" s="102"/>
      <c r="G3553" s="114"/>
    </row>
    <row r="3554" spans="2:7" ht="15.75" customHeight="1" x14ac:dyDescent="0.25">
      <c r="B3554" s="100"/>
      <c r="C3554" s="100"/>
      <c r="D3554" s="100"/>
      <c r="E3554" s="100"/>
      <c r="F3554" s="102"/>
      <c r="G3554" s="114"/>
    </row>
    <row r="3555" spans="2:7" ht="15.75" customHeight="1" x14ac:dyDescent="0.25">
      <c r="B3555" s="100"/>
      <c r="C3555" s="100"/>
      <c r="D3555" s="100"/>
      <c r="E3555" s="100"/>
      <c r="F3555" s="102"/>
      <c r="G3555" s="114"/>
    </row>
    <row r="3556" spans="2:7" ht="15.75" customHeight="1" x14ac:dyDescent="0.25">
      <c r="B3556" s="100"/>
      <c r="C3556" s="100"/>
      <c r="D3556" s="100"/>
      <c r="E3556" s="100"/>
      <c r="F3556" s="102"/>
      <c r="G3556" s="114"/>
    </row>
    <row r="3557" spans="2:7" ht="15.75" customHeight="1" x14ac:dyDescent="0.25">
      <c r="B3557" s="100"/>
      <c r="C3557" s="100"/>
      <c r="D3557" s="100"/>
      <c r="E3557" s="100"/>
      <c r="F3557" s="102"/>
      <c r="G3557" s="114"/>
    </row>
    <row r="3558" spans="2:7" ht="15.75" customHeight="1" x14ac:dyDescent="0.25">
      <c r="B3558" s="100"/>
      <c r="C3558" s="100"/>
      <c r="D3558" s="100"/>
      <c r="E3558" s="100"/>
      <c r="F3558" s="102"/>
      <c r="G3558" s="114"/>
    </row>
    <row r="3559" spans="2:7" ht="15.75" customHeight="1" x14ac:dyDescent="0.25">
      <c r="B3559" s="100"/>
      <c r="C3559" s="100"/>
      <c r="D3559" s="100"/>
      <c r="E3559" s="100"/>
      <c r="F3559" s="102"/>
      <c r="G3559" s="114"/>
    </row>
    <row r="3560" spans="2:7" ht="15.75" customHeight="1" x14ac:dyDescent="0.25">
      <c r="B3560" s="100"/>
      <c r="C3560" s="100"/>
      <c r="D3560" s="100"/>
      <c r="E3560" s="100"/>
      <c r="F3560" s="102"/>
      <c r="G3560" s="114"/>
    </row>
    <row r="3561" spans="2:7" ht="15.75" customHeight="1" x14ac:dyDescent="0.25">
      <c r="B3561" s="100"/>
      <c r="C3561" s="100"/>
      <c r="D3561" s="100"/>
      <c r="E3561" s="100"/>
      <c r="F3561" s="102"/>
      <c r="G3561" s="114"/>
    </row>
    <row r="3562" spans="2:7" ht="15.75" customHeight="1" x14ac:dyDescent="0.25">
      <c r="B3562" s="100"/>
      <c r="C3562" s="100"/>
      <c r="D3562" s="100"/>
      <c r="E3562" s="100"/>
      <c r="F3562" s="102"/>
      <c r="G3562" s="114"/>
    </row>
    <row r="3563" spans="2:7" ht="15.75" customHeight="1" x14ac:dyDescent="0.25">
      <c r="B3563" s="100"/>
      <c r="C3563" s="100"/>
      <c r="D3563" s="100"/>
      <c r="E3563" s="100"/>
      <c r="F3563" s="102"/>
      <c r="G3563" s="114"/>
    </row>
    <row r="3564" spans="2:7" ht="15.75" customHeight="1" x14ac:dyDescent="0.25">
      <c r="B3564" s="100"/>
      <c r="C3564" s="100"/>
      <c r="D3564" s="100"/>
      <c r="E3564" s="100"/>
      <c r="F3564" s="102"/>
      <c r="G3564" s="114"/>
    </row>
    <row r="3565" spans="2:7" ht="15.75" customHeight="1" x14ac:dyDescent="0.25">
      <c r="B3565" s="100"/>
      <c r="C3565" s="100"/>
      <c r="D3565" s="100"/>
      <c r="E3565" s="100"/>
      <c r="F3565" s="102"/>
      <c r="G3565" s="114"/>
    </row>
    <row r="3566" spans="2:7" ht="15.75" customHeight="1" x14ac:dyDescent="0.25">
      <c r="B3566" s="100"/>
      <c r="C3566" s="100"/>
      <c r="D3566" s="100"/>
      <c r="E3566" s="100"/>
      <c r="F3566" s="102"/>
      <c r="G3566" s="114"/>
    </row>
    <row r="3567" spans="2:7" ht="15.75" customHeight="1" x14ac:dyDescent="0.25">
      <c r="B3567" s="100"/>
      <c r="C3567" s="100"/>
      <c r="D3567" s="100"/>
      <c r="E3567" s="100"/>
      <c r="F3567" s="102"/>
      <c r="G3567" s="114"/>
    </row>
    <row r="3568" spans="2:7" ht="15.75" customHeight="1" x14ac:dyDescent="0.25">
      <c r="B3568" s="100"/>
      <c r="C3568" s="100"/>
      <c r="D3568" s="100"/>
      <c r="E3568" s="100"/>
      <c r="F3568" s="102"/>
      <c r="G3568" s="114"/>
    </row>
    <row r="3569" spans="2:7" ht="15.75" customHeight="1" x14ac:dyDescent="0.25">
      <c r="B3569" s="100"/>
      <c r="C3569" s="100"/>
      <c r="D3569" s="100"/>
      <c r="E3569" s="100"/>
      <c r="F3569" s="102"/>
      <c r="G3569" s="114"/>
    </row>
    <row r="3570" spans="2:7" ht="15.75" customHeight="1" x14ac:dyDescent="0.25">
      <c r="B3570" s="100"/>
      <c r="C3570" s="100"/>
      <c r="D3570" s="100"/>
      <c r="E3570" s="100"/>
      <c r="F3570" s="102"/>
      <c r="G3570" s="114"/>
    </row>
    <row r="3571" spans="2:7" ht="15.75" customHeight="1" x14ac:dyDescent="0.25">
      <c r="B3571" s="100"/>
      <c r="C3571" s="100"/>
      <c r="D3571" s="100"/>
      <c r="E3571" s="100"/>
      <c r="F3571" s="102"/>
      <c r="G3571" s="114"/>
    </row>
    <row r="3572" spans="2:7" ht="15.75" customHeight="1" x14ac:dyDescent="0.25">
      <c r="B3572" s="100"/>
      <c r="C3572" s="100"/>
      <c r="D3572" s="100"/>
      <c r="E3572" s="100"/>
      <c r="F3572" s="102"/>
      <c r="G3572" s="114"/>
    </row>
    <row r="3573" spans="2:7" ht="15.75" customHeight="1" x14ac:dyDescent="0.25">
      <c r="B3573" s="100"/>
      <c r="C3573" s="100"/>
      <c r="D3573" s="100"/>
      <c r="E3573" s="100"/>
      <c r="F3573" s="102"/>
      <c r="G3573" s="114"/>
    </row>
    <row r="3574" spans="2:7" ht="15.75" customHeight="1" x14ac:dyDescent="0.25">
      <c r="B3574" s="100"/>
      <c r="C3574" s="100"/>
      <c r="D3574" s="100"/>
      <c r="E3574" s="100"/>
      <c r="F3574" s="102"/>
      <c r="G3574" s="114"/>
    </row>
    <row r="3575" spans="2:7" ht="15.75" customHeight="1" x14ac:dyDescent="0.25">
      <c r="B3575" s="100"/>
      <c r="C3575" s="100"/>
      <c r="D3575" s="100"/>
      <c r="E3575" s="100"/>
      <c r="F3575" s="102"/>
      <c r="G3575" s="114"/>
    </row>
    <row r="3576" spans="2:7" ht="15.75" customHeight="1" x14ac:dyDescent="0.25">
      <c r="B3576" s="100"/>
      <c r="C3576" s="100"/>
      <c r="D3576" s="100"/>
      <c r="E3576" s="100"/>
      <c r="F3576" s="102"/>
      <c r="G3576" s="114"/>
    </row>
    <row r="3577" spans="2:7" ht="15.75" customHeight="1" x14ac:dyDescent="0.25">
      <c r="B3577" s="100"/>
      <c r="C3577" s="100"/>
      <c r="D3577" s="100"/>
      <c r="E3577" s="100"/>
      <c r="F3577" s="102"/>
      <c r="G3577" s="114"/>
    </row>
    <row r="3578" spans="2:7" ht="15.75" customHeight="1" x14ac:dyDescent="0.25">
      <c r="B3578" s="100"/>
      <c r="C3578" s="100"/>
      <c r="D3578" s="100"/>
      <c r="E3578" s="100"/>
      <c r="F3578" s="102"/>
      <c r="G3578" s="114"/>
    </row>
    <row r="3579" spans="2:7" ht="15.75" customHeight="1" x14ac:dyDescent="0.25">
      <c r="B3579" s="100"/>
      <c r="C3579" s="100"/>
      <c r="D3579" s="100"/>
      <c r="E3579" s="100"/>
      <c r="F3579" s="102"/>
      <c r="G3579" s="114"/>
    </row>
    <row r="3580" spans="2:7" ht="15.75" customHeight="1" x14ac:dyDescent="0.25">
      <c r="B3580" s="100"/>
      <c r="C3580" s="100"/>
      <c r="D3580" s="100"/>
      <c r="E3580" s="100"/>
      <c r="F3580" s="102"/>
      <c r="G3580" s="114"/>
    </row>
    <row r="3581" spans="2:7" ht="15.75" customHeight="1" x14ac:dyDescent="0.25">
      <c r="B3581" s="100"/>
      <c r="C3581" s="100"/>
      <c r="D3581" s="100"/>
      <c r="E3581" s="100"/>
      <c r="F3581" s="102"/>
      <c r="G3581" s="114"/>
    </row>
    <row r="3582" spans="2:7" ht="15.75" customHeight="1" x14ac:dyDescent="0.25">
      <c r="B3582" s="100"/>
      <c r="C3582" s="100"/>
      <c r="D3582" s="100"/>
      <c r="E3582" s="100"/>
      <c r="F3582" s="102"/>
      <c r="G3582" s="114"/>
    </row>
    <row r="3583" spans="2:7" ht="15.75" customHeight="1" x14ac:dyDescent="0.25">
      <c r="B3583" s="100"/>
      <c r="C3583" s="100"/>
      <c r="D3583" s="100"/>
      <c r="E3583" s="100"/>
      <c r="F3583" s="102"/>
      <c r="G3583" s="114"/>
    </row>
    <row r="3584" spans="2:7" ht="15.75" customHeight="1" x14ac:dyDescent="0.25">
      <c r="B3584" s="100"/>
      <c r="C3584" s="100"/>
      <c r="D3584" s="100"/>
      <c r="E3584" s="100"/>
      <c r="F3584" s="102"/>
      <c r="G3584" s="114"/>
    </row>
    <row r="3585" spans="2:7" ht="15.75" customHeight="1" x14ac:dyDescent="0.25">
      <c r="B3585" s="100"/>
      <c r="C3585" s="100"/>
      <c r="D3585" s="100"/>
      <c r="E3585" s="100"/>
      <c r="F3585" s="102"/>
      <c r="G3585" s="114"/>
    </row>
    <row r="3586" spans="2:7" ht="15.75" customHeight="1" x14ac:dyDescent="0.25">
      <c r="B3586" s="100"/>
      <c r="C3586" s="100"/>
      <c r="D3586" s="100"/>
      <c r="E3586" s="100"/>
      <c r="F3586" s="102"/>
      <c r="G3586" s="114"/>
    </row>
    <row r="3587" spans="2:7" ht="15.75" customHeight="1" x14ac:dyDescent="0.25">
      <c r="B3587" s="100"/>
      <c r="C3587" s="100"/>
      <c r="D3587" s="100"/>
      <c r="E3587" s="100"/>
      <c r="F3587" s="102"/>
      <c r="G3587" s="114"/>
    </row>
    <row r="3588" spans="2:7" ht="15.75" customHeight="1" x14ac:dyDescent="0.25">
      <c r="B3588" s="100"/>
      <c r="C3588" s="100"/>
      <c r="D3588" s="100"/>
      <c r="E3588" s="100"/>
      <c r="F3588" s="102"/>
      <c r="G3588" s="114"/>
    </row>
    <row r="3589" spans="2:7" ht="15.75" customHeight="1" x14ac:dyDescent="0.25">
      <c r="B3589" s="100"/>
      <c r="C3589" s="100"/>
      <c r="D3589" s="100"/>
      <c r="E3589" s="100"/>
      <c r="F3589" s="102"/>
      <c r="G3589" s="114"/>
    </row>
    <row r="3590" spans="2:7" ht="15.75" customHeight="1" x14ac:dyDescent="0.25">
      <c r="B3590" s="100"/>
      <c r="C3590" s="100"/>
      <c r="D3590" s="100"/>
      <c r="E3590" s="100"/>
      <c r="F3590" s="102"/>
      <c r="G3590" s="114"/>
    </row>
    <row r="3591" spans="2:7" ht="15.75" customHeight="1" x14ac:dyDescent="0.25">
      <c r="B3591" s="100"/>
      <c r="C3591" s="100"/>
      <c r="D3591" s="100"/>
      <c r="E3591" s="100"/>
      <c r="F3591" s="102"/>
      <c r="G3591" s="114"/>
    </row>
    <row r="3592" spans="2:7" ht="15.75" customHeight="1" x14ac:dyDescent="0.25">
      <c r="B3592" s="100"/>
      <c r="C3592" s="100"/>
      <c r="D3592" s="100"/>
      <c r="E3592" s="100"/>
      <c r="F3592" s="102"/>
      <c r="G3592" s="114"/>
    </row>
    <row r="3593" spans="2:7" ht="15.75" customHeight="1" x14ac:dyDescent="0.25">
      <c r="B3593" s="100"/>
      <c r="C3593" s="100"/>
      <c r="D3593" s="100"/>
      <c r="E3593" s="100"/>
      <c r="F3593" s="102"/>
      <c r="G3593" s="114"/>
    </row>
    <row r="3594" spans="2:7" ht="15.75" customHeight="1" x14ac:dyDescent="0.25">
      <c r="B3594" s="100"/>
      <c r="C3594" s="100"/>
      <c r="D3594" s="100"/>
      <c r="E3594" s="100"/>
      <c r="F3594" s="102"/>
      <c r="G3594" s="114"/>
    </row>
    <row r="3595" spans="2:7" ht="15.75" customHeight="1" x14ac:dyDescent="0.25">
      <c r="B3595" s="100"/>
      <c r="C3595" s="100"/>
      <c r="D3595" s="100"/>
      <c r="E3595" s="100"/>
      <c r="F3595" s="102"/>
      <c r="G3595" s="114"/>
    </row>
    <row r="3596" spans="2:7" ht="15.75" customHeight="1" x14ac:dyDescent="0.25">
      <c r="B3596" s="100"/>
      <c r="C3596" s="100"/>
      <c r="D3596" s="100"/>
      <c r="E3596" s="100"/>
      <c r="F3596" s="102"/>
      <c r="G3596" s="114"/>
    </row>
    <row r="3597" spans="2:7" ht="15.75" customHeight="1" x14ac:dyDescent="0.25">
      <c r="B3597" s="100"/>
      <c r="C3597" s="100"/>
      <c r="D3597" s="100"/>
      <c r="E3597" s="100"/>
      <c r="F3597" s="102"/>
      <c r="G3597" s="114"/>
    </row>
    <row r="3598" spans="2:7" ht="15.75" customHeight="1" x14ac:dyDescent="0.25">
      <c r="B3598" s="100"/>
      <c r="C3598" s="100"/>
      <c r="D3598" s="100"/>
      <c r="E3598" s="100"/>
      <c r="F3598" s="102"/>
      <c r="G3598" s="114"/>
    </row>
    <row r="3599" spans="2:7" ht="15.75" customHeight="1" x14ac:dyDescent="0.25">
      <c r="B3599" s="100"/>
      <c r="C3599" s="100"/>
      <c r="D3599" s="100"/>
      <c r="E3599" s="100"/>
      <c r="F3599" s="102"/>
      <c r="G3599" s="114"/>
    </row>
    <row r="3600" spans="2:7" ht="15.75" customHeight="1" x14ac:dyDescent="0.25">
      <c r="B3600" s="100"/>
      <c r="C3600" s="100"/>
      <c r="D3600" s="100"/>
      <c r="E3600" s="100"/>
      <c r="F3600" s="102"/>
      <c r="G3600" s="114"/>
    </row>
    <row r="3601" spans="2:7" ht="15.75" customHeight="1" x14ac:dyDescent="0.25">
      <c r="B3601" s="100"/>
      <c r="C3601" s="100"/>
      <c r="D3601" s="100"/>
      <c r="E3601" s="100"/>
      <c r="F3601" s="102"/>
      <c r="G3601" s="114"/>
    </row>
    <row r="3602" spans="2:7" ht="15.75" customHeight="1" x14ac:dyDescent="0.25">
      <c r="B3602" s="100"/>
      <c r="C3602" s="100"/>
      <c r="D3602" s="100"/>
      <c r="E3602" s="100"/>
      <c r="F3602" s="102"/>
      <c r="G3602" s="114"/>
    </row>
    <row r="3603" spans="2:7" ht="15.75" customHeight="1" x14ac:dyDescent="0.25">
      <c r="B3603" s="100"/>
      <c r="C3603" s="100"/>
      <c r="D3603" s="100"/>
      <c r="E3603" s="100"/>
      <c r="F3603" s="102"/>
      <c r="G3603" s="114"/>
    </row>
    <row r="3604" spans="2:7" ht="15.75" customHeight="1" x14ac:dyDescent="0.25">
      <c r="B3604" s="100"/>
      <c r="C3604" s="100"/>
      <c r="D3604" s="100"/>
      <c r="E3604" s="100"/>
      <c r="F3604" s="102"/>
      <c r="G3604" s="114"/>
    </row>
    <row r="3605" spans="2:7" ht="15.75" customHeight="1" x14ac:dyDescent="0.25">
      <c r="B3605" s="100"/>
      <c r="C3605" s="100"/>
      <c r="D3605" s="100"/>
      <c r="E3605" s="100"/>
      <c r="F3605" s="102"/>
      <c r="G3605" s="114"/>
    </row>
    <row r="3606" spans="2:7" ht="15.75" customHeight="1" x14ac:dyDescent="0.25">
      <c r="B3606" s="100"/>
      <c r="C3606" s="100"/>
      <c r="D3606" s="100"/>
      <c r="E3606" s="100"/>
      <c r="F3606" s="102"/>
      <c r="G3606" s="114"/>
    </row>
    <row r="3607" spans="2:7" ht="15.75" customHeight="1" x14ac:dyDescent="0.25">
      <c r="B3607" s="100"/>
      <c r="C3607" s="100"/>
      <c r="D3607" s="100"/>
      <c r="E3607" s="100"/>
      <c r="F3607" s="102"/>
      <c r="G3607" s="114"/>
    </row>
    <row r="3608" spans="2:7" ht="15.75" customHeight="1" x14ac:dyDescent="0.25">
      <c r="B3608" s="100"/>
      <c r="C3608" s="100"/>
      <c r="D3608" s="100"/>
      <c r="E3608" s="100"/>
      <c r="F3608" s="102"/>
      <c r="G3608" s="114"/>
    </row>
    <row r="3609" spans="2:7" ht="15.75" customHeight="1" x14ac:dyDescent="0.25">
      <c r="B3609" s="100"/>
      <c r="C3609" s="100"/>
      <c r="D3609" s="100"/>
      <c r="E3609" s="100"/>
      <c r="F3609" s="102"/>
      <c r="G3609" s="114"/>
    </row>
    <row r="3610" spans="2:7" ht="15.75" customHeight="1" x14ac:dyDescent="0.25">
      <c r="B3610" s="100"/>
      <c r="C3610" s="100"/>
      <c r="D3610" s="100"/>
      <c r="E3610" s="100"/>
      <c r="F3610" s="102"/>
      <c r="G3610" s="114"/>
    </row>
    <row r="3611" spans="2:7" ht="15.75" customHeight="1" x14ac:dyDescent="0.25">
      <c r="B3611" s="100"/>
      <c r="C3611" s="100"/>
      <c r="D3611" s="100"/>
      <c r="E3611" s="100"/>
      <c r="F3611" s="102"/>
      <c r="G3611" s="114"/>
    </row>
    <row r="3612" spans="2:7" ht="15.75" customHeight="1" x14ac:dyDescent="0.25">
      <c r="B3612" s="100"/>
      <c r="C3612" s="100"/>
      <c r="D3612" s="100"/>
      <c r="E3612" s="100"/>
      <c r="F3612" s="102"/>
      <c r="G3612" s="114"/>
    </row>
    <row r="3613" spans="2:7" ht="15.75" customHeight="1" x14ac:dyDescent="0.25">
      <c r="B3613" s="100"/>
      <c r="C3613" s="100"/>
      <c r="D3613" s="100"/>
      <c r="E3613" s="100"/>
      <c r="F3613" s="102"/>
      <c r="G3613" s="114"/>
    </row>
    <row r="3614" spans="2:7" ht="15.75" customHeight="1" x14ac:dyDescent="0.25">
      <c r="B3614" s="100"/>
      <c r="C3614" s="100"/>
      <c r="D3614" s="100"/>
      <c r="E3614" s="100"/>
      <c r="F3614" s="102"/>
      <c r="G3614" s="114"/>
    </row>
    <row r="3615" spans="2:7" ht="15.75" customHeight="1" x14ac:dyDescent="0.25">
      <c r="B3615" s="100"/>
      <c r="C3615" s="100"/>
      <c r="D3615" s="100"/>
      <c r="E3615" s="100"/>
      <c r="F3615" s="102"/>
      <c r="G3615" s="114"/>
    </row>
    <row r="3616" spans="2:7" ht="15.75" customHeight="1" x14ac:dyDescent="0.25">
      <c r="B3616" s="100"/>
      <c r="C3616" s="100"/>
      <c r="D3616" s="100"/>
      <c r="E3616" s="100"/>
      <c r="F3616" s="102"/>
      <c r="G3616" s="114"/>
    </row>
    <row r="3617" spans="2:7" ht="15.75" customHeight="1" x14ac:dyDescent="0.25">
      <c r="B3617" s="100"/>
      <c r="C3617" s="100"/>
      <c r="D3617" s="100"/>
      <c r="E3617" s="100"/>
      <c r="F3617" s="102"/>
      <c r="G3617" s="114"/>
    </row>
    <row r="3618" spans="2:7" ht="15.75" customHeight="1" x14ac:dyDescent="0.25">
      <c r="B3618" s="100"/>
      <c r="C3618" s="100"/>
      <c r="D3618" s="100"/>
      <c r="E3618" s="100"/>
      <c r="F3618" s="102"/>
      <c r="G3618" s="114"/>
    </row>
    <row r="3619" spans="2:7" ht="15.75" customHeight="1" x14ac:dyDescent="0.25">
      <c r="B3619" s="100"/>
      <c r="C3619" s="100"/>
      <c r="D3619" s="100"/>
      <c r="E3619" s="100"/>
      <c r="F3619" s="102"/>
      <c r="G3619" s="114"/>
    </row>
    <row r="3620" spans="2:7" ht="15.75" customHeight="1" x14ac:dyDescent="0.25">
      <c r="B3620" s="100"/>
      <c r="C3620" s="100"/>
      <c r="D3620" s="100"/>
      <c r="E3620" s="100"/>
      <c r="F3620" s="102"/>
      <c r="G3620" s="114"/>
    </row>
    <row r="3621" spans="2:7" ht="15.75" customHeight="1" x14ac:dyDescent="0.25">
      <c r="B3621" s="100"/>
      <c r="C3621" s="100"/>
      <c r="D3621" s="100"/>
      <c r="E3621" s="100"/>
      <c r="F3621" s="102"/>
      <c r="G3621" s="114"/>
    </row>
    <row r="3622" spans="2:7" ht="15.75" customHeight="1" x14ac:dyDescent="0.25">
      <c r="B3622" s="100"/>
      <c r="C3622" s="100"/>
      <c r="D3622" s="100"/>
      <c r="E3622" s="100"/>
      <c r="F3622" s="102"/>
      <c r="G3622" s="114"/>
    </row>
    <row r="3623" spans="2:7" ht="15.75" customHeight="1" x14ac:dyDescent="0.25">
      <c r="B3623" s="100"/>
      <c r="C3623" s="100"/>
      <c r="D3623" s="100"/>
      <c r="E3623" s="100"/>
      <c r="F3623" s="102"/>
      <c r="G3623" s="114"/>
    </row>
    <row r="3624" spans="2:7" ht="15.75" customHeight="1" x14ac:dyDescent="0.25">
      <c r="B3624" s="100"/>
      <c r="C3624" s="100"/>
      <c r="D3624" s="100"/>
      <c r="E3624" s="100"/>
      <c r="F3624" s="102"/>
      <c r="G3624" s="114"/>
    </row>
    <row r="3625" spans="2:7" ht="15.75" customHeight="1" x14ac:dyDescent="0.25">
      <c r="B3625" s="100"/>
      <c r="C3625" s="100"/>
      <c r="D3625" s="100"/>
      <c r="E3625" s="100"/>
      <c r="F3625" s="102"/>
      <c r="G3625" s="114"/>
    </row>
    <row r="3626" spans="2:7" ht="15.75" customHeight="1" x14ac:dyDescent="0.25">
      <c r="B3626" s="100"/>
      <c r="C3626" s="100"/>
      <c r="D3626" s="100"/>
      <c r="E3626" s="100"/>
      <c r="F3626" s="102"/>
      <c r="G3626" s="114"/>
    </row>
    <row r="3627" spans="2:7" ht="15.75" customHeight="1" x14ac:dyDescent="0.25">
      <c r="B3627" s="100"/>
      <c r="C3627" s="100"/>
      <c r="D3627" s="100"/>
      <c r="E3627" s="100"/>
      <c r="F3627" s="102"/>
      <c r="G3627" s="114"/>
    </row>
    <row r="3628" spans="2:7" ht="15.75" customHeight="1" x14ac:dyDescent="0.25">
      <c r="B3628" s="100"/>
      <c r="C3628" s="100"/>
      <c r="D3628" s="100"/>
      <c r="E3628" s="100"/>
      <c r="F3628" s="102"/>
      <c r="G3628" s="114"/>
    </row>
    <row r="3629" spans="2:7" ht="15.75" customHeight="1" x14ac:dyDescent="0.25">
      <c r="B3629" s="100"/>
      <c r="C3629" s="100"/>
      <c r="D3629" s="100"/>
      <c r="E3629" s="100"/>
      <c r="F3629" s="102"/>
      <c r="G3629" s="114"/>
    </row>
    <row r="3630" spans="2:7" ht="15.75" customHeight="1" x14ac:dyDescent="0.25">
      <c r="B3630" s="100"/>
      <c r="C3630" s="100"/>
      <c r="D3630" s="100"/>
      <c r="E3630" s="100"/>
      <c r="F3630" s="102"/>
      <c r="G3630" s="114"/>
    </row>
    <row r="3631" spans="2:7" ht="15.75" customHeight="1" x14ac:dyDescent="0.25">
      <c r="B3631" s="100"/>
      <c r="C3631" s="100"/>
      <c r="D3631" s="100"/>
      <c r="E3631" s="100"/>
      <c r="F3631" s="102"/>
      <c r="G3631" s="114"/>
    </row>
    <row r="3632" spans="2:7" ht="15.75" customHeight="1" x14ac:dyDescent="0.25">
      <c r="B3632" s="100"/>
      <c r="C3632" s="100"/>
      <c r="D3632" s="100"/>
      <c r="E3632" s="100"/>
      <c r="F3632" s="102"/>
      <c r="G3632" s="114"/>
    </row>
    <row r="3633" spans="2:7" ht="15.75" customHeight="1" x14ac:dyDescent="0.25">
      <c r="B3633" s="100"/>
      <c r="C3633" s="100"/>
      <c r="D3633" s="100"/>
      <c r="E3633" s="100"/>
      <c r="F3633" s="102"/>
      <c r="G3633" s="114"/>
    </row>
    <row r="3634" spans="2:7" ht="15.75" customHeight="1" x14ac:dyDescent="0.25">
      <c r="B3634" s="100"/>
      <c r="C3634" s="100"/>
      <c r="D3634" s="100"/>
      <c r="E3634" s="100"/>
      <c r="F3634" s="102"/>
      <c r="G3634" s="114"/>
    </row>
    <row r="3635" spans="2:7" ht="15.75" customHeight="1" x14ac:dyDescent="0.25">
      <c r="B3635" s="100"/>
      <c r="C3635" s="100"/>
      <c r="D3635" s="100"/>
      <c r="E3635" s="100"/>
      <c r="F3635" s="102"/>
      <c r="G3635" s="114"/>
    </row>
    <row r="3636" spans="2:7" ht="15.75" customHeight="1" x14ac:dyDescent="0.25">
      <c r="B3636" s="100"/>
      <c r="C3636" s="100"/>
      <c r="D3636" s="100"/>
      <c r="E3636" s="100"/>
      <c r="F3636" s="102"/>
      <c r="G3636" s="114"/>
    </row>
    <row r="3637" spans="2:7" ht="15.75" customHeight="1" x14ac:dyDescent="0.25">
      <c r="B3637" s="100"/>
      <c r="C3637" s="100"/>
      <c r="D3637" s="100"/>
      <c r="E3637" s="100"/>
      <c r="F3637" s="102"/>
      <c r="G3637" s="114"/>
    </row>
    <row r="3638" spans="2:7" ht="15.75" customHeight="1" x14ac:dyDescent="0.25">
      <c r="B3638" s="100"/>
      <c r="C3638" s="100"/>
      <c r="D3638" s="100"/>
      <c r="E3638" s="100"/>
      <c r="F3638" s="102"/>
      <c r="G3638" s="114"/>
    </row>
    <row r="3639" spans="2:7" ht="15.75" customHeight="1" x14ac:dyDescent="0.25">
      <c r="B3639" s="100"/>
      <c r="C3639" s="100"/>
      <c r="D3639" s="100"/>
      <c r="E3639" s="100"/>
      <c r="F3639" s="102"/>
      <c r="G3639" s="114"/>
    </row>
    <row r="3640" spans="2:7" ht="15.75" customHeight="1" x14ac:dyDescent="0.25">
      <c r="B3640" s="100"/>
      <c r="C3640" s="100"/>
      <c r="D3640" s="100"/>
      <c r="E3640" s="100"/>
      <c r="F3640" s="102"/>
      <c r="G3640" s="114"/>
    </row>
    <row r="3641" spans="2:7" ht="15.75" customHeight="1" x14ac:dyDescent="0.25">
      <c r="B3641" s="100"/>
      <c r="C3641" s="100"/>
      <c r="D3641" s="100"/>
      <c r="E3641" s="100"/>
      <c r="F3641" s="102"/>
      <c r="G3641" s="114"/>
    </row>
    <row r="3642" spans="2:7" ht="15.75" customHeight="1" x14ac:dyDescent="0.25">
      <c r="B3642" s="100"/>
      <c r="C3642" s="100"/>
      <c r="D3642" s="100"/>
      <c r="E3642" s="100"/>
      <c r="F3642" s="102"/>
      <c r="G3642" s="114"/>
    </row>
    <row r="3643" spans="2:7" ht="15.75" customHeight="1" x14ac:dyDescent="0.25">
      <c r="B3643" s="100"/>
      <c r="C3643" s="100"/>
      <c r="D3643" s="100"/>
      <c r="E3643" s="100"/>
      <c r="F3643" s="102"/>
      <c r="G3643" s="114"/>
    </row>
    <row r="3644" spans="2:7" ht="15.75" customHeight="1" x14ac:dyDescent="0.25">
      <c r="B3644" s="100"/>
      <c r="C3644" s="100"/>
      <c r="D3644" s="100"/>
      <c r="E3644" s="100"/>
      <c r="F3644" s="102"/>
      <c r="G3644" s="114"/>
    </row>
    <row r="3645" spans="2:7" ht="15.75" customHeight="1" x14ac:dyDescent="0.25">
      <c r="B3645" s="100"/>
      <c r="C3645" s="100"/>
      <c r="D3645" s="100"/>
      <c r="E3645" s="100"/>
      <c r="F3645" s="102"/>
      <c r="G3645" s="114"/>
    </row>
    <row r="3646" spans="2:7" ht="15.75" customHeight="1" x14ac:dyDescent="0.25">
      <c r="B3646" s="100"/>
      <c r="C3646" s="100"/>
      <c r="D3646" s="100"/>
      <c r="E3646" s="100"/>
      <c r="F3646" s="102"/>
      <c r="G3646" s="114"/>
    </row>
    <row r="3647" spans="2:7" ht="15.75" customHeight="1" x14ac:dyDescent="0.25">
      <c r="B3647" s="100"/>
      <c r="C3647" s="100"/>
      <c r="D3647" s="100"/>
      <c r="E3647" s="100"/>
      <c r="F3647" s="102"/>
      <c r="G3647" s="114"/>
    </row>
    <row r="3648" spans="2:7" ht="15.75" customHeight="1" x14ac:dyDescent="0.25">
      <c r="B3648" s="100"/>
      <c r="C3648" s="100"/>
      <c r="D3648" s="100"/>
      <c r="E3648" s="100"/>
      <c r="F3648" s="102"/>
      <c r="G3648" s="114"/>
    </row>
    <row r="3649" spans="2:7" ht="15.75" customHeight="1" x14ac:dyDescent="0.25">
      <c r="B3649" s="100"/>
      <c r="C3649" s="100"/>
      <c r="D3649" s="100"/>
      <c r="E3649" s="100"/>
      <c r="F3649" s="102"/>
      <c r="G3649" s="114"/>
    </row>
    <row r="3650" spans="2:7" ht="15.75" customHeight="1" x14ac:dyDescent="0.25">
      <c r="B3650" s="100"/>
      <c r="C3650" s="100"/>
      <c r="D3650" s="100"/>
      <c r="E3650" s="100"/>
      <c r="F3650" s="102"/>
      <c r="G3650" s="114"/>
    </row>
    <row r="3651" spans="2:7" ht="15.75" customHeight="1" x14ac:dyDescent="0.25">
      <c r="B3651" s="100"/>
      <c r="C3651" s="100"/>
      <c r="D3651" s="100"/>
      <c r="E3651" s="100"/>
      <c r="F3651" s="102"/>
      <c r="G3651" s="114"/>
    </row>
    <row r="3652" spans="2:7" ht="15.75" customHeight="1" x14ac:dyDescent="0.25">
      <c r="B3652" s="100"/>
      <c r="C3652" s="100"/>
      <c r="D3652" s="100"/>
      <c r="E3652" s="100"/>
      <c r="F3652" s="102"/>
      <c r="G3652" s="114"/>
    </row>
    <row r="3653" spans="2:7" ht="15.75" customHeight="1" x14ac:dyDescent="0.25">
      <c r="B3653" s="100"/>
      <c r="C3653" s="100"/>
      <c r="D3653" s="100"/>
      <c r="E3653" s="100"/>
      <c r="F3653" s="102"/>
      <c r="G3653" s="114"/>
    </row>
    <row r="3654" spans="2:7" ht="15.75" customHeight="1" x14ac:dyDescent="0.25">
      <c r="B3654" s="100"/>
      <c r="C3654" s="100"/>
      <c r="D3654" s="100"/>
      <c r="E3654" s="100"/>
      <c r="F3654" s="102"/>
      <c r="G3654" s="114"/>
    </row>
    <row r="3655" spans="2:7" ht="15.75" customHeight="1" x14ac:dyDescent="0.25">
      <c r="B3655" s="100"/>
      <c r="C3655" s="100"/>
      <c r="D3655" s="100"/>
      <c r="E3655" s="100"/>
      <c r="F3655" s="102"/>
      <c r="G3655" s="114"/>
    </row>
    <row r="3656" spans="2:7" ht="15.75" customHeight="1" x14ac:dyDescent="0.25">
      <c r="B3656" s="100"/>
      <c r="C3656" s="100"/>
      <c r="D3656" s="100"/>
      <c r="E3656" s="100"/>
      <c r="F3656" s="102"/>
      <c r="G3656" s="114"/>
    </row>
    <row r="3657" spans="2:7" ht="15.75" customHeight="1" x14ac:dyDescent="0.25">
      <c r="B3657" s="100"/>
      <c r="C3657" s="100"/>
      <c r="D3657" s="100"/>
      <c r="E3657" s="100"/>
      <c r="F3657" s="102"/>
      <c r="G3657" s="114"/>
    </row>
    <row r="3658" spans="2:7" ht="15.75" customHeight="1" x14ac:dyDescent="0.25">
      <c r="B3658" s="100"/>
      <c r="C3658" s="100"/>
      <c r="D3658" s="100"/>
      <c r="E3658" s="100"/>
      <c r="F3658" s="102"/>
      <c r="G3658" s="114"/>
    </row>
    <row r="3659" spans="2:7" ht="15.75" customHeight="1" x14ac:dyDescent="0.25">
      <c r="B3659" s="100"/>
      <c r="C3659" s="100"/>
      <c r="D3659" s="100"/>
      <c r="E3659" s="100"/>
      <c r="F3659" s="102"/>
      <c r="G3659" s="114"/>
    </row>
    <row r="3660" spans="2:7" ht="15.75" customHeight="1" x14ac:dyDescent="0.25">
      <c r="B3660" s="100"/>
      <c r="C3660" s="100"/>
      <c r="D3660" s="100"/>
      <c r="E3660" s="100"/>
      <c r="F3660" s="102"/>
      <c r="G3660" s="114"/>
    </row>
    <row r="3661" spans="2:7" ht="15.75" customHeight="1" x14ac:dyDescent="0.25">
      <c r="B3661" s="100"/>
      <c r="C3661" s="100"/>
      <c r="D3661" s="100"/>
      <c r="E3661" s="100"/>
      <c r="F3661" s="102"/>
      <c r="G3661" s="114"/>
    </row>
    <row r="3662" spans="2:7" ht="15.75" customHeight="1" x14ac:dyDescent="0.25">
      <c r="B3662" s="100"/>
      <c r="C3662" s="100"/>
      <c r="D3662" s="100"/>
      <c r="E3662" s="100"/>
      <c r="F3662" s="102"/>
      <c r="G3662" s="114"/>
    </row>
    <row r="3663" spans="2:7" ht="15.75" customHeight="1" x14ac:dyDescent="0.25">
      <c r="B3663" s="100"/>
      <c r="C3663" s="100"/>
      <c r="D3663" s="100"/>
      <c r="E3663" s="100"/>
      <c r="F3663" s="102"/>
      <c r="G3663" s="114"/>
    </row>
    <row r="3664" spans="2:7" ht="15.75" customHeight="1" x14ac:dyDescent="0.25">
      <c r="B3664" s="100"/>
      <c r="C3664" s="100"/>
      <c r="D3664" s="100"/>
      <c r="E3664" s="100"/>
      <c r="F3664" s="102"/>
      <c r="G3664" s="114"/>
    </row>
    <row r="3665" spans="2:7" ht="15.75" customHeight="1" x14ac:dyDescent="0.25">
      <c r="B3665" s="100"/>
      <c r="C3665" s="100"/>
      <c r="D3665" s="100"/>
      <c r="E3665" s="100"/>
      <c r="F3665" s="102"/>
      <c r="G3665" s="114"/>
    </row>
    <row r="3666" spans="2:7" ht="15.75" customHeight="1" x14ac:dyDescent="0.25">
      <c r="B3666" s="100"/>
      <c r="C3666" s="100"/>
      <c r="D3666" s="100"/>
      <c r="E3666" s="100"/>
      <c r="F3666" s="102"/>
      <c r="G3666" s="114"/>
    </row>
    <row r="3667" spans="2:7" ht="15.75" customHeight="1" x14ac:dyDescent="0.25">
      <c r="B3667" s="100"/>
      <c r="C3667" s="100"/>
      <c r="D3667" s="100"/>
      <c r="E3667" s="100"/>
      <c r="F3667" s="102"/>
      <c r="G3667" s="114"/>
    </row>
    <row r="3668" spans="2:7" ht="15.75" customHeight="1" x14ac:dyDescent="0.25">
      <c r="B3668" s="100"/>
      <c r="C3668" s="100"/>
      <c r="D3668" s="100"/>
      <c r="E3668" s="100"/>
      <c r="F3668" s="102"/>
      <c r="G3668" s="114"/>
    </row>
    <row r="3669" spans="2:7" ht="15.75" customHeight="1" x14ac:dyDescent="0.25">
      <c r="B3669" s="100"/>
      <c r="C3669" s="100"/>
      <c r="D3669" s="100"/>
      <c r="E3669" s="100"/>
      <c r="F3669" s="102"/>
      <c r="G3669" s="114"/>
    </row>
    <row r="3670" spans="2:7" ht="15.75" customHeight="1" x14ac:dyDescent="0.25">
      <c r="B3670" s="100"/>
      <c r="C3670" s="100"/>
      <c r="D3670" s="100"/>
      <c r="E3670" s="100"/>
      <c r="F3670" s="102"/>
      <c r="G3670" s="114"/>
    </row>
    <row r="3671" spans="2:7" ht="15.75" customHeight="1" x14ac:dyDescent="0.25">
      <c r="B3671" s="100"/>
      <c r="C3671" s="100"/>
      <c r="D3671" s="100"/>
      <c r="E3671" s="100"/>
      <c r="F3671" s="102"/>
      <c r="G3671" s="114"/>
    </row>
    <row r="3672" spans="2:7" ht="15.75" customHeight="1" x14ac:dyDescent="0.25">
      <c r="B3672" s="100"/>
      <c r="C3672" s="100"/>
      <c r="D3672" s="100"/>
      <c r="E3672" s="100"/>
      <c r="F3672" s="102"/>
      <c r="G3672" s="114"/>
    </row>
    <row r="3673" spans="2:7" ht="15.75" customHeight="1" x14ac:dyDescent="0.25">
      <c r="B3673" s="100"/>
      <c r="C3673" s="100"/>
      <c r="D3673" s="100"/>
      <c r="E3673" s="100"/>
      <c r="F3673" s="102"/>
      <c r="G3673" s="114"/>
    </row>
    <row r="3674" spans="2:7" ht="15.75" customHeight="1" x14ac:dyDescent="0.25">
      <c r="B3674" s="100"/>
      <c r="C3674" s="100"/>
      <c r="D3674" s="100"/>
      <c r="E3674" s="100"/>
      <c r="F3674" s="102"/>
      <c r="G3674" s="114"/>
    </row>
    <row r="3675" spans="2:7" ht="15.75" customHeight="1" x14ac:dyDescent="0.25">
      <c r="B3675" s="100"/>
      <c r="C3675" s="100"/>
      <c r="D3675" s="100"/>
      <c r="E3675" s="100"/>
      <c r="F3675" s="102"/>
      <c r="G3675" s="114"/>
    </row>
    <row r="3676" spans="2:7" ht="15.75" customHeight="1" x14ac:dyDescent="0.25">
      <c r="B3676" s="100"/>
      <c r="C3676" s="100"/>
      <c r="D3676" s="100"/>
      <c r="E3676" s="100"/>
      <c r="F3676" s="102"/>
      <c r="G3676" s="114"/>
    </row>
    <row r="3677" spans="2:7" ht="15.75" customHeight="1" x14ac:dyDescent="0.25">
      <c r="B3677" s="100"/>
      <c r="C3677" s="100"/>
      <c r="D3677" s="100"/>
      <c r="E3677" s="100"/>
      <c r="F3677" s="102"/>
      <c r="G3677" s="114"/>
    </row>
    <row r="3678" spans="2:7" ht="15.75" customHeight="1" x14ac:dyDescent="0.25">
      <c r="B3678" s="100"/>
      <c r="C3678" s="100"/>
      <c r="D3678" s="100"/>
      <c r="E3678" s="100"/>
      <c r="F3678" s="102"/>
      <c r="G3678" s="114"/>
    </row>
    <row r="3679" spans="2:7" ht="15.75" customHeight="1" x14ac:dyDescent="0.25">
      <c r="B3679" s="100"/>
      <c r="C3679" s="100"/>
      <c r="D3679" s="100"/>
      <c r="E3679" s="100"/>
      <c r="F3679" s="102"/>
      <c r="G3679" s="114"/>
    </row>
    <row r="3680" spans="2:7" ht="15.75" customHeight="1" x14ac:dyDescent="0.25">
      <c r="B3680" s="100"/>
      <c r="C3680" s="100"/>
      <c r="D3680" s="100"/>
      <c r="E3680" s="100"/>
      <c r="F3680" s="102"/>
      <c r="G3680" s="114"/>
    </row>
    <row r="3681" spans="2:7" ht="15.75" customHeight="1" x14ac:dyDescent="0.25">
      <c r="B3681" s="100"/>
      <c r="C3681" s="100"/>
      <c r="D3681" s="100"/>
      <c r="E3681" s="100"/>
      <c r="F3681" s="102"/>
      <c r="G3681" s="114"/>
    </row>
    <row r="3682" spans="2:7" ht="15.75" customHeight="1" x14ac:dyDescent="0.25">
      <c r="B3682" s="100"/>
      <c r="C3682" s="100"/>
      <c r="D3682" s="100"/>
      <c r="E3682" s="100"/>
      <c r="F3682" s="102"/>
      <c r="G3682" s="114"/>
    </row>
    <row r="3683" spans="2:7" ht="15.75" customHeight="1" x14ac:dyDescent="0.25">
      <c r="B3683" s="100"/>
      <c r="C3683" s="100"/>
      <c r="D3683" s="100"/>
      <c r="E3683" s="100"/>
      <c r="F3683" s="102"/>
      <c r="G3683" s="114"/>
    </row>
    <row r="3684" spans="2:7" ht="15.75" customHeight="1" x14ac:dyDescent="0.25">
      <c r="B3684" s="100"/>
      <c r="C3684" s="100"/>
      <c r="D3684" s="100"/>
      <c r="E3684" s="100"/>
      <c r="F3684" s="102"/>
      <c r="G3684" s="114"/>
    </row>
    <row r="3685" spans="2:7" ht="15.75" customHeight="1" x14ac:dyDescent="0.25">
      <c r="B3685" s="100"/>
      <c r="C3685" s="100"/>
      <c r="D3685" s="100"/>
      <c r="E3685" s="100"/>
      <c r="F3685" s="102"/>
      <c r="G3685" s="114"/>
    </row>
    <row r="3686" spans="2:7" ht="15.75" customHeight="1" x14ac:dyDescent="0.25">
      <c r="B3686" s="100"/>
      <c r="C3686" s="100"/>
      <c r="D3686" s="100"/>
      <c r="E3686" s="100"/>
      <c r="F3686" s="102"/>
      <c r="G3686" s="114"/>
    </row>
    <row r="3687" spans="2:7" ht="15.75" customHeight="1" x14ac:dyDescent="0.25">
      <c r="B3687" s="100"/>
      <c r="C3687" s="100"/>
      <c r="D3687" s="100"/>
      <c r="E3687" s="100"/>
      <c r="F3687" s="102"/>
      <c r="G3687" s="114"/>
    </row>
    <row r="3688" spans="2:7" ht="15.75" customHeight="1" x14ac:dyDescent="0.25">
      <c r="B3688" s="100"/>
      <c r="C3688" s="100"/>
      <c r="D3688" s="100"/>
      <c r="E3688" s="100"/>
      <c r="F3688" s="102"/>
      <c r="G3688" s="114"/>
    </row>
    <row r="3689" spans="2:7" ht="15.75" customHeight="1" x14ac:dyDescent="0.25">
      <c r="B3689" s="100"/>
      <c r="C3689" s="100"/>
      <c r="D3689" s="100"/>
      <c r="E3689" s="100"/>
      <c r="F3689" s="102"/>
      <c r="G3689" s="114"/>
    </row>
    <row r="3690" spans="2:7" ht="15.75" customHeight="1" x14ac:dyDescent="0.25">
      <c r="B3690" s="100"/>
      <c r="C3690" s="100"/>
      <c r="D3690" s="100"/>
      <c r="E3690" s="100"/>
      <c r="F3690" s="102"/>
      <c r="G3690" s="114"/>
    </row>
    <row r="3691" spans="2:7" ht="15.75" customHeight="1" x14ac:dyDescent="0.25">
      <c r="B3691" s="100"/>
      <c r="C3691" s="100"/>
      <c r="D3691" s="100"/>
      <c r="E3691" s="100"/>
      <c r="F3691" s="102"/>
      <c r="G3691" s="114"/>
    </row>
    <row r="3692" spans="2:7" ht="15.75" customHeight="1" x14ac:dyDescent="0.25">
      <c r="B3692" s="100"/>
      <c r="C3692" s="100"/>
      <c r="D3692" s="100"/>
      <c r="E3692" s="100"/>
      <c r="F3692" s="102"/>
      <c r="G3692" s="114"/>
    </row>
    <row r="3693" spans="2:7" ht="15.75" customHeight="1" x14ac:dyDescent="0.25">
      <c r="B3693" s="100"/>
      <c r="C3693" s="100"/>
      <c r="D3693" s="100"/>
      <c r="E3693" s="100"/>
      <c r="F3693" s="102"/>
      <c r="G3693" s="114"/>
    </row>
    <row r="3694" spans="2:7" ht="15.75" customHeight="1" x14ac:dyDescent="0.25">
      <c r="B3694" s="100"/>
      <c r="C3694" s="100"/>
      <c r="D3694" s="100"/>
      <c r="E3694" s="100"/>
      <c r="F3694" s="102"/>
      <c r="G3694" s="114"/>
    </row>
    <row r="3695" spans="2:7" ht="15.75" customHeight="1" x14ac:dyDescent="0.25">
      <c r="B3695" s="100"/>
      <c r="C3695" s="100"/>
      <c r="D3695" s="100"/>
      <c r="E3695" s="100"/>
      <c r="F3695" s="102"/>
      <c r="G3695" s="114"/>
    </row>
    <row r="3696" spans="2:7" ht="15.75" customHeight="1" x14ac:dyDescent="0.25">
      <c r="B3696" s="100"/>
      <c r="C3696" s="100"/>
      <c r="D3696" s="100"/>
      <c r="E3696" s="100"/>
      <c r="F3696" s="102"/>
      <c r="G3696" s="114"/>
    </row>
    <row r="3697" spans="2:7" ht="15.75" customHeight="1" x14ac:dyDescent="0.25">
      <c r="B3697" s="100"/>
      <c r="C3697" s="100"/>
      <c r="D3697" s="100"/>
      <c r="E3697" s="100"/>
      <c r="F3697" s="102"/>
      <c r="G3697" s="114"/>
    </row>
    <row r="3698" spans="2:7" ht="15.75" customHeight="1" x14ac:dyDescent="0.25">
      <c r="B3698" s="100"/>
      <c r="C3698" s="100"/>
      <c r="D3698" s="100"/>
      <c r="E3698" s="100"/>
      <c r="F3698" s="102"/>
      <c r="G3698" s="114"/>
    </row>
    <row r="3699" spans="2:7" ht="15.75" customHeight="1" x14ac:dyDescent="0.25">
      <c r="B3699" s="100"/>
      <c r="C3699" s="100"/>
      <c r="D3699" s="100"/>
      <c r="E3699" s="100"/>
      <c r="F3699" s="102"/>
      <c r="G3699" s="114"/>
    </row>
    <row r="3700" spans="2:7" ht="15.75" customHeight="1" x14ac:dyDescent="0.25">
      <c r="B3700" s="100"/>
      <c r="C3700" s="100"/>
      <c r="D3700" s="100"/>
      <c r="E3700" s="100"/>
      <c r="F3700" s="102"/>
      <c r="G3700" s="114"/>
    </row>
    <row r="3701" spans="2:7" ht="15.75" customHeight="1" x14ac:dyDescent="0.25">
      <c r="B3701" s="100"/>
      <c r="C3701" s="100"/>
      <c r="D3701" s="100"/>
      <c r="E3701" s="100"/>
      <c r="F3701" s="102"/>
      <c r="G3701" s="114"/>
    </row>
    <row r="3702" spans="2:7" ht="15.75" customHeight="1" x14ac:dyDescent="0.25">
      <c r="B3702" s="100"/>
      <c r="C3702" s="100"/>
      <c r="D3702" s="100"/>
      <c r="E3702" s="100"/>
      <c r="F3702" s="102"/>
      <c r="G3702" s="114"/>
    </row>
    <row r="3703" spans="2:7" ht="15.75" customHeight="1" x14ac:dyDescent="0.25">
      <c r="B3703" s="100"/>
      <c r="C3703" s="100"/>
      <c r="D3703" s="100"/>
      <c r="E3703" s="100"/>
      <c r="F3703" s="102"/>
      <c r="G3703" s="114"/>
    </row>
    <row r="3704" spans="2:7" ht="15.75" customHeight="1" x14ac:dyDescent="0.25">
      <c r="B3704" s="100"/>
      <c r="C3704" s="100"/>
      <c r="D3704" s="100"/>
      <c r="E3704" s="100"/>
      <c r="F3704" s="102"/>
      <c r="G3704" s="114"/>
    </row>
    <row r="3705" spans="2:7" ht="15.75" customHeight="1" x14ac:dyDescent="0.25">
      <c r="B3705" s="100"/>
      <c r="C3705" s="100"/>
      <c r="D3705" s="100"/>
      <c r="E3705" s="100"/>
      <c r="F3705" s="102"/>
      <c r="G3705" s="114"/>
    </row>
    <row r="3706" spans="2:7" ht="15.75" customHeight="1" x14ac:dyDescent="0.25">
      <c r="B3706" s="100"/>
      <c r="C3706" s="100"/>
      <c r="D3706" s="100"/>
      <c r="E3706" s="100"/>
      <c r="F3706" s="102"/>
      <c r="G3706" s="114"/>
    </row>
    <row r="3707" spans="2:7" ht="15.75" customHeight="1" x14ac:dyDescent="0.25">
      <c r="B3707" s="100"/>
      <c r="C3707" s="100"/>
      <c r="D3707" s="100"/>
      <c r="E3707" s="100"/>
      <c r="F3707" s="102"/>
      <c r="G3707" s="114"/>
    </row>
    <row r="3708" spans="2:7" ht="15.75" customHeight="1" x14ac:dyDescent="0.25">
      <c r="B3708" s="100"/>
      <c r="C3708" s="100"/>
      <c r="D3708" s="100"/>
      <c r="E3708" s="100"/>
      <c r="F3708" s="102"/>
      <c r="G3708" s="114"/>
    </row>
    <row r="3709" spans="2:7" ht="15.75" customHeight="1" x14ac:dyDescent="0.25">
      <c r="B3709" s="100"/>
      <c r="C3709" s="100"/>
      <c r="D3709" s="100"/>
      <c r="E3709" s="100"/>
      <c r="F3709" s="102"/>
      <c r="G3709" s="114"/>
    </row>
    <row r="3710" spans="2:7" ht="15.75" customHeight="1" x14ac:dyDescent="0.25">
      <c r="B3710" s="100"/>
      <c r="C3710" s="100"/>
      <c r="D3710" s="100"/>
      <c r="E3710" s="100"/>
      <c r="F3710" s="102"/>
      <c r="G3710" s="114"/>
    </row>
    <row r="3711" spans="2:7" ht="15.75" customHeight="1" x14ac:dyDescent="0.25">
      <c r="B3711" s="100"/>
      <c r="C3711" s="100"/>
      <c r="D3711" s="100"/>
      <c r="E3711" s="100"/>
      <c r="F3711" s="102"/>
      <c r="G3711" s="114"/>
    </row>
    <row r="3712" spans="2:7" ht="15.75" customHeight="1" x14ac:dyDescent="0.25">
      <c r="B3712" s="100"/>
      <c r="C3712" s="100"/>
      <c r="D3712" s="100"/>
      <c r="E3712" s="100"/>
      <c r="F3712" s="102"/>
      <c r="G3712" s="114"/>
    </row>
    <row r="3713" spans="2:7" ht="15.75" customHeight="1" x14ac:dyDescent="0.25">
      <c r="B3713" s="100"/>
      <c r="C3713" s="100"/>
      <c r="D3713" s="100"/>
      <c r="E3713" s="100"/>
      <c r="F3713" s="102"/>
      <c r="G3713" s="114"/>
    </row>
    <row r="3714" spans="2:7" ht="15.75" customHeight="1" x14ac:dyDescent="0.25">
      <c r="B3714" s="100"/>
      <c r="C3714" s="100"/>
      <c r="D3714" s="100"/>
      <c r="E3714" s="100"/>
      <c r="F3714" s="102"/>
      <c r="G3714" s="114"/>
    </row>
    <row r="3715" spans="2:7" ht="15.75" customHeight="1" x14ac:dyDescent="0.25">
      <c r="B3715" s="100"/>
      <c r="C3715" s="100"/>
      <c r="D3715" s="100"/>
      <c r="E3715" s="100"/>
      <c r="F3715" s="102"/>
      <c r="G3715" s="114"/>
    </row>
    <row r="3716" spans="2:7" ht="15.75" customHeight="1" x14ac:dyDescent="0.25">
      <c r="B3716" s="100"/>
      <c r="C3716" s="100"/>
      <c r="D3716" s="100"/>
      <c r="E3716" s="100"/>
      <c r="F3716" s="102"/>
      <c r="G3716" s="114"/>
    </row>
    <row r="3717" spans="2:7" ht="15.75" customHeight="1" x14ac:dyDescent="0.25">
      <c r="B3717" s="100"/>
      <c r="C3717" s="100"/>
      <c r="D3717" s="100"/>
      <c r="E3717" s="100"/>
      <c r="F3717" s="102"/>
      <c r="G3717" s="114"/>
    </row>
    <row r="3718" spans="2:7" ht="15.75" customHeight="1" x14ac:dyDescent="0.25">
      <c r="B3718" s="100"/>
      <c r="C3718" s="100"/>
      <c r="D3718" s="100"/>
      <c r="E3718" s="100"/>
      <c r="F3718" s="102"/>
      <c r="G3718" s="114"/>
    </row>
    <row r="3719" spans="2:7" ht="15.75" customHeight="1" x14ac:dyDescent="0.25">
      <c r="B3719" s="100"/>
      <c r="C3719" s="100"/>
      <c r="D3719" s="100"/>
      <c r="E3719" s="100"/>
      <c r="F3719" s="102"/>
      <c r="G3719" s="114"/>
    </row>
    <row r="3720" spans="2:7" ht="15.75" customHeight="1" x14ac:dyDescent="0.25">
      <c r="B3720" s="100"/>
      <c r="C3720" s="100"/>
      <c r="D3720" s="100"/>
      <c r="E3720" s="100"/>
      <c r="F3720" s="102"/>
      <c r="G3720" s="114"/>
    </row>
    <row r="3721" spans="2:7" ht="15.75" customHeight="1" x14ac:dyDescent="0.25">
      <c r="B3721" s="100"/>
      <c r="C3721" s="100"/>
      <c r="D3721" s="100"/>
      <c r="E3721" s="100"/>
      <c r="F3721" s="102"/>
      <c r="G3721" s="114"/>
    </row>
    <row r="3722" spans="2:7" ht="15.75" customHeight="1" x14ac:dyDescent="0.25">
      <c r="B3722" s="100"/>
      <c r="C3722" s="100"/>
      <c r="D3722" s="100"/>
      <c r="E3722" s="100"/>
      <c r="F3722" s="102"/>
      <c r="G3722" s="114"/>
    </row>
    <row r="3723" spans="2:7" ht="15.75" customHeight="1" x14ac:dyDescent="0.25">
      <c r="B3723" s="100"/>
      <c r="C3723" s="100"/>
      <c r="D3723" s="100"/>
      <c r="E3723" s="100"/>
      <c r="F3723" s="102"/>
      <c r="G3723" s="114"/>
    </row>
    <row r="3724" spans="2:7" ht="15.75" customHeight="1" x14ac:dyDescent="0.25">
      <c r="B3724" s="100"/>
      <c r="C3724" s="100"/>
      <c r="D3724" s="100"/>
      <c r="E3724" s="100"/>
      <c r="F3724" s="102"/>
      <c r="G3724" s="114"/>
    </row>
    <row r="3725" spans="2:7" ht="15.75" customHeight="1" x14ac:dyDescent="0.25">
      <c r="B3725" s="100"/>
      <c r="C3725" s="100"/>
      <c r="D3725" s="100"/>
      <c r="E3725" s="100"/>
      <c r="F3725" s="102"/>
      <c r="G3725" s="114"/>
    </row>
    <row r="3726" spans="2:7" ht="15.75" customHeight="1" x14ac:dyDescent="0.25">
      <c r="B3726" s="100"/>
      <c r="C3726" s="100"/>
      <c r="D3726" s="100"/>
      <c r="E3726" s="100"/>
      <c r="F3726" s="102"/>
      <c r="G3726" s="114"/>
    </row>
    <row r="3727" spans="2:7" ht="15.75" customHeight="1" x14ac:dyDescent="0.25">
      <c r="B3727" s="100"/>
      <c r="C3727" s="100"/>
      <c r="D3727" s="100"/>
      <c r="E3727" s="100"/>
      <c r="F3727" s="102"/>
      <c r="G3727" s="114"/>
    </row>
    <row r="3728" spans="2:7" ht="15.75" customHeight="1" x14ac:dyDescent="0.25">
      <c r="B3728" s="100"/>
      <c r="C3728" s="100"/>
      <c r="D3728" s="100"/>
      <c r="E3728" s="100"/>
      <c r="F3728" s="102"/>
      <c r="G3728" s="114"/>
    </row>
    <row r="3729" spans="2:7" ht="15.75" customHeight="1" x14ac:dyDescent="0.25">
      <c r="B3729" s="100"/>
      <c r="C3729" s="100"/>
      <c r="D3729" s="100"/>
      <c r="E3729" s="100"/>
      <c r="F3729" s="102"/>
      <c r="G3729" s="114"/>
    </row>
    <row r="3730" spans="2:7" ht="15.75" customHeight="1" x14ac:dyDescent="0.25">
      <c r="B3730" s="100"/>
      <c r="C3730" s="100"/>
      <c r="D3730" s="100"/>
      <c r="E3730" s="100"/>
      <c r="F3730" s="102"/>
      <c r="G3730" s="114"/>
    </row>
    <row r="3731" spans="2:7" ht="15.75" customHeight="1" x14ac:dyDescent="0.25">
      <c r="B3731" s="100"/>
      <c r="C3731" s="100"/>
      <c r="D3731" s="100"/>
      <c r="E3731" s="100"/>
      <c r="F3731" s="102"/>
      <c r="G3731" s="114"/>
    </row>
    <row r="3732" spans="2:7" ht="15.75" customHeight="1" x14ac:dyDescent="0.25">
      <c r="B3732" s="100"/>
      <c r="C3732" s="100"/>
      <c r="D3732" s="100"/>
      <c r="E3732" s="100"/>
      <c r="F3732" s="102"/>
      <c r="G3732" s="114"/>
    </row>
    <row r="3733" spans="2:7" ht="15.75" customHeight="1" x14ac:dyDescent="0.25">
      <c r="B3733" s="100"/>
      <c r="C3733" s="100"/>
      <c r="D3733" s="100"/>
      <c r="E3733" s="100"/>
      <c r="F3733" s="102"/>
      <c r="G3733" s="114"/>
    </row>
    <row r="3734" spans="2:7" ht="15.75" customHeight="1" x14ac:dyDescent="0.25">
      <c r="B3734" s="100"/>
      <c r="C3734" s="100"/>
      <c r="D3734" s="100"/>
      <c r="E3734" s="100"/>
      <c r="F3734" s="102"/>
      <c r="G3734" s="114"/>
    </row>
    <row r="3735" spans="2:7" ht="15.75" customHeight="1" x14ac:dyDescent="0.25">
      <c r="B3735" s="100"/>
      <c r="C3735" s="100"/>
      <c r="D3735" s="100"/>
      <c r="E3735" s="100"/>
      <c r="F3735" s="102"/>
      <c r="G3735" s="114"/>
    </row>
    <row r="3736" spans="2:7" ht="15.75" customHeight="1" x14ac:dyDescent="0.25">
      <c r="B3736" s="100"/>
      <c r="C3736" s="100"/>
      <c r="D3736" s="100"/>
      <c r="E3736" s="100"/>
      <c r="F3736" s="102"/>
      <c r="G3736" s="114"/>
    </row>
    <row r="3737" spans="2:7" ht="15.75" customHeight="1" x14ac:dyDescent="0.25">
      <c r="B3737" s="100"/>
      <c r="C3737" s="100"/>
      <c r="D3737" s="100"/>
      <c r="E3737" s="100"/>
      <c r="F3737" s="102"/>
      <c r="G3737" s="114"/>
    </row>
    <row r="3738" spans="2:7" ht="15.75" customHeight="1" x14ac:dyDescent="0.25">
      <c r="B3738" s="100"/>
      <c r="C3738" s="100"/>
      <c r="D3738" s="100"/>
      <c r="E3738" s="100"/>
      <c r="F3738" s="102"/>
      <c r="G3738" s="114"/>
    </row>
    <row r="3739" spans="2:7" ht="15.75" customHeight="1" x14ac:dyDescent="0.25">
      <c r="B3739" s="100"/>
      <c r="C3739" s="100"/>
      <c r="D3739" s="100"/>
      <c r="E3739" s="100"/>
      <c r="F3739" s="102"/>
      <c r="G3739" s="114"/>
    </row>
    <row r="3740" spans="2:7" ht="15.75" customHeight="1" x14ac:dyDescent="0.25">
      <c r="B3740" s="100"/>
      <c r="C3740" s="100"/>
      <c r="D3740" s="100"/>
      <c r="E3740" s="100"/>
      <c r="F3740" s="102"/>
      <c r="G3740" s="114"/>
    </row>
    <row r="3741" spans="2:7" ht="15.75" customHeight="1" x14ac:dyDescent="0.25">
      <c r="B3741" s="100"/>
      <c r="C3741" s="100"/>
      <c r="D3741" s="100"/>
      <c r="E3741" s="100"/>
      <c r="F3741" s="102"/>
      <c r="G3741" s="114"/>
    </row>
    <row r="3742" spans="2:7" ht="15.75" customHeight="1" x14ac:dyDescent="0.25">
      <c r="B3742" s="100"/>
      <c r="C3742" s="100"/>
      <c r="D3742" s="100"/>
      <c r="E3742" s="100"/>
      <c r="F3742" s="102"/>
      <c r="G3742" s="114"/>
    </row>
    <row r="3743" spans="2:7" ht="15.75" customHeight="1" x14ac:dyDescent="0.25">
      <c r="B3743" s="100"/>
      <c r="C3743" s="100"/>
      <c r="D3743" s="100"/>
      <c r="E3743" s="100"/>
      <c r="F3743" s="102"/>
      <c r="G3743" s="114"/>
    </row>
    <row r="3744" spans="2:7" ht="15.75" customHeight="1" x14ac:dyDescent="0.25">
      <c r="B3744" s="100"/>
      <c r="C3744" s="100"/>
      <c r="D3744" s="100"/>
      <c r="E3744" s="100"/>
      <c r="F3744" s="102"/>
      <c r="G3744" s="114"/>
    </row>
    <row r="3745" spans="2:7" ht="15.75" customHeight="1" x14ac:dyDescent="0.25">
      <c r="B3745" s="100"/>
      <c r="C3745" s="100"/>
      <c r="D3745" s="100"/>
      <c r="E3745" s="100"/>
      <c r="F3745" s="102"/>
      <c r="G3745" s="114"/>
    </row>
    <row r="3746" spans="2:7" ht="15.75" customHeight="1" x14ac:dyDescent="0.25">
      <c r="B3746" s="100"/>
      <c r="C3746" s="100"/>
      <c r="D3746" s="100"/>
      <c r="E3746" s="100"/>
      <c r="F3746" s="102"/>
      <c r="G3746" s="114"/>
    </row>
    <row r="3747" spans="2:7" ht="15.75" customHeight="1" x14ac:dyDescent="0.25">
      <c r="B3747" s="100"/>
      <c r="C3747" s="100"/>
      <c r="D3747" s="100"/>
      <c r="E3747" s="100"/>
      <c r="F3747" s="102"/>
      <c r="G3747" s="114"/>
    </row>
    <row r="3748" spans="2:7" ht="15.75" customHeight="1" x14ac:dyDescent="0.25">
      <c r="B3748" s="100"/>
      <c r="C3748" s="100"/>
      <c r="D3748" s="100"/>
      <c r="E3748" s="100"/>
      <c r="F3748" s="102"/>
      <c r="G3748" s="114"/>
    </row>
    <row r="3749" spans="2:7" ht="15.75" customHeight="1" x14ac:dyDescent="0.25">
      <c r="B3749" s="100"/>
      <c r="C3749" s="100"/>
      <c r="D3749" s="100"/>
      <c r="E3749" s="100"/>
      <c r="F3749" s="102"/>
      <c r="G3749" s="114"/>
    </row>
    <row r="3750" spans="2:7" ht="15.75" customHeight="1" x14ac:dyDescent="0.25">
      <c r="B3750" s="100"/>
      <c r="C3750" s="100"/>
      <c r="D3750" s="100"/>
      <c r="E3750" s="100"/>
      <c r="F3750" s="102"/>
      <c r="G3750" s="114"/>
    </row>
    <row r="3751" spans="2:7" ht="15.75" customHeight="1" x14ac:dyDescent="0.25">
      <c r="B3751" s="100"/>
      <c r="C3751" s="100"/>
      <c r="D3751" s="100"/>
      <c r="E3751" s="100"/>
      <c r="F3751" s="102"/>
      <c r="G3751" s="114"/>
    </row>
    <row r="3752" spans="2:7" ht="15.75" customHeight="1" x14ac:dyDescent="0.25">
      <c r="B3752" s="100"/>
      <c r="C3752" s="100"/>
      <c r="D3752" s="100"/>
      <c r="E3752" s="100"/>
      <c r="F3752" s="102"/>
      <c r="G3752" s="114"/>
    </row>
    <row r="3753" spans="2:7" ht="15.75" customHeight="1" x14ac:dyDescent="0.25">
      <c r="B3753" s="100"/>
      <c r="C3753" s="100"/>
      <c r="D3753" s="100"/>
      <c r="E3753" s="100"/>
      <c r="F3753" s="102"/>
      <c r="G3753" s="114"/>
    </row>
    <row r="3754" spans="2:7" ht="15.75" customHeight="1" x14ac:dyDescent="0.25">
      <c r="B3754" s="100"/>
      <c r="C3754" s="100"/>
      <c r="D3754" s="100"/>
      <c r="E3754" s="100"/>
      <c r="F3754" s="102"/>
      <c r="G3754" s="114"/>
    </row>
    <row r="3755" spans="2:7" ht="15.75" customHeight="1" x14ac:dyDescent="0.25">
      <c r="B3755" s="100"/>
      <c r="C3755" s="100"/>
      <c r="D3755" s="100"/>
      <c r="E3755" s="100"/>
      <c r="F3755" s="102"/>
      <c r="G3755" s="114"/>
    </row>
    <row r="3756" spans="2:7" ht="15.75" customHeight="1" x14ac:dyDescent="0.25">
      <c r="B3756" s="100"/>
      <c r="C3756" s="100"/>
      <c r="D3756" s="100"/>
      <c r="E3756" s="100"/>
      <c r="F3756" s="102"/>
      <c r="G3756" s="114"/>
    </row>
    <row r="3757" spans="2:7" ht="15.75" customHeight="1" x14ac:dyDescent="0.25">
      <c r="B3757" s="100"/>
      <c r="C3757" s="100"/>
      <c r="D3757" s="100"/>
      <c r="E3757" s="100"/>
      <c r="F3757" s="102"/>
      <c r="G3757" s="114"/>
    </row>
    <row r="3758" spans="2:7" ht="15.75" customHeight="1" x14ac:dyDescent="0.25">
      <c r="B3758" s="100"/>
      <c r="C3758" s="100"/>
      <c r="D3758" s="100"/>
      <c r="E3758" s="100"/>
      <c r="F3758" s="102"/>
      <c r="G3758" s="114"/>
    </row>
    <row r="3759" spans="2:7" ht="15.75" customHeight="1" x14ac:dyDescent="0.25">
      <c r="B3759" s="100"/>
      <c r="C3759" s="100"/>
      <c r="D3759" s="100"/>
      <c r="E3759" s="100"/>
      <c r="F3759" s="102"/>
      <c r="G3759" s="114"/>
    </row>
    <row r="3760" spans="2:7" ht="15.75" customHeight="1" x14ac:dyDescent="0.25">
      <c r="B3760" s="100"/>
      <c r="C3760" s="100"/>
      <c r="D3760" s="100"/>
      <c r="E3760" s="100"/>
      <c r="F3760" s="102"/>
      <c r="G3760" s="114"/>
    </row>
    <row r="3761" spans="2:7" ht="15.75" customHeight="1" x14ac:dyDescent="0.25">
      <c r="B3761" s="100"/>
      <c r="C3761" s="100"/>
      <c r="D3761" s="100"/>
      <c r="E3761" s="100"/>
      <c r="F3761" s="102"/>
      <c r="G3761" s="114"/>
    </row>
    <row r="3762" spans="2:7" ht="15.75" customHeight="1" x14ac:dyDescent="0.25">
      <c r="B3762" s="100"/>
      <c r="C3762" s="100"/>
      <c r="D3762" s="100"/>
      <c r="E3762" s="100"/>
      <c r="F3762" s="102"/>
      <c r="G3762" s="114"/>
    </row>
    <row r="3763" spans="2:7" ht="15.75" customHeight="1" x14ac:dyDescent="0.25">
      <c r="B3763" s="100"/>
      <c r="C3763" s="100"/>
      <c r="D3763" s="100"/>
      <c r="E3763" s="100"/>
      <c r="F3763" s="102"/>
      <c r="G3763" s="114"/>
    </row>
    <row r="3764" spans="2:7" ht="15.75" customHeight="1" x14ac:dyDescent="0.25">
      <c r="B3764" s="100"/>
      <c r="C3764" s="100"/>
      <c r="D3764" s="100"/>
      <c r="E3764" s="100"/>
      <c r="F3764" s="102"/>
      <c r="G3764" s="114"/>
    </row>
    <row r="3765" spans="2:7" ht="15.75" customHeight="1" x14ac:dyDescent="0.25">
      <c r="B3765" s="100"/>
      <c r="C3765" s="100"/>
      <c r="D3765" s="100"/>
      <c r="E3765" s="100"/>
      <c r="F3765" s="102"/>
      <c r="G3765" s="114"/>
    </row>
    <row r="3766" spans="2:7" ht="15.75" customHeight="1" x14ac:dyDescent="0.25">
      <c r="B3766" s="100"/>
      <c r="C3766" s="100"/>
      <c r="D3766" s="100"/>
      <c r="E3766" s="100"/>
      <c r="F3766" s="102"/>
      <c r="G3766" s="114"/>
    </row>
    <row r="3767" spans="2:7" ht="15.75" customHeight="1" x14ac:dyDescent="0.25">
      <c r="B3767" s="100"/>
      <c r="C3767" s="100"/>
      <c r="D3767" s="100"/>
      <c r="E3767" s="100"/>
      <c r="F3767" s="102"/>
      <c r="G3767" s="114"/>
    </row>
    <row r="3768" spans="2:7" ht="15.75" customHeight="1" x14ac:dyDescent="0.25">
      <c r="B3768" s="100"/>
      <c r="C3768" s="100"/>
      <c r="D3768" s="100"/>
      <c r="E3768" s="100"/>
      <c r="F3768" s="102"/>
      <c r="G3768" s="114"/>
    </row>
    <row r="3769" spans="2:7" ht="15.75" customHeight="1" x14ac:dyDescent="0.25">
      <c r="B3769" s="100"/>
      <c r="C3769" s="100"/>
      <c r="D3769" s="100"/>
      <c r="E3769" s="100"/>
      <c r="F3769" s="102"/>
      <c r="G3769" s="114"/>
    </row>
    <row r="3770" spans="2:7" ht="15.75" customHeight="1" x14ac:dyDescent="0.25">
      <c r="B3770" s="100"/>
      <c r="C3770" s="100"/>
      <c r="D3770" s="100"/>
      <c r="E3770" s="100"/>
      <c r="F3770" s="102"/>
      <c r="G3770" s="114"/>
    </row>
    <row r="3771" spans="2:7" ht="15.75" customHeight="1" x14ac:dyDescent="0.25">
      <c r="B3771" s="100"/>
      <c r="C3771" s="100"/>
      <c r="D3771" s="100"/>
      <c r="E3771" s="100"/>
      <c r="F3771" s="102"/>
      <c r="G3771" s="114"/>
    </row>
    <row r="3772" spans="2:7" ht="15.75" customHeight="1" x14ac:dyDescent="0.25">
      <c r="B3772" s="100"/>
      <c r="C3772" s="100"/>
      <c r="D3772" s="100"/>
      <c r="E3772" s="100"/>
      <c r="F3772" s="102"/>
      <c r="G3772" s="114"/>
    </row>
    <row r="3773" spans="2:7" ht="15.75" customHeight="1" x14ac:dyDescent="0.25">
      <c r="B3773" s="100"/>
      <c r="C3773" s="100"/>
      <c r="D3773" s="100"/>
      <c r="E3773" s="100"/>
      <c r="F3773" s="102"/>
      <c r="G3773" s="114"/>
    </row>
    <row r="3774" spans="2:7" ht="15.75" customHeight="1" x14ac:dyDescent="0.25">
      <c r="B3774" s="100"/>
      <c r="C3774" s="100"/>
      <c r="D3774" s="100"/>
      <c r="E3774" s="100"/>
      <c r="F3774" s="102"/>
      <c r="G3774" s="114"/>
    </row>
    <row r="3775" spans="2:7" ht="15.75" customHeight="1" x14ac:dyDescent="0.25">
      <c r="B3775" s="100"/>
      <c r="C3775" s="100"/>
      <c r="D3775" s="100"/>
      <c r="E3775" s="100"/>
      <c r="F3775" s="102"/>
      <c r="G3775" s="114"/>
    </row>
    <row r="3776" spans="2:7" ht="15.75" customHeight="1" x14ac:dyDescent="0.25">
      <c r="B3776" s="100"/>
      <c r="C3776" s="100"/>
      <c r="D3776" s="100"/>
      <c r="E3776" s="100"/>
      <c r="F3776" s="102"/>
      <c r="G3776" s="114"/>
    </row>
    <row r="3777" spans="2:7" ht="15.75" customHeight="1" x14ac:dyDescent="0.25">
      <c r="B3777" s="100"/>
      <c r="C3777" s="100"/>
      <c r="D3777" s="100"/>
      <c r="E3777" s="100"/>
      <c r="F3777" s="102"/>
      <c r="G3777" s="114"/>
    </row>
    <row r="3778" spans="2:7" ht="15.75" customHeight="1" x14ac:dyDescent="0.25">
      <c r="B3778" s="100"/>
      <c r="C3778" s="100"/>
      <c r="D3778" s="100"/>
      <c r="E3778" s="100"/>
      <c r="F3778" s="102"/>
      <c r="G3778" s="114"/>
    </row>
    <row r="3779" spans="2:7" ht="15.75" customHeight="1" x14ac:dyDescent="0.25">
      <c r="B3779" s="100"/>
      <c r="C3779" s="100"/>
      <c r="D3779" s="100"/>
      <c r="E3779" s="100"/>
      <c r="F3779" s="102"/>
      <c r="G3779" s="114"/>
    </row>
    <row r="3780" spans="2:7" ht="15.75" customHeight="1" x14ac:dyDescent="0.25">
      <c r="B3780" s="100"/>
      <c r="C3780" s="100"/>
      <c r="D3780" s="100"/>
      <c r="E3780" s="100"/>
      <c r="F3780" s="102"/>
      <c r="G3780" s="114"/>
    </row>
    <row r="3781" spans="2:7" ht="15.75" customHeight="1" x14ac:dyDescent="0.25">
      <c r="B3781" s="100"/>
      <c r="C3781" s="100"/>
      <c r="D3781" s="100"/>
      <c r="E3781" s="100"/>
      <c r="F3781" s="102"/>
      <c r="G3781" s="114"/>
    </row>
    <row r="3782" spans="2:7" ht="15.75" customHeight="1" x14ac:dyDescent="0.25">
      <c r="B3782" s="100"/>
      <c r="C3782" s="100"/>
      <c r="D3782" s="100"/>
      <c r="E3782" s="100"/>
      <c r="F3782" s="102"/>
      <c r="G3782" s="114"/>
    </row>
    <row r="3783" spans="2:7" ht="15.75" customHeight="1" x14ac:dyDescent="0.25">
      <c r="B3783" s="100"/>
      <c r="C3783" s="100"/>
      <c r="D3783" s="100"/>
      <c r="E3783" s="100"/>
      <c r="F3783" s="102"/>
      <c r="G3783" s="114"/>
    </row>
    <row r="3784" spans="2:7" ht="15.75" customHeight="1" x14ac:dyDescent="0.25">
      <c r="B3784" s="100"/>
      <c r="C3784" s="100"/>
      <c r="D3784" s="100"/>
      <c r="E3784" s="100"/>
      <c r="F3784" s="102"/>
      <c r="G3784" s="114"/>
    </row>
    <row r="3785" spans="2:7" ht="15.75" customHeight="1" x14ac:dyDescent="0.25">
      <c r="B3785" s="100"/>
      <c r="C3785" s="100"/>
      <c r="D3785" s="100"/>
      <c r="E3785" s="100"/>
      <c r="F3785" s="102"/>
      <c r="G3785" s="114"/>
    </row>
    <row r="3786" spans="2:7" ht="15.75" customHeight="1" x14ac:dyDescent="0.25">
      <c r="B3786" s="100"/>
      <c r="C3786" s="100"/>
      <c r="D3786" s="100"/>
      <c r="E3786" s="100"/>
      <c r="F3786" s="102"/>
      <c r="G3786" s="114"/>
    </row>
    <row r="3787" spans="2:7" ht="15.75" customHeight="1" x14ac:dyDescent="0.25">
      <c r="B3787" s="100"/>
      <c r="C3787" s="100"/>
      <c r="D3787" s="100"/>
      <c r="E3787" s="100"/>
      <c r="F3787" s="102"/>
      <c r="G3787" s="114"/>
    </row>
    <row r="3788" spans="2:7" ht="15.75" customHeight="1" x14ac:dyDescent="0.25">
      <c r="B3788" s="100"/>
      <c r="C3788" s="100"/>
      <c r="D3788" s="100"/>
      <c r="E3788" s="100"/>
      <c r="F3788" s="102"/>
      <c r="G3788" s="114"/>
    </row>
    <row r="3789" spans="2:7" ht="15.75" customHeight="1" x14ac:dyDescent="0.25">
      <c r="B3789" s="100"/>
      <c r="C3789" s="100"/>
      <c r="D3789" s="100"/>
      <c r="E3789" s="100"/>
      <c r="F3789" s="102"/>
      <c r="G3789" s="114"/>
    </row>
    <row r="3790" spans="2:7" ht="15.75" customHeight="1" x14ac:dyDescent="0.25">
      <c r="B3790" s="100"/>
      <c r="C3790" s="100"/>
      <c r="D3790" s="100"/>
      <c r="E3790" s="100"/>
      <c r="F3790" s="102"/>
      <c r="G3790" s="114"/>
    </row>
    <row r="3791" spans="2:7" ht="15.75" customHeight="1" x14ac:dyDescent="0.25">
      <c r="B3791" s="100"/>
      <c r="C3791" s="100"/>
      <c r="D3791" s="100"/>
      <c r="E3791" s="100"/>
      <c r="F3791" s="102"/>
      <c r="G3791" s="114"/>
    </row>
    <row r="3792" spans="2:7" ht="15.75" customHeight="1" x14ac:dyDescent="0.25">
      <c r="B3792" s="100"/>
      <c r="C3792" s="100"/>
      <c r="D3792" s="100"/>
      <c r="E3792" s="100"/>
      <c r="F3792" s="102"/>
      <c r="G3792" s="114"/>
    </row>
    <row r="3793" spans="2:7" ht="15.75" customHeight="1" x14ac:dyDescent="0.25">
      <c r="B3793" s="100"/>
      <c r="C3793" s="100"/>
      <c r="D3793" s="100"/>
      <c r="E3793" s="100"/>
      <c r="F3793" s="102"/>
      <c r="G3793" s="114"/>
    </row>
    <row r="3794" spans="2:7" ht="15.75" customHeight="1" x14ac:dyDescent="0.25">
      <c r="B3794" s="100"/>
      <c r="C3794" s="100"/>
      <c r="D3794" s="100"/>
      <c r="E3794" s="100"/>
      <c r="F3794" s="102"/>
      <c r="G3794" s="114"/>
    </row>
    <row r="3795" spans="2:7" ht="15.75" customHeight="1" x14ac:dyDescent="0.25">
      <c r="B3795" s="100"/>
      <c r="C3795" s="100"/>
      <c r="D3795" s="100"/>
      <c r="E3795" s="100"/>
      <c r="F3795" s="102"/>
      <c r="G3795" s="114"/>
    </row>
    <row r="3796" spans="2:7" ht="15.75" customHeight="1" x14ac:dyDescent="0.25">
      <c r="B3796" s="100"/>
      <c r="C3796" s="100"/>
      <c r="D3796" s="100"/>
      <c r="E3796" s="100"/>
      <c r="F3796" s="102"/>
      <c r="G3796" s="114"/>
    </row>
    <row r="3797" spans="2:7" ht="15.75" customHeight="1" x14ac:dyDescent="0.25">
      <c r="B3797" s="100"/>
      <c r="C3797" s="100"/>
      <c r="D3797" s="100"/>
      <c r="E3797" s="100"/>
      <c r="F3797" s="102"/>
      <c r="G3797" s="114"/>
    </row>
    <row r="3798" spans="2:7" ht="15.75" customHeight="1" x14ac:dyDescent="0.25">
      <c r="B3798" s="100"/>
      <c r="C3798" s="100"/>
      <c r="D3798" s="100"/>
      <c r="E3798" s="100"/>
      <c r="F3798" s="102"/>
      <c r="G3798" s="114"/>
    </row>
    <row r="3799" spans="2:7" ht="15.75" customHeight="1" x14ac:dyDescent="0.25">
      <c r="B3799" s="100"/>
      <c r="C3799" s="100"/>
      <c r="D3799" s="100"/>
      <c r="E3799" s="100"/>
      <c r="F3799" s="102"/>
      <c r="G3799" s="114"/>
    </row>
    <row r="3800" spans="2:7" ht="15.75" customHeight="1" x14ac:dyDescent="0.25">
      <c r="B3800" s="100"/>
      <c r="C3800" s="100"/>
      <c r="D3800" s="100"/>
      <c r="E3800" s="100"/>
      <c r="F3800" s="102"/>
      <c r="G3800" s="114"/>
    </row>
    <row r="3801" spans="2:7" ht="15.75" customHeight="1" x14ac:dyDescent="0.25">
      <c r="B3801" s="100"/>
      <c r="C3801" s="100"/>
      <c r="D3801" s="100"/>
      <c r="E3801" s="100"/>
      <c r="F3801" s="102"/>
      <c r="G3801" s="114"/>
    </row>
    <row r="3802" spans="2:7" ht="15.75" customHeight="1" x14ac:dyDescent="0.25">
      <c r="B3802" s="100"/>
      <c r="C3802" s="100"/>
      <c r="D3802" s="100"/>
      <c r="E3802" s="100"/>
      <c r="F3802" s="102"/>
      <c r="G3802" s="114"/>
    </row>
    <row r="3803" spans="2:7" ht="15.75" customHeight="1" x14ac:dyDescent="0.25">
      <c r="B3803" s="100"/>
      <c r="C3803" s="100"/>
      <c r="D3803" s="100"/>
      <c r="E3803" s="100"/>
      <c r="F3803" s="102"/>
      <c r="G3803" s="114"/>
    </row>
    <row r="3804" spans="2:7" ht="15.75" customHeight="1" x14ac:dyDescent="0.25">
      <c r="B3804" s="100"/>
      <c r="C3804" s="100"/>
      <c r="D3804" s="100"/>
      <c r="E3804" s="100"/>
      <c r="F3804" s="102"/>
      <c r="G3804" s="114"/>
    </row>
    <row r="3805" spans="2:7" ht="15.75" customHeight="1" x14ac:dyDescent="0.25">
      <c r="B3805" s="100"/>
      <c r="C3805" s="100"/>
      <c r="D3805" s="100"/>
      <c r="E3805" s="100"/>
      <c r="F3805" s="102"/>
      <c r="G3805" s="114"/>
    </row>
    <row r="3806" spans="2:7" ht="15.75" customHeight="1" x14ac:dyDescent="0.25">
      <c r="B3806" s="100"/>
      <c r="C3806" s="100"/>
      <c r="D3806" s="100"/>
      <c r="E3806" s="100"/>
      <c r="F3806" s="102"/>
      <c r="G3806" s="114"/>
    </row>
    <row r="3807" spans="2:7" ht="15.75" customHeight="1" x14ac:dyDescent="0.25">
      <c r="B3807" s="100"/>
      <c r="C3807" s="100"/>
      <c r="D3807" s="100"/>
      <c r="E3807" s="100"/>
      <c r="F3807" s="102"/>
      <c r="G3807" s="114"/>
    </row>
    <row r="3808" spans="2:7" ht="15.75" customHeight="1" x14ac:dyDescent="0.25">
      <c r="B3808" s="100"/>
      <c r="C3808" s="100"/>
      <c r="D3808" s="100"/>
      <c r="E3808" s="100"/>
      <c r="F3808" s="102"/>
      <c r="G3808" s="114"/>
    </row>
    <row r="3809" spans="2:7" ht="15.75" customHeight="1" x14ac:dyDescent="0.25">
      <c r="B3809" s="100"/>
      <c r="C3809" s="100"/>
      <c r="D3809" s="100"/>
      <c r="E3809" s="100"/>
      <c r="F3809" s="102"/>
      <c r="G3809" s="114"/>
    </row>
    <row r="3810" spans="2:7" ht="15.75" customHeight="1" x14ac:dyDescent="0.25">
      <c r="B3810" s="100"/>
      <c r="C3810" s="100"/>
      <c r="D3810" s="100"/>
      <c r="E3810" s="100"/>
      <c r="F3810" s="102"/>
      <c r="G3810" s="114"/>
    </row>
    <row r="3811" spans="2:7" ht="15.75" customHeight="1" x14ac:dyDescent="0.25">
      <c r="B3811" s="100"/>
      <c r="C3811" s="100"/>
      <c r="D3811" s="100"/>
      <c r="E3811" s="100"/>
      <c r="F3811" s="102"/>
      <c r="G3811" s="114"/>
    </row>
    <row r="3812" spans="2:7" ht="15.75" customHeight="1" x14ac:dyDescent="0.25">
      <c r="B3812" s="100"/>
      <c r="C3812" s="100"/>
      <c r="D3812" s="100"/>
      <c r="E3812" s="100"/>
      <c r="F3812" s="102"/>
      <c r="G3812" s="114"/>
    </row>
    <row r="3813" spans="2:7" ht="15.75" customHeight="1" x14ac:dyDescent="0.25">
      <c r="B3813" s="100"/>
      <c r="C3813" s="100"/>
      <c r="D3813" s="100"/>
      <c r="E3813" s="100"/>
      <c r="F3813" s="102"/>
      <c r="G3813" s="114"/>
    </row>
    <row r="3814" spans="2:7" ht="15.75" customHeight="1" x14ac:dyDescent="0.25">
      <c r="B3814" s="100"/>
      <c r="C3814" s="100"/>
      <c r="D3814" s="100"/>
      <c r="E3814" s="100"/>
      <c r="F3814" s="102"/>
      <c r="G3814" s="114"/>
    </row>
    <row r="3815" spans="2:7" ht="15.75" customHeight="1" x14ac:dyDescent="0.25">
      <c r="B3815" s="100"/>
      <c r="C3815" s="100"/>
      <c r="D3815" s="100"/>
      <c r="E3815" s="100"/>
      <c r="F3815" s="102"/>
      <c r="G3815" s="114"/>
    </row>
    <row r="3816" spans="2:7" ht="15.75" customHeight="1" x14ac:dyDescent="0.25">
      <c r="B3816" s="100"/>
      <c r="C3816" s="100"/>
      <c r="D3816" s="100"/>
      <c r="E3816" s="100"/>
      <c r="F3816" s="102"/>
      <c r="G3816" s="114"/>
    </row>
    <row r="3817" spans="2:7" ht="15.75" customHeight="1" x14ac:dyDescent="0.25">
      <c r="B3817" s="100"/>
      <c r="C3817" s="100"/>
      <c r="D3817" s="100"/>
      <c r="E3817" s="100"/>
      <c r="F3817" s="102"/>
      <c r="G3817" s="114"/>
    </row>
    <row r="3818" spans="2:7" ht="15.75" customHeight="1" x14ac:dyDescent="0.25">
      <c r="B3818" s="100"/>
      <c r="C3818" s="100"/>
      <c r="D3818" s="100"/>
      <c r="E3818" s="100"/>
      <c r="F3818" s="102"/>
      <c r="G3818" s="114"/>
    </row>
    <row r="3819" spans="2:7" ht="15.75" customHeight="1" x14ac:dyDescent="0.25">
      <c r="B3819" s="100"/>
      <c r="C3819" s="100"/>
      <c r="D3819" s="100"/>
      <c r="E3819" s="100"/>
      <c r="F3819" s="102"/>
      <c r="G3819" s="114"/>
    </row>
    <row r="3820" spans="2:7" ht="15.75" customHeight="1" x14ac:dyDescent="0.25">
      <c r="B3820" s="100"/>
      <c r="C3820" s="100"/>
      <c r="D3820" s="100"/>
      <c r="E3820" s="100"/>
      <c r="F3820" s="102"/>
      <c r="G3820" s="114"/>
    </row>
    <row r="3821" spans="2:7" ht="15.75" customHeight="1" x14ac:dyDescent="0.25">
      <c r="B3821" s="100"/>
      <c r="C3821" s="100"/>
      <c r="D3821" s="100"/>
      <c r="E3821" s="100"/>
      <c r="F3821" s="102"/>
      <c r="G3821" s="114"/>
    </row>
    <row r="3822" spans="2:7" ht="15.75" customHeight="1" x14ac:dyDescent="0.25">
      <c r="B3822" s="100"/>
      <c r="C3822" s="100"/>
      <c r="D3822" s="100"/>
      <c r="E3822" s="100"/>
      <c r="F3822" s="102"/>
      <c r="G3822" s="114"/>
    </row>
    <row r="3823" spans="2:7" ht="15.75" customHeight="1" x14ac:dyDescent="0.25">
      <c r="B3823" s="100"/>
      <c r="C3823" s="100"/>
      <c r="D3823" s="100"/>
      <c r="E3823" s="100"/>
      <c r="F3823" s="102"/>
      <c r="G3823" s="114"/>
    </row>
    <row r="3824" spans="2:7" ht="15.75" customHeight="1" x14ac:dyDescent="0.25">
      <c r="B3824" s="100"/>
      <c r="C3824" s="100"/>
      <c r="D3824" s="100"/>
      <c r="E3824" s="100"/>
      <c r="F3824" s="102"/>
      <c r="G3824" s="114"/>
    </row>
    <row r="3825" spans="2:7" ht="15.75" customHeight="1" x14ac:dyDescent="0.25">
      <c r="B3825" s="100"/>
      <c r="C3825" s="100"/>
      <c r="D3825" s="100"/>
      <c r="E3825" s="100"/>
      <c r="F3825" s="102"/>
      <c r="G3825" s="114"/>
    </row>
    <row r="3826" spans="2:7" ht="15.75" customHeight="1" x14ac:dyDescent="0.25">
      <c r="B3826" s="100"/>
      <c r="C3826" s="100"/>
      <c r="D3826" s="100"/>
      <c r="E3826" s="100"/>
      <c r="F3826" s="102"/>
      <c r="G3826" s="114"/>
    </row>
    <row r="3827" spans="2:7" ht="15.75" customHeight="1" x14ac:dyDescent="0.25">
      <c r="B3827" s="100"/>
      <c r="C3827" s="100"/>
      <c r="D3827" s="100"/>
      <c r="E3827" s="100"/>
      <c r="F3827" s="102"/>
      <c r="G3827" s="114"/>
    </row>
    <row r="3828" spans="2:7" ht="15.75" customHeight="1" x14ac:dyDescent="0.25">
      <c r="B3828" s="100"/>
      <c r="C3828" s="100"/>
      <c r="D3828" s="100"/>
      <c r="E3828" s="100"/>
      <c r="F3828" s="102"/>
      <c r="G3828" s="114"/>
    </row>
    <row r="3829" spans="2:7" ht="15.75" customHeight="1" x14ac:dyDescent="0.25">
      <c r="B3829" s="100"/>
      <c r="C3829" s="100"/>
      <c r="D3829" s="100"/>
      <c r="E3829" s="100"/>
      <c r="F3829" s="102"/>
      <c r="G3829" s="114"/>
    </row>
    <row r="3830" spans="2:7" ht="15.75" customHeight="1" x14ac:dyDescent="0.25">
      <c r="B3830" s="100"/>
      <c r="C3830" s="100"/>
      <c r="D3830" s="100"/>
      <c r="E3830" s="100"/>
      <c r="F3830" s="102"/>
      <c r="G3830" s="114"/>
    </row>
    <row r="3831" spans="2:7" ht="15.75" customHeight="1" x14ac:dyDescent="0.25">
      <c r="B3831" s="100"/>
      <c r="C3831" s="100"/>
      <c r="D3831" s="100"/>
      <c r="E3831" s="100"/>
      <c r="F3831" s="102"/>
      <c r="G3831" s="114"/>
    </row>
    <row r="3832" spans="2:7" ht="15.75" customHeight="1" x14ac:dyDescent="0.25">
      <c r="B3832" s="100"/>
      <c r="C3832" s="100"/>
      <c r="D3832" s="100"/>
      <c r="E3832" s="100"/>
      <c r="F3832" s="102"/>
      <c r="G3832" s="114"/>
    </row>
    <row r="3833" spans="2:7" ht="15.75" customHeight="1" x14ac:dyDescent="0.25">
      <c r="B3833" s="100"/>
      <c r="C3833" s="100"/>
      <c r="D3833" s="100"/>
      <c r="E3833" s="100"/>
      <c r="F3833" s="102"/>
      <c r="G3833" s="114"/>
    </row>
    <row r="3834" spans="2:7" ht="15.75" customHeight="1" x14ac:dyDescent="0.25">
      <c r="B3834" s="100"/>
      <c r="C3834" s="100"/>
      <c r="D3834" s="100"/>
      <c r="E3834" s="100"/>
      <c r="F3834" s="102"/>
      <c r="G3834" s="114"/>
    </row>
    <row r="3835" spans="2:7" ht="15.75" customHeight="1" x14ac:dyDescent="0.25">
      <c r="B3835" s="100"/>
      <c r="C3835" s="100"/>
      <c r="D3835" s="100"/>
      <c r="E3835" s="100"/>
      <c r="F3835" s="102"/>
      <c r="G3835" s="114"/>
    </row>
    <row r="3836" spans="2:7" ht="15.75" customHeight="1" x14ac:dyDescent="0.25">
      <c r="B3836" s="100"/>
      <c r="C3836" s="100"/>
      <c r="D3836" s="100"/>
      <c r="E3836" s="100"/>
      <c r="F3836" s="102"/>
      <c r="G3836" s="114"/>
    </row>
    <row r="3837" spans="2:7" ht="15.75" customHeight="1" x14ac:dyDescent="0.25">
      <c r="B3837" s="100"/>
      <c r="C3837" s="100"/>
      <c r="D3837" s="100"/>
      <c r="E3837" s="100"/>
      <c r="F3837" s="102"/>
      <c r="G3837" s="114"/>
    </row>
    <row r="3838" spans="2:7" ht="15.75" customHeight="1" x14ac:dyDescent="0.25">
      <c r="B3838" s="100"/>
      <c r="C3838" s="100"/>
      <c r="D3838" s="100"/>
      <c r="E3838" s="100"/>
      <c r="F3838" s="102"/>
      <c r="G3838" s="114"/>
    </row>
    <row r="3839" spans="2:7" ht="15.75" customHeight="1" x14ac:dyDescent="0.25">
      <c r="B3839" s="100"/>
      <c r="C3839" s="100"/>
      <c r="D3839" s="100"/>
      <c r="E3839" s="100"/>
      <c r="F3839" s="102"/>
      <c r="G3839" s="114"/>
    </row>
    <row r="3840" spans="2:7" ht="15.75" customHeight="1" x14ac:dyDescent="0.25">
      <c r="B3840" s="100"/>
      <c r="C3840" s="100"/>
      <c r="D3840" s="100"/>
      <c r="E3840" s="100"/>
      <c r="F3840" s="102"/>
      <c r="G3840" s="114"/>
    </row>
    <row r="3841" spans="2:7" ht="15.75" customHeight="1" x14ac:dyDescent="0.25">
      <c r="B3841" s="100"/>
      <c r="C3841" s="100"/>
      <c r="D3841" s="100"/>
      <c r="E3841" s="100"/>
      <c r="F3841" s="102"/>
      <c r="G3841" s="114"/>
    </row>
    <row r="3842" spans="2:7" ht="15.75" customHeight="1" x14ac:dyDescent="0.25">
      <c r="B3842" s="100"/>
      <c r="C3842" s="100"/>
      <c r="D3842" s="100"/>
      <c r="E3842" s="100"/>
      <c r="F3842" s="102"/>
      <c r="G3842" s="114"/>
    </row>
    <row r="3843" spans="2:7" ht="15.75" customHeight="1" x14ac:dyDescent="0.25">
      <c r="B3843" s="100"/>
      <c r="C3843" s="100"/>
      <c r="D3843" s="100"/>
      <c r="E3843" s="100"/>
      <c r="F3843" s="102"/>
      <c r="G3843" s="114"/>
    </row>
    <row r="3844" spans="2:7" ht="15.75" customHeight="1" x14ac:dyDescent="0.25">
      <c r="B3844" s="100"/>
      <c r="C3844" s="100"/>
      <c r="D3844" s="100"/>
      <c r="E3844" s="100"/>
      <c r="F3844" s="102"/>
      <c r="G3844" s="114"/>
    </row>
    <row r="3845" spans="2:7" ht="15.75" customHeight="1" x14ac:dyDescent="0.25">
      <c r="B3845" s="100"/>
      <c r="C3845" s="100"/>
      <c r="D3845" s="100"/>
      <c r="E3845" s="100"/>
      <c r="F3845" s="102"/>
      <c r="G3845" s="114"/>
    </row>
    <row r="3846" spans="2:7" ht="15.75" customHeight="1" x14ac:dyDescent="0.25">
      <c r="B3846" s="100"/>
      <c r="C3846" s="100"/>
      <c r="D3846" s="100"/>
      <c r="E3846" s="100"/>
      <c r="F3846" s="102"/>
      <c r="G3846" s="114"/>
    </row>
    <row r="3847" spans="2:7" ht="15.75" customHeight="1" x14ac:dyDescent="0.25">
      <c r="B3847" s="100"/>
      <c r="C3847" s="100"/>
      <c r="D3847" s="100"/>
      <c r="E3847" s="100"/>
      <c r="F3847" s="102"/>
      <c r="G3847" s="114"/>
    </row>
    <row r="3848" spans="2:7" ht="15.75" customHeight="1" x14ac:dyDescent="0.25">
      <c r="B3848" s="100"/>
      <c r="C3848" s="100"/>
      <c r="D3848" s="100"/>
      <c r="E3848" s="100"/>
      <c r="F3848" s="102"/>
      <c r="G3848" s="114"/>
    </row>
    <row r="3849" spans="2:7" ht="15.75" customHeight="1" x14ac:dyDescent="0.25">
      <c r="B3849" s="100"/>
      <c r="C3849" s="100"/>
      <c r="D3849" s="100"/>
      <c r="E3849" s="100"/>
      <c r="F3849" s="102"/>
      <c r="G3849" s="114"/>
    </row>
    <row r="3850" spans="2:7" ht="15.75" customHeight="1" x14ac:dyDescent="0.25">
      <c r="B3850" s="100"/>
      <c r="C3850" s="100"/>
      <c r="D3850" s="100"/>
      <c r="E3850" s="100"/>
      <c r="F3850" s="102"/>
      <c r="G3850" s="114"/>
    </row>
    <row r="3851" spans="2:7" ht="15.75" customHeight="1" x14ac:dyDescent="0.25">
      <c r="B3851" s="100"/>
      <c r="C3851" s="100"/>
      <c r="D3851" s="100"/>
      <c r="E3851" s="100"/>
      <c r="F3851" s="102"/>
      <c r="G3851" s="114"/>
    </row>
    <row r="3852" spans="2:7" ht="15.75" customHeight="1" x14ac:dyDescent="0.25">
      <c r="B3852" s="100"/>
      <c r="C3852" s="100"/>
      <c r="D3852" s="100"/>
      <c r="E3852" s="100"/>
      <c r="F3852" s="102"/>
      <c r="G3852" s="114"/>
    </row>
    <row r="3853" spans="2:7" ht="15.75" customHeight="1" x14ac:dyDescent="0.25">
      <c r="B3853" s="100"/>
      <c r="C3853" s="100"/>
      <c r="D3853" s="100"/>
      <c r="E3853" s="100"/>
      <c r="F3853" s="102"/>
      <c r="G3853" s="114"/>
    </row>
    <row r="3854" spans="2:7" ht="15.75" customHeight="1" x14ac:dyDescent="0.25">
      <c r="B3854" s="100"/>
      <c r="C3854" s="100"/>
      <c r="D3854" s="100"/>
      <c r="E3854" s="100"/>
      <c r="F3854" s="102"/>
      <c r="G3854" s="114"/>
    </row>
    <row r="3855" spans="2:7" ht="15.75" customHeight="1" x14ac:dyDescent="0.25">
      <c r="B3855" s="100"/>
      <c r="C3855" s="100"/>
      <c r="D3855" s="100"/>
      <c r="E3855" s="100"/>
      <c r="F3855" s="102"/>
      <c r="G3855" s="114"/>
    </row>
    <row r="3856" spans="2:7" ht="15.75" customHeight="1" x14ac:dyDescent="0.25">
      <c r="B3856" s="100"/>
      <c r="C3856" s="100"/>
      <c r="D3856" s="100"/>
      <c r="E3856" s="100"/>
      <c r="F3856" s="102"/>
      <c r="G3856" s="114"/>
    </row>
    <row r="3857" spans="2:7" ht="15.75" customHeight="1" x14ac:dyDescent="0.25">
      <c r="B3857" s="100"/>
      <c r="C3857" s="100"/>
      <c r="D3857" s="100"/>
      <c r="E3857" s="100"/>
      <c r="F3857" s="102"/>
      <c r="G3857" s="114"/>
    </row>
    <row r="3858" spans="2:7" ht="15.75" customHeight="1" x14ac:dyDescent="0.25">
      <c r="B3858" s="100"/>
      <c r="C3858" s="100"/>
      <c r="D3858" s="100"/>
      <c r="E3858" s="100"/>
      <c r="F3858" s="102"/>
      <c r="G3858" s="114"/>
    </row>
    <row r="3859" spans="2:7" ht="15.75" customHeight="1" x14ac:dyDescent="0.25">
      <c r="B3859" s="100"/>
      <c r="C3859" s="100"/>
      <c r="D3859" s="100"/>
      <c r="E3859" s="100"/>
      <c r="F3859" s="102"/>
      <c r="G3859" s="114"/>
    </row>
    <row r="3860" spans="2:7" ht="15.75" customHeight="1" x14ac:dyDescent="0.25">
      <c r="B3860" s="100"/>
      <c r="C3860" s="100"/>
      <c r="D3860" s="100"/>
      <c r="E3860" s="100"/>
      <c r="F3860" s="102"/>
      <c r="G3860" s="114"/>
    </row>
    <row r="3861" spans="2:7" ht="15.75" customHeight="1" x14ac:dyDescent="0.25">
      <c r="B3861" s="100"/>
      <c r="C3861" s="100"/>
      <c r="D3861" s="100"/>
      <c r="E3861" s="100"/>
      <c r="F3861" s="102"/>
      <c r="G3861" s="114"/>
    </row>
    <row r="3862" spans="2:7" ht="15.75" customHeight="1" x14ac:dyDescent="0.25">
      <c r="B3862" s="100"/>
      <c r="C3862" s="100"/>
      <c r="D3862" s="100"/>
      <c r="E3862" s="100"/>
      <c r="F3862" s="102"/>
      <c r="G3862" s="114"/>
    </row>
    <row r="3863" spans="2:7" ht="15.75" customHeight="1" x14ac:dyDescent="0.25">
      <c r="B3863" s="100"/>
      <c r="C3863" s="100"/>
      <c r="D3863" s="100"/>
      <c r="E3863" s="100"/>
      <c r="F3863" s="102"/>
      <c r="G3863" s="114"/>
    </row>
    <row r="3864" spans="2:7" ht="15.75" customHeight="1" x14ac:dyDescent="0.25">
      <c r="B3864" s="100"/>
      <c r="C3864" s="100"/>
      <c r="D3864" s="100"/>
      <c r="E3864" s="100"/>
      <c r="F3864" s="102"/>
      <c r="G3864" s="114"/>
    </row>
    <row r="3865" spans="2:7" ht="15.75" customHeight="1" x14ac:dyDescent="0.25">
      <c r="B3865" s="100"/>
      <c r="C3865" s="100"/>
      <c r="D3865" s="100"/>
      <c r="E3865" s="100"/>
      <c r="F3865" s="102"/>
      <c r="G3865" s="114"/>
    </row>
    <row r="3866" spans="2:7" ht="15.75" customHeight="1" x14ac:dyDescent="0.25">
      <c r="B3866" s="100"/>
      <c r="C3866" s="100"/>
      <c r="D3866" s="100"/>
      <c r="E3866" s="100"/>
      <c r="F3866" s="102"/>
      <c r="G3866" s="114"/>
    </row>
    <row r="3867" spans="2:7" ht="15.75" customHeight="1" x14ac:dyDescent="0.25">
      <c r="B3867" s="100"/>
      <c r="C3867" s="100"/>
      <c r="D3867" s="100"/>
      <c r="E3867" s="100"/>
      <c r="F3867" s="102"/>
      <c r="G3867" s="114"/>
    </row>
    <row r="3868" spans="2:7" ht="15.75" customHeight="1" x14ac:dyDescent="0.25">
      <c r="B3868" s="100"/>
      <c r="C3868" s="100"/>
      <c r="D3868" s="100"/>
      <c r="E3868" s="100"/>
      <c r="F3868" s="102"/>
      <c r="G3868" s="114"/>
    </row>
    <row r="3869" spans="2:7" ht="15.75" customHeight="1" x14ac:dyDescent="0.25">
      <c r="B3869" s="100"/>
      <c r="C3869" s="100"/>
      <c r="D3869" s="100"/>
      <c r="E3869" s="100"/>
      <c r="F3869" s="102"/>
      <c r="G3869" s="114"/>
    </row>
    <row r="3870" spans="2:7" ht="15.75" customHeight="1" x14ac:dyDescent="0.25">
      <c r="B3870" s="100"/>
      <c r="C3870" s="100"/>
      <c r="D3870" s="100"/>
      <c r="E3870" s="100"/>
      <c r="F3870" s="102"/>
      <c r="G3870" s="114"/>
    </row>
    <row r="3871" spans="2:7" ht="15.75" customHeight="1" x14ac:dyDescent="0.25">
      <c r="B3871" s="100"/>
      <c r="C3871" s="100"/>
      <c r="D3871" s="100"/>
      <c r="E3871" s="100"/>
      <c r="F3871" s="102"/>
      <c r="G3871" s="114"/>
    </row>
    <row r="3872" spans="2:7" ht="15.75" customHeight="1" x14ac:dyDescent="0.25">
      <c r="B3872" s="100"/>
      <c r="C3872" s="100"/>
      <c r="D3872" s="100"/>
      <c r="E3872" s="100"/>
      <c r="F3872" s="102"/>
      <c r="G3872" s="114"/>
    </row>
    <row r="3873" spans="2:7" ht="15.75" customHeight="1" x14ac:dyDescent="0.25">
      <c r="B3873" s="100"/>
      <c r="C3873" s="100"/>
      <c r="D3873" s="100"/>
      <c r="E3873" s="100"/>
      <c r="F3873" s="102"/>
      <c r="G3873" s="114"/>
    </row>
    <row r="3874" spans="2:7" ht="15.75" customHeight="1" x14ac:dyDescent="0.25">
      <c r="B3874" s="100"/>
      <c r="C3874" s="100"/>
      <c r="D3874" s="100"/>
      <c r="E3874" s="100"/>
      <c r="F3874" s="102"/>
      <c r="G3874" s="114"/>
    </row>
    <row r="3875" spans="2:7" ht="15.75" customHeight="1" x14ac:dyDescent="0.25">
      <c r="B3875" s="100"/>
      <c r="C3875" s="100"/>
      <c r="D3875" s="100"/>
      <c r="E3875" s="100"/>
      <c r="F3875" s="102"/>
      <c r="G3875" s="114"/>
    </row>
    <row r="3876" spans="2:7" ht="15.75" customHeight="1" x14ac:dyDescent="0.25">
      <c r="B3876" s="100"/>
      <c r="C3876" s="100"/>
      <c r="D3876" s="100"/>
      <c r="E3876" s="100"/>
      <c r="F3876" s="102"/>
      <c r="G3876" s="114"/>
    </row>
    <row r="3877" spans="2:7" ht="15.75" customHeight="1" x14ac:dyDescent="0.25">
      <c r="B3877" s="100"/>
      <c r="C3877" s="100"/>
      <c r="D3877" s="100"/>
      <c r="E3877" s="100"/>
      <c r="F3877" s="102"/>
      <c r="G3877" s="114"/>
    </row>
    <row r="3878" spans="2:7" ht="15.75" customHeight="1" x14ac:dyDescent="0.25">
      <c r="B3878" s="100"/>
      <c r="C3878" s="100"/>
      <c r="D3878" s="100"/>
      <c r="E3878" s="100"/>
      <c r="F3878" s="102"/>
      <c r="G3878" s="114"/>
    </row>
    <row r="3879" spans="2:7" ht="15.75" customHeight="1" x14ac:dyDescent="0.25">
      <c r="B3879" s="100"/>
      <c r="C3879" s="100"/>
      <c r="D3879" s="100"/>
      <c r="E3879" s="100"/>
      <c r="F3879" s="102"/>
      <c r="G3879" s="114"/>
    </row>
    <row r="3880" spans="2:7" ht="15.75" customHeight="1" x14ac:dyDescent="0.25">
      <c r="B3880" s="100"/>
      <c r="C3880" s="100"/>
      <c r="D3880" s="100"/>
      <c r="E3880" s="100"/>
      <c r="F3880" s="102"/>
      <c r="G3880" s="114"/>
    </row>
    <row r="3881" spans="2:7" ht="15.75" customHeight="1" x14ac:dyDescent="0.25">
      <c r="B3881" s="100"/>
      <c r="C3881" s="100"/>
      <c r="D3881" s="100"/>
      <c r="E3881" s="100"/>
      <c r="F3881" s="102"/>
      <c r="G3881" s="114"/>
    </row>
    <row r="3882" spans="2:7" ht="15.75" customHeight="1" x14ac:dyDescent="0.25">
      <c r="B3882" s="100"/>
      <c r="C3882" s="100"/>
      <c r="D3882" s="100"/>
      <c r="E3882" s="100"/>
      <c r="F3882" s="102"/>
      <c r="G3882" s="114"/>
    </row>
    <row r="3883" spans="2:7" ht="15.75" customHeight="1" x14ac:dyDescent="0.25">
      <c r="B3883" s="100"/>
      <c r="C3883" s="100"/>
      <c r="D3883" s="100"/>
      <c r="E3883" s="100"/>
      <c r="F3883" s="102"/>
      <c r="G3883" s="114"/>
    </row>
    <row r="3884" spans="2:7" ht="15.75" customHeight="1" x14ac:dyDescent="0.25">
      <c r="B3884" s="100"/>
      <c r="C3884" s="100"/>
      <c r="D3884" s="100"/>
      <c r="E3884" s="100"/>
      <c r="F3884" s="102"/>
      <c r="G3884" s="114"/>
    </row>
    <row r="3885" spans="2:7" ht="15.75" customHeight="1" x14ac:dyDescent="0.25">
      <c r="B3885" s="100"/>
      <c r="C3885" s="100"/>
      <c r="D3885" s="100"/>
      <c r="E3885" s="100"/>
      <c r="F3885" s="102"/>
      <c r="G3885" s="114"/>
    </row>
    <row r="3886" spans="2:7" ht="15.75" customHeight="1" x14ac:dyDescent="0.25">
      <c r="B3886" s="100"/>
      <c r="C3886" s="100"/>
      <c r="D3886" s="100"/>
      <c r="E3886" s="100"/>
      <c r="F3886" s="102"/>
      <c r="G3886" s="114"/>
    </row>
    <row r="3887" spans="2:7" ht="15.75" customHeight="1" x14ac:dyDescent="0.25">
      <c r="B3887" s="100"/>
      <c r="C3887" s="100"/>
      <c r="D3887" s="100"/>
      <c r="E3887" s="100"/>
      <c r="F3887" s="102"/>
      <c r="G3887" s="114"/>
    </row>
    <row r="3888" spans="2:7" ht="15.75" customHeight="1" x14ac:dyDescent="0.25">
      <c r="B3888" s="100"/>
      <c r="C3888" s="100"/>
      <c r="D3888" s="100"/>
      <c r="E3888" s="100"/>
      <c r="F3888" s="102"/>
      <c r="G3888" s="114"/>
    </row>
    <row r="3889" spans="2:7" ht="15.75" customHeight="1" x14ac:dyDescent="0.25">
      <c r="B3889" s="100"/>
      <c r="C3889" s="100"/>
      <c r="D3889" s="100"/>
      <c r="E3889" s="100"/>
      <c r="F3889" s="102"/>
      <c r="G3889" s="114"/>
    </row>
    <row r="3890" spans="2:7" ht="15.75" customHeight="1" x14ac:dyDescent="0.25">
      <c r="B3890" s="100"/>
      <c r="C3890" s="100"/>
      <c r="D3890" s="100"/>
      <c r="E3890" s="100"/>
      <c r="F3890" s="102"/>
      <c r="G3890" s="114"/>
    </row>
    <row r="3891" spans="2:7" ht="15.75" customHeight="1" x14ac:dyDescent="0.25">
      <c r="B3891" s="100"/>
      <c r="C3891" s="100"/>
      <c r="D3891" s="100"/>
      <c r="E3891" s="100"/>
      <c r="F3891" s="102"/>
      <c r="G3891" s="114"/>
    </row>
    <row r="3892" spans="2:7" ht="15.75" customHeight="1" x14ac:dyDescent="0.25">
      <c r="B3892" s="100"/>
      <c r="C3892" s="100"/>
      <c r="D3892" s="100"/>
      <c r="E3892" s="100"/>
      <c r="F3892" s="102"/>
      <c r="G3892" s="114"/>
    </row>
    <row r="3893" spans="2:7" ht="15.75" customHeight="1" x14ac:dyDescent="0.25">
      <c r="B3893" s="100"/>
      <c r="C3893" s="100"/>
      <c r="D3893" s="100"/>
      <c r="E3893" s="100"/>
      <c r="F3893" s="102"/>
      <c r="G3893" s="114"/>
    </row>
    <row r="3894" spans="2:7" ht="15.75" customHeight="1" x14ac:dyDescent="0.25">
      <c r="B3894" s="100"/>
      <c r="C3894" s="100"/>
      <c r="D3894" s="100"/>
      <c r="E3894" s="100"/>
      <c r="F3894" s="102"/>
      <c r="G3894" s="114"/>
    </row>
    <row r="3895" spans="2:7" ht="15.75" customHeight="1" x14ac:dyDescent="0.25">
      <c r="B3895" s="100"/>
      <c r="C3895" s="100"/>
      <c r="D3895" s="100"/>
      <c r="E3895" s="100"/>
      <c r="F3895" s="102"/>
      <c r="G3895" s="114"/>
    </row>
    <row r="3896" spans="2:7" ht="15.75" customHeight="1" x14ac:dyDescent="0.25">
      <c r="B3896" s="100"/>
      <c r="C3896" s="100"/>
      <c r="D3896" s="100"/>
      <c r="E3896" s="100"/>
      <c r="F3896" s="102"/>
      <c r="G3896" s="114"/>
    </row>
    <row r="3897" spans="2:7" ht="15.75" customHeight="1" x14ac:dyDescent="0.25">
      <c r="B3897" s="100"/>
      <c r="C3897" s="100"/>
      <c r="D3897" s="100"/>
      <c r="E3897" s="100"/>
      <c r="F3897" s="102"/>
      <c r="G3897" s="114"/>
    </row>
    <row r="3898" spans="2:7" ht="15.75" customHeight="1" x14ac:dyDescent="0.25">
      <c r="B3898" s="100"/>
      <c r="C3898" s="100"/>
      <c r="D3898" s="100"/>
      <c r="E3898" s="100"/>
      <c r="F3898" s="102"/>
      <c r="G3898" s="114"/>
    </row>
    <row r="3899" spans="2:7" ht="15.75" customHeight="1" x14ac:dyDescent="0.25">
      <c r="B3899" s="100"/>
      <c r="C3899" s="100"/>
      <c r="D3899" s="100"/>
      <c r="E3899" s="100"/>
      <c r="F3899" s="102"/>
      <c r="G3899" s="114"/>
    </row>
    <row r="3900" spans="2:7" ht="15.75" customHeight="1" x14ac:dyDescent="0.25">
      <c r="B3900" s="100"/>
      <c r="C3900" s="100"/>
      <c r="D3900" s="100"/>
      <c r="E3900" s="100"/>
      <c r="F3900" s="102"/>
      <c r="G3900" s="114"/>
    </row>
    <row r="3901" spans="2:7" ht="15.75" customHeight="1" x14ac:dyDescent="0.25">
      <c r="B3901" s="100"/>
      <c r="C3901" s="100"/>
      <c r="D3901" s="100"/>
      <c r="E3901" s="100"/>
      <c r="F3901" s="102"/>
      <c r="G3901" s="114"/>
    </row>
    <row r="3902" spans="2:7" ht="15.75" customHeight="1" x14ac:dyDescent="0.25">
      <c r="B3902" s="100"/>
      <c r="C3902" s="100"/>
      <c r="D3902" s="100"/>
      <c r="E3902" s="100"/>
      <c r="F3902" s="102"/>
      <c r="G3902" s="114"/>
    </row>
    <row r="3903" spans="2:7" ht="15.75" customHeight="1" x14ac:dyDescent="0.25">
      <c r="B3903" s="100"/>
      <c r="C3903" s="100"/>
      <c r="D3903" s="100"/>
      <c r="E3903" s="100"/>
      <c r="F3903" s="102"/>
      <c r="G3903" s="114"/>
    </row>
    <row r="3904" spans="2:7" ht="15.75" customHeight="1" x14ac:dyDescent="0.25">
      <c r="B3904" s="100"/>
      <c r="C3904" s="100"/>
      <c r="D3904" s="100"/>
      <c r="E3904" s="100"/>
      <c r="F3904" s="102"/>
      <c r="G3904" s="114"/>
    </row>
    <row r="3905" spans="2:7" ht="15.75" customHeight="1" x14ac:dyDescent="0.25">
      <c r="B3905" s="100"/>
      <c r="C3905" s="100"/>
      <c r="D3905" s="100"/>
      <c r="E3905" s="100"/>
      <c r="F3905" s="102"/>
      <c r="G3905" s="114"/>
    </row>
    <row r="3906" spans="2:7" ht="15.75" customHeight="1" x14ac:dyDescent="0.25">
      <c r="B3906" s="100"/>
      <c r="C3906" s="100"/>
      <c r="D3906" s="100"/>
      <c r="E3906" s="100"/>
      <c r="F3906" s="102"/>
      <c r="G3906" s="114"/>
    </row>
    <row r="3907" spans="2:7" ht="15.75" customHeight="1" x14ac:dyDescent="0.25">
      <c r="B3907" s="100"/>
      <c r="C3907" s="100"/>
      <c r="D3907" s="100"/>
      <c r="E3907" s="100"/>
      <c r="F3907" s="102"/>
      <c r="G3907" s="114"/>
    </row>
    <row r="3908" spans="2:7" ht="15.75" customHeight="1" x14ac:dyDescent="0.25">
      <c r="B3908" s="100"/>
      <c r="C3908" s="100"/>
      <c r="D3908" s="100"/>
      <c r="E3908" s="100"/>
      <c r="F3908" s="102"/>
      <c r="G3908" s="114"/>
    </row>
    <row r="3909" spans="2:7" ht="15.75" customHeight="1" x14ac:dyDescent="0.25">
      <c r="B3909" s="100"/>
      <c r="C3909" s="100"/>
      <c r="D3909" s="100"/>
      <c r="E3909" s="100"/>
      <c r="F3909" s="102"/>
      <c r="G3909" s="114"/>
    </row>
    <row r="3910" spans="2:7" ht="15.75" customHeight="1" x14ac:dyDescent="0.25">
      <c r="B3910" s="100"/>
      <c r="C3910" s="100"/>
      <c r="D3910" s="100"/>
      <c r="E3910" s="100"/>
      <c r="F3910" s="102"/>
      <c r="G3910" s="114"/>
    </row>
    <row r="3911" spans="2:7" ht="15.75" customHeight="1" x14ac:dyDescent="0.25">
      <c r="B3911" s="100"/>
      <c r="C3911" s="100"/>
      <c r="D3911" s="100"/>
      <c r="E3911" s="100"/>
      <c r="F3911" s="102"/>
      <c r="G3911" s="114"/>
    </row>
    <row r="3912" spans="2:7" ht="15.75" customHeight="1" x14ac:dyDescent="0.25">
      <c r="B3912" s="100"/>
      <c r="C3912" s="100"/>
      <c r="D3912" s="100"/>
      <c r="E3912" s="100"/>
      <c r="F3912" s="102"/>
      <c r="G3912" s="114"/>
    </row>
    <row r="3913" spans="2:7" ht="15.75" customHeight="1" x14ac:dyDescent="0.25">
      <c r="B3913" s="100"/>
      <c r="C3913" s="100"/>
      <c r="D3913" s="100"/>
      <c r="E3913" s="100"/>
      <c r="F3913" s="102"/>
      <c r="G3913" s="114"/>
    </row>
    <row r="3914" spans="2:7" ht="15.75" customHeight="1" x14ac:dyDescent="0.25">
      <c r="B3914" s="100"/>
      <c r="C3914" s="100"/>
      <c r="D3914" s="100"/>
      <c r="E3914" s="100"/>
      <c r="F3914" s="102"/>
      <c r="G3914" s="114"/>
    </row>
    <row r="3915" spans="2:7" ht="15.75" customHeight="1" x14ac:dyDescent="0.25">
      <c r="B3915" s="100"/>
      <c r="C3915" s="100"/>
      <c r="D3915" s="100"/>
      <c r="E3915" s="100"/>
      <c r="F3915" s="102"/>
      <c r="G3915" s="114"/>
    </row>
    <row r="3916" spans="2:7" ht="15.75" customHeight="1" x14ac:dyDescent="0.25">
      <c r="B3916" s="100"/>
      <c r="C3916" s="100"/>
      <c r="D3916" s="100"/>
      <c r="E3916" s="100"/>
      <c r="F3916" s="102"/>
      <c r="G3916" s="114"/>
    </row>
    <row r="3917" spans="2:7" ht="15.75" customHeight="1" x14ac:dyDescent="0.25">
      <c r="B3917" s="100"/>
      <c r="C3917" s="100"/>
      <c r="D3917" s="100"/>
      <c r="E3917" s="100"/>
      <c r="F3917" s="102"/>
      <c r="G3917" s="114"/>
    </row>
    <row r="3918" spans="2:7" ht="15.75" customHeight="1" x14ac:dyDescent="0.25">
      <c r="B3918" s="100"/>
      <c r="C3918" s="100"/>
      <c r="D3918" s="100"/>
      <c r="E3918" s="100"/>
      <c r="F3918" s="102"/>
      <c r="G3918" s="114"/>
    </row>
    <row r="3919" spans="2:7" ht="15.75" customHeight="1" x14ac:dyDescent="0.25">
      <c r="B3919" s="100"/>
      <c r="C3919" s="100"/>
      <c r="D3919" s="100"/>
      <c r="E3919" s="100"/>
      <c r="F3919" s="102"/>
      <c r="G3919" s="114"/>
    </row>
    <row r="3920" spans="2:7" ht="15.75" customHeight="1" x14ac:dyDescent="0.25">
      <c r="B3920" s="100"/>
      <c r="C3920" s="100"/>
      <c r="D3920" s="100"/>
      <c r="E3920" s="100"/>
      <c r="F3920" s="102"/>
      <c r="G3920" s="114"/>
    </row>
    <row r="3921" spans="2:7" ht="15.75" customHeight="1" x14ac:dyDescent="0.25">
      <c r="B3921" s="100"/>
      <c r="C3921" s="100"/>
      <c r="D3921" s="100"/>
      <c r="E3921" s="100"/>
      <c r="F3921" s="102"/>
      <c r="G3921" s="114"/>
    </row>
    <row r="3922" spans="2:7" ht="15.75" customHeight="1" x14ac:dyDescent="0.25">
      <c r="B3922" s="100"/>
      <c r="C3922" s="100"/>
      <c r="D3922" s="100"/>
      <c r="E3922" s="100"/>
      <c r="F3922" s="102"/>
      <c r="G3922" s="114"/>
    </row>
    <row r="3923" spans="2:7" ht="15.75" customHeight="1" x14ac:dyDescent="0.25">
      <c r="B3923" s="100"/>
      <c r="C3923" s="100"/>
      <c r="D3923" s="100"/>
      <c r="E3923" s="100"/>
      <c r="F3923" s="102"/>
      <c r="G3923" s="114"/>
    </row>
    <row r="3924" spans="2:7" ht="15.75" customHeight="1" x14ac:dyDescent="0.25">
      <c r="B3924" s="100"/>
      <c r="C3924" s="100"/>
      <c r="D3924" s="100"/>
      <c r="E3924" s="100"/>
      <c r="F3924" s="102"/>
      <c r="G3924" s="114"/>
    </row>
    <row r="3925" spans="2:7" ht="15.75" customHeight="1" x14ac:dyDescent="0.25">
      <c r="B3925" s="100"/>
      <c r="C3925" s="100"/>
      <c r="D3925" s="100"/>
      <c r="E3925" s="100"/>
      <c r="F3925" s="102"/>
      <c r="G3925" s="114"/>
    </row>
    <row r="3926" spans="2:7" ht="15.75" customHeight="1" x14ac:dyDescent="0.25">
      <c r="B3926" s="100"/>
      <c r="C3926" s="100"/>
      <c r="D3926" s="100"/>
      <c r="E3926" s="100"/>
      <c r="F3926" s="102"/>
      <c r="G3926" s="114"/>
    </row>
    <row r="3927" spans="2:7" ht="15.75" customHeight="1" x14ac:dyDescent="0.25">
      <c r="B3927" s="100"/>
      <c r="C3927" s="100"/>
      <c r="D3927" s="100"/>
      <c r="E3927" s="100"/>
      <c r="F3927" s="102"/>
      <c r="G3927" s="114"/>
    </row>
    <row r="3928" spans="2:7" ht="15.75" customHeight="1" x14ac:dyDescent="0.25">
      <c r="B3928" s="100"/>
      <c r="C3928" s="100"/>
      <c r="D3928" s="100"/>
      <c r="E3928" s="100"/>
      <c r="F3928" s="102"/>
      <c r="G3928" s="114"/>
    </row>
    <row r="3929" spans="2:7" ht="15.75" customHeight="1" x14ac:dyDescent="0.25">
      <c r="B3929" s="100"/>
      <c r="C3929" s="100"/>
      <c r="D3929" s="100"/>
      <c r="E3929" s="100"/>
      <c r="F3929" s="102"/>
      <c r="G3929" s="114"/>
    </row>
    <row r="3930" spans="2:7" ht="15.75" customHeight="1" x14ac:dyDescent="0.25">
      <c r="B3930" s="100"/>
      <c r="C3930" s="100"/>
      <c r="D3930" s="100"/>
      <c r="E3930" s="100"/>
      <c r="F3930" s="102"/>
      <c r="G3930" s="114"/>
    </row>
    <row r="3931" spans="2:7" ht="15.75" customHeight="1" x14ac:dyDescent="0.25">
      <c r="B3931" s="100"/>
      <c r="C3931" s="100"/>
      <c r="D3931" s="100"/>
      <c r="E3931" s="100"/>
      <c r="F3931" s="102"/>
      <c r="G3931" s="114"/>
    </row>
    <row r="3932" spans="2:7" ht="15.75" customHeight="1" x14ac:dyDescent="0.25">
      <c r="B3932" s="100"/>
      <c r="C3932" s="100"/>
      <c r="D3932" s="100"/>
      <c r="E3932" s="100"/>
      <c r="F3932" s="102"/>
      <c r="G3932" s="114"/>
    </row>
    <row r="3933" spans="2:7" ht="15.75" customHeight="1" x14ac:dyDescent="0.25">
      <c r="B3933" s="100"/>
      <c r="C3933" s="100"/>
      <c r="D3933" s="100"/>
      <c r="E3933" s="100"/>
      <c r="F3933" s="102"/>
      <c r="G3933" s="114"/>
    </row>
    <row r="3934" spans="2:7" ht="15.75" customHeight="1" x14ac:dyDescent="0.25">
      <c r="B3934" s="100"/>
      <c r="C3934" s="100"/>
      <c r="D3934" s="100"/>
      <c r="E3934" s="100"/>
      <c r="F3934" s="102"/>
      <c r="G3934" s="114"/>
    </row>
    <row r="3935" spans="2:7" ht="15.75" customHeight="1" x14ac:dyDescent="0.25">
      <c r="B3935" s="100"/>
      <c r="C3935" s="100"/>
      <c r="D3935" s="100"/>
      <c r="E3935" s="100"/>
      <c r="F3935" s="102"/>
      <c r="G3935" s="114"/>
    </row>
    <row r="3936" spans="2:7" ht="15.75" customHeight="1" x14ac:dyDescent="0.25">
      <c r="B3936" s="100"/>
      <c r="C3936" s="100"/>
      <c r="D3936" s="100"/>
      <c r="E3936" s="100"/>
      <c r="F3936" s="102"/>
      <c r="G3936" s="114"/>
    </row>
    <row r="3937" spans="2:7" ht="15.75" customHeight="1" x14ac:dyDescent="0.25">
      <c r="B3937" s="100"/>
      <c r="C3937" s="100"/>
      <c r="D3937" s="100"/>
      <c r="E3937" s="100"/>
      <c r="F3937" s="102"/>
      <c r="G3937" s="114"/>
    </row>
    <row r="3938" spans="2:7" ht="15.75" customHeight="1" x14ac:dyDescent="0.25">
      <c r="B3938" s="100"/>
      <c r="C3938" s="100"/>
      <c r="D3938" s="100"/>
      <c r="E3938" s="100"/>
      <c r="F3938" s="102"/>
      <c r="G3938" s="114"/>
    </row>
    <row r="3939" spans="2:7" ht="15.75" customHeight="1" x14ac:dyDescent="0.25">
      <c r="B3939" s="100"/>
      <c r="C3939" s="100"/>
      <c r="D3939" s="100"/>
      <c r="E3939" s="100"/>
      <c r="F3939" s="102"/>
      <c r="G3939" s="114"/>
    </row>
    <row r="3940" spans="2:7" ht="15.75" customHeight="1" x14ac:dyDescent="0.25">
      <c r="B3940" s="100"/>
      <c r="C3940" s="100"/>
      <c r="D3940" s="100"/>
      <c r="E3940" s="100"/>
      <c r="F3940" s="102"/>
      <c r="G3940" s="114"/>
    </row>
    <row r="3941" spans="2:7" ht="15.75" customHeight="1" x14ac:dyDescent="0.25">
      <c r="B3941" s="100"/>
      <c r="C3941" s="100"/>
      <c r="D3941" s="100"/>
      <c r="E3941" s="100"/>
      <c r="F3941" s="102"/>
      <c r="G3941" s="114"/>
    </row>
    <row r="3942" spans="2:7" ht="15.75" customHeight="1" x14ac:dyDescent="0.25">
      <c r="B3942" s="100"/>
      <c r="C3942" s="100"/>
      <c r="D3942" s="100"/>
      <c r="E3942" s="100"/>
      <c r="F3942" s="102"/>
      <c r="G3942" s="114"/>
    </row>
    <row r="3943" spans="2:7" ht="15.75" customHeight="1" x14ac:dyDescent="0.25">
      <c r="B3943" s="100"/>
      <c r="C3943" s="100"/>
      <c r="D3943" s="100"/>
      <c r="E3943" s="100"/>
      <c r="F3943" s="102"/>
      <c r="G3943" s="114"/>
    </row>
    <row r="3944" spans="2:7" ht="15.75" customHeight="1" x14ac:dyDescent="0.25">
      <c r="B3944" s="100"/>
      <c r="C3944" s="100"/>
      <c r="D3944" s="100"/>
      <c r="E3944" s="100"/>
      <c r="F3944" s="102"/>
      <c r="G3944" s="114"/>
    </row>
    <row r="3945" spans="2:7" ht="15.75" customHeight="1" x14ac:dyDescent="0.25">
      <c r="B3945" s="100"/>
      <c r="C3945" s="100"/>
      <c r="D3945" s="100"/>
      <c r="E3945" s="100"/>
      <c r="F3945" s="102"/>
      <c r="G3945" s="114"/>
    </row>
    <row r="3946" spans="2:7" ht="15.75" customHeight="1" x14ac:dyDescent="0.25">
      <c r="B3946" s="100"/>
      <c r="C3946" s="100"/>
      <c r="D3946" s="100"/>
      <c r="E3946" s="100"/>
      <c r="F3946" s="102"/>
      <c r="G3946" s="114"/>
    </row>
    <row r="3947" spans="2:7" ht="15.75" customHeight="1" x14ac:dyDescent="0.25">
      <c r="B3947" s="100"/>
      <c r="C3947" s="100"/>
      <c r="D3947" s="100"/>
      <c r="E3947" s="100"/>
      <c r="F3947" s="102"/>
      <c r="G3947" s="114"/>
    </row>
    <row r="3948" spans="2:7" ht="15.75" customHeight="1" x14ac:dyDescent="0.25">
      <c r="B3948" s="100"/>
      <c r="C3948" s="100"/>
      <c r="D3948" s="100"/>
      <c r="E3948" s="100"/>
      <c r="F3948" s="102"/>
      <c r="G3948" s="114"/>
    </row>
    <row r="3949" spans="2:7" ht="15.75" customHeight="1" x14ac:dyDescent="0.25">
      <c r="B3949" s="100"/>
      <c r="C3949" s="100"/>
      <c r="D3949" s="100"/>
      <c r="E3949" s="100"/>
      <c r="F3949" s="102"/>
      <c r="G3949" s="114"/>
    </row>
    <row r="3950" spans="2:7" ht="15.75" customHeight="1" x14ac:dyDescent="0.25">
      <c r="B3950" s="100"/>
      <c r="C3950" s="100"/>
      <c r="D3950" s="100"/>
      <c r="E3950" s="100"/>
      <c r="F3950" s="102"/>
      <c r="G3950" s="114"/>
    </row>
    <row r="3951" spans="2:7" ht="15.75" customHeight="1" x14ac:dyDescent="0.25">
      <c r="B3951" s="100"/>
      <c r="C3951" s="100"/>
      <c r="D3951" s="100"/>
      <c r="E3951" s="100"/>
      <c r="F3951" s="102"/>
      <c r="G3951" s="114"/>
    </row>
    <row r="3952" spans="2:7" ht="15.75" customHeight="1" x14ac:dyDescent="0.25">
      <c r="B3952" s="100"/>
      <c r="C3952" s="100"/>
      <c r="D3952" s="100"/>
      <c r="E3952" s="100"/>
      <c r="F3952" s="102"/>
      <c r="G3952" s="114"/>
    </row>
    <row r="3953" spans="2:7" ht="15.75" customHeight="1" x14ac:dyDescent="0.25">
      <c r="B3953" s="100"/>
      <c r="C3953" s="100"/>
      <c r="D3953" s="100"/>
      <c r="E3953" s="100"/>
      <c r="F3953" s="102"/>
      <c r="G3953" s="114"/>
    </row>
    <row r="3954" spans="2:7" ht="15.75" customHeight="1" x14ac:dyDescent="0.25">
      <c r="B3954" s="100"/>
      <c r="C3954" s="100"/>
      <c r="D3954" s="100"/>
      <c r="E3954" s="100"/>
      <c r="F3954" s="102"/>
      <c r="G3954" s="114"/>
    </row>
    <row r="3955" spans="2:7" ht="15.75" customHeight="1" x14ac:dyDescent="0.25">
      <c r="B3955" s="100"/>
      <c r="C3955" s="100"/>
      <c r="D3955" s="100"/>
      <c r="E3955" s="100"/>
      <c r="F3955" s="102"/>
      <c r="G3955" s="114"/>
    </row>
    <row r="3956" spans="2:7" ht="15.75" customHeight="1" x14ac:dyDescent="0.25">
      <c r="B3956" s="100"/>
      <c r="C3956" s="100"/>
      <c r="D3956" s="100"/>
      <c r="E3956" s="100"/>
      <c r="F3956" s="102"/>
      <c r="G3956" s="114"/>
    </row>
    <row r="3957" spans="2:7" ht="15.75" customHeight="1" x14ac:dyDescent="0.25">
      <c r="B3957" s="100"/>
      <c r="C3957" s="100"/>
      <c r="D3957" s="100"/>
      <c r="E3957" s="100"/>
      <c r="F3957" s="102"/>
      <c r="G3957" s="114"/>
    </row>
    <row r="3958" spans="2:7" ht="15.75" customHeight="1" x14ac:dyDescent="0.25">
      <c r="B3958" s="100"/>
      <c r="C3958" s="100"/>
      <c r="D3958" s="100"/>
      <c r="E3958" s="100"/>
      <c r="F3958" s="102"/>
      <c r="G3958" s="114"/>
    </row>
    <row r="3959" spans="2:7" ht="15.75" customHeight="1" x14ac:dyDescent="0.25">
      <c r="B3959" s="100"/>
      <c r="C3959" s="100"/>
      <c r="D3959" s="100"/>
      <c r="E3959" s="100"/>
      <c r="F3959" s="102"/>
      <c r="G3959" s="114"/>
    </row>
    <row r="3960" spans="2:7" ht="15.75" customHeight="1" x14ac:dyDescent="0.25">
      <c r="B3960" s="100"/>
      <c r="C3960" s="100"/>
      <c r="D3960" s="100"/>
      <c r="E3960" s="100"/>
      <c r="F3960" s="102"/>
      <c r="G3960" s="114"/>
    </row>
    <row r="3961" spans="2:7" ht="15.75" customHeight="1" x14ac:dyDescent="0.25">
      <c r="B3961" s="100"/>
      <c r="C3961" s="100"/>
      <c r="D3961" s="100"/>
      <c r="E3961" s="100"/>
      <c r="F3961" s="102"/>
      <c r="G3961" s="114"/>
    </row>
    <row r="3962" spans="2:7" ht="15.75" customHeight="1" x14ac:dyDescent="0.25">
      <c r="B3962" s="100"/>
      <c r="C3962" s="100"/>
      <c r="D3962" s="100"/>
      <c r="E3962" s="100"/>
      <c r="F3962" s="102"/>
      <c r="G3962" s="114"/>
    </row>
    <row r="3963" spans="2:7" ht="15.75" customHeight="1" x14ac:dyDescent="0.25">
      <c r="B3963" s="100"/>
      <c r="C3963" s="100"/>
      <c r="D3963" s="100"/>
      <c r="E3963" s="100"/>
      <c r="F3963" s="102"/>
      <c r="G3963" s="114"/>
    </row>
    <row r="3964" spans="2:7" ht="15.75" customHeight="1" x14ac:dyDescent="0.25">
      <c r="B3964" s="100"/>
      <c r="C3964" s="100"/>
      <c r="D3964" s="100"/>
      <c r="E3964" s="100"/>
      <c r="F3964" s="102"/>
      <c r="G3964" s="114"/>
    </row>
    <row r="3965" spans="2:7" ht="15.75" customHeight="1" x14ac:dyDescent="0.25">
      <c r="B3965" s="100"/>
      <c r="C3965" s="100"/>
      <c r="D3965" s="100"/>
      <c r="E3965" s="100"/>
      <c r="F3965" s="102"/>
      <c r="G3965" s="114"/>
    </row>
    <row r="3966" spans="2:7" ht="15.75" customHeight="1" x14ac:dyDescent="0.25">
      <c r="B3966" s="100"/>
      <c r="C3966" s="100"/>
      <c r="D3966" s="100"/>
      <c r="E3966" s="100"/>
      <c r="F3966" s="102"/>
      <c r="G3966" s="114"/>
    </row>
    <row r="3967" spans="2:7" ht="15.75" customHeight="1" x14ac:dyDescent="0.25">
      <c r="B3967" s="100"/>
      <c r="C3967" s="100"/>
      <c r="D3967" s="100"/>
      <c r="E3967" s="100"/>
      <c r="F3967" s="102"/>
      <c r="G3967" s="114"/>
    </row>
    <row r="3968" spans="2:7" ht="15.75" customHeight="1" x14ac:dyDescent="0.25">
      <c r="B3968" s="100"/>
      <c r="C3968" s="100"/>
      <c r="D3968" s="100"/>
      <c r="E3968" s="100"/>
      <c r="F3968" s="102"/>
      <c r="G3968" s="114"/>
    </row>
    <row r="3969" spans="2:7" ht="15.75" customHeight="1" x14ac:dyDescent="0.25">
      <c r="B3969" s="100"/>
      <c r="C3969" s="100"/>
      <c r="D3969" s="100"/>
      <c r="E3969" s="100"/>
      <c r="F3969" s="102"/>
      <c r="G3969" s="114"/>
    </row>
    <row r="3970" spans="2:7" ht="15.75" customHeight="1" x14ac:dyDescent="0.25">
      <c r="B3970" s="100"/>
      <c r="C3970" s="100"/>
      <c r="D3970" s="100"/>
      <c r="E3970" s="100"/>
      <c r="F3970" s="102"/>
      <c r="G3970" s="114"/>
    </row>
    <row r="3971" spans="2:7" ht="15.75" customHeight="1" x14ac:dyDescent="0.25">
      <c r="B3971" s="100"/>
      <c r="C3971" s="100"/>
      <c r="D3971" s="100"/>
      <c r="E3971" s="100"/>
      <c r="F3971" s="102"/>
      <c r="G3971" s="114"/>
    </row>
    <row r="3972" spans="2:7" ht="15.75" customHeight="1" x14ac:dyDescent="0.25">
      <c r="B3972" s="100"/>
      <c r="C3972" s="100"/>
      <c r="D3972" s="100"/>
      <c r="E3972" s="100"/>
      <c r="F3972" s="102"/>
      <c r="G3972" s="114"/>
    </row>
    <row r="3973" spans="2:7" ht="15.75" customHeight="1" x14ac:dyDescent="0.25">
      <c r="B3973" s="100"/>
      <c r="C3973" s="100"/>
      <c r="D3973" s="100"/>
      <c r="E3973" s="100"/>
      <c r="F3973" s="102"/>
      <c r="G3973" s="114"/>
    </row>
    <row r="3974" spans="2:7" ht="15.75" customHeight="1" x14ac:dyDescent="0.25">
      <c r="B3974" s="100"/>
      <c r="C3974" s="100"/>
      <c r="D3974" s="100"/>
      <c r="E3974" s="100"/>
      <c r="F3974" s="102"/>
      <c r="G3974" s="114"/>
    </row>
    <row r="3975" spans="2:7" ht="15.75" customHeight="1" x14ac:dyDescent="0.25">
      <c r="B3975" s="100"/>
      <c r="C3975" s="100"/>
      <c r="D3975" s="100"/>
      <c r="E3975" s="100"/>
      <c r="F3975" s="102"/>
      <c r="G3975" s="114"/>
    </row>
    <row r="3976" spans="2:7" ht="15.75" customHeight="1" x14ac:dyDescent="0.25">
      <c r="B3976" s="100"/>
      <c r="C3976" s="100"/>
      <c r="D3976" s="100"/>
      <c r="E3976" s="100"/>
      <c r="F3976" s="102"/>
      <c r="G3976" s="114"/>
    </row>
    <row r="3977" spans="2:7" ht="15.75" customHeight="1" x14ac:dyDescent="0.25">
      <c r="B3977" s="100"/>
      <c r="C3977" s="100"/>
      <c r="D3977" s="100"/>
      <c r="E3977" s="100"/>
      <c r="F3977" s="102"/>
      <c r="G3977" s="114"/>
    </row>
    <row r="3978" spans="2:7" ht="15.75" customHeight="1" x14ac:dyDescent="0.25">
      <c r="B3978" s="100"/>
      <c r="C3978" s="100"/>
      <c r="D3978" s="100"/>
      <c r="E3978" s="100"/>
      <c r="F3978" s="102"/>
      <c r="G3978" s="114"/>
    </row>
    <row r="3979" spans="2:7" ht="15.75" customHeight="1" x14ac:dyDescent="0.25">
      <c r="B3979" s="100"/>
      <c r="C3979" s="100"/>
      <c r="D3979" s="100"/>
      <c r="E3979" s="100"/>
      <c r="F3979" s="102"/>
      <c r="G3979" s="114"/>
    </row>
    <row r="3980" spans="2:7" ht="15.75" customHeight="1" x14ac:dyDescent="0.25">
      <c r="B3980" s="100"/>
      <c r="C3980" s="100"/>
      <c r="D3980" s="100"/>
      <c r="E3980" s="100"/>
      <c r="F3980" s="102"/>
      <c r="G3980" s="114"/>
    </row>
    <row r="3981" spans="2:7" ht="15.75" customHeight="1" x14ac:dyDescent="0.25">
      <c r="B3981" s="100"/>
      <c r="C3981" s="100"/>
      <c r="D3981" s="100"/>
      <c r="E3981" s="100"/>
      <c r="F3981" s="102"/>
      <c r="G3981" s="114"/>
    </row>
    <row r="3982" spans="2:7" ht="15.75" customHeight="1" x14ac:dyDescent="0.25">
      <c r="B3982" s="100"/>
      <c r="C3982" s="100"/>
      <c r="D3982" s="100"/>
      <c r="E3982" s="100"/>
      <c r="F3982" s="102"/>
      <c r="G3982" s="114"/>
    </row>
    <row r="3983" spans="2:7" ht="15.75" customHeight="1" x14ac:dyDescent="0.25">
      <c r="B3983" s="100"/>
      <c r="C3983" s="100"/>
      <c r="D3983" s="100"/>
      <c r="E3983" s="100"/>
      <c r="F3983" s="102"/>
      <c r="G3983" s="114"/>
    </row>
    <row r="3984" spans="2:7" ht="15.75" customHeight="1" x14ac:dyDescent="0.25">
      <c r="B3984" s="100"/>
      <c r="C3984" s="100"/>
      <c r="D3984" s="100"/>
      <c r="E3984" s="100"/>
      <c r="F3984" s="102"/>
      <c r="G3984" s="114"/>
    </row>
    <row r="3985" spans="2:7" ht="15.75" customHeight="1" x14ac:dyDescent="0.25">
      <c r="B3985" s="100"/>
      <c r="C3985" s="100"/>
      <c r="D3985" s="100"/>
      <c r="E3985" s="100"/>
      <c r="F3985" s="102"/>
      <c r="G3985" s="114"/>
    </row>
    <row r="3986" spans="2:7" ht="15.75" customHeight="1" x14ac:dyDescent="0.25">
      <c r="B3986" s="100"/>
      <c r="C3986" s="100"/>
      <c r="D3986" s="100"/>
      <c r="E3986" s="100"/>
      <c r="F3986" s="102"/>
      <c r="G3986" s="114"/>
    </row>
    <row r="3987" spans="2:7" ht="15.75" customHeight="1" x14ac:dyDescent="0.25">
      <c r="B3987" s="100"/>
      <c r="C3987" s="100"/>
      <c r="D3987" s="100"/>
      <c r="E3987" s="100"/>
      <c r="F3987" s="102"/>
      <c r="G3987" s="114"/>
    </row>
    <row r="3988" spans="2:7" ht="15.75" customHeight="1" x14ac:dyDescent="0.25">
      <c r="B3988" s="100"/>
      <c r="C3988" s="100"/>
      <c r="D3988" s="100"/>
      <c r="E3988" s="100"/>
      <c r="F3988" s="102"/>
      <c r="G3988" s="114"/>
    </row>
    <row r="3989" spans="2:7" ht="15.75" customHeight="1" x14ac:dyDescent="0.25">
      <c r="B3989" s="100"/>
      <c r="C3989" s="100"/>
      <c r="D3989" s="100"/>
      <c r="E3989" s="100"/>
      <c r="F3989" s="102"/>
      <c r="G3989" s="114"/>
    </row>
    <row r="3990" spans="2:7" ht="15.75" customHeight="1" x14ac:dyDescent="0.25">
      <c r="B3990" s="100"/>
      <c r="C3990" s="100"/>
      <c r="D3990" s="100"/>
      <c r="E3990" s="100"/>
      <c r="F3990" s="102"/>
      <c r="G3990" s="114"/>
    </row>
    <row r="3991" spans="2:7" ht="15.75" customHeight="1" x14ac:dyDescent="0.25">
      <c r="B3991" s="100"/>
      <c r="C3991" s="100"/>
      <c r="D3991" s="100"/>
      <c r="E3991" s="100"/>
      <c r="F3991" s="102"/>
      <c r="G3991" s="114"/>
    </row>
    <row r="3992" spans="2:7" ht="15.75" customHeight="1" x14ac:dyDescent="0.25">
      <c r="B3992" s="100"/>
      <c r="C3992" s="100"/>
      <c r="D3992" s="100"/>
      <c r="E3992" s="100"/>
      <c r="F3992" s="102"/>
      <c r="G3992" s="114"/>
    </row>
    <row r="3993" spans="2:7" ht="15.75" customHeight="1" x14ac:dyDescent="0.25">
      <c r="B3993" s="100"/>
      <c r="C3993" s="100"/>
      <c r="D3993" s="100"/>
      <c r="E3993" s="100"/>
      <c r="F3993" s="102"/>
      <c r="G3993" s="114"/>
    </row>
    <row r="3994" spans="2:7" ht="15.75" customHeight="1" x14ac:dyDescent="0.25">
      <c r="B3994" s="100"/>
      <c r="C3994" s="100"/>
      <c r="D3994" s="100"/>
      <c r="E3994" s="100"/>
      <c r="F3994" s="102"/>
      <c r="G3994" s="114"/>
    </row>
    <row r="3995" spans="2:7" ht="15.75" customHeight="1" x14ac:dyDescent="0.25">
      <c r="B3995" s="100"/>
      <c r="C3995" s="100"/>
      <c r="D3995" s="100"/>
      <c r="E3995" s="100"/>
      <c r="F3995" s="102"/>
      <c r="G3995" s="114"/>
    </row>
    <row r="3996" spans="2:7" ht="15.75" customHeight="1" x14ac:dyDescent="0.25">
      <c r="B3996" s="100"/>
      <c r="C3996" s="100"/>
      <c r="D3996" s="100"/>
      <c r="E3996" s="100"/>
      <c r="F3996" s="102"/>
      <c r="G3996" s="114"/>
    </row>
    <row r="3997" spans="2:7" ht="15.75" customHeight="1" x14ac:dyDescent="0.25">
      <c r="B3997" s="100"/>
      <c r="C3997" s="100"/>
      <c r="D3997" s="100"/>
      <c r="E3997" s="100"/>
      <c r="F3997" s="102"/>
      <c r="G3997" s="114"/>
    </row>
    <row r="3998" spans="2:7" ht="15.75" customHeight="1" x14ac:dyDescent="0.25">
      <c r="B3998" s="100"/>
      <c r="C3998" s="100"/>
      <c r="D3998" s="100"/>
      <c r="E3998" s="100"/>
      <c r="F3998" s="102"/>
      <c r="G3998" s="114"/>
    </row>
    <row r="3999" spans="2:7" ht="15.75" customHeight="1" x14ac:dyDescent="0.25">
      <c r="B3999" s="100"/>
      <c r="C3999" s="100"/>
      <c r="D3999" s="100"/>
      <c r="E3999" s="100"/>
      <c r="F3999" s="102"/>
      <c r="G3999" s="114"/>
    </row>
    <row r="4000" spans="2:7" ht="15.75" customHeight="1" x14ac:dyDescent="0.25">
      <c r="B4000" s="100"/>
      <c r="C4000" s="100"/>
      <c r="D4000" s="100"/>
      <c r="E4000" s="100"/>
      <c r="F4000" s="102"/>
      <c r="G4000" s="114"/>
    </row>
    <row r="4001" spans="2:7" ht="15.75" customHeight="1" x14ac:dyDescent="0.25">
      <c r="B4001" s="100"/>
      <c r="C4001" s="100"/>
      <c r="D4001" s="100"/>
      <c r="E4001" s="100"/>
      <c r="F4001" s="102"/>
      <c r="G4001" s="114"/>
    </row>
    <row r="4002" spans="2:7" ht="15.75" customHeight="1" x14ac:dyDescent="0.25">
      <c r="B4002" s="100"/>
      <c r="C4002" s="100"/>
      <c r="D4002" s="100"/>
      <c r="E4002" s="100"/>
      <c r="F4002" s="102"/>
      <c r="G4002" s="114"/>
    </row>
    <row r="4003" spans="2:7" ht="15.75" customHeight="1" x14ac:dyDescent="0.25">
      <c r="B4003" s="100"/>
      <c r="C4003" s="100"/>
      <c r="D4003" s="100"/>
      <c r="E4003" s="100"/>
      <c r="F4003" s="102"/>
      <c r="G4003" s="114"/>
    </row>
    <row r="4004" spans="2:7" ht="15.75" customHeight="1" x14ac:dyDescent="0.25">
      <c r="B4004" s="100"/>
      <c r="C4004" s="100"/>
      <c r="D4004" s="100"/>
      <c r="E4004" s="100"/>
      <c r="F4004" s="102"/>
      <c r="G4004" s="114"/>
    </row>
    <row r="4005" spans="2:7" ht="15.75" customHeight="1" x14ac:dyDescent="0.25">
      <c r="B4005" s="100"/>
      <c r="C4005" s="100"/>
      <c r="D4005" s="100"/>
      <c r="E4005" s="100"/>
      <c r="F4005" s="102"/>
      <c r="G4005" s="114"/>
    </row>
    <row r="4006" spans="2:7" ht="15.75" customHeight="1" x14ac:dyDescent="0.25">
      <c r="B4006" s="100"/>
      <c r="C4006" s="100"/>
      <c r="D4006" s="100"/>
      <c r="E4006" s="100"/>
      <c r="F4006" s="102"/>
      <c r="G4006" s="114"/>
    </row>
    <row r="4007" spans="2:7" ht="15.75" customHeight="1" x14ac:dyDescent="0.25">
      <c r="B4007" s="100"/>
      <c r="C4007" s="100"/>
      <c r="D4007" s="100"/>
      <c r="E4007" s="100"/>
      <c r="F4007" s="102"/>
      <c r="G4007" s="114"/>
    </row>
    <row r="4008" spans="2:7" ht="15.75" customHeight="1" x14ac:dyDescent="0.25">
      <c r="B4008" s="100"/>
      <c r="C4008" s="100"/>
      <c r="D4008" s="100"/>
      <c r="E4008" s="100"/>
      <c r="F4008" s="102"/>
      <c r="G4008" s="114"/>
    </row>
    <row r="4009" spans="2:7" ht="15.75" customHeight="1" x14ac:dyDescent="0.25">
      <c r="B4009" s="100"/>
      <c r="C4009" s="100"/>
      <c r="D4009" s="100"/>
      <c r="E4009" s="100"/>
      <c r="F4009" s="102"/>
      <c r="G4009" s="114"/>
    </row>
    <row r="4010" spans="2:7" ht="15.75" customHeight="1" x14ac:dyDescent="0.25">
      <c r="B4010" s="100"/>
      <c r="C4010" s="100"/>
      <c r="D4010" s="100"/>
      <c r="E4010" s="100"/>
      <c r="F4010" s="102"/>
      <c r="G4010" s="114"/>
    </row>
    <row r="4011" spans="2:7" ht="15.75" customHeight="1" x14ac:dyDescent="0.25">
      <c r="B4011" s="100"/>
      <c r="C4011" s="100"/>
      <c r="D4011" s="100"/>
      <c r="E4011" s="100"/>
      <c r="F4011" s="102"/>
      <c r="G4011" s="114"/>
    </row>
    <row r="4012" spans="2:7" ht="15.75" customHeight="1" x14ac:dyDescent="0.25">
      <c r="B4012" s="100"/>
      <c r="C4012" s="100"/>
      <c r="D4012" s="100"/>
      <c r="E4012" s="100"/>
      <c r="F4012" s="102"/>
      <c r="G4012" s="114"/>
    </row>
    <row r="4013" spans="2:7" ht="15.75" customHeight="1" x14ac:dyDescent="0.25">
      <c r="B4013" s="100"/>
      <c r="C4013" s="100"/>
      <c r="D4013" s="100"/>
      <c r="E4013" s="100"/>
      <c r="F4013" s="102"/>
      <c r="G4013" s="114"/>
    </row>
    <row r="4014" spans="2:7" ht="15.75" customHeight="1" x14ac:dyDescent="0.25">
      <c r="B4014" s="100"/>
      <c r="C4014" s="100"/>
      <c r="D4014" s="100"/>
      <c r="E4014" s="100"/>
      <c r="F4014" s="102"/>
      <c r="G4014" s="114"/>
    </row>
    <row r="4015" spans="2:7" ht="15.75" customHeight="1" x14ac:dyDescent="0.25">
      <c r="B4015" s="100"/>
      <c r="C4015" s="100"/>
      <c r="D4015" s="100"/>
      <c r="E4015" s="100"/>
      <c r="F4015" s="102"/>
      <c r="G4015" s="114"/>
    </row>
    <row r="4016" spans="2:7" ht="15.75" customHeight="1" x14ac:dyDescent="0.25">
      <c r="B4016" s="100"/>
      <c r="C4016" s="100"/>
      <c r="D4016" s="100"/>
      <c r="E4016" s="100"/>
      <c r="F4016" s="102"/>
      <c r="G4016" s="114"/>
    </row>
    <row r="4017" spans="2:7" ht="15.75" customHeight="1" x14ac:dyDescent="0.25">
      <c r="B4017" s="100"/>
      <c r="C4017" s="100"/>
      <c r="D4017" s="100"/>
      <c r="E4017" s="100"/>
      <c r="F4017" s="102"/>
      <c r="G4017" s="114"/>
    </row>
    <row r="4018" spans="2:7" ht="15.75" customHeight="1" x14ac:dyDescent="0.25">
      <c r="B4018" s="100"/>
      <c r="C4018" s="100"/>
      <c r="D4018" s="100"/>
      <c r="E4018" s="100"/>
      <c r="F4018" s="102"/>
      <c r="G4018" s="114"/>
    </row>
    <row r="4019" spans="2:7" ht="15.75" customHeight="1" x14ac:dyDescent="0.25">
      <c r="B4019" s="100"/>
      <c r="C4019" s="100"/>
      <c r="D4019" s="100"/>
      <c r="E4019" s="100"/>
      <c r="F4019" s="102"/>
      <c r="G4019" s="114"/>
    </row>
    <row r="4020" spans="2:7" ht="15.75" customHeight="1" x14ac:dyDescent="0.25">
      <c r="B4020" s="100"/>
      <c r="C4020" s="100"/>
      <c r="D4020" s="100"/>
      <c r="E4020" s="100"/>
      <c r="F4020" s="102"/>
      <c r="G4020" s="114"/>
    </row>
    <row r="4021" spans="2:7" ht="15.75" customHeight="1" x14ac:dyDescent="0.25">
      <c r="B4021" s="100"/>
      <c r="C4021" s="100"/>
      <c r="D4021" s="100"/>
      <c r="E4021" s="100"/>
      <c r="F4021" s="102"/>
      <c r="G4021" s="114"/>
    </row>
    <row r="4022" spans="2:7" ht="15.75" customHeight="1" x14ac:dyDescent="0.25">
      <c r="B4022" s="100"/>
      <c r="C4022" s="100"/>
      <c r="D4022" s="100"/>
      <c r="E4022" s="100"/>
      <c r="F4022" s="102"/>
      <c r="G4022" s="114"/>
    </row>
    <row r="4023" spans="2:7" ht="15.75" customHeight="1" x14ac:dyDescent="0.25">
      <c r="B4023" s="100"/>
      <c r="C4023" s="100"/>
      <c r="D4023" s="100"/>
      <c r="E4023" s="100"/>
      <c r="F4023" s="102"/>
      <c r="G4023" s="114"/>
    </row>
    <row r="4024" spans="2:7" ht="15.75" customHeight="1" x14ac:dyDescent="0.25">
      <c r="B4024" s="100"/>
      <c r="C4024" s="100"/>
      <c r="D4024" s="100"/>
      <c r="E4024" s="100"/>
      <c r="F4024" s="102"/>
      <c r="G4024" s="114"/>
    </row>
    <row r="4025" spans="2:7" ht="15.75" customHeight="1" x14ac:dyDescent="0.25">
      <c r="B4025" s="100"/>
      <c r="C4025" s="100"/>
      <c r="D4025" s="100"/>
      <c r="E4025" s="100"/>
      <c r="F4025" s="102"/>
      <c r="G4025" s="114"/>
    </row>
    <row r="4026" spans="2:7" ht="15.75" customHeight="1" x14ac:dyDescent="0.25">
      <c r="B4026" s="100"/>
      <c r="C4026" s="100"/>
      <c r="D4026" s="100"/>
      <c r="E4026" s="100"/>
      <c r="F4026" s="102"/>
      <c r="G4026" s="114"/>
    </row>
    <row r="4027" spans="2:7" ht="15.75" customHeight="1" x14ac:dyDescent="0.25">
      <c r="B4027" s="100"/>
      <c r="C4027" s="100"/>
      <c r="D4027" s="100"/>
      <c r="E4027" s="100"/>
      <c r="F4027" s="102"/>
      <c r="G4027" s="114"/>
    </row>
    <row r="4028" spans="2:7" ht="15.75" customHeight="1" x14ac:dyDescent="0.25">
      <c r="B4028" s="100"/>
      <c r="C4028" s="100"/>
      <c r="D4028" s="100"/>
      <c r="E4028" s="100"/>
      <c r="F4028" s="102"/>
      <c r="G4028" s="114"/>
    </row>
    <row r="4029" spans="2:7" ht="15.75" customHeight="1" x14ac:dyDescent="0.25">
      <c r="B4029" s="100"/>
      <c r="C4029" s="100"/>
      <c r="D4029" s="100"/>
      <c r="E4029" s="100"/>
      <c r="F4029" s="102"/>
      <c r="G4029" s="114"/>
    </row>
    <row r="4030" spans="2:7" ht="15.75" customHeight="1" x14ac:dyDescent="0.25">
      <c r="B4030" s="100"/>
      <c r="C4030" s="100"/>
      <c r="D4030" s="100"/>
      <c r="E4030" s="100"/>
      <c r="F4030" s="102"/>
      <c r="G4030" s="114"/>
    </row>
    <row r="4031" spans="2:7" ht="15.75" customHeight="1" x14ac:dyDescent="0.25">
      <c r="B4031" s="100"/>
      <c r="C4031" s="100"/>
      <c r="D4031" s="100"/>
      <c r="E4031" s="100"/>
      <c r="F4031" s="102"/>
      <c r="G4031" s="114"/>
    </row>
    <row r="4032" spans="2:7" ht="15.75" customHeight="1" x14ac:dyDescent="0.25">
      <c r="B4032" s="100"/>
      <c r="C4032" s="100"/>
      <c r="D4032" s="100"/>
      <c r="E4032" s="100"/>
      <c r="F4032" s="102"/>
      <c r="G4032" s="114"/>
    </row>
    <row r="4033" spans="2:7" ht="15.75" customHeight="1" x14ac:dyDescent="0.25">
      <c r="B4033" s="100"/>
      <c r="C4033" s="100"/>
      <c r="D4033" s="100"/>
      <c r="E4033" s="100"/>
      <c r="F4033" s="102"/>
      <c r="G4033" s="114"/>
    </row>
    <row r="4034" spans="2:7" ht="15.75" customHeight="1" x14ac:dyDescent="0.25">
      <c r="B4034" s="100"/>
      <c r="C4034" s="100"/>
      <c r="D4034" s="100"/>
      <c r="E4034" s="100"/>
      <c r="F4034" s="102"/>
      <c r="G4034" s="114"/>
    </row>
    <row r="4035" spans="2:7" ht="15.75" customHeight="1" x14ac:dyDescent="0.25">
      <c r="B4035" s="100"/>
      <c r="C4035" s="100"/>
      <c r="D4035" s="100"/>
      <c r="E4035" s="100"/>
      <c r="F4035" s="102"/>
      <c r="G4035" s="114"/>
    </row>
    <row r="4036" spans="2:7" ht="15.75" customHeight="1" x14ac:dyDescent="0.25">
      <c r="B4036" s="100"/>
      <c r="C4036" s="100"/>
      <c r="D4036" s="100"/>
      <c r="E4036" s="100"/>
      <c r="F4036" s="102"/>
      <c r="G4036" s="114"/>
    </row>
    <row r="4037" spans="2:7" ht="15.75" customHeight="1" x14ac:dyDescent="0.25">
      <c r="B4037" s="100"/>
      <c r="C4037" s="100"/>
      <c r="D4037" s="100"/>
      <c r="E4037" s="100"/>
      <c r="F4037" s="102"/>
      <c r="G4037" s="114"/>
    </row>
    <row r="4038" spans="2:7" ht="15.75" customHeight="1" x14ac:dyDescent="0.25">
      <c r="B4038" s="100"/>
      <c r="C4038" s="100"/>
      <c r="D4038" s="100"/>
      <c r="E4038" s="100"/>
      <c r="F4038" s="102"/>
      <c r="G4038" s="114"/>
    </row>
    <row r="4039" spans="2:7" ht="15.75" customHeight="1" x14ac:dyDescent="0.25">
      <c r="B4039" s="100"/>
      <c r="C4039" s="100"/>
      <c r="D4039" s="100"/>
      <c r="E4039" s="100"/>
      <c r="F4039" s="102"/>
      <c r="G4039" s="114"/>
    </row>
    <row r="4040" spans="2:7" ht="15.75" customHeight="1" x14ac:dyDescent="0.25">
      <c r="B4040" s="100"/>
      <c r="C4040" s="100"/>
      <c r="D4040" s="100"/>
      <c r="E4040" s="100"/>
      <c r="F4040" s="102"/>
      <c r="G4040" s="114"/>
    </row>
    <row r="4041" spans="2:7" ht="15.75" customHeight="1" x14ac:dyDescent="0.25">
      <c r="B4041" s="100"/>
      <c r="C4041" s="100"/>
      <c r="D4041" s="100"/>
      <c r="E4041" s="100"/>
      <c r="F4041" s="102"/>
      <c r="G4041" s="114"/>
    </row>
    <row r="4042" spans="2:7" ht="15.75" customHeight="1" x14ac:dyDescent="0.25">
      <c r="B4042" s="100"/>
      <c r="C4042" s="100"/>
      <c r="D4042" s="100"/>
      <c r="E4042" s="100"/>
      <c r="F4042" s="102"/>
      <c r="G4042" s="114"/>
    </row>
    <row r="4043" spans="2:7" ht="15.75" customHeight="1" x14ac:dyDescent="0.25">
      <c r="B4043" s="100"/>
      <c r="C4043" s="100"/>
      <c r="D4043" s="100"/>
      <c r="E4043" s="100"/>
      <c r="F4043" s="102"/>
      <c r="G4043" s="114"/>
    </row>
    <row r="4044" spans="2:7" ht="15.75" customHeight="1" x14ac:dyDescent="0.25">
      <c r="B4044" s="100"/>
      <c r="C4044" s="100"/>
      <c r="D4044" s="100"/>
      <c r="E4044" s="100"/>
      <c r="F4044" s="102"/>
      <c r="G4044" s="114"/>
    </row>
    <row r="4045" spans="2:7" ht="15.75" customHeight="1" x14ac:dyDescent="0.25">
      <c r="B4045" s="100"/>
      <c r="C4045" s="100"/>
      <c r="D4045" s="100"/>
      <c r="E4045" s="100"/>
      <c r="F4045" s="102"/>
      <c r="G4045" s="114"/>
    </row>
    <row r="4046" spans="2:7" ht="15.75" customHeight="1" x14ac:dyDescent="0.25">
      <c r="B4046" s="100"/>
      <c r="C4046" s="100"/>
      <c r="D4046" s="100"/>
      <c r="E4046" s="100"/>
      <c r="F4046" s="102"/>
      <c r="G4046" s="114"/>
    </row>
    <row r="4047" spans="2:7" ht="15.75" customHeight="1" x14ac:dyDescent="0.25">
      <c r="B4047" s="100"/>
      <c r="C4047" s="100"/>
      <c r="D4047" s="100"/>
      <c r="E4047" s="100"/>
      <c r="F4047" s="102"/>
      <c r="G4047" s="114"/>
    </row>
    <row r="4048" spans="2:7" ht="15.75" customHeight="1" x14ac:dyDescent="0.25">
      <c r="B4048" s="100"/>
      <c r="C4048" s="100"/>
      <c r="D4048" s="100"/>
      <c r="E4048" s="100"/>
      <c r="F4048" s="102"/>
      <c r="G4048" s="114"/>
    </row>
    <row r="4049" spans="2:7" ht="15.75" customHeight="1" x14ac:dyDescent="0.25">
      <c r="B4049" s="100"/>
      <c r="C4049" s="100"/>
      <c r="D4049" s="100"/>
      <c r="E4049" s="100"/>
      <c r="F4049" s="102"/>
      <c r="G4049" s="114"/>
    </row>
    <row r="4050" spans="2:7" ht="15.75" customHeight="1" x14ac:dyDescent="0.25">
      <c r="B4050" s="100"/>
      <c r="C4050" s="100"/>
      <c r="D4050" s="100"/>
      <c r="E4050" s="100"/>
      <c r="F4050" s="102"/>
      <c r="G4050" s="114"/>
    </row>
    <row r="4051" spans="2:7" ht="15.75" customHeight="1" x14ac:dyDescent="0.25">
      <c r="B4051" s="100"/>
      <c r="C4051" s="100"/>
      <c r="D4051" s="100"/>
      <c r="E4051" s="100"/>
      <c r="F4051" s="102"/>
      <c r="G4051" s="114"/>
    </row>
    <row r="4052" spans="2:7" ht="15.75" customHeight="1" x14ac:dyDescent="0.25">
      <c r="B4052" s="100"/>
      <c r="C4052" s="100"/>
      <c r="D4052" s="100"/>
      <c r="E4052" s="100"/>
      <c r="F4052" s="102"/>
      <c r="G4052" s="114"/>
    </row>
    <row r="4053" spans="2:7" ht="15.75" customHeight="1" x14ac:dyDescent="0.25">
      <c r="B4053" s="100"/>
      <c r="C4053" s="100"/>
      <c r="D4053" s="100"/>
      <c r="E4053" s="100"/>
      <c r="F4053" s="102"/>
      <c r="G4053" s="114"/>
    </row>
    <row r="4054" spans="2:7" ht="15.75" customHeight="1" x14ac:dyDescent="0.25">
      <c r="B4054" s="100"/>
      <c r="C4054" s="100"/>
      <c r="D4054" s="100"/>
      <c r="E4054" s="100"/>
      <c r="F4054" s="102"/>
      <c r="G4054" s="114"/>
    </row>
    <row r="4055" spans="2:7" ht="15.75" customHeight="1" x14ac:dyDescent="0.25">
      <c r="B4055" s="100"/>
      <c r="C4055" s="100"/>
      <c r="D4055" s="100"/>
      <c r="E4055" s="100"/>
      <c r="F4055" s="102"/>
      <c r="G4055" s="114"/>
    </row>
    <row r="4056" spans="2:7" ht="15.75" customHeight="1" x14ac:dyDescent="0.25">
      <c r="B4056" s="100"/>
      <c r="C4056" s="100"/>
      <c r="D4056" s="100"/>
      <c r="E4056" s="100"/>
      <c r="F4056" s="102"/>
      <c r="G4056" s="114"/>
    </row>
    <row r="4057" spans="2:7" ht="15.75" customHeight="1" x14ac:dyDescent="0.25">
      <c r="B4057" s="100"/>
      <c r="C4057" s="100"/>
      <c r="D4057" s="100"/>
      <c r="E4057" s="100"/>
      <c r="F4057" s="102"/>
      <c r="G4057" s="114"/>
    </row>
    <row r="4058" spans="2:7" ht="15.75" customHeight="1" x14ac:dyDescent="0.25">
      <c r="B4058" s="100"/>
      <c r="C4058" s="100"/>
      <c r="D4058" s="100"/>
      <c r="E4058" s="100"/>
      <c r="F4058" s="102"/>
      <c r="G4058" s="114"/>
    </row>
    <row r="4059" spans="2:7" ht="15.75" customHeight="1" x14ac:dyDescent="0.25">
      <c r="B4059" s="100"/>
      <c r="C4059" s="100"/>
      <c r="D4059" s="100"/>
      <c r="E4059" s="100"/>
      <c r="F4059" s="102"/>
      <c r="G4059" s="114"/>
    </row>
    <row r="4060" spans="2:7" ht="15.75" customHeight="1" x14ac:dyDescent="0.25">
      <c r="B4060" s="100"/>
      <c r="C4060" s="100"/>
      <c r="D4060" s="100"/>
      <c r="E4060" s="100"/>
      <c r="F4060" s="102"/>
      <c r="G4060" s="114"/>
    </row>
    <row r="4061" spans="2:7" ht="15.75" customHeight="1" x14ac:dyDescent="0.25">
      <c r="B4061" s="100"/>
      <c r="C4061" s="100"/>
      <c r="D4061" s="100"/>
      <c r="E4061" s="100"/>
      <c r="F4061" s="102"/>
      <c r="G4061" s="114"/>
    </row>
    <row r="4062" spans="2:7" ht="15.75" customHeight="1" x14ac:dyDescent="0.25">
      <c r="B4062" s="100"/>
      <c r="C4062" s="100"/>
      <c r="D4062" s="100"/>
      <c r="E4062" s="100"/>
      <c r="F4062" s="102"/>
      <c r="G4062" s="114"/>
    </row>
    <row r="4063" spans="2:7" ht="15.75" customHeight="1" x14ac:dyDescent="0.25">
      <c r="B4063" s="100"/>
      <c r="C4063" s="100"/>
      <c r="D4063" s="100"/>
      <c r="E4063" s="100"/>
      <c r="F4063" s="102"/>
      <c r="G4063" s="114"/>
    </row>
    <row r="4064" spans="2:7" ht="15.75" customHeight="1" x14ac:dyDescent="0.25">
      <c r="B4064" s="100"/>
      <c r="C4064" s="100"/>
      <c r="D4064" s="100"/>
      <c r="E4064" s="100"/>
      <c r="F4064" s="102"/>
      <c r="G4064" s="114"/>
    </row>
    <row r="4065" spans="2:7" ht="15.75" customHeight="1" x14ac:dyDescent="0.25">
      <c r="B4065" s="100"/>
      <c r="C4065" s="100"/>
      <c r="D4065" s="100"/>
      <c r="E4065" s="100"/>
      <c r="F4065" s="102"/>
      <c r="G4065" s="114"/>
    </row>
    <row r="4066" spans="2:7" ht="15.75" customHeight="1" x14ac:dyDescent="0.25">
      <c r="B4066" s="100"/>
      <c r="C4066" s="100"/>
      <c r="D4066" s="100"/>
      <c r="E4066" s="100"/>
      <c r="F4066" s="102"/>
      <c r="G4066" s="114"/>
    </row>
    <row r="4067" spans="2:7" ht="15.75" customHeight="1" x14ac:dyDescent="0.25">
      <c r="B4067" s="100"/>
      <c r="C4067" s="100"/>
      <c r="D4067" s="100"/>
      <c r="E4067" s="100"/>
      <c r="F4067" s="102"/>
      <c r="G4067" s="114"/>
    </row>
    <row r="4068" spans="2:7" ht="15.75" customHeight="1" x14ac:dyDescent="0.25">
      <c r="B4068" s="100"/>
      <c r="C4068" s="100"/>
      <c r="D4068" s="100"/>
      <c r="E4068" s="100"/>
      <c r="F4068" s="102"/>
      <c r="G4068" s="114"/>
    </row>
    <row r="4069" spans="2:7" ht="15.75" customHeight="1" x14ac:dyDescent="0.25">
      <c r="B4069" s="100"/>
      <c r="C4069" s="100"/>
      <c r="D4069" s="100"/>
      <c r="E4069" s="100"/>
      <c r="F4069" s="102"/>
      <c r="G4069" s="114"/>
    </row>
    <row r="4070" spans="2:7" ht="15.75" customHeight="1" x14ac:dyDescent="0.25">
      <c r="B4070" s="100"/>
      <c r="C4070" s="100"/>
      <c r="D4070" s="100"/>
      <c r="E4070" s="100"/>
      <c r="F4070" s="102"/>
      <c r="G4070" s="114"/>
    </row>
    <row r="4071" spans="2:7" ht="15.75" customHeight="1" x14ac:dyDescent="0.25">
      <c r="B4071" s="100"/>
      <c r="C4071" s="100"/>
      <c r="D4071" s="100"/>
      <c r="E4071" s="100"/>
      <c r="F4071" s="102"/>
      <c r="G4071" s="114"/>
    </row>
    <row r="4072" spans="2:7" ht="15.75" customHeight="1" x14ac:dyDescent="0.25">
      <c r="B4072" s="100"/>
      <c r="C4072" s="100"/>
      <c r="D4072" s="100"/>
      <c r="E4072" s="100"/>
      <c r="F4072" s="102"/>
      <c r="G4072" s="114"/>
    </row>
    <row r="4073" spans="2:7" ht="15.75" customHeight="1" x14ac:dyDescent="0.25">
      <c r="B4073" s="100"/>
      <c r="C4073" s="100"/>
      <c r="D4073" s="100"/>
      <c r="E4073" s="100"/>
      <c r="F4073" s="102"/>
      <c r="G4073" s="114"/>
    </row>
    <row r="4074" spans="2:7" ht="15.75" customHeight="1" x14ac:dyDescent="0.25">
      <c r="B4074" s="100"/>
      <c r="C4074" s="100"/>
      <c r="D4074" s="100"/>
      <c r="E4074" s="100"/>
      <c r="F4074" s="102"/>
      <c r="G4074" s="114"/>
    </row>
    <row r="4075" spans="2:7" ht="15.75" customHeight="1" x14ac:dyDescent="0.25">
      <c r="B4075" s="100"/>
      <c r="C4075" s="100"/>
      <c r="D4075" s="100"/>
      <c r="E4075" s="100"/>
      <c r="F4075" s="102"/>
      <c r="G4075" s="114"/>
    </row>
    <row r="4076" spans="2:7" ht="15.75" customHeight="1" x14ac:dyDescent="0.25">
      <c r="B4076" s="100"/>
      <c r="C4076" s="100"/>
      <c r="D4076" s="100"/>
      <c r="E4076" s="100"/>
      <c r="F4076" s="102"/>
      <c r="G4076" s="114"/>
    </row>
    <row r="4077" spans="2:7" ht="15.75" customHeight="1" x14ac:dyDescent="0.25">
      <c r="B4077" s="100"/>
      <c r="C4077" s="100"/>
      <c r="D4077" s="100"/>
      <c r="E4077" s="100"/>
      <c r="F4077" s="102"/>
      <c r="G4077" s="114"/>
    </row>
    <row r="4078" spans="2:7" ht="15.75" customHeight="1" x14ac:dyDescent="0.25">
      <c r="B4078" s="100"/>
      <c r="C4078" s="100"/>
      <c r="D4078" s="100"/>
      <c r="E4078" s="100"/>
      <c r="F4078" s="102"/>
      <c r="G4078" s="114"/>
    </row>
    <row r="4079" spans="2:7" ht="15.75" customHeight="1" x14ac:dyDescent="0.25">
      <c r="B4079" s="100"/>
      <c r="C4079" s="100"/>
      <c r="D4079" s="100"/>
      <c r="E4079" s="100"/>
      <c r="F4079" s="102"/>
      <c r="G4079" s="114"/>
    </row>
    <row r="4080" spans="2:7" ht="15.75" customHeight="1" x14ac:dyDescent="0.25">
      <c r="B4080" s="100"/>
      <c r="C4080" s="100"/>
      <c r="D4080" s="100"/>
      <c r="E4080" s="100"/>
      <c r="F4080" s="102"/>
      <c r="G4080" s="114"/>
    </row>
    <row r="4081" spans="2:7" ht="15.75" customHeight="1" x14ac:dyDescent="0.25">
      <c r="B4081" s="100"/>
      <c r="C4081" s="100"/>
      <c r="D4081" s="100"/>
      <c r="E4081" s="100"/>
      <c r="F4081" s="102"/>
      <c r="G4081" s="114"/>
    </row>
    <row r="4082" spans="2:7" ht="15.75" customHeight="1" x14ac:dyDescent="0.25">
      <c r="B4082" s="100"/>
      <c r="C4082" s="100"/>
      <c r="D4082" s="100"/>
      <c r="E4082" s="100"/>
      <c r="F4082" s="102"/>
      <c r="G4082" s="114"/>
    </row>
    <row r="4083" spans="2:7" ht="15.75" customHeight="1" x14ac:dyDescent="0.25">
      <c r="B4083" s="100"/>
      <c r="C4083" s="100"/>
      <c r="D4083" s="100"/>
      <c r="E4083" s="100"/>
      <c r="F4083" s="102"/>
      <c r="G4083" s="114"/>
    </row>
    <row r="4084" spans="2:7" ht="15.75" customHeight="1" x14ac:dyDescent="0.25">
      <c r="B4084" s="100"/>
      <c r="C4084" s="100"/>
      <c r="D4084" s="100"/>
      <c r="E4084" s="100"/>
      <c r="F4084" s="102"/>
      <c r="G4084" s="114"/>
    </row>
    <row r="4085" spans="2:7" ht="15.75" customHeight="1" x14ac:dyDescent="0.25">
      <c r="B4085" s="100"/>
      <c r="C4085" s="100"/>
      <c r="D4085" s="100"/>
      <c r="E4085" s="100"/>
      <c r="F4085" s="102"/>
      <c r="G4085" s="114"/>
    </row>
    <row r="4086" spans="2:7" ht="15.75" customHeight="1" x14ac:dyDescent="0.25">
      <c r="B4086" s="100"/>
      <c r="C4086" s="100"/>
      <c r="D4086" s="100"/>
      <c r="E4086" s="100"/>
      <c r="F4086" s="102"/>
      <c r="G4086" s="114"/>
    </row>
    <row r="4087" spans="2:7" ht="15.75" customHeight="1" x14ac:dyDescent="0.25">
      <c r="B4087" s="100"/>
      <c r="C4087" s="100"/>
      <c r="D4087" s="100"/>
      <c r="E4087" s="100"/>
      <c r="F4087" s="102"/>
      <c r="G4087" s="114"/>
    </row>
    <row r="4088" spans="2:7" ht="15.75" customHeight="1" x14ac:dyDescent="0.25">
      <c r="B4088" s="100"/>
      <c r="C4088" s="100"/>
      <c r="D4088" s="100"/>
      <c r="E4088" s="100"/>
      <c r="F4088" s="102"/>
      <c r="G4088" s="114"/>
    </row>
    <row r="4089" spans="2:7" ht="15.75" customHeight="1" x14ac:dyDescent="0.25">
      <c r="B4089" s="100"/>
      <c r="C4089" s="100"/>
      <c r="D4089" s="100"/>
      <c r="E4089" s="100"/>
      <c r="F4089" s="102"/>
      <c r="G4089" s="114"/>
    </row>
    <row r="4090" spans="2:7" ht="15.75" customHeight="1" x14ac:dyDescent="0.25">
      <c r="B4090" s="100"/>
      <c r="C4090" s="100"/>
      <c r="D4090" s="100"/>
      <c r="E4090" s="100"/>
      <c r="F4090" s="102"/>
      <c r="G4090" s="114"/>
    </row>
    <row r="4091" spans="2:7" ht="15.75" customHeight="1" x14ac:dyDescent="0.25">
      <c r="B4091" s="100"/>
      <c r="C4091" s="100"/>
      <c r="D4091" s="100"/>
      <c r="E4091" s="100"/>
      <c r="F4091" s="102"/>
      <c r="G4091" s="114"/>
    </row>
    <row r="4092" spans="2:7" ht="15.75" customHeight="1" x14ac:dyDescent="0.25">
      <c r="B4092" s="100"/>
      <c r="C4092" s="100"/>
      <c r="D4092" s="100"/>
      <c r="E4092" s="100"/>
      <c r="F4092" s="102"/>
      <c r="G4092" s="114"/>
    </row>
    <row r="4093" spans="2:7" ht="15.75" customHeight="1" x14ac:dyDescent="0.25">
      <c r="B4093" s="100"/>
      <c r="C4093" s="100"/>
      <c r="D4093" s="100"/>
      <c r="E4093" s="100"/>
      <c r="F4093" s="102"/>
      <c r="G4093" s="114"/>
    </row>
    <row r="4094" spans="2:7" ht="15.75" customHeight="1" x14ac:dyDescent="0.25">
      <c r="B4094" s="100"/>
      <c r="C4094" s="100"/>
      <c r="D4094" s="100"/>
      <c r="E4094" s="100"/>
      <c r="F4094" s="102"/>
      <c r="G4094" s="114"/>
    </row>
    <row r="4095" spans="2:7" ht="15.75" customHeight="1" x14ac:dyDescent="0.25">
      <c r="B4095" s="100"/>
      <c r="C4095" s="100"/>
      <c r="D4095" s="100"/>
      <c r="E4095" s="100"/>
      <c r="F4095" s="102"/>
      <c r="G4095" s="114"/>
    </row>
    <row r="4096" spans="2:7" ht="15.75" customHeight="1" x14ac:dyDescent="0.25">
      <c r="B4096" s="100"/>
      <c r="C4096" s="100"/>
      <c r="D4096" s="100"/>
      <c r="E4096" s="100"/>
      <c r="F4096" s="102"/>
      <c r="G4096" s="114"/>
    </row>
    <row r="4097" spans="2:7" ht="15.75" customHeight="1" x14ac:dyDescent="0.25">
      <c r="B4097" s="100"/>
      <c r="C4097" s="100"/>
      <c r="D4097" s="100"/>
      <c r="E4097" s="100"/>
      <c r="F4097" s="102"/>
      <c r="G4097" s="114"/>
    </row>
    <row r="4098" spans="2:7" ht="15.75" customHeight="1" x14ac:dyDescent="0.25">
      <c r="B4098" s="100"/>
      <c r="C4098" s="100"/>
      <c r="D4098" s="100"/>
      <c r="E4098" s="100"/>
      <c r="F4098" s="102"/>
      <c r="G4098" s="114"/>
    </row>
    <row r="4099" spans="2:7" ht="15.75" customHeight="1" x14ac:dyDescent="0.25">
      <c r="B4099" s="100"/>
      <c r="C4099" s="100"/>
      <c r="D4099" s="100"/>
      <c r="E4099" s="100"/>
      <c r="F4099" s="102"/>
      <c r="G4099" s="114"/>
    </row>
    <row r="4100" spans="2:7" ht="15.75" customHeight="1" x14ac:dyDescent="0.25">
      <c r="B4100" s="100"/>
      <c r="C4100" s="100"/>
      <c r="D4100" s="100"/>
      <c r="E4100" s="100"/>
      <c r="F4100" s="102"/>
      <c r="G4100" s="114"/>
    </row>
    <row r="4101" spans="2:7" ht="15.75" customHeight="1" x14ac:dyDescent="0.25">
      <c r="B4101" s="100"/>
      <c r="C4101" s="100"/>
      <c r="D4101" s="100"/>
      <c r="E4101" s="100"/>
      <c r="F4101" s="102"/>
      <c r="G4101" s="114"/>
    </row>
    <row r="4102" spans="2:7" ht="15.75" customHeight="1" x14ac:dyDescent="0.25">
      <c r="B4102" s="100"/>
      <c r="C4102" s="100"/>
      <c r="D4102" s="100"/>
      <c r="E4102" s="100"/>
      <c r="F4102" s="102"/>
      <c r="G4102" s="114"/>
    </row>
    <row r="4103" spans="2:7" ht="15.75" customHeight="1" x14ac:dyDescent="0.25">
      <c r="B4103" s="100"/>
      <c r="C4103" s="100"/>
      <c r="D4103" s="100"/>
      <c r="E4103" s="100"/>
      <c r="F4103" s="102"/>
      <c r="G4103" s="114"/>
    </row>
    <row r="4104" spans="2:7" ht="15.75" customHeight="1" x14ac:dyDescent="0.25">
      <c r="B4104" s="100"/>
      <c r="C4104" s="100"/>
      <c r="D4104" s="100"/>
      <c r="E4104" s="100"/>
      <c r="F4104" s="102"/>
      <c r="G4104" s="114"/>
    </row>
    <row r="4105" spans="2:7" ht="15.75" customHeight="1" x14ac:dyDescent="0.25">
      <c r="B4105" s="100"/>
      <c r="C4105" s="100"/>
      <c r="D4105" s="100"/>
      <c r="E4105" s="100"/>
      <c r="F4105" s="102"/>
      <c r="G4105" s="114"/>
    </row>
    <row r="4106" spans="2:7" ht="15.75" customHeight="1" x14ac:dyDescent="0.25">
      <c r="B4106" s="100"/>
      <c r="C4106" s="100"/>
      <c r="D4106" s="100"/>
      <c r="E4106" s="100"/>
      <c r="F4106" s="102"/>
      <c r="G4106" s="114"/>
    </row>
    <row r="4107" spans="2:7" ht="15.75" customHeight="1" x14ac:dyDescent="0.25">
      <c r="B4107" s="100"/>
      <c r="C4107" s="100"/>
      <c r="D4107" s="100"/>
      <c r="E4107" s="100"/>
      <c r="F4107" s="102"/>
      <c r="G4107" s="114"/>
    </row>
    <row r="4108" spans="2:7" ht="15.75" customHeight="1" x14ac:dyDescent="0.25">
      <c r="B4108" s="100"/>
      <c r="C4108" s="100"/>
      <c r="D4108" s="100"/>
      <c r="E4108" s="100"/>
      <c r="F4108" s="102"/>
      <c r="G4108" s="114"/>
    </row>
    <row r="4109" spans="2:7" ht="15.75" customHeight="1" x14ac:dyDescent="0.25">
      <c r="B4109" s="100"/>
      <c r="C4109" s="100"/>
      <c r="D4109" s="100"/>
      <c r="E4109" s="100"/>
      <c r="F4109" s="102"/>
      <c r="G4109" s="114"/>
    </row>
    <row r="4110" spans="2:7" ht="15.75" customHeight="1" x14ac:dyDescent="0.25">
      <c r="B4110" s="100"/>
      <c r="C4110" s="100"/>
      <c r="D4110" s="100"/>
      <c r="E4110" s="100"/>
      <c r="F4110" s="102"/>
      <c r="G4110" s="114"/>
    </row>
    <row r="4111" spans="2:7" ht="15.75" customHeight="1" x14ac:dyDescent="0.25">
      <c r="B4111" s="100"/>
      <c r="C4111" s="100"/>
      <c r="D4111" s="100"/>
      <c r="E4111" s="100"/>
      <c r="F4111" s="102"/>
      <c r="G4111" s="114"/>
    </row>
    <row r="4112" spans="2:7" ht="15.75" customHeight="1" x14ac:dyDescent="0.25">
      <c r="B4112" s="100"/>
      <c r="C4112" s="100"/>
      <c r="D4112" s="100"/>
      <c r="E4112" s="100"/>
      <c r="F4112" s="102"/>
      <c r="G4112" s="114"/>
    </row>
    <row r="4113" spans="2:7" ht="15.75" customHeight="1" x14ac:dyDescent="0.25">
      <c r="B4113" s="100"/>
      <c r="C4113" s="100"/>
      <c r="D4113" s="100"/>
      <c r="E4113" s="100"/>
      <c r="F4113" s="102"/>
      <c r="G4113" s="114"/>
    </row>
    <row r="4114" spans="2:7" ht="15.75" customHeight="1" x14ac:dyDescent="0.25">
      <c r="B4114" s="100"/>
      <c r="C4114" s="100"/>
      <c r="D4114" s="100"/>
      <c r="E4114" s="100"/>
      <c r="F4114" s="102"/>
      <c r="G4114" s="114"/>
    </row>
    <row r="4115" spans="2:7" ht="15.75" customHeight="1" x14ac:dyDescent="0.25">
      <c r="B4115" s="100"/>
      <c r="C4115" s="100"/>
      <c r="D4115" s="100"/>
      <c r="E4115" s="100"/>
      <c r="F4115" s="102"/>
      <c r="G4115" s="114"/>
    </row>
    <row r="4116" spans="2:7" ht="15.75" customHeight="1" x14ac:dyDescent="0.25">
      <c r="B4116" s="100"/>
      <c r="C4116" s="100"/>
      <c r="D4116" s="100"/>
      <c r="E4116" s="100"/>
      <c r="F4116" s="102"/>
      <c r="G4116" s="114"/>
    </row>
    <row r="4117" spans="2:7" ht="15.75" customHeight="1" x14ac:dyDescent="0.25">
      <c r="B4117" s="100"/>
      <c r="C4117" s="100"/>
      <c r="D4117" s="100"/>
      <c r="E4117" s="100"/>
      <c r="F4117" s="102"/>
      <c r="G4117" s="114"/>
    </row>
    <row r="4118" spans="2:7" ht="15.75" customHeight="1" x14ac:dyDescent="0.25">
      <c r="B4118" s="100"/>
      <c r="C4118" s="100"/>
      <c r="D4118" s="100"/>
      <c r="E4118" s="100"/>
      <c r="F4118" s="102"/>
      <c r="G4118" s="114"/>
    </row>
    <row r="4119" spans="2:7" ht="15.75" customHeight="1" x14ac:dyDescent="0.25">
      <c r="B4119" s="100"/>
      <c r="C4119" s="100"/>
      <c r="D4119" s="100"/>
      <c r="E4119" s="100"/>
      <c r="F4119" s="102"/>
      <c r="G4119" s="114"/>
    </row>
    <row r="4120" spans="2:7" ht="15.75" customHeight="1" x14ac:dyDescent="0.25">
      <c r="B4120" s="100"/>
      <c r="C4120" s="100"/>
      <c r="D4120" s="100"/>
      <c r="E4120" s="100"/>
      <c r="F4120" s="102"/>
      <c r="G4120" s="114"/>
    </row>
    <row r="4121" spans="2:7" ht="15.75" customHeight="1" x14ac:dyDescent="0.25">
      <c r="B4121" s="100"/>
      <c r="C4121" s="100"/>
      <c r="D4121" s="100"/>
      <c r="E4121" s="100"/>
      <c r="F4121" s="102"/>
      <c r="G4121" s="114"/>
    </row>
    <row r="4122" spans="2:7" ht="15.75" customHeight="1" x14ac:dyDescent="0.25">
      <c r="B4122" s="100"/>
      <c r="C4122" s="100"/>
      <c r="D4122" s="100"/>
      <c r="E4122" s="100"/>
      <c r="F4122" s="102"/>
      <c r="G4122" s="114"/>
    </row>
    <row r="4123" spans="2:7" ht="15.75" customHeight="1" x14ac:dyDescent="0.25">
      <c r="B4123" s="100"/>
      <c r="C4123" s="100"/>
      <c r="D4123" s="100"/>
      <c r="E4123" s="100"/>
      <c r="F4123" s="102"/>
      <c r="G4123" s="114"/>
    </row>
    <row r="4124" spans="2:7" ht="15.75" customHeight="1" x14ac:dyDescent="0.25">
      <c r="B4124" s="100"/>
      <c r="C4124" s="100"/>
      <c r="D4124" s="100"/>
      <c r="E4124" s="100"/>
      <c r="F4124" s="102"/>
      <c r="G4124" s="114"/>
    </row>
    <row r="4125" spans="2:7" ht="15.75" customHeight="1" x14ac:dyDescent="0.25">
      <c r="B4125" s="100"/>
      <c r="C4125" s="100"/>
      <c r="D4125" s="100"/>
      <c r="E4125" s="100"/>
      <c r="F4125" s="102"/>
      <c r="G4125" s="114"/>
    </row>
    <row r="4126" spans="2:7" ht="15.75" customHeight="1" x14ac:dyDescent="0.25">
      <c r="B4126" s="100"/>
      <c r="C4126" s="100"/>
      <c r="D4126" s="100"/>
      <c r="E4126" s="100"/>
      <c r="F4126" s="102"/>
      <c r="G4126" s="114"/>
    </row>
    <row r="4127" spans="2:7" ht="15.75" customHeight="1" x14ac:dyDescent="0.25">
      <c r="B4127" s="100"/>
      <c r="C4127" s="100"/>
      <c r="D4127" s="100"/>
      <c r="E4127" s="100"/>
      <c r="F4127" s="102"/>
      <c r="G4127" s="114"/>
    </row>
    <row r="4128" spans="2:7" ht="15.75" customHeight="1" x14ac:dyDescent="0.25">
      <c r="B4128" s="100"/>
      <c r="C4128" s="100"/>
      <c r="D4128" s="100"/>
      <c r="E4128" s="100"/>
      <c r="F4128" s="102"/>
      <c r="G4128" s="114"/>
    </row>
    <row r="4129" spans="2:7" ht="15.75" customHeight="1" x14ac:dyDescent="0.25">
      <c r="B4129" s="100"/>
      <c r="C4129" s="100"/>
      <c r="D4129" s="100"/>
      <c r="E4129" s="100"/>
      <c r="F4129" s="102"/>
      <c r="G4129" s="114"/>
    </row>
    <row r="4130" spans="2:7" ht="15.75" customHeight="1" x14ac:dyDescent="0.25">
      <c r="B4130" s="100"/>
      <c r="C4130" s="100"/>
      <c r="D4130" s="100"/>
      <c r="E4130" s="100"/>
      <c r="F4130" s="102"/>
      <c r="G4130" s="114"/>
    </row>
    <row r="4131" spans="2:7" ht="15.75" customHeight="1" x14ac:dyDescent="0.25">
      <c r="B4131" s="100"/>
      <c r="C4131" s="100"/>
      <c r="D4131" s="100"/>
      <c r="E4131" s="100"/>
      <c r="F4131" s="102"/>
      <c r="G4131" s="114"/>
    </row>
    <row r="4132" spans="2:7" ht="15.75" customHeight="1" x14ac:dyDescent="0.25">
      <c r="B4132" s="100"/>
      <c r="C4132" s="100"/>
      <c r="D4132" s="100"/>
      <c r="E4132" s="100"/>
      <c r="F4132" s="102"/>
      <c r="G4132" s="114"/>
    </row>
    <row r="4133" spans="2:7" ht="15.75" customHeight="1" x14ac:dyDescent="0.25">
      <c r="B4133" s="100"/>
      <c r="C4133" s="100"/>
      <c r="D4133" s="100"/>
      <c r="E4133" s="100"/>
      <c r="F4133" s="102"/>
      <c r="G4133" s="114"/>
    </row>
    <row r="4134" spans="2:7" ht="15.75" customHeight="1" x14ac:dyDescent="0.25">
      <c r="B4134" s="100"/>
      <c r="C4134" s="100"/>
      <c r="D4134" s="100"/>
      <c r="E4134" s="100"/>
      <c r="F4134" s="102"/>
      <c r="G4134" s="114"/>
    </row>
    <row r="4135" spans="2:7" ht="15.75" customHeight="1" x14ac:dyDescent="0.25">
      <c r="B4135" s="100"/>
      <c r="C4135" s="100"/>
      <c r="D4135" s="100"/>
      <c r="E4135" s="100"/>
      <c r="F4135" s="102"/>
      <c r="G4135" s="114"/>
    </row>
    <row r="4136" spans="2:7" ht="15.75" customHeight="1" x14ac:dyDescent="0.25">
      <c r="B4136" s="100"/>
      <c r="C4136" s="100"/>
      <c r="D4136" s="100"/>
      <c r="E4136" s="100"/>
      <c r="F4136" s="102"/>
      <c r="G4136" s="114"/>
    </row>
    <row r="4137" spans="2:7" ht="15.75" customHeight="1" x14ac:dyDescent="0.25">
      <c r="B4137" s="100"/>
      <c r="C4137" s="100"/>
      <c r="D4137" s="100"/>
      <c r="E4137" s="100"/>
      <c r="F4137" s="102"/>
      <c r="G4137" s="114"/>
    </row>
    <row r="4138" spans="2:7" ht="15.75" customHeight="1" x14ac:dyDescent="0.25">
      <c r="B4138" s="100"/>
      <c r="C4138" s="100"/>
      <c r="D4138" s="100"/>
      <c r="E4138" s="100"/>
      <c r="F4138" s="102"/>
      <c r="G4138" s="114"/>
    </row>
    <row r="4139" spans="2:7" ht="15.75" customHeight="1" x14ac:dyDescent="0.25">
      <c r="B4139" s="100"/>
      <c r="C4139" s="100"/>
      <c r="D4139" s="100"/>
      <c r="E4139" s="100"/>
      <c r="F4139" s="102"/>
      <c r="G4139" s="114"/>
    </row>
    <row r="4140" spans="2:7" ht="15.75" customHeight="1" x14ac:dyDescent="0.25">
      <c r="B4140" s="100"/>
      <c r="C4140" s="100"/>
      <c r="D4140" s="100"/>
      <c r="E4140" s="100"/>
      <c r="F4140" s="102"/>
      <c r="G4140" s="114"/>
    </row>
    <row r="4141" spans="2:7" ht="15.75" customHeight="1" x14ac:dyDescent="0.25">
      <c r="B4141" s="100"/>
      <c r="C4141" s="100"/>
      <c r="D4141" s="100"/>
      <c r="E4141" s="100"/>
      <c r="F4141" s="102"/>
      <c r="G4141" s="114"/>
    </row>
    <row r="4142" spans="2:7" ht="15.75" customHeight="1" x14ac:dyDescent="0.25">
      <c r="B4142" s="100"/>
      <c r="C4142" s="100"/>
      <c r="D4142" s="100"/>
      <c r="E4142" s="100"/>
      <c r="F4142" s="102"/>
      <c r="G4142" s="114"/>
    </row>
    <row r="4143" spans="2:7" ht="15.75" customHeight="1" x14ac:dyDescent="0.25">
      <c r="B4143" s="100"/>
      <c r="C4143" s="100"/>
      <c r="D4143" s="100"/>
      <c r="E4143" s="100"/>
      <c r="F4143" s="102"/>
      <c r="G4143" s="114"/>
    </row>
    <row r="4144" spans="2:7" ht="15.75" customHeight="1" x14ac:dyDescent="0.25">
      <c r="B4144" s="100"/>
      <c r="C4144" s="100"/>
      <c r="D4144" s="100"/>
      <c r="E4144" s="100"/>
      <c r="F4144" s="102"/>
      <c r="G4144" s="114"/>
    </row>
    <row r="4145" spans="2:7" ht="15.75" customHeight="1" x14ac:dyDescent="0.25">
      <c r="B4145" s="100"/>
      <c r="C4145" s="100"/>
      <c r="D4145" s="100"/>
      <c r="E4145" s="100"/>
      <c r="F4145" s="102"/>
      <c r="G4145" s="114"/>
    </row>
    <row r="4146" spans="2:7" ht="15.75" customHeight="1" x14ac:dyDescent="0.25">
      <c r="B4146" s="100"/>
      <c r="C4146" s="100"/>
      <c r="D4146" s="100"/>
      <c r="E4146" s="100"/>
      <c r="F4146" s="102"/>
      <c r="G4146" s="114"/>
    </row>
    <row r="4147" spans="2:7" ht="15.75" customHeight="1" x14ac:dyDescent="0.25">
      <c r="B4147" s="100"/>
      <c r="C4147" s="100"/>
      <c r="D4147" s="100"/>
      <c r="E4147" s="100"/>
      <c r="F4147" s="102"/>
      <c r="G4147" s="114"/>
    </row>
    <row r="4148" spans="2:7" ht="15.75" customHeight="1" x14ac:dyDescent="0.25">
      <c r="B4148" s="100"/>
      <c r="C4148" s="100"/>
      <c r="D4148" s="100"/>
      <c r="E4148" s="100"/>
      <c r="F4148" s="102"/>
      <c r="G4148" s="114"/>
    </row>
    <row r="4149" spans="2:7" ht="15.75" customHeight="1" x14ac:dyDescent="0.25">
      <c r="B4149" s="100"/>
      <c r="C4149" s="100"/>
      <c r="D4149" s="100"/>
      <c r="E4149" s="100"/>
      <c r="F4149" s="102"/>
      <c r="G4149" s="114"/>
    </row>
    <row r="4150" spans="2:7" ht="15.75" customHeight="1" x14ac:dyDescent="0.25">
      <c r="B4150" s="100"/>
      <c r="C4150" s="100"/>
      <c r="D4150" s="100"/>
      <c r="E4150" s="100"/>
      <c r="F4150" s="102"/>
      <c r="G4150" s="114"/>
    </row>
    <row r="4151" spans="2:7" ht="15.75" customHeight="1" x14ac:dyDescent="0.25">
      <c r="B4151" s="100"/>
      <c r="C4151" s="100"/>
      <c r="D4151" s="100"/>
      <c r="E4151" s="100"/>
      <c r="F4151" s="102"/>
      <c r="G4151" s="114"/>
    </row>
    <row r="4152" spans="2:7" ht="15.75" customHeight="1" x14ac:dyDescent="0.25">
      <c r="B4152" s="100"/>
      <c r="C4152" s="100"/>
      <c r="D4152" s="100"/>
      <c r="E4152" s="100"/>
      <c r="F4152" s="102"/>
      <c r="G4152" s="114"/>
    </row>
    <row r="4153" spans="2:7" ht="15.75" customHeight="1" x14ac:dyDescent="0.25">
      <c r="B4153" s="100"/>
      <c r="C4153" s="100"/>
      <c r="D4153" s="100"/>
      <c r="E4153" s="100"/>
      <c r="F4153" s="102"/>
      <c r="G4153" s="114"/>
    </row>
    <row r="4154" spans="2:7" ht="15.75" customHeight="1" x14ac:dyDescent="0.25">
      <c r="B4154" s="100"/>
      <c r="C4154" s="100"/>
      <c r="D4154" s="100"/>
      <c r="E4154" s="100"/>
      <c r="F4154" s="102"/>
      <c r="G4154" s="114"/>
    </row>
    <row r="4155" spans="2:7" ht="15.75" customHeight="1" x14ac:dyDescent="0.25">
      <c r="B4155" s="100"/>
      <c r="C4155" s="100"/>
      <c r="D4155" s="100"/>
      <c r="E4155" s="100"/>
      <c r="F4155" s="102"/>
      <c r="G4155" s="114"/>
    </row>
    <row r="4156" spans="2:7" ht="15.75" customHeight="1" x14ac:dyDescent="0.25">
      <c r="B4156" s="100"/>
      <c r="C4156" s="100"/>
      <c r="D4156" s="100"/>
      <c r="E4156" s="100"/>
      <c r="F4156" s="102"/>
      <c r="G4156" s="114"/>
    </row>
    <row r="4157" spans="2:7" ht="15.75" customHeight="1" x14ac:dyDescent="0.25">
      <c r="B4157" s="100"/>
      <c r="C4157" s="100"/>
      <c r="D4157" s="100"/>
      <c r="E4157" s="100"/>
      <c r="F4157" s="102"/>
      <c r="G4157" s="114"/>
    </row>
    <row r="4158" spans="2:7" ht="15.75" customHeight="1" x14ac:dyDescent="0.25">
      <c r="B4158" s="100"/>
      <c r="C4158" s="100"/>
      <c r="D4158" s="100"/>
      <c r="E4158" s="100"/>
      <c r="F4158" s="102"/>
      <c r="G4158" s="114"/>
    </row>
    <row r="4159" spans="2:7" ht="15.75" customHeight="1" x14ac:dyDescent="0.25">
      <c r="B4159" s="100"/>
      <c r="C4159" s="100"/>
      <c r="D4159" s="100"/>
      <c r="E4159" s="100"/>
      <c r="F4159" s="102"/>
      <c r="G4159" s="114"/>
    </row>
    <row r="4160" spans="2:7" ht="15.75" customHeight="1" x14ac:dyDescent="0.25">
      <c r="B4160" s="100"/>
      <c r="C4160" s="100"/>
      <c r="D4160" s="100"/>
      <c r="E4160" s="100"/>
      <c r="F4160" s="102"/>
      <c r="G4160" s="114"/>
    </row>
    <row r="4161" spans="2:7" ht="15.75" customHeight="1" x14ac:dyDescent="0.25">
      <c r="B4161" s="100"/>
      <c r="C4161" s="100"/>
      <c r="D4161" s="100"/>
      <c r="E4161" s="100"/>
      <c r="F4161" s="102"/>
      <c r="G4161" s="114"/>
    </row>
    <row r="4162" spans="2:7" ht="15.75" customHeight="1" x14ac:dyDescent="0.25">
      <c r="B4162" s="100"/>
      <c r="C4162" s="100"/>
      <c r="D4162" s="100"/>
      <c r="E4162" s="100"/>
      <c r="F4162" s="102"/>
      <c r="G4162" s="114"/>
    </row>
    <row r="4163" spans="2:7" ht="15.75" customHeight="1" x14ac:dyDescent="0.25">
      <c r="B4163" s="100"/>
      <c r="C4163" s="100"/>
      <c r="D4163" s="100"/>
      <c r="E4163" s="100"/>
      <c r="F4163" s="102"/>
      <c r="G4163" s="114"/>
    </row>
    <row r="4164" spans="2:7" ht="15.75" customHeight="1" x14ac:dyDescent="0.25">
      <c r="B4164" s="100"/>
      <c r="C4164" s="100"/>
      <c r="D4164" s="100"/>
      <c r="E4164" s="100"/>
      <c r="F4164" s="102"/>
      <c r="G4164" s="114"/>
    </row>
    <row r="4165" spans="2:7" ht="15.75" customHeight="1" x14ac:dyDescent="0.25">
      <c r="B4165" s="100"/>
      <c r="C4165" s="100"/>
      <c r="D4165" s="100"/>
      <c r="E4165" s="100"/>
      <c r="F4165" s="102"/>
      <c r="G4165" s="114"/>
    </row>
    <row r="4166" spans="2:7" ht="15.75" customHeight="1" x14ac:dyDescent="0.25">
      <c r="B4166" s="100"/>
      <c r="C4166" s="100"/>
      <c r="D4166" s="100"/>
      <c r="E4166" s="100"/>
      <c r="F4166" s="102"/>
      <c r="G4166" s="114"/>
    </row>
    <row r="4167" spans="2:7" ht="15.75" customHeight="1" x14ac:dyDescent="0.25">
      <c r="B4167" s="100"/>
      <c r="C4167" s="100"/>
      <c r="D4167" s="100"/>
      <c r="E4167" s="100"/>
      <c r="F4167" s="102"/>
      <c r="G4167" s="114"/>
    </row>
    <row r="4168" spans="2:7" ht="15.75" customHeight="1" x14ac:dyDescent="0.25">
      <c r="B4168" s="100"/>
      <c r="C4168" s="100"/>
      <c r="D4168" s="100"/>
      <c r="E4168" s="100"/>
      <c r="F4168" s="102"/>
      <c r="G4168" s="114"/>
    </row>
    <row r="4169" spans="2:7" ht="15.75" customHeight="1" x14ac:dyDescent="0.25">
      <c r="B4169" s="100"/>
      <c r="C4169" s="100"/>
      <c r="D4169" s="100"/>
      <c r="E4169" s="100"/>
      <c r="F4169" s="102"/>
      <c r="G4169" s="114"/>
    </row>
    <row r="4170" spans="2:7" ht="15.75" customHeight="1" x14ac:dyDescent="0.25">
      <c r="B4170" s="100"/>
      <c r="C4170" s="100"/>
      <c r="D4170" s="100"/>
      <c r="E4170" s="100"/>
      <c r="F4170" s="102"/>
      <c r="G4170" s="114"/>
    </row>
    <row r="4171" spans="2:7" ht="15.75" customHeight="1" x14ac:dyDescent="0.25">
      <c r="B4171" s="100"/>
      <c r="C4171" s="100"/>
      <c r="D4171" s="100"/>
      <c r="E4171" s="100"/>
      <c r="F4171" s="102"/>
      <c r="G4171" s="114"/>
    </row>
    <row r="4172" spans="2:7" ht="15.75" customHeight="1" x14ac:dyDescent="0.25">
      <c r="B4172" s="100"/>
      <c r="C4172" s="100"/>
      <c r="D4172" s="100"/>
      <c r="E4172" s="100"/>
      <c r="F4172" s="102"/>
      <c r="G4172" s="114"/>
    </row>
    <row r="4173" spans="2:7" ht="15.75" customHeight="1" x14ac:dyDescent="0.25">
      <c r="B4173" s="100"/>
      <c r="C4173" s="100"/>
      <c r="D4173" s="100"/>
      <c r="E4173" s="100"/>
      <c r="F4173" s="102"/>
      <c r="G4173" s="114"/>
    </row>
    <row r="4174" spans="2:7" ht="15.75" customHeight="1" x14ac:dyDescent="0.25">
      <c r="B4174" s="100"/>
      <c r="C4174" s="100"/>
      <c r="D4174" s="100"/>
      <c r="E4174" s="100"/>
      <c r="F4174" s="102"/>
      <c r="G4174" s="114"/>
    </row>
    <row r="4175" spans="2:7" ht="15.75" customHeight="1" x14ac:dyDescent="0.25">
      <c r="B4175" s="100"/>
      <c r="C4175" s="100"/>
      <c r="D4175" s="100"/>
      <c r="E4175" s="100"/>
      <c r="F4175" s="102"/>
      <c r="G4175" s="114"/>
    </row>
    <row r="4176" spans="2:7" ht="15.75" customHeight="1" x14ac:dyDescent="0.25">
      <c r="B4176" s="100"/>
      <c r="C4176" s="100"/>
      <c r="D4176" s="100"/>
      <c r="E4176" s="100"/>
      <c r="F4176" s="102"/>
      <c r="G4176" s="114"/>
    </row>
    <row r="4177" spans="2:7" ht="15.75" customHeight="1" x14ac:dyDescent="0.25">
      <c r="B4177" s="100"/>
      <c r="C4177" s="100"/>
      <c r="D4177" s="100"/>
      <c r="E4177" s="100"/>
      <c r="F4177" s="102"/>
      <c r="G4177" s="114"/>
    </row>
    <row r="4178" spans="2:7" ht="15.75" customHeight="1" x14ac:dyDescent="0.25">
      <c r="B4178" s="100"/>
      <c r="C4178" s="100"/>
      <c r="D4178" s="100"/>
      <c r="E4178" s="100"/>
      <c r="F4178" s="102"/>
      <c r="G4178" s="114"/>
    </row>
    <row r="4179" spans="2:7" ht="15.75" customHeight="1" x14ac:dyDescent="0.25">
      <c r="B4179" s="100"/>
      <c r="C4179" s="100"/>
      <c r="D4179" s="100"/>
      <c r="E4179" s="100"/>
      <c r="F4179" s="102"/>
      <c r="G4179" s="114"/>
    </row>
    <row r="4180" spans="2:7" ht="15.75" customHeight="1" x14ac:dyDescent="0.25">
      <c r="B4180" s="100"/>
      <c r="C4180" s="100"/>
      <c r="D4180" s="100"/>
      <c r="E4180" s="100"/>
      <c r="F4180" s="102"/>
      <c r="G4180" s="114"/>
    </row>
    <row r="4181" spans="2:7" ht="15.75" customHeight="1" x14ac:dyDescent="0.25">
      <c r="B4181" s="100"/>
      <c r="C4181" s="100"/>
      <c r="D4181" s="100"/>
      <c r="E4181" s="100"/>
      <c r="F4181" s="102"/>
      <c r="G4181" s="114"/>
    </row>
    <row r="4182" spans="2:7" ht="15.75" customHeight="1" x14ac:dyDescent="0.25">
      <c r="B4182" s="100"/>
      <c r="C4182" s="100"/>
      <c r="D4182" s="100"/>
      <c r="E4182" s="100"/>
      <c r="F4182" s="102"/>
      <c r="G4182" s="114"/>
    </row>
    <row r="4183" spans="2:7" ht="15.75" customHeight="1" x14ac:dyDescent="0.25">
      <c r="B4183" s="100"/>
      <c r="C4183" s="100"/>
      <c r="D4183" s="100"/>
      <c r="E4183" s="100"/>
      <c r="F4183" s="102"/>
      <c r="G4183" s="114"/>
    </row>
    <row r="4184" spans="2:7" ht="15.75" customHeight="1" x14ac:dyDescent="0.25">
      <c r="B4184" s="100"/>
      <c r="C4184" s="100"/>
      <c r="D4184" s="100"/>
      <c r="E4184" s="100"/>
      <c r="F4184" s="102"/>
      <c r="G4184" s="114"/>
    </row>
    <row r="4185" spans="2:7" ht="15.75" customHeight="1" x14ac:dyDescent="0.25">
      <c r="B4185" s="100"/>
      <c r="C4185" s="100"/>
      <c r="D4185" s="100"/>
      <c r="E4185" s="100"/>
      <c r="F4185" s="102"/>
      <c r="G4185" s="114"/>
    </row>
    <row r="4186" spans="2:7" ht="15.75" customHeight="1" x14ac:dyDescent="0.25">
      <c r="B4186" s="100"/>
      <c r="C4186" s="100"/>
      <c r="D4186" s="100"/>
      <c r="E4186" s="100"/>
      <c r="F4186" s="102"/>
      <c r="G4186" s="114"/>
    </row>
    <row r="4187" spans="2:7" ht="15.75" customHeight="1" x14ac:dyDescent="0.25">
      <c r="B4187" s="100"/>
      <c r="C4187" s="100"/>
      <c r="D4187" s="100"/>
      <c r="E4187" s="100"/>
      <c r="F4187" s="102"/>
      <c r="G4187" s="114"/>
    </row>
    <row r="4188" spans="2:7" ht="15.75" customHeight="1" x14ac:dyDescent="0.25">
      <c r="B4188" s="100"/>
      <c r="C4188" s="100"/>
      <c r="D4188" s="100"/>
      <c r="E4188" s="100"/>
      <c r="F4188" s="102"/>
      <c r="G4188" s="114"/>
    </row>
    <row r="4189" spans="2:7" ht="15.75" customHeight="1" x14ac:dyDescent="0.25">
      <c r="B4189" s="100"/>
      <c r="C4189" s="100"/>
      <c r="D4189" s="100"/>
      <c r="E4189" s="100"/>
      <c r="F4189" s="102"/>
      <c r="G4189" s="114"/>
    </row>
    <row r="4190" spans="2:7" ht="15.75" customHeight="1" x14ac:dyDescent="0.25">
      <c r="B4190" s="100"/>
      <c r="C4190" s="100"/>
      <c r="D4190" s="100"/>
      <c r="E4190" s="100"/>
      <c r="F4190" s="102"/>
      <c r="G4190" s="114"/>
    </row>
    <row r="4191" spans="2:7" ht="15.75" customHeight="1" x14ac:dyDescent="0.25">
      <c r="B4191" s="100"/>
      <c r="C4191" s="100"/>
      <c r="D4191" s="100"/>
      <c r="E4191" s="100"/>
      <c r="F4191" s="102"/>
      <c r="G4191" s="114"/>
    </row>
    <row r="4192" spans="2:7" ht="15.75" customHeight="1" x14ac:dyDescent="0.25">
      <c r="B4192" s="100"/>
      <c r="C4192" s="100"/>
      <c r="D4192" s="100"/>
      <c r="E4192" s="100"/>
      <c r="F4192" s="102"/>
      <c r="G4192" s="114"/>
    </row>
    <row r="4193" spans="2:7" ht="15.75" customHeight="1" x14ac:dyDescent="0.25">
      <c r="B4193" s="100"/>
      <c r="C4193" s="100"/>
      <c r="D4193" s="100"/>
      <c r="E4193" s="100"/>
      <c r="F4193" s="102"/>
      <c r="G4193" s="114"/>
    </row>
    <row r="4194" spans="2:7" ht="15.75" customHeight="1" x14ac:dyDescent="0.25">
      <c r="B4194" s="100"/>
      <c r="C4194" s="100"/>
      <c r="D4194" s="100"/>
      <c r="E4194" s="100"/>
      <c r="F4194" s="102"/>
      <c r="G4194" s="114"/>
    </row>
    <row r="4195" spans="2:7" ht="15.75" customHeight="1" x14ac:dyDescent="0.25">
      <c r="B4195" s="100"/>
      <c r="C4195" s="100"/>
      <c r="D4195" s="100"/>
      <c r="E4195" s="100"/>
      <c r="F4195" s="102"/>
      <c r="G4195" s="114"/>
    </row>
    <row r="4196" spans="2:7" ht="15.75" customHeight="1" x14ac:dyDescent="0.25">
      <c r="B4196" s="100"/>
      <c r="C4196" s="100"/>
      <c r="D4196" s="100"/>
      <c r="E4196" s="100"/>
      <c r="F4196" s="102"/>
      <c r="G4196" s="114"/>
    </row>
    <row r="4197" spans="2:7" ht="15.75" customHeight="1" x14ac:dyDescent="0.25">
      <c r="B4197" s="100"/>
      <c r="C4197" s="100"/>
      <c r="D4197" s="100"/>
      <c r="E4197" s="100"/>
      <c r="F4197" s="102"/>
      <c r="G4197" s="114"/>
    </row>
    <row r="4198" spans="2:7" ht="15.75" customHeight="1" x14ac:dyDescent="0.25">
      <c r="B4198" s="100"/>
      <c r="C4198" s="100"/>
      <c r="D4198" s="100"/>
      <c r="E4198" s="100"/>
      <c r="F4198" s="102"/>
      <c r="G4198" s="114"/>
    </row>
    <row r="4199" spans="2:7" ht="15.75" customHeight="1" x14ac:dyDescent="0.25">
      <c r="B4199" s="100"/>
      <c r="C4199" s="100"/>
      <c r="D4199" s="100"/>
      <c r="E4199" s="100"/>
      <c r="F4199" s="102"/>
      <c r="G4199" s="114"/>
    </row>
    <row r="4200" spans="2:7" ht="15.75" customHeight="1" x14ac:dyDescent="0.25">
      <c r="B4200" s="100"/>
      <c r="C4200" s="100"/>
      <c r="D4200" s="100"/>
      <c r="E4200" s="100"/>
      <c r="F4200" s="102"/>
      <c r="G4200" s="114"/>
    </row>
    <row r="4201" spans="2:7" ht="15.75" customHeight="1" x14ac:dyDescent="0.25">
      <c r="B4201" s="100"/>
      <c r="C4201" s="100"/>
      <c r="D4201" s="100"/>
      <c r="E4201" s="100"/>
      <c r="F4201" s="102"/>
      <c r="G4201" s="114"/>
    </row>
    <row r="4202" spans="2:7" ht="15.75" customHeight="1" x14ac:dyDescent="0.25">
      <c r="B4202" s="100"/>
      <c r="C4202" s="100"/>
      <c r="D4202" s="100"/>
      <c r="E4202" s="100"/>
      <c r="F4202" s="102"/>
      <c r="G4202" s="114"/>
    </row>
    <row r="4203" spans="2:7" ht="15.75" customHeight="1" x14ac:dyDescent="0.25">
      <c r="B4203" s="100"/>
      <c r="C4203" s="100"/>
      <c r="D4203" s="100"/>
      <c r="E4203" s="100"/>
      <c r="F4203" s="102"/>
      <c r="G4203" s="114"/>
    </row>
    <row r="4204" spans="2:7" ht="15.75" customHeight="1" x14ac:dyDescent="0.25">
      <c r="B4204" s="100"/>
      <c r="C4204" s="100"/>
      <c r="D4204" s="100"/>
      <c r="E4204" s="100"/>
      <c r="F4204" s="102"/>
      <c r="G4204" s="114"/>
    </row>
    <row r="4205" spans="2:7" ht="15.75" customHeight="1" x14ac:dyDescent="0.25">
      <c r="B4205" s="100"/>
      <c r="C4205" s="100"/>
      <c r="D4205" s="100"/>
      <c r="E4205" s="100"/>
      <c r="F4205" s="102"/>
      <c r="G4205" s="114"/>
    </row>
    <row r="4206" spans="2:7" ht="15.75" customHeight="1" x14ac:dyDescent="0.25">
      <c r="B4206" s="100"/>
      <c r="C4206" s="100"/>
      <c r="D4206" s="100"/>
      <c r="E4206" s="100"/>
      <c r="F4206" s="102"/>
      <c r="G4206" s="114"/>
    </row>
    <row r="4207" spans="2:7" ht="15.75" customHeight="1" x14ac:dyDescent="0.25">
      <c r="B4207" s="100"/>
      <c r="C4207" s="100"/>
      <c r="D4207" s="100"/>
      <c r="E4207" s="100"/>
      <c r="F4207" s="102"/>
      <c r="G4207" s="114"/>
    </row>
    <row r="4208" spans="2:7" ht="15.75" customHeight="1" x14ac:dyDescent="0.25">
      <c r="B4208" s="100"/>
      <c r="C4208" s="100"/>
      <c r="D4208" s="100"/>
      <c r="E4208" s="100"/>
      <c r="F4208" s="102"/>
      <c r="G4208" s="114"/>
    </row>
    <row r="4209" spans="2:7" ht="15.75" customHeight="1" x14ac:dyDescent="0.25">
      <c r="B4209" s="100"/>
      <c r="C4209" s="100"/>
      <c r="D4209" s="100"/>
      <c r="E4209" s="100"/>
      <c r="F4209" s="102"/>
      <c r="G4209" s="114"/>
    </row>
    <row r="4210" spans="2:7" ht="15.75" customHeight="1" x14ac:dyDescent="0.25">
      <c r="B4210" s="100"/>
      <c r="C4210" s="100"/>
      <c r="D4210" s="100"/>
      <c r="E4210" s="100"/>
      <c r="F4210" s="102"/>
      <c r="G4210" s="114"/>
    </row>
    <row r="4211" spans="2:7" ht="15.75" customHeight="1" x14ac:dyDescent="0.25">
      <c r="B4211" s="100"/>
      <c r="C4211" s="100"/>
      <c r="D4211" s="100"/>
      <c r="E4211" s="100"/>
      <c r="F4211" s="102"/>
      <c r="G4211" s="114"/>
    </row>
    <row r="4212" spans="2:7" ht="15.75" customHeight="1" x14ac:dyDescent="0.25">
      <c r="B4212" s="100"/>
      <c r="C4212" s="100"/>
      <c r="D4212" s="100"/>
      <c r="E4212" s="100"/>
      <c r="F4212" s="102"/>
      <c r="G4212" s="114"/>
    </row>
    <row r="4213" spans="2:7" ht="15.75" customHeight="1" x14ac:dyDescent="0.25">
      <c r="B4213" s="100"/>
      <c r="C4213" s="100"/>
      <c r="D4213" s="100"/>
      <c r="E4213" s="100"/>
      <c r="F4213" s="102"/>
      <c r="G4213" s="114"/>
    </row>
    <row r="4214" spans="2:7" ht="15.75" customHeight="1" x14ac:dyDescent="0.25">
      <c r="B4214" s="100"/>
      <c r="C4214" s="100"/>
      <c r="D4214" s="100"/>
      <c r="E4214" s="100"/>
      <c r="F4214" s="102"/>
      <c r="G4214" s="114"/>
    </row>
    <row r="4215" spans="2:7" ht="15.75" customHeight="1" x14ac:dyDescent="0.25">
      <c r="B4215" s="100"/>
      <c r="C4215" s="100"/>
      <c r="D4215" s="100"/>
      <c r="E4215" s="100"/>
      <c r="F4215" s="102"/>
      <c r="G4215" s="114"/>
    </row>
    <row r="4216" spans="2:7" ht="15.75" customHeight="1" x14ac:dyDescent="0.25">
      <c r="B4216" s="100"/>
      <c r="C4216" s="100"/>
      <c r="D4216" s="100"/>
      <c r="E4216" s="100"/>
      <c r="F4216" s="102"/>
      <c r="G4216" s="114"/>
    </row>
    <row r="4217" spans="2:7" ht="15.75" customHeight="1" x14ac:dyDescent="0.25">
      <c r="B4217" s="100"/>
      <c r="C4217" s="100"/>
      <c r="D4217" s="100"/>
      <c r="E4217" s="100"/>
      <c r="F4217" s="102"/>
      <c r="G4217" s="114"/>
    </row>
    <row r="4218" spans="2:7" ht="15.75" customHeight="1" x14ac:dyDescent="0.25">
      <c r="B4218" s="100"/>
      <c r="C4218" s="100"/>
      <c r="D4218" s="100"/>
      <c r="E4218" s="100"/>
      <c r="F4218" s="102"/>
      <c r="G4218" s="114"/>
    </row>
    <row r="4219" spans="2:7" ht="15.75" customHeight="1" x14ac:dyDescent="0.25">
      <c r="B4219" s="100"/>
      <c r="C4219" s="100"/>
      <c r="D4219" s="100"/>
      <c r="E4219" s="100"/>
      <c r="F4219" s="102"/>
      <c r="G4219" s="114"/>
    </row>
    <row r="4220" spans="2:7" ht="15.75" customHeight="1" x14ac:dyDescent="0.25">
      <c r="B4220" s="100"/>
      <c r="C4220" s="100"/>
      <c r="D4220" s="100"/>
      <c r="E4220" s="100"/>
      <c r="F4220" s="102"/>
      <c r="G4220" s="114"/>
    </row>
    <row r="4221" spans="2:7" ht="15.75" customHeight="1" x14ac:dyDescent="0.25">
      <c r="B4221" s="100"/>
      <c r="C4221" s="100"/>
      <c r="D4221" s="100"/>
      <c r="E4221" s="100"/>
      <c r="F4221" s="102"/>
      <c r="G4221" s="114"/>
    </row>
    <row r="4222" spans="2:7" ht="15.75" customHeight="1" x14ac:dyDescent="0.25">
      <c r="B4222" s="100"/>
      <c r="C4222" s="100"/>
      <c r="D4222" s="100"/>
      <c r="E4222" s="100"/>
      <c r="F4222" s="102"/>
      <c r="G4222" s="114"/>
    </row>
    <row r="4223" spans="2:7" ht="15.75" customHeight="1" x14ac:dyDescent="0.25">
      <c r="B4223" s="100"/>
      <c r="C4223" s="100"/>
      <c r="D4223" s="100"/>
      <c r="E4223" s="100"/>
      <c r="F4223" s="102"/>
      <c r="G4223" s="114"/>
    </row>
    <row r="4224" spans="2:7" ht="15.75" customHeight="1" x14ac:dyDescent="0.25">
      <c r="B4224" s="100"/>
      <c r="C4224" s="100"/>
      <c r="D4224" s="100"/>
      <c r="E4224" s="100"/>
      <c r="F4224" s="102"/>
      <c r="G4224" s="114"/>
    </row>
    <row r="4225" spans="2:7" ht="15.75" customHeight="1" x14ac:dyDescent="0.25">
      <c r="B4225" s="100"/>
      <c r="C4225" s="100"/>
      <c r="D4225" s="100"/>
      <c r="E4225" s="100"/>
      <c r="F4225" s="102"/>
      <c r="G4225" s="114"/>
    </row>
    <row r="4226" spans="2:7" ht="15.75" customHeight="1" x14ac:dyDescent="0.25">
      <c r="B4226" s="100"/>
      <c r="C4226" s="100"/>
      <c r="D4226" s="100"/>
      <c r="E4226" s="100"/>
      <c r="F4226" s="102"/>
      <c r="G4226" s="114"/>
    </row>
    <row r="4227" spans="2:7" ht="15.75" customHeight="1" x14ac:dyDescent="0.25">
      <c r="B4227" s="100"/>
      <c r="C4227" s="100"/>
      <c r="D4227" s="100"/>
      <c r="E4227" s="100"/>
      <c r="F4227" s="102"/>
      <c r="G4227" s="114"/>
    </row>
    <row r="4228" spans="2:7" ht="15.75" customHeight="1" x14ac:dyDescent="0.25">
      <c r="B4228" s="100"/>
      <c r="C4228" s="100"/>
      <c r="D4228" s="100"/>
      <c r="E4228" s="100"/>
      <c r="F4228" s="102"/>
      <c r="G4228" s="114"/>
    </row>
    <row r="4229" spans="2:7" ht="15.75" customHeight="1" x14ac:dyDescent="0.25">
      <c r="B4229" s="100"/>
      <c r="C4229" s="100"/>
      <c r="D4229" s="100"/>
      <c r="E4229" s="100"/>
      <c r="F4229" s="102"/>
      <c r="G4229" s="114"/>
    </row>
    <row r="4230" spans="2:7" ht="15.75" customHeight="1" x14ac:dyDescent="0.25">
      <c r="B4230" s="100"/>
      <c r="C4230" s="100"/>
      <c r="D4230" s="100"/>
      <c r="E4230" s="100"/>
      <c r="F4230" s="102"/>
      <c r="G4230" s="114"/>
    </row>
    <row r="4231" spans="2:7" ht="15.75" customHeight="1" x14ac:dyDescent="0.25">
      <c r="B4231" s="100"/>
      <c r="C4231" s="100"/>
      <c r="D4231" s="100"/>
      <c r="E4231" s="100"/>
      <c r="F4231" s="102"/>
      <c r="G4231" s="114"/>
    </row>
    <row r="4232" spans="2:7" ht="15.75" customHeight="1" x14ac:dyDescent="0.25">
      <c r="B4232" s="100"/>
      <c r="C4232" s="100"/>
      <c r="D4232" s="100"/>
      <c r="E4232" s="100"/>
      <c r="F4232" s="102"/>
      <c r="G4232" s="114"/>
    </row>
    <row r="4233" spans="2:7" ht="15.75" customHeight="1" x14ac:dyDescent="0.25">
      <c r="B4233" s="100"/>
      <c r="C4233" s="100"/>
      <c r="D4233" s="100"/>
      <c r="E4233" s="100"/>
      <c r="F4233" s="102"/>
      <c r="G4233" s="114"/>
    </row>
    <row r="4234" spans="2:7" ht="15.75" customHeight="1" x14ac:dyDescent="0.25">
      <c r="B4234" s="100"/>
      <c r="C4234" s="100"/>
      <c r="D4234" s="100"/>
      <c r="E4234" s="100"/>
      <c r="F4234" s="102"/>
      <c r="G4234" s="114"/>
    </row>
    <row r="4235" spans="2:7" ht="15.75" customHeight="1" x14ac:dyDescent="0.25">
      <c r="B4235" s="100"/>
      <c r="C4235" s="100"/>
      <c r="D4235" s="100"/>
      <c r="E4235" s="100"/>
      <c r="F4235" s="102"/>
      <c r="G4235" s="114"/>
    </row>
    <row r="4236" spans="2:7" ht="15.75" customHeight="1" x14ac:dyDescent="0.25">
      <c r="B4236" s="100"/>
      <c r="C4236" s="100"/>
      <c r="D4236" s="100"/>
      <c r="E4236" s="100"/>
      <c r="F4236" s="102"/>
      <c r="G4236" s="114"/>
    </row>
    <row r="4237" spans="2:7" ht="15.75" customHeight="1" x14ac:dyDescent="0.25">
      <c r="B4237" s="100"/>
      <c r="C4237" s="100"/>
      <c r="D4237" s="100"/>
      <c r="E4237" s="100"/>
      <c r="F4237" s="102"/>
      <c r="G4237" s="114"/>
    </row>
    <row r="4238" spans="2:7" ht="15.75" customHeight="1" x14ac:dyDescent="0.25">
      <c r="B4238" s="100"/>
      <c r="C4238" s="100"/>
      <c r="D4238" s="100"/>
      <c r="E4238" s="100"/>
      <c r="F4238" s="102"/>
      <c r="G4238" s="114"/>
    </row>
    <row r="4239" spans="2:7" ht="15.75" customHeight="1" x14ac:dyDescent="0.25">
      <c r="B4239" s="100"/>
      <c r="C4239" s="100"/>
      <c r="D4239" s="100"/>
      <c r="E4239" s="100"/>
      <c r="F4239" s="102"/>
      <c r="G4239" s="114"/>
    </row>
    <row r="4240" spans="2:7" ht="15.75" customHeight="1" x14ac:dyDescent="0.25">
      <c r="B4240" s="100"/>
      <c r="C4240" s="100"/>
      <c r="D4240" s="100"/>
      <c r="E4240" s="100"/>
      <c r="F4240" s="102"/>
      <c r="G4240" s="114"/>
    </row>
    <row r="4241" spans="2:7" ht="15.75" customHeight="1" x14ac:dyDescent="0.25">
      <c r="B4241" s="100"/>
      <c r="C4241" s="100"/>
      <c r="D4241" s="100"/>
      <c r="E4241" s="100"/>
      <c r="F4241" s="102"/>
      <c r="G4241" s="114"/>
    </row>
    <row r="4242" spans="2:7" ht="15.75" customHeight="1" x14ac:dyDescent="0.25">
      <c r="B4242" s="100"/>
      <c r="C4242" s="100"/>
      <c r="D4242" s="100"/>
      <c r="E4242" s="100"/>
      <c r="F4242" s="102"/>
      <c r="G4242" s="114"/>
    </row>
    <row r="4243" spans="2:7" ht="15.75" customHeight="1" x14ac:dyDescent="0.25">
      <c r="B4243" s="100"/>
      <c r="C4243" s="100"/>
      <c r="D4243" s="100"/>
      <c r="E4243" s="100"/>
      <c r="F4243" s="102"/>
      <c r="G4243" s="114"/>
    </row>
    <row r="4244" spans="2:7" ht="15.75" customHeight="1" x14ac:dyDescent="0.25">
      <c r="B4244" s="100"/>
      <c r="C4244" s="100"/>
      <c r="D4244" s="100"/>
      <c r="E4244" s="100"/>
      <c r="F4244" s="102"/>
      <c r="G4244" s="114"/>
    </row>
    <row r="4245" spans="2:7" ht="15.75" customHeight="1" x14ac:dyDescent="0.25">
      <c r="B4245" s="100"/>
      <c r="C4245" s="100"/>
      <c r="D4245" s="100"/>
      <c r="E4245" s="100"/>
      <c r="F4245" s="102"/>
      <c r="G4245" s="114"/>
    </row>
    <row r="4246" spans="2:7" ht="15.75" customHeight="1" x14ac:dyDescent="0.25">
      <c r="B4246" s="100"/>
      <c r="C4246" s="100"/>
      <c r="D4246" s="100"/>
      <c r="E4246" s="100"/>
      <c r="F4246" s="102"/>
      <c r="G4246" s="114"/>
    </row>
    <row r="4247" spans="2:7" ht="15.75" customHeight="1" x14ac:dyDescent="0.25">
      <c r="B4247" s="100"/>
      <c r="C4247" s="100"/>
      <c r="D4247" s="100"/>
      <c r="E4247" s="100"/>
      <c r="F4247" s="102"/>
      <c r="G4247" s="114"/>
    </row>
    <row r="4248" spans="2:7" ht="15.75" customHeight="1" x14ac:dyDescent="0.25">
      <c r="B4248" s="100"/>
      <c r="C4248" s="100"/>
      <c r="D4248" s="100"/>
      <c r="E4248" s="100"/>
      <c r="F4248" s="102"/>
      <c r="G4248" s="114"/>
    </row>
    <row r="4249" spans="2:7" ht="15.75" customHeight="1" x14ac:dyDescent="0.25">
      <c r="B4249" s="100"/>
      <c r="C4249" s="100"/>
      <c r="D4249" s="100"/>
      <c r="E4249" s="100"/>
      <c r="F4249" s="102"/>
      <c r="G4249" s="114"/>
    </row>
    <row r="4250" spans="2:7" ht="15.75" customHeight="1" x14ac:dyDescent="0.25">
      <c r="B4250" s="100"/>
      <c r="C4250" s="100"/>
      <c r="D4250" s="100"/>
      <c r="E4250" s="100"/>
      <c r="F4250" s="102"/>
      <c r="G4250" s="114"/>
    </row>
    <row r="4251" spans="2:7" ht="15.75" customHeight="1" x14ac:dyDescent="0.25">
      <c r="B4251" s="100"/>
      <c r="C4251" s="100"/>
      <c r="D4251" s="100"/>
      <c r="E4251" s="100"/>
      <c r="F4251" s="102"/>
      <c r="G4251" s="114"/>
    </row>
    <row r="4252" spans="2:7" ht="15.75" customHeight="1" x14ac:dyDescent="0.25">
      <c r="B4252" s="100"/>
      <c r="C4252" s="100"/>
      <c r="D4252" s="100"/>
      <c r="E4252" s="100"/>
      <c r="F4252" s="102"/>
      <c r="G4252" s="114"/>
    </row>
    <row r="4253" spans="2:7" ht="15.75" customHeight="1" x14ac:dyDescent="0.25">
      <c r="B4253" s="100"/>
      <c r="C4253" s="100"/>
      <c r="D4253" s="100"/>
      <c r="E4253" s="100"/>
      <c r="F4253" s="102"/>
      <c r="G4253" s="114"/>
    </row>
    <row r="4254" spans="2:7" ht="15.75" customHeight="1" x14ac:dyDescent="0.25">
      <c r="B4254" s="100"/>
      <c r="C4254" s="100"/>
      <c r="D4254" s="100"/>
      <c r="E4254" s="100"/>
      <c r="F4254" s="102"/>
      <c r="G4254" s="114"/>
    </row>
    <row r="4255" spans="2:7" ht="15.75" customHeight="1" x14ac:dyDescent="0.25">
      <c r="B4255" s="100"/>
      <c r="C4255" s="100"/>
      <c r="D4255" s="100"/>
      <c r="E4255" s="100"/>
      <c r="F4255" s="102"/>
      <c r="G4255" s="114"/>
    </row>
    <row r="4256" spans="2:7" ht="15.75" customHeight="1" x14ac:dyDescent="0.25">
      <c r="B4256" s="100"/>
      <c r="C4256" s="100"/>
      <c r="D4256" s="100"/>
      <c r="E4256" s="100"/>
      <c r="F4256" s="102"/>
      <c r="G4256" s="114"/>
    </row>
    <row r="4257" spans="2:7" ht="15.75" customHeight="1" x14ac:dyDescent="0.25">
      <c r="B4257" s="100"/>
      <c r="C4257" s="100"/>
      <c r="D4257" s="100"/>
      <c r="E4257" s="100"/>
      <c r="F4257" s="102"/>
      <c r="G4257" s="114"/>
    </row>
    <row r="4258" spans="2:7" ht="15.75" customHeight="1" x14ac:dyDescent="0.25">
      <c r="B4258" s="100"/>
      <c r="C4258" s="100"/>
      <c r="D4258" s="100"/>
      <c r="E4258" s="100"/>
      <c r="F4258" s="102"/>
      <c r="G4258" s="114"/>
    </row>
    <row r="4259" spans="2:7" ht="15.75" customHeight="1" x14ac:dyDescent="0.25">
      <c r="B4259" s="100"/>
      <c r="C4259" s="100"/>
      <c r="D4259" s="100"/>
      <c r="E4259" s="100"/>
      <c r="F4259" s="102"/>
      <c r="G4259" s="114"/>
    </row>
    <row r="4260" spans="2:7" ht="15.75" customHeight="1" x14ac:dyDescent="0.25">
      <c r="B4260" s="100"/>
      <c r="C4260" s="100"/>
      <c r="D4260" s="100"/>
      <c r="E4260" s="100"/>
      <c r="F4260" s="102"/>
      <c r="G4260" s="114"/>
    </row>
    <row r="4261" spans="2:7" ht="15.75" customHeight="1" x14ac:dyDescent="0.25">
      <c r="B4261" s="100"/>
      <c r="C4261" s="100"/>
      <c r="D4261" s="100"/>
      <c r="E4261" s="100"/>
      <c r="F4261" s="102"/>
      <c r="G4261" s="114"/>
    </row>
    <row r="4262" spans="2:7" ht="15.75" customHeight="1" x14ac:dyDescent="0.25">
      <c r="B4262" s="100"/>
      <c r="C4262" s="100"/>
      <c r="D4262" s="100"/>
      <c r="E4262" s="100"/>
      <c r="F4262" s="102"/>
      <c r="G4262" s="114"/>
    </row>
    <row r="4263" spans="2:7" ht="15.75" customHeight="1" x14ac:dyDescent="0.25">
      <c r="B4263" s="100"/>
      <c r="C4263" s="100"/>
      <c r="D4263" s="100"/>
      <c r="E4263" s="100"/>
      <c r="F4263" s="102"/>
      <c r="G4263" s="114"/>
    </row>
    <row r="4264" spans="2:7" ht="15.75" customHeight="1" x14ac:dyDescent="0.25">
      <c r="B4264" s="100"/>
      <c r="C4264" s="100"/>
      <c r="D4264" s="100"/>
      <c r="E4264" s="100"/>
      <c r="F4264" s="102"/>
      <c r="G4264" s="114"/>
    </row>
    <row r="4265" spans="2:7" ht="15.75" customHeight="1" x14ac:dyDescent="0.25">
      <c r="B4265" s="100"/>
      <c r="C4265" s="100"/>
      <c r="D4265" s="100"/>
      <c r="E4265" s="100"/>
      <c r="F4265" s="102"/>
      <c r="G4265" s="114"/>
    </row>
    <row r="4266" spans="2:7" ht="15.75" customHeight="1" x14ac:dyDescent="0.25">
      <c r="B4266" s="100"/>
      <c r="C4266" s="100"/>
      <c r="D4266" s="100"/>
      <c r="E4266" s="100"/>
      <c r="F4266" s="102"/>
      <c r="G4266" s="114"/>
    </row>
    <row r="4267" spans="2:7" ht="15.75" customHeight="1" x14ac:dyDescent="0.25">
      <c r="B4267" s="100"/>
      <c r="C4267" s="100"/>
      <c r="D4267" s="100"/>
      <c r="E4267" s="100"/>
      <c r="F4267" s="102"/>
      <c r="G4267" s="114"/>
    </row>
    <row r="4268" spans="2:7" ht="15.75" customHeight="1" x14ac:dyDescent="0.25">
      <c r="B4268" s="100"/>
      <c r="C4268" s="100"/>
      <c r="D4268" s="100"/>
      <c r="E4268" s="100"/>
      <c r="F4268" s="102"/>
      <c r="G4268" s="114"/>
    </row>
    <row r="4269" spans="2:7" ht="15.75" customHeight="1" x14ac:dyDescent="0.25">
      <c r="B4269" s="100"/>
      <c r="C4269" s="100"/>
      <c r="D4269" s="100"/>
      <c r="E4269" s="100"/>
      <c r="F4269" s="102"/>
      <c r="G4269" s="114"/>
    </row>
    <row r="4270" spans="2:7" ht="15.75" customHeight="1" x14ac:dyDescent="0.25">
      <c r="B4270" s="100"/>
      <c r="C4270" s="100"/>
      <c r="D4270" s="100"/>
      <c r="E4270" s="100"/>
      <c r="F4270" s="102"/>
      <c r="G4270" s="114"/>
    </row>
    <row r="4271" spans="2:7" ht="15.75" customHeight="1" x14ac:dyDescent="0.25">
      <c r="B4271" s="100"/>
      <c r="C4271" s="100"/>
      <c r="D4271" s="100"/>
      <c r="E4271" s="100"/>
      <c r="F4271" s="102"/>
      <c r="G4271" s="114"/>
    </row>
    <row r="4272" spans="2:7" ht="15.75" customHeight="1" x14ac:dyDescent="0.25">
      <c r="B4272" s="100"/>
      <c r="C4272" s="100"/>
      <c r="D4272" s="100"/>
      <c r="E4272" s="100"/>
      <c r="F4272" s="102"/>
      <c r="G4272" s="114"/>
    </row>
    <row r="4273" spans="2:7" ht="15.75" customHeight="1" x14ac:dyDescent="0.25">
      <c r="B4273" s="100"/>
      <c r="C4273" s="100"/>
      <c r="D4273" s="100"/>
      <c r="E4273" s="100"/>
      <c r="F4273" s="102"/>
      <c r="G4273" s="114"/>
    </row>
    <row r="4274" spans="2:7" ht="15.75" customHeight="1" x14ac:dyDescent="0.25">
      <c r="B4274" s="100"/>
      <c r="C4274" s="100"/>
      <c r="D4274" s="100"/>
      <c r="E4274" s="100"/>
      <c r="F4274" s="102"/>
      <c r="G4274" s="114"/>
    </row>
    <row r="4275" spans="2:7" ht="15.75" customHeight="1" x14ac:dyDescent="0.25">
      <c r="B4275" s="100"/>
      <c r="C4275" s="100"/>
      <c r="D4275" s="100"/>
      <c r="E4275" s="100"/>
      <c r="F4275" s="102"/>
      <c r="G4275" s="114"/>
    </row>
    <row r="4276" spans="2:7" ht="15.75" customHeight="1" x14ac:dyDescent="0.25">
      <c r="B4276" s="100"/>
      <c r="C4276" s="100"/>
      <c r="D4276" s="100"/>
      <c r="E4276" s="100"/>
      <c r="F4276" s="102"/>
      <c r="G4276" s="114"/>
    </row>
    <row r="4277" spans="2:7" ht="15.75" customHeight="1" x14ac:dyDescent="0.25">
      <c r="B4277" s="100"/>
      <c r="C4277" s="100"/>
      <c r="D4277" s="100"/>
      <c r="E4277" s="100"/>
      <c r="F4277" s="102"/>
      <c r="G4277" s="114"/>
    </row>
    <row r="4278" spans="2:7" ht="15.75" customHeight="1" x14ac:dyDescent="0.25">
      <c r="B4278" s="100"/>
      <c r="C4278" s="100"/>
      <c r="D4278" s="100"/>
      <c r="E4278" s="100"/>
      <c r="F4278" s="102"/>
      <c r="G4278" s="114"/>
    </row>
    <row r="4279" spans="2:7" ht="15.75" customHeight="1" x14ac:dyDescent="0.25">
      <c r="B4279" s="100"/>
      <c r="C4279" s="100"/>
      <c r="D4279" s="100"/>
      <c r="E4279" s="100"/>
      <c r="F4279" s="102"/>
      <c r="G4279" s="114"/>
    </row>
    <row r="4280" spans="2:7" ht="15.75" customHeight="1" x14ac:dyDescent="0.25">
      <c r="B4280" s="100"/>
      <c r="C4280" s="100"/>
      <c r="D4280" s="100"/>
      <c r="E4280" s="100"/>
      <c r="F4280" s="102"/>
      <c r="G4280" s="114"/>
    </row>
    <row r="4281" spans="2:7" ht="15.75" customHeight="1" x14ac:dyDescent="0.25">
      <c r="B4281" s="100"/>
      <c r="C4281" s="100"/>
      <c r="D4281" s="100"/>
      <c r="E4281" s="100"/>
      <c r="F4281" s="102"/>
      <c r="G4281" s="114"/>
    </row>
    <row r="4282" spans="2:7" ht="15.75" customHeight="1" x14ac:dyDescent="0.25">
      <c r="B4282" s="100"/>
      <c r="C4282" s="100"/>
      <c r="D4282" s="100"/>
      <c r="E4282" s="100"/>
      <c r="F4282" s="102"/>
      <c r="G4282" s="114"/>
    </row>
    <row r="4283" spans="2:7" ht="15.75" customHeight="1" x14ac:dyDescent="0.25">
      <c r="B4283" s="100"/>
      <c r="C4283" s="100"/>
      <c r="D4283" s="100"/>
      <c r="E4283" s="100"/>
      <c r="F4283" s="102"/>
      <c r="G4283" s="114"/>
    </row>
    <row r="4284" spans="2:7" ht="15.75" customHeight="1" x14ac:dyDescent="0.25">
      <c r="B4284" s="100"/>
      <c r="C4284" s="100"/>
      <c r="D4284" s="100"/>
      <c r="E4284" s="100"/>
      <c r="F4284" s="102"/>
      <c r="G4284" s="114"/>
    </row>
    <row r="4285" spans="2:7" ht="15.75" customHeight="1" x14ac:dyDescent="0.25">
      <c r="B4285" s="100"/>
      <c r="C4285" s="100"/>
      <c r="D4285" s="100"/>
      <c r="E4285" s="100"/>
      <c r="F4285" s="102"/>
      <c r="G4285" s="114"/>
    </row>
    <row r="4286" spans="2:7" ht="15.75" customHeight="1" x14ac:dyDescent="0.25">
      <c r="B4286" s="100"/>
      <c r="C4286" s="100"/>
      <c r="D4286" s="100"/>
      <c r="E4286" s="100"/>
      <c r="F4286" s="102"/>
      <c r="G4286" s="114"/>
    </row>
    <row r="4287" spans="2:7" ht="15.75" customHeight="1" x14ac:dyDescent="0.25">
      <c r="B4287" s="100"/>
      <c r="C4287" s="100"/>
      <c r="D4287" s="100"/>
      <c r="E4287" s="100"/>
      <c r="F4287" s="102"/>
      <c r="G4287" s="114"/>
    </row>
    <row r="4288" spans="2:7" ht="15.75" customHeight="1" x14ac:dyDescent="0.25">
      <c r="B4288" s="100"/>
      <c r="C4288" s="100"/>
      <c r="D4288" s="100"/>
      <c r="E4288" s="100"/>
      <c r="F4288" s="102"/>
      <c r="G4288" s="114"/>
    </row>
    <row r="4289" spans="2:7" ht="15.75" customHeight="1" x14ac:dyDescent="0.25">
      <c r="B4289" s="100"/>
      <c r="C4289" s="100"/>
      <c r="D4289" s="100"/>
      <c r="E4289" s="100"/>
      <c r="F4289" s="102"/>
      <c r="G4289" s="114"/>
    </row>
    <row r="4290" spans="2:7" ht="15.75" customHeight="1" x14ac:dyDescent="0.25">
      <c r="B4290" s="100"/>
      <c r="C4290" s="100"/>
      <c r="D4290" s="100"/>
      <c r="E4290" s="100"/>
      <c r="F4290" s="102"/>
      <c r="G4290" s="114"/>
    </row>
    <row r="4291" spans="2:7" ht="15.75" customHeight="1" x14ac:dyDescent="0.25">
      <c r="B4291" s="100"/>
      <c r="C4291" s="100"/>
      <c r="D4291" s="100"/>
      <c r="E4291" s="100"/>
      <c r="F4291" s="102"/>
      <c r="G4291" s="114"/>
    </row>
    <row r="4292" spans="2:7" ht="15.75" customHeight="1" x14ac:dyDescent="0.25">
      <c r="B4292" s="100"/>
      <c r="C4292" s="100"/>
      <c r="D4292" s="100"/>
      <c r="E4292" s="100"/>
      <c r="F4292" s="102"/>
      <c r="G4292" s="114"/>
    </row>
    <row r="4293" spans="2:7" ht="15.75" customHeight="1" x14ac:dyDescent="0.25">
      <c r="B4293" s="100"/>
      <c r="C4293" s="100"/>
      <c r="D4293" s="100"/>
      <c r="E4293" s="100"/>
      <c r="F4293" s="102"/>
      <c r="G4293" s="114"/>
    </row>
    <row r="4294" spans="2:7" ht="15.75" customHeight="1" x14ac:dyDescent="0.25">
      <c r="B4294" s="100"/>
      <c r="C4294" s="100"/>
      <c r="D4294" s="100"/>
      <c r="E4294" s="100"/>
      <c r="F4294" s="102"/>
      <c r="G4294" s="114"/>
    </row>
    <row r="4295" spans="2:7" ht="15.75" customHeight="1" x14ac:dyDescent="0.25">
      <c r="B4295" s="100"/>
      <c r="C4295" s="100"/>
      <c r="D4295" s="100"/>
      <c r="E4295" s="100"/>
      <c r="F4295" s="102"/>
      <c r="G4295" s="114"/>
    </row>
    <row r="4296" spans="2:7" ht="15.75" customHeight="1" x14ac:dyDescent="0.25">
      <c r="B4296" s="100"/>
      <c r="C4296" s="100"/>
      <c r="D4296" s="100"/>
      <c r="E4296" s="100"/>
      <c r="F4296" s="102"/>
      <c r="G4296" s="114"/>
    </row>
    <row r="4297" spans="2:7" ht="15.75" customHeight="1" x14ac:dyDescent="0.25">
      <c r="B4297" s="100"/>
      <c r="C4297" s="100"/>
      <c r="D4297" s="100"/>
      <c r="E4297" s="100"/>
      <c r="F4297" s="102"/>
      <c r="G4297" s="114"/>
    </row>
    <row r="4298" spans="2:7" ht="15.75" customHeight="1" x14ac:dyDescent="0.25">
      <c r="B4298" s="100"/>
      <c r="C4298" s="100"/>
      <c r="D4298" s="100"/>
      <c r="E4298" s="100"/>
      <c r="F4298" s="102"/>
      <c r="G4298" s="114"/>
    </row>
    <row r="4299" spans="2:7" ht="15.75" customHeight="1" x14ac:dyDescent="0.25">
      <c r="B4299" s="100"/>
      <c r="C4299" s="100"/>
      <c r="D4299" s="100"/>
      <c r="E4299" s="100"/>
      <c r="F4299" s="102"/>
      <c r="G4299" s="114"/>
    </row>
    <row r="4300" spans="2:7" ht="15.75" customHeight="1" x14ac:dyDescent="0.25">
      <c r="B4300" s="100"/>
      <c r="C4300" s="100"/>
      <c r="D4300" s="100"/>
      <c r="E4300" s="100"/>
      <c r="F4300" s="102"/>
      <c r="G4300" s="114"/>
    </row>
    <row r="4301" spans="2:7" ht="15.75" customHeight="1" x14ac:dyDescent="0.25">
      <c r="B4301" s="100"/>
      <c r="C4301" s="100"/>
      <c r="D4301" s="100"/>
      <c r="E4301" s="100"/>
      <c r="F4301" s="102"/>
      <c r="G4301" s="114"/>
    </row>
    <row r="4302" spans="2:7" ht="15.75" customHeight="1" x14ac:dyDescent="0.25">
      <c r="B4302" s="100"/>
      <c r="C4302" s="100"/>
      <c r="D4302" s="100"/>
      <c r="E4302" s="100"/>
      <c r="F4302" s="102"/>
      <c r="G4302" s="114"/>
    </row>
    <row r="4303" spans="2:7" ht="15.75" customHeight="1" x14ac:dyDescent="0.25">
      <c r="B4303" s="100"/>
      <c r="C4303" s="100"/>
      <c r="D4303" s="100"/>
      <c r="E4303" s="100"/>
      <c r="F4303" s="102"/>
      <c r="G4303" s="114"/>
    </row>
    <row r="4304" spans="2:7" ht="15.75" customHeight="1" x14ac:dyDescent="0.25">
      <c r="B4304" s="100"/>
      <c r="C4304" s="100"/>
      <c r="D4304" s="100"/>
      <c r="E4304" s="100"/>
      <c r="F4304" s="102"/>
      <c r="G4304" s="114"/>
    </row>
    <row r="4305" spans="2:7" ht="15.75" customHeight="1" x14ac:dyDescent="0.25">
      <c r="B4305" s="100"/>
      <c r="C4305" s="100"/>
      <c r="D4305" s="100"/>
      <c r="E4305" s="100"/>
      <c r="F4305" s="102"/>
      <c r="G4305" s="114"/>
    </row>
    <row r="4306" spans="2:7" ht="15.75" customHeight="1" x14ac:dyDescent="0.25">
      <c r="B4306" s="100"/>
      <c r="C4306" s="100"/>
      <c r="D4306" s="100"/>
      <c r="E4306" s="100"/>
      <c r="F4306" s="102"/>
      <c r="G4306" s="114"/>
    </row>
    <row r="4307" spans="2:7" ht="15.75" customHeight="1" x14ac:dyDescent="0.25">
      <c r="B4307" s="100"/>
      <c r="C4307" s="100"/>
      <c r="D4307" s="100"/>
      <c r="E4307" s="100"/>
      <c r="F4307" s="102"/>
      <c r="G4307" s="114"/>
    </row>
    <row r="4308" spans="2:7" ht="15.75" customHeight="1" x14ac:dyDescent="0.25">
      <c r="B4308" s="100"/>
      <c r="C4308" s="100"/>
      <c r="D4308" s="100"/>
      <c r="E4308" s="100"/>
      <c r="F4308" s="102"/>
      <c r="G4308" s="114"/>
    </row>
    <row r="4309" spans="2:7" ht="15.75" customHeight="1" x14ac:dyDescent="0.25">
      <c r="B4309" s="100"/>
      <c r="C4309" s="100"/>
      <c r="D4309" s="100"/>
      <c r="E4309" s="100"/>
      <c r="F4309" s="102"/>
      <c r="G4309" s="114"/>
    </row>
    <row r="4310" spans="2:7" ht="15.75" customHeight="1" x14ac:dyDescent="0.25">
      <c r="B4310" s="100"/>
      <c r="C4310" s="100"/>
      <c r="D4310" s="100"/>
      <c r="E4310" s="100"/>
      <c r="F4310" s="102"/>
      <c r="G4310" s="114"/>
    </row>
    <row r="4311" spans="2:7" ht="15.75" customHeight="1" x14ac:dyDescent="0.25">
      <c r="B4311" s="100"/>
      <c r="C4311" s="100"/>
      <c r="D4311" s="100"/>
      <c r="E4311" s="100"/>
      <c r="F4311" s="102"/>
      <c r="G4311" s="114"/>
    </row>
    <row r="4312" spans="2:7" ht="15.75" customHeight="1" x14ac:dyDescent="0.25">
      <c r="B4312" s="100"/>
      <c r="C4312" s="100"/>
      <c r="D4312" s="100"/>
      <c r="E4312" s="100"/>
      <c r="F4312" s="102"/>
      <c r="G4312" s="114"/>
    </row>
    <row r="4313" spans="2:7" ht="15.75" customHeight="1" x14ac:dyDescent="0.25">
      <c r="B4313" s="100"/>
      <c r="C4313" s="100"/>
      <c r="D4313" s="100"/>
      <c r="E4313" s="100"/>
      <c r="F4313" s="102"/>
      <c r="G4313" s="114"/>
    </row>
    <row r="4314" spans="2:7" ht="15.75" customHeight="1" x14ac:dyDescent="0.25">
      <c r="B4314" s="100"/>
      <c r="C4314" s="100"/>
      <c r="D4314" s="100"/>
      <c r="E4314" s="100"/>
      <c r="F4314" s="102"/>
      <c r="G4314" s="114"/>
    </row>
    <row r="4315" spans="2:7" ht="15.75" customHeight="1" x14ac:dyDescent="0.25">
      <c r="B4315" s="100"/>
      <c r="C4315" s="100"/>
      <c r="D4315" s="100"/>
      <c r="E4315" s="100"/>
      <c r="F4315" s="102"/>
      <c r="G4315" s="114"/>
    </row>
    <row r="4316" spans="2:7" ht="15.75" customHeight="1" x14ac:dyDescent="0.25">
      <c r="B4316" s="100"/>
      <c r="C4316" s="100"/>
      <c r="D4316" s="100"/>
      <c r="E4316" s="100"/>
      <c r="F4316" s="102"/>
      <c r="G4316" s="114"/>
    </row>
    <row r="4317" spans="2:7" ht="15.75" customHeight="1" x14ac:dyDescent="0.25">
      <c r="B4317" s="100"/>
      <c r="C4317" s="100"/>
      <c r="D4317" s="100"/>
      <c r="E4317" s="100"/>
      <c r="F4317" s="102"/>
      <c r="G4317" s="114"/>
    </row>
    <row r="4318" spans="2:7" ht="15.75" customHeight="1" x14ac:dyDescent="0.25">
      <c r="B4318" s="100"/>
      <c r="C4318" s="100"/>
      <c r="D4318" s="100"/>
      <c r="E4318" s="100"/>
      <c r="F4318" s="102"/>
      <c r="G4318" s="114"/>
    </row>
    <row r="4319" spans="2:7" ht="15.75" customHeight="1" x14ac:dyDescent="0.25">
      <c r="B4319" s="100"/>
      <c r="C4319" s="100"/>
      <c r="D4319" s="100"/>
      <c r="E4319" s="100"/>
      <c r="F4319" s="102"/>
      <c r="G4319" s="114"/>
    </row>
    <row r="4320" spans="2:7" ht="15.75" customHeight="1" x14ac:dyDescent="0.25">
      <c r="B4320" s="100"/>
      <c r="C4320" s="100"/>
      <c r="D4320" s="100"/>
      <c r="E4320" s="100"/>
      <c r="F4320" s="102"/>
      <c r="G4320" s="114"/>
    </row>
    <row r="4321" spans="2:7" ht="15.75" customHeight="1" x14ac:dyDescent="0.25">
      <c r="B4321" s="100"/>
      <c r="C4321" s="100"/>
      <c r="D4321" s="100"/>
      <c r="E4321" s="100"/>
      <c r="F4321" s="102"/>
      <c r="G4321" s="114"/>
    </row>
    <row r="4322" spans="2:7" ht="15.75" customHeight="1" x14ac:dyDescent="0.25">
      <c r="B4322" s="100"/>
      <c r="C4322" s="100"/>
      <c r="D4322" s="100"/>
      <c r="E4322" s="100"/>
      <c r="F4322" s="102"/>
      <c r="G4322" s="114"/>
    </row>
    <row r="4323" spans="2:7" ht="15.75" customHeight="1" x14ac:dyDescent="0.25">
      <c r="B4323" s="100"/>
      <c r="C4323" s="100"/>
      <c r="D4323" s="100"/>
      <c r="E4323" s="100"/>
      <c r="F4323" s="102"/>
      <c r="G4323" s="114"/>
    </row>
    <row r="4324" spans="2:7" ht="15.75" customHeight="1" x14ac:dyDescent="0.25">
      <c r="B4324" s="100"/>
      <c r="C4324" s="100"/>
      <c r="D4324" s="100"/>
      <c r="E4324" s="100"/>
      <c r="F4324" s="102"/>
      <c r="G4324" s="114"/>
    </row>
    <row r="4325" spans="2:7" ht="15.75" customHeight="1" x14ac:dyDescent="0.25">
      <c r="B4325" s="100"/>
      <c r="C4325" s="100"/>
      <c r="D4325" s="100"/>
      <c r="E4325" s="100"/>
      <c r="F4325" s="102"/>
      <c r="G4325" s="114"/>
    </row>
    <row r="4326" spans="2:7" ht="15.75" customHeight="1" x14ac:dyDescent="0.25">
      <c r="B4326" s="100"/>
      <c r="C4326" s="100"/>
      <c r="D4326" s="100"/>
      <c r="E4326" s="100"/>
      <c r="F4326" s="102"/>
      <c r="G4326" s="114"/>
    </row>
    <row r="4327" spans="2:7" ht="15.75" customHeight="1" x14ac:dyDescent="0.25">
      <c r="B4327" s="100"/>
      <c r="C4327" s="100"/>
      <c r="D4327" s="100"/>
      <c r="E4327" s="100"/>
      <c r="F4327" s="102"/>
      <c r="G4327" s="114"/>
    </row>
    <row r="4328" spans="2:7" ht="15.75" customHeight="1" x14ac:dyDescent="0.25">
      <c r="B4328" s="100"/>
      <c r="C4328" s="100"/>
      <c r="D4328" s="100"/>
      <c r="E4328" s="100"/>
      <c r="F4328" s="102"/>
      <c r="G4328" s="114"/>
    </row>
    <row r="4329" spans="2:7" ht="15.75" customHeight="1" x14ac:dyDescent="0.25">
      <c r="B4329" s="100"/>
      <c r="C4329" s="100"/>
      <c r="D4329" s="100"/>
      <c r="E4329" s="100"/>
      <c r="F4329" s="102"/>
      <c r="G4329" s="114"/>
    </row>
    <row r="4330" spans="2:7" ht="15.75" customHeight="1" x14ac:dyDescent="0.25">
      <c r="B4330" s="100"/>
      <c r="C4330" s="100"/>
      <c r="D4330" s="100"/>
      <c r="E4330" s="100"/>
      <c r="F4330" s="102"/>
      <c r="G4330" s="114"/>
    </row>
    <row r="4331" spans="2:7" ht="15.75" customHeight="1" x14ac:dyDescent="0.25">
      <c r="B4331" s="100"/>
      <c r="C4331" s="100"/>
      <c r="D4331" s="100"/>
      <c r="E4331" s="100"/>
      <c r="F4331" s="102"/>
      <c r="G4331" s="114"/>
    </row>
    <row r="4332" spans="2:7" ht="15.75" customHeight="1" x14ac:dyDescent="0.25">
      <c r="B4332" s="100"/>
      <c r="C4332" s="100"/>
      <c r="D4332" s="100"/>
      <c r="E4332" s="100"/>
      <c r="F4332" s="102"/>
      <c r="G4332" s="114"/>
    </row>
    <row r="4333" spans="2:7" ht="15.75" customHeight="1" x14ac:dyDescent="0.25">
      <c r="B4333" s="100"/>
      <c r="C4333" s="100"/>
      <c r="D4333" s="100"/>
      <c r="E4333" s="100"/>
      <c r="F4333" s="102"/>
      <c r="G4333" s="114"/>
    </row>
    <row r="4334" spans="2:7" ht="15.75" customHeight="1" x14ac:dyDescent="0.25">
      <c r="B4334" s="100"/>
      <c r="C4334" s="100"/>
      <c r="D4334" s="100"/>
      <c r="E4334" s="100"/>
      <c r="F4334" s="102"/>
      <c r="G4334" s="114"/>
    </row>
    <row r="4335" spans="2:7" ht="15.75" customHeight="1" x14ac:dyDescent="0.25">
      <c r="B4335" s="100"/>
      <c r="C4335" s="100"/>
      <c r="D4335" s="100"/>
      <c r="E4335" s="100"/>
      <c r="F4335" s="102"/>
      <c r="G4335" s="114"/>
    </row>
    <row r="4336" spans="2:7" ht="15.75" customHeight="1" x14ac:dyDescent="0.25">
      <c r="B4336" s="100"/>
      <c r="C4336" s="100"/>
      <c r="D4336" s="100"/>
      <c r="E4336" s="100"/>
      <c r="F4336" s="102"/>
      <c r="G4336" s="114"/>
    </row>
    <row r="4337" spans="2:7" ht="15.75" customHeight="1" x14ac:dyDescent="0.25">
      <c r="B4337" s="100"/>
      <c r="C4337" s="100"/>
      <c r="D4337" s="100"/>
      <c r="E4337" s="100"/>
      <c r="F4337" s="102"/>
      <c r="G4337" s="114"/>
    </row>
    <row r="4338" spans="2:7" ht="15.75" customHeight="1" x14ac:dyDescent="0.25">
      <c r="B4338" s="100"/>
      <c r="C4338" s="100"/>
      <c r="D4338" s="100"/>
      <c r="E4338" s="100"/>
      <c r="F4338" s="102"/>
      <c r="G4338" s="114"/>
    </row>
    <row r="4339" spans="2:7" ht="15.75" customHeight="1" x14ac:dyDescent="0.25">
      <c r="B4339" s="100"/>
      <c r="C4339" s="100"/>
      <c r="D4339" s="100"/>
      <c r="E4339" s="100"/>
      <c r="F4339" s="102"/>
      <c r="G4339" s="114"/>
    </row>
    <row r="4340" spans="2:7" ht="15.75" customHeight="1" x14ac:dyDescent="0.25">
      <c r="B4340" s="100"/>
      <c r="C4340" s="100"/>
      <c r="D4340" s="100"/>
      <c r="E4340" s="100"/>
      <c r="F4340" s="102"/>
      <c r="G4340" s="114"/>
    </row>
    <row r="4341" spans="2:7" ht="15.75" customHeight="1" x14ac:dyDescent="0.25">
      <c r="B4341" s="100"/>
      <c r="C4341" s="100"/>
      <c r="D4341" s="100"/>
      <c r="E4341" s="100"/>
      <c r="F4341" s="102"/>
      <c r="G4341" s="114"/>
    </row>
    <row r="4342" spans="2:7" ht="15.75" customHeight="1" x14ac:dyDescent="0.25">
      <c r="B4342" s="100"/>
      <c r="C4342" s="100"/>
      <c r="D4342" s="100"/>
      <c r="E4342" s="100"/>
      <c r="F4342" s="102"/>
      <c r="G4342" s="114"/>
    </row>
    <row r="4343" spans="2:7" ht="15.75" customHeight="1" x14ac:dyDescent="0.25">
      <c r="B4343" s="100"/>
      <c r="C4343" s="100"/>
      <c r="D4343" s="100"/>
      <c r="E4343" s="100"/>
      <c r="F4343" s="102"/>
      <c r="G4343" s="114"/>
    </row>
    <row r="4344" spans="2:7" ht="15.75" customHeight="1" x14ac:dyDescent="0.25">
      <c r="B4344" s="100"/>
      <c r="C4344" s="100"/>
      <c r="D4344" s="100"/>
      <c r="E4344" s="100"/>
      <c r="F4344" s="102"/>
      <c r="G4344" s="114"/>
    </row>
    <row r="4345" spans="2:7" ht="15.75" customHeight="1" x14ac:dyDescent="0.25">
      <c r="B4345" s="100"/>
      <c r="C4345" s="100"/>
      <c r="D4345" s="100"/>
      <c r="E4345" s="100"/>
      <c r="F4345" s="102"/>
      <c r="G4345" s="114"/>
    </row>
    <row r="4346" spans="2:7" ht="15.75" customHeight="1" x14ac:dyDescent="0.25">
      <c r="B4346" s="100"/>
      <c r="C4346" s="100"/>
      <c r="D4346" s="100"/>
      <c r="E4346" s="100"/>
      <c r="F4346" s="102"/>
      <c r="G4346" s="114"/>
    </row>
    <row r="4347" spans="2:7" ht="15.75" customHeight="1" x14ac:dyDescent="0.25">
      <c r="B4347" s="100"/>
      <c r="C4347" s="100"/>
      <c r="D4347" s="100"/>
      <c r="E4347" s="100"/>
      <c r="F4347" s="102"/>
      <c r="G4347" s="114"/>
    </row>
    <row r="4348" spans="2:7" ht="15.75" customHeight="1" x14ac:dyDescent="0.25">
      <c r="B4348" s="100"/>
      <c r="C4348" s="100"/>
      <c r="D4348" s="100"/>
      <c r="E4348" s="100"/>
      <c r="F4348" s="102"/>
      <c r="G4348" s="114"/>
    </row>
    <row r="4349" spans="2:7" ht="15.75" customHeight="1" x14ac:dyDescent="0.25">
      <c r="B4349" s="100"/>
      <c r="C4349" s="100"/>
      <c r="D4349" s="100"/>
      <c r="E4349" s="100"/>
      <c r="F4349" s="102"/>
      <c r="G4349" s="114"/>
    </row>
    <row r="4350" spans="2:7" ht="15.75" customHeight="1" x14ac:dyDescent="0.25">
      <c r="B4350" s="100"/>
      <c r="C4350" s="100"/>
      <c r="D4350" s="100"/>
      <c r="E4350" s="100"/>
      <c r="F4350" s="102"/>
      <c r="G4350" s="114"/>
    </row>
    <row r="4351" spans="2:7" ht="15.75" customHeight="1" x14ac:dyDescent="0.25">
      <c r="B4351" s="100"/>
      <c r="C4351" s="100"/>
      <c r="D4351" s="100"/>
      <c r="E4351" s="100"/>
      <c r="F4351" s="102"/>
      <c r="G4351" s="114"/>
    </row>
    <row r="4352" spans="2:7" ht="15.75" customHeight="1" x14ac:dyDescent="0.25">
      <c r="B4352" s="100"/>
      <c r="C4352" s="100"/>
      <c r="D4352" s="100"/>
      <c r="E4352" s="100"/>
      <c r="F4352" s="102"/>
      <c r="G4352" s="114"/>
    </row>
    <row r="4353" spans="2:7" ht="15.75" customHeight="1" x14ac:dyDescent="0.25">
      <c r="B4353" s="100"/>
      <c r="C4353" s="100"/>
      <c r="D4353" s="100"/>
      <c r="E4353" s="100"/>
      <c r="F4353" s="102"/>
      <c r="G4353" s="114"/>
    </row>
    <row r="4354" spans="2:7" ht="15.75" customHeight="1" x14ac:dyDescent="0.25">
      <c r="B4354" s="100"/>
      <c r="C4354" s="100"/>
      <c r="D4354" s="100"/>
      <c r="E4354" s="100"/>
      <c r="F4354" s="102"/>
      <c r="G4354" s="114"/>
    </row>
    <row r="4355" spans="2:7" ht="15.75" customHeight="1" x14ac:dyDescent="0.25">
      <c r="B4355" s="100"/>
      <c r="C4355" s="100"/>
      <c r="D4355" s="100"/>
      <c r="E4355" s="100"/>
      <c r="F4355" s="102"/>
      <c r="G4355" s="114"/>
    </row>
    <row r="4356" spans="2:7" ht="15.75" customHeight="1" x14ac:dyDescent="0.25">
      <c r="B4356" s="100"/>
      <c r="C4356" s="100"/>
      <c r="D4356" s="100"/>
      <c r="E4356" s="100"/>
      <c r="F4356" s="102"/>
      <c r="G4356" s="114"/>
    </row>
    <row r="4357" spans="2:7" ht="15.75" customHeight="1" x14ac:dyDescent="0.25">
      <c r="B4357" s="100"/>
      <c r="C4357" s="100"/>
      <c r="D4357" s="100"/>
      <c r="E4357" s="100"/>
      <c r="F4357" s="102"/>
      <c r="G4357" s="114"/>
    </row>
    <row r="4358" spans="2:7" ht="15.75" customHeight="1" x14ac:dyDescent="0.25">
      <c r="B4358" s="100"/>
      <c r="C4358" s="100"/>
      <c r="D4358" s="100"/>
      <c r="E4358" s="100"/>
      <c r="F4358" s="102"/>
      <c r="G4358" s="114"/>
    </row>
    <row r="4359" spans="2:7" ht="15.75" customHeight="1" x14ac:dyDescent="0.25">
      <c r="B4359" s="100"/>
      <c r="C4359" s="100"/>
      <c r="D4359" s="100"/>
      <c r="E4359" s="100"/>
      <c r="F4359" s="102"/>
      <c r="G4359" s="114"/>
    </row>
    <row r="4360" spans="2:7" ht="15.75" customHeight="1" x14ac:dyDescent="0.25">
      <c r="B4360" s="100"/>
      <c r="C4360" s="100"/>
      <c r="D4360" s="100"/>
      <c r="E4360" s="100"/>
      <c r="F4360" s="102"/>
      <c r="G4360" s="114"/>
    </row>
    <row r="4361" spans="2:7" ht="15.75" customHeight="1" x14ac:dyDescent="0.25">
      <c r="B4361" s="100"/>
      <c r="C4361" s="100"/>
      <c r="D4361" s="100"/>
      <c r="E4361" s="100"/>
      <c r="F4361" s="102"/>
      <c r="G4361" s="114"/>
    </row>
    <row r="4362" spans="2:7" ht="15.75" customHeight="1" x14ac:dyDescent="0.25">
      <c r="B4362" s="100"/>
      <c r="C4362" s="100"/>
      <c r="D4362" s="100"/>
      <c r="E4362" s="100"/>
      <c r="F4362" s="102"/>
      <c r="G4362" s="114"/>
    </row>
    <row r="4363" spans="2:7" ht="15.75" customHeight="1" x14ac:dyDescent="0.25">
      <c r="B4363" s="100"/>
      <c r="C4363" s="100"/>
      <c r="D4363" s="100"/>
      <c r="E4363" s="100"/>
      <c r="F4363" s="102"/>
      <c r="G4363" s="114"/>
    </row>
    <row r="4364" spans="2:7" ht="15.75" customHeight="1" x14ac:dyDescent="0.25">
      <c r="B4364" s="100"/>
      <c r="C4364" s="100"/>
      <c r="D4364" s="100"/>
      <c r="E4364" s="100"/>
      <c r="F4364" s="102"/>
      <c r="G4364" s="114"/>
    </row>
    <row r="4365" spans="2:7" ht="15.75" customHeight="1" x14ac:dyDescent="0.25">
      <c r="B4365" s="100"/>
      <c r="C4365" s="100"/>
      <c r="D4365" s="100"/>
      <c r="E4365" s="100"/>
      <c r="F4365" s="102"/>
      <c r="G4365" s="114"/>
    </row>
    <row r="4366" spans="2:7" ht="15.75" customHeight="1" x14ac:dyDescent="0.25">
      <c r="B4366" s="100"/>
      <c r="C4366" s="100"/>
      <c r="D4366" s="100"/>
      <c r="E4366" s="100"/>
      <c r="F4366" s="102"/>
      <c r="G4366" s="114"/>
    </row>
    <row r="4367" spans="2:7" ht="15.75" customHeight="1" x14ac:dyDescent="0.25">
      <c r="B4367" s="100"/>
      <c r="C4367" s="100"/>
      <c r="D4367" s="100"/>
      <c r="E4367" s="100"/>
      <c r="F4367" s="102"/>
      <c r="G4367" s="114"/>
    </row>
    <row r="4368" spans="2:7" ht="15.75" customHeight="1" x14ac:dyDescent="0.25">
      <c r="B4368" s="100"/>
      <c r="C4368" s="100"/>
      <c r="D4368" s="100"/>
      <c r="E4368" s="100"/>
      <c r="F4368" s="102"/>
      <c r="G4368" s="114"/>
    </row>
    <row r="4369" spans="2:7" ht="15.75" customHeight="1" x14ac:dyDescent="0.25">
      <c r="B4369" s="100"/>
      <c r="C4369" s="100"/>
      <c r="D4369" s="100"/>
      <c r="E4369" s="100"/>
      <c r="F4369" s="102"/>
      <c r="G4369" s="114"/>
    </row>
    <row r="4370" spans="2:7" ht="15.75" customHeight="1" x14ac:dyDescent="0.25">
      <c r="B4370" s="100"/>
      <c r="C4370" s="100"/>
      <c r="D4370" s="100"/>
      <c r="E4370" s="100"/>
      <c r="F4370" s="102"/>
      <c r="G4370" s="114"/>
    </row>
    <row r="4371" spans="2:7" ht="15.75" customHeight="1" x14ac:dyDescent="0.25">
      <c r="B4371" s="100"/>
      <c r="C4371" s="100"/>
      <c r="D4371" s="100"/>
      <c r="E4371" s="100"/>
      <c r="F4371" s="102"/>
      <c r="G4371" s="114"/>
    </row>
    <row r="4372" spans="2:7" ht="15.75" customHeight="1" x14ac:dyDescent="0.25">
      <c r="B4372" s="100"/>
      <c r="C4372" s="100"/>
      <c r="D4372" s="100"/>
      <c r="E4372" s="100"/>
      <c r="F4372" s="102"/>
      <c r="G4372" s="114"/>
    </row>
    <row r="4373" spans="2:7" ht="15.75" customHeight="1" x14ac:dyDescent="0.25">
      <c r="B4373" s="100"/>
      <c r="C4373" s="100"/>
      <c r="D4373" s="100"/>
      <c r="E4373" s="100"/>
      <c r="F4373" s="102"/>
      <c r="G4373" s="114"/>
    </row>
    <row r="4374" spans="2:7" ht="15.75" customHeight="1" x14ac:dyDescent="0.25">
      <c r="B4374" s="100"/>
      <c r="C4374" s="100"/>
      <c r="D4374" s="100"/>
      <c r="E4374" s="100"/>
      <c r="F4374" s="102"/>
      <c r="G4374" s="114"/>
    </row>
    <row r="4375" spans="2:7" ht="15.75" customHeight="1" x14ac:dyDescent="0.25">
      <c r="B4375" s="100"/>
      <c r="C4375" s="100"/>
      <c r="D4375" s="100"/>
      <c r="E4375" s="100"/>
      <c r="F4375" s="102"/>
      <c r="G4375" s="114"/>
    </row>
    <row r="4376" spans="2:7" ht="15.75" customHeight="1" x14ac:dyDescent="0.25">
      <c r="B4376" s="100"/>
      <c r="C4376" s="100"/>
      <c r="D4376" s="100"/>
      <c r="E4376" s="100"/>
      <c r="F4376" s="102"/>
      <c r="G4376" s="114"/>
    </row>
    <row r="4377" spans="2:7" ht="15.75" customHeight="1" x14ac:dyDescent="0.25">
      <c r="B4377" s="100"/>
      <c r="C4377" s="100"/>
      <c r="D4377" s="100"/>
      <c r="E4377" s="100"/>
      <c r="F4377" s="102"/>
      <c r="G4377" s="114"/>
    </row>
    <row r="4378" spans="2:7" ht="15.75" customHeight="1" x14ac:dyDescent="0.25">
      <c r="B4378" s="100"/>
      <c r="C4378" s="100"/>
      <c r="D4378" s="100"/>
      <c r="E4378" s="100"/>
      <c r="F4378" s="102"/>
      <c r="G4378" s="114"/>
    </row>
    <row r="4379" spans="2:7" ht="15.75" customHeight="1" x14ac:dyDescent="0.25">
      <c r="B4379" s="100"/>
      <c r="C4379" s="100"/>
      <c r="D4379" s="100"/>
      <c r="E4379" s="100"/>
      <c r="F4379" s="102"/>
      <c r="G4379" s="114"/>
    </row>
    <row r="4380" spans="2:7" ht="15.75" customHeight="1" x14ac:dyDescent="0.25">
      <c r="B4380" s="100"/>
      <c r="C4380" s="100"/>
      <c r="D4380" s="100"/>
      <c r="E4380" s="100"/>
      <c r="F4380" s="102"/>
      <c r="G4380" s="114"/>
    </row>
    <row r="4381" spans="2:7" ht="15.75" customHeight="1" x14ac:dyDescent="0.25">
      <c r="B4381" s="100"/>
      <c r="C4381" s="100"/>
      <c r="D4381" s="100"/>
      <c r="E4381" s="100"/>
      <c r="F4381" s="102"/>
      <c r="G4381" s="114"/>
    </row>
    <row r="4382" spans="2:7" ht="15.75" customHeight="1" x14ac:dyDescent="0.25">
      <c r="B4382" s="100"/>
      <c r="C4382" s="100"/>
      <c r="D4382" s="100"/>
      <c r="E4382" s="100"/>
      <c r="F4382" s="102"/>
      <c r="G4382" s="114"/>
    </row>
    <row r="4383" spans="2:7" ht="15.75" customHeight="1" x14ac:dyDescent="0.25">
      <c r="B4383" s="100"/>
      <c r="C4383" s="100"/>
      <c r="D4383" s="100"/>
      <c r="E4383" s="100"/>
      <c r="F4383" s="102"/>
      <c r="G4383" s="114"/>
    </row>
    <row r="4384" spans="2:7" ht="15.75" customHeight="1" x14ac:dyDescent="0.25">
      <c r="B4384" s="100"/>
      <c r="C4384" s="100"/>
      <c r="D4384" s="100"/>
      <c r="E4384" s="100"/>
      <c r="F4384" s="102"/>
      <c r="G4384" s="114"/>
    </row>
    <row r="4385" spans="2:7" ht="15.75" customHeight="1" x14ac:dyDescent="0.25">
      <c r="B4385" s="100"/>
      <c r="C4385" s="100"/>
      <c r="D4385" s="100"/>
      <c r="E4385" s="100"/>
      <c r="F4385" s="102"/>
      <c r="G4385" s="114"/>
    </row>
    <row r="4386" spans="2:7" ht="15.75" customHeight="1" x14ac:dyDescent="0.25">
      <c r="B4386" s="100"/>
      <c r="C4386" s="100"/>
      <c r="D4386" s="100"/>
      <c r="E4386" s="100"/>
      <c r="F4386" s="102"/>
      <c r="G4386" s="114"/>
    </row>
    <row r="4387" spans="2:7" ht="15.75" customHeight="1" x14ac:dyDescent="0.25">
      <c r="B4387" s="100"/>
      <c r="C4387" s="100"/>
      <c r="D4387" s="100"/>
      <c r="E4387" s="100"/>
      <c r="F4387" s="102"/>
      <c r="G4387" s="114"/>
    </row>
    <row r="4388" spans="2:7" ht="15.75" customHeight="1" x14ac:dyDescent="0.25">
      <c r="B4388" s="100"/>
      <c r="C4388" s="100"/>
      <c r="D4388" s="100"/>
      <c r="E4388" s="100"/>
      <c r="F4388" s="102"/>
      <c r="G4388" s="114"/>
    </row>
    <row r="4389" spans="2:7" ht="15.75" customHeight="1" x14ac:dyDescent="0.25">
      <c r="B4389" s="100"/>
      <c r="C4389" s="100"/>
      <c r="D4389" s="100"/>
      <c r="E4389" s="100"/>
      <c r="F4389" s="102"/>
      <c r="G4389" s="114"/>
    </row>
    <row r="4390" spans="2:7" ht="15.75" customHeight="1" x14ac:dyDescent="0.25">
      <c r="B4390" s="100"/>
      <c r="C4390" s="100"/>
      <c r="D4390" s="100"/>
      <c r="E4390" s="100"/>
      <c r="F4390" s="102"/>
      <c r="G4390" s="114"/>
    </row>
    <row r="4391" spans="2:7" ht="15.75" customHeight="1" x14ac:dyDescent="0.25">
      <c r="B4391" s="100"/>
      <c r="C4391" s="100"/>
      <c r="D4391" s="100"/>
      <c r="E4391" s="100"/>
      <c r="F4391" s="102"/>
      <c r="G4391" s="114"/>
    </row>
    <row r="4392" spans="2:7" ht="15.75" customHeight="1" x14ac:dyDescent="0.25">
      <c r="B4392" s="100"/>
      <c r="C4392" s="100"/>
      <c r="D4392" s="100"/>
      <c r="E4392" s="100"/>
      <c r="F4392" s="102"/>
      <c r="G4392" s="114"/>
    </row>
    <row r="4393" spans="2:7" ht="15.75" customHeight="1" x14ac:dyDescent="0.25">
      <c r="B4393" s="100"/>
      <c r="C4393" s="100"/>
      <c r="D4393" s="100"/>
      <c r="E4393" s="100"/>
      <c r="F4393" s="102"/>
      <c r="G4393" s="114"/>
    </row>
    <row r="4394" spans="2:7" ht="15.75" customHeight="1" x14ac:dyDescent="0.25">
      <c r="B4394" s="100"/>
      <c r="C4394" s="100"/>
      <c r="D4394" s="100"/>
      <c r="E4394" s="100"/>
      <c r="F4394" s="102"/>
      <c r="G4394" s="114"/>
    </row>
    <row r="4395" spans="2:7" ht="15.75" customHeight="1" x14ac:dyDescent="0.25">
      <c r="B4395" s="100"/>
      <c r="C4395" s="100"/>
      <c r="D4395" s="100"/>
      <c r="E4395" s="100"/>
      <c r="F4395" s="102"/>
      <c r="G4395" s="114"/>
    </row>
    <row r="4396" spans="2:7" ht="15.75" customHeight="1" x14ac:dyDescent="0.25">
      <c r="B4396" s="100"/>
      <c r="C4396" s="100"/>
      <c r="D4396" s="100"/>
      <c r="E4396" s="100"/>
      <c r="F4396" s="102"/>
      <c r="G4396" s="114"/>
    </row>
    <row r="4397" spans="2:7" ht="15.75" customHeight="1" x14ac:dyDescent="0.25">
      <c r="B4397" s="100"/>
      <c r="C4397" s="100"/>
      <c r="D4397" s="100"/>
      <c r="E4397" s="100"/>
      <c r="F4397" s="102"/>
      <c r="G4397" s="114"/>
    </row>
    <row r="4398" spans="2:7" ht="15.75" customHeight="1" x14ac:dyDescent="0.25">
      <c r="B4398" s="100"/>
      <c r="C4398" s="100"/>
      <c r="D4398" s="100"/>
      <c r="E4398" s="100"/>
      <c r="F4398" s="102"/>
      <c r="G4398" s="114"/>
    </row>
    <row r="4399" spans="2:7" ht="15.75" customHeight="1" x14ac:dyDescent="0.25">
      <c r="B4399" s="100"/>
      <c r="C4399" s="100"/>
      <c r="D4399" s="100"/>
      <c r="E4399" s="100"/>
      <c r="F4399" s="102"/>
      <c r="G4399" s="114"/>
    </row>
    <row r="4400" spans="2:7" ht="15.75" customHeight="1" x14ac:dyDescent="0.25">
      <c r="B4400" s="100"/>
      <c r="C4400" s="100"/>
      <c r="D4400" s="100"/>
      <c r="E4400" s="100"/>
      <c r="F4400" s="102"/>
      <c r="G4400" s="114"/>
    </row>
    <row r="4401" spans="2:7" ht="15.75" customHeight="1" x14ac:dyDescent="0.25">
      <c r="B4401" s="100"/>
      <c r="C4401" s="100"/>
      <c r="D4401" s="100"/>
      <c r="E4401" s="100"/>
      <c r="F4401" s="102"/>
      <c r="G4401" s="114"/>
    </row>
    <row r="4402" spans="2:7" ht="15.75" customHeight="1" x14ac:dyDescent="0.25">
      <c r="B4402" s="100"/>
      <c r="C4402" s="100"/>
      <c r="D4402" s="100"/>
      <c r="E4402" s="100"/>
      <c r="F4402" s="102"/>
      <c r="G4402" s="114"/>
    </row>
    <row r="4403" spans="2:7" ht="15.75" customHeight="1" x14ac:dyDescent="0.25">
      <c r="B4403" s="100"/>
      <c r="C4403" s="100"/>
      <c r="D4403" s="100"/>
      <c r="E4403" s="100"/>
      <c r="F4403" s="102"/>
      <c r="G4403" s="114"/>
    </row>
    <row r="4404" spans="2:7" ht="15.75" customHeight="1" x14ac:dyDescent="0.25">
      <c r="B4404" s="100"/>
      <c r="C4404" s="100"/>
      <c r="D4404" s="100"/>
      <c r="E4404" s="100"/>
      <c r="F4404" s="102"/>
      <c r="G4404" s="114"/>
    </row>
    <row r="4405" spans="2:7" ht="15.75" customHeight="1" x14ac:dyDescent="0.25">
      <c r="B4405" s="100"/>
      <c r="C4405" s="100"/>
      <c r="D4405" s="100"/>
      <c r="E4405" s="100"/>
      <c r="F4405" s="102"/>
      <c r="G4405" s="114"/>
    </row>
    <row r="4406" spans="2:7" ht="15.75" customHeight="1" x14ac:dyDescent="0.25">
      <c r="B4406" s="100"/>
      <c r="C4406" s="100"/>
      <c r="D4406" s="100"/>
      <c r="E4406" s="100"/>
      <c r="F4406" s="102"/>
      <c r="G4406" s="114"/>
    </row>
    <row r="4407" spans="2:7" ht="15.75" customHeight="1" x14ac:dyDescent="0.25">
      <c r="B4407" s="100"/>
      <c r="C4407" s="100"/>
      <c r="D4407" s="100"/>
      <c r="E4407" s="100"/>
      <c r="F4407" s="102"/>
      <c r="G4407" s="114"/>
    </row>
    <row r="4408" spans="2:7" ht="15.75" customHeight="1" x14ac:dyDescent="0.25">
      <c r="B4408" s="100"/>
      <c r="C4408" s="100"/>
      <c r="D4408" s="100"/>
      <c r="E4408" s="100"/>
      <c r="F4408" s="102"/>
      <c r="G4408" s="114"/>
    </row>
    <row r="4409" spans="2:7" ht="15.75" customHeight="1" x14ac:dyDescent="0.25">
      <c r="B4409" s="100"/>
      <c r="C4409" s="100"/>
      <c r="D4409" s="100"/>
      <c r="E4409" s="100"/>
      <c r="F4409" s="102"/>
      <c r="G4409" s="114"/>
    </row>
    <row r="4410" spans="2:7" ht="15.75" customHeight="1" x14ac:dyDescent="0.25">
      <c r="B4410" s="100"/>
      <c r="C4410" s="100"/>
      <c r="D4410" s="100"/>
      <c r="E4410" s="100"/>
      <c r="F4410" s="102"/>
      <c r="G4410" s="114"/>
    </row>
    <row r="4411" spans="2:7" ht="15.75" customHeight="1" x14ac:dyDescent="0.25">
      <c r="B4411" s="100"/>
      <c r="C4411" s="100"/>
      <c r="D4411" s="100"/>
      <c r="E4411" s="100"/>
      <c r="F4411" s="102"/>
      <c r="G4411" s="114"/>
    </row>
    <row r="4412" spans="2:7" ht="15.75" customHeight="1" x14ac:dyDescent="0.25">
      <c r="B4412" s="100"/>
      <c r="C4412" s="100"/>
      <c r="D4412" s="100"/>
      <c r="E4412" s="100"/>
      <c r="F4412" s="102"/>
      <c r="G4412" s="114"/>
    </row>
    <row r="4413" spans="2:7" ht="15.75" customHeight="1" x14ac:dyDescent="0.25">
      <c r="B4413" s="100"/>
      <c r="C4413" s="100"/>
      <c r="D4413" s="100"/>
      <c r="E4413" s="100"/>
      <c r="F4413" s="102"/>
      <c r="G4413" s="114"/>
    </row>
    <row r="4414" spans="2:7" ht="15.75" customHeight="1" x14ac:dyDescent="0.25">
      <c r="B4414" s="100"/>
      <c r="C4414" s="100"/>
      <c r="D4414" s="100"/>
      <c r="E4414" s="100"/>
      <c r="F4414" s="102"/>
      <c r="G4414" s="114"/>
    </row>
    <row r="4415" spans="2:7" ht="15.75" customHeight="1" x14ac:dyDescent="0.25">
      <c r="B4415" s="100"/>
      <c r="C4415" s="100"/>
      <c r="D4415" s="100"/>
      <c r="E4415" s="100"/>
      <c r="F4415" s="102"/>
      <c r="G4415" s="114"/>
    </row>
    <row r="4416" spans="2:7" ht="15.75" customHeight="1" x14ac:dyDescent="0.25">
      <c r="B4416" s="100"/>
      <c r="C4416" s="100"/>
      <c r="D4416" s="100"/>
      <c r="E4416" s="100"/>
      <c r="F4416" s="102"/>
      <c r="G4416" s="114"/>
    </row>
    <row r="4417" spans="2:7" ht="15.75" customHeight="1" x14ac:dyDescent="0.25">
      <c r="B4417" s="100"/>
      <c r="C4417" s="100"/>
      <c r="D4417" s="100"/>
      <c r="E4417" s="100"/>
      <c r="F4417" s="102"/>
      <c r="G4417" s="114"/>
    </row>
    <row r="4418" spans="2:7" ht="15.75" customHeight="1" x14ac:dyDescent="0.25">
      <c r="B4418" s="100"/>
      <c r="C4418" s="100"/>
      <c r="D4418" s="100"/>
      <c r="E4418" s="100"/>
      <c r="F4418" s="102"/>
      <c r="G4418" s="114"/>
    </row>
    <row r="4419" spans="2:7" ht="15.75" customHeight="1" x14ac:dyDescent="0.25">
      <c r="B4419" s="100"/>
      <c r="C4419" s="100"/>
      <c r="D4419" s="100"/>
      <c r="E4419" s="100"/>
      <c r="F4419" s="102"/>
      <c r="G4419" s="114"/>
    </row>
    <row r="4420" spans="2:7" ht="15.75" customHeight="1" x14ac:dyDescent="0.25">
      <c r="B4420" s="100"/>
      <c r="C4420" s="100"/>
      <c r="D4420" s="100"/>
      <c r="E4420" s="100"/>
      <c r="F4420" s="102"/>
      <c r="G4420" s="114"/>
    </row>
    <row r="4421" spans="2:7" ht="15.75" customHeight="1" x14ac:dyDescent="0.25">
      <c r="B4421" s="100"/>
      <c r="C4421" s="100"/>
      <c r="D4421" s="100"/>
      <c r="E4421" s="100"/>
      <c r="F4421" s="102"/>
      <c r="G4421" s="114"/>
    </row>
    <row r="4422" spans="2:7" ht="15.75" customHeight="1" x14ac:dyDescent="0.25">
      <c r="B4422" s="100"/>
      <c r="C4422" s="100"/>
      <c r="D4422" s="100"/>
      <c r="E4422" s="100"/>
      <c r="F4422" s="102"/>
      <c r="G4422" s="114"/>
    </row>
    <row r="4423" spans="2:7" ht="15.75" customHeight="1" x14ac:dyDescent="0.25">
      <c r="B4423" s="100"/>
      <c r="C4423" s="100"/>
      <c r="D4423" s="100"/>
      <c r="E4423" s="100"/>
      <c r="F4423" s="102"/>
      <c r="G4423" s="114"/>
    </row>
    <row r="4424" spans="2:7" ht="15.75" customHeight="1" x14ac:dyDescent="0.25">
      <c r="B4424" s="100"/>
      <c r="C4424" s="100"/>
      <c r="D4424" s="100"/>
      <c r="E4424" s="100"/>
      <c r="F4424" s="102"/>
      <c r="G4424" s="114"/>
    </row>
    <row r="4425" spans="2:7" ht="15.75" customHeight="1" x14ac:dyDescent="0.25">
      <c r="B4425" s="100"/>
      <c r="C4425" s="100"/>
      <c r="D4425" s="100"/>
      <c r="E4425" s="100"/>
      <c r="F4425" s="102"/>
      <c r="G4425" s="114"/>
    </row>
    <row r="4426" spans="2:7" ht="15.75" customHeight="1" x14ac:dyDescent="0.25">
      <c r="B4426" s="100"/>
      <c r="C4426" s="100"/>
      <c r="D4426" s="100"/>
      <c r="E4426" s="100"/>
      <c r="F4426" s="102"/>
      <c r="G4426" s="114"/>
    </row>
    <row r="4427" spans="2:7" ht="15.75" customHeight="1" x14ac:dyDescent="0.25">
      <c r="B4427" s="100"/>
      <c r="C4427" s="100"/>
      <c r="D4427" s="100"/>
      <c r="E4427" s="100"/>
      <c r="F4427" s="102"/>
      <c r="G4427" s="114"/>
    </row>
    <row r="4428" spans="2:7" ht="15.75" customHeight="1" x14ac:dyDescent="0.25">
      <c r="B4428" s="100"/>
      <c r="C4428" s="100"/>
      <c r="D4428" s="100"/>
      <c r="E4428" s="100"/>
      <c r="F4428" s="102"/>
      <c r="G4428" s="114"/>
    </row>
    <row r="4429" spans="2:7" ht="15.75" customHeight="1" x14ac:dyDescent="0.25">
      <c r="B4429" s="100"/>
      <c r="C4429" s="100"/>
      <c r="D4429" s="100"/>
      <c r="E4429" s="100"/>
      <c r="F4429" s="102"/>
      <c r="G4429" s="114"/>
    </row>
    <row r="4430" spans="2:7" ht="15.75" customHeight="1" x14ac:dyDescent="0.25">
      <c r="B4430" s="100"/>
      <c r="C4430" s="100"/>
      <c r="D4430" s="100"/>
      <c r="E4430" s="100"/>
      <c r="F4430" s="102"/>
      <c r="G4430" s="114"/>
    </row>
    <row r="4431" spans="2:7" ht="15.75" customHeight="1" x14ac:dyDescent="0.25">
      <c r="B4431" s="100"/>
      <c r="C4431" s="100"/>
      <c r="D4431" s="100"/>
      <c r="E4431" s="100"/>
      <c r="F4431" s="102"/>
      <c r="G4431" s="114"/>
    </row>
    <row r="4432" spans="2:7" ht="15.75" customHeight="1" x14ac:dyDescent="0.25">
      <c r="B4432" s="100"/>
      <c r="C4432" s="100"/>
      <c r="D4432" s="100"/>
      <c r="E4432" s="100"/>
      <c r="F4432" s="102"/>
      <c r="G4432" s="114"/>
    </row>
    <row r="4433" spans="2:7" ht="15.75" customHeight="1" x14ac:dyDescent="0.25">
      <c r="B4433" s="100"/>
      <c r="C4433" s="100"/>
      <c r="D4433" s="100"/>
      <c r="E4433" s="100"/>
      <c r="F4433" s="102"/>
      <c r="G4433" s="114"/>
    </row>
    <row r="4434" spans="2:7" ht="15.75" customHeight="1" x14ac:dyDescent="0.25">
      <c r="B4434" s="100"/>
      <c r="C4434" s="100"/>
      <c r="D4434" s="100"/>
      <c r="E4434" s="100"/>
      <c r="F4434" s="102"/>
      <c r="G4434" s="114"/>
    </row>
    <row r="4435" spans="2:7" ht="15.75" customHeight="1" x14ac:dyDescent="0.25">
      <c r="B4435" s="100"/>
      <c r="C4435" s="100"/>
      <c r="D4435" s="100"/>
      <c r="E4435" s="100"/>
      <c r="F4435" s="102"/>
      <c r="G4435" s="114"/>
    </row>
    <row r="4436" spans="2:7" ht="15.75" customHeight="1" x14ac:dyDescent="0.25">
      <c r="B4436" s="100"/>
      <c r="C4436" s="100"/>
      <c r="D4436" s="100"/>
      <c r="E4436" s="100"/>
      <c r="F4436" s="102"/>
      <c r="G4436" s="114"/>
    </row>
    <row r="4437" spans="2:7" ht="15.75" customHeight="1" x14ac:dyDescent="0.25">
      <c r="B4437" s="100"/>
      <c r="C4437" s="100"/>
      <c r="D4437" s="100"/>
      <c r="E4437" s="100"/>
      <c r="F4437" s="102"/>
      <c r="G4437" s="114"/>
    </row>
    <row r="4438" spans="2:7" ht="15.75" customHeight="1" x14ac:dyDescent="0.25">
      <c r="B4438" s="100"/>
      <c r="C4438" s="100"/>
      <c r="D4438" s="100"/>
      <c r="E4438" s="100"/>
      <c r="F4438" s="102"/>
      <c r="G4438" s="114"/>
    </row>
    <row r="4439" spans="2:7" ht="15.75" customHeight="1" x14ac:dyDescent="0.25">
      <c r="B4439" s="100"/>
      <c r="C4439" s="100"/>
      <c r="D4439" s="100"/>
      <c r="E4439" s="100"/>
      <c r="F4439" s="102"/>
      <c r="G4439" s="114"/>
    </row>
    <row r="4440" spans="2:7" ht="15.75" customHeight="1" x14ac:dyDescent="0.25">
      <c r="B4440" s="100"/>
      <c r="C4440" s="100"/>
      <c r="D4440" s="100"/>
      <c r="E4440" s="100"/>
      <c r="F4440" s="102"/>
      <c r="G4440" s="114"/>
    </row>
    <row r="4441" spans="2:7" ht="15.75" customHeight="1" x14ac:dyDescent="0.25">
      <c r="B4441" s="100"/>
      <c r="C4441" s="100"/>
      <c r="D4441" s="100"/>
      <c r="E4441" s="100"/>
      <c r="F4441" s="102"/>
      <c r="G4441" s="114"/>
    </row>
    <row r="4442" spans="2:7" ht="15.75" customHeight="1" x14ac:dyDescent="0.25">
      <c r="B4442" s="100"/>
      <c r="C4442" s="100"/>
      <c r="D4442" s="100"/>
      <c r="E4442" s="100"/>
      <c r="F4442" s="102"/>
      <c r="G4442" s="114"/>
    </row>
    <row r="4443" spans="2:7" ht="15.75" customHeight="1" x14ac:dyDescent="0.25">
      <c r="B4443" s="100"/>
      <c r="C4443" s="100"/>
      <c r="D4443" s="100"/>
      <c r="E4443" s="100"/>
      <c r="F4443" s="102"/>
      <c r="G4443" s="114"/>
    </row>
    <row r="4444" spans="2:7" ht="15.75" customHeight="1" x14ac:dyDescent="0.25">
      <c r="B4444" s="100"/>
      <c r="C4444" s="100"/>
      <c r="D4444" s="100"/>
      <c r="E4444" s="100"/>
      <c r="F4444" s="102"/>
      <c r="G4444" s="114"/>
    </row>
    <row r="4445" spans="2:7" ht="15.75" customHeight="1" x14ac:dyDescent="0.25">
      <c r="B4445" s="100"/>
      <c r="C4445" s="100"/>
      <c r="D4445" s="100"/>
      <c r="E4445" s="100"/>
      <c r="F4445" s="102"/>
      <c r="G4445" s="114"/>
    </row>
    <row r="4446" spans="2:7" ht="15.75" customHeight="1" x14ac:dyDescent="0.25">
      <c r="B4446" s="100"/>
      <c r="C4446" s="100"/>
      <c r="D4446" s="100"/>
      <c r="E4446" s="100"/>
      <c r="F4446" s="102"/>
      <c r="G4446" s="114"/>
    </row>
    <row r="4447" spans="2:7" ht="15.75" customHeight="1" x14ac:dyDescent="0.25">
      <c r="B4447" s="100"/>
      <c r="C4447" s="100"/>
      <c r="D4447" s="100"/>
      <c r="E4447" s="100"/>
      <c r="F4447" s="102"/>
      <c r="G4447" s="114"/>
    </row>
    <row r="4448" spans="2:7" ht="15.75" customHeight="1" x14ac:dyDescent="0.25">
      <c r="B4448" s="100"/>
      <c r="C4448" s="100"/>
      <c r="D4448" s="100"/>
      <c r="E4448" s="100"/>
      <c r="F4448" s="102"/>
      <c r="G4448" s="114"/>
    </row>
    <row r="4449" spans="2:7" ht="15.75" customHeight="1" x14ac:dyDescent="0.25">
      <c r="B4449" s="100"/>
      <c r="C4449" s="100"/>
      <c r="D4449" s="100"/>
      <c r="E4449" s="100"/>
      <c r="F4449" s="102"/>
      <c r="G4449" s="114"/>
    </row>
    <row r="4450" spans="2:7" ht="15.75" customHeight="1" x14ac:dyDescent="0.25">
      <c r="B4450" s="100"/>
      <c r="C4450" s="100"/>
      <c r="D4450" s="100"/>
      <c r="E4450" s="100"/>
      <c r="F4450" s="102"/>
      <c r="G4450" s="114"/>
    </row>
    <row r="4451" spans="2:7" ht="15.75" customHeight="1" x14ac:dyDescent="0.25">
      <c r="B4451" s="100"/>
      <c r="C4451" s="100"/>
      <c r="D4451" s="100"/>
      <c r="E4451" s="100"/>
      <c r="F4451" s="102"/>
      <c r="G4451" s="114"/>
    </row>
    <row r="4452" spans="2:7" ht="15.75" customHeight="1" x14ac:dyDescent="0.25">
      <c r="B4452" s="100"/>
      <c r="C4452" s="100"/>
      <c r="D4452" s="100"/>
      <c r="E4452" s="100"/>
      <c r="F4452" s="102"/>
      <c r="G4452" s="114"/>
    </row>
    <row r="4453" spans="2:7" ht="15.75" customHeight="1" x14ac:dyDescent="0.25">
      <c r="B4453" s="100"/>
      <c r="C4453" s="100"/>
      <c r="D4453" s="100"/>
      <c r="E4453" s="100"/>
      <c r="F4453" s="102"/>
      <c r="G4453" s="114"/>
    </row>
    <row r="4454" spans="2:7" ht="15.75" customHeight="1" x14ac:dyDescent="0.25">
      <c r="B4454" s="100"/>
      <c r="C4454" s="100"/>
      <c r="D4454" s="100"/>
      <c r="E4454" s="100"/>
      <c r="F4454" s="102"/>
      <c r="G4454" s="114"/>
    </row>
    <row r="4455" spans="2:7" ht="15.75" customHeight="1" x14ac:dyDescent="0.25">
      <c r="B4455" s="100"/>
      <c r="C4455" s="100"/>
      <c r="D4455" s="100"/>
      <c r="E4455" s="100"/>
      <c r="F4455" s="102"/>
      <c r="G4455" s="114"/>
    </row>
    <row r="4456" spans="2:7" ht="15.75" customHeight="1" x14ac:dyDescent="0.25">
      <c r="B4456" s="100"/>
      <c r="C4456" s="100"/>
      <c r="D4456" s="100"/>
      <c r="E4456" s="100"/>
      <c r="F4456" s="102"/>
      <c r="G4456" s="114"/>
    </row>
    <row r="4457" spans="2:7" ht="15.75" customHeight="1" x14ac:dyDescent="0.25">
      <c r="B4457" s="100"/>
      <c r="C4457" s="100"/>
      <c r="D4457" s="100"/>
      <c r="E4457" s="100"/>
      <c r="F4457" s="102"/>
      <c r="G4457" s="114"/>
    </row>
    <row r="4458" spans="2:7" ht="15.75" customHeight="1" x14ac:dyDescent="0.25">
      <c r="B4458" s="100"/>
      <c r="C4458" s="100"/>
      <c r="D4458" s="100"/>
      <c r="E4458" s="100"/>
      <c r="F4458" s="102"/>
      <c r="G4458" s="114"/>
    </row>
    <row r="4459" spans="2:7" ht="15.75" customHeight="1" x14ac:dyDescent="0.25">
      <c r="B4459" s="100"/>
      <c r="C4459" s="100"/>
      <c r="D4459" s="100"/>
      <c r="E4459" s="100"/>
      <c r="F4459" s="102"/>
      <c r="G4459" s="114"/>
    </row>
    <row r="4460" spans="2:7" ht="15.75" customHeight="1" x14ac:dyDescent="0.25">
      <c r="B4460" s="100"/>
      <c r="C4460" s="100"/>
      <c r="D4460" s="100"/>
      <c r="E4460" s="100"/>
      <c r="F4460" s="102"/>
      <c r="G4460" s="114"/>
    </row>
    <row r="4461" spans="2:7" ht="15.75" customHeight="1" x14ac:dyDescent="0.25">
      <c r="B4461" s="100"/>
      <c r="C4461" s="100"/>
      <c r="D4461" s="100"/>
      <c r="E4461" s="100"/>
      <c r="F4461" s="102"/>
      <c r="G4461" s="114"/>
    </row>
    <row r="4462" spans="2:7" ht="15.75" customHeight="1" x14ac:dyDescent="0.25">
      <c r="B4462" s="100"/>
      <c r="C4462" s="100"/>
      <c r="D4462" s="100"/>
      <c r="E4462" s="100"/>
      <c r="F4462" s="102"/>
      <c r="G4462" s="114"/>
    </row>
    <row r="4463" spans="2:7" ht="15.75" customHeight="1" x14ac:dyDescent="0.25">
      <c r="B4463" s="100"/>
      <c r="C4463" s="100"/>
      <c r="D4463" s="100"/>
      <c r="E4463" s="100"/>
      <c r="F4463" s="102"/>
      <c r="G4463" s="114"/>
    </row>
    <row r="4464" spans="2:7" ht="15.75" customHeight="1" x14ac:dyDescent="0.25">
      <c r="B4464" s="100"/>
      <c r="C4464" s="100"/>
      <c r="D4464" s="100"/>
      <c r="E4464" s="100"/>
      <c r="F4464" s="102"/>
      <c r="G4464" s="114"/>
    </row>
    <row r="4465" spans="2:7" ht="15.75" customHeight="1" x14ac:dyDescent="0.25">
      <c r="B4465" s="100"/>
      <c r="C4465" s="100"/>
      <c r="D4465" s="100"/>
      <c r="E4465" s="100"/>
      <c r="F4465" s="102"/>
      <c r="G4465" s="114"/>
    </row>
    <row r="4466" spans="2:7" ht="15.75" customHeight="1" x14ac:dyDescent="0.25">
      <c r="B4466" s="100"/>
      <c r="C4466" s="100"/>
      <c r="D4466" s="100"/>
      <c r="E4466" s="100"/>
      <c r="F4466" s="102"/>
      <c r="G4466" s="114"/>
    </row>
    <row r="4467" spans="2:7" ht="15.75" customHeight="1" x14ac:dyDescent="0.25">
      <c r="B4467" s="100"/>
      <c r="C4467" s="100"/>
      <c r="D4467" s="100"/>
      <c r="E4467" s="100"/>
      <c r="F4467" s="102"/>
      <c r="G4467" s="114"/>
    </row>
    <row r="4468" spans="2:7" ht="15.75" customHeight="1" x14ac:dyDescent="0.25">
      <c r="B4468" s="100"/>
      <c r="C4468" s="100"/>
      <c r="D4468" s="100"/>
      <c r="E4468" s="100"/>
      <c r="F4468" s="102"/>
      <c r="G4468" s="114"/>
    </row>
    <row r="4469" spans="2:7" ht="15.75" customHeight="1" x14ac:dyDescent="0.25">
      <c r="B4469" s="100"/>
      <c r="C4469" s="100"/>
      <c r="D4469" s="100"/>
      <c r="E4469" s="100"/>
      <c r="F4469" s="102"/>
      <c r="G4469" s="114"/>
    </row>
    <row r="4470" spans="2:7" ht="15.75" customHeight="1" x14ac:dyDescent="0.25">
      <c r="B4470" s="100"/>
      <c r="C4470" s="100"/>
      <c r="D4470" s="100"/>
      <c r="E4470" s="100"/>
      <c r="F4470" s="102"/>
      <c r="G4470" s="114"/>
    </row>
    <row r="4471" spans="2:7" ht="15.75" customHeight="1" x14ac:dyDescent="0.25">
      <c r="B4471" s="100"/>
      <c r="C4471" s="100"/>
      <c r="D4471" s="100"/>
      <c r="E4471" s="100"/>
      <c r="F4471" s="102"/>
      <c r="G4471" s="114"/>
    </row>
    <row r="4472" spans="2:7" ht="15.75" customHeight="1" x14ac:dyDescent="0.25">
      <c r="B4472" s="100"/>
      <c r="C4472" s="100"/>
      <c r="D4472" s="100"/>
      <c r="E4472" s="100"/>
      <c r="F4472" s="102"/>
      <c r="G4472" s="114"/>
    </row>
    <row r="4473" spans="2:7" ht="15.75" customHeight="1" x14ac:dyDescent="0.25">
      <c r="B4473" s="100"/>
      <c r="C4473" s="100"/>
      <c r="D4473" s="100"/>
      <c r="E4473" s="100"/>
      <c r="F4473" s="102"/>
      <c r="G4473" s="114"/>
    </row>
    <row r="4474" spans="2:7" ht="15.75" customHeight="1" x14ac:dyDescent="0.25">
      <c r="B4474" s="100"/>
      <c r="C4474" s="100"/>
      <c r="D4474" s="100"/>
      <c r="E4474" s="100"/>
      <c r="F4474" s="102"/>
      <c r="G4474" s="114"/>
    </row>
    <row r="4475" spans="2:7" ht="15.75" customHeight="1" x14ac:dyDescent="0.25">
      <c r="B4475" s="100"/>
      <c r="C4475" s="100"/>
      <c r="D4475" s="100"/>
      <c r="E4475" s="100"/>
      <c r="F4475" s="102"/>
      <c r="G4475" s="114"/>
    </row>
    <row r="4476" spans="2:7" ht="15.75" customHeight="1" x14ac:dyDescent="0.25">
      <c r="B4476" s="100"/>
      <c r="C4476" s="100"/>
      <c r="D4476" s="100"/>
      <c r="E4476" s="100"/>
      <c r="F4476" s="102"/>
      <c r="G4476" s="114"/>
    </row>
    <row r="4477" spans="2:7" ht="15.75" customHeight="1" x14ac:dyDescent="0.25">
      <c r="B4477" s="100"/>
      <c r="C4477" s="100"/>
      <c r="D4477" s="100"/>
      <c r="E4477" s="100"/>
      <c r="F4477" s="102"/>
      <c r="G4477" s="114"/>
    </row>
    <row r="4478" spans="2:7" ht="15.75" customHeight="1" x14ac:dyDescent="0.25">
      <c r="B4478" s="100"/>
      <c r="C4478" s="100"/>
      <c r="D4478" s="100"/>
      <c r="E4478" s="100"/>
      <c r="F4478" s="102"/>
      <c r="G4478" s="114"/>
    </row>
    <row r="4479" spans="2:7" ht="15.75" customHeight="1" x14ac:dyDescent="0.25">
      <c r="B4479" s="100"/>
      <c r="C4479" s="100"/>
      <c r="D4479" s="100"/>
      <c r="E4479" s="100"/>
      <c r="F4479" s="102"/>
      <c r="G4479" s="114"/>
    </row>
    <row r="4480" spans="2:7" ht="15.75" customHeight="1" x14ac:dyDescent="0.25">
      <c r="B4480" s="100"/>
      <c r="C4480" s="100"/>
      <c r="D4480" s="100"/>
      <c r="E4480" s="100"/>
      <c r="F4480" s="102"/>
      <c r="G4480" s="114"/>
    </row>
    <row r="4481" spans="2:7" ht="15.75" customHeight="1" x14ac:dyDescent="0.25">
      <c r="B4481" s="100"/>
      <c r="C4481" s="100"/>
      <c r="D4481" s="100"/>
      <c r="E4481" s="100"/>
      <c r="F4481" s="102"/>
      <c r="G4481" s="114"/>
    </row>
    <row r="4482" spans="2:7" ht="15.75" customHeight="1" x14ac:dyDescent="0.25">
      <c r="B4482" s="100"/>
      <c r="C4482" s="100"/>
      <c r="D4482" s="100"/>
      <c r="E4482" s="100"/>
      <c r="F4482" s="102"/>
      <c r="G4482" s="114"/>
    </row>
    <row r="4483" spans="2:7" ht="15.75" customHeight="1" x14ac:dyDescent="0.25">
      <c r="B4483" s="100"/>
      <c r="C4483" s="100"/>
      <c r="D4483" s="100"/>
      <c r="E4483" s="100"/>
      <c r="F4483" s="102"/>
      <c r="G4483" s="114"/>
    </row>
    <row r="4484" spans="2:7" ht="15.75" customHeight="1" x14ac:dyDescent="0.25">
      <c r="B4484" s="100"/>
      <c r="C4484" s="100"/>
      <c r="D4484" s="100"/>
      <c r="E4484" s="100"/>
      <c r="F4484" s="102"/>
      <c r="G4484" s="114"/>
    </row>
    <row r="4485" spans="2:7" ht="15.75" customHeight="1" x14ac:dyDescent="0.25">
      <c r="B4485" s="100"/>
      <c r="C4485" s="100"/>
      <c r="D4485" s="100"/>
      <c r="E4485" s="100"/>
      <c r="F4485" s="102"/>
      <c r="G4485" s="114"/>
    </row>
    <row r="4486" spans="2:7" ht="15.75" customHeight="1" x14ac:dyDescent="0.25">
      <c r="B4486" s="100"/>
      <c r="C4486" s="100"/>
      <c r="D4486" s="100"/>
      <c r="E4486" s="100"/>
      <c r="F4486" s="102"/>
      <c r="G4486" s="114"/>
    </row>
    <row r="4487" spans="2:7" ht="15.75" customHeight="1" x14ac:dyDescent="0.25">
      <c r="B4487" s="100"/>
      <c r="C4487" s="100"/>
      <c r="D4487" s="100"/>
      <c r="E4487" s="100"/>
      <c r="F4487" s="102"/>
      <c r="G4487" s="114"/>
    </row>
    <row r="4488" spans="2:7" ht="15.75" customHeight="1" x14ac:dyDescent="0.25">
      <c r="B4488" s="100"/>
      <c r="C4488" s="100"/>
      <c r="D4488" s="100"/>
      <c r="E4488" s="100"/>
      <c r="F4488" s="102"/>
      <c r="G4488" s="114"/>
    </row>
    <row r="4489" spans="2:7" ht="15.75" customHeight="1" x14ac:dyDescent="0.25">
      <c r="B4489" s="100"/>
      <c r="C4489" s="100"/>
      <c r="D4489" s="100"/>
      <c r="E4489" s="100"/>
      <c r="F4489" s="102"/>
      <c r="G4489" s="114"/>
    </row>
    <row r="4490" spans="2:7" ht="15.75" customHeight="1" x14ac:dyDescent="0.25">
      <c r="B4490" s="100"/>
      <c r="C4490" s="100"/>
      <c r="D4490" s="100"/>
      <c r="E4490" s="100"/>
      <c r="F4490" s="102"/>
      <c r="G4490" s="114"/>
    </row>
    <row r="4491" spans="2:7" ht="15.75" customHeight="1" x14ac:dyDescent="0.25">
      <c r="B4491" s="100"/>
      <c r="C4491" s="100"/>
      <c r="D4491" s="100"/>
      <c r="E4491" s="100"/>
      <c r="F4491" s="102"/>
      <c r="G4491" s="114"/>
    </row>
    <row r="4492" spans="2:7" ht="15.75" customHeight="1" x14ac:dyDescent="0.25">
      <c r="B4492" s="100"/>
      <c r="C4492" s="100"/>
      <c r="D4492" s="100"/>
      <c r="E4492" s="100"/>
      <c r="F4492" s="102"/>
      <c r="G4492" s="114"/>
    </row>
    <row r="4493" spans="2:7" ht="15.75" customHeight="1" x14ac:dyDescent="0.25">
      <c r="B4493" s="100"/>
      <c r="C4493" s="100"/>
      <c r="D4493" s="100"/>
      <c r="E4493" s="100"/>
      <c r="F4493" s="102"/>
      <c r="G4493" s="114"/>
    </row>
    <row r="4494" spans="2:7" ht="15.75" customHeight="1" x14ac:dyDescent="0.25">
      <c r="B4494" s="100"/>
      <c r="C4494" s="100"/>
      <c r="D4494" s="100"/>
      <c r="E4494" s="100"/>
      <c r="F4494" s="102"/>
      <c r="G4494" s="114"/>
    </row>
    <row r="4495" spans="2:7" ht="15.75" customHeight="1" x14ac:dyDescent="0.25">
      <c r="B4495" s="100"/>
      <c r="C4495" s="100"/>
      <c r="D4495" s="100"/>
      <c r="E4495" s="100"/>
      <c r="F4495" s="102"/>
      <c r="G4495" s="114"/>
    </row>
    <row r="4496" spans="2:7" ht="15.75" customHeight="1" x14ac:dyDescent="0.25">
      <c r="B4496" s="100"/>
      <c r="C4496" s="100"/>
      <c r="D4496" s="100"/>
      <c r="E4496" s="100"/>
      <c r="F4496" s="102"/>
      <c r="G4496" s="114"/>
    </row>
    <row r="4497" spans="2:7" ht="15.75" customHeight="1" x14ac:dyDescent="0.25">
      <c r="B4497" s="100"/>
      <c r="C4497" s="100"/>
      <c r="D4497" s="100"/>
      <c r="E4497" s="100"/>
      <c r="F4497" s="102"/>
      <c r="G4497" s="114"/>
    </row>
    <row r="4498" spans="2:7" ht="15.75" customHeight="1" x14ac:dyDescent="0.25">
      <c r="B4498" s="100"/>
      <c r="C4498" s="100"/>
      <c r="D4498" s="100"/>
      <c r="E4498" s="100"/>
      <c r="F4498" s="102"/>
      <c r="G4498" s="114"/>
    </row>
    <row r="4499" spans="2:7" ht="15.75" customHeight="1" x14ac:dyDescent="0.25">
      <c r="B4499" s="100"/>
      <c r="C4499" s="100"/>
      <c r="D4499" s="100"/>
      <c r="E4499" s="100"/>
      <c r="F4499" s="102"/>
      <c r="G4499" s="114"/>
    </row>
    <row r="4500" spans="2:7" ht="15.75" customHeight="1" x14ac:dyDescent="0.25">
      <c r="B4500" s="100"/>
      <c r="C4500" s="100"/>
      <c r="D4500" s="100"/>
      <c r="E4500" s="100"/>
      <c r="F4500" s="102"/>
      <c r="G4500" s="114"/>
    </row>
    <row r="4501" spans="2:7" ht="15.75" customHeight="1" x14ac:dyDescent="0.25">
      <c r="B4501" s="100"/>
      <c r="C4501" s="100"/>
      <c r="D4501" s="100"/>
      <c r="E4501" s="100"/>
      <c r="F4501" s="102"/>
      <c r="G4501" s="114"/>
    </row>
    <row r="4502" spans="2:7" ht="15.75" customHeight="1" x14ac:dyDescent="0.25">
      <c r="B4502" s="100"/>
      <c r="C4502" s="100"/>
      <c r="D4502" s="100"/>
      <c r="E4502" s="100"/>
      <c r="F4502" s="102"/>
      <c r="G4502" s="114"/>
    </row>
    <row r="4503" spans="2:7" ht="15.75" customHeight="1" x14ac:dyDescent="0.25">
      <c r="B4503" s="100"/>
      <c r="C4503" s="100"/>
      <c r="D4503" s="100"/>
      <c r="E4503" s="100"/>
      <c r="F4503" s="102"/>
      <c r="G4503" s="114"/>
    </row>
    <row r="4504" spans="2:7" ht="15.75" customHeight="1" x14ac:dyDescent="0.25">
      <c r="B4504" s="100"/>
      <c r="C4504" s="100"/>
      <c r="D4504" s="100"/>
      <c r="E4504" s="100"/>
      <c r="F4504" s="102"/>
      <c r="G4504" s="114"/>
    </row>
    <row r="4505" spans="2:7" ht="15.75" customHeight="1" x14ac:dyDescent="0.25">
      <c r="B4505" s="100"/>
      <c r="C4505" s="100"/>
      <c r="D4505" s="100"/>
      <c r="E4505" s="100"/>
      <c r="F4505" s="102"/>
      <c r="G4505" s="114"/>
    </row>
    <row r="4506" spans="2:7" ht="15.75" customHeight="1" x14ac:dyDescent="0.25">
      <c r="B4506" s="100"/>
      <c r="C4506" s="100"/>
      <c r="D4506" s="100"/>
      <c r="E4506" s="100"/>
      <c r="F4506" s="102"/>
      <c r="G4506" s="114"/>
    </row>
    <row r="4507" spans="2:7" ht="15.75" customHeight="1" x14ac:dyDescent="0.25">
      <c r="B4507" s="100"/>
      <c r="C4507" s="100"/>
      <c r="D4507" s="100"/>
      <c r="E4507" s="100"/>
      <c r="F4507" s="102"/>
      <c r="G4507" s="114"/>
    </row>
    <row r="4508" spans="2:7" ht="15.75" customHeight="1" x14ac:dyDescent="0.25">
      <c r="B4508" s="100"/>
      <c r="C4508" s="100"/>
      <c r="D4508" s="100"/>
      <c r="E4508" s="100"/>
      <c r="F4508" s="102"/>
      <c r="G4508" s="114"/>
    </row>
    <row r="4509" spans="2:7" ht="15.75" customHeight="1" x14ac:dyDescent="0.25">
      <c r="B4509" s="100"/>
      <c r="C4509" s="100"/>
      <c r="D4509" s="100"/>
      <c r="E4509" s="100"/>
      <c r="F4509" s="102"/>
      <c r="G4509" s="114"/>
    </row>
    <row r="4510" spans="2:7" ht="15.75" customHeight="1" x14ac:dyDescent="0.25">
      <c r="B4510" s="100"/>
      <c r="C4510" s="100"/>
      <c r="D4510" s="100"/>
      <c r="E4510" s="100"/>
      <c r="F4510" s="102"/>
      <c r="G4510" s="114"/>
    </row>
    <row r="4511" spans="2:7" ht="15.75" customHeight="1" x14ac:dyDescent="0.25">
      <c r="B4511" s="100"/>
      <c r="C4511" s="100"/>
      <c r="D4511" s="100"/>
      <c r="E4511" s="100"/>
      <c r="F4511" s="102"/>
      <c r="G4511" s="114"/>
    </row>
    <row r="4512" spans="2:7" ht="15.75" customHeight="1" x14ac:dyDescent="0.25">
      <c r="B4512" s="100"/>
      <c r="C4512" s="100"/>
      <c r="D4512" s="100"/>
      <c r="E4512" s="100"/>
      <c r="F4512" s="102"/>
      <c r="G4512" s="114"/>
    </row>
    <row r="4513" spans="2:7" ht="15.75" customHeight="1" x14ac:dyDescent="0.25">
      <c r="B4513" s="100"/>
      <c r="C4513" s="100"/>
      <c r="D4513" s="100"/>
      <c r="E4513" s="100"/>
      <c r="F4513" s="102"/>
      <c r="G4513" s="114"/>
    </row>
    <row r="4514" spans="2:7" ht="15.75" customHeight="1" x14ac:dyDescent="0.25">
      <c r="B4514" s="100"/>
      <c r="C4514" s="100"/>
      <c r="D4514" s="100"/>
      <c r="E4514" s="100"/>
      <c r="F4514" s="102"/>
      <c r="G4514" s="114"/>
    </row>
    <row r="4515" spans="2:7" ht="15.75" customHeight="1" x14ac:dyDescent="0.25">
      <c r="B4515" s="100"/>
      <c r="C4515" s="100"/>
      <c r="D4515" s="100"/>
      <c r="E4515" s="100"/>
      <c r="F4515" s="102"/>
      <c r="G4515" s="114"/>
    </row>
    <row r="4516" spans="2:7" ht="15.75" customHeight="1" x14ac:dyDescent="0.25">
      <c r="B4516" s="100"/>
      <c r="C4516" s="100"/>
      <c r="D4516" s="100"/>
      <c r="E4516" s="100"/>
      <c r="F4516" s="102"/>
      <c r="G4516" s="114"/>
    </row>
    <row r="4517" spans="2:7" ht="15.75" customHeight="1" x14ac:dyDescent="0.25">
      <c r="B4517" s="100"/>
      <c r="C4517" s="100"/>
      <c r="D4517" s="100"/>
      <c r="E4517" s="100"/>
      <c r="F4517" s="102"/>
      <c r="G4517" s="114"/>
    </row>
    <row r="4518" spans="2:7" ht="15.75" customHeight="1" x14ac:dyDescent="0.25">
      <c r="B4518" s="100"/>
      <c r="C4518" s="100"/>
      <c r="D4518" s="100"/>
      <c r="E4518" s="100"/>
      <c r="F4518" s="102"/>
      <c r="G4518" s="114"/>
    </row>
    <row r="4519" spans="2:7" ht="15.75" customHeight="1" x14ac:dyDescent="0.25">
      <c r="B4519" s="100"/>
      <c r="C4519" s="100"/>
      <c r="D4519" s="100"/>
      <c r="E4519" s="100"/>
      <c r="F4519" s="102"/>
      <c r="G4519" s="114"/>
    </row>
    <row r="4520" spans="2:7" ht="15.75" customHeight="1" x14ac:dyDescent="0.25">
      <c r="B4520" s="100"/>
      <c r="C4520" s="100"/>
      <c r="D4520" s="100"/>
      <c r="E4520" s="100"/>
      <c r="F4520" s="102"/>
      <c r="G4520" s="114"/>
    </row>
    <row r="4521" spans="2:7" ht="15.75" customHeight="1" x14ac:dyDescent="0.25">
      <c r="B4521" s="100"/>
      <c r="C4521" s="100"/>
      <c r="D4521" s="100"/>
      <c r="E4521" s="100"/>
      <c r="F4521" s="102"/>
      <c r="G4521" s="114"/>
    </row>
    <row r="4522" spans="2:7" ht="15.75" customHeight="1" x14ac:dyDescent="0.25">
      <c r="B4522" s="100"/>
      <c r="C4522" s="100"/>
      <c r="D4522" s="100"/>
      <c r="E4522" s="100"/>
      <c r="F4522" s="102"/>
      <c r="G4522" s="114"/>
    </row>
    <row r="4523" spans="2:7" ht="15.75" customHeight="1" x14ac:dyDescent="0.25">
      <c r="B4523" s="100"/>
      <c r="C4523" s="100"/>
      <c r="D4523" s="100"/>
      <c r="E4523" s="100"/>
      <c r="F4523" s="102"/>
      <c r="G4523" s="114"/>
    </row>
    <row r="4524" spans="2:7" ht="15.75" customHeight="1" x14ac:dyDescent="0.25">
      <c r="B4524" s="100"/>
      <c r="C4524" s="100"/>
      <c r="D4524" s="100"/>
      <c r="E4524" s="100"/>
      <c r="F4524" s="102"/>
      <c r="G4524" s="114"/>
    </row>
    <row r="4525" spans="2:7" ht="15.75" customHeight="1" x14ac:dyDescent="0.25">
      <c r="B4525" s="100"/>
      <c r="C4525" s="100"/>
      <c r="D4525" s="100"/>
      <c r="E4525" s="100"/>
      <c r="F4525" s="102"/>
      <c r="G4525" s="114"/>
    </row>
    <row r="4526" spans="2:7" ht="15.75" customHeight="1" x14ac:dyDescent="0.25">
      <c r="B4526" s="100"/>
      <c r="C4526" s="100"/>
      <c r="D4526" s="100"/>
      <c r="E4526" s="100"/>
      <c r="F4526" s="102"/>
      <c r="G4526" s="114"/>
    </row>
    <row r="4527" spans="2:7" ht="15.75" customHeight="1" x14ac:dyDescent="0.25">
      <c r="B4527" s="100"/>
      <c r="C4527" s="100"/>
      <c r="D4527" s="100"/>
      <c r="E4527" s="100"/>
      <c r="F4527" s="102"/>
      <c r="G4527" s="114"/>
    </row>
    <row r="4528" spans="2:7" ht="15.75" customHeight="1" x14ac:dyDescent="0.25">
      <c r="B4528" s="100"/>
      <c r="C4528" s="100"/>
      <c r="D4528" s="100"/>
      <c r="E4528" s="100"/>
      <c r="F4528" s="102"/>
      <c r="G4528" s="114"/>
    </row>
    <row r="4529" spans="2:7" ht="15.75" customHeight="1" x14ac:dyDescent="0.25">
      <c r="B4529" s="100"/>
      <c r="C4529" s="100"/>
      <c r="D4529" s="100"/>
      <c r="E4529" s="100"/>
      <c r="F4529" s="102"/>
      <c r="G4529" s="114"/>
    </row>
    <row r="4530" spans="2:7" ht="15.75" customHeight="1" x14ac:dyDescent="0.25">
      <c r="B4530" s="100"/>
      <c r="C4530" s="100"/>
      <c r="D4530" s="100"/>
      <c r="E4530" s="100"/>
      <c r="F4530" s="102"/>
      <c r="G4530" s="114"/>
    </row>
    <row r="4531" spans="2:7" ht="15.75" customHeight="1" x14ac:dyDescent="0.25">
      <c r="B4531" s="100"/>
      <c r="C4531" s="100"/>
      <c r="D4531" s="100"/>
      <c r="E4531" s="100"/>
      <c r="F4531" s="102"/>
      <c r="G4531" s="114"/>
    </row>
    <row r="4532" spans="2:7" ht="15.75" customHeight="1" x14ac:dyDescent="0.25">
      <c r="B4532" s="100"/>
      <c r="C4532" s="100"/>
      <c r="D4532" s="100"/>
      <c r="E4532" s="100"/>
      <c r="F4532" s="102"/>
      <c r="G4532" s="114"/>
    </row>
    <row r="4533" spans="2:7" ht="15.75" customHeight="1" x14ac:dyDescent="0.25">
      <c r="B4533" s="100"/>
      <c r="C4533" s="100"/>
      <c r="D4533" s="100"/>
      <c r="E4533" s="100"/>
      <c r="F4533" s="102"/>
      <c r="G4533" s="114"/>
    </row>
    <row r="4534" spans="2:7" ht="15.75" customHeight="1" x14ac:dyDescent="0.25">
      <c r="B4534" s="100"/>
      <c r="C4534" s="100"/>
      <c r="D4534" s="100"/>
      <c r="E4534" s="100"/>
      <c r="F4534" s="102"/>
      <c r="G4534" s="114"/>
    </row>
    <row r="4535" spans="2:7" ht="15.75" customHeight="1" x14ac:dyDescent="0.25">
      <c r="B4535" s="100"/>
      <c r="C4535" s="100"/>
      <c r="D4535" s="100"/>
      <c r="E4535" s="100"/>
      <c r="F4535" s="102"/>
      <c r="G4535" s="114"/>
    </row>
    <row r="4536" spans="2:7" ht="15.75" customHeight="1" x14ac:dyDescent="0.25">
      <c r="B4536" s="100"/>
      <c r="C4536" s="100"/>
      <c r="D4536" s="100"/>
      <c r="E4536" s="100"/>
      <c r="F4536" s="102"/>
      <c r="G4536" s="114"/>
    </row>
    <row r="4537" spans="2:7" ht="15.75" customHeight="1" x14ac:dyDescent="0.25">
      <c r="B4537" s="100"/>
      <c r="C4537" s="100"/>
      <c r="D4537" s="100"/>
      <c r="E4537" s="100"/>
      <c r="F4537" s="102"/>
      <c r="G4537" s="114"/>
    </row>
    <row r="4538" spans="2:7" ht="15.75" customHeight="1" x14ac:dyDescent="0.25">
      <c r="B4538" s="100"/>
      <c r="C4538" s="100"/>
      <c r="D4538" s="100"/>
      <c r="E4538" s="100"/>
      <c r="F4538" s="102"/>
      <c r="G4538" s="114"/>
    </row>
    <row r="4539" spans="2:7" ht="15.75" customHeight="1" x14ac:dyDescent="0.25">
      <c r="B4539" s="100"/>
      <c r="C4539" s="100"/>
      <c r="D4539" s="100"/>
      <c r="E4539" s="100"/>
      <c r="F4539" s="102"/>
      <c r="G4539" s="114"/>
    </row>
    <row r="4540" spans="2:7" ht="15.75" customHeight="1" x14ac:dyDescent="0.25">
      <c r="B4540" s="100"/>
      <c r="C4540" s="100"/>
      <c r="D4540" s="100"/>
      <c r="E4540" s="100"/>
      <c r="F4540" s="102"/>
      <c r="G4540" s="114"/>
    </row>
    <row r="4541" spans="2:7" ht="15.75" customHeight="1" x14ac:dyDescent="0.25">
      <c r="B4541" s="100"/>
      <c r="C4541" s="100"/>
      <c r="D4541" s="100"/>
      <c r="E4541" s="100"/>
      <c r="F4541" s="102"/>
      <c r="G4541" s="114"/>
    </row>
    <row r="4542" spans="2:7" ht="15.75" customHeight="1" x14ac:dyDescent="0.25">
      <c r="B4542" s="100"/>
      <c r="C4542" s="100"/>
      <c r="D4542" s="100"/>
      <c r="E4542" s="100"/>
      <c r="F4542" s="102"/>
      <c r="G4542" s="114"/>
    </row>
    <row r="4543" spans="2:7" ht="15.75" customHeight="1" x14ac:dyDescent="0.25">
      <c r="B4543" s="100"/>
      <c r="C4543" s="100"/>
      <c r="D4543" s="100"/>
      <c r="E4543" s="100"/>
      <c r="F4543" s="102"/>
      <c r="G4543" s="114"/>
    </row>
    <row r="4544" spans="2:7" ht="15.75" customHeight="1" x14ac:dyDescent="0.25">
      <c r="B4544" s="100"/>
      <c r="C4544" s="100"/>
      <c r="D4544" s="100"/>
      <c r="E4544" s="100"/>
      <c r="F4544" s="102"/>
      <c r="G4544" s="114"/>
    </row>
    <row r="4545" spans="2:7" ht="15.75" customHeight="1" x14ac:dyDescent="0.25">
      <c r="B4545" s="100"/>
      <c r="C4545" s="100"/>
      <c r="D4545" s="100"/>
      <c r="E4545" s="100"/>
      <c r="F4545" s="102"/>
      <c r="G4545" s="114"/>
    </row>
    <row r="4546" spans="2:7" ht="15.75" customHeight="1" x14ac:dyDescent="0.25">
      <c r="B4546" s="100"/>
      <c r="C4546" s="100"/>
      <c r="D4546" s="100"/>
      <c r="E4546" s="100"/>
      <c r="F4546" s="102"/>
      <c r="G4546" s="114"/>
    </row>
    <row r="4547" spans="2:7" ht="15.75" customHeight="1" x14ac:dyDescent="0.25">
      <c r="B4547" s="100"/>
      <c r="C4547" s="100"/>
      <c r="D4547" s="100"/>
      <c r="E4547" s="100"/>
      <c r="F4547" s="102"/>
      <c r="G4547" s="114"/>
    </row>
    <row r="4548" spans="2:7" ht="15.75" customHeight="1" x14ac:dyDescent="0.25">
      <c r="B4548" s="100"/>
      <c r="C4548" s="100"/>
      <c r="D4548" s="100"/>
      <c r="E4548" s="100"/>
      <c r="F4548" s="102"/>
      <c r="G4548" s="114"/>
    </row>
    <row r="4549" spans="2:7" ht="15.75" customHeight="1" x14ac:dyDescent="0.25">
      <c r="B4549" s="100"/>
      <c r="C4549" s="100"/>
      <c r="D4549" s="100"/>
      <c r="E4549" s="100"/>
      <c r="F4549" s="102"/>
      <c r="G4549" s="114"/>
    </row>
    <row r="4550" spans="2:7" ht="15.75" customHeight="1" x14ac:dyDescent="0.25">
      <c r="B4550" s="100"/>
      <c r="C4550" s="100"/>
      <c r="D4550" s="100"/>
      <c r="E4550" s="100"/>
      <c r="F4550" s="102"/>
      <c r="G4550" s="114"/>
    </row>
    <row r="4551" spans="2:7" ht="15.75" customHeight="1" x14ac:dyDescent="0.25">
      <c r="B4551" s="100"/>
      <c r="C4551" s="100"/>
      <c r="D4551" s="100"/>
      <c r="E4551" s="100"/>
      <c r="F4551" s="102"/>
      <c r="G4551" s="114"/>
    </row>
    <row r="4552" spans="2:7" ht="15.75" customHeight="1" x14ac:dyDescent="0.25">
      <c r="B4552" s="100"/>
      <c r="C4552" s="100"/>
      <c r="D4552" s="100"/>
      <c r="E4552" s="100"/>
      <c r="F4552" s="102"/>
      <c r="G4552" s="114"/>
    </row>
    <row r="4553" spans="2:7" ht="15.75" customHeight="1" x14ac:dyDescent="0.25">
      <c r="B4553" s="100"/>
      <c r="C4553" s="100"/>
      <c r="D4553" s="100"/>
      <c r="E4553" s="100"/>
      <c r="F4553" s="102"/>
      <c r="G4553" s="114"/>
    </row>
    <row r="4554" spans="2:7" ht="15.75" customHeight="1" x14ac:dyDescent="0.25">
      <c r="B4554" s="100"/>
      <c r="C4554" s="100"/>
      <c r="D4554" s="100"/>
      <c r="E4554" s="100"/>
      <c r="F4554" s="102"/>
      <c r="G4554" s="114"/>
    </row>
    <row r="4555" spans="2:7" ht="15.75" customHeight="1" x14ac:dyDescent="0.25">
      <c r="B4555" s="100"/>
      <c r="C4555" s="100"/>
      <c r="D4555" s="100"/>
      <c r="E4555" s="100"/>
      <c r="F4555" s="102"/>
      <c r="G4555" s="114"/>
    </row>
    <row r="4556" spans="2:7" ht="15.75" customHeight="1" x14ac:dyDescent="0.25">
      <c r="B4556" s="100"/>
      <c r="C4556" s="100"/>
      <c r="D4556" s="100"/>
      <c r="E4556" s="100"/>
      <c r="F4556" s="102"/>
      <c r="G4556" s="114"/>
    </row>
    <row r="4557" spans="2:7" ht="15.75" customHeight="1" x14ac:dyDescent="0.25">
      <c r="B4557" s="100"/>
      <c r="C4557" s="100"/>
      <c r="D4557" s="100"/>
      <c r="E4557" s="100"/>
      <c r="F4557" s="102"/>
      <c r="G4557" s="114"/>
    </row>
    <row r="4558" spans="2:7" ht="15.75" customHeight="1" x14ac:dyDescent="0.25">
      <c r="B4558" s="100"/>
      <c r="C4558" s="100"/>
      <c r="D4558" s="100"/>
      <c r="E4558" s="100"/>
      <c r="F4558" s="102"/>
      <c r="G4558" s="114"/>
    </row>
    <row r="4559" spans="2:7" ht="15.75" customHeight="1" x14ac:dyDescent="0.25">
      <c r="B4559" s="100"/>
      <c r="C4559" s="100"/>
      <c r="D4559" s="100"/>
      <c r="E4559" s="100"/>
      <c r="F4559" s="102"/>
      <c r="G4559" s="114"/>
    </row>
    <row r="4560" spans="2:7" ht="15.75" customHeight="1" x14ac:dyDescent="0.25">
      <c r="B4560" s="100"/>
      <c r="C4560" s="100"/>
      <c r="D4560" s="100"/>
      <c r="E4560" s="100"/>
      <c r="F4560" s="102"/>
      <c r="G4560" s="114"/>
    </row>
    <row r="4561" spans="2:7" ht="15.75" customHeight="1" x14ac:dyDescent="0.25">
      <c r="B4561" s="100"/>
      <c r="C4561" s="100"/>
      <c r="D4561" s="100"/>
      <c r="E4561" s="100"/>
      <c r="F4561" s="102"/>
      <c r="G4561" s="114"/>
    </row>
    <row r="4562" spans="2:7" ht="15.75" customHeight="1" x14ac:dyDescent="0.25">
      <c r="B4562" s="100"/>
      <c r="C4562" s="100"/>
      <c r="D4562" s="100"/>
      <c r="E4562" s="100"/>
      <c r="F4562" s="102"/>
      <c r="G4562" s="114"/>
    </row>
    <row r="4563" spans="2:7" ht="15.75" customHeight="1" x14ac:dyDescent="0.25">
      <c r="B4563" s="100"/>
      <c r="C4563" s="100"/>
      <c r="D4563" s="100"/>
      <c r="E4563" s="100"/>
      <c r="F4563" s="102"/>
      <c r="G4563" s="114"/>
    </row>
    <row r="4564" spans="2:7" ht="15.75" customHeight="1" x14ac:dyDescent="0.25">
      <c r="B4564" s="100"/>
      <c r="C4564" s="100"/>
      <c r="D4564" s="100"/>
      <c r="E4564" s="100"/>
      <c r="F4564" s="102"/>
      <c r="G4564" s="114"/>
    </row>
    <row r="4565" spans="2:7" ht="15.75" customHeight="1" x14ac:dyDescent="0.25">
      <c r="B4565" s="100"/>
      <c r="C4565" s="100"/>
      <c r="D4565" s="100"/>
      <c r="E4565" s="100"/>
      <c r="F4565" s="102"/>
      <c r="G4565" s="114"/>
    </row>
    <row r="4566" spans="2:7" ht="15.75" customHeight="1" x14ac:dyDescent="0.25">
      <c r="B4566" s="100"/>
      <c r="C4566" s="100"/>
      <c r="D4566" s="100"/>
      <c r="E4566" s="100"/>
      <c r="F4566" s="102"/>
      <c r="G4566" s="114"/>
    </row>
    <row r="4567" spans="2:7" ht="15.75" customHeight="1" x14ac:dyDescent="0.25">
      <c r="B4567" s="100"/>
      <c r="C4567" s="100"/>
      <c r="D4567" s="100"/>
      <c r="E4567" s="100"/>
      <c r="F4567" s="102"/>
      <c r="G4567" s="114"/>
    </row>
    <row r="4568" spans="2:7" ht="15.75" customHeight="1" x14ac:dyDescent="0.25">
      <c r="B4568" s="100"/>
      <c r="C4568" s="100"/>
      <c r="D4568" s="100"/>
      <c r="E4568" s="100"/>
      <c r="F4568" s="102"/>
      <c r="G4568" s="114"/>
    </row>
    <row r="4569" spans="2:7" ht="15.75" customHeight="1" x14ac:dyDescent="0.25">
      <c r="B4569" s="100"/>
      <c r="C4569" s="100"/>
      <c r="D4569" s="100"/>
      <c r="E4569" s="100"/>
      <c r="F4569" s="102"/>
      <c r="G4569" s="114"/>
    </row>
    <row r="4570" spans="2:7" ht="15.75" customHeight="1" x14ac:dyDescent="0.25">
      <c r="B4570" s="100"/>
      <c r="C4570" s="100"/>
      <c r="D4570" s="100"/>
      <c r="E4570" s="100"/>
      <c r="F4570" s="102"/>
      <c r="G4570" s="114"/>
    </row>
    <row r="4571" spans="2:7" ht="15.75" customHeight="1" x14ac:dyDescent="0.25">
      <c r="B4571" s="100"/>
      <c r="C4571" s="100"/>
      <c r="D4571" s="100"/>
      <c r="E4571" s="100"/>
      <c r="F4571" s="102"/>
      <c r="G4571" s="114"/>
    </row>
    <row r="4572" spans="2:7" ht="15.75" customHeight="1" x14ac:dyDescent="0.25">
      <c r="B4572" s="100"/>
      <c r="C4572" s="100"/>
      <c r="D4572" s="100"/>
      <c r="E4572" s="100"/>
      <c r="F4572" s="102"/>
      <c r="G4572" s="114"/>
    </row>
    <row r="4573" spans="2:7" ht="15.75" customHeight="1" x14ac:dyDescent="0.25">
      <c r="B4573" s="100"/>
      <c r="C4573" s="100"/>
      <c r="D4573" s="100"/>
      <c r="E4573" s="100"/>
      <c r="F4573" s="102"/>
      <c r="G4573" s="114"/>
    </row>
    <row r="4574" spans="2:7" ht="15.75" customHeight="1" x14ac:dyDescent="0.25">
      <c r="B4574" s="100"/>
      <c r="C4574" s="100"/>
      <c r="D4574" s="100"/>
      <c r="E4574" s="100"/>
      <c r="F4574" s="102"/>
      <c r="G4574" s="114"/>
    </row>
    <row r="4575" spans="2:7" ht="15.75" customHeight="1" x14ac:dyDescent="0.25">
      <c r="B4575" s="100"/>
      <c r="C4575" s="100"/>
      <c r="D4575" s="100"/>
      <c r="E4575" s="100"/>
      <c r="F4575" s="102"/>
      <c r="G4575" s="114"/>
    </row>
    <row r="4576" spans="2:7" ht="15.75" customHeight="1" x14ac:dyDescent="0.25">
      <c r="B4576" s="100"/>
      <c r="C4576" s="100"/>
      <c r="D4576" s="100"/>
      <c r="E4576" s="100"/>
      <c r="F4576" s="102"/>
      <c r="G4576" s="114"/>
    </row>
    <row r="4577" spans="2:7" ht="15.75" customHeight="1" x14ac:dyDescent="0.25">
      <c r="B4577" s="100"/>
      <c r="C4577" s="100"/>
      <c r="D4577" s="100"/>
      <c r="E4577" s="100"/>
      <c r="F4577" s="102"/>
      <c r="G4577" s="114"/>
    </row>
    <row r="4578" spans="2:7" ht="15.75" customHeight="1" x14ac:dyDescent="0.25">
      <c r="B4578" s="100"/>
      <c r="C4578" s="100"/>
      <c r="D4578" s="100"/>
      <c r="E4578" s="100"/>
      <c r="F4578" s="102"/>
      <c r="G4578" s="114"/>
    </row>
    <row r="4579" spans="2:7" ht="15.75" customHeight="1" x14ac:dyDescent="0.25">
      <c r="B4579" s="100"/>
      <c r="C4579" s="100"/>
      <c r="D4579" s="100"/>
      <c r="E4579" s="100"/>
      <c r="F4579" s="102"/>
      <c r="G4579" s="114"/>
    </row>
    <row r="4580" spans="2:7" ht="15.75" customHeight="1" x14ac:dyDescent="0.25">
      <c r="B4580" s="100"/>
      <c r="C4580" s="100"/>
      <c r="D4580" s="100"/>
      <c r="E4580" s="100"/>
      <c r="F4580" s="102"/>
      <c r="G4580" s="114"/>
    </row>
    <row r="4581" spans="2:7" ht="15.75" customHeight="1" x14ac:dyDescent="0.25">
      <c r="B4581" s="100"/>
      <c r="C4581" s="100"/>
      <c r="D4581" s="100"/>
      <c r="E4581" s="100"/>
      <c r="F4581" s="102"/>
      <c r="G4581" s="114"/>
    </row>
    <row r="4582" spans="2:7" ht="15.75" customHeight="1" x14ac:dyDescent="0.25">
      <c r="B4582" s="100"/>
      <c r="C4582" s="100"/>
      <c r="D4582" s="100"/>
      <c r="E4582" s="100"/>
      <c r="F4582" s="102"/>
      <c r="G4582" s="114"/>
    </row>
    <row r="4583" spans="2:7" ht="15.75" customHeight="1" x14ac:dyDescent="0.25">
      <c r="B4583" s="100"/>
      <c r="C4583" s="100"/>
      <c r="D4583" s="100"/>
      <c r="E4583" s="100"/>
      <c r="F4583" s="102"/>
      <c r="G4583" s="114"/>
    </row>
    <row r="4584" spans="2:7" ht="15.75" customHeight="1" x14ac:dyDescent="0.25">
      <c r="B4584" s="100"/>
      <c r="C4584" s="100"/>
      <c r="D4584" s="100"/>
      <c r="E4584" s="100"/>
      <c r="F4584" s="102"/>
      <c r="G4584" s="114"/>
    </row>
    <row r="4585" spans="2:7" ht="15.75" customHeight="1" x14ac:dyDescent="0.25">
      <c r="B4585" s="100"/>
      <c r="C4585" s="100"/>
      <c r="D4585" s="100"/>
      <c r="E4585" s="100"/>
      <c r="F4585" s="102"/>
      <c r="G4585" s="114"/>
    </row>
    <row r="4586" spans="2:7" ht="15.75" customHeight="1" x14ac:dyDescent="0.25">
      <c r="B4586" s="100"/>
      <c r="C4586" s="100"/>
      <c r="D4586" s="100"/>
      <c r="E4586" s="100"/>
      <c r="F4586" s="102"/>
      <c r="G4586" s="114"/>
    </row>
    <row r="4587" spans="2:7" ht="15.75" customHeight="1" x14ac:dyDescent="0.25">
      <c r="B4587" s="100"/>
      <c r="C4587" s="100"/>
      <c r="D4587" s="100"/>
      <c r="E4587" s="100"/>
      <c r="F4587" s="102"/>
      <c r="G4587" s="114"/>
    </row>
    <row r="4588" spans="2:7" ht="15.75" customHeight="1" x14ac:dyDescent="0.25">
      <c r="B4588" s="100"/>
      <c r="C4588" s="100"/>
      <c r="D4588" s="100"/>
      <c r="E4588" s="100"/>
      <c r="F4588" s="102"/>
      <c r="G4588" s="114"/>
    </row>
    <row r="4589" spans="2:7" ht="15.75" customHeight="1" x14ac:dyDescent="0.25">
      <c r="B4589" s="100"/>
      <c r="C4589" s="100"/>
      <c r="D4589" s="100"/>
      <c r="E4589" s="100"/>
      <c r="F4589" s="102"/>
      <c r="G4589" s="114"/>
    </row>
    <row r="4590" spans="2:7" ht="15.75" customHeight="1" x14ac:dyDescent="0.25">
      <c r="B4590" s="100"/>
      <c r="C4590" s="100"/>
      <c r="D4590" s="100"/>
      <c r="E4590" s="100"/>
      <c r="F4590" s="102"/>
      <c r="G4590" s="114"/>
    </row>
    <row r="4591" spans="2:7" ht="15.75" customHeight="1" x14ac:dyDescent="0.25">
      <c r="B4591" s="100"/>
      <c r="C4591" s="100"/>
      <c r="D4591" s="100"/>
      <c r="E4591" s="100"/>
      <c r="F4591" s="102"/>
      <c r="G4591" s="114"/>
    </row>
    <row r="4592" spans="2:7" ht="15.75" customHeight="1" x14ac:dyDescent="0.25">
      <c r="B4592" s="100"/>
      <c r="C4592" s="100"/>
      <c r="D4592" s="100"/>
      <c r="E4592" s="100"/>
      <c r="F4592" s="102"/>
      <c r="G4592" s="114"/>
    </row>
    <row r="4593" spans="2:7" ht="15.75" customHeight="1" x14ac:dyDescent="0.25">
      <c r="B4593" s="100"/>
      <c r="C4593" s="100"/>
      <c r="D4593" s="100"/>
      <c r="E4593" s="100"/>
      <c r="F4593" s="102"/>
      <c r="G4593" s="114"/>
    </row>
    <row r="4594" spans="2:7" ht="15.75" customHeight="1" x14ac:dyDescent="0.25">
      <c r="B4594" s="100"/>
      <c r="C4594" s="100"/>
      <c r="D4594" s="100"/>
      <c r="E4594" s="100"/>
      <c r="F4594" s="102"/>
      <c r="G4594" s="114"/>
    </row>
    <row r="4595" spans="2:7" ht="15.75" customHeight="1" x14ac:dyDescent="0.25">
      <c r="B4595" s="100"/>
      <c r="C4595" s="100"/>
      <c r="D4595" s="100"/>
      <c r="E4595" s="100"/>
      <c r="F4595" s="102"/>
      <c r="G4595" s="114"/>
    </row>
    <row r="4596" spans="2:7" ht="15.75" customHeight="1" x14ac:dyDescent="0.25">
      <c r="B4596" s="100"/>
      <c r="C4596" s="100"/>
      <c r="D4596" s="100"/>
      <c r="E4596" s="100"/>
      <c r="F4596" s="102"/>
      <c r="G4596" s="114"/>
    </row>
    <row r="4597" spans="2:7" ht="15.75" customHeight="1" x14ac:dyDescent="0.25">
      <c r="B4597" s="100"/>
      <c r="C4597" s="100"/>
      <c r="D4597" s="100"/>
      <c r="E4597" s="100"/>
      <c r="F4597" s="102"/>
      <c r="G4597" s="114"/>
    </row>
    <row r="4598" spans="2:7" ht="15.75" customHeight="1" x14ac:dyDescent="0.25">
      <c r="B4598" s="100"/>
      <c r="C4598" s="100"/>
      <c r="D4598" s="100"/>
      <c r="E4598" s="100"/>
      <c r="F4598" s="102"/>
      <c r="G4598" s="114"/>
    </row>
    <row r="4599" spans="2:7" ht="15.75" customHeight="1" x14ac:dyDescent="0.25">
      <c r="B4599" s="100"/>
      <c r="C4599" s="100"/>
      <c r="D4599" s="100"/>
      <c r="E4599" s="100"/>
      <c r="F4599" s="102"/>
      <c r="G4599" s="114"/>
    </row>
    <row r="4600" spans="2:7" ht="15.75" customHeight="1" x14ac:dyDescent="0.25">
      <c r="B4600" s="100"/>
      <c r="C4600" s="100"/>
      <c r="D4600" s="100"/>
      <c r="E4600" s="100"/>
      <c r="F4600" s="102"/>
      <c r="G4600" s="114"/>
    </row>
    <row r="4601" spans="2:7" ht="15.75" customHeight="1" x14ac:dyDescent="0.25">
      <c r="B4601" s="100"/>
      <c r="C4601" s="100"/>
      <c r="D4601" s="100"/>
      <c r="E4601" s="100"/>
      <c r="F4601" s="102"/>
      <c r="G4601" s="114"/>
    </row>
    <row r="4602" spans="2:7" ht="15.75" customHeight="1" x14ac:dyDescent="0.25">
      <c r="B4602" s="100"/>
      <c r="C4602" s="100"/>
      <c r="D4602" s="100"/>
      <c r="E4602" s="100"/>
      <c r="F4602" s="102"/>
      <c r="G4602" s="114"/>
    </row>
    <row r="4603" spans="2:7" ht="15.75" customHeight="1" x14ac:dyDescent="0.25">
      <c r="B4603" s="100"/>
      <c r="C4603" s="100"/>
      <c r="D4603" s="100"/>
      <c r="E4603" s="100"/>
      <c r="F4603" s="102"/>
      <c r="G4603" s="114"/>
    </row>
    <row r="4604" spans="2:7" ht="15.75" customHeight="1" x14ac:dyDescent="0.25">
      <c r="B4604" s="100"/>
      <c r="C4604" s="100"/>
      <c r="D4604" s="100"/>
      <c r="E4604" s="100"/>
      <c r="F4604" s="102"/>
      <c r="G4604" s="114"/>
    </row>
    <row r="4605" spans="2:7" ht="15.75" customHeight="1" x14ac:dyDescent="0.25">
      <c r="B4605" s="100"/>
      <c r="C4605" s="100"/>
      <c r="D4605" s="100"/>
      <c r="E4605" s="100"/>
      <c r="F4605" s="102"/>
      <c r="G4605" s="114"/>
    </row>
    <row r="4606" spans="2:7" ht="15.75" customHeight="1" x14ac:dyDescent="0.25">
      <c r="B4606" s="100"/>
      <c r="C4606" s="100"/>
      <c r="D4606" s="100"/>
      <c r="E4606" s="100"/>
      <c r="F4606" s="102"/>
      <c r="G4606" s="114"/>
    </row>
    <row r="4607" spans="2:7" ht="15.75" customHeight="1" x14ac:dyDescent="0.25">
      <c r="B4607" s="100"/>
      <c r="C4607" s="100"/>
      <c r="D4607" s="100"/>
      <c r="E4607" s="100"/>
      <c r="F4607" s="102"/>
      <c r="G4607" s="114"/>
    </row>
    <row r="4608" spans="2:7" ht="15.75" customHeight="1" x14ac:dyDescent="0.25">
      <c r="B4608" s="100"/>
      <c r="C4608" s="100"/>
      <c r="D4608" s="100"/>
      <c r="E4608" s="100"/>
      <c r="F4608" s="102"/>
      <c r="G4608" s="114"/>
    </row>
    <row r="4609" spans="2:7" ht="15.75" customHeight="1" x14ac:dyDescent="0.25">
      <c r="B4609" s="100"/>
      <c r="C4609" s="100"/>
      <c r="D4609" s="100"/>
      <c r="E4609" s="100"/>
      <c r="F4609" s="102"/>
      <c r="G4609" s="114"/>
    </row>
    <row r="4610" spans="2:7" ht="15.75" customHeight="1" x14ac:dyDescent="0.25">
      <c r="B4610" s="100"/>
      <c r="C4610" s="100"/>
      <c r="D4610" s="100"/>
      <c r="E4610" s="100"/>
      <c r="F4610" s="102"/>
      <c r="G4610" s="114"/>
    </row>
    <row r="4611" spans="2:7" ht="15.75" customHeight="1" x14ac:dyDescent="0.25">
      <c r="B4611" s="100"/>
      <c r="C4611" s="100"/>
      <c r="D4611" s="100"/>
      <c r="E4611" s="100"/>
      <c r="F4611" s="102"/>
      <c r="G4611" s="114"/>
    </row>
    <row r="4612" spans="2:7" ht="15.75" customHeight="1" x14ac:dyDescent="0.25">
      <c r="B4612" s="100"/>
      <c r="C4612" s="100"/>
      <c r="D4612" s="100"/>
      <c r="E4612" s="100"/>
      <c r="F4612" s="102"/>
      <c r="G4612" s="114"/>
    </row>
    <row r="4613" spans="2:7" ht="15.75" customHeight="1" x14ac:dyDescent="0.25">
      <c r="B4613" s="100"/>
      <c r="C4613" s="100"/>
      <c r="D4613" s="100"/>
      <c r="E4613" s="100"/>
      <c r="F4613" s="102"/>
      <c r="G4613" s="114"/>
    </row>
    <row r="4614" spans="2:7" ht="15.75" customHeight="1" x14ac:dyDescent="0.25">
      <c r="B4614" s="100"/>
      <c r="C4614" s="100"/>
      <c r="D4614" s="100"/>
      <c r="E4614" s="100"/>
      <c r="F4614" s="102"/>
      <c r="G4614" s="114"/>
    </row>
    <row r="4615" spans="2:7" ht="15.75" customHeight="1" x14ac:dyDescent="0.25">
      <c r="B4615" s="100"/>
      <c r="C4615" s="100"/>
      <c r="D4615" s="100"/>
      <c r="E4615" s="100"/>
      <c r="F4615" s="102"/>
      <c r="G4615" s="114"/>
    </row>
    <row r="4616" spans="2:7" ht="15.75" customHeight="1" x14ac:dyDescent="0.25">
      <c r="B4616" s="100"/>
      <c r="C4616" s="100"/>
      <c r="D4616" s="100"/>
      <c r="E4616" s="100"/>
      <c r="F4616" s="102"/>
      <c r="G4616" s="114"/>
    </row>
    <row r="4617" spans="2:7" ht="15.75" customHeight="1" x14ac:dyDescent="0.25">
      <c r="B4617" s="100"/>
      <c r="C4617" s="100"/>
      <c r="D4617" s="100"/>
      <c r="E4617" s="100"/>
      <c r="F4617" s="102"/>
      <c r="G4617" s="114"/>
    </row>
    <row r="4618" spans="2:7" ht="15.75" customHeight="1" x14ac:dyDescent="0.25">
      <c r="B4618" s="100"/>
      <c r="C4618" s="100"/>
      <c r="D4618" s="100"/>
      <c r="E4618" s="100"/>
      <c r="F4618" s="102"/>
      <c r="G4618" s="114"/>
    </row>
    <row r="4619" spans="2:7" ht="15.75" customHeight="1" x14ac:dyDescent="0.25">
      <c r="B4619" s="100"/>
      <c r="C4619" s="100"/>
      <c r="D4619" s="100"/>
      <c r="E4619" s="100"/>
      <c r="F4619" s="102"/>
      <c r="G4619" s="114"/>
    </row>
    <row r="4620" spans="2:7" ht="15.75" customHeight="1" x14ac:dyDescent="0.25">
      <c r="B4620" s="100"/>
      <c r="C4620" s="100"/>
      <c r="D4620" s="100"/>
      <c r="E4620" s="100"/>
      <c r="F4620" s="102"/>
      <c r="G4620" s="114"/>
    </row>
    <row r="4621" spans="2:7" ht="15.75" customHeight="1" x14ac:dyDescent="0.25">
      <c r="B4621" s="100"/>
      <c r="C4621" s="100"/>
      <c r="D4621" s="100"/>
      <c r="E4621" s="100"/>
      <c r="F4621" s="102"/>
      <c r="G4621" s="114"/>
    </row>
    <row r="4622" spans="2:7" ht="15.75" customHeight="1" x14ac:dyDescent="0.25">
      <c r="B4622" s="100"/>
      <c r="C4622" s="100"/>
      <c r="D4622" s="100"/>
      <c r="E4622" s="100"/>
      <c r="F4622" s="102"/>
      <c r="G4622" s="114"/>
    </row>
    <row r="4623" spans="2:7" ht="15.75" customHeight="1" x14ac:dyDescent="0.25">
      <c r="B4623" s="100"/>
      <c r="C4623" s="100"/>
      <c r="D4623" s="100"/>
      <c r="E4623" s="100"/>
      <c r="F4623" s="102"/>
      <c r="G4623" s="114"/>
    </row>
    <row r="4624" spans="2:7" ht="15.75" customHeight="1" x14ac:dyDescent="0.25">
      <c r="B4624" s="100"/>
      <c r="C4624" s="100"/>
      <c r="D4624" s="100"/>
      <c r="E4624" s="100"/>
      <c r="F4624" s="102"/>
      <c r="G4624" s="114"/>
    </row>
    <row r="4625" spans="2:7" ht="15.75" customHeight="1" x14ac:dyDescent="0.25">
      <c r="B4625" s="100"/>
      <c r="C4625" s="100"/>
      <c r="D4625" s="100"/>
      <c r="E4625" s="100"/>
      <c r="F4625" s="102"/>
      <c r="G4625" s="114"/>
    </row>
    <row r="4626" spans="2:7" ht="15.75" customHeight="1" x14ac:dyDescent="0.25">
      <c r="B4626" s="100"/>
      <c r="C4626" s="100"/>
      <c r="D4626" s="100"/>
      <c r="E4626" s="100"/>
      <c r="F4626" s="102"/>
      <c r="G4626" s="114"/>
    </row>
    <row r="4627" spans="2:7" ht="15.75" customHeight="1" x14ac:dyDescent="0.25">
      <c r="B4627" s="100"/>
      <c r="C4627" s="100"/>
      <c r="D4627" s="100"/>
      <c r="E4627" s="100"/>
      <c r="F4627" s="102"/>
      <c r="G4627" s="114"/>
    </row>
    <row r="4628" spans="2:7" ht="15.75" customHeight="1" x14ac:dyDescent="0.25">
      <c r="B4628" s="100"/>
      <c r="C4628" s="100"/>
      <c r="D4628" s="100"/>
      <c r="E4628" s="100"/>
      <c r="F4628" s="102"/>
      <c r="G4628" s="114"/>
    </row>
    <row r="4629" spans="2:7" ht="15.75" customHeight="1" x14ac:dyDescent="0.25">
      <c r="B4629" s="100"/>
      <c r="C4629" s="100"/>
      <c r="D4629" s="100"/>
      <c r="E4629" s="100"/>
      <c r="F4629" s="102"/>
      <c r="G4629" s="114"/>
    </row>
    <row r="4630" spans="2:7" ht="15.75" customHeight="1" x14ac:dyDescent="0.25">
      <c r="B4630" s="100"/>
      <c r="C4630" s="100"/>
      <c r="D4630" s="100"/>
      <c r="E4630" s="100"/>
      <c r="F4630" s="102"/>
      <c r="G4630" s="114"/>
    </row>
    <row r="4631" spans="2:7" ht="15.75" customHeight="1" x14ac:dyDescent="0.25">
      <c r="B4631" s="100"/>
      <c r="C4631" s="100"/>
      <c r="D4631" s="100"/>
      <c r="E4631" s="100"/>
      <c r="F4631" s="102"/>
      <c r="G4631" s="114"/>
    </row>
    <row r="4632" spans="2:7" ht="15.75" customHeight="1" x14ac:dyDescent="0.25">
      <c r="B4632" s="100"/>
      <c r="C4632" s="100"/>
      <c r="D4632" s="100"/>
      <c r="E4632" s="100"/>
      <c r="F4632" s="102"/>
      <c r="G4632" s="114"/>
    </row>
    <row r="4633" spans="2:7" ht="15.75" customHeight="1" x14ac:dyDescent="0.25">
      <c r="B4633" s="100"/>
      <c r="C4633" s="100"/>
      <c r="D4633" s="100"/>
      <c r="E4633" s="100"/>
      <c r="F4633" s="102"/>
      <c r="G4633" s="114"/>
    </row>
    <row r="4634" spans="2:7" ht="15.75" customHeight="1" x14ac:dyDescent="0.25">
      <c r="B4634" s="100"/>
      <c r="C4634" s="100"/>
      <c r="D4634" s="100"/>
      <c r="E4634" s="100"/>
      <c r="F4634" s="102"/>
      <c r="G4634" s="114"/>
    </row>
    <row r="4635" spans="2:7" ht="15.75" customHeight="1" x14ac:dyDescent="0.25">
      <c r="B4635" s="100"/>
      <c r="C4635" s="100"/>
      <c r="D4635" s="100"/>
      <c r="E4635" s="100"/>
      <c r="F4635" s="102"/>
      <c r="G4635" s="114"/>
    </row>
    <row r="4636" spans="2:7" ht="15.75" customHeight="1" x14ac:dyDescent="0.25">
      <c r="B4636" s="100"/>
      <c r="C4636" s="100"/>
      <c r="D4636" s="100"/>
      <c r="E4636" s="100"/>
      <c r="F4636" s="102"/>
      <c r="G4636" s="114"/>
    </row>
    <row r="4637" spans="2:7" ht="15.75" customHeight="1" x14ac:dyDescent="0.25">
      <c r="B4637" s="100"/>
      <c r="C4637" s="100"/>
      <c r="D4637" s="100"/>
      <c r="E4637" s="100"/>
      <c r="F4637" s="102"/>
      <c r="G4637" s="114"/>
    </row>
    <row r="4638" spans="2:7" ht="15.75" customHeight="1" x14ac:dyDescent="0.25">
      <c r="B4638" s="100"/>
      <c r="C4638" s="100"/>
      <c r="D4638" s="100"/>
      <c r="E4638" s="100"/>
      <c r="F4638" s="102"/>
      <c r="G4638" s="114"/>
    </row>
    <row r="4639" spans="2:7" ht="15.75" customHeight="1" x14ac:dyDescent="0.25">
      <c r="B4639" s="100"/>
      <c r="C4639" s="100"/>
      <c r="D4639" s="100"/>
      <c r="E4639" s="100"/>
      <c r="F4639" s="102"/>
      <c r="G4639" s="114"/>
    </row>
    <row r="4640" spans="2:7" ht="15.75" customHeight="1" x14ac:dyDescent="0.25">
      <c r="B4640" s="100"/>
      <c r="C4640" s="100"/>
      <c r="D4640" s="100"/>
      <c r="E4640" s="100"/>
      <c r="F4640" s="102"/>
      <c r="G4640" s="114"/>
    </row>
    <row r="4641" spans="2:7" ht="15.75" customHeight="1" x14ac:dyDescent="0.25">
      <c r="B4641" s="100"/>
      <c r="C4641" s="100"/>
      <c r="D4641" s="100"/>
      <c r="E4641" s="100"/>
      <c r="F4641" s="102"/>
      <c r="G4641" s="114"/>
    </row>
    <row r="4642" spans="2:7" ht="15.75" customHeight="1" x14ac:dyDescent="0.25">
      <c r="B4642" s="100"/>
      <c r="C4642" s="100"/>
      <c r="D4642" s="100"/>
      <c r="E4642" s="100"/>
      <c r="F4642" s="102"/>
      <c r="G4642" s="114"/>
    </row>
    <row r="4643" spans="2:7" ht="15.75" customHeight="1" x14ac:dyDescent="0.25">
      <c r="B4643" s="100"/>
      <c r="C4643" s="100"/>
      <c r="D4643" s="100"/>
      <c r="E4643" s="100"/>
      <c r="F4643" s="102"/>
      <c r="G4643" s="114"/>
    </row>
    <row r="4644" spans="2:7" ht="15.75" customHeight="1" x14ac:dyDescent="0.25">
      <c r="B4644" s="100"/>
      <c r="C4644" s="100"/>
      <c r="D4644" s="100"/>
      <c r="E4644" s="100"/>
      <c r="F4644" s="102"/>
      <c r="G4644" s="114"/>
    </row>
    <row r="4645" spans="2:7" ht="15.75" customHeight="1" x14ac:dyDescent="0.25">
      <c r="B4645" s="100"/>
      <c r="C4645" s="100"/>
      <c r="D4645" s="100"/>
      <c r="E4645" s="100"/>
      <c r="F4645" s="102"/>
      <c r="G4645" s="114"/>
    </row>
    <row r="4646" spans="2:7" ht="15.75" customHeight="1" x14ac:dyDescent="0.25">
      <c r="B4646" s="100"/>
      <c r="C4646" s="100"/>
      <c r="D4646" s="100"/>
      <c r="E4646" s="100"/>
      <c r="F4646" s="102"/>
      <c r="G4646" s="114"/>
    </row>
    <row r="4647" spans="2:7" ht="15.75" customHeight="1" x14ac:dyDescent="0.25">
      <c r="B4647" s="100"/>
      <c r="C4647" s="100"/>
      <c r="D4647" s="100"/>
      <c r="E4647" s="100"/>
      <c r="F4647" s="102"/>
      <c r="G4647" s="114"/>
    </row>
    <row r="4648" spans="2:7" ht="15.75" customHeight="1" x14ac:dyDescent="0.25">
      <c r="B4648" s="100"/>
      <c r="C4648" s="100"/>
      <c r="D4648" s="100"/>
      <c r="E4648" s="100"/>
      <c r="F4648" s="102"/>
      <c r="G4648" s="114"/>
    </row>
    <row r="4649" spans="2:7" ht="15.75" customHeight="1" x14ac:dyDescent="0.25">
      <c r="B4649" s="100"/>
      <c r="C4649" s="100"/>
      <c r="D4649" s="100"/>
      <c r="E4649" s="100"/>
      <c r="F4649" s="102"/>
      <c r="G4649" s="114"/>
    </row>
    <row r="4650" spans="2:7" ht="15.75" customHeight="1" x14ac:dyDescent="0.25">
      <c r="B4650" s="100"/>
      <c r="C4650" s="100"/>
      <c r="D4650" s="100"/>
      <c r="E4650" s="100"/>
      <c r="F4650" s="102"/>
      <c r="G4650" s="114"/>
    </row>
    <row r="4651" spans="2:7" ht="15.75" customHeight="1" x14ac:dyDescent="0.25">
      <c r="B4651" s="100"/>
      <c r="C4651" s="100"/>
      <c r="D4651" s="100"/>
      <c r="E4651" s="100"/>
      <c r="F4651" s="102"/>
      <c r="G4651" s="114"/>
    </row>
    <row r="4652" spans="2:7" ht="15.75" customHeight="1" x14ac:dyDescent="0.25">
      <c r="B4652" s="100"/>
      <c r="C4652" s="100"/>
      <c r="D4652" s="100"/>
      <c r="E4652" s="100"/>
      <c r="F4652" s="102"/>
      <c r="G4652" s="114"/>
    </row>
    <row r="4653" spans="2:7" ht="15.75" customHeight="1" x14ac:dyDescent="0.25">
      <c r="B4653" s="100"/>
      <c r="C4653" s="100"/>
      <c r="D4653" s="100"/>
      <c r="E4653" s="100"/>
      <c r="F4653" s="102"/>
      <c r="G4653" s="114"/>
    </row>
    <row r="4654" spans="2:7" ht="15.75" customHeight="1" x14ac:dyDescent="0.25">
      <c r="B4654" s="100"/>
      <c r="C4654" s="100"/>
      <c r="D4654" s="100"/>
      <c r="E4654" s="100"/>
      <c r="F4654" s="102"/>
      <c r="G4654" s="114"/>
    </row>
    <row r="4655" spans="2:7" ht="15.75" customHeight="1" x14ac:dyDescent="0.25">
      <c r="B4655" s="100"/>
      <c r="C4655" s="100"/>
      <c r="D4655" s="100"/>
      <c r="E4655" s="100"/>
      <c r="F4655" s="102"/>
      <c r="G4655" s="114"/>
    </row>
    <row r="4656" spans="2:7" ht="15.75" customHeight="1" x14ac:dyDescent="0.25">
      <c r="B4656" s="100"/>
      <c r="C4656" s="100"/>
      <c r="D4656" s="100"/>
      <c r="E4656" s="100"/>
      <c r="F4656" s="102"/>
      <c r="G4656" s="114"/>
    </row>
    <row r="4657" spans="2:7" ht="15.75" customHeight="1" x14ac:dyDescent="0.25">
      <c r="B4657" s="100"/>
      <c r="C4657" s="100"/>
      <c r="D4657" s="100"/>
      <c r="E4657" s="100"/>
      <c r="F4657" s="102"/>
      <c r="G4657" s="114"/>
    </row>
    <row r="4658" spans="2:7" ht="15.75" customHeight="1" x14ac:dyDescent="0.25">
      <c r="B4658" s="100"/>
      <c r="C4658" s="100"/>
      <c r="D4658" s="100"/>
      <c r="E4658" s="100"/>
      <c r="F4658" s="102"/>
      <c r="G4658" s="114"/>
    </row>
    <row r="4659" spans="2:7" ht="15.75" customHeight="1" x14ac:dyDescent="0.25">
      <c r="B4659" s="100"/>
      <c r="C4659" s="100"/>
      <c r="D4659" s="100"/>
      <c r="E4659" s="100"/>
      <c r="F4659" s="102"/>
      <c r="G4659" s="114"/>
    </row>
    <row r="4660" spans="2:7" ht="15.75" customHeight="1" x14ac:dyDescent="0.25">
      <c r="B4660" s="100"/>
      <c r="C4660" s="100"/>
      <c r="D4660" s="100"/>
      <c r="E4660" s="100"/>
      <c r="F4660" s="102"/>
      <c r="G4660" s="114"/>
    </row>
    <row r="4661" spans="2:7" ht="15.75" customHeight="1" x14ac:dyDescent="0.25">
      <c r="B4661" s="100"/>
      <c r="C4661" s="100"/>
      <c r="D4661" s="100"/>
      <c r="E4661" s="100"/>
      <c r="F4661" s="102"/>
      <c r="G4661" s="114"/>
    </row>
    <row r="4662" spans="2:7" ht="15.75" customHeight="1" x14ac:dyDescent="0.25">
      <c r="B4662" s="100"/>
      <c r="C4662" s="100"/>
      <c r="D4662" s="100"/>
      <c r="E4662" s="100"/>
      <c r="F4662" s="102"/>
      <c r="G4662" s="114"/>
    </row>
    <row r="4663" spans="2:7" ht="15.75" customHeight="1" x14ac:dyDescent="0.25">
      <c r="B4663" s="100"/>
      <c r="C4663" s="100"/>
      <c r="D4663" s="100"/>
      <c r="E4663" s="100"/>
      <c r="F4663" s="102"/>
      <c r="G4663" s="114"/>
    </row>
    <row r="4664" spans="2:7" ht="15.75" customHeight="1" x14ac:dyDescent="0.25">
      <c r="B4664" s="100"/>
      <c r="C4664" s="100"/>
      <c r="D4664" s="100"/>
      <c r="E4664" s="100"/>
      <c r="F4664" s="102"/>
      <c r="G4664" s="114"/>
    </row>
    <row r="4665" spans="2:7" ht="15.75" customHeight="1" x14ac:dyDescent="0.25">
      <c r="B4665" s="100"/>
      <c r="C4665" s="100"/>
      <c r="D4665" s="100"/>
      <c r="E4665" s="100"/>
      <c r="F4665" s="102"/>
      <c r="G4665" s="114"/>
    </row>
    <row r="4666" spans="2:7" ht="15.75" customHeight="1" x14ac:dyDescent="0.25">
      <c r="B4666" s="100"/>
      <c r="C4666" s="100"/>
      <c r="D4666" s="100"/>
      <c r="E4666" s="100"/>
      <c r="F4666" s="102"/>
      <c r="G4666" s="114"/>
    </row>
    <row r="4667" spans="2:7" ht="15.75" customHeight="1" x14ac:dyDescent="0.25">
      <c r="B4667" s="100"/>
      <c r="C4667" s="100"/>
      <c r="D4667" s="100"/>
      <c r="E4667" s="100"/>
      <c r="F4667" s="102"/>
      <c r="G4667" s="114"/>
    </row>
    <row r="4668" spans="2:7" ht="15.75" customHeight="1" x14ac:dyDescent="0.25">
      <c r="B4668" s="100"/>
      <c r="C4668" s="100"/>
      <c r="D4668" s="100"/>
      <c r="E4668" s="100"/>
      <c r="F4668" s="102"/>
      <c r="G4668" s="114"/>
    </row>
    <row r="4669" spans="2:7" ht="15.75" customHeight="1" x14ac:dyDescent="0.25">
      <c r="B4669" s="100"/>
      <c r="C4669" s="100"/>
      <c r="D4669" s="100"/>
      <c r="E4669" s="100"/>
      <c r="F4669" s="102"/>
      <c r="G4669" s="114"/>
    </row>
    <row r="4670" spans="2:7" ht="15.75" customHeight="1" x14ac:dyDescent="0.25">
      <c r="B4670" s="100"/>
      <c r="C4670" s="100"/>
      <c r="D4670" s="100"/>
      <c r="E4670" s="100"/>
      <c r="F4670" s="102"/>
      <c r="G4670" s="114"/>
    </row>
    <row r="4671" spans="2:7" ht="15.75" customHeight="1" x14ac:dyDescent="0.25">
      <c r="B4671" s="100"/>
      <c r="C4671" s="100"/>
      <c r="D4671" s="100"/>
      <c r="E4671" s="100"/>
      <c r="F4671" s="102"/>
      <c r="G4671" s="114"/>
    </row>
    <row r="4672" spans="2:7" ht="15.75" customHeight="1" x14ac:dyDescent="0.25">
      <c r="B4672" s="100"/>
      <c r="C4672" s="100"/>
      <c r="D4672" s="100"/>
      <c r="E4672" s="100"/>
      <c r="F4672" s="102"/>
      <c r="G4672" s="114"/>
    </row>
    <row r="4673" spans="2:7" ht="15.75" customHeight="1" x14ac:dyDescent="0.25">
      <c r="B4673" s="100"/>
      <c r="C4673" s="100"/>
      <c r="D4673" s="100"/>
      <c r="E4673" s="100"/>
      <c r="F4673" s="102"/>
      <c r="G4673" s="114"/>
    </row>
    <row r="4674" spans="2:7" ht="15.75" customHeight="1" x14ac:dyDescent="0.25">
      <c r="B4674" s="100"/>
      <c r="C4674" s="100"/>
      <c r="D4674" s="100"/>
      <c r="E4674" s="100"/>
      <c r="F4674" s="102"/>
      <c r="G4674" s="114"/>
    </row>
    <row r="4675" spans="2:7" ht="15.75" customHeight="1" x14ac:dyDescent="0.25">
      <c r="B4675" s="100"/>
      <c r="C4675" s="100"/>
      <c r="D4675" s="100"/>
      <c r="E4675" s="100"/>
      <c r="F4675" s="102"/>
      <c r="G4675" s="114"/>
    </row>
    <row r="4676" spans="2:7" ht="15.75" customHeight="1" x14ac:dyDescent="0.25">
      <c r="B4676" s="100"/>
      <c r="C4676" s="100"/>
      <c r="D4676" s="100"/>
      <c r="E4676" s="100"/>
      <c r="F4676" s="102"/>
      <c r="G4676" s="114"/>
    </row>
    <row r="4677" spans="2:7" ht="15.75" customHeight="1" x14ac:dyDescent="0.25">
      <c r="B4677" s="100"/>
      <c r="C4677" s="100"/>
      <c r="D4677" s="100"/>
      <c r="E4677" s="100"/>
      <c r="F4677" s="102"/>
      <c r="G4677" s="114"/>
    </row>
    <row r="4678" spans="2:7" ht="15.75" customHeight="1" x14ac:dyDescent="0.25">
      <c r="B4678" s="100"/>
      <c r="C4678" s="100"/>
      <c r="D4678" s="100"/>
      <c r="E4678" s="100"/>
      <c r="F4678" s="102"/>
      <c r="G4678" s="114"/>
    </row>
    <row r="4679" spans="2:7" ht="15.75" customHeight="1" x14ac:dyDescent="0.25">
      <c r="B4679" s="100"/>
      <c r="C4679" s="100"/>
      <c r="D4679" s="100"/>
      <c r="E4679" s="100"/>
      <c r="F4679" s="102"/>
      <c r="G4679" s="114"/>
    </row>
    <row r="4680" spans="2:7" ht="15.75" customHeight="1" x14ac:dyDescent="0.25">
      <c r="B4680" s="100"/>
      <c r="C4680" s="100"/>
      <c r="D4680" s="100"/>
      <c r="E4680" s="100"/>
      <c r="F4680" s="102"/>
      <c r="G4680" s="114"/>
    </row>
    <row r="4681" spans="2:7" ht="15.75" customHeight="1" x14ac:dyDescent="0.25">
      <c r="B4681" s="100"/>
      <c r="C4681" s="100"/>
      <c r="D4681" s="100"/>
      <c r="E4681" s="100"/>
      <c r="F4681" s="102"/>
      <c r="G4681" s="114"/>
    </row>
    <row r="4682" spans="2:7" ht="15.75" customHeight="1" x14ac:dyDescent="0.25">
      <c r="B4682" s="100"/>
      <c r="C4682" s="100"/>
      <c r="D4682" s="100"/>
      <c r="E4682" s="100"/>
      <c r="F4682" s="102"/>
      <c r="G4682" s="114"/>
    </row>
    <row r="4683" spans="2:7" ht="15.75" customHeight="1" x14ac:dyDescent="0.25">
      <c r="B4683" s="100"/>
      <c r="C4683" s="100"/>
      <c r="D4683" s="100"/>
      <c r="E4683" s="100"/>
      <c r="F4683" s="102"/>
      <c r="G4683" s="114"/>
    </row>
    <row r="4684" spans="2:7" ht="15.75" customHeight="1" x14ac:dyDescent="0.25">
      <c r="B4684" s="100"/>
      <c r="C4684" s="100"/>
      <c r="D4684" s="100"/>
      <c r="E4684" s="100"/>
      <c r="F4684" s="102"/>
      <c r="G4684" s="114"/>
    </row>
    <row r="4685" spans="2:7" ht="15.75" customHeight="1" x14ac:dyDescent="0.25">
      <c r="B4685" s="100"/>
      <c r="C4685" s="100"/>
      <c r="D4685" s="100"/>
      <c r="E4685" s="100"/>
      <c r="F4685" s="102"/>
      <c r="G4685" s="114"/>
    </row>
    <row r="4686" spans="2:7" ht="15.75" customHeight="1" x14ac:dyDescent="0.25">
      <c r="B4686" s="100"/>
      <c r="C4686" s="100"/>
      <c r="D4686" s="100"/>
      <c r="E4686" s="100"/>
      <c r="F4686" s="102"/>
      <c r="G4686" s="114"/>
    </row>
    <row r="4687" spans="2:7" ht="15.75" customHeight="1" x14ac:dyDescent="0.25">
      <c r="B4687" s="100"/>
      <c r="C4687" s="100"/>
      <c r="D4687" s="100"/>
      <c r="E4687" s="100"/>
      <c r="F4687" s="102"/>
      <c r="G4687" s="114"/>
    </row>
    <row r="4688" spans="2:7" ht="15.75" customHeight="1" x14ac:dyDescent="0.25">
      <c r="B4688" s="100"/>
      <c r="C4688" s="100"/>
      <c r="D4688" s="100"/>
      <c r="E4688" s="100"/>
      <c r="F4688" s="102"/>
      <c r="G4688" s="114"/>
    </row>
    <row r="4689" spans="2:7" ht="15.75" customHeight="1" x14ac:dyDescent="0.25">
      <c r="B4689" s="100"/>
      <c r="C4689" s="100"/>
      <c r="D4689" s="100"/>
      <c r="E4689" s="100"/>
      <c r="F4689" s="102"/>
      <c r="G4689" s="114"/>
    </row>
    <row r="4690" spans="2:7" ht="15.75" customHeight="1" x14ac:dyDescent="0.25">
      <c r="B4690" s="100"/>
      <c r="C4690" s="100"/>
      <c r="D4690" s="100"/>
      <c r="E4690" s="100"/>
      <c r="F4690" s="102"/>
      <c r="G4690" s="114"/>
    </row>
    <row r="4691" spans="2:7" ht="15.75" customHeight="1" x14ac:dyDescent="0.25">
      <c r="B4691" s="100"/>
      <c r="C4691" s="100"/>
      <c r="D4691" s="100"/>
      <c r="E4691" s="100"/>
      <c r="F4691" s="102"/>
      <c r="G4691" s="114"/>
    </row>
    <row r="4692" spans="2:7" ht="15.75" customHeight="1" x14ac:dyDescent="0.25">
      <c r="B4692" s="100"/>
      <c r="C4692" s="100"/>
      <c r="D4692" s="100"/>
      <c r="E4692" s="100"/>
      <c r="F4692" s="102"/>
      <c r="G4692" s="114"/>
    </row>
    <row r="4693" spans="2:7" ht="15.75" customHeight="1" x14ac:dyDescent="0.25">
      <c r="B4693" s="100"/>
      <c r="C4693" s="100"/>
      <c r="D4693" s="100"/>
      <c r="E4693" s="100"/>
      <c r="F4693" s="102"/>
      <c r="G4693" s="114"/>
    </row>
    <row r="4694" spans="2:7" ht="15.75" customHeight="1" x14ac:dyDescent="0.25">
      <c r="B4694" s="100"/>
      <c r="C4694" s="100"/>
      <c r="D4694" s="100"/>
      <c r="E4694" s="100"/>
      <c r="F4694" s="102"/>
      <c r="G4694" s="114"/>
    </row>
    <row r="4695" spans="2:7" ht="15.75" customHeight="1" x14ac:dyDescent="0.25">
      <c r="B4695" s="100"/>
      <c r="C4695" s="100"/>
      <c r="D4695" s="100"/>
      <c r="E4695" s="100"/>
      <c r="F4695" s="102"/>
      <c r="G4695" s="114"/>
    </row>
    <row r="4696" spans="2:7" ht="15.75" customHeight="1" x14ac:dyDescent="0.25">
      <c r="B4696" s="100"/>
      <c r="C4696" s="100"/>
      <c r="D4696" s="100"/>
      <c r="E4696" s="100"/>
      <c r="F4696" s="102"/>
      <c r="G4696" s="114"/>
    </row>
    <row r="4697" spans="2:7" ht="15.75" customHeight="1" x14ac:dyDescent="0.25">
      <c r="B4697" s="100"/>
      <c r="C4697" s="100"/>
      <c r="D4697" s="100"/>
      <c r="E4697" s="100"/>
      <c r="F4697" s="102"/>
      <c r="G4697" s="114"/>
    </row>
    <row r="4698" spans="2:7" ht="15.75" customHeight="1" x14ac:dyDescent="0.25">
      <c r="B4698" s="100"/>
      <c r="C4698" s="100"/>
      <c r="D4698" s="100"/>
      <c r="E4698" s="100"/>
      <c r="F4698" s="102"/>
      <c r="G4698" s="114"/>
    </row>
    <row r="4699" spans="2:7" ht="15.75" customHeight="1" x14ac:dyDescent="0.25">
      <c r="B4699" s="100"/>
      <c r="C4699" s="100"/>
      <c r="D4699" s="100"/>
      <c r="E4699" s="100"/>
      <c r="F4699" s="102"/>
      <c r="G4699" s="114"/>
    </row>
    <row r="4700" spans="2:7" ht="15.75" customHeight="1" x14ac:dyDescent="0.25">
      <c r="B4700" s="100"/>
      <c r="C4700" s="100"/>
      <c r="D4700" s="100"/>
      <c r="E4700" s="100"/>
      <c r="F4700" s="102"/>
      <c r="G4700" s="114"/>
    </row>
    <row r="4701" spans="2:7" ht="15.75" customHeight="1" x14ac:dyDescent="0.25">
      <c r="B4701" s="100"/>
      <c r="C4701" s="100"/>
      <c r="D4701" s="100"/>
      <c r="E4701" s="100"/>
      <c r="F4701" s="102"/>
      <c r="G4701" s="114"/>
    </row>
    <row r="4702" spans="2:7" ht="15.75" customHeight="1" x14ac:dyDescent="0.25">
      <c r="B4702" s="100"/>
      <c r="C4702" s="100"/>
      <c r="D4702" s="100"/>
      <c r="E4702" s="100"/>
      <c r="F4702" s="102"/>
      <c r="G4702" s="114"/>
    </row>
    <row r="4703" spans="2:7" ht="15.75" customHeight="1" x14ac:dyDescent="0.25">
      <c r="B4703" s="100"/>
      <c r="C4703" s="100"/>
      <c r="D4703" s="100"/>
      <c r="E4703" s="100"/>
      <c r="F4703" s="102"/>
      <c r="G4703" s="114"/>
    </row>
    <row r="4704" spans="2:7" ht="15.75" customHeight="1" x14ac:dyDescent="0.25">
      <c r="B4704" s="100"/>
      <c r="C4704" s="100"/>
      <c r="D4704" s="100"/>
      <c r="E4704" s="100"/>
      <c r="F4704" s="102"/>
      <c r="G4704" s="114"/>
    </row>
    <row r="4705" spans="2:7" ht="15.75" customHeight="1" x14ac:dyDescent="0.25">
      <c r="B4705" s="100"/>
      <c r="C4705" s="100"/>
      <c r="D4705" s="100"/>
      <c r="E4705" s="100"/>
      <c r="F4705" s="102"/>
      <c r="G4705" s="114"/>
    </row>
    <row r="4706" spans="2:7" ht="15.75" customHeight="1" x14ac:dyDescent="0.25">
      <c r="B4706" s="100"/>
      <c r="C4706" s="100"/>
      <c r="D4706" s="100"/>
      <c r="E4706" s="100"/>
      <c r="F4706" s="102"/>
      <c r="G4706" s="114"/>
    </row>
    <row r="4707" spans="2:7" ht="15.75" customHeight="1" x14ac:dyDescent="0.25">
      <c r="B4707" s="100"/>
      <c r="C4707" s="100"/>
      <c r="D4707" s="100"/>
      <c r="E4707" s="100"/>
      <c r="F4707" s="102"/>
      <c r="G4707" s="114"/>
    </row>
    <row r="4708" spans="2:7" ht="15.75" customHeight="1" x14ac:dyDescent="0.25">
      <c r="B4708" s="100"/>
      <c r="C4708" s="100"/>
      <c r="D4708" s="100"/>
      <c r="E4708" s="100"/>
      <c r="F4708" s="102"/>
      <c r="G4708" s="114"/>
    </row>
    <row r="4709" spans="2:7" ht="15.75" customHeight="1" x14ac:dyDescent="0.25">
      <c r="B4709" s="100"/>
      <c r="C4709" s="100"/>
      <c r="D4709" s="100"/>
      <c r="E4709" s="100"/>
      <c r="F4709" s="102"/>
      <c r="G4709" s="114"/>
    </row>
    <row r="4710" spans="2:7" ht="15.75" customHeight="1" x14ac:dyDescent="0.25">
      <c r="B4710" s="100"/>
      <c r="C4710" s="100"/>
      <c r="D4710" s="100"/>
      <c r="E4710" s="100"/>
      <c r="F4710" s="102"/>
      <c r="G4710" s="114"/>
    </row>
    <row r="4711" spans="2:7" ht="15.75" customHeight="1" x14ac:dyDescent="0.25">
      <c r="B4711" s="100"/>
      <c r="C4711" s="100"/>
      <c r="D4711" s="100"/>
      <c r="E4711" s="100"/>
      <c r="F4711" s="102"/>
      <c r="G4711" s="114"/>
    </row>
    <row r="4712" spans="2:7" ht="15.75" customHeight="1" x14ac:dyDescent="0.25">
      <c r="B4712" s="100"/>
      <c r="C4712" s="100"/>
      <c r="D4712" s="100"/>
      <c r="E4712" s="100"/>
      <c r="F4712" s="102"/>
      <c r="G4712" s="114"/>
    </row>
    <row r="4713" spans="2:7" ht="15.75" customHeight="1" x14ac:dyDescent="0.25">
      <c r="B4713" s="100"/>
      <c r="C4713" s="100"/>
      <c r="D4713" s="100"/>
      <c r="E4713" s="100"/>
      <c r="F4713" s="102"/>
      <c r="G4713" s="114"/>
    </row>
    <row r="4714" spans="2:7" ht="15.75" customHeight="1" x14ac:dyDescent="0.25">
      <c r="B4714" s="100"/>
      <c r="C4714" s="100"/>
      <c r="D4714" s="100"/>
      <c r="E4714" s="100"/>
      <c r="F4714" s="102"/>
      <c r="G4714" s="114"/>
    </row>
    <row r="4715" spans="2:7" ht="15.75" customHeight="1" x14ac:dyDescent="0.25">
      <c r="B4715" s="100"/>
      <c r="C4715" s="100"/>
      <c r="D4715" s="100"/>
      <c r="E4715" s="100"/>
      <c r="F4715" s="102"/>
      <c r="G4715" s="114"/>
    </row>
    <row r="4716" spans="2:7" ht="15.75" customHeight="1" x14ac:dyDescent="0.25">
      <c r="B4716" s="100"/>
      <c r="C4716" s="100"/>
      <c r="D4716" s="100"/>
      <c r="E4716" s="100"/>
      <c r="F4716" s="102"/>
      <c r="G4716" s="114"/>
    </row>
    <row r="4717" spans="2:7" ht="15.75" customHeight="1" x14ac:dyDescent="0.25">
      <c r="B4717" s="100"/>
      <c r="C4717" s="100"/>
      <c r="D4717" s="100"/>
      <c r="E4717" s="100"/>
      <c r="F4717" s="102"/>
      <c r="G4717" s="114"/>
    </row>
    <row r="4718" spans="2:7" ht="15.75" customHeight="1" x14ac:dyDescent="0.25">
      <c r="B4718" s="100"/>
      <c r="C4718" s="100"/>
      <c r="D4718" s="100"/>
      <c r="E4718" s="100"/>
      <c r="F4718" s="102"/>
      <c r="G4718" s="114"/>
    </row>
    <row r="4719" spans="2:7" ht="15.75" customHeight="1" x14ac:dyDescent="0.25">
      <c r="B4719" s="100"/>
      <c r="C4719" s="100"/>
      <c r="D4719" s="100"/>
      <c r="E4719" s="100"/>
      <c r="F4719" s="102"/>
      <c r="G4719" s="114"/>
    </row>
    <row r="4720" spans="2:7" ht="15.75" customHeight="1" x14ac:dyDescent="0.25">
      <c r="B4720" s="100"/>
      <c r="C4720" s="100"/>
      <c r="D4720" s="100"/>
      <c r="E4720" s="100"/>
      <c r="F4720" s="102"/>
      <c r="G4720" s="114"/>
    </row>
    <row r="4721" spans="2:7" ht="15.75" customHeight="1" x14ac:dyDescent="0.25">
      <c r="B4721" s="100"/>
      <c r="C4721" s="100"/>
      <c r="D4721" s="100"/>
      <c r="E4721" s="100"/>
      <c r="F4721" s="102"/>
      <c r="G4721" s="114"/>
    </row>
    <row r="4722" spans="2:7" ht="15.75" customHeight="1" x14ac:dyDescent="0.25">
      <c r="B4722" s="100"/>
      <c r="C4722" s="100"/>
      <c r="D4722" s="100"/>
      <c r="E4722" s="100"/>
      <c r="F4722" s="102"/>
      <c r="G4722" s="114"/>
    </row>
    <row r="4723" spans="2:7" ht="15.75" customHeight="1" x14ac:dyDescent="0.25">
      <c r="B4723" s="100"/>
      <c r="C4723" s="100"/>
      <c r="D4723" s="100"/>
      <c r="E4723" s="100"/>
      <c r="F4723" s="102"/>
      <c r="G4723" s="114"/>
    </row>
    <row r="4724" spans="2:7" ht="15.75" customHeight="1" x14ac:dyDescent="0.25">
      <c r="B4724" s="100"/>
      <c r="C4724" s="100"/>
      <c r="D4724" s="100"/>
      <c r="E4724" s="100"/>
      <c r="F4724" s="102"/>
      <c r="G4724" s="114"/>
    </row>
    <row r="4725" spans="2:7" ht="15.75" customHeight="1" x14ac:dyDescent="0.25">
      <c r="B4725" s="100"/>
      <c r="C4725" s="100"/>
      <c r="D4725" s="100"/>
      <c r="E4725" s="100"/>
      <c r="F4725" s="102"/>
      <c r="G4725" s="114"/>
    </row>
    <row r="4726" spans="2:7" ht="15.75" customHeight="1" x14ac:dyDescent="0.25">
      <c r="B4726" s="100"/>
      <c r="C4726" s="100"/>
      <c r="D4726" s="100"/>
      <c r="E4726" s="100"/>
      <c r="F4726" s="102"/>
      <c r="G4726" s="114"/>
    </row>
    <row r="4727" spans="2:7" ht="15.75" customHeight="1" x14ac:dyDescent="0.25">
      <c r="B4727" s="100"/>
      <c r="C4727" s="100"/>
      <c r="D4727" s="100"/>
      <c r="E4727" s="100"/>
      <c r="F4727" s="102"/>
      <c r="G4727" s="114"/>
    </row>
    <row r="4728" spans="2:7" ht="15.75" customHeight="1" x14ac:dyDescent="0.25">
      <c r="B4728" s="100"/>
      <c r="C4728" s="100"/>
      <c r="D4728" s="100"/>
      <c r="E4728" s="100"/>
      <c r="F4728" s="102"/>
      <c r="G4728" s="114"/>
    </row>
    <row r="4729" spans="2:7" ht="15.75" customHeight="1" x14ac:dyDescent="0.25">
      <c r="B4729" s="100"/>
      <c r="C4729" s="100"/>
      <c r="D4729" s="100"/>
      <c r="E4729" s="100"/>
      <c r="F4729" s="102"/>
      <c r="G4729" s="114"/>
    </row>
    <row r="4730" spans="2:7" ht="15.75" customHeight="1" x14ac:dyDescent="0.25">
      <c r="B4730" s="100"/>
      <c r="C4730" s="100"/>
      <c r="D4730" s="100"/>
      <c r="E4730" s="100"/>
      <c r="F4730" s="102"/>
      <c r="G4730" s="114"/>
    </row>
    <row r="4731" spans="2:7" ht="15.75" customHeight="1" x14ac:dyDescent="0.25">
      <c r="B4731" s="100"/>
      <c r="C4731" s="100"/>
      <c r="D4731" s="100"/>
      <c r="E4731" s="100"/>
      <c r="F4731" s="102"/>
      <c r="G4731" s="114"/>
    </row>
    <row r="4732" spans="2:7" ht="15.75" customHeight="1" x14ac:dyDescent="0.25">
      <c r="B4732" s="100"/>
      <c r="C4732" s="100"/>
      <c r="D4732" s="100"/>
      <c r="E4732" s="100"/>
      <c r="F4732" s="102"/>
      <c r="G4732" s="114"/>
    </row>
    <row r="4733" spans="2:7" ht="15.75" customHeight="1" x14ac:dyDescent="0.25">
      <c r="B4733" s="100"/>
      <c r="C4733" s="100"/>
      <c r="D4733" s="100"/>
      <c r="E4733" s="100"/>
      <c r="F4733" s="102"/>
      <c r="G4733" s="114"/>
    </row>
    <row r="4734" spans="2:7" ht="15.75" customHeight="1" x14ac:dyDescent="0.25">
      <c r="B4734" s="100"/>
      <c r="C4734" s="100"/>
      <c r="D4734" s="100"/>
      <c r="E4734" s="100"/>
      <c r="F4734" s="102"/>
      <c r="G4734" s="114"/>
    </row>
    <row r="4735" spans="2:7" ht="15.75" customHeight="1" x14ac:dyDescent="0.25">
      <c r="B4735" s="100"/>
      <c r="C4735" s="100"/>
      <c r="D4735" s="100"/>
      <c r="E4735" s="100"/>
      <c r="F4735" s="102"/>
      <c r="G4735" s="114"/>
    </row>
    <row r="4736" spans="2:7" ht="15.75" customHeight="1" x14ac:dyDescent="0.25">
      <c r="B4736" s="100"/>
      <c r="C4736" s="100"/>
      <c r="D4736" s="100"/>
      <c r="E4736" s="100"/>
      <c r="F4736" s="102"/>
      <c r="G4736" s="114"/>
    </row>
    <row r="4737" spans="2:7" ht="15.75" customHeight="1" x14ac:dyDescent="0.25">
      <c r="B4737" s="100"/>
      <c r="C4737" s="100"/>
      <c r="D4737" s="100"/>
      <c r="E4737" s="100"/>
      <c r="F4737" s="102"/>
      <c r="G4737" s="114"/>
    </row>
    <row r="4738" spans="2:7" ht="15.75" customHeight="1" x14ac:dyDescent="0.25">
      <c r="B4738" s="100"/>
      <c r="C4738" s="100"/>
      <c r="D4738" s="100"/>
      <c r="E4738" s="100"/>
      <c r="F4738" s="102"/>
      <c r="G4738" s="114"/>
    </row>
    <row r="4739" spans="2:7" ht="15.75" customHeight="1" x14ac:dyDescent="0.25">
      <c r="B4739" s="100"/>
      <c r="C4739" s="100"/>
      <c r="D4739" s="100"/>
      <c r="E4739" s="100"/>
      <c r="F4739" s="102"/>
      <c r="G4739" s="114"/>
    </row>
    <row r="4740" spans="2:7" ht="15.75" customHeight="1" x14ac:dyDescent="0.25">
      <c r="B4740" s="100"/>
      <c r="C4740" s="100"/>
      <c r="D4740" s="100"/>
      <c r="E4740" s="100"/>
      <c r="F4740" s="102"/>
      <c r="G4740" s="114"/>
    </row>
    <row r="4741" spans="2:7" ht="15.75" customHeight="1" x14ac:dyDescent="0.25">
      <c r="B4741" s="100"/>
      <c r="C4741" s="100"/>
      <c r="D4741" s="100"/>
      <c r="E4741" s="100"/>
      <c r="F4741" s="102"/>
      <c r="G4741" s="114"/>
    </row>
    <row r="4742" spans="2:7" ht="15.75" customHeight="1" x14ac:dyDescent="0.25">
      <c r="B4742" s="100"/>
      <c r="C4742" s="100"/>
      <c r="D4742" s="100"/>
      <c r="E4742" s="100"/>
      <c r="F4742" s="102"/>
      <c r="G4742" s="114"/>
    </row>
    <row r="4743" spans="2:7" ht="15.75" customHeight="1" x14ac:dyDescent="0.25">
      <c r="B4743" s="100"/>
      <c r="C4743" s="100"/>
      <c r="D4743" s="100"/>
      <c r="E4743" s="100"/>
      <c r="F4743" s="102"/>
      <c r="G4743" s="114"/>
    </row>
    <row r="4744" spans="2:7" ht="15.75" customHeight="1" x14ac:dyDescent="0.25">
      <c r="B4744" s="100"/>
      <c r="C4744" s="100"/>
      <c r="D4744" s="100"/>
      <c r="E4744" s="100"/>
      <c r="F4744" s="102"/>
      <c r="G4744" s="114"/>
    </row>
    <row r="4745" spans="2:7" ht="15.75" customHeight="1" x14ac:dyDescent="0.25">
      <c r="B4745" s="100"/>
      <c r="C4745" s="100"/>
      <c r="D4745" s="100"/>
      <c r="E4745" s="100"/>
      <c r="F4745" s="102"/>
      <c r="G4745" s="114"/>
    </row>
    <row r="4746" spans="2:7" ht="15.75" customHeight="1" x14ac:dyDescent="0.25">
      <c r="B4746" s="100"/>
      <c r="C4746" s="100"/>
      <c r="D4746" s="100"/>
      <c r="E4746" s="100"/>
      <c r="F4746" s="102"/>
      <c r="G4746" s="114"/>
    </row>
    <row r="4747" spans="2:7" ht="15.75" customHeight="1" x14ac:dyDescent="0.25">
      <c r="B4747" s="100"/>
      <c r="C4747" s="100"/>
      <c r="D4747" s="100"/>
      <c r="E4747" s="100"/>
      <c r="F4747" s="102"/>
      <c r="G4747" s="114"/>
    </row>
    <row r="4748" spans="2:7" ht="15.75" customHeight="1" x14ac:dyDescent="0.25">
      <c r="B4748" s="100"/>
      <c r="C4748" s="100"/>
      <c r="D4748" s="100"/>
      <c r="E4748" s="100"/>
      <c r="F4748" s="102"/>
      <c r="G4748" s="114"/>
    </row>
    <row r="4749" spans="2:7" ht="15.75" customHeight="1" x14ac:dyDescent="0.25">
      <c r="B4749" s="100"/>
      <c r="C4749" s="100"/>
      <c r="D4749" s="100"/>
      <c r="E4749" s="100"/>
      <c r="F4749" s="102"/>
      <c r="G4749" s="114"/>
    </row>
    <row r="4750" spans="2:7" ht="15.75" customHeight="1" x14ac:dyDescent="0.25">
      <c r="B4750" s="100"/>
      <c r="C4750" s="100"/>
      <c r="D4750" s="100"/>
      <c r="E4750" s="100"/>
      <c r="F4750" s="102"/>
      <c r="G4750" s="114"/>
    </row>
    <row r="4751" spans="2:7" ht="15.75" customHeight="1" x14ac:dyDescent="0.25">
      <c r="B4751" s="100"/>
      <c r="C4751" s="100"/>
      <c r="D4751" s="100"/>
      <c r="E4751" s="100"/>
      <c r="F4751" s="102"/>
      <c r="G4751" s="114"/>
    </row>
    <row r="4752" spans="2:7" ht="15.75" customHeight="1" x14ac:dyDescent="0.25">
      <c r="B4752" s="100"/>
      <c r="C4752" s="100"/>
      <c r="D4752" s="100"/>
      <c r="E4752" s="100"/>
      <c r="F4752" s="102"/>
      <c r="G4752" s="114"/>
    </row>
    <row r="4753" spans="2:7" ht="15.75" customHeight="1" x14ac:dyDescent="0.25">
      <c r="B4753" s="100"/>
      <c r="C4753" s="100"/>
      <c r="D4753" s="100"/>
      <c r="E4753" s="100"/>
      <c r="F4753" s="102"/>
      <c r="G4753" s="114"/>
    </row>
    <row r="4754" spans="2:7" ht="15.75" customHeight="1" x14ac:dyDescent="0.25">
      <c r="B4754" s="100"/>
      <c r="C4754" s="100"/>
      <c r="D4754" s="100"/>
      <c r="E4754" s="100"/>
      <c r="F4754" s="102"/>
      <c r="G4754" s="114"/>
    </row>
    <row r="4755" spans="2:7" ht="15.75" customHeight="1" x14ac:dyDescent="0.25">
      <c r="B4755" s="100"/>
      <c r="C4755" s="100"/>
      <c r="D4755" s="100"/>
      <c r="E4755" s="100"/>
      <c r="F4755" s="102"/>
      <c r="G4755" s="114"/>
    </row>
    <row r="4756" spans="2:7" ht="15.75" customHeight="1" x14ac:dyDescent="0.25">
      <c r="B4756" s="100"/>
      <c r="C4756" s="100"/>
      <c r="D4756" s="100"/>
      <c r="E4756" s="100"/>
      <c r="F4756" s="102"/>
      <c r="G4756" s="114"/>
    </row>
    <row r="4757" spans="2:7" ht="15.75" customHeight="1" x14ac:dyDescent="0.25">
      <c r="B4757" s="100"/>
      <c r="C4757" s="100"/>
      <c r="D4757" s="100"/>
      <c r="E4757" s="100"/>
      <c r="F4757" s="102"/>
      <c r="G4757" s="114"/>
    </row>
    <row r="4758" spans="2:7" ht="15.75" customHeight="1" x14ac:dyDescent="0.25">
      <c r="B4758" s="100"/>
      <c r="C4758" s="100"/>
      <c r="D4758" s="100"/>
      <c r="E4758" s="100"/>
      <c r="F4758" s="102"/>
      <c r="G4758" s="114"/>
    </row>
    <row r="4759" spans="2:7" ht="15.75" customHeight="1" x14ac:dyDescent="0.25">
      <c r="B4759" s="100"/>
      <c r="C4759" s="100"/>
      <c r="D4759" s="100"/>
      <c r="E4759" s="100"/>
      <c r="F4759" s="102"/>
      <c r="G4759" s="114"/>
    </row>
    <row r="4760" spans="2:7" ht="15.75" customHeight="1" x14ac:dyDescent="0.25">
      <c r="B4760" s="100"/>
      <c r="C4760" s="100"/>
      <c r="D4760" s="100"/>
      <c r="E4760" s="100"/>
      <c r="F4760" s="102"/>
      <c r="G4760" s="114"/>
    </row>
    <row r="4761" spans="2:7" ht="15.75" customHeight="1" x14ac:dyDescent="0.25">
      <c r="B4761" s="100"/>
      <c r="C4761" s="100"/>
      <c r="D4761" s="100"/>
      <c r="E4761" s="100"/>
      <c r="F4761" s="102"/>
      <c r="G4761" s="114"/>
    </row>
    <row r="4762" spans="2:7" ht="15.75" customHeight="1" x14ac:dyDescent="0.25">
      <c r="B4762" s="100"/>
      <c r="C4762" s="100"/>
      <c r="D4762" s="100"/>
      <c r="E4762" s="100"/>
      <c r="F4762" s="102"/>
      <c r="G4762" s="114"/>
    </row>
    <row r="4763" spans="2:7" ht="15.75" customHeight="1" x14ac:dyDescent="0.25">
      <c r="B4763" s="100"/>
      <c r="C4763" s="100"/>
      <c r="D4763" s="100"/>
      <c r="E4763" s="100"/>
      <c r="F4763" s="102"/>
      <c r="G4763" s="114"/>
    </row>
    <row r="4764" spans="2:7" ht="15.75" customHeight="1" x14ac:dyDescent="0.25">
      <c r="B4764" s="100"/>
      <c r="C4764" s="100"/>
      <c r="D4764" s="100"/>
      <c r="E4764" s="100"/>
      <c r="F4764" s="102"/>
      <c r="G4764" s="114"/>
    </row>
    <row r="4765" spans="2:7" ht="15.75" customHeight="1" x14ac:dyDescent="0.25">
      <c r="B4765" s="100"/>
      <c r="C4765" s="100"/>
      <c r="D4765" s="100"/>
      <c r="E4765" s="100"/>
      <c r="F4765" s="102"/>
      <c r="G4765" s="114"/>
    </row>
    <row r="4766" spans="2:7" ht="15.75" customHeight="1" x14ac:dyDescent="0.25">
      <c r="B4766" s="100"/>
      <c r="C4766" s="100"/>
      <c r="D4766" s="100"/>
      <c r="E4766" s="100"/>
      <c r="F4766" s="102"/>
      <c r="G4766" s="114"/>
    </row>
    <row r="4767" spans="2:7" ht="15.75" customHeight="1" x14ac:dyDescent="0.25">
      <c r="B4767" s="100"/>
      <c r="C4767" s="100"/>
      <c r="D4767" s="100"/>
      <c r="E4767" s="100"/>
      <c r="F4767" s="102"/>
      <c r="G4767" s="114"/>
    </row>
    <row r="4768" spans="2:7" ht="15.75" customHeight="1" x14ac:dyDescent="0.25">
      <c r="B4768" s="100"/>
      <c r="C4768" s="100"/>
      <c r="D4768" s="100"/>
      <c r="E4768" s="100"/>
      <c r="F4768" s="102"/>
      <c r="G4768" s="114"/>
    </row>
    <row r="4769" spans="2:7" ht="15.75" customHeight="1" x14ac:dyDescent="0.25">
      <c r="B4769" s="100"/>
      <c r="C4769" s="100"/>
      <c r="D4769" s="100"/>
      <c r="E4769" s="100"/>
      <c r="F4769" s="102"/>
      <c r="G4769" s="114"/>
    </row>
    <row r="4770" spans="2:7" ht="15.75" customHeight="1" x14ac:dyDescent="0.25">
      <c r="B4770" s="100"/>
      <c r="C4770" s="100"/>
      <c r="D4770" s="100"/>
      <c r="E4770" s="100"/>
      <c r="F4770" s="102"/>
      <c r="G4770" s="114"/>
    </row>
    <row r="4771" spans="2:7" ht="15.75" customHeight="1" x14ac:dyDescent="0.25">
      <c r="B4771" s="100"/>
      <c r="C4771" s="100"/>
      <c r="D4771" s="100"/>
      <c r="E4771" s="100"/>
      <c r="F4771" s="102"/>
      <c r="G4771" s="114"/>
    </row>
    <row r="4772" spans="2:7" ht="15.75" customHeight="1" x14ac:dyDescent="0.25">
      <c r="B4772" s="100"/>
      <c r="C4772" s="100"/>
      <c r="D4772" s="100"/>
      <c r="E4772" s="100"/>
      <c r="F4772" s="102"/>
      <c r="G4772" s="114"/>
    </row>
    <row r="4773" spans="2:7" ht="15.75" customHeight="1" x14ac:dyDescent="0.25">
      <c r="B4773" s="100"/>
      <c r="C4773" s="100"/>
      <c r="D4773" s="100"/>
      <c r="E4773" s="100"/>
      <c r="F4773" s="102"/>
      <c r="G4773" s="114"/>
    </row>
    <row r="4774" spans="2:7" ht="15.75" customHeight="1" x14ac:dyDescent="0.25">
      <c r="B4774" s="100"/>
      <c r="C4774" s="100"/>
      <c r="D4774" s="100"/>
      <c r="E4774" s="100"/>
      <c r="F4774" s="102"/>
      <c r="G4774" s="114"/>
    </row>
    <row r="4775" spans="2:7" ht="15.75" customHeight="1" x14ac:dyDescent="0.25">
      <c r="B4775" s="100"/>
      <c r="C4775" s="100"/>
      <c r="D4775" s="100"/>
      <c r="E4775" s="100"/>
      <c r="F4775" s="102"/>
      <c r="G4775" s="114"/>
    </row>
    <row r="4776" spans="2:7" ht="15.75" customHeight="1" x14ac:dyDescent="0.25">
      <c r="B4776" s="100"/>
      <c r="C4776" s="100"/>
      <c r="D4776" s="100"/>
      <c r="E4776" s="100"/>
      <c r="F4776" s="102"/>
      <c r="G4776" s="114"/>
    </row>
    <row r="4777" spans="2:7" ht="15.75" customHeight="1" x14ac:dyDescent="0.25">
      <c r="B4777" s="100"/>
      <c r="C4777" s="100"/>
      <c r="D4777" s="100"/>
      <c r="E4777" s="100"/>
      <c r="F4777" s="102"/>
      <c r="G4777" s="114"/>
    </row>
    <row r="4778" spans="2:7" ht="15.75" customHeight="1" x14ac:dyDescent="0.25">
      <c r="B4778" s="100"/>
      <c r="C4778" s="100"/>
      <c r="D4778" s="100"/>
      <c r="E4778" s="100"/>
      <c r="F4778" s="102"/>
      <c r="G4778" s="114"/>
    </row>
    <row r="4779" spans="2:7" ht="15.75" customHeight="1" x14ac:dyDescent="0.25">
      <c r="B4779" s="100"/>
      <c r="C4779" s="100"/>
      <c r="D4779" s="100"/>
      <c r="E4779" s="100"/>
      <c r="F4779" s="102"/>
      <c r="G4779" s="114"/>
    </row>
    <row r="4780" spans="2:7" ht="15.75" customHeight="1" x14ac:dyDescent="0.25">
      <c r="B4780" s="100"/>
      <c r="C4780" s="100"/>
      <c r="D4780" s="100"/>
      <c r="E4780" s="100"/>
      <c r="F4780" s="102"/>
      <c r="G4780" s="114"/>
    </row>
    <row r="4781" spans="2:7" ht="15.75" customHeight="1" x14ac:dyDescent="0.25">
      <c r="B4781" s="100"/>
      <c r="C4781" s="100"/>
      <c r="D4781" s="100"/>
      <c r="E4781" s="100"/>
      <c r="F4781" s="102"/>
      <c r="G4781" s="114"/>
    </row>
    <row r="4782" spans="2:7" ht="15.75" customHeight="1" x14ac:dyDescent="0.25">
      <c r="B4782" s="100"/>
      <c r="C4782" s="100"/>
      <c r="D4782" s="100"/>
      <c r="E4782" s="100"/>
      <c r="F4782" s="102"/>
      <c r="G4782" s="114"/>
    </row>
    <row r="4783" spans="2:7" ht="15.75" customHeight="1" x14ac:dyDescent="0.25">
      <c r="B4783" s="100"/>
      <c r="C4783" s="100"/>
      <c r="D4783" s="100"/>
      <c r="E4783" s="100"/>
      <c r="F4783" s="102"/>
      <c r="G4783" s="114"/>
    </row>
    <row r="4784" spans="2:7" ht="15.75" customHeight="1" x14ac:dyDescent="0.25">
      <c r="B4784" s="100"/>
      <c r="C4784" s="100"/>
      <c r="D4784" s="100"/>
      <c r="E4784" s="100"/>
      <c r="F4784" s="102"/>
      <c r="G4784" s="114"/>
    </row>
    <row r="4785" spans="2:7" ht="15.75" customHeight="1" x14ac:dyDescent="0.25">
      <c r="B4785" s="100"/>
      <c r="C4785" s="100"/>
      <c r="D4785" s="100"/>
      <c r="E4785" s="100"/>
      <c r="F4785" s="102"/>
      <c r="G4785" s="114"/>
    </row>
    <row r="4786" spans="2:7" ht="15.75" customHeight="1" x14ac:dyDescent="0.25">
      <c r="B4786" s="100"/>
      <c r="C4786" s="100"/>
      <c r="D4786" s="100"/>
      <c r="E4786" s="100"/>
      <c r="F4786" s="102"/>
      <c r="G4786" s="114"/>
    </row>
    <row r="4787" spans="2:7" ht="15.75" customHeight="1" x14ac:dyDescent="0.25">
      <c r="B4787" s="100"/>
      <c r="C4787" s="100"/>
      <c r="D4787" s="100"/>
      <c r="E4787" s="100"/>
      <c r="F4787" s="102"/>
      <c r="G4787" s="114"/>
    </row>
    <row r="4788" spans="2:7" ht="15.75" customHeight="1" x14ac:dyDescent="0.25">
      <c r="B4788" s="100"/>
      <c r="C4788" s="100"/>
      <c r="D4788" s="100"/>
      <c r="E4788" s="100"/>
      <c r="F4788" s="102"/>
      <c r="G4788" s="114"/>
    </row>
    <row r="4789" spans="2:7" ht="15.75" customHeight="1" x14ac:dyDescent="0.25">
      <c r="B4789" s="100"/>
      <c r="C4789" s="100"/>
      <c r="D4789" s="100"/>
      <c r="E4789" s="100"/>
      <c r="F4789" s="102"/>
      <c r="G4789" s="114"/>
    </row>
    <row r="4790" spans="2:7" ht="15.75" customHeight="1" x14ac:dyDescent="0.25">
      <c r="B4790" s="100"/>
      <c r="C4790" s="100"/>
      <c r="D4790" s="100"/>
      <c r="E4790" s="100"/>
      <c r="F4790" s="102"/>
      <c r="G4790" s="114"/>
    </row>
    <row r="4791" spans="2:7" ht="15.75" customHeight="1" x14ac:dyDescent="0.25">
      <c r="B4791" s="100"/>
      <c r="C4791" s="100"/>
      <c r="D4791" s="100"/>
      <c r="E4791" s="100"/>
      <c r="F4791" s="102"/>
      <c r="G4791" s="114"/>
    </row>
    <row r="4792" spans="2:7" ht="15.75" customHeight="1" x14ac:dyDescent="0.25">
      <c r="B4792" s="100"/>
      <c r="C4792" s="100"/>
      <c r="D4792" s="100"/>
      <c r="E4792" s="100"/>
      <c r="F4792" s="102"/>
      <c r="G4792" s="114"/>
    </row>
    <row r="4793" spans="2:7" ht="15.75" customHeight="1" x14ac:dyDescent="0.25">
      <c r="B4793" s="100"/>
      <c r="C4793" s="100"/>
      <c r="D4793" s="100"/>
      <c r="E4793" s="100"/>
      <c r="F4793" s="102"/>
      <c r="G4793" s="114"/>
    </row>
    <row r="4794" spans="2:7" ht="15.75" customHeight="1" x14ac:dyDescent="0.25">
      <c r="B4794" s="100"/>
      <c r="C4794" s="100"/>
      <c r="D4794" s="100"/>
      <c r="E4794" s="100"/>
      <c r="F4794" s="102"/>
      <c r="G4794" s="114"/>
    </row>
    <row r="4795" spans="2:7" ht="15.75" customHeight="1" x14ac:dyDescent="0.25">
      <c r="B4795" s="100"/>
      <c r="C4795" s="100"/>
      <c r="D4795" s="100"/>
      <c r="E4795" s="100"/>
      <c r="F4795" s="102"/>
      <c r="G4795" s="114"/>
    </row>
    <row r="4796" spans="2:7" ht="15.75" customHeight="1" x14ac:dyDescent="0.25">
      <c r="B4796" s="100"/>
      <c r="C4796" s="100"/>
      <c r="D4796" s="100"/>
      <c r="E4796" s="100"/>
      <c r="F4796" s="102"/>
      <c r="G4796" s="114"/>
    </row>
    <row r="4797" spans="2:7" ht="15.75" customHeight="1" x14ac:dyDescent="0.25">
      <c r="B4797" s="100"/>
      <c r="C4797" s="100"/>
      <c r="D4797" s="100"/>
      <c r="E4797" s="100"/>
      <c r="F4797" s="102"/>
      <c r="G4797" s="114"/>
    </row>
    <row r="4798" spans="2:7" ht="15.75" customHeight="1" x14ac:dyDescent="0.25">
      <c r="B4798" s="100"/>
      <c r="C4798" s="100"/>
      <c r="D4798" s="100"/>
      <c r="E4798" s="100"/>
      <c r="F4798" s="102"/>
      <c r="G4798" s="114"/>
    </row>
    <row r="4799" spans="2:7" ht="15.75" customHeight="1" x14ac:dyDescent="0.25">
      <c r="B4799" s="100"/>
      <c r="C4799" s="100"/>
      <c r="D4799" s="100"/>
      <c r="E4799" s="100"/>
      <c r="F4799" s="102"/>
      <c r="G4799" s="114"/>
    </row>
    <row r="4800" spans="2:7" ht="15.75" customHeight="1" x14ac:dyDescent="0.25">
      <c r="B4800" s="100"/>
      <c r="C4800" s="100"/>
      <c r="D4800" s="100"/>
      <c r="E4800" s="100"/>
      <c r="F4800" s="102"/>
      <c r="G4800" s="114"/>
    </row>
    <row r="4801" spans="2:7" ht="15.75" customHeight="1" x14ac:dyDescent="0.25">
      <c r="B4801" s="100"/>
      <c r="C4801" s="100"/>
      <c r="D4801" s="100"/>
      <c r="E4801" s="100"/>
      <c r="F4801" s="102"/>
      <c r="G4801" s="114"/>
    </row>
    <row r="4802" spans="2:7" ht="15.75" customHeight="1" x14ac:dyDescent="0.25">
      <c r="B4802" s="100"/>
      <c r="C4802" s="100"/>
      <c r="D4802" s="100"/>
      <c r="E4802" s="100"/>
      <c r="F4802" s="102"/>
      <c r="G4802" s="114"/>
    </row>
    <row r="4803" spans="2:7" ht="15.75" customHeight="1" x14ac:dyDescent="0.25">
      <c r="B4803" s="100"/>
      <c r="C4803" s="100"/>
      <c r="D4803" s="100"/>
      <c r="E4803" s="100"/>
      <c r="F4803" s="102"/>
      <c r="G4803" s="114"/>
    </row>
    <row r="4804" spans="2:7" ht="15.75" customHeight="1" x14ac:dyDescent="0.25">
      <c r="B4804" s="100"/>
      <c r="C4804" s="100"/>
      <c r="D4804" s="100"/>
      <c r="E4804" s="100"/>
      <c r="F4804" s="102"/>
      <c r="G4804" s="114"/>
    </row>
    <row r="4805" spans="2:7" ht="15.75" customHeight="1" x14ac:dyDescent="0.25">
      <c r="B4805" s="100"/>
      <c r="C4805" s="100"/>
      <c r="D4805" s="100"/>
      <c r="E4805" s="100"/>
      <c r="F4805" s="102"/>
      <c r="G4805" s="114"/>
    </row>
    <row r="4806" spans="2:7" ht="15.75" customHeight="1" x14ac:dyDescent="0.25">
      <c r="B4806" s="100"/>
      <c r="C4806" s="100"/>
      <c r="D4806" s="100"/>
      <c r="E4806" s="100"/>
      <c r="F4806" s="102"/>
      <c r="G4806" s="114"/>
    </row>
    <row r="4807" spans="2:7" ht="15.75" customHeight="1" x14ac:dyDescent="0.25">
      <c r="B4807" s="100"/>
      <c r="C4807" s="100"/>
      <c r="D4807" s="100"/>
      <c r="E4807" s="100"/>
      <c r="F4807" s="102"/>
      <c r="G4807" s="114"/>
    </row>
    <row r="4808" spans="2:7" ht="15.75" customHeight="1" x14ac:dyDescent="0.25">
      <c r="B4808" s="100"/>
      <c r="C4808" s="100"/>
      <c r="D4808" s="100"/>
      <c r="E4808" s="100"/>
      <c r="F4808" s="102"/>
      <c r="G4808" s="114"/>
    </row>
    <row r="4809" spans="2:7" ht="15.75" customHeight="1" x14ac:dyDescent="0.25">
      <c r="B4809" s="100"/>
      <c r="C4809" s="100"/>
      <c r="D4809" s="100"/>
      <c r="E4809" s="100"/>
      <c r="F4809" s="102"/>
      <c r="G4809" s="114"/>
    </row>
    <row r="4810" spans="2:7" ht="15.75" customHeight="1" x14ac:dyDescent="0.25">
      <c r="B4810" s="100"/>
      <c r="C4810" s="100"/>
      <c r="D4810" s="100"/>
      <c r="E4810" s="100"/>
      <c r="F4810" s="102"/>
      <c r="G4810" s="114"/>
    </row>
    <row r="4811" spans="2:7" ht="15.75" customHeight="1" x14ac:dyDescent="0.25">
      <c r="B4811" s="100"/>
      <c r="C4811" s="100"/>
      <c r="D4811" s="100"/>
      <c r="E4811" s="100"/>
      <c r="F4811" s="102"/>
      <c r="G4811" s="114"/>
    </row>
    <row r="4812" spans="2:7" ht="15.75" customHeight="1" x14ac:dyDescent="0.25">
      <c r="B4812" s="100"/>
      <c r="C4812" s="100"/>
      <c r="D4812" s="100"/>
      <c r="E4812" s="100"/>
      <c r="F4812" s="102"/>
      <c r="G4812" s="114"/>
    </row>
    <row r="4813" spans="2:7" ht="15.75" customHeight="1" x14ac:dyDescent="0.25">
      <c r="B4813" s="100"/>
      <c r="C4813" s="100"/>
      <c r="D4813" s="100"/>
      <c r="E4813" s="100"/>
      <c r="F4813" s="102"/>
      <c r="G4813" s="114"/>
    </row>
    <row r="4814" spans="2:7" ht="15.75" customHeight="1" x14ac:dyDescent="0.25">
      <c r="B4814" s="100"/>
      <c r="C4814" s="100"/>
      <c r="D4814" s="100"/>
      <c r="E4814" s="100"/>
      <c r="F4814" s="102"/>
      <c r="G4814" s="114"/>
    </row>
    <row r="4815" spans="2:7" ht="15.75" customHeight="1" x14ac:dyDescent="0.25">
      <c r="B4815" s="100"/>
      <c r="C4815" s="100"/>
      <c r="D4815" s="100"/>
      <c r="E4815" s="100"/>
      <c r="F4815" s="102"/>
      <c r="G4815" s="114"/>
    </row>
    <row r="4816" spans="2:7" ht="15.75" customHeight="1" x14ac:dyDescent="0.25">
      <c r="B4816" s="100"/>
      <c r="C4816" s="100"/>
      <c r="D4816" s="100"/>
      <c r="E4816" s="100"/>
      <c r="F4816" s="102"/>
      <c r="G4816" s="114"/>
    </row>
    <row r="4817" spans="2:7" ht="15.75" customHeight="1" x14ac:dyDescent="0.25">
      <c r="B4817" s="100"/>
      <c r="C4817" s="100"/>
      <c r="D4817" s="100"/>
      <c r="E4817" s="100"/>
      <c r="F4817" s="102"/>
      <c r="G4817" s="114"/>
    </row>
    <row r="4818" spans="2:7" ht="15.75" customHeight="1" x14ac:dyDescent="0.25">
      <c r="B4818" s="100"/>
      <c r="C4818" s="100"/>
      <c r="D4818" s="100"/>
      <c r="E4818" s="100"/>
      <c r="F4818" s="102"/>
      <c r="G4818" s="114"/>
    </row>
    <row r="4819" spans="2:7" ht="15.75" customHeight="1" x14ac:dyDescent="0.25">
      <c r="B4819" s="100"/>
      <c r="C4819" s="100"/>
      <c r="D4819" s="100"/>
      <c r="E4819" s="100"/>
      <c r="F4819" s="102"/>
      <c r="G4819" s="114"/>
    </row>
    <row r="4820" spans="2:7" ht="15.75" customHeight="1" x14ac:dyDescent="0.25">
      <c r="B4820" s="100"/>
      <c r="C4820" s="100"/>
      <c r="D4820" s="100"/>
      <c r="E4820" s="100"/>
      <c r="F4820" s="102"/>
      <c r="G4820" s="114"/>
    </row>
    <row r="4821" spans="2:7" ht="15.75" customHeight="1" x14ac:dyDescent="0.25">
      <c r="B4821" s="100"/>
      <c r="C4821" s="100"/>
      <c r="D4821" s="100"/>
      <c r="E4821" s="100"/>
      <c r="F4821" s="102"/>
      <c r="G4821" s="114"/>
    </row>
    <row r="4822" spans="2:7" ht="15.75" customHeight="1" x14ac:dyDescent="0.25">
      <c r="B4822" s="100"/>
      <c r="C4822" s="100"/>
      <c r="D4822" s="100"/>
      <c r="E4822" s="100"/>
      <c r="F4822" s="102"/>
      <c r="G4822" s="114"/>
    </row>
    <row r="4823" spans="2:7" ht="15.75" customHeight="1" x14ac:dyDescent="0.25">
      <c r="B4823" s="100"/>
      <c r="C4823" s="100"/>
      <c r="D4823" s="100"/>
      <c r="E4823" s="100"/>
      <c r="F4823" s="102"/>
      <c r="G4823" s="114"/>
    </row>
    <row r="4824" spans="2:7" ht="15.75" customHeight="1" x14ac:dyDescent="0.25">
      <c r="B4824" s="100"/>
      <c r="C4824" s="100"/>
      <c r="D4824" s="100"/>
      <c r="E4824" s="100"/>
      <c r="F4824" s="102"/>
      <c r="G4824" s="114"/>
    </row>
    <row r="4825" spans="2:7" ht="15.75" customHeight="1" x14ac:dyDescent="0.25">
      <c r="B4825" s="100"/>
      <c r="C4825" s="100"/>
      <c r="D4825" s="100"/>
      <c r="E4825" s="100"/>
      <c r="F4825" s="102"/>
      <c r="G4825" s="114"/>
    </row>
    <row r="4826" spans="2:7" ht="15.75" customHeight="1" x14ac:dyDescent="0.25">
      <c r="B4826" s="100"/>
      <c r="C4826" s="100"/>
      <c r="D4826" s="100"/>
      <c r="E4826" s="100"/>
      <c r="F4826" s="102"/>
      <c r="G4826" s="114"/>
    </row>
    <row r="4827" spans="2:7" ht="15.75" customHeight="1" x14ac:dyDescent="0.25">
      <c r="B4827" s="100"/>
      <c r="C4827" s="100"/>
      <c r="D4827" s="100"/>
      <c r="E4827" s="100"/>
      <c r="F4827" s="102"/>
      <c r="G4827" s="114"/>
    </row>
    <row r="4828" spans="2:7" ht="15.75" customHeight="1" x14ac:dyDescent="0.25">
      <c r="B4828" s="100"/>
      <c r="C4828" s="100"/>
      <c r="D4828" s="100"/>
      <c r="E4828" s="100"/>
      <c r="F4828" s="102"/>
      <c r="G4828" s="114"/>
    </row>
    <row r="4829" spans="2:7" ht="15.75" customHeight="1" x14ac:dyDescent="0.25">
      <c r="B4829" s="100"/>
      <c r="C4829" s="100"/>
      <c r="D4829" s="100"/>
      <c r="E4829" s="100"/>
      <c r="F4829" s="102"/>
      <c r="G4829" s="114"/>
    </row>
    <row r="4830" spans="2:7" ht="15.75" customHeight="1" x14ac:dyDescent="0.25">
      <c r="B4830" s="100"/>
      <c r="C4830" s="100"/>
      <c r="D4830" s="100"/>
      <c r="E4830" s="100"/>
      <c r="F4830" s="102"/>
      <c r="G4830" s="114"/>
    </row>
    <row r="4831" spans="2:7" ht="15.75" customHeight="1" x14ac:dyDescent="0.25">
      <c r="B4831" s="100"/>
      <c r="C4831" s="100"/>
      <c r="D4831" s="100"/>
      <c r="E4831" s="100"/>
      <c r="F4831" s="102"/>
      <c r="G4831" s="114"/>
    </row>
    <row r="4832" spans="2:7" ht="15.75" customHeight="1" x14ac:dyDescent="0.25">
      <c r="B4832" s="100"/>
      <c r="C4832" s="100"/>
      <c r="D4832" s="100"/>
      <c r="E4832" s="100"/>
      <c r="F4832" s="102"/>
      <c r="G4832" s="114"/>
    </row>
    <row r="4833" spans="2:7" ht="15.75" customHeight="1" x14ac:dyDescent="0.25">
      <c r="B4833" s="100"/>
      <c r="C4833" s="100"/>
      <c r="D4833" s="100"/>
      <c r="E4833" s="100"/>
      <c r="F4833" s="102"/>
      <c r="G4833" s="114"/>
    </row>
    <row r="4834" spans="2:7" ht="15.75" customHeight="1" x14ac:dyDescent="0.25">
      <c r="B4834" s="100"/>
      <c r="C4834" s="100"/>
      <c r="D4834" s="100"/>
      <c r="E4834" s="100"/>
      <c r="F4834" s="102"/>
      <c r="G4834" s="114"/>
    </row>
    <row r="4835" spans="2:7" ht="15.75" customHeight="1" x14ac:dyDescent="0.25">
      <c r="B4835" s="100"/>
      <c r="C4835" s="100"/>
      <c r="D4835" s="100"/>
      <c r="E4835" s="100"/>
      <c r="F4835" s="102"/>
      <c r="G4835" s="114"/>
    </row>
    <row r="4836" spans="2:7" ht="15.75" customHeight="1" x14ac:dyDescent="0.25">
      <c r="B4836" s="100"/>
      <c r="C4836" s="100"/>
      <c r="D4836" s="100"/>
      <c r="E4836" s="100"/>
      <c r="F4836" s="102"/>
      <c r="G4836" s="114"/>
    </row>
    <row r="4837" spans="2:7" ht="15.75" customHeight="1" x14ac:dyDescent="0.25">
      <c r="B4837" s="100"/>
      <c r="C4837" s="100"/>
      <c r="D4837" s="100"/>
      <c r="E4837" s="100"/>
      <c r="F4837" s="102"/>
      <c r="G4837" s="114"/>
    </row>
    <row r="4838" spans="2:7" ht="15.75" customHeight="1" x14ac:dyDescent="0.25">
      <c r="B4838" s="100"/>
      <c r="C4838" s="100"/>
      <c r="D4838" s="100"/>
      <c r="E4838" s="100"/>
      <c r="F4838" s="102"/>
      <c r="G4838" s="114"/>
    </row>
    <row r="4839" spans="2:7" ht="15.75" customHeight="1" x14ac:dyDescent="0.25">
      <c r="B4839" s="100"/>
      <c r="C4839" s="100"/>
      <c r="D4839" s="100"/>
      <c r="E4839" s="100"/>
      <c r="F4839" s="102"/>
      <c r="G4839" s="114"/>
    </row>
    <row r="4840" spans="2:7" ht="15.75" customHeight="1" x14ac:dyDescent="0.25">
      <c r="B4840" s="100"/>
      <c r="C4840" s="100"/>
      <c r="D4840" s="100"/>
      <c r="E4840" s="100"/>
      <c r="F4840" s="102"/>
      <c r="G4840" s="114"/>
    </row>
    <row r="4841" spans="2:7" ht="15.75" customHeight="1" x14ac:dyDescent="0.25">
      <c r="B4841" s="100"/>
      <c r="C4841" s="100"/>
      <c r="D4841" s="100"/>
      <c r="E4841" s="100"/>
      <c r="F4841" s="102"/>
      <c r="G4841" s="114"/>
    </row>
    <row r="4842" spans="2:7" ht="15.75" customHeight="1" x14ac:dyDescent="0.25">
      <c r="B4842" s="100"/>
      <c r="C4842" s="100"/>
      <c r="D4842" s="100"/>
      <c r="E4842" s="100"/>
      <c r="F4842" s="102"/>
      <c r="G4842" s="114"/>
    </row>
    <row r="4843" spans="2:7" ht="15.75" customHeight="1" x14ac:dyDescent="0.25">
      <c r="B4843" s="100"/>
      <c r="C4843" s="100"/>
      <c r="D4843" s="100"/>
      <c r="E4843" s="100"/>
      <c r="F4843" s="102"/>
      <c r="G4843" s="114"/>
    </row>
    <row r="4844" spans="2:7" ht="15.75" customHeight="1" x14ac:dyDescent="0.25">
      <c r="B4844" s="100"/>
      <c r="C4844" s="100"/>
      <c r="D4844" s="100"/>
      <c r="E4844" s="100"/>
      <c r="F4844" s="102"/>
      <c r="G4844" s="114"/>
    </row>
    <row r="4845" spans="2:7" ht="15.75" customHeight="1" x14ac:dyDescent="0.25">
      <c r="B4845" s="100"/>
      <c r="C4845" s="100"/>
      <c r="D4845" s="100"/>
      <c r="E4845" s="100"/>
      <c r="F4845" s="102"/>
      <c r="G4845" s="114"/>
    </row>
    <row r="4846" spans="2:7" ht="15.75" customHeight="1" x14ac:dyDescent="0.25">
      <c r="B4846" s="100"/>
      <c r="C4846" s="100"/>
      <c r="D4846" s="100"/>
      <c r="E4846" s="100"/>
      <c r="F4846" s="102"/>
      <c r="G4846" s="114"/>
    </row>
    <row r="4847" spans="2:7" ht="15.75" customHeight="1" x14ac:dyDescent="0.25">
      <c r="B4847" s="100"/>
      <c r="C4847" s="100"/>
      <c r="D4847" s="100"/>
      <c r="E4847" s="100"/>
      <c r="F4847" s="102"/>
      <c r="G4847" s="114"/>
    </row>
    <row r="4848" spans="2:7" ht="15.75" customHeight="1" x14ac:dyDescent="0.25">
      <c r="B4848" s="100"/>
      <c r="C4848" s="100"/>
      <c r="D4848" s="100"/>
      <c r="E4848" s="100"/>
      <c r="F4848" s="102"/>
      <c r="G4848" s="114"/>
    </row>
    <row r="4849" spans="2:7" ht="15.75" customHeight="1" x14ac:dyDescent="0.25">
      <c r="B4849" s="100"/>
      <c r="C4849" s="100"/>
      <c r="D4849" s="100"/>
      <c r="E4849" s="100"/>
      <c r="F4849" s="102"/>
      <c r="G4849" s="114"/>
    </row>
    <row r="4850" spans="2:7" ht="15.75" customHeight="1" x14ac:dyDescent="0.25">
      <c r="B4850" s="100"/>
      <c r="C4850" s="100"/>
      <c r="D4850" s="100"/>
      <c r="E4850" s="100"/>
      <c r="F4850" s="102"/>
      <c r="G4850" s="114"/>
    </row>
    <row r="4851" spans="2:7" ht="15.75" customHeight="1" x14ac:dyDescent="0.25">
      <c r="B4851" s="100"/>
      <c r="C4851" s="100"/>
      <c r="D4851" s="100"/>
      <c r="E4851" s="100"/>
      <c r="F4851" s="102"/>
      <c r="G4851" s="114"/>
    </row>
    <row r="4852" spans="2:7" ht="15.75" customHeight="1" x14ac:dyDescent="0.25">
      <c r="B4852" s="100"/>
      <c r="C4852" s="100"/>
      <c r="D4852" s="100"/>
      <c r="E4852" s="100"/>
      <c r="F4852" s="102"/>
      <c r="G4852" s="114"/>
    </row>
    <row r="4853" spans="2:7" ht="15.75" customHeight="1" x14ac:dyDescent="0.25">
      <c r="B4853" s="100"/>
      <c r="C4853" s="100"/>
      <c r="D4853" s="100"/>
      <c r="E4853" s="100"/>
      <c r="F4853" s="102"/>
      <c r="G4853" s="114"/>
    </row>
    <row r="4854" spans="2:7" ht="15.75" customHeight="1" x14ac:dyDescent="0.25">
      <c r="B4854" s="100"/>
      <c r="C4854" s="100"/>
      <c r="D4854" s="100"/>
      <c r="E4854" s="100"/>
      <c r="F4854" s="102"/>
      <c r="G4854" s="114"/>
    </row>
    <row r="4855" spans="2:7" ht="15.75" customHeight="1" x14ac:dyDescent="0.25">
      <c r="B4855" s="100"/>
      <c r="C4855" s="100"/>
      <c r="D4855" s="100"/>
      <c r="E4855" s="100"/>
      <c r="F4855" s="102"/>
      <c r="G4855" s="114"/>
    </row>
    <row r="4856" spans="2:7" ht="15.75" customHeight="1" x14ac:dyDescent="0.25">
      <c r="B4856" s="100"/>
      <c r="C4856" s="100"/>
      <c r="D4856" s="100"/>
      <c r="E4856" s="100"/>
      <c r="F4856" s="102"/>
      <c r="G4856" s="114"/>
    </row>
    <row r="4857" spans="2:7" ht="15.75" customHeight="1" x14ac:dyDescent="0.25">
      <c r="B4857" s="100"/>
      <c r="C4857" s="100"/>
      <c r="D4857" s="100"/>
      <c r="E4857" s="100"/>
      <c r="F4857" s="102"/>
      <c r="G4857" s="114"/>
    </row>
    <row r="4858" spans="2:7" ht="15.75" customHeight="1" x14ac:dyDescent="0.25">
      <c r="B4858" s="100"/>
      <c r="C4858" s="100"/>
      <c r="D4858" s="100"/>
      <c r="E4858" s="100"/>
      <c r="F4858" s="102"/>
      <c r="G4858" s="114"/>
    </row>
    <row r="4859" spans="2:7" ht="15.75" customHeight="1" x14ac:dyDescent="0.25">
      <c r="B4859" s="100"/>
      <c r="C4859" s="100"/>
      <c r="D4859" s="100"/>
      <c r="E4859" s="100"/>
      <c r="F4859" s="102"/>
      <c r="G4859" s="114"/>
    </row>
    <row r="4860" spans="2:7" ht="15.75" customHeight="1" x14ac:dyDescent="0.25">
      <c r="B4860" s="100"/>
      <c r="C4860" s="100"/>
      <c r="D4860" s="100"/>
      <c r="E4860" s="100"/>
      <c r="F4860" s="102"/>
      <c r="G4860" s="114"/>
    </row>
    <row r="4861" spans="2:7" ht="15.75" customHeight="1" x14ac:dyDescent="0.25">
      <c r="B4861" s="100"/>
      <c r="C4861" s="100"/>
      <c r="D4861" s="100"/>
      <c r="E4861" s="100"/>
      <c r="F4861" s="102"/>
      <c r="G4861" s="114"/>
    </row>
    <row r="4862" spans="2:7" ht="15.75" customHeight="1" x14ac:dyDescent="0.25">
      <c r="B4862" s="100"/>
      <c r="C4862" s="100"/>
      <c r="D4862" s="100"/>
      <c r="E4862" s="100"/>
      <c r="F4862" s="102"/>
      <c r="G4862" s="114"/>
    </row>
    <row r="4863" spans="2:7" ht="15.75" customHeight="1" x14ac:dyDescent="0.25">
      <c r="B4863" s="100"/>
      <c r="C4863" s="100"/>
      <c r="D4863" s="100"/>
      <c r="E4863" s="100"/>
      <c r="F4863" s="102"/>
      <c r="G4863" s="114"/>
    </row>
    <row r="4864" spans="2:7" ht="15.75" customHeight="1" x14ac:dyDescent="0.25">
      <c r="B4864" s="100"/>
      <c r="C4864" s="100"/>
      <c r="D4864" s="100"/>
      <c r="E4864" s="100"/>
      <c r="F4864" s="102"/>
      <c r="G4864" s="114"/>
    </row>
    <row r="4865" spans="2:7" ht="15.75" customHeight="1" x14ac:dyDescent="0.25">
      <c r="B4865" s="100"/>
      <c r="C4865" s="100"/>
      <c r="D4865" s="100"/>
      <c r="E4865" s="100"/>
      <c r="F4865" s="102"/>
      <c r="G4865" s="114"/>
    </row>
    <row r="4866" spans="2:7" ht="15.75" customHeight="1" x14ac:dyDescent="0.25">
      <c r="B4866" s="100"/>
      <c r="C4866" s="100"/>
      <c r="D4866" s="100"/>
      <c r="E4866" s="100"/>
      <c r="F4866" s="102"/>
      <c r="G4866" s="114"/>
    </row>
    <row r="4867" spans="2:7" ht="15.75" customHeight="1" x14ac:dyDescent="0.25">
      <c r="B4867" s="100"/>
      <c r="C4867" s="100"/>
      <c r="D4867" s="100"/>
      <c r="E4867" s="100"/>
      <c r="F4867" s="102"/>
      <c r="G4867" s="114"/>
    </row>
    <row r="4868" spans="2:7" ht="15.75" customHeight="1" x14ac:dyDescent="0.25">
      <c r="B4868" s="100"/>
      <c r="C4868" s="100"/>
      <c r="D4868" s="100"/>
      <c r="E4868" s="100"/>
      <c r="F4868" s="102"/>
      <c r="G4868" s="114"/>
    </row>
    <row r="4869" spans="2:7" ht="15.75" customHeight="1" x14ac:dyDescent="0.25">
      <c r="B4869" s="100"/>
      <c r="C4869" s="100"/>
      <c r="D4869" s="100"/>
      <c r="E4869" s="100"/>
      <c r="F4869" s="102"/>
      <c r="G4869" s="114"/>
    </row>
    <row r="4870" spans="2:7" ht="15.75" customHeight="1" x14ac:dyDescent="0.25">
      <c r="B4870" s="100"/>
      <c r="C4870" s="100"/>
      <c r="D4870" s="100"/>
      <c r="E4870" s="100"/>
      <c r="F4870" s="102"/>
      <c r="G4870" s="114"/>
    </row>
    <row r="4871" spans="2:7" ht="15.75" customHeight="1" x14ac:dyDescent="0.25">
      <c r="B4871" s="100"/>
      <c r="C4871" s="100"/>
      <c r="D4871" s="100"/>
      <c r="E4871" s="100"/>
      <c r="F4871" s="102"/>
      <c r="G4871" s="114"/>
    </row>
    <row r="4872" spans="2:7" ht="15.75" customHeight="1" x14ac:dyDescent="0.25">
      <c r="B4872" s="100"/>
      <c r="C4872" s="100"/>
      <c r="D4872" s="100"/>
      <c r="E4872" s="100"/>
      <c r="F4872" s="102"/>
      <c r="G4872" s="114"/>
    </row>
    <row r="4873" spans="2:7" ht="15.75" customHeight="1" x14ac:dyDescent="0.25">
      <c r="B4873" s="100"/>
      <c r="C4873" s="100"/>
      <c r="D4873" s="100"/>
      <c r="E4873" s="100"/>
      <c r="F4873" s="102"/>
      <c r="G4873" s="114"/>
    </row>
    <row r="4874" spans="2:7" ht="15.75" customHeight="1" x14ac:dyDescent="0.25">
      <c r="B4874" s="100"/>
      <c r="C4874" s="100"/>
      <c r="D4874" s="100"/>
      <c r="E4874" s="100"/>
      <c r="F4874" s="102"/>
      <c r="G4874" s="114"/>
    </row>
    <row r="4875" spans="2:7" ht="15.75" customHeight="1" x14ac:dyDescent="0.25">
      <c r="B4875" s="100"/>
      <c r="C4875" s="100"/>
      <c r="D4875" s="100"/>
      <c r="E4875" s="100"/>
      <c r="F4875" s="102"/>
      <c r="G4875" s="114"/>
    </row>
    <row r="4876" spans="2:7" ht="15.75" customHeight="1" x14ac:dyDescent="0.25">
      <c r="B4876" s="100"/>
      <c r="C4876" s="100"/>
      <c r="D4876" s="100"/>
      <c r="E4876" s="100"/>
      <c r="F4876" s="102"/>
      <c r="G4876" s="114"/>
    </row>
    <row r="4877" spans="2:7" ht="15.75" customHeight="1" x14ac:dyDescent="0.25">
      <c r="B4877" s="100"/>
      <c r="C4877" s="100"/>
      <c r="D4877" s="100"/>
      <c r="E4877" s="100"/>
      <c r="F4877" s="102"/>
      <c r="G4877" s="114"/>
    </row>
    <row r="4878" spans="2:7" ht="15.75" customHeight="1" x14ac:dyDescent="0.25">
      <c r="B4878" s="100"/>
      <c r="C4878" s="100"/>
      <c r="D4878" s="100"/>
      <c r="E4878" s="100"/>
      <c r="F4878" s="102"/>
      <c r="G4878" s="114"/>
    </row>
    <row r="4879" spans="2:7" ht="15.75" customHeight="1" x14ac:dyDescent="0.25">
      <c r="B4879" s="100"/>
      <c r="C4879" s="100"/>
      <c r="D4879" s="100"/>
      <c r="E4879" s="100"/>
      <c r="F4879" s="102"/>
      <c r="G4879" s="114"/>
    </row>
    <row r="4880" spans="2:7" ht="15.75" customHeight="1" x14ac:dyDescent="0.25">
      <c r="B4880" s="100"/>
      <c r="C4880" s="100"/>
      <c r="D4880" s="100"/>
      <c r="E4880" s="100"/>
      <c r="F4880" s="102"/>
      <c r="G4880" s="114"/>
    </row>
    <row r="4881" spans="2:7" ht="15.75" customHeight="1" x14ac:dyDescent="0.25">
      <c r="B4881" s="100"/>
      <c r="C4881" s="100"/>
      <c r="D4881" s="100"/>
      <c r="E4881" s="100"/>
      <c r="F4881" s="102"/>
      <c r="G4881" s="114"/>
    </row>
    <row r="4882" spans="2:7" ht="15.75" customHeight="1" x14ac:dyDescent="0.25">
      <c r="B4882" s="100"/>
      <c r="C4882" s="100"/>
      <c r="D4882" s="100"/>
      <c r="E4882" s="100"/>
      <c r="F4882" s="102"/>
      <c r="G4882" s="114"/>
    </row>
    <row r="4883" spans="2:7" ht="15.75" customHeight="1" x14ac:dyDescent="0.25">
      <c r="B4883" s="100"/>
      <c r="C4883" s="100"/>
      <c r="D4883" s="100"/>
      <c r="E4883" s="100"/>
      <c r="F4883" s="102"/>
      <c r="G4883" s="114"/>
    </row>
    <row r="4884" spans="2:7" ht="15.75" customHeight="1" x14ac:dyDescent="0.25">
      <c r="B4884" s="100"/>
      <c r="C4884" s="100"/>
      <c r="D4884" s="100"/>
      <c r="E4884" s="100"/>
      <c r="F4884" s="102"/>
      <c r="G4884" s="114"/>
    </row>
    <row r="4885" spans="2:7" ht="15.75" customHeight="1" x14ac:dyDescent="0.25">
      <c r="B4885" s="100"/>
      <c r="C4885" s="100"/>
      <c r="D4885" s="100"/>
      <c r="E4885" s="100"/>
      <c r="F4885" s="102"/>
      <c r="G4885" s="114"/>
    </row>
    <row r="4886" spans="2:7" ht="15.75" customHeight="1" x14ac:dyDescent="0.25">
      <c r="B4886" s="100"/>
      <c r="C4886" s="100"/>
      <c r="D4886" s="100"/>
      <c r="E4886" s="100"/>
      <c r="F4886" s="102"/>
      <c r="G4886" s="114"/>
    </row>
    <row r="4887" spans="2:7" ht="15.75" customHeight="1" x14ac:dyDescent="0.25">
      <c r="B4887" s="100"/>
      <c r="C4887" s="100"/>
      <c r="D4887" s="100"/>
      <c r="E4887" s="100"/>
      <c r="F4887" s="102"/>
      <c r="G4887" s="114"/>
    </row>
    <row r="4888" spans="2:7" ht="15.75" customHeight="1" x14ac:dyDescent="0.25">
      <c r="B4888" s="100"/>
      <c r="C4888" s="100"/>
      <c r="D4888" s="100"/>
      <c r="E4888" s="100"/>
      <c r="F4888" s="102"/>
      <c r="G4888" s="114"/>
    </row>
    <row r="4889" spans="2:7" ht="15.75" customHeight="1" x14ac:dyDescent="0.25">
      <c r="B4889" s="100"/>
      <c r="C4889" s="100"/>
      <c r="D4889" s="100"/>
      <c r="E4889" s="100"/>
      <c r="F4889" s="102"/>
      <c r="G4889" s="114"/>
    </row>
    <row r="4890" spans="2:7" ht="15.75" customHeight="1" x14ac:dyDescent="0.25">
      <c r="B4890" s="100"/>
      <c r="C4890" s="100"/>
      <c r="D4890" s="100"/>
      <c r="E4890" s="100"/>
      <c r="F4890" s="102"/>
      <c r="G4890" s="114"/>
    </row>
    <row r="4891" spans="2:7" ht="15.75" customHeight="1" x14ac:dyDescent="0.25">
      <c r="B4891" s="100"/>
      <c r="C4891" s="100"/>
      <c r="D4891" s="100"/>
      <c r="E4891" s="100"/>
      <c r="F4891" s="102"/>
      <c r="G4891" s="114"/>
    </row>
    <row r="4892" spans="2:7" ht="15.75" customHeight="1" x14ac:dyDescent="0.25">
      <c r="B4892" s="100"/>
      <c r="C4892" s="100"/>
      <c r="D4892" s="100"/>
      <c r="E4892" s="100"/>
      <c r="F4892" s="102"/>
      <c r="G4892" s="114"/>
    </row>
    <row r="4893" spans="2:7" ht="15.75" customHeight="1" x14ac:dyDescent="0.25">
      <c r="B4893" s="100"/>
      <c r="C4893" s="100"/>
      <c r="D4893" s="100"/>
      <c r="E4893" s="100"/>
      <c r="F4893" s="102"/>
      <c r="G4893" s="114"/>
    </row>
    <row r="4894" spans="2:7" ht="15.75" customHeight="1" x14ac:dyDescent="0.25">
      <c r="B4894" s="100"/>
      <c r="C4894" s="100"/>
      <c r="D4894" s="100"/>
      <c r="E4894" s="100"/>
      <c r="F4894" s="102"/>
      <c r="G4894" s="114"/>
    </row>
    <row r="4895" spans="2:7" ht="15.75" customHeight="1" x14ac:dyDescent="0.25">
      <c r="B4895" s="100"/>
      <c r="C4895" s="100"/>
      <c r="D4895" s="100"/>
      <c r="E4895" s="100"/>
      <c r="F4895" s="102"/>
      <c r="G4895" s="114"/>
    </row>
    <row r="4896" spans="2:7" ht="15.75" customHeight="1" x14ac:dyDescent="0.25">
      <c r="B4896" s="100"/>
      <c r="C4896" s="100"/>
      <c r="D4896" s="100"/>
      <c r="E4896" s="100"/>
      <c r="F4896" s="102"/>
      <c r="G4896" s="114"/>
    </row>
    <row r="4897" spans="2:7" ht="15.75" customHeight="1" x14ac:dyDescent="0.25">
      <c r="B4897" s="100"/>
      <c r="C4897" s="100"/>
      <c r="D4897" s="100"/>
      <c r="E4897" s="100"/>
      <c r="F4897" s="102"/>
      <c r="G4897" s="114"/>
    </row>
    <row r="4898" spans="2:7" ht="15.75" customHeight="1" x14ac:dyDescent="0.25">
      <c r="B4898" s="100"/>
      <c r="C4898" s="100"/>
      <c r="D4898" s="100"/>
      <c r="E4898" s="100"/>
      <c r="F4898" s="102"/>
      <c r="G4898" s="114"/>
    </row>
    <row r="4899" spans="2:7" ht="15.75" customHeight="1" x14ac:dyDescent="0.25">
      <c r="B4899" s="100"/>
      <c r="C4899" s="100"/>
      <c r="D4899" s="100"/>
      <c r="E4899" s="100"/>
      <c r="F4899" s="102"/>
      <c r="G4899" s="114"/>
    </row>
    <row r="4900" spans="2:7" ht="15.75" customHeight="1" x14ac:dyDescent="0.25">
      <c r="B4900" s="100"/>
      <c r="C4900" s="100"/>
      <c r="D4900" s="100"/>
      <c r="E4900" s="100"/>
      <c r="F4900" s="102"/>
      <c r="G4900" s="114"/>
    </row>
    <row r="4901" spans="2:7" ht="15.75" customHeight="1" x14ac:dyDescent="0.25">
      <c r="B4901" s="100"/>
      <c r="C4901" s="100"/>
      <c r="D4901" s="100"/>
      <c r="E4901" s="100"/>
      <c r="F4901" s="102"/>
      <c r="G4901" s="114"/>
    </row>
    <row r="4902" spans="2:7" ht="15.75" customHeight="1" x14ac:dyDescent="0.25">
      <c r="B4902" s="100"/>
      <c r="C4902" s="100"/>
      <c r="D4902" s="100"/>
      <c r="E4902" s="100"/>
      <c r="F4902" s="102"/>
      <c r="G4902" s="114"/>
    </row>
    <row r="4903" spans="2:7" ht="15.75" customHeight="1" x14ac:dyDescent="0.25">
      <c r="B4903" s="100"/>
      <c r="C4903" s="100"/>
      <c r="D4903" s="100"/>
      <c r="E4903" s="100"/>
      <c r="F4903" s="102"/>
      <c r="G4903" s="114"/>
    </row>
    <row r="4904" spans="2:7" ht="15.75" customHeight="1" x14ac:dyDescent="0.25">
      <c r="B4904" s="100"/>
      <c r="C4904" s="100"/>
      <c r="D4904" s="100"/>
      <c r="E4904" s="100"/>
      <c r="F4904" s="102"/>
      <c r="G4904" s="114"/>
    </row>
    <row r="4905" spans="2:7" ht="15.75" customHeight="1" x14ac:dyDescent="0.25">
      <c r="B4905" s="100"/>
      <c r="C4905" s="100"/>
      <c r="D4905" s="100"/>
      <c r="E4905" s="100"/>
      <c r="F4905" s="102"/>
      <c r="G4905" s="114"/>
    </row>
    <row r="4906" spans="2:7" ht="15.75" customHeight="1" x14ac:dyDescent="0.25">
      <c r="B4906" s="100"/>
      <c r="C4906" s="100"/>
      <c r="D4906" s="100"/>
      <c r="E4906" s="100"/>
      <c r="F4906" s="102"/>
      <c r="G4906" s="114"/>
    </row>
    <row r="4907" spans="2:7" ht="15.75" customHeight="1" x14ac:dyDescent="0.25">
      <c r="B4907" s="100"/>
      <c r="C4907" s="100"/>
      <c r="D4907" s="100"/>
      <c r="E4907" s="100"/>
      <c r="F4907" s="102"/>
      <c r="G4907" s="114"/>
    </row>
    <row r="4908" spans="2:7" ht="15.75" customHeight="1" x14ac:dyDescent="0.25">
      <c r="B4908" s="100"/>
      <c r="C4908" s="100"/>
      <c r="D4908" s="100"/>
      <c r="E4908" s="100"/>
      <c r="F4908" s="102"/>
      <c r="G4908" s="114"/>
    </row>
    <row r="4909" spans="2:7" ht="15.75" customHeight="1" x14ac:dyDescent="0.25">
      <c r="B4909" s="100"/>
      <c r="C4909" s="100"/>
      <c r="D4909" s="100"/>
      <c r="E4909" s="100"/>
      <c r="F4909" s="102"/>
      <c r="G4909" s="114"/>
    </row>
    <row r="4910" spans="2:7" ht="15.75" customHeight="1" x14ac:dyDescent="0.25">
      <c r="B4910" s="100"/>
      <c r="C4910" s="100"/>
      <c r="D4910" s="100"/>
      <c r="E4910" s="100"/>
      <c r="F4910" s="102"/>
      <c r="G4910" s="114"/>
    </row>
    <row r="4911" spans="2:7" ht="15.75" customHeight="1" x14ac:dyDescent="0.25">
      <c r="B4911" s="100"/>
      <c r="C4911" s="100"/>
      <c r="D4911" s="100"/>
      <c r="E4911" s="100"/>
      <c r="F4911" s="102"/>
      <c r="G4911" s="114"/>
    </row>
    <row r="4912" spans="2:7" ht="15.75" customHeight="1" x14ac:dyDescent="0.25">
      <c r="B4912" s="100"/>
      <c r="C4912" s="100"/>
      <c r="D4912" s="100"/>
      <c r="E4912" s="100"/>
      <c r="F4912" s="102"/>
      <c r="G4912" s="114"/>
    </row>
    <row r="4913" spans="2:7" ht="15.75" customHeight="1" x14ac:dyDescent="0.25">
      <c r="B4913" s="100"/>
      <c r="C4913" s="100"/>
      <c r="D4913" s="100"/>
      <c r="E4913" s="100"/>
      <c r="F4913" s="102"/>
      <c r="G4913" s="114"/>
    </row>
    <row r="4914" spans="2:7" ht="15.75" customHeight="1" x14ac:dyDescent="0.25">
      <c r="B4914" s="100"/>
      <c r="C4914" s="100"/>
      <c r="D4914" s="100"/>
      <c r="E4914" s="100"/>
      <c r="F4914" s="102"/>
      <c r="G4914" s="114"/>
    </row>
    <row r="4915" spans="2:7" ht="15.75" customHeight="1" x14ac:dyDescent="0.25">
      <c r="B4915" s="100"/>
      <c r="C4915" s="100"/>
      <c r="D4915" s="100"/>
      <c r="E4915" s="100"/>
      <c r="F4915" s="102"/>
      <c r="G4915" s="114"/>
    </row>
    <row r="4916" spans="2:7" ht="15.75" customHeight="1" x14ac:dyDescent="0.25">
      <c r="B4916" s="100"/>
      <c r="C4916" s="100"/>
      <c r="D4916" s="100"/>
      <c r="E4916" s="100"/>
      <c r="F4916" s="102"/>
      <c r="G4916" s="114"/>
    </row>
    <row r="4917" spans="2:7" ht="15.75" customHeight="1" x14ac:dyDescent="0.25">
      <c r="B4917" s="100"/>
      <c r="C4917" s="100"/>
      <c r="D4917" s="100"/>
      <c r="E4917" s="100"/>
      <c r="F4917" s="102"/>
      <c r="G4917" s="114"/>
    </row>
    <row r="4918" spans="2:7" ht="15.75" customHeight="1" x14ac:dyDescent="0.25">
      <c r="B4918" s="100"/>
      <c r="C4918" s="100"/>
      <c r="D4918" s="100"/>
      <c r="E4918" s="100"/>
      <c r="F4918" s="102"/>
      <c r="G4918" s="114"/>
    </row>
    <row r="4919" spans="2:7" ht="15.75" customHeight="1" x14ac:dyDescent="0.25">
      <c r="B4919" s="100"/>
      <c r="C4919" s="100"/>
      <c r="D4919" s="100"/>
      <c r="E4919" s="100"/>
      <c r="F4919" s="102"/>
      <c r="G4919" s="114"/>
    </row>
    <row r="4920" spans="2:7" ht="15.75" customHeight="1" x14ac:dyDescent="0.25">
      <c r="B4920" s="100"/>
      <c r="C4920" s="100"/>
      <c r="D4920" s="100"/>
      <c r="E4920" s="100"/>
      <c r="F4920" s="102"/>
      <c r="G4920" s="114"/>
    </row>
    <row r="4921" spans="2:7" ht="15.75" customHeight="1" x14ac:dyDescent="0.25">
      <c r="B4921" s="100"/>
      <c r="C4921" s="100"/>
      <c r="D4921" s="100"/>
      <c r="E4921" s="100"/>
      <c r="F4921" s="102"/>
      <c r="G4921" s="114"/>
    </row>
    <row r="4922" spans="2:7" ht="15.75" customHeight="1" x14ac:dyDescent="0.25">
      <c r="B4922" s="100"/>
      <c r="C4922" s="100"/>
      <c r="D4922" s="100"/>
      <c r="E4922" s="100"/>
      <c r="F4922" s="102"/>
      <c r="G4922" s="114"/>
    </row>
    <row r="4923" spans="2:7" ht="15.75" customHeight="1" x14ac:dyDescent="0.25">
      <c r="B4923" s="100"/>
      <c r="C4923" s="100"/>
      <c r="D4923" s="100"/>
      <c r="E4923" s="100"/>
      <c r="F4923" s="102"/>
      <c r="G4923" s="114"/>
    </row>
    <row r="4924" spans="2:7" ht="15.75" customHeight="1" x14ac:dyDescent="0.25">
      <c r="B4924" s="100"/>
      <c r="C4924" s="100"/>
      <c r="D4924" s="100"/>
      <c r="E4924" s="100"/>
      <c r="F4924" s="102"/>
      <c r="G4924" s="114"/>
    </row>
    <row r="4925" spans="2:7" ht="15.75" customHeight="1" x14ac:dyDescent="0.25">
      <c r="B4925" s="100"/>
      <c r="C4925" s="100"/>
      <c r="D4925" s="100"/>
      <c r="E4925" s="100"/>
      <c r="F4925" s="102"/>
      <c r="G4925" s="114"/>
    </row>
    <row r="4926" spans="2:7" ht="15.75" customHeight="1" x14ac:dyDescent="0.25">
      <c r="B4926" s="100"/>
      <c r="C4926" s="100"/>
      <c r="D4926" s="100"/>
      <c r="E4926" s="100"/>
      <c r="F4926" s="102"/>
      <c r="G4926" s="114"/>
    </row>
    <row r="4927" spans="2:7" ht="15.75" customHeight="1" x14ac:dyDescent="0.25">
      <c r="B4927" s="100"/>
      <c r="C4927" s="100"/>
      <c r="D4927" s="100"/>
      <c r="E4927" s="100"/>
      <c r="F4927" s="102"/>
      <c r="G4927" s="114"/>
    </row>
    <row r="4928" spans="2:7" ht="15.75" customHeight="1" x14ac:dyDescent="0.25">
      <c r="B4928" s="100"/>
      <c r="C4928" s="100"/>
      <c r="D4928" s="100"/>
      <c r="E4928" s="100"/>
      <c r="F4928" s="102"/>
      <c r="G4928" s="114"/>
    </row>
    <row r="4929" spans="2:7" ht="15.75" customHeight="1" x14ac:dyDescent="0.25">
      <c r="B4929" s="100"/>
      <c r="C4929" s="100"/>
      <c r="D4929" s="100"/>
      <c r="E4929" s="100"/>
      <c r="F4929" s="102"/>
      <c r="G4929" s="114"/>
    </row>
    <row r="4930" spans="2:7" ht="15.75" customHeight="1" x14ac:dyDescent="0.25">
      <c r="B4930" s="100"/>
      <c r="C4930" s="100"/>
      <c r="D4930" s="100"/>
      <c r="E4930" s="100"/>
      <c r="F4930" s="102"/>
      <c r="G4930" s="114"/>
    </row>
    <row r="4931" spans="2:7" ht="15.75" customHeight="1" x14ac:dyDescent="0.25">
      <c r="B4931" s="100"/>
      <c r="C4931" s="100"/>
      <c r="D4931" s="100"/>
      <c r="E4931" s="100"/>
      <c r="F4931" s="102"/>
      <c r="G4931" s="114"/>
    </row>
    <row r="4932" spans="2:7" ht="15.75" customHeight="1" x14ac:dyDescent="0.25">
      <c r="B4932" s="100"/>
      <c r="C4932" s="100"/>
      <c r="D4932" s="100"/>
      <c r="E4932" s="100"/>
      <c r="F4932" s="102"/>
      <c r="G4932" s="114"/>
    </row>
    <row r="4933" spans="2:7" ht="15.75" customHeight="1" x14ac:dyDescent="0.25">
      <c r="B4933" s="100"/>
      <c r="C4933" s="100"/>
      <c r="D4933" s="100"/>
      <c r="E4933" s="100"/>
      <c r="F4933" s="102"/>
      <c r="G4933" s="114"/>
    </row>
    <row r="4934" spans="2:7" ht="15.75" customHeight="1" x14ac:dyDescent="0.25">
      <c r="B4934" s="100"/>
      <c r="C4934" s="100"/>
      <c r="D4934" s="100"/>
      <c r="E4934" s="100"/>
      <c r="F4934" s="102"/>
      <c r="G4934" s="114"/>
    </row>
    <row r="4935" spans="2:7" ht="15.75" customHeight="1" x14ac:dyDescent="0.25">
      <c r="B4935" s="100"/>
      <c r="C4935" s="100"/>
      <c r="D4935" s="100"/>
      <c r="E4935" s="100"/>
      <c r="F4935" s="102"/>
      <c r="G4935" s="114"/>
    </row>
    <row r="4936" spans="2:7" ht="15.75" customHeight="1" x14ac:dyDescent="0.25">
      <c r="B4936" s="100"/>
      <c r="C4936" s="100"/>
      <c r="D4936" s="100"/>
      <c r="E4936" s="100"/>
      <c r="F4936" s="102"/>
      <c r="G4936" s="114"/>
    </row>
    <row r="4937" spans="2:7" ht="15.75" customHeight="1" x14ac:dyDescent="0.25">
      <c r="B4937" s="100"/>
      <c r="C4937" s="100"/>
      <c r="D4937" s="100"/>
      <c r="E4937" s="100"/>
      <c r="F4937" s="102"/>
      <c r="G4937" s="114"/>
    </row>
    <row r="4938" spans="2:7" ht="15.75" customHeight="1" x14ac:dyDescent="0.25">
      <c r="B4938" s="100"/>
      <c r="C4938" s="100"/>
      <c r="D4938" s="100"/>
      <c r="E4938" s="100"/>
      <c r="F4938" s="102"/>
      <c r="G4938" s="114"/>
    </row>
    <row r="4939" spans="2:7" ht="15.75" customHeight="1" x14ac:dyDescent="0.25">
      <c r="B4939" s="100"/>
      <c r="C4939" s="100"/>
      <c r="D4939" s="100"/>
      <c r="E4939" s="100"/>
      <c r="F4939" s="102"/>
      <c r="G4939" s="114"/>
    </row>
    <row r="4940" spans="2:7" ht="15.75" customHeight="1" x14ac:dyDescent="0.25">
      <c r="B4940" s="100"/>
      <c r="C4940" s="100"/>
      <c r="D4940" s="100"/>
      <c r="E4940" s="100"/>
      <c r="F4940" s="102"/>
      <c r="G4940" s="114"/>
    </row>
    <row r="4941" spans="2:7" ht="15.75" customHeight="1" x14ac:dyDescent="0.25">
      <c r="B4941" s="100"/>
      <c r="C4941" s="100"/>
      <c r="D4941" s="100"/>
      <c r="E4941" s="100"/>
      <c r="F4941" s="102"/>
      <c r="G4941" s="114"/>
    </row>
    <row r="4942" spans="2:7" ht="15.75" customHeight="1" x14ac:dyDescent="0.25">
      <c r="B4942" s="100"/>
      <c r="C4942" s="100"/>
      <c r="D4942" s="100"/>
      <c r="E4942" s="100"/>
      <c r="F4942" s="102"/>
      <c r="G4942" s="114"/>
    </row>
    <row r="4943" spans="2:7" ht="15.75" customHeight="1" x14ac:dyDescent="0.25">
      <c r="B4943" s="100"/>
      <c r="C4943" s="100"/>
      <c r="D4943" s="100"/>
      <c r="E4943" s="100"/>
      <c r="F4943" s="102"/>
      <c r="G4943" s="114"/>
    </row>
    <row r="4944" spans="2:7" ht="15.75" customHeight="1" x14ac:dyDescent="0.25">
      <c r="B4944" s="100"/>
      <c r="C4944" s="100"/>
      <c r="D4944" s="100"/>
      <c r="E4944" s="100"/>
      <c r="F4944" s="102"/>
      <c r="G4944" s="114"/>
    </row>
    <row r="4945" spans="2:7" ht="15.75" customHeight="1" x14ac:dyDescent="0.25">
      <c r="B4945" s="100"/>
      <c r="C4945" s="100"/>
      <c r="D4945" s="100"/>
      <c r="E4945" s="100"/>
      <c r="F4945" s="102"/>
      <c r="G4945" s="114"/>
    </row>
    <row r="4946" spans="2:7" ht="15.75" customHeight="1" x14ac:dyDescent="0.25">
      <c r="B4946" s="100"/>
      <c r="C4946" s="100"/>
      <c r="D4946" s="100"/>
      <c r="E4946" s="100"/>
      <c r="F4946" s="102"/>
      <c r="G4946" s="114"/>
    </row>
    <row r="4947" spans="2:7" ht="15.75" customHeight="1" x14ac:dyDescent="0.25">
      <c r="B4947" s="100"/>
      <c r="C4947" s="100"/>
      <c r="D4947" s="100"/>
      <c r="E4947" s="100"/>
      <c r="F4947" s="102"/>
      <c r="G4947" s="114"/>
    </row>
    <row r="4948" spans="2:7" ht="15.75" customHeight="1" x14ac:dyDescent="0.25">
      <c r="B4948" s="100"/>
      <c r="C4948" s="100"/>
      <c r="D4948" s="100"/>
      <c r="E4948" s="100"/>
      <c r="F4948" s="102"/>
      <c r="G4948" s="114"/>
    </row>
    <row r="4949" spans="2:7" ht="15.75" customHeight="1" x14ac:dyDescent="0.25">
      <c r="B4949" s="100"/>
      <c r="C4949" s="100"/>
      <c r="D4949" s="100"/>
      <c r="E4949" s="100"/>
      <c r="F4949" s="102"/>
      <c r="G4949" s="114"/>
    </row>
    <row r="4950" spans="2:7" ht="15.75" customHeight="1" x14ac:dyDescent="0.25">
      <c r="B4950" s="100"/>
      <c r="C4950" s="100"/>
      <c r="D4950" s="100"/>
      <c r="E4950" s="100"/>
      <c r="F4950" s="102"/>
      <c r="G4950" s="114"/>
    </row>
    <row r="4951" spans="2:7" ht="15.75" customHeight="1" x14ac:dyDescent="0.25">
      <c r="B4951" s="100"/>
      <c r="C4951" s="100"/>
      <c r="D4951" s="100"/>
      <c r="E4951" s="100"/>
      <c r="F4951" s="102"/>
      <c r="G4951" s="114"/>
    </row>
    <row r="4952" spans="2:7" ht="15.75" customHeight="1" x14ac:dyDescent="0.25">
      <c r="B4952" s="100"/>
      <c r="C4952" s="100"/>
      <c r="D4952" s="100"/>
      <c r="E4952" s="100"/>
      <c r="F4952" s="102"/>
      <c r="G4952" s="114"/>
    </row>
    <row r="4953" spans="2:7" ht="15.75" customHeight="1" x14ac:dyDescent="0.25">
      <c r="B4953" s="100"/>
      <c r="C4953" s="100"/>
      <c r="D4953" s="100"/>
      <c r="E4953" s="100"/>
      <c r="F4953" s="102"/>
      <c r="G4953" s="114"/>
    </row>
    <row r="4954" spans="2:7" ht="15.75" customHeight="1" x14ac:dyDescent="0.25">
      <c r="B4954" s="100"/>
      <c r="C4954" s="100"/>
      <c r="D4954" s="100"/>
      <c r="E4954" s="100"/>
      <c r="F4954" s="102"/>
      <c r="G4954" s="114"/>
    </row>
    <row r="4955" spans="2:7" ht="15.75" customHeight="1" x14ac:dyDescent="0.25">
      <c r="B4955" s="100"/>
      <c r="C4955" s="100"/>
      <c r="D4955" s="100"/>
      <c r="E4955" s="100"/>
      <c r="F4955" s="102"/>
      <c r="G4955" s="114"/>
    </row>
    <row r="4956" spans="2:7" ht="15.75" customHeight="1" x14ac:dyDescent="0.25">
      <c r="B4956" s="100"/>
      <c r="C4956" s="100"/>
      <c r="D4956" s="100"/>
      <c r="E4956" s="100"/>
      <c r="F4956" s="102"/>
      <c r="G4956" s="114"/>
    </row>
    <row r="4957" spans="2:7" ht="15.75" customHeight="1" x14ac:dyDescent="0.25">
      <c r="B4957" s="100"/>
      <c r="C4957" s="100"/>
      <c r="D4957" s="100"/>
      <c r="E4957" s="100"/>
      <c r="F4957" s="102"/>
      <c r="G4957" s="114"/>
    </row>
    <row r="4958" spans="2:7" ht="15.75" customHeight="1" x14ac:dyDescent="0.25">
      <c r="B4958" s="100"/>
      <c r="C4958" s="100"/>
      <c r="D4958" s="100"/>
      <c r="E4958" s="100"/>
      <c r="F4958" s="102"/>
      <c r="G4958" s="114"/>
    </row>
    <row r="4959" spans="2:7" ht="15.75" customHeight="1" x14ac:dyDescent="0.25">
      <c r="B4959" s="100"/>
      <c r="C4959" s="100"/>
      <c r="D4959" s="100"/>
      <c r="E4959" s="100"/>
      <c r="F4959" s="102"/>
      <c r="G4959" s="114"/>
    </row>
    <row r="4960" spans="2:7" ht="15.75" customHeight="1" x14ac:dyDescent="0.25">
      <c r="B4960" s="100"/>
      <c r="C4960" s="100"/>
      <c r="D4960" s="100"/>
      <c r="E4960" s="100"/>
      <c r="F4960" s="102"/>
      <c r="G4960" s="114"/>
    </row>
    <row r="4961" spans="2:7" ht="15.75" customHeight="1" x14ac:dyDescent="0.25">
      <c r="B4961" s="100"/>
      <c r="C4961" s="100"/>
      <c r="D4961" s="100"/>
      <c r="E4961" s="100"/>
      <c r="F4961" s="102"/>
      <c r="G4961" s="114"/>
    </row>
    <row r="4962" spans="2:7" ht="15.75" customHeight="1" x14ac:dyDescent="0.25">
      <c r="B4962" s="100"/>
      <c r="C4962" s="100"/>
      <c r="D4962" s="100"/>
      <c r="E4962" s="100"/>
      <c r="F4962" s="102"/>
      <c r="G4962" s="114"/>
    </row>
    <row r="4963" spans="2:7" ht="15.75" customHeight="1" x14ac:dyDescent="0.25">
      <c r="B4963" s="100"/>
      <c r="C4963" s="100"/>
      <c r="D4963" s="100"/>
      <c r="E4963" s="100"/>
      <c r="F4963" s="102"/>
      <c r="G4963" s="114"/>
    </row>
    <row r="4964" spans="2:7" ht="15.75" customHeight="1" x14ac:dyDescent="0.25">
      <c r="B4964" s="100"/>
      <c r="C4964" s="100"/>
      <c r="D4964" s="100"/>
      <c r="E4964" s="100"/>
      <c r="F4964" s="102"/>
      <c r="G4964" s="114"/>
    </row>
    <row r="4965" spans="2:7" ht="15.75" customHeight="1" x14ac:dyDescent="0.25">
      <c r="B4965" s="100"/>
      <c r="C4965" s="100"/>
      <c r="D4965" s="100"/>
      <c r="E4965" s="100"/>
      <c r="F4965" s="102"/>
      <c r="G4965" s="114"/>
    </row>
    <row r="4966" spans="2:7" ht="15.75" customHeight="1" x14ac:dyDescent="0.25">
      <c r="B4966" s="100"/>
      <c r="C4966" s="100"/>
      <c r="D4966" s="100"/>
      <c r="E4966" s="100"/>
      <c r="F4966" s="102"/>
      <c r="G4966" s="114"/>
    </row>
    <row r="4967" spans="2:7" ht="15.75" customHeight="1" x14ac:dyDescent="0.25">
      <c r="B4967" s="100"/>
      <c r="C4967" s="100"/>
      <c r="D4967" s="100"/>
      <c r="E4967" s="100"/>
      <c r="F4967" s="102"/>
      <c r="G4967" s="114"/>
    </row>
    <row r="4968" spans="2:7" ht="15.75" customHeight="1" x14ac:dyDescent="0.25">
      <c r="B4968" s="100"/>
      <c r="C4968" s="100"/>
      <c r="D4968" s="100"/>
      <c r="E4968" s="100"/>
      <c r="F4968" s="102"/>
      <c r="G4968" s="114"/>
    </row>
    <row r="4969" spans="2:7" ht="15.75" customHeight="1" x14ac:dyDescent="0.25">
      <c r="B4969" s="100"/>
      <c r="C4969" s="100"/>
      <c r="D4969" s="100"/>
      <c r="E4969" s="100"/>
      <c r="F4969" s="102"/>
      <c r="G4969" s="114"/>
    </row>
    <row r="4970" spans="2:7" ht="15.75" customHeight="1" x14ac:dyDescent="0.25">
      <c r="B4970" s="100"/>
      <c r="C4970" s="100"/>
      <c r="D4970" s="100"/>
      <c r="E4970" s="100"/>
      <c r="F4970" s="102"/>
      <c r="G4970" s="114"/>
    </row>
    <row r="4971" spans="2:7" ht="15.75" customHeight="1" x14ac:dyDescent="0.25">
      <c r="B4971" s="100"/>
      <c r="C4971" s="100"/>
      <c r="D4971" s="100"/>
      <c r="E4971" s="100"/>
      <c r="F4971" s="102"/>
      <c r="G4971" s="114"/>
    </row>
    <row r="4972" spans="2:7" ht="15.75" customHeight="1" x14ac:dyDescent="0.25">
      <c r="B4972" s="100"/>
      <c r="C4972" s="100"/>
      <c r="D4972" s="100"/>
      <c r="E4972" s="100"/>
      <c r="F4972" s="102"/>
      <c r="G4972" s="114"/>
    </row>
    <row r="4973" spans="2:7" ht="15.75" customHeight="1" x14ac:dyDescent="0.25">
      <c r="B4973" s="100"/>
      <c r="C4973" s="100"/>
      <c r="D4973" s="100"/>
      <c r="E4973" s="100"/>
      <c r="F4973" s="102"/>
      <c r="G4973" s="114"/>
    </row>
    <row r="4974" spans="2:7" ht="15.75" customHeight="1" x14ac:dyDescent="0.25">
      <c r="B4974" s="100"/>
      <c r="C4974" s="100"/>
      <c r="D4974" s="100"/>
      <c r="E4974" s="100"/>
      <c r="F4974" s="102"/>
      <c r="G4974" s="114"/>
    </row>
    <row r="4975" spans="2:7" ht="15.75" customHeight="1" x14ac:dyDescent="0.25">
      <c r="B4975" s="100"/>
      <c r="C4975" s="100"/>
      <c r="D4975" s="100"/>
      <c r="E4975" s="100"/>
      <c r="F4975" s="102"/>
      <c r="G4975" s="114"/>
    </row>
    <row r="4976" spans="2:7" ht="15.75" customHeight="1" x14ac:dyDescent="0.25">
      <c r="B4976" s="100"/>
      <c r="C4976" s="100"/>
      <c r="D4976" s="100"/>
      <c r="E4976" s="100"/>
      <c r="F4976" s="102"/>
      <c r="G4976" s="114"/>
    </row>
    <row r="4977" spans="2:7" ht="15.75" customHeight="1" x14ac:dyDescent="0.25">
      <c r="B4977" s="100"/>
      <c r="C4977" s="100"/>
      <c r="D4977" s="100"/>
      <c r="E4977" s="100"/>
      <c r="F4977" s="102"/>
      <c r="G4977" s="114"/>
    </row>
    <row r="4978" spans="2:7" ht="15.75" customHeight="1" x14ac:dyDescent="0.25">
      <c r="B4978" s="100"/>
      <c r="C4978" s="100"/>
      <c r="D4978" s="100"/>
      <c r="E4978" s="100"/>
      <c r="F4978" s="102"/>
      <c r="G4978" s="114"/>
    </row>
    <row r="4979" spans="2:7" ht="15.75" customHeight="1" x14ac:dyDescent="0.25">
      <c r="B4979" s="100"/>
      <c r="C4979" s="100"/>
      <c r="D4979" s="100"/>
      <c r="E4979" s="100"/>
      <c r="F4979" s="102"/>
      <c r="G4979" s="114"/>
    </row>
    <row r="4980" spans="2:7" ht="15.75" customHeight="1" x14ac:dyDescent="0.25">
      <c r="B4980" s="100"/>
      <c r="C4980" s="100"/>
      <c r="D4980" s="100"/>
      <c r="E4980" s="100"/>
      <c r="F4980" s="102"/>
      <c r="G4980" s="114"/>
    </row>
    <row r="4981" spans="2:7" ht="15.75" customHeight="1" x14ac:dyDescent="0.25">
      <c r="B4981" s="100"/>
      <c r="C4981" s="100"/>
      <c r="D4981" s="100"/>
      <c r="E4981" s="100"/>
      <c r="F4981" s="102"/>
      <c r="G4981" s="114"/>
    </row>
    <row r="4982" spans="2:7" ht="15.75" customHeight="1" x14ac:dyDescent="0.25">
      <c r="B4982" s="100"/>
      <c r="C4982" s="100"/>
      <c r="D4982" s="100"/>
      <c r="E4982" s="100"/>
      <c r="F4982" s="102"/>
      <c r="G4982" s="114"/>
    </row>
    <row r="4983" spans="2:7" ht="15.75" customHeight="1" x14ac:dyDescent="0.25">
      <c r="B4983" s="100"/>
      <c r="C4983" s="100"/>
      <c r="D4983" s="100"/>
      <c r="E4983" s="100"/>
      <c r="F4983" s="102"/>
      <c r="G4983" s="114"/>
    </row>
    <row r="4984" spans="2:7" ht="15.75" customHeight="1" x14ac:dyDescent="0.25">
      <c r="B4984" s="100"/>
      <c r="C4984" s="100"/>
      <c r="D4984" s="100"/>
      <c r="E4984" s="100"/>
      <c r="F4984" s="102"/>
      <c r="G4984" s="114"/>
    </row>
    <row r="4985" spans="2:7" ht="15.75" customHeight="1" x14ac:dyDescent="0.25">
      <c r="B4985" s="100"/>
      <c r="C4985" s="100"/>
      <c r="D4985" s="100"/>
      <c r="E4985" s="100"/>
      <c r="F4985" s="102"/>
      <c r="G4985" s="114"/>
    </row>
    <row r="4986" spans="2:7" ht="15.75" customHeight="1" x14ac:dyDescent="0.25">
      <c r="B4986" s="100"/>
      <c r="C4986" s="100"/>
      <c r="D4986" s="100"/>
      <c r="E4986" s="100"/>
      <c r="F4986" s="102"/>
      <c r="G4986" s="114"/>
    </row>
    <row r="4987" spans="2:7" ht="15.75" customHeight="1" x14ac:dyDescent="0.25">
      <c r="B4987" s="100"/>
      <c r="C4987" s="100"/>
      <c r="D4987" s="100"/>
      <c r="E4987" s="100"/>
      <c r="F4987" s="102"/>
      <c r="G4987" s="114"/>
    </row>
    <row r="4988" spans="2:7" ht="15.75" customHeight="1" x14ac:dyDescent="0.25">
      <c r="B4988" s="100"/>
      <c r="C4988" s="100"/>
      <c r="D4988" s="100"/>
      <c r="E4988" s="100"/>
      <c r="F4988" s="102"/>
      <c r="G4988" s="114"/>
    </row>
    <row r="4989" spans="2:7" ht="15.75" customHeight="1" x14ac:dyDescent="0.25">
      <c r="B4989" s="100"/>
      <c r="C4989" s="100"/>
      <c r="D4989" s="100"/>
      <c r="E4989" s="100"/>
      <c r="F4989" s="102"/>
      <c r="G4989" s="114"/>
    </row>
    <row r="4990" spans="2:7" ht="15.75" customHeight="1" x14ac:dyDescent="0.25">
      <c r="B4990" s="100"/>
      <c r="C4990" s="100"/>
      <c r="D4990" s="100"/>
      <c r="E4990" s="100"/>
      <c r="F4990" s="102"/>
      <c r="G4990" s="114"/>
    </row>
    <row r="4991" spans="2:7" ht="15.75" customHeight="1" x14ac:dyDescent="0.25">
      <c r="B4991" s="100"/>
      <c r="C4991" s="100"/>
      <c r="D4991" s="100"/>
      <c r="E4991" s="100"/>
      <c r="F4991" s="102"/>
      <c r="G4991" s="114"/>
    </row>
    <row r="4992" spans="2:7" ht="15.75" customHeight="1" x14ac:dyDescent="0.25">
      <c r="B4992" s="100"/>
      <c r="C4992" s="100"/>
      <c r="D4992" s="100"/>
      <c r="E4992" s="100"/>
      <c r="F4992" s="102"/>
      <c r="G4992" s="114"/>
    </row>
    <row r="4993" spans="2:7" ht="15.75" customHeight="1" x14ac:dyDescent="0.25">
      <c r="B4993" s="100"/>
      <c r="C4993" s="100"/>
      <c r="D4993" s="100"/>
      <c r="E4993" s="100"/>
      <c r="F4993" s="102"/>
      <c r="G4993" s="114"/>
    </row>
    <row r="4994" spans="2:7" ht="15.75" customHeight="1" x14ac:dyDescent="0.25">
      <c r="B4994" s="100"/>
      <c r="C4994" s="100"/>
      <c r="D4994" s="100"/>
      <c r="E4994" s="100"/>
      <c r="F4994" s="102"/>
      <c r="G4994" s="114"/>
    </row>
    <row r="4995" spans="2:7" ht="15.75" customHeight="1" x14ac:dyDescent="0.25">
      <c r="B4995" s="100"/>
      <c r="C4995" s="100"/>
      <c r="D4995" s="100"/>
      <c r="E4995" s="100"/>
      <c r="F4995" s="102"/>
      <c r="G4995" s="114"/>
    </row>
    <row r="4996" spans="2:7" ht="15.75" customHeight="1" x14ac:dyDescent="0.25">
      <c r="B4996" s="100"/>
      <c r="C4996" s="100"/>
      <c r="D4996" s="100"/>
      <c r="E4996" s="100"/>
      <c r="F4996" s="102"/>
      <c r="G4996" s="114"/>
    </row>
    <row r="4997" spans="2:7" ht="15.75" customHeight="1" x14ac:dyDescent="0.25">
      <c r="B4997" s="100"/>
      <c r="C4997" s="100"/>
      <c r="D4997" s="100"/>
      <c r="E4997" s="100"/>
      <c r="F4997" s="102"/>
      <c r="G4997" s="114"/>
    </row>
    <row r="4998" spans="2:7" ht="15.75" customHeight="1" x14ac:dyDescent="0.25">
      <c r="B4998" s="100"/>
      <c r="C4998" s="100"/>
      <c r="D4998" s="100"/>
      <c r="E4998" s="100"/>
      <c r="F4998" s="102"/>
      <c r="G4998" s="114"/>
    </row>
    <row r="4999" spans="2:7" ht="15.75" customHeight="1" x14ac:dyDescent="0.25">
      <c r="B4999" s="100"/>
      <c r="C4999" s="100"/>
      <c r="D4999" s="100"/>
      <c r="E4999" s="100"/>
      <c r="F4999" s="102"/>
      <c r="G4999" s="114"/>
    </row>
    <row r="5000" spans="2:7" ht="15.75" customHeight="1" x14ac:dyDescent="0.25">
      <c r="B5000" s="100"/>
      <c r="C5000" s="100"/>
      <c r="D5000" s="100"/>
      <c r="E5000" s="100"/>
      <c r="F5000" s="102"/>
      <c r="G5000" s="114"/>
    </row>
    <row r="5001" spans="2:7" ht="15.75" customHeight="1" x14ac:dyDescent="0.25">
      <c r="B5001" s="100"/>
      <c r="C5001" s="100"/>
      <c r="D5001" s="100"/>
      <c r="E5001" s="100"/>
      <c r="F5001" s="102"/>
      <c r="G5001" s="114"/>
    </row>
    <row r="5002" spans="2:7" ht="15.75" customHeight="1" x14ac:dyDescent="0.25">
      <c r="B5002" s="100"/>
      <c r="C5002" s="100"/>
      <c r="D5002" s="100"/>
      <c r="E5002" s="100"/>
      <c r="F5002" s="102"/>
      <c r="G5002" s="114"/>
    </row>
    <row r="5003" spans="2:7" ht="15.75" customHeight="1" x14ac:dyDescent="0.25">
      <c r="B5003" s="100"/>
      <c r="C5003" s="100"/>
      <c r="D5003" s="100"/>
      <c r="E5003" s="100"/>
      <c r="F5003" s="102"/>
      <c r="G5003" s="114"/>
    </row>
    <row r="5004" spans="2:7" ht="15.75" customHeight="1" x14ac:dyDescent="0.25">
      <c r="B5004" s="100"/>
      <c r="C5004" s="100"/>
      <c r="D5004" s="100"/>
      <c r="E5004" s="100"/>
      <c r="F5004" s="102"/>
      <c r="G5004" s="114"/>
    </row>
    <row r="5005" spans="2:7" ht="15.75" customHeight="1" x14ac:dyDescent="0.25">
      <c r="B5005" s="100"/>
      <c r="C5005" s="100"/>
      <c r="D5005" s="100"/>
      <c r="E5005" s="100"/>
      <c r="F5005" s="102"/>
      <c r="G5005" s="114"/>
    </row>
    <row r="5006" spans="2:7" ht="15.75" customHeight="1" x14ac:dyDescent="0.25">
      <c r="B5006" s="100"/>
      <c r="C5006" s="100"/>
      <c r="D5006" s="100"/>
      <c r="E5006" s="100"/>
      <c r="F5006" s="102"/>
      <c r="G5006" s="114"/>
    </row>
    <row r="5007" spans="2:7" ht="15.75" customHeight="1" x14ac:dyDescent="0.25">
      <c r="B5007" s="100"/>
      <c r="C5007" s="100"/>
      <c r="D5007" s="100"/>
      <c r="E5007" s="100"/>
      <c r="F5007" s="102"/>
      <c r="G5007" s="114"/>
    </row>
    <row r="5008" spans="2:7" ht="15.75" customHeight="1" x14ac:dyDescent="0.25">
      <c r="B5008" s="100"/>
      <c r="C5008" s="100"/>
      <c r="D5008" s="100"/>
      <c r="E5008" s="100"/>
      <c r="F5008" s="102"/>
      <c r="G5008" s="114"/>
    </row>
    <row r="5009" spans="2:7" ht="15.75" customHeight="1" x14ac:dyDescent="0.25">
      <c r="B5009" s="100"/>
      <c r="C5009" s="100"/>
      <c r="D5009" s="100"/>
      <c r="E5009" s="100"/>
      <c r="F5009" s="102"/>
      <c r="G5009" s="114"/>
    </row>
    <row r="5010" spans="2:7" ht="15.75" customHeight="1" x14ac:dyDescent="0.25">
      <c r="B5010" s="100"/>
      <c r="C5010" s="100"/>
      <c r="D5010" s="100"/>
      <c r="E5010" s="100"/>
      <c r="F5010" s="102"/>
      <c r="G5010" s="114"/>
    </row>
    <row r="5011" spans="2:7" ht="15.75" customHeight="1" x14ac:dyDescent="0.25">
      <c r="B5011" s="100"/>
      <c r="C5011" s="100"/>
      <c r="D5011" s="100"/>
      <c r="E5011" s="100"/>
      <c r="F5011" s="102"/>
      <c r="G5011" s="114"/>
    </row>
    <row r="5012" spans="2:7" ht="15.75" customHeight="1" x14ac:dyDescent="0.25">
      <c r="B5012" s="100"/>
      <c r="C5012" s="100"/>
      <c r="D5012" s="100"/>
      <c r="E5012" s="100"/>
      <c r="F5012" s="102"/>
      <c r="G5012" s="114"/>
    </row>
    <row r="5013" spans="2:7" ht="15.75" customHeight="1" x14ac:dyDescent="0.25">
      <c r="B5013" s="100"/>
      <c r="C5013" s="100"/>
      <c r="D5013" s="100"/>
      <c r="E5013" s="100"/>
      <c r="F5013" s="102"/>
      <c r="G5013" s="114"/>
    </row>
    <row r="5014" spans="2:7" ht="15.75" customHeight="1" x14ac:dyDescent="0.25">
      <c r="B5014" s="100"/>
      <c r="C5014" s="100"/>
      <c r="D5014" s="100"/>
      <c r="E5014" s="100"/>
      <c r="F5014" s="102"/>
      <c r="G5014" s="114"/>
    </row>
    <row r="5015" spans="2:7" ht="15.75" customHeight="1" x14ac:dyDescent="0.25">
      <c r="B5015" s="100"/>
      <c r="C5015" s="100"/>
      <c r="D5015" s="100"/>
      <c r="E5015" s="100"/>
      <c r="F5015" s="102"/>
      <c r="G5015" s="114"/>
    </row>
    <row r="5016" spans="2:7" ht="15.75" customHeight="1" x14ac:dyDescent="0.25">
      <c r="B5016" s="100"/>
      <c r="C5016" s="100"/>
      <c r="D5016" s="100"/>
      <c r="E5016" s="100"/>
      <c r="F5016" s="102"/>
      <c r="G5016" s="114"/>
    </row>
    <row r="5017" spans="2:7" ht="15.75" customHeight="1" x14ac:dyDescent="0.25">
      <c r="B5017" s="100"/>
      <c r="C5017" s="100"/>
      <c r="D5017" s="100"/>
      <c r="E5017" s="100"/>
      <c r="F5017" s="102"/>
      <c r="G5017" s="114"/>
    </row>
    <row r="5018" spans="2:7" ht="15.75" customHeight="1" x14ac:dyDescent="0.25">
      <c r="B5018" s="100"/>
      <c r="C5018" s="100"/>
      <c r="D5018" s="100"/>
      <c r="E5018" s="100"/>
      <c r="F5018" s="102"/>
      <c r="G5018" s="114"/>
    </row>
    <row r="5019" spans="2:7" ht="15.75" customHeight="1" x14ac:dyDescent="0.25">
      <c r="B5019" s="100"/>
      <c r="C5019" s="100"/>
      <c r="D5019" s="100"/>
      <c r="E5019" s="100"/>
      <c r="F5019" s="102"/>
      <c r="G5019" s="114"/>
    </row>
    <row r="5020" spans="2:7" ht="15.75" customHeight="1" x14ac:dyDescent="0.25">
      <c r="B5020" s="100"/>
      <c r="C5020" s="100"/>
      <c r="D5020" s="100"/>
      <c r="E5020" s="100"/>
      <c r="F5020" s="102"/>
      <c r="G5020" s="114"/>
    </row>
    <row r="5021" spans="2:7" ht="15.75" customHeight="1" x14ac:dyDescent="0.25">
      <c r="B5021" s="100"/>
      <c r="C5021" s="100"/>
      <c r="D5021" s="100"/>
      <c r="E5021" s="100"/>
      <c r="F5021" s="102"/>
      <c r="G5021" s="114"/>
    </row>
    <row r="5022" spans="2:7" ht="15.75" customHeight="1" x14ac:dyDescent="0.25">
      <c r="B5022" s="100"/>
      <c r="C5022" s="100"/>
      <c r="D5022" s="100"/>
      <c r="E5022" s="100"/>
      <c r="F5022" s="102"/>
      <c r="G5022" s="114"/>
    </row>
    <row r="5023" spans="2:7" ht="15.75" customHeight="1" x14ac:dyDescent="0.25">
      <c r="B5023" s="100"/>
      <c r="C5023" s="100"/>
      <c r="D5023" s="100"/>
      <c r="E5023" s="100"/>
      <c r="F5023" s="102"/>
      <c r="G5023" s="114"/>
    </row>
    <row r="5024" spans="2:7" ht="15.75" customHeight="1" x14ac:dyDescent="0.25">
      <c r="B5024" s="100"/>
      <c r="C5024" s="100"/>
      <c r="D5024" s="100"/>
      <c r="E5024" s="100"/>
      <c r="F5024" s="102"/>
      <c r="G5024" s="114"/>
    </row>
    <row r="5025" spans="2:7" ht="15.75" customHeight="1" x14ac:dyDescent="0.25">
      <c r="B5025" s="100"/>
      <c r="C5025" s="100"/>
      <c r="D5025" s="100"/>
      <c r="E5025" s="100"/>
      <c r="F5025" s="102"/>
      <c r="G5025" s="114"/>
    </row>
    <row r="5026" spans="2:7" ht="15.75" customHeight="1" x14ac:dyDescent="0.25">
      <c r="B5026" s="100"/>
      <c r="C5026" s="100"/>
      <c r="D5026" s="100"/>
      <c r="E5026" s="100"/>
      <c r="F5026" s="102"/>
      <c r="G5026" s="114"/>
    </row>
    <row r="5027" spans="2:7" ht="15.75" customHeight="1" x14ac:dyDescent="0.25">
      <c r="B5027" s="100"/>
      <c r="C5027" s="100"/>
      <c r="D5027" s="100"/>
      <c r="E5027" s="100"/>
      <c r="F5027" s="102"/>
      <c r="G5027" s="114"/>
    </row>
    <row r="5028" spans="2:7" ht="15.75" customHeight="1" x14ac:dyDescent="0.25">
      <c r="B5028" s="100"/>
      <c r="C5028" s="100"/>
      <c r="D5028" s="100"/>
      <c r="E5028" s="100"/>
      <c r="F5028" s="102"/>
      <c r="G5028" s="114"/>
    </row>
    <row r="5029" spans="2:7" ht="15.75" customHeight="1" x14ac:dyDescent="0.25">
      <c r="B5029" s="100"/>
      <c r="C5029" s="100"/>
      <c r="D5029" s="100"/>
      <c r="E5029" s="100"/>
      <c r="F5029" s="102"/>
      <c r="G5029" s="114"/>
    </row>
    <row r="5030" spans="2:7" ht="15.75" customHeight="1" x14ac:dyDescent="0.25">
      <c r="B5030" s="100"/>
      <c r="C5030" s="100"/>
      <c r="D5030" s="100"/>
      <c r="E5030" s="100"/>
      <c r="F5030" s="102"/>
      <c r="G5030" s="114"/>
    </row>
    <row r="5031" spans="2:7" ht="15.75" customHeight="1" x14ac:dyDescent="0.25">
      <c r="B5031" s="100"/>
      <c r="C5031" s="100"/>
      <c r="D5031" s="100"/>
      <c r="E5031" s="100"/>
      <c r="F5031" s="102"/>
      <c r="G5031" s="114"/>
    </row>
    <row r="5032" spans="2:7" ht="15.75" customHeight="1" x14ac:dyDescent="0.25">
      <c r="B5032" s="100"/>
      <c r="C5032" s="100"/>
      <c r="D5032" s="100"/>
      <c r="E5032" s="100"/>
      <c r="F5032" s="102"/>
      <c r="G5032" s="114"/>
    </row>
    <row r="5033" spans="2:7" ht="15.75" customHeight="1" x14ac:dyDescent="0.25">
      <c r="B5033" s="100"/>
      <c r="C5033" s="100"/>
      <c r="D5033" s="100"/>
      <c r="E5033" s="100"/>
      <c r="F5033" s="102"/>
      <c r="G5033" s="114"/>
    </row>
    <row r="5034" spans="2:7" ht="15.75" customHeight="1" x14ac:dyDescent="0.25">
      <c r="B5034" s="100"/>
      <c r="C5034" s="100"/>
      <c r="D5034" s="100"/>
      <c r="E5034" s="100"/>
      <c r="F5034" s="102"/>
      <c r="G5034" s="114"/>
    </row>
    <row r="5035" spans="2:7" ht="15.75" customHeight="1" x14ac:dyDescent="0.25">
      <c r="B5035" s="100"/>
      <c r="C5035" s="100"/>
      <c r="D5035" s="100"/>
      <c r="E5035" s="100"/>
      <c r="F5035" s="102"/>
      <c r="G5035" s="114"/>
    </row>
    <row r="5036" spans="2:7" ht="15.75" customHeight="1" x14ac:dyDescent="0.25">
      <c r="B5036" s="100"/>
      <c r="C5036" s="100"/>
      <c r="D5036" s="100"/>
      <c r="E5036" s="100"/>
      <c r="F5036" s="102"/>
      <c r="G5036" s="114"/>
    </row>
    <row r="5037" spans="2:7" ht="15.75" customHeight="1" x14ac:dyDescent="0.25">
      <c r="B5037" s="100"/>
      <c r="C5037" s="100"/>
      <c r="D5037" s="100"/>
      <c r="E5037" s="100"/>
      <c r="F5037" s="102"/>
      <c r="G5037" s="114"/>
    </row>
    <row r="5038" spans="2:7" ht="15.75" customHeight="1" x14ac:dyDescent="0.25">
      <c r="B5038" s="100"/>
      <c r="C5038" s="100"/>
      <c r="D5038" s="100"/>
      <c r="E5038" s="100"/>
      <c r="F5038" s="102"/>
      <c r="G5038" s="114"/>
    </row>
    <row r="5039" spans="2:7" ht="15.75" customHeight="1" x14ac:dyDescent="0.25">
      <c r="B5039" s="100"/>
      <c r="C5039" s="100"/>
      <c r="D5039" s="100"/>
      <c r="E5039" s="100"/>
      <c r="F5039" s="102"/>
      <c r="G5039" s="114"/>
    </row>
    <row r="5040" spans="2:7" ht="15.75" customHeight="1" x14ac:dyDescent="0.25">
      <c r="B5040" s="100"/>
      <c r="C5040" s="100"/>
      <c r="D5040" s="100"/>
      <c r="E5040" s="100"/>
      <c r="F5040" s="102"/>
      <c r="G5040" s="114"/>
    </row>
    <row r="5041" spans="2:7" ht="15.75" customHeight="1" x14ac:dyDescent="0.25">
      <c r="B5041" s="100"/>
      <c r="C5041" s="100"/>
      <c r="D5041" s="100"/>
      <c r="E5041" s="100"/>
      <c r="F5041" s="102"/>
      <c r="G5041" s="114"/>
    </row>
    <row r="5042" spans="2:7" ht="15.75" customHeight="1" x14ac:dyDescent="0.25">
      <c r="B5042" s="100"/>
      <c r="C5042" s="100"/>
      <c r="D5042" s="100"/>
      <c r="E5042" s="100"/>
      <c r="F5042" s="102"/>
      <c r="G5042" s="114"/>
    </row>
    <row r="5043" spans="2:7" ht="15.75" customHeight="1" x14ac:dyDescent="0.25">
      <c r="B5043" s="100"/>
      <c r="C5043" s="100"/>
      <c r="D5043" s="100"/>
      <c r="E5043" s="100"/>
      <c r="F5043" s="102"/>
      <c r="G5043" s="114"/>
    </row>
    <row r="5044" spans="2:7" ht="15.75" customHeight="1" x14ac:dyDescent="0.25">
      <c r="B5044" s="100"/>
      <c r="C5044" s="100"/>
      <c r="D5044" s="100"/>
      <c r="E5044" s="100"/>
      <c r="F5044" s="102"/>
      <c r="G5044" s="114"/>
    </row>
    <row r="5045" spans="2:7" ht="15.75" customHeight="1" x14ac:dyDescent="0.25">
      <c r="B5045" s="100"/>
      <c r="C5045" s="100"/>
      <c r="D5045" s="100"/>
      <c r="E5045" s="100"/>
      <c r="F5045" s="102"/>
      <c r="G5045" s="114"/>
    </row>
    <row r="5046" spans="2:7" ht="15.75" customHeight="1" x14ac:dyDescent="0.25">
      <c r="B5046" s="100"/>
      <c r="C5046" s="100"/>
      <c r="D5046" s="100"/>
      <c r="E5046" s="100"/>
      <c r="F5046" s="102"/>
      <c r="G5046" s="114"/>
    </row>
    <row r="5047" spans="2:7" ht="15.75" customHeight="1" x14ac:dyDescent="0.25">
      <c r="B5047" s="100"/>
      <c r="C5047" s="100"/>
      <c r="D5047" s="100"/>
      <c r="E5047" s="100"/>
      <c r="F5047" s="102"/>
      <c r="G5047" s="114"/>
    </row>
    <row r="5048" spans="2:7" ht="15.75" customHeight="1" x14ac:dyDescent="0.25">
      <c r="B5048" s="100"/>
      <c r="C5048" s="100"/>
      <c r="D5048" s="100"/>
      <c r="E5048" s="100"/>
      <c r="F5048" s="102"/>
      <c r="G5048" s="114"/>
    </row>
    <row r="5049" spans="2:7" ht="15.75" customHeight="1" x14ac:dyDescent="0.25">
      <c r="B5049" s="100"/>
      <c r="C5049" s="100"/>
      <c r="D5049" s="100"/>
      <c r="E5049" s="100"/>
      <c r="F5049" s="102"/>
      <c r="G5049" s="114"/>
    </row>
    <row r="5050" spans="2:7" ht="15.75" customHeight="1" x14ac:dyDescent="0.25">
      <c r="B5050" s="100"/>
      <c r="C5050" s="100"/>
      <c r="D5050" s="100"/>
      <c r="E5050" s="100"/>
      <c r="F5050" s="102"/>
      <c r="G5050" s="114"/>
    </row>
    <row r="5051" spans="2:7" ht="15.75" customHeight="1" x14ac:dyDescent="0.25">
      <c r="B5051" s="100"/>
      <c r="C5051" s="100"/>
      <c r="D5051" s="100"/>
      <c r="E5051" s="100"/>
      <c r="F5051" s="102"/>
      <c r="G5051" s="114"/>
    </row>
    <row r="5052" spans="2:7" ht="15.75" customHeight="1" x14ac:dyDescent="0.25">
      <c r="B5052" s="100"/>
      <c r="C5052" s="100"/>
      <c r="D5052" s="100"/>
      <c r="E5052" s="100"/>
      <c r="F5052" s="102"/>
      <c r="G5052" s="114"/>
    </row>
    <row r="5053" spans="2:7" ht="15.75" customHeight="1" x14ac:dyDescent="0.25">
      <c r="B5053" s="100"/>
      <c r="C5053" s="100"/>
      <c r="D5053" s="100"/>
      <c r="E5053" s="100"/>
      <c r="F5053" s="102"/>
      <c r="G5053" s="114"/>
    </row>
    <row r="5054" spans="2:7" ht="15.75" customHeight="1" x14ac:dyDescent="0.25">
      <c r="B5054" s="100"/>
      <c r="C5054" s="100"/>
      <c r="D5054" s="100"/>
      <c r="E5054" s="100"/>
      <c r="F5054" s="102"/>
      <c r="G5054" s="114"/>
    </row>
    <row r="5055" spans="2:7" ht="15.75" customHeight="1" x14ac:dyDescent="0.25">
      <c r="B5055" s="100"/>
      <c r="C5055" s="100"/>
      <c r="D5055" s="100"/>
      <c r="E5055" s="100"/>
      <c r="F5055" s="102"/>
      <c r="G5055" s="114"/>
    </row>
    <row r="5056" spans="2:7" ht="15.75" customHeight="1" x14ac:dyDescent="0.25">
      <c r="B5056" s="100"/>
      <c r="C5056" s="100"/>
      <c r="D5056" s="100"/>
      <c r="E5056" s="100"/>
      <c r="F5056" s="102"/>
      <c r="G5056" s="114"/>
    </row>
    <row r="5057" spans="2:7" ht="15.75" customHeight="1" x14ac:dyDescent="0.25">
      <c r="B5057" s="100"/>
      <c r="C5057" s="100"/>
      <c r="D5057" s="100"/>
      <c r="E5057" s="100"/>
      <c r="F5057" s="102"/>
      <c r="G5057" s="114"/>
    </row>
    <row r="5058" spans="2:7" ht="15.75" customHeight="1" x14ac:dyDescent="0.25">
      <c r="B5058" s="100"/>
      <c r="C5058" s="100"/>
      <c r="D5058" s="100"/>
      <c r="E5058" s="100"/>
      <c r="F5058" s="102"/>
      <c r="G5058" s="114"/>
    </row>
    <row r="5059" spans="2:7" ht="15.75" customHeight="1" x14ac:dyDescent="0.25">
      <c r="B5059" s="100"/>
      <c r="C5059" s="100"/>
      <c r="D5059" s="100"/>
      <c r="E5059" s="100"/>
      <c r="F5059" s="102"/>
      <c r="G5059" s="114"/>
    </row>
    <row r="5060" spans="2:7" ht="15.75" customHeight="1" x14ac:dyDescent="0.25">
      <c r="B5060" s="100"/>
      <c r="C5060" s="100"/>
      <c r="D5060" s="100"/>
      <c r="E5060" s="100"/>
      <c r="F5060" s="102"/>
      <c r="G5060" s="114"/>
    </row>
    <row r="5061" spans="2:7" ht="15.75" customHeight="1" x14ac:dyDescent="0.25">
      <c r="B5061" s="100"/>
      <c r="C5061" s="100"/>
      <c r="D5061" s="100"/>
      <c r="E5061" s="100"/>
      <c r="F5061" s="102"/>
      <c r="G5061" s="114"/>
    </row>
    <row r="5062" spans="2:7" ht="15.75" customHeight="1" x14ac:dyDescent="0.25">
      <c r="B5062" s="100"/>
      <c r="C5062" s="100"/>
      <c r="D5062" s="100"/>
      <c r="E5062" s="100"/>
      <c r="F5062" s="102"/>
      <c r="G5062" s="114"/>
    </row>
    <row r="5063" spans="2:7" ht="15.75" customHeight="1" x14ac:dyDescent="0.25">
      <c r="B5063" s="100"/>
      <c r="C5063" s="100"/>
      <c r="D5063" s="100"/>
      <c r="E5063" s="100"/>
      <c r="F5063" s="102"/>
      <c r="G5063" s="114"/>
    </row>
    <row r="5064" spans="2:7" ht="15.75" customHeight="1" x14ac:dyDescent="0.25">
      <c r="B5064" s="100"/>
      <c r="C5064" s="100"/>
      <c r="D5064" s="100"/>
      <c r="E5064" s="100"/>
      <c r="F5064" s="102"/>
      <c r="G5064" s="114"/>
    </row>
    <row r="5065" spans="2:7" ht="15.75" customHeight="1" x14ac:dyDescent="0.25">
      <c r="B5065" s="100"/>
      <c r="C5065" s="100"/>
      <c r="D5065" s="100"/>
      <c r="E5065" s="100"/>
      <c r="F5065" s="102"/>
      <c r="G5065" s="114"/>
    </row>
    <row r="5066" spans="2:7" ht="15.75" customHeight="1" x14ac:dyDescent="0.25">
      <c r="B5066" s="100"/>
      <c r="C5066" s="100"/>
      <c r="D5066" s="100"/>
      <c r="E5066" s="100"/>
      <c r="F5066" s="102"/>
      <c r="G5066" s="114"/>
    </row>
    <row r="5067" spans="2:7" ht="15.75" customHeight="1" x14ac:dyDescent="0.25">
      <c r="B5067" s="100"/>
      <c r="C5067" s="100"/>
      <c r="D5067" s="100"/>
      <c r="E5067" s="100"/>
      <c r="F5067" s="102"/>
      <c r="G5067" s="114"/>
    </row>
    <row r="5068" spans="2:7" ht="15.75" customHeight="1" x14ac:dyDescent="0.25">
      <c r="B5068" s="100"/>
      <c r="C5068" s="100"/>
      <c r="D5068" s="100"/>
      <c r="E5068" s="100"/>
      <c r="F5068" s="102"/>
      <c r="G5068" s="114"/>
    </row>
    <row r="5069" spans="2:7" ht="15.75" customHeight="1" x14ac:dyDescent="0.25">
      <c r="B5069" s="100"/>
      <c r="C5069" s="100"/>
      <c r="D5069" s="100"/>
      <c r="E5069" s="100"/>
      <c r="F5069" s="102"/>
      <c r="G5069" s="114"/>
    </row>
    <row r="5070" spans="2:7" ht="15.75" customHeight="1" x14ac:dyDescent="0.25">
      <c r="B5070" s="100"/>
      <c r="C5070" s="100"/>
      <c r="D5070" s="100"/>
      <c r="E5070" s="100"/>
      <c r="F5070" s="102"/>
      <c r="G5070" s="114"/>
    </row>
    <row r="5071" spans="2:7" ht="15.75" customHeight="1" x14ac:dyDescent="0.25">
      <c r="B5071" s="100"/>
      <c r="C5071" s="100"/>
      <c r="D5071" s="100"/>
      <c r="E5071" s="100"/>
      <c r="F5071" s="102"/>
      <c r="G5071" s="114"/>
    </row>
    <row r="5072" spans="2:7" ht="15.75" customHeight="1" x14ac:dyDescent="0.25">
      <c r="B5072" s="100"/>
      <c r="C5072" s="100"/>
      <c r="D5072" s="100"/>
      <c r="E5072" s="100"/>
      <c r="F5072" s="102"/>
      <c r="G5072" s="114"/>
    </row>
    <row r="5073" spans="2:7" ht="15.75" customHeight="1" x14ac:dyDescent="0.25">
      <c r="B5073" s="100"/>
      <c r="C5073" s="100"/>
      <c r="D5073" s="100"/>
      <c r="E5073" s="100"/>
      <c r="F5073" s="102"/>
      <c r="G5073" s="114"/>
    </row>
    <row r="5074" spans="2:7" ht="15.75" customHeight="1" x14ac:dyDescent="0.25">
      <c r="B5074" s="100"/>
      <c r="C5074" s="100"/>
      <c r="D5074" s="100"/>
      <c r="E5074" s="100"/>
      <c r="F5074" s="102"/>
      <c r="G5074" s="114"/>
    </row>
    <row r="5075" spans="2:7" ht="15.75" customHeight="1" x14ac:dyDescent="0.25">
      <c r="B5075" s="100"/>
      <c r="C5075" s="100"/>
      <c r="D5075" s="100"/>
      <c r="E5075" s="100"/>
      <c r="F5075" s="102"/>
      <c r="G5075" s="114"/>
    </row>
    <row r="5076" spans="2:7" ht="15.75" customHeight="1" x14ac:dyDescent="0.25">
      <c r="B5076" s="100"/>
      <c r="C5076" s="100"/>
      <c r="D5076" s="100"/>
      <c r="E5076" s="100"/>
      <c r="F5076" s="102"/>
      <c r="G5076" s="114"/>
    </row>
    <row r="5077" spans="2:7" ht="15.75" customHeight="1" x14ac:dyDescent="0.25">
      <c r="B5077" s="100"/>
      <c r="C5077" s="100"/>
      <c r="D5077" s="100"/>
      <c r="E5077" s="100"/>
      <c r="F5077" s="102"/>
      <c r="G5077" s="114"/>
    </row>
    <row r="5078" spans="2:7" ht="15.75" customHeight="1" x14ac:dyDescent="0.25">
      <c r="B5078" s="100"/>
      <c r="C5078" s="100"/>
      <c r="D5078" s="100"/>
      <c r="E5078" s="100"/>
      <c r="F5078" s="102"/>
      <c r="G5078" s="114"/>
    </row>
    <row r="5079" spans="2:7" ht="15.75" customHeight="1" x14ac:dyDescent="0.25">
      <c r="B5079" s="100"/>
      <c r="C5079" s="100"/>
      <c r="D5079" s="100"/>
      <c r="E5079" s="100"/>
      <c r="F5079" s="102"/>
      <c r="G5079" s="114"/>
    </row>
    <row r="5080" spans="2:7" ht="15.75" customHeight="1" x14ac:dyDescent="0.25">
      <c r="B5080" s="100"/>
      <c r="C5080" s="100"/>
      <c r="D5080" s="100"/>
      <c r="E5080" s="100"/>
      <c r="F5080" s="102"/>
      <c r="G5080" s="114"/>
    </row>
    <row r="5081" spans="2:7" ht="15.75" customHeight="1" x14ac:dyDescent="0.25">
      <c r="B5081" s="100"/>
      <c r="C5081" s="100"/>
      <c r="D5081" s="100"/>
      <c r="E5081" s="100"/>
      <c r="F5081" s="102"/>
      <c r="G5081" s="114"/>
    </row>
    <row r="5082" spans="2:7" ht="15.75" customHeight="1" x14ac:dyDescent="0.25">
      <c r="B5082" s="100"/>
      <c r="C5082" s="100"/>
      <c r="D5082" s="100"/>
      <c r="E5082" s="100"/>
      <c r="F5082" s="102"/>
      <c r="G5082" s="114"/>
    </row>
    <row r="5083" spans="2:7" ht="15.75" customHeight="1" x14ac:dyDescent="0.25">
      <c r="B5083" s="100"/>
      <c r="C5083" s="100"/>
      <c r="D5083" s="100"/>
      <c r="E5083" s="100"/>
      <c r="F5083" s="102"/>
      <c r="G5083" s="114"/>
    </row>
    <row r="5084" spans="2:7" ht="15.75" customHeight="1" x14ac:dyDescent="0.25">
      <c r="B5084" s="100"/>
      <c r="C5084" s="100"/>
      <c r="D5084" s="100"/>
      <c r="E5084" s="100"/>
      <c r="F5084" s="102"/>
      <c r="G5084" s="114"/>
    </row>
    <row r="5085" spans="2:7" ht="15.75" customHeight="1" x14ac:dyDescent="0.25">
      <c r="B5085" s="100"/>
      <c r="C5085" s="100"/>
      <c r="D5085" s="100"/>
      <c r="E5085" s="100"/>
      <c r="F5085" s="102"/>
      <c r="G5085" s="114"/>
    </row>
    <row r="5086" spans="2:7" ht="15.75" customHeight="1" x14ac:dyDescent="0.25">
      <c r="B5086" s="100"/>
      <c r="C5086" s="100"/>
      <c r="D5086" s="100"/>
      <c r="E5086" s="100"/>
      <c r="F5086" s="102"/>
      <c r="G5086" s="114"/>
    </row>
    <row r="5087" spans="2:7" ht="15.75" customHeight="1" x14ac:dyDescent="0.25">
      <c r="B5087" s="100"/>
      <c r="C5087" s="100"/>
      <c r="D5087" s="100"/>
      <c r="E5087" s="100"/>
      <c r="F5087" s="102"/>
      <c r="G5087" s="114"/>
    </row>
    <row r="5088" spans="2:7" ht="15.75" customHeight="1" x14ac:dyDescent="0.25">
      <c r="B5088" s="100"/>
      <c r="C5088" s="100"/>
      <c r="D5088" s="100"/>
      <c r="E5088" s="100"/>
      <c r="F5088" s="102"/>
      <c r="G5088" s="114"/>
    </row>
    <row r="5089" spans="2:7" ht="15.75" customHeight="1" x14ac:dyDescent="0.25">
      <c r="B5089" s="100"/>
      <c r="C5089" s="100"/>
      <c r="D5089" s="100"/>
      <c r="E5089" s="100"/>
      <c r="F5089" s="102"/>
      <c r="G5089" s="114"/>
    </row>
    <row r="5090" spans="2:7" ht="15.75" customHeight="1" x14ac:dyDescent="0.25">
      <c r="B5090" s="100"/>
      <c r="C5090" s="100"/>
      <c r="D5090" s="100"/>
      <c r="E5090" s="100"/>
      <c r="F5090" s="102"/>
      <c r="G5090" s="114"/>
    </row>
    <row r="5091" spans="2:7" ht="15.75" customHeight="1" x14ac:dyDescent="0.25">
      <c r="B5091" s="100"/>
      <c r="C5091" s="100"/>
      <c r="D5091" s="100"/>
      <c r="E5091" s="100"/>
      <c r="F5091" s="102"/>
      <c r="G5091" s="114"/>
    </row>
    <row r="5092" spans="2:7" ht="15.75" customHeight="1" x14ac:dyDescent="0.25">
      <c r="B5092" s="100"/>
      <c r="C5092" s="100"/>
      <c r="D5092" s="100"/>
      <c r="E5092" s="100"/>
      <c r="F5092" s="102"/>
      <c r="G5092" s="114"/>
    </row>
    <row r="5093" spans="2:7" ht="15.75" customHeight="1" x14ac:dyDescent="0.25">
      <c r="B5093" s="100"/>
      <c r="C5093" s="100"/>
      <c r="D5093" s="100"/>
      <c r="E5093" s="100"/>
      <c r="F5093" s="102"/>
      <c r="G5093" s="114"/>
    </row>
    <row r="5094" spans="2:7" ht="15.75" customHeight="1" x14ac:dyDescent="0.25">
      <c r="B5094" s="100"/>
      <c r="C5094" s="100"/>
      <c r="D5094" s="100"/>
      <c r="E5094" s="100"/>
      <c r="F5094" s="102"/>
      <c r="G5094" s="114"/>
    </row>
    <row r="5095" spans="2:7" ht="15.75" customHeight="1" x14ac:dyDescent="0.25">
      <c r="B5095" s="100"/>
      <c r="C5095" s="100"/>
      <c r="D5095" s="100"/>
      <c r="E5095" s="100"/>
      <c r="F5095" s="102"/>
      <c r="G5095" s="114"/>
    </row>
    <row r="5096" spans="2:7" ht="15.75" customHeight="1" x14ac:dyDescent="0.25">
      <c r="B5096" s="100"/>
      <c r="C5096" s="100"/>
      <c r="D5096" s="100"/>
      <c r="E5096" s="100"/>
      <c r="F5096" s="102"/>
      <c r="G5096" s="114"/>
    </row>
    <row r="5097" spans="2:7" ht="15.75" customHeight="1" x14ac:dyDescent="0.25">
      <c r="B5097" s="100"/>
      <c r="C5097" s="100"/>
      <c r="D5097" s="100"/>
      <c r="E5097" s="100"/>
      <c r="F5097" s="102"/>
      <c r="G5097" s="114"/>
    </row>
    <row r="5098" spans="2:7" ht="15.75" customHeight="1" x14ac:dyDescent="0.25">
      <c r="B5098" s="100"/>
      <c r="C5098" s="100"/>
      <c r="D5098" s="100"/>
      <c r="E5098" s="100"/>
      <c r="F5098" s="102"/>
      <c r="G5098" s="114"/>
    </row>
    <row r="5099" spans="2:7" ht="15.75" customHeight="1" x14ac:dyDescent="0.25">
      <c r="B5099" s="100"/>
      <c r="C5099" s="100"/>
      <c r="D5099" s="100"/>
      <c r="E5099" s="100"/>
      <c r="F5099" s="102"/>
      <c r="G5099" s="114"/>
    </row>
    <row r="5100" spans="2:7" ht="15.75" customHeight="1" x14ac:dyDescent="0.25">
      <c r="B5100" s="100"/>
      <c r="C5100" s="100"/>
      <c r="D5100" s="100"/>
      <c r="E5100" s="100"/>
      <c r="F5100" s="102"/>
      <c r="G5100" s="114"/>
    </row>
    <row r="5101" spans="2:7" ht="15.75" customHeight="1" x14ac:dyDescent="0.25">
      <c r="B5101" s="100"/>
      <c r="C5101" s="100"/>
      <c r="D5101" s="100"/>
      <c r="E5101" s="100"/>
      <c r="F5101" s="102"/>
      <c r="G5101" s="114"/>
    </row>
    <row r="5102" spans="2:7" ht="15.75" customHeight="1" x14ac:dyDescent="0.25">
      <c r="B5102" s="100"/>
      <c r="C5102" s="100"/>
      <c r="D5102" s="100"/>
      <c r="E5102" s="100"/>
      <c r="F5102" s="102"/>
      <c r="G5102" s="114"/>
    </row>
    <row r="5103" spans="2:7" ht="15.75" customHeight="1" x14ac:dyDescent="0.25">
      <c r="B5103" s="100"/>
      <c r="C5103" s="100"/>
      <c r="D5103" s="100"/>
      <c r="E5103" s="100"/>
      <c r="F5103" s="102"/>
      <c r="G5103" s="114"/>
    </row>
    <row r="5104" spans="2:7" ht="15.75" customHeight="1" x14ac:dyDescent="0.25">
      <c r="B5104" s="100"/>
      <c r="C5104" s="100"/>
      <c r="D5104" s="100"/>
      <c r="E5104" s="100"/>
      <c r="F5104" s="102"/>
      <c r="G5104" s="114"/>
    </row>
    <row r="5105" spans="2:7" ht="15.75" customHeight="1" x14ac:dyDescent="0.25">
      <c r="B5105" s="100"/>
      <c r="C5105" s="100"/>
      <c r="D5105" s="100"/>
      <c r="E5105" s="100"/>
      <c r="F5105" s="102"/>
      <c r="G5105" s="114"/>
    </row>
    <row r="5106" spans="2:7" ht="15.75" customHeight="1" x14ac:dyDescent="0.25">
      <c r="B5106" s="100"/>
      <c r="C5106" s="100"/>
      <c r="D5106" s="100"/>
      <c r="E5106" s="100"/>
      <c r="F5106" s="102"/>
      <c r="G5106" s="114"/>
    </row>
    <row r="5107" spans="2:7" ht="15.75" customHeight="1" x14ac:dyDescent="0.25">
      <c r="B5107" s="100"/>
      <c r="C5107" s="100"/>
      <c r="D5107" s="100"/>
      <c r="E5107" s="100"/>
      <c r="F5107" s="102"/>
      <c r="G5107" s="114"/>
    </row>
    <row r="5108" spans="2:7" ht="15.75" customHeight="1" x14ac:dyDescent="0.25">
      <c r="B5108" s="100"/>
      <c r="C5108" s="100"/>
      <c r="D5108" s="100"/>
      <c r="E5108" s="100"/>
      <c r="F5108" s="102"/>
      <c r="G5108" s="114"/>
    </row>
    <row r="5109" spans="2:7" ht="15.75" customHeight="1" x14ac:dyDescent="0.25">
      <c r="B5109" s="100"/>
      <c r="C5109" s="100"/>
      <c r="D5109" s="100"/>
      <c r="E5109" s="100"/>
      <c r="F5109" s="102"/>
      <c r="G5109" s="114"/>
    </row>
    <row r="5110" spans="2:7" ht="15.75" customHeight="1" x14ac:dyDescent="0.25">
      <c r="B5110" s="100"/>
      <c r="C5110" s="100"/>
      <c r="D5110" s="100"/>
      <c r="E5110" s="100"/>
      <c r="F5110" s="102"/>
      <c r="G5110" s="114"/>
    </row>
    <row r="5111" spans="2:7" ht="15.75" customHeight="1" x14ac:dyDescent="0.25">
      <c r="B5111" s="100"/>
      <c r="C5111" s="100"/>
      <c r="D5111" s="100"/>
      <c r="E5111" s="100"/>
      <c r="F5111" s="102"/>
      <c r="G5111" s="114"/>
    </row>
    <row r="5112" spans="2:7" ht="15.75" customHeight="1" x14ac:dyDescent="0.25">
      <c r="B5112" s="100"/>
      <c r="C5112" s="100"/>
      <c r="D5112" s="100"/>
      <c r="E5112" s="100"/>
      <c r="F5112" s="102"/>
      <c r="G5112" s="114"/>
    </row>
    <row r="5113" spans="2:7" ht="15.75" customHeight="1" x14ac:dyDescent="0.25">
      <c r="B5113" s="100"/>
      <c r="C5113" s="100"/>
      <c r="D5113" s="100"/>
      <c r="E5113" s="100"/>
      <c r="F5113" s="102"/>
      <c r="G5113" s="114"/>
    </row>
    <row r="5114" spans="2:7" ht="15.75" customHeight="1" x14ac:dyDescent="0.25">
      <c r="B5114" s="100"/>
      <c r="C5114" s="100"/>
      <c r="D5114" s="100"/>
      <c r="E5114" s="100"/>
      <c r="F5114" s="102"/>
      <c r="G5114" s="114"/>
    </row>
    <row r="5115" spans="2:7" ht="15.75" customHeight="1" x14ac:dyDescent="0.25">
      <c r="B5115" s="100"/>
      <c r="C5115" s="100"/>
      <c r="D5115" s="100"/>
      <c r="E5115" s="100"/>
      <c r="F5115" s="102"/>
      <c r="G5115" s="114"/>
    </row>
    <row r="5116" spans="2:7" ht="15.75" customHeight="1" x14ac:dyDescent="0.25">
      <c r="B5116" s="100"/>
      <c r="C5116" s="100"/>
      <c r="D5116" s="100"/>
      <c r="E5116" s="100"/>
      <c r="F5116" s="102"/>
      <c r="G5116" s="114"/>
    </row>
    <row r="5117" spans="2:7" ht="15.75" customHeight="1" x14ac:dyDescent="0.25">
      <c r="B5117" s="100"/>
      <c r="C5117" s="100"/>
      <c r="D5117" s="100"/>
      <c r="E5117" s="100"/>
      <c r="F5117" s="102"/>
      <c r="G5117" s="114"/>
    </row>
    <row r="5118" spans="2:7" ht="15.75" customHeight="1" x14ac:dyDescent="0.25">
      <c r="B5118" s="100"/>
      <c r="C5118" s="100"/>
      <c r="D5118" s="100"/>
      <c r="E5118" s="100"/>
      <c r="F5118" s="102"/>
      <c r="G5118" s="114"/>
    </row>
    <row r="5119" spans="2:7" ht="15.75" customHeight="1" x14ac:dyDescent="0.25">
      <c r="B5119" s="100"/>
      <c r="C5119" s="100"/>
      <c r="D5119" s="100"/>
      <c r="E5119" s="100"/>
      <c r="F5119" s="102"/>
      <c r="G5119" s="114"/>
    </row>
    <row r="5120" spans="2:7" ht="15.75" customHeight="1" x14ac:dyDescent="0.25">
      <c r="B5120" s="100"/>
      <c r="C5120" s="100"/>
      <c r="D5120" s="100"/>
      <c r="E5120" s="100"/>
      <c r="F5120" s="102"/>
      <c r="G5120" s="114"/>
    </row>
    <row r="5121" spans="2:7" ht="15.75" customHeight="1" x14ac:dyDescent="0.25">
      <c r="B5121" s="100"/>
      <c r="C5121" s="100"/>
      <c r="D5121" s="100"/>
      <c r="E5121" s="100"/>
      <c r="F5121" s="102"/>
      <c r="G5121" s="114"/>
    </row>
    <row r="5122" spans="2:7" ht="15.75" customHeight="1" x14ac:dyDescent="0.25">
      <c r="B5122" s="100"/>
      <c r="C5122" s="100"/>
      <c r="D5122" s="100"/>
      <c r="E5122" s="100"/>
      <c r="F5122" s="102"/>
      <c r="G5122" s="114"/>
    </row>
    <row r="5123" spans="2:7" ht="15.75" customHeight="1" x14ac:dyDescent="0.25">
      <c r="B5123" s="100"/>
      <c r="C5123" s="100"/>
      <c r="D5123" s="100"/>
      <c r="E5123" s="100"/>
      <c r="F5123" s="102"/>
      <c r="G5123" s="114"/>
    </row>
    <row r="5124" spans="2:7" ht="15.75" customHeight="1" x14ac:dyDescent="0.25">
      <c r="B5124" s="100"/>
      <c r="C5124" s="100"/>
      <c r="D5124" s="100"/>
      <c r="E5124" s="100"/>
      <c r="F5124" s="102"/>
      <c r="G5124" s="114"/>
    </row>
    <row r="5125" spans="2:7" ht="15.75" customHeight="1" x14ac:dyDescent="0.25">
      <c r="B5125" s="100"/>
      <c r="C5125" s="100"/>
      <c r="D5125" s="100"/>
      <c r="E5125" s="100"/>
      <c r="F5125" s="102"/>
      <c r="G5125" s="114"/>
    </row>
    <row r="5126" spans="2:7" ht="15.75" customHeight="1" x14ac:dyDescent="0.25">
      <c r="B5126" s="100"/>
      <c r="C5126" s="100"/>
      <c r="D5126" s="100"/>
      <c r="E5126" s="100"/>
      <c r="F5126" s="102"/>
      <c r="G5126" s="114"/>
    </row>
    <row r="5127" spans="2:7" ht="15.75" customHeight="1" x14ac:dyDescent="0.25">
      <c r="B5127" s="100"/>
      <c r="C5127" s="100"/>
      <c r="D5127" s="100"/>
      <c r="E5127" s="100"/>
      <c r="F5127" s="102"/>
      <c r="G5127" s="114"/>
    </row>
    <row r="5128" spans="2:7" ht="15.75" customHeight="1" x14ac:dyDescent="0.25">
      <c r="B5128" s="100"/>
      <c r="C5128" s="100"/>
      <c r="D5128" s="100"/>
      <c r="E5128" s="100"/>
      <c r="F5128" s="102"/>
      <c r="G5128" s="114"/>
    </row>
    <row r="5129" spans="2:7" ht="15.75" customHeight="1" x14ac:dyDescent="0.25">
      <c r="B5129" s="100"/>
      <c r="C5129" s="100"/>
      <c r="D5129" s="100"/>
      <c r="E5129" s="100"/>
      <c r="F5129" s="102"/>
      <c r="G5129" s="114"/>
    </row>
    <row r="5130" spans="2:7" ht="15.75" customHeight="1" x14ac:dyDescent="0.25">
      <c r="B5130" s="100"/>
      <c r="C5130" s="100"/>
      <c r="D5130" s="100"/>
      <c r="E5130" s="100"/>
      <c r="F5130" s="102"/>
      <c r="G5130" s="114"/>
    </row>
    <row r="5131" spans="2:7" ht="15.75" customHeight="1" x14ac:dyDescent="0.25">
      <c r="B5131" s="100"/>
      <c r="C5131" s="100"/>
      <c r="D5131" s="100"/>
      <c r="E5131" s="100"/>
      <c r="F5131" s="102"/>
      <c r="G5131" s="114"/>
    </row>
    <row r="5132" spans="2:7" ht="15.75" customHeight="1" x14ac:dyDescent="0.25">
      <c r="B5132" s="100"/>
      <c r="C5132" s="100"/>
      <c r="D5132" s="100"/>
      <c r="E5132" s="100"/>
      <c r="F5132" s="102"/>
      <c r="G5132" s="114"/>
    </row>
    <row r="5133" spans="2:7" ht="15.75" customHeight="1" x14ac:dyDescent="0.25">
      <c r="B5133" s="100"/>
      <c r="C5133" s="100"/>
      <c r="D5133" s="100"/>
      <c r="E5133" s="100"/>
      <c r="F5133" s="102"/>
      <c r="G5133" s="114"/>
    </row>
    <row r="5134" spans="2:7" ht="15.75" customHeight="1" x14ac:dyDescent="0.25">
      <c r="B5134" s="100"/>
      <c r="C5134" s="100"/>
      <c r="D5134" s="100"/>
      <c r="E5134" s="100"/>
      <c r="F5134" s="102"/>
      <c r="G5134" s="114"/>
    </row>
    <row r="5135" spans="2:7" ht="15.75" customHeight="1" x14ac:dyDescent="0.25">
      <c r="B5135" s="100"/>
      <c r="C5135" s="100"/>
      <c r="D5135" s="100"/>
      <c r="E5135" s="100"/>
      <c r="F5135" s="102"/>
      <c r="G5135" s="114"/>
    </row>
    <row r="5136" spans="2:7" ht="15.75" customHeight="1" x14ac:dyDescent="0.25">
      <c r="B5136" s="100"/>
      <c r="C5136" s="100"/>
      <c r="D5136" s="100"/>
      <c r="E5136" s="100"/>
      <c r="F5136" s="102"/>
      <c r="G5136" s="114"/>
    </row>
    <row r="5137" spans="2:7" ht="15.75" customHeight="1" x14ac:dyDescent="0.25">
      <c r="B5137" s="100"/>
      <c r="C5137" s="100"/>
      <c r="D5137" s="100"/>
      <c r="E5137" s="100"/>
      <c r="F5137" s="102"/>
      <c r="G5137" s="114"/>
    </row>
    <row r="5138" spans="2:7" ht="15.75" customHeight="1" x14ac:dyDescent="0.25">
      <c r="B5138" s="100"/>
      <c r="C5138" s="100"/>
      <c r="D5138" s="100"/>
      <c r="E5138" s="100"/>
      <c r="F5138" s="102"/>
      <c r="G5138" s="114"/>
    </row>
    <row r="5139" spans="2:7" ht="15.75" customHeight="1" x14ac:dyDescent="0.25">
      <c r="B5139" s="100"/>
      <c r="C5139" s="100"/>
      <c r="D5139" s="100"/>
      <c r="E5139" s="100"/>
      <c r="F5139" s="102"/>
      <c r="G5139" s="114"/>
    </row>
    <row r="5140" spans="2:7" ht="15.75" customHeight="1" x14ac:dyDescent="0.25">
      <c r="B5140" s="100"/>
      <c r="C5140" s="100"/>
      <c r="D5140" s="100"/>
      <c r="E5140" s="100"/>
      <c r="F5140" s="102"/>
      <c r="G5140" s="114"/>
    </row>
    <row r="5141" spans="2:7" ht="15.75" customHeight="1" x14ac:dyDescent="0.25">
      <c r="B5141" s="100"/>
      <c r="C5141" s="100"/>
      <c r="D5141" s="100"/>
      <c r="E5141" s="100"/>
      <c r="F5141" s="102"/>
      <c r="G5141" s="114"/>
    </row>
    <row r="5142" spans="2:7" ht="15.75" customHeight="1" x14ac:dyDescent="0.25">
      <c r="B5142" s="100"/>
      <c r="C5142" s="100"/>
      <c r="D5142" s="100"/>
      <c r="E5142" s="100"/>
      <c r="F5142" s="102"/>
      <c r="G5142" s="114"/>
    </row>
    <row r="5143" spans="2:7" ht="15.75" customHeight="1" x14ac:dyDescent="0.25">
      <c r="B5143" s="100"/>
      <c r="C5143" s="100"/>
      <c r="D5143" s="100"/>
      <c r="E5143" s="100"/>
      <c r="F5143" s="102"/>
      <c r="G5143" s="114"/>
    </row>
    <row r="5144" spans="2:7" ht="15.75" customHeight="1" x14ac:dyDescent="0.25">
      <c r="B5144" s="100"/>
      <c r="C5144" s="100"/>
      <c r="D5144" s="100"/>
      <c r="E5144" s="100"/>
      <c r="F5144" s="102"/>
      <c r="G5144" s="114"/>
    </row>
    <row r="5145" spans="2:7" ht="15.75" customHeight="1" x14ac:dyDescent="0.25">
      <c r="B5145" s="100"/>
      <c r="C5145" s="100"/>
      <c r="D5145" s="100"/>
      <c r="E5145" s="100"/>
      <c r="F5145" s="102"/>
      <c r="G5145" s="114"/>
    </row>
    <row r="5146" spans="2:7" ht="15.75" customHeight="1" x14ac:dyDescent="0.25">
      <c r="B5146" s="100"/>
      <c r="C5146" s="100"/>
      <c r="D5146" s="100"/>
      <c r="E5146" s="100"/>
      <c r="F5146" s="102"/>
      <c r="G5146" s="114"/>
    </row>
    <row r="5147" spans="2:7" ht="15.75" customHeight="1" x14ac:dyDescent="0.25">
      <c r="B5147" s="100"/>
      <c r="C5147" s="100"/>
      <c r="D5147" s="100"/>
      <c r="E5147" s="100"/>
      <c r="F5147" s="102"/>
      <c r="G5147" s="114"/>
    </row>
    <row r="5148" spans="2:7" ht="15.75" customHeight="1" x14ac:dyDescent="0.25">
      <c r="B5148" s="100"/>
      <c r="C5148" s="100"/>
      <c r="D5148" s="100"/>
      <c r="E5148" s="100"/>
      <c r="F5148" s="102"/>
      <c r="G5148" s="114"/>
    </row>
    <row r="5149" spans="2:7" ht="15.75" customHeight="1" x14ac:dyDescent="0.25">
      <c r="B5149" s="100"/>
      <c r="C5149" s="100"/>
      <c r="D5149" s="100"/>
      <c r="E5149" s="100"/>
      <c r="F5149" s="102"/>
      <c r="G5149" s="114"/>
    </row>
    <row r="5150" spans="2:7" ht="15.75" customHeight="1" x14ac:dyDescent="0.25">
      <c r="B5150" s="100"/>
      <c r="C5150" s="100"/>
      <c r="D5150" s="100"/>
      <c r="E5150" s="100"/>
      <c r="F5150" s="102"/>
      <c r="G5150" s="114"/>
    </row>
    <row r="5151" spans="2:7" ht="15.75" customHeight="1" x14ac:dyDescent="0.25">
      <c r="B5151" s="100"/>
      <c r="C5151" s="100"/>
      <c r="D5151" s="100"/>
      <c r="E5151" s="100"/>
      <c r="F5151" s="102"/>
      <c r="G5151" s="114"/>
    </row>
    <row r="5152" spans="2:7" ht="15.75" customHeight="1" x14ac:dyDescent="0.25">
      <c r="B5152" s="100"/>
      <c r="C5152" s="100"/>
      <c r="D5152" s="100"/>
      <c r="E5152" s="100"/>
      <c r="F5152" s="102"/>
      <c r="G5152" s="114"/>
    </row>
    <row r="5153" spans="2:7" ht="15.75" customHeight="1" x14ac:dyDescent="0.25">
      <c r="B5153" s="100"/>
      <c r="C5153" s="100"/>
      <c r="D5153" s="100"/>
      <c r="E5153" s="100"/>
      <c r="F5153" s="102"/>
      <c r="G5153" s="114"/>
    </row>
    <row r="5154" spans="2:7" ht="15.75" customHeight="1" x14ac:dyDescent="0.25">
      <c r="B5154" s="100"/>
      <c r="C5154" s="100"/>
      <c r="D5154" s="100"/>
      <c r="E5154" s="100"/>
      <c r="F5154" s="102"/>
      <c r="G5154" s="114"/>
    </row>
    <row r="5155" spans="2:7" ht="15.75" customHeight="1" x14ac:dyDescent="0.25">
      <c r="B5155" s="100"/>
      <c r="C5155" s="100"/>
      <c r="D5155" s="100"/>
      <c r="E5155" s="100"/>
      <c r="F5155" s="102"/>
      <c r="G5155" s="114"/>
    </row>
    <row r="5156" spans="2:7" ht="15.75" customHeight="1" x14ac:dyDescent="0.25">
      <c r="B5156" s="100"/>
      <c r="C5156" s="100"/>
      <c r="D5156" s="100"/>
      <c r="E5156" s="100"/>
      <c r="F5156" s="102"/>
      <c r="G5156" s="114"/>
    </row>
    <row r="5157" spans="2:7" ht="15.75" customHeight="1" x14ac:dyDescent="0.25">
      <c r="B5157" s="100"/>
      <c r="C5157" s="100"/>
      <c r="D5157" s="100"/>
      <c r="E5157" s="100"/>
      <c r="F5157" s="102"/>
      <c r="G5157" s="114"/>
    </row>
    <row r="5158" spans="2:7" ht="15.75" customHeight="1" x14ac:dyDescent="0.25">
      <c r="B5158" s="100"/>
      <c r="C5158" s="100"/>
      <c r="D5158" s="100"/>
      <c r="E5158" s="100"/>
      <c r="F5158" s="102"/>
      <c r="G5158" s="114"/>
    </row>
    <row r="5159" spans="2:7" ht="15.75" customHeight="1" x14ac:dyDescent="0.25">
      <c r="B5159" s="100"/>
      <c r="C5159" s="100"/>
      <c r="D5159" s="100"/>
      <c r="E5159" s="100"/>
      <c r="F5159" s="102"/>
      <c r="G5159" s="114"/>
    </row>
    <row r="5160" spans="2:7" ht="15.75" customHeight="1" x14ac:dyDescent="0.25">
      <c r="B5160" s="100"/>
      <c r="C5160" s="100"/>
      <c r="D5160" s="100"/>
      <c r="E5160" s="100"/>
      <c r="F5160" s="102"/>
      <c r="G5160" s="114"/>
    </row>
    <row r="5161" spans="2:7" ht="15.75" customHeight="1" x14ac:dyDescent="0.25">
      <c r="B5161" s="100"/>
      <c r="C5161" s="100"/>
      <c r="D5161" s="100"/>
      <c r="E5161" s="100"/>
      <c r="F5161" s="102"/>
      <c r="G5161" s="114"/>
    </row>
    <row r="5162" spans="2:7" ht="15.75" customHeight="1" x14ac:dyDescent="0.25">
      <c r="B5162" s="100"/>
      <c r="C5162" s="100"/>
      <c r="D5162" s="100"/>
      <c r="E5162" s="100"/>
      <c r="F5162" s="102"/>
      <c r="G5162" s="114"/>
    </row>
    <row r="5163" spans="2:7" ht="15.75" customHeight="1" x14ac:dyDescent="0.25">
      <c r="B5163" s="100"/>
      <c r="C5163" s="100"/>
      <c r="D5163" s="100"/>
      <c r="E5163" s="100"/>
      <c r="F5163" s="102"/>
      <c r="G5163" s="114"/>
    </row>
    <row r="5164" spans="2:7" ht="15.75" customHeight="1" x14ac:dyDescent="0.25">
      <c r="B5164" s="100"/>
      <c r="C5164" s="100"/>
      <c r="D5164" s="100"/>
      <c r="E5164" s="100"/>
      <c r="F5164" s="102"/>
      <c r="G5164" s="114"/>
    </row>
    <row r="5165" spans="2:7" ht="15.75" customHeight="1" x14ac:dyDescent="0.25">
      <c r="B5165" s="100"/>
      <c r="C5165" s="100"/>
      <c r="D5165" s="100"/>
      <c r="E5165" s="100"/>
      <c r="F5165" s="102"/>
      <c r="G5165" s="114"/>
    </row>
    <row r="5166" spans="2:7" ht="15.75" customHeight="1" x14ac:dyDescent="0.25">
      <c r="B5166" s="100"/>
      <c r="C5166" s="100"/>
      <c r="D5166" s="100"/>
      <c r="E5166" s="100"/>
      <c r="F5166" s="102"/>
      <c r="G5166" s="114"/>
    </row>
    <row r="5167" spans="2:7" ht="15.75" customHeight="1" x14ac:dyDescent="0.25">
      <c r="B5167" s="100"/>
      <c r="C5167" s="100"/>
      <c r="D5167" s="100"/>
      <c r="E5167" s="100"/>
      <c r="F5167" s="102"/>
      <c r="G5167" s="114"/>
    </row>
    <row r="5168" spans="2:7" ht="15.75" customHeight="1" x14ac:dyDescent="0.25">
      <c r="B5168" s="100"/>
      <c r="C5168" s="100"/>
      <c r="D5168" s="100"/>
      <c r="E5168" s="100"/>
      <c r="F5168" s="102"/>
      <c r="G5168" s="114"/>
    </row>
    <row r="5169" spans="2:7" ht="15.75" customHeight="1" x14ac:dyDescent="0.25">
      <c r="B5169" s="100"/>
      <c r="C5169" s="100"/>
      <c r="D5169" s="100"/>
      <c r="E5169" s="100"/>
      <c r="F5169" s="102"/>
      <c r="G5169" s="114"/>
    </row>
    <row r="5170" spans="2:7" ht="15.75" customHeight="1" x14ac:dyDescent="0.25">
      <c r="B5170" s="100"/>
      <c r="C5170" s="100"/>
      <c r="D5170" s="100"/>
      <c r="E5170" s="100"/>
      <c r="F5170" s="102"/>
      <c r="G5170" s="114"/>
    </row>
    <row r="5171" spans="2:7" ht="15.75" customHeight="1" x14ac:dyDescent="0.25">
      <c r="B5171" s="100"/>
      <c r="C5171" s="100"/>
      <c r="D5171" s="100"/>
      <c r="E5171" s="100"/>
      <c r="F5171" s="102"/>
      <c r="G5171" s="114"/>
    </row>
    <row r="5172" spans="2:7" ht="15.75" customHeight="1" x14ac:dyDescent="0.25">
      <c r="B5172" s="100"/>
      <c r="C5172" s="100"/>
      <c r="D5172" s="100"/>
      <c r="E5172" s="100"/>
      <c r="F5172" s="102"/>
      <c r="G5172" s="114"/>
    </row>
    <row r="5173" spans="2:7" ht="15.75" customHeight="1" x14ac:dyDescent="0.25">
      <c r="B5173" s="100"/>
      <c r="C5173" s="100"/>
      <c r="D5173" s="100"/>
      <c r="E5173" s="100"/>
      <c r="F5173" s="102"/>
      <c r="G5173" s="114"/>
    </row>
    <row r="5174" spans="2:7" ht="15.75" customHeight="1" x14ac:dyDescent="0.25">
      <c r="B5174" s="100"/>
      <c r="C5174" s="100"/>
      <c r="D5174" s="100"/>
      <c r="E5174" s="100"/>
      <c r="F5174" s="102"/>
      <c r="G5174" s="114"/>
    </row>
    <row r="5175" spans="2:7" ht="15.75" customHeight="1" x14ac:dyDescent="0.25">
      <c r="B5175" s="100"/>
      <c r="C5175" s="100"/>
      <c r="D5175" s="100"/>
      <c r="E5175" s="100"/>
      <c r="F5175" s="102"/>
      <c r="G5175" s="114"/>
    </row>
    <row r="5176" spans="2:7" ht="15.75" customHeight="1" x14ac:dyDescent="0.25">
      <c r="B5176" s="100"/>
      <c r="C5176" s="100"/>
      <c r="D5176" s="100"/>
      <c r="E5176" s="100"/>
      <c r="F5176" s="102"/>
      <c r="G5176" s="114"/>
    </row>
    <row r="5177" spans="2:7" ht="15.75" customHeight="1" x14ac:dyDescent="0.25">
      <c r="B5177" s="100"/>
      <c r="C5177" s="100"/>
      <c r="D5177" s="100"/>
      <c r="E5177" s="100"/>
      <c r="F5177" s="102"/>
      <c r="G5177" s="114"/>
    </row>
    <row r="5178" spans="2:7" ht="15.75" customHeight="1" x14ac:dyDescent="0.25">
      <c r="B5178" s="100"/>
      <c r="C5178" s="100"/>
      <c r="D5178" s="100"/>
      <c r="E5178" s="100"/>
      <c r="F5178" s="102"/>
      <c r="G5178" s="114"/>
    </row>
    <row r="5179" spans="2:7" ht="15.75" customHeight="1" x14ac:dyDescent="0.25">
      <c r="B5179" s="100"/>
      <c r="C5179" s="100"/>
      <c r="D5179" s="100"/>
      <c r="E5179" s="100"/>
      <c r="F5179" s="102"/>
      <c r="G5179" s="114"/>
    </row>
    <row r="5180" spans="2:7" ht="15.75" customHeight="1" x14ac:dyDescent="0.25">
      <c r="B5180" s="100"/>
      <c r="C5180" s="100"/>
      <c r="D5180" s="100"/>
      <c r="E5180" s="100"/>
      <c r="F5180" s="102"/>
      <c r="G5180" s="114"/>
    </row>
    <row r="5181" spans="2:7" ht="15.75" customHeight="1" x14ac:dyDescent="0.25">
      <c r="B5181" s="100"/>
      <c r="C5181" s="100"/>
      <c r="D5181" s="100"/>
      <c r="E5181" s="100"/>
      <c r="F5181" s="102"/>
      <c r="G5181" s="114"/>
    </row>
    <row r="5182" spans="2:7" ht="15.75" customHeight="1" x14ac:dyDescent="0.25">
      <c r="B5182" s="100"/>
      <c r="C5182" s="100"/>
      <c r="D5182" s="100"/>
      <c r="E5182" s="100"/>
      <c r="F5182" s="102"/>
      <c r="G5182" s="114"/>
    </row>
    <row r="5183" spans="2:7" ht="15.75" customHeight="1" x14ac:dyDescent="0.25">
      <c r="B5183" s="100"/>
      <c r="C5183" s="100"/>
      <c r="D5183" s="100"/>
      <c r="E5183" s="100"/>
      <c r="F5183" s="102"/>
      <c r="G5183" s="114"/>
    </row>
    <row r="5184" spans="2:7" ht="15.75" customHeight="1" x14ac:dyDescent="0.25">
      <c r="B5184" s="100"/>
      <c r="C5184" s="100"/>
      <c r="D5184" s="100"/>
      <c r="E5184" s="100"/>
      <c r="F5184" s="102"/>
      <c r="G5184" s="114"/>
    </row>
    <row r="5185" spans="2:7" ht="15.75" customHeight="1" x14ac:dyDescent="0.25">
      <c r="B5185" s="100"/>
      <c r="C5185" s="100"/>
      <c r="D5185" s="100"/>
      <c r="E5185" s="100"/>
      <c r="F5185" s="102"/>
      <c r="G5185" s="114"/>
    </row>
    <row r="5186" spans="2:7" ht="15.75" customHeight="1" x14ac:dyDescent="0.25">
      <c r="B5186" s="100"/>
      <c r="C5186" s="100"/>
      <c r="D5186" s="100"/>
      <c r="E5186" s="100"/>
      <c r="F5186" s="102"/>
      <c r="G5186" s="114"/>
    </row>
    <row r="5187" spans="2:7" ht="15.75" customHeight="1" x14ac:dyDescent="0.25">
      <c r="B5187" s="100"/>
      <c r="C5187" s="100"/>
      <c r="D5187" s="100"/>
      <c r="E5187" s="100"/>
      <c r="F5187" s="102"/>
      <c r="G5187" s="114"/>
    </row>
    <row r="5188" spans="2:7" ht="15.75" customHeight="1" x14ac:dyDescent="0.25">
      <c r="B5188" s="100"/>
      <c r="C5188" s="100"/>
      <c r="D5188" s="100"/>
      <c r="E5188" s="100"/>
      <c r="F5188" s="102"/>
      <c r="G5188" s="114"/>
    </row>
    <row r="5189" spans="2:7" ht="15.75" customHeight="1" x14ac:dyDescent="0.25">
      <c r="B5189" s="100"/>
      <c r="C5189" s="100"/>
      <c r="D5189" s="100"/>
      <c r="E5189" s="100"/>
      <c r="F5189" s="102"/>
      <c r="G5189" s="114"/>
    </row>
    <row r="5190" spans="2:7" ht="15.75" customHeight="1" x14ac:dyDescent="0.25">
      <c r="B5190" s="100"/>
      <c r="C5190" s="100"/>
      <c r="D5190" s="100"/>
      <c r="E5190" s="100"/>
      <c r="F5190" s="102"/>
      <c r="G5190" s="114"/>
    </row>
    <row r="5191" spans="2:7" ht="15.75" customHeight="1" x14ac:dyDescent="0.25">
      <c r="B5191" s="100"/>
      <c r="C5191" s="100"/>
      <c r="D5191" s="100"/>
      <c r="E5191" s="100"/>
      <c r="F5191" s="102"/>
      <c r="G5191" s="114"/>
    </row>
    <row r="5192" spans="2:7" ht="15.75" customHeight="1" x14ac:dyDescent="0.25">
      <c r="B5192" s="100"/>
      <c r="C5192" s="100"/>
      <c r="D5192" s="100"/>
      <c r="E5192" s="100"/>
      <c r="F5192" s="102"/>
      <c r="G5192" s="114"/>
    </row>
    <row r="5193" spans="2:7" ht="15.75" customHeight="1" x14ac:dyDescent="0.25">
      <c r="B5193" s="100"/>
      <c r="C5193" s="100"/>
      <c r="D5193" s="100"/>
      <c r="E5193" s="100"/>
      <c r="F5193" s="102"/>
      <c r="G5193" s="114"/>
    </row>
    <row r="5194" spans="2:7" ht="15.75" customHeight="1" x14ac:dyDescent="0.25">
      <c r="B5194" s="100"/>
      <c r="C5194" s="100"/>
      <c r="D5194" s="100"/>
      <c r="E5194" s="100"/>
      <c r="F5194" s="102"/>
      <c r="G5194" s="114"/>
    </row>
    <row r="5195" spans="2:7" ht="15.75" customHeight="1" x14ac:dyDescent="0.25">
      <c r="B5195" s="100"/>
      <c r="C5195" s="100"/>
      <c r="D5195" s="100"/>
      <c r="E5195" s="100"/>
      <c r="F5195" s="102"/>
      <c r="G5195" s="114"/>
    </row>
    <row r="5196" spans="2:7" ht="15.75" customHeight="1" x14ac:dyDescent="0.25">
      <c r="B5196" s="100"/>
      <c r="C5196" s="100"/>
      <c r="D5196" s="100"/>
      <c r="E5196" s="100"/>
      <c r="F5196" s="102"/>
      <c r="G5196" s="114"/>
    </row>
    <row r="5197" spans="2:7" ht="15.75" customHeight="1" x14ac:dyDescent="0.25">
      <c r="B5197" s="100"/>
      <c r="C5197" s="100"/>
      <c r="D5197" s="100"/>
      <c r="E5197" s="100"/>
      <c r="F5197" s="102"/>
      <c r="G5197" s="114"/>
    </row>
    <row r="5198" spans="2:7" ht="15.75" customHeight="1" x14ac:dyDescent="0.25">
      <c r="B5198" s="100"/>
      <c r="C5198" s="100"/>
      <c r="D5198" s="100"/>
      <c r="E5198" s="100"/>
      <c r="F5198" s="102"/>
      <c r="G5198" s="114"/>
    </row>
    <row r="5199" spans="2:7" ht="15.75" customHeight="1" x14ac:dyDescent="0.25">
      <c r="B5199" s="100"/>
      <c r="C5199" s="100"/>
      <c r="D5199" s="100"/>
      <c r="E5199" s="100"/>
      <c r="F5199" s="102"/>
      <c r="G5199" s="114"/>
    </row>
    <row r="5200" spans="2:7" ht="15.75" customHeight="1" x14ac:dyDescent="0.25">
      <c r="B5200" s="100"/>
      <c r="C5200" s="100"/>
      <c r="D5200" s="100"/>
      <c r="E5200" s="100"/>
      <c r="F5200" s="102"/>
      <c r="G5200" s="114"/>
    </row>
    <row r="5201" spans="2:7" ht="15.75" customHeight="1" x14ac:dyDescent="0.25">
      <c r="B5201" s="100"/>
      <c r="C5201" s="100"/>
      <c r="D5201" s="100"/>
      <c r="E5201" s="100"/>
      <c r="F5201" s="102"/>
      <c r="G5201" s="114"/>
    </row>
    <row r="5202" spans="2:7" ht="15.75" customHeight="1" x14ac:dyDescent="0.25">
      <c r="B5202" s="100"/>
      <c r="C5202" s="100"/>
      <c r="D5202" s="100"/>
      <c r="E5202" s="100"/>
      <c r="F5202" s="102"/>
      <c r="G5202" s="114"/>
    </row>
    <row r="5203" spans="2:7" ht="15.75" customHeight="1" x14ac:dyDescent="0.25">
      <c r="B5203" s="100"/>
      <c r="C5203" s="100"/>
      <c r="D5203" s="100"/>
      <c r="E5203" s="100"/>
      <c r="F5203" s="102"/>
      <c r="G5203" s="114"/>
    </row>
    <row r="5204" spans="2:7" ht="15.75" customHeight="1" x14ac:dyDescent="0.25">
      <c r="B5204" s="100"/>
      <c r="C5204" s="100"/>
      <c r="D5204" s="100"/>
      <c r="E5204" s="100"/>
      <c r="F5204" s="102"/>
      <c r="G5204" s="114"/>
    </row>
    <row r="5205" spans="2:7" ht="15.75" customHeight="1" x14ac:dyDescent="0.25">
      <c r="B5205" s="100"/>
      <c r="C5205" s="100"/>
      <c r="D5205" s="100"/>
      <c r="E5205" s="100"/>
      <c r="F5205" s="102"/>
      <c r="G5205" s="114"/>
    </row>
    <row r="5206" spans="2:7" ht="15.75" customHeight="1" x14ac:dyDescent="0.25">
      <c r="B5206" s="100"/>
      <c r="C5206" s="100"/>
      <c r="D5206" s="100"/>
      <c r="E5206" s="100"/>
      <c r="F5206" s="102"/>
      <c r="G5206" s="114"/>
    </row>
    <row r="5207" spans="2:7" ht="15.75" customHeight="1" x14ac:dyDescent="0.25">
      <c r="B5207" s="100"/>
      <c r="C5207" s="100"/>
      <c r="D5207" s="100"/>
      <c r="E5207" s="100"/>
      <c r="F5207" s="102"/>
      <c r="G5207" s="114"/>
    </row>
    <row r="5208" spans="2:7" ht="15.75" customHeight="1" x14ac:dyDescent="0.25">
      <c r="B5208" s="100"/>
      <c r="C5208" s="100"/>
      <c r="D5208" s="100"/>
      <c r="E5208" s="100"/>
      <c r="F5208" s="102"/>
      <c r="G5208" s="114"/>
    </row>
    <row r="5209" spans="2:7" ht="15.75" customHeight="1" x14ac:dyDescent="0.25">
      <c r="B5209" s="100"/>
      <c r="C5209" s="100"/>
      <c r="D5209" s="100"/>
      <c r="E5209" s="100"/>
      <c r="F5209" s="102"/>
      <c r="G5209" s="114"/>
    </row>
    <row r="5210" spans="2:7" ht="15.75" customHeight="1" x14ac:dyDescent="0.25">
      <c r="B5210" s="100"/>
      <c r="C5210" s="100"/>
      <c r="D5210" s="100"/>
      <c r="E5210" s="100"/>
      <c r="F5210" s="102"/>
      <c r="G5210" s="114"/>
    </row>
    <row r="5211" spans="2:7" ht="15.75" customHeight="1" x14ac:dyDescent="0.25">
      <c r="B5211" s="100"/>
      <c r="C5211" s="100"/>
      <c r="D5211" s="100"/>
      <c r="E5211" s="100"/>
      <c r="F5211" s="102"/>
      <c r="G5211" s="114"/>
    </row>
    <row r="5212" spans="2:7" ht="15.75" customHeight="1" x14ac:dyDescent="0.25">
      <c r="B5212" s="100"/>
      <c r="C5212" s="100"/>
      <c r="D5212" s="100"/>
      <c r="E5212" s="100"/>
      <c r="F5212" s="102"/>
      <c r="G5212" s="114"/>
    </row>
    <row r="5213" spans="2:7" ht="15.75" customHeight="1" x14ac:dyDescent="0.25">
      <c r="B5213" s="100"/>
      <c r="C5213" s="100"/>
      <c r="D5213" s="100"/>
      <c r="E5213" s="100"/>
      <c r="F5213" s="102"/>
      <c r="G5213" s="114"/>
    </row>
    <row r="5214" spans="2:7" ht="15.75" customHeight="1" x14ac:dyDescent="0.25">
      <c r="B5214" s="100"/>
      <c r="C5214" s="100"/>
      <c r="D5214" s="100"/>
      <c r="E5214" s="100"/>
      <c r="F5214" s="102"/>
      <c r="G5214" s="114"/>
    </row>
    <row r="5215" spans="2:7" ht="15.75" customHeight="1" x14ac:dyDescent="0.25">
      <c r="B5215" s="100"/>
      <c r="C5215" s="100"/>
      <c r="D5215" s="100"/>
      <c r="E5215" s="100"/>
      <c r="F5215" s="102"/>
      <c r="G5215" s="114"/>
    </row>
    <row r="5216" spans="2:7" ht="15.75" customHeight="1" x14ac:dyDescent="0.25">
      <c r="B5216" s="100"/>
      <c r="C5216" s="100"/>
      <c r="D5216" s="100"/>
      <c r="E5216" s="100"/>
      <c r="F5216" s="102"/>
      <c r="G5216" s="114"/>
    </row>
    <row r="5217" spans="2:7" ht="15.75" customHeight="1" x14ac:dyDescent="0.25">
      <c r="B5217" s="100"/>
      <c r="C5217" s="100"/>
      <c r="D5217" s="100"/>
      <c r="E5217" s="100"/>
      <c r="F5217" s="102"/>
      <c r="G5217" s="114"/>
    </row>
    <row r="5218" spans="2:7" ht="15.75" customHeight="1" x14ac:dyDescent="0.25">
      <c r="B5218" s="100"/>
      <c r="C5218" s="100"/>
      <c r="D5218" s="100"/>
      <c r="E5218" s="100"/>
      <c r="F5218" s="102"/>
      <c r="G5218" s="114"/>
    </row>
    <row r="5219" spans="2:7" ht="15.75" customHeight="1" x14ac:dyDescent="0.25">
      <c r="B5219" s="100"/>
      <c r="C5219" s="100"/>
      <c r="D5219" s="100"/>
      <c r="E5219" s="100"/>
      <c r="F5219" s="102"/>
      <c r="G5219" s="114"/>
    </row>
    <row r="5220" spans="2:7" ht="15.75" customHeight="1" x14ac:dyDescent="0.25">
      <c r="B5220" s="100"/>
      <c r="C5220" s="100"/>
      <c r="D5220" s="100"/>
      <c r="E5220" s="100"/>
      <c r="F5220" s="102"/>
      <c r="G5220" s="114"/>
    </row>
    <row r="5221" spans="2:7" ht="15.75" customHeight="1" x14ac:dyDescent="0.25">
      <c r="B5221" s="100"/>
      <c r="C5221" s="100"/>
      <c r="D5221" s="100"/>
      <c r="E5221" s="100"/>
      <c r="F5221" s="102"/>
      <c r="G5221" s="114"/>
    </row>
    <row r="5222" spans="2:7" ht="15.75" customHeight="1" x14ac:dyDescent="0.25">
      <c r="B5222" s="100"/>
      <c r="C5222" s="100"/>
      <c r="D5222" s="100"/>
      <c r="E5222" s="100"/>
      <c r="F5222" s="102"/>
      <c r="G5222" s="114"/>
    </row>
    <row r="5223" spans="2:7" ht="15.75" customHeight="1" x14ac:dyDescent="0.25">
      <c r="B5223" s="100"/>
      <c r="C5223" s="100"/>
      <c r="D5223" s="100"/>
      <c r="E5223" s="100"/>
      <c r="F5223" s="102"/>
      <c r="G5223" s="114"/>
    </row>
    <row r="5224" spans="2:7" ht="15.75" customHeight="1" x14ac:dyDescent="0.25">
      <c r="B5224" s="100"/>
      <c r="C5224" s="100"/>
      <c r="D5224" s="100"/>
      <c r="E5224" s="100"/>
      <c r="F5224" s="102"/>
      <c r="G5224" s="114"/>
    </row>
    <row r="5225" spans="2:7" ht="15.75" customHeight="1" x14ac:dyDescent="0.25">
      <c r="B5225" s="100"/>
      <c r="C5225" s="100"/>
      <c r="D5225" s="100"/>
      <c r="E5225" s="100"/>
      <c r="F5225" s="102"/>
      <c r="G5225" s="114"/>
    </row>
    <row r="5226" spans="2:7" ht="15.75" customHeight="1" x14ac:dyDescent="0.25">
      <c r="B5226" s="100"/>
      <c r="C5226" s="100"/>
      <c r="D5226" s="100"/>
      <c r="E5226" s="100"/>
      <c r="F5226" s="102"/>
      <c r="G5226" s="114"/>
    </row>
    <row r="5227" spans="2:7" ht="15.75" customHeight="1" x14ac:dyDescent="0.25">
      <c r="B5227" s="100"/>
      <c r="C5227" s="100"/>
      <c r="D5227" s="100"/>
      <c r="E5227" s="100"/>
      <c r="F5227" s="102"/>
      <c r="G5227" s="114"/>
    </row>
    <row r="5228" spans="2:7" ht="15.75" customHeight="1" x14ac:dyDescent="0.25">
      <c r="B5228" s="100"/>
      <c r="C5228" s="100"/>
      <c r="D5228" s="100"/>
      <c r="E5228" s="100"/>
      <c r="F5228" s="102"/>
      <c r="G5228" s="114"/>
    </row>
    <row r="5229" spans="2:7" ht="15.75" customHeight="1" x14ac:dyDescent="0.25">
      <c r="B5229" s="100"/>
      <c r="C5229" s="100"/>
      <c r="D5229" s="100"/>
      <c r="E5229" s="100"/>
      <c r="F5229" s="102"/>
      <c r="G5229" s="114"/>
    </row>
    <row r="5230" spans="2:7" ht="15.75" customHeight="1" x14ac:dyDescent="0.25">
      <c r="B5230" s="100"/>
      <c r="C5230" s="100"/>
      <c r="D5230" s="100"/>
      <c r="E5230" s="100"/>
      <c r="F5230" s="102"/>
      <c r="G5230" s="114"/>
    </row>
    <row r="5231" spans="2:7" ht="15.75" customHeight="1" x14ac:dyDescent="0.25">
      <c r="B5231" s="100"/>
      <c r="C5231" s="100"/>
      <c r="D5231" s="100"/>
      <c r="E5231" s="100"/>
      <c r="F5231" s="102"/>
      <c r="G5231" s="114"/>
    </row>
    <row r="5232" spans="2:7" ht="15.75" customHeight="1" x14ac:dyDescent="0.25">
      <c r="B5232" s="100"/>
      <c r="C5232" s="100"/>
      <c r="D5232" s="100"/>
      <c r="E5232" s="100"/>
      <c r="F5232" s="102"/>
      <c r="G5232" s="114"/>
    </row>
    <row r="5233" spans="2:7" ht="15.75" customHeight="1" x14ac:dyDescent="0.25">
      <c r="B5233" s="100"/>
      <c r="C5233" s="100"/>
      <c r="D5233" s="100"/>
      <c r="E5233" s="100"/>
      <c r="F5233" s="102"/>
      <c r="G5233" s="114"/>
    </row>
    <row r="5234" spans="2:7" ht="15.75" customHeight="1" x14ac:dyDescent="0.25">
      <c r="B5234" s="100"/>
      <c r="C5234" s="100"/>
      <c r="D5234" s="100"/>
      <c r="E5234" s="100"/>
      <c r="F5234" s="102"/>
      <c r="G5234" s="114"/>
    </row>
    <row r="5235" spans="2:7" ht="15.75" customHeight="1" x14ac:dyDescent="0.25">
      <c r="B5235" s="100"/>
      <c r="C5235" s="100"/>
      <c r="D5235" s="100"/>
      <c r="E5235" s="100"/>
      <c r="F5235" s="102"/>
      <c r="G5235" s="114"/>
    </row>
    <row r="5236" spans="2:7" ht="15.75" customHeight="1" x14ac:dyDescent="0.25">
      <c r="B5236" s="100"/>
      <c r="C5236" s="100"/>
      <c r="D5236" s="100"/>
      <c r="E5236" s="100"/>
      <c r="F5236" s="102"/>
      <c r="G5236" s="114"/>
    </row>
    <row r="5237" spans="2:7" ht="15.75" customHeight="1" x14ac:dyDescent="0.25">
      <c r="B5237" s="100"/>
      <c r="C5237" s="100"/>
      <c r="D5237" s="100"/>
      <c r="E5237" s="100"/>
      <c r="F5237" s="102"/>
      <c r="G5237" s="114"/>
    </row>
    <row r="5238" spans="2:7" ht="15.75" customHeight="1" x14ac:dyDescent="0.25">
      <c r="B5238" s="100"/>
      <c r="C5238" s="100"/>
      <c r="D5238" s="100"/>
      <c r="E5238" s="100"/>
      <c r="F5238" s="102"/>
      <c r="G5238" s="114"/>
    </row>
    <row r="5239" spans="2:7" ht="15.75" customHeight="1" x14ac:dyDescent="0.25">
      <c r="B5239" s="100"/>
      <c r="C5239" s="100"/>
      <c r="D5239" s="100"/>
      <c r="E5239" s="100"/>
      <c r="F5239" s="102"/>
      <c r="G5239" s="114"/>
    </row>
    <row r="5240" spans="2:7" ht="15.75" customHeight="1" x14ac:dyDescent="0.25">
      <c r="B5240" s="100"/>
      <c r="C5240" s="100"/>
      <c r="D5240" s="100"/>
      <c r="E5240" s="100"/>
      <c r="F5240" s="102"/>
      <c r="G5240" s="114"/>
    </row>
    <row r="5241" spans="2:7" ht="15.75" customHeight="1" x14ac:dyDescent="0.25">
      <c r="B5241" s="100"/>
      <c r="C5241" s="100"/>
      <c r="D5241" s="100"/>
      <c r="E5241" s="100"/>
      <c r="F5241" s="102"/>
      <c r="G5241" s="114"/>
    </row>
    <row r="5242" spans="2:7" ht="15.75" customHeight="1" x14ac:dyDescent="0.25">
      <c r="B5242" s="100"/>
      <c r="C5242" s="100"/>
      <c r="D5242" s="100"/>
      <c r="E5242" s="100"/>
      <c r="F5242" s="102"/>
      <c r="G5242" s="114"/>
    </row>
    <row r="5243" spans="2:7" ht="15.75" customHeight="1" x14ac:dyDescent="0.25">
      <c r="B5243" s="100"/>
      <c r="C5243" s="100"/>
      <c r="D5243" s="100"/>
      <c r="E5243" s="100"/>
      <c r="F5243" s="102"/>
      <c r="G5243" s="114"/>
    </row>
    <row r="5244" spans="2:7" ht="15.75" customHeight="1" x14ac:dyDescent="0.25">
      <c r="B5244" s="100"/>
      <c r="C5244" s="100"/>
      <c r="D5244" s="100"/>
      <c r="E5244" s="100"/>
      <c r="F5244" s="102"/>
      <c r="G5244" s="114"/>
    </row>
    <row r="5245" spans="2:7" ht="15.75" customHeight="1" x14ac:dyDescent="0.25">
      <c r="B5245" s="100"/>
      <c r="C5245" s="100"/>
      <c r="D5245" s="100"/>
      <c r="E5245" s="100"/>
      <c r="F5245" s="102"/>
      <c r="G5245" s="114"/>
    </row>
    <row r="5246" spans="2:7" ht="15.75" customHeight="1" x14ac:dyDescent="0.25">
      <c r="B5246" s="100"/>
      <c r="C5246" s="100"/>
      <c r="D5246" s="100"/>
      <c r="E5246" s="100"/>
      <c r="F5246" s="102"/>
      <c r="G5246" s="114"/>
    </row>
    <row r="5247" spans="2:7" ht="15.75" customHeight="1" x14ac:dyDescent="0.25">
      <c r="B5247" s="100"/>
      <c r="C5247" s="100"/>
      <c r="D5247" s="100"/>
      <c r="E5247" s="100"/>
      <c r="F5247" s="102"/>
      <c r="G5247" s="114"/>
    </row>
    <row r="5248" spans="2:7" ht="15.75" customHeight="1" x14ac:dyDescent="0.25">
      <c r="B5248" s="100"/>
      <c r="C5248" s="100"/>
      <c r="D5248" s="100"/>
      <c r="E5248" s="100"/>
      <c r="F5248" s="102"/>
      <c r="G5248" s="114"/>
    </row>
    <row r="5249" spans="2:7" ht="15.75" customHeight="1" x14ac:dyDescent="0.25">
      <c r="B5249" s="100"/>
      <c r="C5249" s="100"/>
      <c r="D5249" s="100"/>
      <c r="E5249" s="100"/>
      <c r="F5249" s="102"/>
      <c r="G5249" s="114"/>
    </row>
    <row r="5250" spans="2:7" ht="15.75" customHeight="1" x14ac:dyDescent="0.25">
      <c r="B5250" s="100"/>
      <c r="C5250" s="100"/>
      <c r="D5250" s="100"/>
      <c r="E5250" s="100"/>
      <c r="F5250" s="102"/>
      <c r="G5250" s="114"/>
    </row>
    <row r="5251" spans="2:7" ht="15.75" customHeight="1" x14ac:dyDescent="0.25">
      <c r="B5251" s="100"/>
      <c r="C5251" s="100"/>
      <c r="D5251" s="100"/>
      <c r="E5251" s="100"/>
      <c r="F5251" s="102"/>
      <c r="G5251" s="114"/>
    </row>
    <row r="5252" spans="2:7" ht="15.75" customHeight="1" x14ac:dyDescent="0.25">
      <c r="B5252" s="100"/>
      <c r="C5252" s="100"/>
      <c r="D5252" s="100"/>
      <c r="E5252" s="100"/>
      <c r="F5252" s="102"/>
      <c r="G5252" s="114"/>
    </row>
    <row r="5253" spans="2:7" ht="15.75" customHeight="1" x14ac:dyDescent="0.25">
      <c r="B5253" s="100"/>
      <c r="C5253" s="100"/>
      <c r="D5253" s="100"/>
      <c r="E5253" s="100"/>
      <c r="F5253" s="102"/>
      <c r="G5253" s="114"/>
    </row>
    <row r="5254" spans="2:7" ht="15.75" customHeight="1" x14ac:dyDescent="0.25">
      <c r="B5254" s="100"/>
      <c r="C5254" s="100"/>
      <c r="D5254" s="100"/>
      <c r="E5254" s="100"/>
      <c r="F5254" s="102"/>
      <c r="G5254" s="114"/>
    </row>
    <row r="5255" spans="2:7" ht="15.75" customHeight="1" x14ac:dyDescent="0.25">
      <c r="B5255" s="100"/>
      <c r="C5255" s="100"/>
      <c r="D5255" s="100"/>
      <c r="E5255" s="100"/>
      <c r="F5255" s="102"/>
      <c r="G5255" s="114"/>
    </row>
    <row r="5256" spans="2:7" ht="15.75" customHeight="1" x14ac:dyDescent="0.25">
      <c r="B5256" s="100"/>
      <c r="C5256" s="100"/>
      <c r="D5256" s="100"/>
      <c r="E5256" s="100"/>
      <c r="F5256" s="102"/>
      <c r="G5256" s="114"/>
    </row>
    <row r="5257" spans="2:7" ht="15.75" customHeight="1" x14ac:dyDescent="0.25">
      <c r="B5257" s="100"/>
      <c r="C5257" s="100"/>
      <c r="D5257" s="100"/>
      <c r="E5257" s="100"/>
      <c r="F5257" s="102"/>
      <c r="G5257" s="114"/>
    </row>
    <row r="5258" spans="2:7" ht="15.75" customHeight="1" x14ac:dyDescent="0.25">
      <c r="B5258" s="100"/>
      <c r="C5258" s="100"/>
      <c r="D5258" s="100"/>
      <c r="E5258" s="100"/>
      <c r="F5258" s="102"/>
      <c r="G5258" s="114"/>
    </row>
    <row r="5259" spans="2:7" ht="15.75" customHeight="1" x14ac:dyDescent="0.25">
      <c r="B5259" s="100"/>
      <c r="C5259" s="100"/>
      <c r="D5259" s="100"/>
      <c r="E5259" s="100"/>
      <c r="F5259" s="102"/>
      <c r="G5259" s="114"/>
    </row>
    <row r="5260" spans="2:7" ht="15.75" customHeight="1" x14ac:dyDescent="0.25">
      <c r="B5260" s="100"/>
      <c r="C5260" s="100"/>
      <c r="D5260" s="100"/>
      <c r="E5260" s="100"/>
      <c r="F5260" s="102"/>
      <c r="G5260" s="114"/>
    </row>
    <row r="5261" spans="2:7" ht="15.75" customHeight="1" x14ac:dyDescent="0.25">
      <c r="B5261" s="100"/>
      <c r="C5261" s="100"/>
      <c r="D5261" s="100"/>
      <c r="E5261" s="100"/>
      <c r="F5261" s="102"/>
      <c r="G5261" s="114"/>
    </row>
    <row r="5262" spans="2:7" ht="15.75" customHeight="1" x14ac:dyDescent="0.25">
      <c r="B5262" s="100"/>
      <c r="C5262" s="100"/>
      <c r="D5262" s="100"/>
      <c r="E5262" s="100"/>
      <c r="F5262" s="102"/>
      <c r="G5262" s="114"/>
    </row>
    <row r="5263" spans="2:7" ht="15.75" customHeight="1" x14ac:dyDescent="0.25">
      <c r="B5263" s="100"/>
      <c r="C5263" s="100"/>
      <c r="D5263" s="100"/>
      <c r="E5263" s="100"/>
      <c r="F5263" s="102"/>
      <c r="G5263" s="114"/>
    </row>
    <row r="5264" spans="2:7" ht="15.75" customHeight="1" x14ac:dyDescent="0.25">
      <c r="B5264" s="100"/>
      <c r="C5264" s="100"/>
      <c r="D5264" s="100"/>
      <c r="E5264" s="100"/>
      <c r="F5264" s="102"/>
      <c r="G5264" s="114"/>
    </row>
    <row r="5265" spans="2:7" ht="15.75" customHeight="1" x14ac:dyDescent="0.25">
      <c r="B5265" s="100"/>
      <c r="C5265" s="100"/>
      <c r="D5265" s="100"/>
      <c r="E5265" s="100"/>
      <c r="F5265" s="102"/>
      <c r="G5265" s="114"/>
    </row>
    <row r="5266" spans="2:7" ht="15.75" customHeight="1" x14ac:dyDescent="0.25">
      <c r="B5266" s="100"/>
      <c r="C5266" s="100"/>
      <c r="D5266" s="100"/>
      <c r="E5266" s="100"/>
      <c r="F5266" s="102"/>
      <c r="G5266" s="114"/>
    </row>
    <row r="5267" spans="2:7" ht="15.75" customHeight="1" x14ac:dyDescent="0.25">
      <c r="B5267" s="100"/>
      <c r="C5267" s="100"/>
      <c r="D5267" s="100"/>
      <c r="E5267" s="100"/>
      <c r="F5267" s="102"/>
      <c r="G5267" s="114"/>
    </row>
    <row r="5268" spans="2:7" ht="15.75" customHeight="1" x14ac:dyDescent="0.25">
      <c r="B5268" s="100"/>
      <c r="C5268" s="100"/>
      <c r="D5268" s="100"/>
      <c r="E5268" s="100"/>
      <c r="F5268" s="102"/>
      <c r="G5268" s="114"/>
    </row>
    <row r="5269" spans="2:7" ht="15.75" customHeight="1" x14ac:dyDescent="0.25">
      <c r="B5269" s="100"/>
      <c r="C5269" s="100"/>
      <c r="D5269" s="100"/>
      <c r="E5269" s="100"/>
      <c r="F5269" s="102"/>
      <c r="G5269" s="114"/>
    </row>
    <row r="5270" spans="2:7" ht="15.75" customHeight="1" x14ac:dyDescent="0.25">
      <c r="B5270" s="100"/>
      <c r="C5270" s="100"/>
      <c r="D5270" s="100"/>
      <c r="E5270" s="100"/>
      <c r="F5270" s="102"/>
      <c r="G5270" s="114"/>
    </row>
    <row r="5271" spans="2:7" ht="15.75" customHeight="1" x14ac:dyDescent="0.25">
      <c r="B5271" s="100"/>
      <c r="C5271" s="100"/>
      <c r="D5271" s="100"/>
      <c r="E5271" s="100"/>
      <c r="F5271" s="102"/>
      <c r="G5271" s="114"/>
    </row>
    <row r="5272" spans="2:7" ht="15.75" customHeight="1" x14ac:dyDescent="0.25">
      <c r="B5272" s="100"/>
      <c r="C5272" s="100"/>
      <c r="D5272" s="100"/>
      <c r="E5272" s="100"/>
      <c r="F5272" s="102"/>
      <c r="G5272" s="114"/>
    </row>
    <row r="5273" spans="2:7" ht="15.75" customHeight="1" x14ac:dyDescent="0.25">
      <c r="B5273" s="100"/>
      <c r="C5273" s="100"/>
      <c r="D5273" s="100"/>
      <c r="E5273" s="100"/>
      <c r="F5273" s="102"/>
      <c r="G5273" s="114"/>
    </row>
    <row r="5274" spans="2:7" ht="15.75" customHeight="1" x14ac:dyDescent="0.25">
      <c r="B5274" s="100"/>
      <c r="C5274" s="100"/>
      <c r="D5274" s="100"/>
      <c r="E5274" s="100"/>
      <c r="F5274" s="102"/>
      <c r="G5274" s="114"/>
    </row>
    <row r="5275" spans="2:7" ht="15.75" customHeight="1" x14ac:dyDescent="0.25">
      <c r="B5275" s="100"/>
      <c r="C5275" s="100"/>
      <c r="D5275" s="100"/>
      <c r="E5275" s="100"/>
      <c r="F5275" s="102"/>
      <c r="G5275" s="114"/>
    </row>
    <row r="5276" spans="2:7" ht="15.75" customHeight="1" x14ac:dyDescent="0.25">
      <c r="B5276" s="100"/>
      <c r="C5276" s="100"/>
      <c r="D5276" s="100"/>
      <c r="E5276" s="100"/>
      <c r="F5276" s="102"/>
      <c r="G5276" s="114"/>
    </row>
    <row r="5277" spans="2:7" ht="15.75" customHeight="1" x14ac:dyDescent="0.25">
      <c r="B5277" s="100"/>
      <c r="C5277" s="100"/>
      <c r="D5277" s="100"/>
      <c r="E5277" s="100"/>
      <c r="F5277" s="102"/>
      <c r="G5277" s="114"/>
    </row>
    <row r="5278" spans="2:7" ht="15.75" customHeight="1" x14ac:dyDescent="0.25">
      <c r="B5278" s="100"/>
      <c r="C5278" s="100"/>
      <c r="D5278" s="100"/>
      <c r="E5278" s="100"/>
      <c r="F5278" s="102"/>
      <c r="G5278" s="114"/>
    </row>
    <row r="5279" spans="2:7" ht="15.75" customHeight="1" x14ac:dyDescent="0.25">
      <c r="B5279" s="100"/>
      <c r="C5279" s="100"/>
      <c r="D5279" s="100"/>
      <c r="E5279" s="100"/>
      <c r="F5279" s="102"/>
      <c r="G5279" s="114"/>
    </row>
    <row r="5280" spans="2:7" ht="15.75" customHeight="1" x14ac:dyDescent="0.25">
      <c r="B5280" s="100"/>
      <c r="C5280" s="100"/>
      <c r="D5280" s="100"/>
      <c r="E5280" s="100"/>
      <c r="F5280" s="102"/>
      <c r="G5280" s="114"/>
    </row>
    <row r="5281" spans="2:7" ht="15.75" customHeight="1" x14ac:dyDescent="0.25">
      <c r="B5281" s="100"/>
      <c r="C5281" s="100"/>
      <c r="D5281" s="100"/>
      <c r="E5281" s="100"/>
      <c r="F5281" s="102"/>
      <c r="G5281" s="114"/>
    </row>
    <row r="5282" spans="2:7" ht="15.75" customHeight="1" x14ac:dyDescent="0.25">
      <c r="B5282" s="100"/>
      <c r="C5282" s="100"/>
      <c r="D5282" s="100"/>
      <c r="E5282" s="100"/>
      <c r="F5282" s="102"/>
      <c r="G5282" s="114"/>
    </row>
    <row r="5283" spans="2:7" ht="15.75" customHeight="1" x14ac:dyDescent="0.25">
      <c r="B5283" s="100"/>
      <c r="C5283" s="100"/>
      <c r="D5283" s="100"/>
      <c r="E5283" s="100"/>
      <c r="F5283" s="102"/>
      <c r="G5283" s="114"/>
    </row>
    <row r="5284" spans="2:7" ht="15.75" customHeight="1" x14ac:dyDescent="0.25">
      <c r="B5284" s="100"/>
      <c r="C5284" s="100"/>
      <c r="D5284" s="100"/>
      <c r="E5284" s="100"/>
      <c r="F5284" s="102"/>
      <c r="G5284" s="114"/>
    </row>
    <row r="5285" spans="2:7" ht="15.75" customHeight="1" x14ac:dyDescent="0.25">
      <c r="B5285" s="100"/>
      <c r="C5285" s="100"/>
      <c r="D5285" s="100"/>
      <c r="E5285" s="100"/>
      <c r="F5285" s="102"/>
      <c r="G5285" s="114"/>
    </row>
    <row r="5286" spans="2:7" ht="15.75" customHeight="1" x14ac:dyDescent="0.25">
      <c r="B5286" s="100"/>
      <c r="C5286" s="100"/>
      <c r="D5286" s="100"/>
      <c r="E5286" s="100"/>
      <c r="F5286" s="102"/>
      <c r="G5286" s="114"/>
    </row>
    <row r="5287" spans="2:7" ht="15.75" customHeight="1" x14ac:dyDescent="0.25">
      <c r="B5287" s="100"/>
      <c r="C5287" s="100"/>
      <c r="D5287" s="100"/>
      <c r="E5287" s="100"/>
      <c r="F5287" s="102"/>
      <c r="G5287" s="114"/>
    </row>
    <row r="5288" spans="2:7" ht="15.75" customHeight="1" x14ac:dyDescent="0.25">
      <c r="B5288" s="100"/>
      <c r="C5288" s="100"/>
      <c r="D5288" s="100"/>
      <c r="E5288" s="100"/>
      <c r="F5288" s="102"/>
      <c r="G5288" s="114"/>
    </row>
    <row r="5289" spans="2:7" ht="15.75" customHeight="1" x14ac:dyDescent="0.25">
      <c r="B5289" s="100"/>
      <c r="C5289" s="100"/>
      <c r="D5289" s="100"/>
      <c r="E5289" s="100"/>
      <c r="F5289" s="102"/>
      <c r="G5289" s="114"/>
    </row>
    <row r="5290" spans="2:7" ht="15.75" customHeight="1" x14ac:dyDescent="0.25">
      <c r="B5290" s="100"/>
      <c r="C5290" s="100"/>
      <c r="D5290" s="100"/>
      <c r="E5290" s="100"/>
      <c r="F5290" s="102"/>
      <c r="G5290" s="114"/>
    </row>
    <row r="5291" spans="2:7" ht="15.75" customHeight="1" x14ac:dyDescent="0.25">
      <c r="B5291" s="100"/>
      <c r="C5291" s="100"/>
      <c r="D5291" s="100"/>
      <c r="E5291" s="100"/>
      <c r="F5291" s="102"/>
      <c r="G5291" s="114"/>
    </row>
    <row r="5292" spans="2:7" ht="15.75" customHeight="1" x14ac:dyDescent="0.25">
      <c r="B5292" s="100"/>
      <c r="C5292" s="100"/>
      <c r="D5292" s="100"/>
      <c r="E5292" s="100"/>
      <c r="F5292" s="102"/>
      <c r="G5292" s="114"/>
    </row>
    <row r="5293" spans="2:7" ht="15.75" customHeight="1" x14ac:dyDescent="0.25">
      <c r="B5293" s="100"/>
      <c r="C5293" s="100"/>
      <c r="D5293" s="100"/>
      <c r="E5293" s="100"/>
      <c r="F5293" s="102"/>
      <c r="G5293" s="114"/>
    </row>
    <row r="5294" spans="2:7" ht="15.75" customHeight="1" x14ac:dyDescent="0.25">
      <c r="B5294" s="100"/>
      <c r="C5294" s="100"/>
      <c r="D5294" s="100"/>
      <c r="E5294" s="100"/>
      <c r="F5294" s="102"/>
      <c r="G5294" s="114"/>
    </row>
    <row r="5295" spans="2:7" ht="15.75" customHeight="1" x14ac:dyDescent="0.25">
      <c r="B5295" s="100"/>
      <c r="C5295" s="100"/>
      <c r="D5295" s="100"/>
      <c r="E5295" s="100"/>
      <c r="F5295" s="102"/>
      <c r="G5295" s="114"/>
    </row>
    <row r="5296" spans="2:7" ht="15.75" customHeight="1" x14ac:dyDescent="0.25">
      <c r="B5296" s="100"/>
      <c r="C5296" s="100"/>
      <c r="D5296" s="100"/>
      <c r="E5296" s="100"/>
      <c r="F5296" s="102"/>
      <c r="G5296" s="114"/>
    </row>
    <row r="5297" spans="2:7" ht="15.75" customHeight="1" x14ac:dyDescent="0.25">
      <c r="B5297" s="100"/>
      <c r="C5297" s="100"/>
      <c r="D5297" s="100"/>
      <c r="E5297" s="100"/>
      <c r="F5297" s="102"/>
      <c r="G5297" s="114"/>
    </row>
    <row r="5298" spans="2:7" ht="15.75" customHeight="1" x14ac:dyDescent="0.25">
      <c r="B5298" s="100"/>
      <c r="C5298" s="100"/>
      <c r="D5298" s="100"/>
      <c r="E5298" s="100"/>
      <c r="F5298" s="102"/>
      <c r="G5298" s="114"/>
    </row>
    <row r="5299" spans="2:7" ht="15.75" customHeight="1" x14ac:dyDescent="0.25">
      <c r="B5299" s="100"/>
      <c r="C5299" s="100"/>
      <c r="D5299" s="100"/>
      <c r="E5299" s="100"/>
      <c r="F5299" s="102"/>
      <c r="G5299" s="114"/>
    </row>
    <row r="5300" spans="2:7" ht="15.75" customHeight="1" x14ac:dyDescent="0.25">
      <c r="B5300" s="100"/>
      <c r="C5300" s="100"/>
      <c r="D5300" s="100"/>
      <c r="E5300" s="100"/>
      <c r="F5300" s="102"/>
      <c r="G5300" s="114"/>
    </row>
    <row r="5301" spans="2:7" ht="15.75" customHeight="1" x14ac:dyDescent="0.25">
      <c r="B5301" s="100"/>
      <c r="C5301" s="100"/>
      <c r="D5301" s="100"/>
      <c r="E5301" s="100"/>
      <c r="F5301" s="102"/>
      <c r="G5301" s="114"/>
    </row>
    <row r="5302" spans="2:7" ht="15.75" customHeight="1" x14ac:dyDescent="0.25">
      <c r="B5302" s="100"/>
      <c r="C5302" s="100"/>
      <c r="D5302" s="100"/>
      <c r="E5302" s="100"/>
      <c r="F5302" s="102"/>
      <c r="G5302" s="114"/>
    </row>
    <row r="5303" spans="2:7" ht="15.75" customHeight="1" x14ac:dyDescent="0.25">
      <c r="B5303" s="100"/>
      <c r="C5303" s="100"/>
      <c r="D5303" s="100"/>
      <c r="E5303" s="100"/>
      <c r="F5303" s="102"/>
      <c r="G5303" s="114"/>
    </row>
    <row r="5304" spans="2:7" ht="15.75" customHeight="1" x14ac:dyDescent="0.25">
      <c r="B5304" s="100"/>
      <c r="C5304" s="100"/>
      <c r="D5304" s="100"/>
      <c r="E5304" s="100"/>
      <c r="F5304" s="102"/>
      <c r="G5304" s="114"/>
    </row>
    <row r="5305" spans="2:7" ht="15.75" customHeight="1" x14ac:dyDescent="0.25">
      <c r="B5305" s="100"/>
      <c r="C5305" s="100"/>
      <c r="D5305" s="100"/>
      <c r="E5305" s="100"/>
      <c r="F5305" s="102"/>
      <c r="G5305" s="114"/>
    </row>
    <row r="5306" spans="2:7" ht="15.75" customHeight="1" x14ac:dyDescent="0.25">
      <c r="B5306" s="100"/>
      <c r="C5306" s="100"/>
      <c r="D5306" s="100"/>
      <c r="E5306" s="100"/>
      <c r="F5306" s="102"/>
      <c r="G5306" s="114"/>
    </row>
    <row r="5307" spans="2:7" ht="15.75" customHeight="1" x14ac:dyDescent="0.25">
      <c r="B5307" s="100"/>
      <c r="C5307" s="100"/>
      <c r="D5307" s="100"/>
      <c r="E5307" s="100"/>
      <c r="F5307" s="102"/>
      <c r="G5307" s="114"/>
    </row>
    <row r="5308" spans="2:7" ht="15.75" customHeight="1" x14ac:dyDescent="0.25">
      <c r="B5308" s="100"/>
      <c r="C5308" s="100"/>
      <c r="D5308" s="100"/>
      <c r="E5308" s="100"/>
      <c r="F5308" s="102"/>
      <c r="G5308" s="114"/>
    </row>
    <row r="5309" spans="2:7" ht="15.75" customHeight="1" x14ac:dyDescent="0.25">
      <c r="B5309" s="100"/>
      <c r="C5309" s="100"/>
      <c r="D5309" s="100"/>
      <c r="E5309" s="100"/>
      <c r="F5309" s="102"/>
      <c r="G5309" s="114"/>
    </row>
    <row r="5310" spans="2:7" ht="15.75" customHeight="1" x14ac:dyDescent="0.25">
      <c r="B5310" s="100"/>
      <c r="C5310" s="100"/>
      <c r="D5310" s="100"/>
      <c r="E5310" s="100"/>
      <c r="F5310" s="102"/>
      <c r="G5310" s="114"/>
    </row>
    <row r="5311" spans="2:7" ht="15.75" customHeight="1" x14ac:dyDescent="0.25">
      <c r="B5311" s="100"/>
      <c r="C5311" s="100"/>
      <c r="D5311" s="100"/>
      <c r="E5311" s="100"/>
      <c r="F5311" s="102"/>
      <c r="G5311" s="114"/>
    </row>
    <row r="5312" spans="2:7" ht="15.75" customHeight="1" x14ac:dyDescent="0.25">
      <c r="B5312" s="100"/>
      <c r="C5312" s="100"/>
      <c r="D5312" s="100"/>
      <c r="E5312" s="100"/>
      <c r="F5312" s="102"/>
      <c r="G5312" s="114"/>
    </row>
    <row r="5313" spans="2:7" ht="15.75" customHeight="1" x14ac:dyDescent="0.25">
      <c r="B5313" s="100"/>
      <c r="C5313" s="100"/>
      <c r="D5313" s="100"/>
      <c r="E5313" s="100"/>
      <c r="F5313" s="102"/>
      <c r="G5313" s="114"/>
    </row>
    <row r="5314" spans="2:7" ht="15.75" customHeight="1" x14ac:dyDescent="0.25">
      <c r="B5314" s="100"/>
      <c r="C5314" s="100"/>
      <c r="D5314" s="100"/>
      <c r="E5314" s="100"/>
      <c r="F5314" s="102"/>
      <c r="G5314" s="114"/>
    </row>
    <row r="5315" spans="2:7" ht="15.75" customHeight="1" x14ac:dyDescent="0.25">
      <c r="B5315" s="100"/>
      <c r="C5315" s="100"/>
      <c r="D5315" s="100"/>
      <c r="E5315" s="100"/>
      <c r="F5315" s="102"/>
      <c r="G5315" s="114"/>
    </row>
    <row r="5316" spans="2:7" ht="15.75" customHeight="1" x14ac:dyDescent="0.25">
      <c r="B5316" s="100"/>
      <c r="C5316" s="100"/>
      <c r="D5316" s="100"/>
      <c r="E5316" s="100"/>
      <c r="F5316" s="102"/>
      <c r="G5316" s="114"/>
    </row>
    <row r="5317" spans="2:7" ht="15.75" customHeight="1" x14ac:dyDescent="0.25">
      <c r="B5317" s="100"/>
      <c r="C5317" s="100"/>
      <c r="D5317" s="100"/>
      <c r="E5317" s="100"/>
      <c r="F5317" s="102"/>
      <c r="G5317" s="114"/>
    </row>
    <row r="5318" spans="2:7" ht="15.75" customHeight="1" x14ac:dyDescent="0.25">
      <c r="B5318" s="100"/>
      <c r="C5318" s="100"/>
      <c r="D5318" s="100"/>
      <c r="E5318" s="100"/>
      <c r="F5318" s="102"/>
      <c r="G5318" s="114"/>
    </row>
    <row r="5319" spans="2:7" ht="15.75" customHeight="1" x14ac:dyDescent="0.25">
      <c r="B5319" s="100"/>
      <c r="C5319" s="100"/>
      <c r="D5319" s="100"/>
      <c r="E5319" s="100"/>
      <c r="F5319" s="102"/>
      <c r="G5319" s="114"/>
    </row>
    <row r="5320" spans="2:7" ht="15.75" customHeight="1" x14ac:dyDescent="0.25">
      <c r="B5320" s="100"/>
      <c r="C5320" s="100"/>
      <c r="D5320" s="100"/>
      <c r="E5320" s="100"/>
      <c r="F5320" s="102"/>
      <c r="G5320" s="114"/>
    </row>
    <row r="5321" spans="2:7" ht="15.75" customHeight="1" x14ac:dyDescent="0.25">
      <c r="B5321" s="100"/>
      <c r="C5321" s="100"/>
      <c r="D5321" s="100"/>
      <c r="E5321" s="100"/>
      <c r="F5321" s="102"/>
      <c r="G5321" s="114"/>
    </row>
    <row r="5322" spans="2:7" ht="15.75" customHeight="1" x14ac:dyDescent="0.25">
      <c r="B5322" s="100"/>
      <c r="C5322" s="100"/>
      <c r="D5322" s="100"/>
      <c r="E5322" s="100"/>
      <c r="F5322" s="102"/>
      <c r="G5322" s="114"/>
    </row>
    <row r="5323" spans="2:7" ht="15.75" customHeight="1" x14ac:dyDescent="0.25">
      <c r="B5323" s="100"/>
      <c r="C5323" s="100"/>
      <c r="D5323" s="100"/>
      <c r="E5323" s="100"/>
      <c r="F5323" s="102"/>
      <c r="G5323" s="114"/>
    </row>
    <row r="5324" spans="2:7" ht="15.75" customHeight="1" x14ac:dyDescent="0.25">
      <c r="B5324" s="100"/>
      <c r="C5324" s="100"/>
      <c r="D5324" s="100"/>
      <c r="E5324" s="100"/>
      <c r="F5324" s="102"/>
      <c r="G5324" s="114"/>
    </row>
    <row r="5325" spans="2:7" ht="15.75" customHeight="1" x14ac:dyDescent="0.25">
      <c r="B5325" s="100"/>
      <c r="C5325" s="100"/>
      <c r="D5325" s="100"/>
      <c r="E5325" s="100"/>
      <c r="F5325" s="102"/>
      <c r="G5325" s="114"/>
    </row>
    <row r="5326" spans="2:7" ht="15.75" customHeight="1" x14ac:dyDescent="0.25">
      <c r="B5326" s="100"/>
      <c r="C5326" s="100"/>
      <c r="D5326" s="100"/>
      <c r="E5326" s="100"/>
      <c r="F5326" s="102"/>
      <c r="G5326" s="114"/>
    </row>
    <row r="5327" spans="2:7" ht="15.75" customHeight="1" x14ac:dyDescent="0.25">
      <c r="B5327" s="100"/>
      <c r="C5327" s="100"/>
      <c r="D5327" s="100"/>
      <c r="E5327" s="100"/>
      <c r="F5327" s="102"/>
      <c r="G5327" s="114"/>
    </row>
    <row r="5328" spans="2:7" ht="15.75" customHeight="1" x14ac:dyDescent="0.25">
      <c r="B5328" s="100"/>
      <c r="C5328" s="100"/>
      <c r="D5328" s="100"/>
      <c r="E5328" s="100"/>
      <c r="F5328" s="102"/>
      <c r="G5328" s="114"/>
    </row>
    <row r="5329" spans="2:7" ht="15.75" customHeight="1" x14ac:dyDescent="0.25">
      <c r="B5329" s="100"/>
      <c r="C5329" s="100"/>
      <c r="D5329" s="100"/>
      <c r="E5329" s="100"/>
      <c r="F5329" s="102"/>
      <c r="G5329" s="114"/>
    </row>
    <row r="5330" spans="2:7" ht="15.75" customHeight="1" x14ac:dyDescent="0.25">
      <c r="B5330" s="100"/>
      <c r="C5330" s="100"/>
      <c r="D5330" s="100"/>
      <c r="E5330" s="100"/>
      <c r="F5330" s="102"/>
      <c r="G5330" s="114"/>
    </row>
    <row r="5331" spans="2:7" ht="15.75" customHeight="1" x14ac:dyDescent="0.25">
      <c r="B5331" s="100"/>
      <c r="C5331" s="100"/>
      <c r="D5331" s="100"/>
      <c r="E5331" s="100"/>
      <c r="F5331" s="102"/>
      <c r="G5331" s="114"/>
    </row>
    <row r="5332" spans="2:7" ht="15.75" customHeight="1" x14ac:dyDescent="0.25">
      <c r="B5332" s="100"/>
      <c r="C5332" s="100"/>
      <c r="D5332" s="100"/>
      <c r="E5332" s="100"/>
      <c r="F5332" s="102"/>
      <c r="G5332" s="114"/>
    </row>
    <row r="5333" spans="2:7" ht="15.75" customHeight="1" x14ac:dyDescent="0.25">
      <c r="B5333" s="100"/>
      <c r="C5333" s="100"/>
      <c r="D5333" s="100"/>
      <c r="E5333" s="100"/>
      <c r="F5333" s="102"/>
      <c r="G5333" s="114"/>
    </row>
    <row r="5334" spans="2:7" ht="15.75" customHeight="1" x14ac:dyDescent="0.25">
      <c r="B5334" s="100"/>
      <c r="C5334" s="100"/>
      <c r="D5334" s="100"/>
      <c r="E5334" s="100"/>
      <c r="F5334" s="102"/>
      <c r="G5334" s="114"/>
    </row>
    <row r="5335" spans="2:7" ht="15.75" customHeight="1" x14ac:dyDescent="0.25">
      <c r="B5335" s="100"/>
      <c r="C5335" s="100"/>
      <c r="D5335" s="100"/>
      <c r="E5335" s="100"/>
      <c r="F5335" s="102"/>
      <c r="G5335" s="114"/>
    </row>
    <row r="5336" spans="2:7" ht="15.75" customHeight="1" x14ac:dyDescent="0.25">
      <c r="B5336" s="100"/>
      <c r="C5336" s="100"/>
      <c r="D5336" s="100"/>
      <c r="E5336" s="100"/>
      <c r="F5336" s="102"/>
      <c r="G5336" s="114"/>
    </row>
    <row r="5337" spans="2:7" ht="15.75" customHeight="1" x14ac:dyDescent="0.25">
      <c r="B5337" s="100"/>
      <c r="C5337" s="100"/>
      <c r="D5337" s="100"/>
      <c r="E5337" s="100"/>
      <c r="F5337" s="102"/>
      <c r="G5337" s="114"/>
    </row>
    <row r="5338" spans="2:7" ht="15.75" customHeight="1" x14ac:dyDescent="0.25">
      <c r="B5338" s="100"/>
      <c r="C5338" s="100"/>
      <c r="D5338" s="100"/>
      <c r="E5338" s="100"/>
      <c r="F5338" s="102"/>
      <c r="G5338" s="114"/>
    </row>
    <row r="5339" spans="2:7" ht="15.75" customHeight="1" x14ac:dyDescent="0.25">
      <c r="B5339" s="100"/>
      <c r="C5339" s="100"/>
      <c r="D5339" s="100"/>
      <c r="E5339" s="100"/>
      <c r="F5339" s="102"/>
      <c r="G5339" s="114"/>
    </row>
    <row r="5340" spans="2:7" ht="15.75" customHeight="1" x14ac:dyDescent="0.25">
      <c r="B5340" s="100"/>
      <c r="C5340" s="100"/>
      <c r="D5340" s="100"/>
      <c r="E5340" s="100"/>
      <c r="F5340" s="102"/>
      <c r="G5340" s="114"/>
    </row>
    <row r="5341" spans="2:7" ht="15.75" customHeight="1" x14ac:dyDescent="0.25">
      <c r="B5341" s="100"/>
      <c r="C5341" s="100"/>
      <c r="D5341" s="100"/>
      <c r="E5341" s="100"/>
      <c r="F5341" s="102"/>
      <c r="G5341" s="114"/>
    </row>
    <row r="5342" spans="2:7" ht="15.75" customHeight="1" x14ac:dyDescent="0.25">
      <c r="B5342" s="100"/>
      <c r="C5342" s="100"/>
      <c r="D5342" s="100"/>
      <c r="E5342" s="100"/>
      <c r="F5342" s="102"/>
      <c r="G5342" s="114"/>
    </row>
    <row r="5343" spans="2:7" ht="15.75" customHeight="1" x14ac:dyDescent="0.25">
      <c r="B5343" s="100"/>
      <c r="C5343" s="100"/>
      <c r="D5343" s="100"/>
      <c r="E5343" s="100"/>
      <c r="F5343" s="102"/>
      <c r="G5343" s="114"/>
    </row>
    <row r="5344" spans="2:7" ht="15.75" customHeight="1" x14ac:dyDescent="0.25">
      <c r="B5344" s="100"/>
      <c r="C5344" s="100"/>
      <c r="D5344" s="100"/>
      <c r="E5344" s="100"/>
      <c r="F5344" s="102"/>
      <c r="G5344" s="114"/>
    </row>
    <row r="5345" spans="2:7" ht="15.75" customHeight="1" x14ac:dyDescent="0.25">
      <c r="B5345" s="100"/>
      <c r="C5345" s="100"/>
      <c r="D5345" s="100"/>
      <c r="E5345" s="100"/>
      <c r="F5345" s="102"/>
      <c r="G5345" s="114"/>
    </row>
    <row r="5346" spans="2:7" ht="15.75" customHeight="1" x14ac:dyDescent="0.25">
      <c r="B5346" s="100"/>
      <c r="C5346" s="100"/>
      <c r="D5346" s="100"/>
      <c r="E5346" s="100"/>
      <c r="F5346" s="102"/>
      <c r="G5346" s="114"/>
    </row>
    <row r="5347" spans="2:7" ht="15.75" customHeight="1" x14ac:dyDescent="0.25">
      <c r="B5347" s="100"/>
      <c r="C5347" s="100"/>
      <c r="D5347" s="100"/>
      <c r="E5347" s="100"/>
      <c r="F5347" s="102"/>
      <c r="G5347" s="114"/>
    </row>
    <row r="5348" spans="2:7" ht="15.75" customHeight="1" x14ac:dyDescent="0.25">
      <c r="B5348" s="100"/>
      <c r="C5348" s="100"/>
      <c r="D5348" s="100"/>
      <c r="E5348" s="100"/>
      <c r="F5348" s="102"/>
      <c r="G5348" s="114"/>
    </row>
    <row r="5349" spans="2:7" ht="15.75" customHeight="1" x14ac:dyDescent="0.25">
      <c r="B5349" s="100"/>
      <c r="C5349" s="100"/>
      <c r="D5349" s="100"/>
      <c r="E5349" s="100"/>
      <c r="F5349" s="102"/>
      <c r="G5349" s="114"/>
    </row>
    <row r="5350" spans="2:7" ht="15.75" customHeight="1" x14ac:dyDescent="0.25">
      <c r="B5350" s="100"/>
      <c r="C5350" s="100"/>
      <c r="D5350" s="100"/>
      <c r="E5350" s="100"/>
      <c r="F5350" s="102"/>
      <c r="G5350" s="114"/>
    </row>
    <row r="5351" spans="2:7" ht="15.75" customHeight="1" x14ac:dyDescent="0.25">
      <c r="B5351" s="100"/>
      <c r="C5351" s="100"/>
      <c r="D5351" s="100"/>
      <c r="E5351" s="100"/>
      <c r="F5351" s="102"/>
      <c r="G5351" s="114"/>
    </row>
    <row r="5352" spans="2:7" ht="15.75" customHeight="1" x14ac:dyDescent="0.25">
      <c r="B5352" s="100"/>
      <c r="C5352" s="100"/>
      <c r="D5352" s="100"/>
      <c r="E5352" s="100"/>
      <c r="F5352" s="102"/>
      <c r="G5352" s="114"/>
    </row>
    <row r="5353" spans="2:7" ht="15.75" customHeight="1" x14ac:dyDescent="0.25">
      <c r="B5353" s="100"/>
      <c r="C5353" s="100"/>
      <c r="D5353" s="100"/>
      <c r="E5353" s="100"/>
      <c r="F5353" s="102"/>
      <c r="G5353" s="114"/>
    </row>
    <row r="5354" spans="2:7" ht="15.75" customHeight="1" x14ac:dyDescent="0.25">
      <c r="B5354" s="100"/>
      <c r="C5354" s="100"/>
      <c r="D5354" s="100"/>
      <c r="E5354" s="100"/>
      <c r="F5354" s="102"/>
      <c r="G5354" s="114"/>
    </row>
    <row r="5355" spans="2:7" ht="15.75" customHeight="1" x14ac:dyDescent="0.25">
      <c r="B5355" s="100"/>
      <c r="C5355" s="100"/>
      <c r="D5355" s="100"/>
      <c r="E5355" s="100"/>
      <c r="F5355" s="102"/>
      <c r="G5355" s="114"/>
    </row>
    <row r="5356" spans="2:7" ht="15.75" customHeight="1" x14ac:dyDescent="0.25">
      <c r="B5356" s="100"/>
      <c r="C5356" s="100"/>
      <c r="D5356" s="100"/>
      <c r="E5356" s="100"/>
      <c r="F5356" s="102"/>
      <c r="G5356" s="114"/>
    </row>
    <row r="5357" spans="2:7" ht="15.75" customHeight="1" x14ac:dyDescent="0.25">
      <c r="B5357" s="100"/>
      <c r="C5357" s="100"/>
      <c r="D5357" s="100"/>
      <c r="E5357" s="100"/>
      <c r="F5357" s="102"/>
      <c r="G5357" s="114"/>
    </row>
    <row r="5358" spans="2:7" ht="15.75" customHeight="1" x14ac:dyDescent="0.25">
      <c r="B5358" s="100"/>
      <c r="C5358" s="100"/>
      <c r="D5358" s="100"/>
      <c r="E5358" s="100"/>
      <c r="F5358" s="102"/>
      <c r="G5358" s="114"/>
    </row>
    <row r="5359" spans="2:7" ht="15.75" customHeight="1" x14ac:dyDescent="0.25">
      <c r="B5359" s="100"/>
      <c r="C5359" s="100"/>
      <c r="D5359" s="100"/>
      <c r="E5359" s="100"/>
      <c r="F5359" s="102"/>
      <c r="G5359" s="114"/>
    </row>
    <row r="5360" spans="2:7" ht="15.75" customHeight="1" x14ac:dyDescent="0.25">
      <c r="B5360" s="100"/>
      <c r="C5360" s="100"/>
      <c r="D5360" s="100"/>
      <c r="E5360" s="100"/>
      <c r="F5360" s="102"/>
      <c r="G5360" s="114"/>
    </row>
    <row r="5361" spans="2:7" ht="15.75" customHeight="1" x14ac:dyDescent="0.25">
      <c r="B5361" s="100"/>
      <c r="C5361" s="100"/>
      <c r="D5361" s="100"/>
      <c r="E5361" s="100"/>
      <c r="F5361" s="102"/>
      <c r="G5361" s="114"/>
    </row>
    <row r="5362" spans="2:7" ht="15.75" customHeight="1" x14ac:dyDescent="0.25">
      <c r="B5362" s="100"/>
      <c r="C5362" s="100"/>
      <c r="D5362" s="100"/>
      <c r="E5362" s="100"/>
      <c r="F5362" s="102"/>
      <c r="G5362" s="114"/>
    </row>
    <row r="5363" spans="2:7" ht="15.75" customHeight="1" x14ac:dyDescent="0.25">
      <c r="B5363" s="100"/>
      <c r="C5363" s="100"/>
      <c r="D5363" s="100"/>
      <c r="E5363" s="100"/>
      <c r="F5363" s="102"/>
      <c r="G5363" s="114"/>
    </row>
    <row r="5364" spans="2:7" ht="15.75" customHeight="1" x14ac:dyDescent="0.25">
      <c r="B5364" s="100"/>
      <c r="C5364" s="100"/>
      <c r="D5364" s="100"/>
      <c r="E5364" s="100"/>
      <c r="F5364" s="102"/>
      <c r="G5364" s="114"/>
    </row>
    <row r="5365" spans="2:7" ht="15.75" customHeight="1" x14ac:dyDescent="0.25">
      <c r="B5365" s="100"/>
      <c r="C5365" s="100"/>
      <c r="D5365" s="100"/>
      <c r="E5365" s="100"/>
      <c r="F5365" s="102"/>
      <c r="G5365" s="114"/>
    </row>
    <row r="5366" spans="2:7" ht="15.75" customHeight="1" x14ac:dyDescent="0.25">
      <c r="B5366" s="100"/>
      <c r="C5366" s="100"/>
      <c r="D5366" s="100"/>
      <c r="E5366" s="100"/>
      <c r="F5366" s="102"/>
      <c r="G5366" s="114"/>
    </row>
    <row r="5367" spans="2:7" ht="15.75" customHeight="1" x14ac:dyDescent="0.25">
      <c r="B5367" s="100"/>
      <c r="C5367" s="100"/>
      <c r="D5367" s="100"/>
      <c r="E5367" s="100"/>
      <c r="F5367" s="102"/>
      <c r="G5367" s="114"/>
    </row>
    <row r="5368" spans="2:7" ht="15.75" customHeight="1" x14ac:dyDescent="0.25">
      <c r="B5368" s="100"/>
      <c r="C5368" s="100"/>
      <c r="D5368" s="100"/>
      <c r="E5368" s="100"/>
      <c r="F5368" s="102"/>
      <c r="G5368" s="114"/>
    </row>
    <row r="5369" spans="2:7" ht="15.75" customHeight="1" x14ac:dyDescent="0.25">
      <c r="B5369" s="100"/>
      <c r="C5369" s="100"/>
      <c r="D5369" s="100"/>
      <c r="E5369" s="100"/>
      <c r="F5369" s="102"/>
      <c r="G5369" s="114"/>
    </row>
    <row r="5370" spans="2:7" ht="15.75" customHeight="1" x14ac:dyDescent="0.25">
      <c r="B5370" s="100"/>
      <c r="C5370" s="100"/>
      <c r="D5370" s="100"/>
      <c r="E5370" s="100"/>
      <c r="F5370" s="102"/>
      <c r="G5370" s="114"/>
    </row>
    <row r="5371" spans="2:7" ht="15.75" customHeight="1" x14ac:dyDescent="0.25">
      <c r="B5371" s="100"/>
      <c r="C5371" s="100"/>
      <c r="D5371" s="100"/>
      <c r="E5371" s="100"/>
      <c r="F5371" s="102"/>
      <c r="G5371" s="114"/>
    </row>
    <row r="5372" spans="2:7" ht="15.75" customHeight="1" x14ac:dyDescent="0.25">
      <c r="B5372" s="100"/>
      <c r="C5372" s="100"/>
      <c r="D5372" s="100"/>
      <c r="E5372" s="100"/>
      <c r="F5372" s="102"/>
      <c r="G5372" s="114"/>
    </row>
    <row r="5373" spans="2:7" ht="15.75" customHeight="1" x14ac:dyDescent="0.25">
      <c r="B5373" s="100"/>
      <c r="C5373" s="100"/>
      <c r="D5373" s="100"/>
      <c r="E5373" s="100"/>
      <c r="F5373" s="102"/>
      <c r="G5373" s="114"/>
    </row>
    <row r="5374" spans="2:7" ht="15.75" customHeight="1" x14ac:dyDescent="0.25">
      <c r="B5374" s="100"/>
      <c r="C5374" s="100"/>
      <c r="D5374" s="100"/>
      <c r="E5374" s="100"/>
      <c r="F5374" s="102"/>
      <c r="G5374" s="114"/>
    </row>
    <row r="5375" spans="2:7" ht="15.75" customHeight="1" x14ac:dyDescent="0.25">
      <c r="B5375" s="100"/>
      <c r="C5375" s="100"/>
      <c r="D5375" s="100"/>
      <c r="E5375" s="100"/>
      <c r="F5375" s="102"/>
      <c r="G5375" s="114"/>
    </row>
    <row r="5376" spans="2:7" ht="15.75" customHeight="1" x14ac:dyDescent="0.25">
      <c r="B5376" s="100"/>
      <c r="C5376" s="100"/>
      <c r="D5376" s="100"/>
      <c r="E5376" s="100"/>
      <c r="F5376" s="102"/>
      <c r="G5376" s="114"/>
    </row>
    <row r="5377" spans="2:7" ht="15.75" customHeight="1" x14ac:dyDescent="0.25">
      <c r="B5377" s="100"/>
      <c r="C5377" s="100"/>
      <c r="D5377" s="100"/>
      <c r="E5377" s="100"/>
      <c r="F5377" s="102"/>
      <c r="G5377" s="114"/>
    </row>
    <row r="5378" spans="2:7" ht="15.75" customHeight="1" x14ac:dyDescent="0.25">
      <c r="B5378" s="100"/>
      <c r="C5378" s="100"/>
      <c r="D5378" s="100"/>
      <c r="E5378" s="100"/>
      <c r="F5378" s="102"/>
      <c r="G5378" s="114"/>
    </row>
    <row r="5379" spans="2:7" ht="15.75" customHeight="1" x14ac:dyDescent="0.25">
      <c r="B5379" s="100"/>
      <c r="C5379" s="100"/>
      <c r="D5379" s="100"/>
      <c r="E5379" s="100"/>
      <c r="F5379" s="102"/>
      <c r="G5379" s="114"/>
    </row>
    <row r="5380" spans="2:7" ht="15.75" customHeight="1" x14ac:dyDescent="0.25">
      <c r="B5380" s="100"/>
      <c r="C5380" s="100"/>
      <c r="D5380" s="100"/>
      <c r="E5380" s="100"/>
      <c r="F5380" s="102"/>
      <c r="G5380" s="114"/>
    </row>
    <row r="5381" spans="2:7" ht="15.75" customHeight="1" x14ac:dyDescent="0.25">
      <c r="B5381" s="100"/>
      <c r="C5381" s="100"/>
      <c r="D5381" s="100"/>
      <c r="E5381" s="100"/>
      <c r="F5381" s="102"/>
      <c r="G5381" s="114"/>
    </row>
    <row r="5382" spans="2:7" ht="15.75" customHeight="1" x14ac:dyDescent="0.25">
      <c r="B5382" s="100"/>
      <c r="C5382" s="100"/>
      <c r="D5382" s="100"/>
      <c r="E5382" s="100"/>
      <c r="F5382" s="102"/>
      <c r="G5382" s="114"/>
    </row>
    <row r="5383" spans="2:7" ht="15.75" customHeight="1" x14ac:dyDescent="0.25">
      <c r="B5383" s="100"/>
      <c r="C5383" s="100"/>
      <c r="D5383" s="100"/>
      <c r="E5383" s="100"/>
      <c r="F5383" s="102"/>
      <c r="G5383" s="114"/>
    </row>
    <row r="5384" spans="2:7" ht="15.75" customHeight="1" x14ac:dyDescent="0.25">
      <c r="B5384" s="100"/>
      <c r="C5384" s="100"/>
      <c r="D5384" s="100"/>
      <c r="E5384" s="100"/>
      <c r="F5384" s="102"/>
      <c r="G5384" s="114"/>
    </row>
    <row r="5385" spans="2:7" ht="15.75" customHeight="1" x14ac:dyDescent="0.25">
      <c r="B5385" s="100"/>
      <c r="C5385" s="100"/>
      <c r="D5385" s="100"/>
      <c r="E5385" s="100"/>
      <c r="F5385" s="102"/>
      <c r="G5385" s="114"/>
    </row>
    <row r="5386" spans="2:7" ht="15.75" customHeight="1" x14ac:dyDescent="0.25">
      <c r="B5386" s="100"/>
      <c r="C5386" s="100"/>
      <c r="D5386" s="100"/>
      <c r="E5386" s="100"/>
      <c r="F5386" s="102"/>
      <c r="G5386" s="114"/>
    </row>
    <row r="5387" spans="2:7" ht="15.75" customHeight="1" x14ac:dyDescent="0.25">
      <c r="B5387" s="100"/>
      <c r="C5387" s="100"/>
      <c r="D5387" s="100"/>
      <c r="E5387" s="100"/>
      <c r="F5387" s="102"/>
      <c r="G5387" s="114"/>
    </row>
    <row r="5388" spans="2:7" ht="15.75" customHeight="1" x14ac:dyDescent="0.25">
      <c r="B5388" s="100"/>
      <c r="C5388" s="100"/>
      <c r="D5388" s="100"/>
      <c r="E5388" s="100"/>
      <c r="F5388" s="102"/>
      <c r="G5388" s="114"/>
    </row>
    <row r="5389" spans="2:7" ht="15.75" customHeight="1" x14ac:dyDescent="0.25">
      <c r="B5389" s="100"/>
      <c r="C5389" s="100"/>
      <c r="D5389" s="100"/>
      <c r="E5389" s="100"/>
      <c r="F5389" s="102"/>
      <c r="G5389" s="114"/>
    </row>
    <row r="5390" spans="2:7" ht="15.75" customHeight="1" x14ac:dyDescent="0.25">
      <c r="B5390" s="100"/>
      <c r="C5390" s="100"/>
      <c r="D5390" s="100"/>
      <c r="E5390" s="100"/>
      <c r="F5390" s="102"/>
      <c r="G5390" s="114"/>
    </row>
    <row r="5391" spans="2:7" ht="15.75" customHeight="1" x14ac:dyDescent="0.25">
      <c r="B5391" s="100"/>
      <c r="C5391" s="100"/>
      <c r="D5391" s="100"/>
      <c r="E5391" s="100"/>
      <c r="F5391" s="102"/>
      <c r="G5391" s="114"/>
    </row>
    <row r="5392" spans="2:7" ht="15.75" customHeight="1" x14ac:dyDescent="0.25">
      <c r="B5392" s="100"/>
      <c r="C5392" s="100"/>
      <c r="D5392" s="100"/>
      <c r="E5392" s="100"/>
      <c r="F5392" s="102"/>
      <c r="G5392" s="114"/>
    </row>
    <row r="5393" spans="2:7" ht="15.75" customHeight="1" x14ac:dyDescent="0.25">
      <c r="B5393" s="100"/>
      <c r="C5393" s="100"/>
      <c r="D5393" s="100"/>
      <c r="E5393" s="100"/>
      <c r="F5393" s="102"/>
      <c r="G5393" s="114"/>
    </row>
    <row r="5394" spans="2:7" ht="15.75" customHeight="1" x14ac:dyDescent="0.25">
      <c r="B5394" s="100"/>
      <c r="C5394" s="100"/>
      <c r="D5394" s="100"/>
      <c r="E5394" s="100"/>
      <c r="F5394" s="102"/>
      <c r="G5394" s="114"/>
    </row>
    <row r="5395" spans="2:7" ht="15.75" customHeight="1" x14ac:dyDescent="0.25">
      <c r="B5395" s="100"/>
      <c r="C5395" s="100"/>
      <c r="D5395" s="100"/>
      <c r="E5395" s="100"/>
      <c r="F5395" s="102"/>
      <c r="G5395" s="114"/>
    </row>
    <row r="5396" spans="2:7" ht="15.75" customHeight="1" x14ac:dyDescent="0.25">
      <c r="B5396" s="100"/>
      <c r="C5396" s="100"/>
      <c r="D5396" s="100"/>
      <c r="E5396" s="100"/>
      <c r="F5396" s="102"/>
      <c r="G5396" s="114"/>
    </row>
    <row r="5397" spans="2:7" ht="15.75" customHeight="1" x14ac:dyDescent="0.25">
      <c r="B5397" s="100"/>
      <c r="C5397" s="100"/>
      <c r="D5397" s="100"/>
      <c r="E5397" s="100"/>
      <c r="F5397" s="102"/>
      <c r="G5397" s="114"/>
    </row>
    <row r="5398" spans="2:7" ht="15.75" customHeight="1" x14ac:dyDescent="0.25">
      <c r="B5398" s="100"/>
      <c r="C5398" s="100"/>
      <c r="D5398" s="100"/>
      <c r="E5398" s="100"/>
      <c r="F5398" s="102"/>
      <c r="G5398" s="114"/>
    </row>
    <row r="5399" spans="2:7" ht="15.75" customHeight="1" x14ac:dyDescent="0.25">
      <c r="B5399" s="100"/>
      <c r="C5399" s="100"/>
      <c r="D5399" s="100"/>
      <c r="E5399" s="100"/>
      <c r="F5399" s="102"/>
      <c r="G5399" s="114"/>
    </row>
    <row r="5400" spans="2:7" ht="15.75" customHeight="1" x14ac:dyDescent="0.25">
      <c r="B5400" s="100"/>
      <c r="C5400" s="100"/>
      <c r="D5400" s="100"/>
      <c r="E5400" s="100"/>
      <c r="F5400" s="102"/>
      <c r="G5400" s="114"/>
    </row>
    <row r="5401" spans="2:7" ht="15.75" customHeight="1" x14ac:dyDescent="0.25">
      <c r="B5401" s="100"/>
      <c r="C5401" s="100"/>
      <c r="D5401" s="100"/>
      <c r="E5401" s="100"/>
      <c r="F5401" s="102"/>
      <c r="G5401" s="114"/>
    </row>
    <row r="5402" spans="2:7" ht="15.75" customHeight="1" x14ac:dyDescent="0.25">
      <c r="B5402" s="100"/>
      <c r="C5402" s="100"/>
      <c r="D5402" s="100"/>
      <c r="E5402" s="100"/>
      <c r="F5402" s="102"/>
      <c r="G5402" s="114"/>
    </row>
    <row r="5403" spans="2:7" ht="15.75" customHeight="1" x14ac:dyDescent="0.25">
      <c r="B5403" s="100"/>
      <c r="C5403" s="100"/>
      <c r="D5403" s="100"/>
      <c r="E5403" s="100"/>
      <c r="F5403" s="102"/>
      <c r="G5403" s="114"/>
    </row>
    <row r="5404" spans="2:7" ht="15.75" customHeight="1" x14ac:dyDescent="0.25">
      <c r="B5404" s="100"/>
      <c r="C5404" s="100"/>
      <c r="D5404" s="100"/>
      <c r="E5404" s="100"/>
      <c r="F5404" s="102"/>
      <c r="G5404" s="114"/>
    </row>
    <row r="5405" spans="2:7" ht="15.75" customHeight="1" x14ac:dyDescent="0.25">
      <c r="B5405" s="100"/>
      <c r="C5405" s="100"/>
      <c r="D5405" s="100"/>
      <c r="E5405" s="100"/>
      <c r="F5405" s="102"/>
      <c r="G5405" s="114"/>
    </row>
    <row r="5406" spans="2:7" ht="15.75" customHeight="1" x14ac:dyDescent="0.25">
      <c r="B5406" s="100"/>
      <c r="C5406" s="100"/>
      <c r="D5406" s="100"/>
      <c r="E5406" s="100"/>
      <c r="F5406" s="102"/>
      <c r="G5406" s="114"/>
    </row>
    <row r="5407" spans="2:7" ht="15.75" customHeight="1" x14ac:dyDescent="0.25">
      <c r="B5407" s="100"/>
      <c r="C5407" s="100"/>
      <c r="D5407" s="100"/>
      <c r="E5407" s="100"/>
      <c r="F5407" s="102"/>
      <c r="G5407" s="114"/>
    </row>
    <row r="5408" spans="2:7" ht="15.75" customHeight="1" x14ac:dyDescent="0.25">
      <c r="B5408" s="100"/>
      <c r="C5408" s="100"/>
      <c r="D5408" s="100"/>
      <c r="E5408" s="100"/>
      <c r="F5408" s="102"/>
      <c r="G5408" s="114"/>
    </row>
    <row r="5409" spans="2:7" ht="15.75" customHeight="1" x14ac:dyDescent="0.25">
      <c r="B5409" s="100"/>
      <c r="C5409" s="100"/>
      <c r="D5409" s="100"/>
      <c r="E5409" s="100"/>
      <c r="F5409" s="102"/>
      <c r="G5409" s="114"/>
    </row>
    <row r="5410" spans="2:7" ht="15.75" customHeight="1" x14ac:dyDescent="0.25">
      <c r="B5410" s="100"/>
      <c r="C5410" s="100"/>
      <c r="D5410" s="100"/>
      <c r="E5410" s="100"/>
      <c r="F5410" s="102"/>
      <c r="G5410" s="114"/>
    </row>
    <row r="5411" spans="2:7" ht="15.75" customHeight="1" x14ac:dyDescent="0.25">
      <c r="B5411" s="100"/>
      <c r="C5411" s="100"/>
      <c r="D5411" s="100"/>
      <c r="E5411" s="100"/>
      <c r="F5411" s="102"/>
      <c r="G5411" s="114"/>
    </row>
    <row r="5412" spans="2:7" ht="15.75" customHeight="1" x14ac:dyDescent="0.25">
      <c r="B5412" s="100"/>
      <c r="C5412" s="100"/>
      <c r="D5412" s="100"/>
      <c r="E5412" s="100"/>
      <c r="F5412" s="102"/>
      <c r="G5412" s="114"/>
    </row>
    <row r="5413" spans="2:7" ht="15.75" customHeight="1" x14ac:dyDescent="0.25">
      <c r="B5413" s="100"/>
      <c r="C5413" s="100"/>
      <c r="D5413" s="100"/>
      <c r="E5413" s="100"/>
      <c r="F5413" s="102"/>
      <c r="G5413" s="114"/>
    </row>
    <row r="5414" spans="2:7" ht="15.75" customHeight="1" x14ac:dyDescent="0.25">
      <c r="B5414" s="100"/>
      <c r="C5414" s="100"/>
      <c r="D5414" s="100"/>
      <c r="E5414" s="100"/>
      <c r="F5414" s="102"/>
      <c r="G5414" s="114"/>
    </row>
    <row r="5415" spans="2:7" ht="15.75" customHeight="1" x14ac:dyDescent="0.25">
      <c r="B5415" s="100"/>
      <c r="C5415" s="100"/>
      <c r="D5415" s="100"/>
      <c r="E5415" s="100"/>
      <c r="F5415" s="102"/>
      <c r="G5415" s="114"/>
    </row>
    <row r="5416" spans="2:7" ht="15.75" customHeight="1" x14ac:dyDescent="0.25">
      <c r="B5416" s="100"/>
      <c r="C5416" s="100"/>
      <c r="D5416" s="100"/>
      <c r="E5416" s="100"/>
      <c r="F5416" s="102"/>
      <c r="G5416" s="114"/>
    </row>
    <row r="5417" spans="2:7" ht="15.75" customHeight="1" x14ac:dyDescent="0.25">
      <c r="B5417" s="100"/>
      <c r="C5417" s="100"/>
      <c r="D5417" s="100"/>
      <c r="E5417" s="100"/>
      <c r="F5417" s="102"/>
      <c r="G5417" s="114"/>
    </row>
    <row r="5418" spans="2:7" ht="15.75" customHeight="1" x14ac:dyDescent="0.25">
      <c r="B5418" s="100"/>
      <c r="C5418" s="100"/>
      <c r="D5418" s="100"/>
      <c r="E5418" s="100"/>
      <c r="F5418" s="102"/>
      <c r="G5418" s="114"/>
    </row>
    <row r="5419" spans="2:7" ht="15.75" customHeight="1" x14ac:dyDescent="0.25">
      <c r="B5419" s="100"/>
      <c r="C5419" s="100"/>
      <c r="D5419" s="100"/>
      <c r="E5419" s="100"/>
      <c r="F5419" s="102"/>
      <c r="G5419" s="114"/>
    </row>
    <row r="5420" spans="2:7" ht="15.75" customHeight="1" x14ac:dyDescent="0.25">
      <c r="B5420" s="100"/>
      <c r="C5420" s="100"/>
      <c r="D5420" s="100"/>
      <c r="E5420" s="100"/>
      <c r="F5420" s="102"/>
      <c r="G5420" s="114"/>
    </row>
    <row r="5421" spans="2:7" ht="15.75" customHeight="1" x14ac:dyDescent="0.25">
      <c r="B5421" s="100"/>
      <c r="C5421" s="100"/>
      <c r="D5421" s="100"/>
      <c r="E5421" s="100"/>
      <c r="F5421" s="102"/>
      <c r="G5421" s="114"/>
    </row>
    <row r="5422" spans="2:7" ht="15.75" customHeight="1" x14ac:dyDescent="0.25">
      <c r="B5422" s="100"/>
      <c r="C5422" s="100"/>
      <c r="D5422" s="100"/>
      <c r="E5422" s="100"/>
      <c r="F5422" s="102"/>
      <c r="G5422" s="114"/>
    </row>
    <row r="5423" spans="2:7" ht="15.75" customHeight="1" x14ac:dyDescent="0.25">
      <c r="B5423" s="100"/>
      <c r="C5423" s="100"/>
      <c r="D5423" s="100"/>
      <c r="E5423" s="100"/>
      <c r="F5423" s="102"/>
      <c r="G5423" s="114"/>
    </row>
    <row r="5424" spans="2:7" ht="15.75" customHeight="1" x14ac:dyDescent="0.25">
      <c r="B5424" s="100"/>
      <c r="C5424" s="100"/>
      <c r="D5424" s="100"/>
      <c r="E5424" s="100"/>
      <c r="F5424" s="102"/>
      <c r="G5424" s="114"/>
    </row>
    <row r="5425" spans="2:7" ht="15.75" customHeight="1" x14ac:dyDescent="0.25">
      <c r="B5425" s="100"/>
      <c r="C5425" s="100"/>
      <c r="D5425" s="100"/>
      <c r="E5425" s="100"/>
      <c r="F5425" s="102"/>
      <c r="G5425" s="114"/>
    </row>
    <row r="5426" spans="2:7" ht="15.75" customHeight="1" x14ac:dyDescent="0.25">
      <c r="B5426" s="100"/>
      <c r="C5426" s="100"/>
      <c r="D5426" s="100"/>
      <c r="E5426" s="100"/>
      <c r="F5426" s="102"/>
      <c r="G5426" s="114"/>
    </row>
    <row r="5427" spans="2:7" ht="15.75" customHeight="1" x14ac:dyDescent="0.25">
      <c r="B5427" s="100"/>
      <c r="C5427" s="100"/>
      <c r="D5427" s="100"/>
      <c r="E5427" s="100"/>
      <c r="F5427" s="102"/>
      <c r="G5427" s="114"/>
    </row>
    <row r="5428" spans="2:7" ht="15.75" customHeight="1" x14ac:dyDescent="0.25">
      <c r="B5428" s="100"/>
      <c r="C5428" s="100"/>
      <c r="D5428" s="100"/>
      <c r="E5428" s="100"/>
      <c r="F5428" s="102"/>
      <c r="G5428" s="114"/>
    </row>
    <row r="5429" spans="2:7" ht="15.75" customHeight="1" x14ac:dyDescent="0.25">
      <c r="B5429" s="100"/>
      <c r="C5429" s="100"/>
      <c r="D5429" s="100"/>
      <c r="E5429" s="100"/>
      <c r="F5429" s="102"/>
      <c r="G5429" s="114"/>
    </row>
    <row r="5430" spans="2:7" ht="15.75" customHeight="1" x14ac:dyDescent="0.25">
      <c r="B5430" s="100"/>
      <c r="C5430" s="100"/>
      <c r="D5430" s="100"/>
      <c r="E5430" s="100"/>
      <c r="F5430" s="102"/>
      <c r="G5430" s="114"/>
    </row>
    <row r="5431" spans="2:7" ht="15.75" customHeight="1" x14ac:dyDescent="0.25">
      <c r="B5431" s="100"/>
      <c r="C5431" s="100"/>
      <c r="D5431" s="100"/>
      <c r="E5431" s="100"/>
      <c r="F5431" s="102"/>
      <c r="G5431" s="114"/>
    </row>
    <row r="5432" spans="2:7" ht="15.75" customHeight="1" x14ac:dyDescent="0.25">
      <c r="B5432" s="100"/>
      <c r="C5432" s="100"/>
      <c r="D5432" s="100"/>
      <c r="E5432" s="100"/>
      <c r="F5432" s="102"/>
      <c r="G5432" s="114"/>
    </row>
    <row r="5433" spans="2:7" ht="15.75" customHeight="1" x14ac:dyDescent="0.25">
      <c r="B5433" s="100"/>
      <c r="C5433" s="100"/>
      <c r="D5433" s="100"/>
      <c r="E5433" s="100"/>
      <c r="F5433" s="102"/>
      <c r="G5433" s="114"/>
    </row>
    <row r="5434" spans="2:7" ht="15.75" customHeight="1" x14ac:dyDescent="0.25">
      <c r="B5434" s="100"/>
      <c r="C5434" s="100"/>
      <c r="D5434" s="100"/>
      <c r="E5434" s="100"/>
      <c r="F5434" s="102"/>
      <c r="G5434" s="114"/>
    </row>
    <row r="5435" spans="2:7" ht="15.75" customHeight="1" x14ac:dyDescent="0.25">
      <c r="B5435" s="100"/>
      <c r="C5435" s="100"/>
      <c r="D5435" s="100"/>
      <c r="E5435" s="100"/>
      <c r="F5435" s="102"/>
      <c r="G5435" s="114"/>
    </row>
    <row r="5436" spans="2:7" ht="15.75" customHeight="1" x14ac:dyDescent="0.25">
      <c r="B5436" s="100"/>
      <c r="C5436" s="100"/>
      <c r="D5436" s="100"/>
      <c r="E5436" s="100"/>
      <c r="F5436" s="102"/>
      <c r="G5436" s="114"/>
    </row>
    <row r="5437" spans="2:7" ht="15.75" customHeight="1" x14ac:dyDescent="0.25">
      <c r="B5437" s="100"/>
      <c r="C5437" s="100"/>
      <c r="D5437" s="100"/>
      <c r="E5437" s="100"/>
      <c r="F5437" s="102"/>
      <c r="G5437" s="114"/>
    </row>
    <row r="5438" spans="2:7" ht="15.75" customHeight="1" x14ac:dyDescent="0.25">
      <c r="B5438" s="100"/>
      <c r="C5438" s="100"/>
      <c r="D5438" s="100"/>
      <c r="E5438" s="100"/>
      <c r="F5438" s="102"/>
      <c r="G5438" s="114"/>
    </row>
    <row r="5439" spans="2:7" ht="15.75" customHeight="1" x14ac:dyDescent="0.25">
      <c r="B5439" s="100"/>
      <c r="C5439" s="100"/>
      <c r="D5439" s="100"/>
      <c r="E5439" s="100"/>
      <c r="F5439" s="102"/>
      <c r="G5439" s="114"/>
    </row>
    <row r="5440" spans="2:7" ht="15.75" customHeight="1" x14ac:dyDescent="0.25">
      <c r="B5440" s="100"/>
      <c r="C5440" s="100"/>
      <c r="D5440" s="100"/>
      <c r="E5440" s="100"/>
      <c r="F5440" s="102"/>
      <c r="G5440" s="114"/>
    </row>
    <row r="5441" spans="2:7" ht="15.75" customHeight="1" x14ac:dyDescent="0.25">
      <c r="B5441" s="100"/>
      <c r="C5441" s="100"/>
      <c r="D5441" s="100"/>
      <c r="E5441" s="100"/>
      <c r="F5441" s="102"/>
      <c r="G5441" s="114"/>
    </row>
    <row r="5442" spans="2:7" ht="15.75" customHeight="1" x14ac:dyDescent="0.25">
      <c r="B5442" s="100"/>
      <c r="C5442" s="100"/>
      <c r="D5442" s="100"/>
      <c r="E5442" s="100"/>
      <c r="F5442" s="102"/>
      <c r="G5442" s="114"/>
    </row>
    <row r="5443" spans="2:7" ht="15.75" customHeight="1" x14ac:dyDescent="0.25">
      <c r="B5443" s="100"/>
      <c r="C5443" s="100"/>
      <c r="D5443" s="100"/>
      <c r="E5443" s="100"/>
      <c r="F5443" s="102"/>
      <c r="G5443" s="114"/>
    </row>
    <row r="5444" spans="2:7" ht="15.75" customHeight="1" x14ac:dyDescent="0.25">
      <c r="B5444" s="100"/>
      <c r="C5444" s="100"/>
      <c r="D5444" s="100"/>
      <c r="E5444" s="100"/>
      <c r="F5444" s="102"/>
      <c r="G5444" s="114"/>
    </row>
    <row r="5445" spans="2:7" ht="15.75" customHeight="1" x14ac:dyDescent="0.25">
      <c r="B5445" s="100"/>
      <c r="C5445" s="100"/>
      <c r="D5445" s="100"/>
      <c r="E5445" s="100"/>
      <c r="F5445" s="102"/>
      <c r="G5445" s="114"/>
    </row>
    <row r="5446" spans="2:7" ht="15.75" customHeight="1" x14ac:dyDescent="0.25">
      <c r="B5446" s="100"/>
      <c r="C5446" s="100"/>
      <c r="D5446" s="100"/>
      <c r="E5446" s="100"/>
      <c r="F5446" s="102"/>
      <c r="G5446" s="114"/>
    </row>
    <row r="5447" spans="2:7" ht="15.75" customHeight="1" x14ac:dyDescent="0.25">
      <c r="B5447" s="100"/>
      <c r="C5447" s="100"/>
      <c r="D5447" s="100"/>
      <c r="E5447" s="100"/>
      <c r="F5447" s="102"/>
      <c r="G5447" s="114"/>
    </row>
    <row r="5448" spans="2:7" ht="15.75" customHeight="1" x14ac:dyDescent="0.25">
      <c r="B5448" s="100"/>
      <c r="C5448" s="100"/>
      <c r="D5448" s="100"/>
      <c r="E5448" s="100"/>
      <c r="F5448" s="102"/>
      <c r="G5448" s="114"/>
    </row>
    <row r="5449" spans="2:7" ht="15.75" customHeight="1" x14ac:dyDescent="0.25">
      <c r="B5449" s="100"/>
      <c r="C5449" s="100"/>
      <c r="D5449" s="100"/>
      <c r="E5449" s="100"/>
      <c r="F5449" s="102"/>
      <c r="G5449" s="114"/>
    </row>
    <row r="5450" spans="2:7" ht="15.75" customHeight="1" x14ac:dyDescent="0.25">
      <c r="B5450" s="100"/>
      <c r="C5450" s="100"/>
      <c r="D5450" s="100"/>
      <c r="E5450" s="100"/>
      <c r="F5450" s="102"/>
      <c r="G5450" s="114"/>
    </row>
    <row r="5451" spans="2:7" ht="15.75" customHeight="1" x14ac:dyDescent="0.25">
      <c r="B5451" s="100"/>
      <c r="C5451" s="100"/>
      <c r="D5451" s="100"/>
      <c r="E5451" s="100"/>
      <c r="F5451" s="102"/>
      <c r="G5451" s="114"/>
    </row>
    <row r="5452" spans="2:7" ht="15.75" customHeight="1" x14ac:dyDescent="0.25">
      <c r="B5452" s="100"/>
      <c r="C5452" s="100"/>
      <c r="D5452" s="100"/>
      <c r="E5452" s="100"/>
      <c r="F5452" s="102"/>
      <c r="G5452" s="114"/>
    </row>
    <row r="5453" spans="2:7" ht="15.75" customHeight="1" x14ac:dyDescent="0.25">
      <c r="B5453" s="100"/>
      <c r="C5453" s="100"/>
      <c r="D5453" s="100"/>
      <c r="E5453" s="100"/>
      <c r="F5453" s="102"/>
      <c r="G5453" s="114"/>
    </row>
    <row r="5454" spans="2:7" ht="15.75" customHeight="1" x14ac:dyDescent="0.25">
      <c r="B5454" s="100"/>
      <c r="C5454" s="100"/>
      <c r="D5454" s="100"/>
      <c r="E5454" s="100"/>
      <c r="F5454" s="102"/>
      <c r="G5454" s="114"/>
    </row>
    <row r="5455" spans="2:7" ht="15.75" customHeight="1" x14ac:dyDescent="0.25">
      <c r="B5455" s="100"/>
      <c r="C5455" s="100"/>
      <c r="D5455" s="100"/>
      <c r="E5455" s="100"/>
      <c r="F5455" s="102"/>
      <c r="G5455" s="114"/>
    </row>
    <row r="5456" spans="2:7" ht="15.75" customHeight="1" x14ac:dyDescent="0.25">
      <c r="B5456" s="100"/>
      <c r="C5456" s="100"/>
      <c r="D5456" s="100"/>
      <c r="E5456" s="100"/>
      <c r="F5456" s="102"/>
      <c r="G5456" s="114"/>
    </row>
    <row r="5457" spans="2:7" ht="15.75" customHeight="1" x14ac:dyDescent="0.25">
      <c r="B5457" s="100"/>
      <c r="C5457" s="100"/>
      <c r="D5457" s="100"/>
      <c r="E5457" s="100"/>
      <c r="F5457" s="102"/>
      <c r="G5457" s="114"/>
    </row>
    <row r="5458" spans="2:7" ht="15.75" customHeight="1" x14ac:dyDescent="0.25">
      <c r="B5458" s="100"/>
      <c r="C5458" s="100"/>
      <c r="D5458" s="100"/>
      <c r="E5458" s="100"/>
      <c r="F5458" s="102"/>
      <c r="G5458" s="114"/>
    </row>
    <row r="5459" spans="2:7" ht="15.75" customHeight="1" x14ac:dyDescent="0.25">
      <c r="B5459" s="100"/>
      <c r="C5459" s="100"/>
      <c r="D5459" s="100"/>
      <c r="E5459" s="100"/>
      <c r="F5459" s="102"/>
      <c r="G5459" s="114"/>
    </row>
    <row r="5460" spans="2:7" ht="15.75" customHeight="1" x14ac:dyDescent="0.25">
      <c r="B5460" s="100"/>
      <c r="C5460" s="100"/>
      <c r="D5460" s="100"/>
      <c r="E5460" s="100"/>
      <c r="F5460" s="102"/>
      <c r="G5460" s="114"/>
    </row>
    <row r="5461" spans="2:7" ht="15.75" customHeight="1" x14ac:dyDescent="0.25">
      <c r="B5461" s="100"/>
      <c r="C5461" s="100"/>
      <c r="D5461" s="100"/>
      <c r="E5461" s="100"/>
      <c r="F5461" s="102"/>
      <c r="G5461" s="114"/>
    </row>
    <row r="5462" spans="2:7" ht="15.75" customHeight="1" x14ac:dyDescent="0.25">
      <c r="B5462" s="100"/>
      <c r="C5462" s="100"/>
      <c r="D5462" s="100"/>
      <c r="E5462" s="100"/>
      <c r="F5462" s="102"/>
      <c r="G5462" s="114"/>
    </row>
    <row r="5463" spans="2:7" ht="15.75" customHeight="1" x14ac:dyDescent="0.25">
      <c r="B5463" s="100"/>
      <c r="C5463" s="100"/>
      <c r="D5463" s="100"/>
      <c r="E5463" s="100"/>
      <c r="F5463" s="102"/>
      <c r="G5463" s="114"/>
    </row>
    <row r="5464" spans="2:7" ht="15.75" customHeight="1" x14ac:dyDescent="0.25">
      <c r="B5464" s="100"/>
      <c r="C5464" s="100"/>
      <c r="D5464" s="100"/>
      <c r="E5464" s="100"/>
      <c r="F5464" s="102"/>
      <c r="G5464" s="114"/>
    </row>
    <row r="5465" spans="2:7" ht="15.75" customHeight="1" x14ac:dyDescent="0.25">
      <c r="B5465" s="100"/>
      <c r="C5465" s="100"/>
      <c r="D5465" s="100"/>
      <c r="E5465" s="100"/>
      <c r="F5465" s="102"/>
      <c r="G5465" s="114"/>
    </row>
    <row r="5466" spans="2:7" ht="15.75" customHeight="1" x14ac:dyDescent="0.25">
      <c r="B5466" s="100"/>
      <c r="C5466" s="100"/>
      <c r="D5466" s="100"/>
      <c r="E5466" s="100"/>
      <c r="F5466" s="102"/>
      <c r="G5466" s="114"/>
    </row>
    <row r="5467" spans="2:7" ht="15.75" customHeight="1" x14ac:dyDescent="0.25">
      <c r="B5467" s="100"/>
      <c r="C5467" s="100"/>
      <c r="D5467" s="100"/>
      <c r="E5467" s="100"/>
      <c r="F5467" s="102"/>
      <c r="G5467" s="114"/>
    </row>
    <row r="5468" spans="2:7" ht="15.75" customHeight="1" x14ac:dyDescent="0.25">
      <c r="B5468" s="100"/>
      <c r="C5468" s="100"/>
      <c r="D5468" s="100"/>
      <c r="E5468" s="100"/>
      <c r="F5468" s="102"/>
      <c r="G5468" s="114"/>
    </row>
    <row r="5469" spans="2:7" ht="15.75" customHeight="1" x14ac:dyDescent="0.25">
      <c r="B5469" s="100"/>
      <c r="C5469" s="100"/>
      <c r="D5469" s="100"/>
      <c r="E5469" s="100"/>
      <c r="F5469" s="102"/>
      <c r="G5469" s="114"/>
    </row>
    <row r="5470" spans="2:7" ht="15.75" customHeight="1" x14ac:dyDescent="0.25">
      <c r="B5470" s="100"/>
      <c r="C5470" s="100"/>
      <c r="D5470" s="100"/>
      <c r="E5470" s="100"/>
      <c r="F5470" s="102"/>
      <c r="G5470" s="114"/>
    </row>
    <row r="5471" spans="2:7" ht="15.75" customHeight="1" x14ac:dyDescent="0.25">
      <c r="B5471" s="100"/>
      <c r="C5471" s="100"/>
      <c r="D5471" s="100"/>
      <c r="E5471" s="100"/>
      <c r="F5471" s="102"/>
      <c r="G5471" s="114"/>
    </row>
    <row r="5472" spans="2:7" ht="15.75" customHeight="1" x14ac:dyDescent="0.25">
      <c r="B5472" s="100"/>
      <c r="C5472" s="100"/>
      <c r="D5472" s="100"/>
      <c r="E5472" s="100"/>
      <c r="F5472" s="102"/>
      <c r="G5472" s="114"/>
    </row>
    <row r="5473" spans="2:7" ht="15.75" customHeight="1" x14ac:dyDescent="0.25">
      <c r="B5473" s="100"/>
      <c r="C5473" s="100"/>
      <c r="D5473" s="100"/>
      <c r="E5473" s="100"/>
      <c r="F5473" s="102"/>
      <c r="G5473" s="114"/>
    </row>
    <row r="5474" spans="2:7" ht="15.75" customHeight="1" x14ac:dyDescent="0.25">
      <c r="B5474" s="100"/>
      <c r="C5474" s="100"/>
      <c r="D5474" s="100"/>
      <c r="E5474" s="100"/>
      <c r="F5474" s="102"/>
      <c r="G5474" s="114"/>
    </row>
    <row r="5475" spans="2:7" ht="15.75" customHeight="1" x14ac:dyDescent="0.25">
      <c r="B5475" s="100"/>
      <c r="C5475" s="100"/>
      <c r="D5475" s="100"/>
      <c r="E5475" s="100"/>
      <c r="F5475" s="102"/>
      <c r="G5475" s="114"/>
    </row>
    <row r="5476" spans="2:7" ht="15.75" customHeight="1" x14ac:dyDescent="0.25">
      <c r="B5476" s="100"/>
      <c r="C5476" s="100"/>
      <c r="D5476" s="100"/>
      <c r="E5476" s="100"/>
      <c r="F5476" s="102"/>
      <c r="G5476" s="114"/>
    </row>
    <row r="5477" spans="2:7" ht="15.75" customHeight="1" x14ac:dyDescent="0.25">
      <c r="B5477" s="100"/>
      <c r="C5477" s="100"/>
      <c r="D5477" s="100"/>
      <c r="E5477" s="100"/>
      <c r="F5477" s="102"/>
      <c r="G5477" s="114"/>
    </row>
    <row r="5478" spans="2:7" ht="15.75" customHeight="1" x14ac:dyDescent="0.25">
      <c r="B5478" s="100"/>
      <c r="C5478" s="100"/>
      <c r="D5478" s="100"/>
      <c r="E5478" s="100"/>
      <c r="F5478" s="102"/>
      <c r="G5478" s="114"/>
    </row>
    <row r="5479" spans="2:7" ht="15.75" customHeight="1" x14ac:dyDescent="0.25">
      <c r="B5479" s="100"/>
      <c r="C5479" s="100"/>
      <c r="D5479" s="100"/>
      <c r="E5479" s="100"/>
      <c r="F5479" s="102"/>
      <c r="G5479" s="114"/>
    </row>
    <row r="5480" spans="2:7" ht="15.75" customHeight="1" x14ac:dyDescent="0.25">
      <c r="B5480" s="100"/>
      <c r="C5480" s="100"/>
      <c r="D5480" s="100"/>
      <c r="E5480" s="100"/>
      <c r="F5480" s="102"/>
      <c r="G5480" s="114"/>
    </row>
    <row r="5481" spans="2:7" ht="15.75" customHeight="1" x14ac:dyDescent="0.25">
      <c r="B5481" s="100"/>
      <c r="C5481" s="100"/>
      <c r="D5481" s="100"/>
      <c r="E5481" s="100"/>
      <c r="F5481" s="102"/>
      <c r="G5481" s="114"/>
    </row>
    <row r="5482" spans="2:7" ht="15.75" customHeight="1" x14ac:dyDescent="0.25">
      <c r="B5482" s="100"/>
      <c r="C5482" s="100"/>
      <c r="D5482" s="100"/>
      <c r="E5482" s="100"/>
      <c r="F5482" s="102"/>
      <c r="G5482" s="114"/>
    </row>
    <row r="5483" spans="2:7" ht="15.75" customHeight="1" x14ac:dyDescent="0.25">
      <c r="B5483" s="100"/>
      <c r="C5483" s="100"/>
      <c r="D5483" s="100"/>
      <c r="E5483" s="100"/>
      <c r="F5483" s="102"/>
      <c r="G5483" s="114"/>
    </row>
    <row r="5484" spans="2:7" ht="15.75" customHeight="1" x14ac:dyDescent="0.25">
      <c r="B5484" s="100"/>
      <c r="C5484" s="100"/>
      <c r="D5484" s="100"/>
      <c r="E5484" s="100"/>
      <c r="F5484" s="102"/>
      <c r="G5484" s="114"/>
    </row>
    <row r="5485" spans="2:7" ht="15.75" customHeight="1" x14ac:dyDescent="0.25">
      <c r="B5485" s="100"/>
      <c r="C5485" s="100"/>
      <c r="D5485" s="100"/>
      <c r="E5485" s="100"/>
      <c r="F5485" s="102"/>
      <c r="G5485" s="114"/>
    </row>
    <row r="5486" spans="2:7" ht="15.75" customHeight="1" x14ac:dyDescent="0.25">
      <c r="B5486" s="100"/>
      <c r="C5486" s="100"/>
      <c r="D5486" s="100"/>
      <c r="E5486" s="100"/>
      <c r="F5486" s="102"/>
      <c r="G5486" s="114"/>
    </row>
    <row r="5487" spans="2:7" ht="15.75" customHeight="1" x14ac:dyDescent="0.25">
      <c r="B5487" s="100"/>
      <c r="C5487" s="100"/>
      <c r="D5487" s="100"/>
      <c r="E5487" s="100"/>
      <c r="F5487" s="102"/>
      <c r="G5487" s="114"/>
    </row>
    <row r="5488" spans="2:7" ht="15.75" customHeight="1" x14ac:dyDescent="0.25">
      <c r="B5488" s="100"/>
      <c r="C5488" s="100"/>
      <c r="D5488" s="100"/>
      <c r="E5488" s="100"/>
      <c r="F5488" s="102"/>
      <c r="G5488" s="114"/>
    </row>
    <row r="5489" spans="2:7" ht="15.75" customHeight="1" x14ac:dyDescent="0.25">
      <c r="B5489" s="100"/>
      <c r="C5489" s="100"/>
      <c r="D5489" s="100"/>
      <c r="E5489" s="100"/>
      <c r="F5489" s="102"/>
      <c r="G5489" s="114"/>
    </row>
    <row r="5490" spans="2:7" ht="15.75" customHeight="1" x14ac:dyDescent="0.25">
      <c r="B5490" s="100"/>
      <c r="C5490" s="100"/>
      <c r="D5490" s="100"/>
      <c r="E5490" s="100"/>
      <c r="F5490" s="102"/>
      <c r="G5490" s="114"/>
    </row>
    <row r="5491" spans="2:7" ht="15.75" customHeight="1" x14ac:dyDescent="0.25">
      <c r="B5491" s="100"/>
      <c r="C5491" s="100"/>
      <c r="D5491" s="100"/>
      <c r="E5491" s="100"/>
      <c r="F5491" s="102"/>
      <c r="G5491" s="114"/>
    </row>
    <row r="5492" spans="2:7" ht="15.75" customHeight="1" x14ac:dyDescent="0.25">
      <c r="B5492" s="100"/>
      <c r="C5492" s="100"/>
      <c r="D5492" s="100"/>
      <c r="E5492" s="100"/>
      <c r="F5492" s="102"/>
      <c r="G5492" s="114"/>
    </row>
    <row r="5493" spans="2:7" ht="15.75" customHeight="1" x14ac:dyDescent="0.25">
      <c r="B5493" s="100"/>
      <c r="C5493" s="100"/>
      <c r="D5493" s="100"/>
      <c r="E5493" s="100"/>
      <c r="F5493" s="102"/>
      <c r="G5493" s="114"/>
    </row>
    <row r="5494" spans="2:7" ht="15.75" customHeight="1" x14ac:dyDescent="0.25">
      <c r="B5494" s="100"/>
      <c r="C5494" s="100"/>
      <c r="D5494" s="100"/>
      <c r="E5494" s="100"/>
      <c r="F5494" s="102"/>
      <c r="G5494" s="114"/>
    </row>
    <row r="5495" spans="2:7" ht="15.75" customHeight="1" x14ac:dyDescent="0.25">
      <c r="B5495" s="100"/>
      <c r="C5495" s="100"/>
      <c r="D5495" s="100"/>
      <c r="E5495" s="100"/>
      <c r="F5495" s="102"/>
      <c r="G5495" s="114"/>
    </row>
    <row r="5496" spans="2:7" ht="15.75" customHeight="1" x14ac:dyDescent="0.25">
      <c r="B5496" s="100"/>
      <c r="C5496" s="100"/>
      <c r="D5496" s="100"/>
      <c r="E5496" s="100"/>
      <c r="F5496" s="102"/>
      <c r="G5496" s="114"/>
    </row>
    <row r="5497" spans="2:7" ht="15.75" customHeight="1" x14ac:dyDescent="0.25">
      <c r="B5497" s="100"/>
      <c r="C5497" s="100"/>
      <c r="D5497" s="100"/>
      <c r="E5497" s="100"/>
      <c r="F5497" s="102"/>
      <c r="G5497" s="114"/>
    </row>
    <row r="5498" spans="2:7" ht="15.75" customHeight="1" x14ac:dyDescent="0.25">
      <c r="B5498" s="100"/>
      <c r="C5498" s="100"/>
      <c r="D5498" s="100"/>
      <c r="E5498" s="100"/>
      <c r="F5498" s="102"/>
      <c r="G5498" s="114"/>
    </row>
    <row r="5499" spans="2:7" ht="15.75" customHeight="1" x14ac:dyDescent="0.25">
      <c r="B5499" s="100"/>
      <c r="C5499" s="100"/>
      <c r="D5499" s="100"/>
      <c r="E5499" s="100"/>
      <c r="F5499" s="102"/>
      <c r="G5499" s="114"/>
    </row>
    <row r="5500" spans="2:7" ht="15.75" customHeight="1" x14ac:dyDescent="0.25">
      <c r="B5500" s="100"/>
      <c r="C5500" s="100"/>
      <c r="D5500" s="100"/>
      <c r="E5500" s="100"/>
      <c r="F5500" s="102"/>
      <c r="G5500" s="114"/>
    </row>
    <row r="5501" spans="2:7" ht="15.75" customHeight="1" x14ac:dyDescent="0.25">
      <c r="B5501" s="100"/>
      <c r="C5501" s="100"/>
      <c r="D5501" s="100"/>
      <c r="E5501" s="100"/>
      <c r="F5501" s="102"/>
      <c r="G5501" s="114"/>
    </row>
    <row r="5502" spans="2:7" ht="15.75" customHeight="1" x14ac:dyDescent="0.25">
      <c r="B5502" s="100"/>
      <c r="C5502" s="100"/>
      <c r="D5502" s="100"/>
      <c r="E5502" s="100"/>
      <c r="F5502" s="102"/>
      <c r="G5502" s="114"/>
    </row>
    <row r="5503" spans="2:7" ht="15.75" customHeight="1" x14ac:dyDescent="0.25">
      <c r="B5503" s="100"/>
      <c r="C5503" s="100"/>
      <c r="D5503" s="100"/>
      <c r="E5503" s="100"/>
      <c r="F5503" s="102"/>
      <c r="G5503" s="114"/>
    </row>
    <row r="5504" spans="2:7" ht="15.75" customHeight="1" x14ac:dyDescent="0.25">
      <c r="B5504" s="100"/>
      <c r="C5504" s="100"/>
      <c r="D5504" s="100"/>
      <c r="E5504" s="100"/>
      <c r="F5504" s="102"/>
      <c r="G5504" s="114"/>
    </row>
    <row r="5505" spans="2:7" ht="15.75" customHeight="1" x14ac:dyDescent="0.25">
      <c r="B5505" s="100"/>
      <c r="C5505" s="100"/>
      <c r="D5505" s="100"/>
      <c r="E5505" s="100"/>
      <c r="F5505" s="102"/>
      <c r="G5505" s="114"/>
    </row>
    <row r="5506" spans="2:7" ht="15.75" customHeight="1" x14ac:dyDescent="0.25">
      <c r="B5506" s="100"/>
      <c r="C5506" s="100"/>
      <c r="D5506" s="100"/>
      <c r="E5506" s="100"/>
      <c r="F5506" s="102"/>
      <c r="G5506" s="114"/>
    </row>
    <row r="5507" spans="2:7" ht="15.75" customHeight="1" x14ac:dyDescent="0.25">
      <c r="B5507" s="100"/>
      <c r="C5507" s="100"/>
      <c r="D5507" s="100"/>
      <c r="E5507" s="100"/>
      <c r="F5507" s="102"/>
      <c r="G5507" s="114"/>
    </row>
    <row r="5508" spans="2:7" ht="15.75" customHeight="1" x14ac:dyDescent="0.25">
      <c r="B5508" s="100"/>
      <c r="C5508" s="100"/>
      <c r="D5508" s="100"/>
      <c r="E5508" s="100"/>
      <c r="F5508" s="102"/>
      <c r="G5508" s="114"/>
    </row>
    <row r="5509" spans="2:7" ht="15.75" customHeight="1" x14ac:dyDescent="0.25">
      <c r="B5509" s="100"/>
      <c r="C5509" s="100"/>
      <c r="D5509" s="100"/>
      <c r="E5509" s="100"/>
      <c r="F5509" s="102"/>
      <c r="G5509" s="114"/>
    </row>
    <row r="5510" spans="2:7" ht="15.75" customHeight="1" x14ac:dyDescent="0.25">
      <c r="B5510" s="100"/>
      <c r="C5510" s="100"/>
      <c r="D5510" s="100"/>
      <c r="E5510" s="100"/>
      <c r="F5510" s="102"/>
      <c r="G5510" s="114"/>
    </row>
    <row r="5511" spans="2:7" ht="15.75" customHeight="1" x14ac:dyDescent="0.25">
      <c r="B5511" s="100"/>
      <c r="C5511" s="100"/>
      <c r="D5511" s="100"/>
      <c r="E5511" s="100"/>
      <c r="F5511" s="102"/>
      <c r="G5511" s="114"/>
    </row>
    <row r="5512" spans="2:7" ht="15.75" customHeight="1" x14ac:dyDescent="0.25">
      <c r="B5512" s="100"/>
      <c r="C5512" s="100"/>
      <c r="D5512" s="100"/>
      <c r="E5512" s="100"/>
      <c r="F5512" s="102"/>
      <c r="G5512" s="114"/>
    </row>
    <row r="5513" spans="2:7" ht="15.75" customHeight="1" x14ac:dyDescent="0.25">
      <c r="B5513" s="100"/>
      <c r="C5513" s="100"/>
      <c r="D5513" s="100"/>
      <c r="E5513" s="100"/>
      <c r="F5513" s="102"/>
      <c r="G5513" s="114"/>
    </row>
    <row r="5514" spans="2:7" ht="15.75" customHeight="1" x14ac:dyDescent="0.25">
      <c r="B5514" s="100"/>
      <c r="C5514" s="100"/>
      <c r="D5514" s="100"/>
      <c r="E5514" s="100"/>
      <c r="F5514" s="102"/>
      <c r="G5514" s="114"/>
    </row>
    <row r="5515" spans="2:7" ht="15.75" customHeight="1" x14ac:dyDescent="0.25">
      <c r="B5515" s="100"/>
      <c r="C5515" s="100"/>
      <c r="D5515" s="100"/>
      <c r="E5515" s="100"/>
      <c r="F5515" s="102"/>
      <c r="G5515" s="114"/>
    </row>
    <row r="5516" spans="2:7" ht="15.75" customHeight="1" x14ac:dyDescent="0.25">
      <c r="B5516" s="100"/>
      <c r="C5516" s="100"/>
      <c r="D5516" s="100"/>
      <c r="E5516" s="100"/>
      <c r="F5516" s="102"/>
      <c r="G5516" s="114"/>
    </row>
    <row r="5517" spans="2:7" ht="15.75" customHeight="1" x14ac:dyDescent="0.25">
      <c r="B5517" s="100"/>
      <c r="C5517" s="100"/>
      <c r="D5517" s="100"/>
      <c r="E5517" s="100"/>
      <c r="F5517" s="102"/>
      <c r="G5517" s="114"/>
    </row>
    <row r="5518" spans="2:7" ht="15.75" customHeight="1" x14ac:dyDescent="0.25">
      <c r="B5518" s="100"/>
      <c r="C5518" s="100"/>
      <c r="D5518" s="100"/>
      <c r="E5518" s="100"/>
      <c r="F5518" s="102"/>
      <c r="G5518" s="114"/>
    </row>
    <row r="5519" spans="2:7" ht="15.75" customHeight="1" x14ac:dyDescent="0.25">
      <c r="B5519" s="100"/>
      <c r="C5519" s="100"/>
      <c r="D5519" s="100"/>
      <c r="E5519" s="100"/>
      <c r="F5519" s="102"/>
      <c r="G5519" s="114"/>
    </row>
    <row r="5520" spans="2:7" ht="15.75" customHeight="1" x14ac:dyDescent="0.25">
      <c r="B5520" s="100"/>
      <c r="C5520" s="100"/>
      <c r="D5520" s="100"/>
      <c r="E5520" s="100"/>
      <c r="F5520" s="102"/>
      <c r="G5520" s="114"/>
    </row>
    <row r="5521" spans="2:7" ht="15.75" customHeight="1" x14ac:dyDescent="0.25">
      <c r="B5521" s="100"/>
      <c r="C5521" s="100"/>
      <c r="D5521" s="100"/>
      <c r="E5521" s="100"/>
      <c r="F5521" s="102"/>
      <c r="G5521" s="114"/>
    </row>
    <row r="5522" spans="2:7" ht="15.75" customHeight="1" x14ac:dyDescent="0.25">
      <c r="B5522" s="100"/>
      <c r="C5522" s="100"/>
      <c r="D5522" s="100"/>
      <c r="E5522" s="100"/>
      <c r="F5522" s="102"/>
      <c r="G5522" s="114"/>
    </row>
    <row r="5523" spans="2:7" ht="15.75" customHeight="1" x14ac:dyDescent="0.25">
      <c r="B5523" s="100"/>
      <c r="C5523" s="100"/>
      <c r="D5523" s="100"/>
      <c r="E5523" s="100"/>
      <c r="F5523" s="102"/>
      <c r="G5523" s="114"/>
    </row>
    <row r="5524" spans="2:7" ht="15.75" customHeight="1" x14ac:dyDescent="0.25">
      <c r="B5524" s="100"/>
      <c r="C5524" s="100"/>
      <c r="D5524" s="100"/>
      <c r="E5524" s="100"/>
      <c r="F5524" s="102"/>
      <c r="G5524" s="114"/>
    </row>
    <row r="5525" spans="2:7" ht="15.75" customHeight="1" x14ac:dyDescent="0.25">
      <c r="B5525" s="100"/>
      <c r="C5525" s="100"/>
      <c r="D5525" s="100"/>
      <c r="E5525" s="100"/>
      <c r="F5525" s="102"/>
      <c r="G5525" s="114"/>
    </row>
    <row r="5526" spans="2:7" ht="15.75" customHeight="1" x14ac:dyDescent="0.25">
      <c r="B5526" s="100"/>
      <c r="C5526" s="100"/>
      <c r="D5526" s="100"/>
      <c r="E5526" s="100"/>
      <c r="F5526" s="102"/>
      <c r="G5526" s="114"/>
    </row>
    <row r="5527" spans="2:7" ht="15.75" customHeight="1" x14ac:dyDescent="0.25">
      <c r="B5527" s="100"/>
      <c r="C5527" s="100"/>
      <c r="D5527" s="100"/>
      <c r="E5527" s="100"/>
      <c r="F5527" s="102"/>
      <c r="G5527" s="114"/>
    </row>
    <row r="5528" spans="2:7" ht="15.75" customHeight="1" x14ac:dyDescent="0.25">
      <c r="B5528" s="100"/>
      <c r="C5528" s="100"/>
      <c r="D5528" s="100"/>
      <c r="E5528" s="100"/>
      <c r="F5528" s="102"/>
      <c r="G5528" s="114"/>
    </row>
    <row r="5529" spans="2:7" ht="15.75" customHeight="1" x14ac:dyDescent="0.25">
      <c r="B5529" s="100"/>
      <c r="C5529" s="100"/>
      <c r="D5529" s="100"/>
      <c r="E5529" s="100"/>
      <c r="F5529" s="102"/>
      <c r="G5529" s="114"/>
    </row>
    <row r="5530" spans="2:7" ht="15.75" customHeight="1" x14ac:dyDescent="0.25">
      <c r="B5530" s="100"/>
      <c r="C5530" s="100"/>
      <c r="D5530" s="100"/>
      <c r="E5530" s="100"/>
      <c r="F5530" s="102"/>
      <c r="G5530" s="114"/>
    </row>
    <row r="5531" spans="2:7" ht="15.75" customHeight="1" x14ac:dyDescent="0.25">
      <c r="B5531" s="100"/>
      <c r="C5531" s="100"/>
      <c r="D5531" s="100"/>
      <c r="E5531" s="100"/>
      <c r="F5531" s="102"/>
      <c r="G5531" s="114"/>
    </row>
    <row r="5532" spans="2:7" ht="15.75" customHeight="1" x14ac:dyDescent="0.25">
      <c r="B5532" s="100"/>
      <c r="C5532" s="100"/>
      <c r="D5532" s="100"/>
      <c r="E5532" s="100"/>
      <c r="F5532" s="102"/>
      <c r="G5532" s="114"/>
    </row>
    <row r="5533" spans="2:7" ht="15.75" customHeight="1" x14ac:dyDescent="0.25">
      <c r="B5533" s="100"/>
      <c r="C5533" s="100"/>
      <c r="D5533" s="100"/>
      <c r="E5533" s="100"/>
      <c r="F5533" s="102"/>
      <c r="G5533" s="114"/>
    </row>
    <row r="5534" spans="2:7" ht="15.75" customHeight="1" x14ac:dyDescent="0.25">
      <c r="B5534" s="100"/>
      <c r="C5534" s="100"/>
      <c r="D5534" s="100"/>
      <c r="E5534" s="100"/>
      <c r="F5534" s="102"/>
      <c r="G5534" s="114"/>
    </row>
    <row r="5535" spans="2:7" ht="15.75" customHeight="1" x14ac:dyDescent="0.25">
      <c r="B5535" s="100"/>
      <c r="C5535" s="100"/>
      <c r="D5535" s="100"/>
      <c r="E5535" s="100"/>
      <c r="F5535" s="102"/>
      <c r="G5535" s="114"/>
    </row>
    <row r="5536" spans="2:7" ht="15.75" customHeight="1" x14ac:dyDescent="0.25">
      <c r="B5536" s="100"/>
      <c r="C5536" s="100"/>
      <c r="D5536" s="100"/>
      <c r="E5536" s="100"/>
      <c r="F5536" s="102"/>
      <c r="G5536" s="114"/>
    </row>
    <row r="5537" spans="2:7" ht="15.75" customHeight="1" x14ac:dyDescent="0.25">
      <c r="B5537" s="100"/>
      <c r="C5537" s="100"/>
      <c r="D5537" s="100"/>
      <c r="E5537" s="100"/>
      <c r="F5537" s="102"/>
      <c r="G5537" s="114"/>
    </row>
    <row r="5538" spans="2:7" ht="15.75" customHeight="1" x14ac:dyDescent="0.25">
      <c r="B5538" s="100"/>
      <c r="C5538" s="100"/>
      <c r="D5538" s="100"/>
      <c r="E5538" s="100"/>
      <c r="F5538" s="102"/>
      <c r="G5538" s="114"/>
    </row>
    <row r="5539" spans="2:7" ht="15.75" customHeight="1" x14ac:dyDescent="0.25">
      <c r="B5539" s="100"/>
      <c r="C5539" s="100"/>
      <c r="D5539" s="100"/>
      <c r="E5539" s="100"/>
      <c r="F5539" s="102"/>
      <c r="G5539" s="114"/>
    </row>
    <row r="5540" spans="2:7" ht="15.75" customHeight="1" x14ac:dyDescent="0.25">
      <c r="B5540" s="100"/>
      <c r="C5540" s="100"/>
      <c r="D5540" s="100"/>
      <c r="E5540" s="100"/>
      <c r="F5540" s="102"/>
      <c r="G5540" s="114"/>
    </row>
    <row r="5541" spans="2:7" ht="15.75" customHeight="1" x14ac:dyDescent="0.25">
      <c r="B5541" s="100"/>
      <c r="C5541" s="100"/>
      <c r="D5541" s="100"/>
      <c r="E5541" s="100"/>
      <c r="F5541" s="102"/>
      <c r="G5541" s="114"/>
    </row>
    <row r="5542" spans="2:7" ht="15.75" customHeight="1" x14ac:dyDescent="0.25">
      <c r="B5542" s="100"/>
      <c r="C5542" s="100"/>
      <c r="D5542" s="100"/>
      <c r="E5542" s="100"/>
      <c r="F5542" s="102"/>
      <c r="G5542" s="114"/>
    </row>
    <row r="5543" spans="2:7" ht="15.75" customHeight="1" x14ac:dyDescent="0.25">
      <c r="B5543" s="100"/>
      <c r="C5543" s="100"/>
      <c r="D5543" s="100"/>
      <c r="E5543" s="100"/>
      <c r="F5543" s="102"/>
      <c r="G5543" s="114"/>
    </row>
    <row r="5544" spans="2:7" ht="15.75" customHeight="1" x14ac:dyDescent="0.25">
      <c r="B5544" s="100"/>
      <c r="C5544" s="100"/>
      <c r="D5544" s="100"/>
      <c r="E5544" s="100"/>
      <c r="F5544" s="102"/>
      <c r="G5544" s="114"/>
    </row>
    <row r="5545" spans="2:7" ht="15.75" customHeight="1" x14ac:dyDescent="0.25">
      <c r="B5545" s="100"/>
      <c r="C5545" s="100"/>
      <c r="D5545" s="100"/>
      <c r="E5545" s="100"/>
      <c r="F5545" s="102"/>
      <c r="G5545" s="114"/>
    </row>
    <row r="5546" spans="2:7" ht="15.75" customHeight="1" x14ac:dyDescent="0.25">
      <c r="B5546" s="100"/>
      <c r="C5546" s="100"/>
      <c r="D5546" s="100"/>
      <c r="E5546" s="100"/>
      <c r="F5546" s="102"/>
      <c r="G5546" s="114"/>
    </row>
    <row r="5547" spans="2:7" ht="15.75" customHeight="1" x14ac:dyDescent="0.25">
      <c r="B5547" s="100"/>
      <c r="C5547" s="100"/>
      <c r="D5547" s="100"/>
      <c r="E5547" s="100"/>
      <c r="F5547" s="102"/>
      <c r="G5547" s="114"/>
    </row>
    <row r="5548" spans="2:7" ht="15.75" customHeight="1" x14ac:dyDescent="0.25">
      <c r="B5548" s="100"/>
      <c r="C5548" s="100"/>
      <c r="D5548" s="100"/>
      <c r="E5548" s="100"/>
      <c r="F5548" s="102"/>
      <c r="G5548" s="114"/>
    </row>
    <row r="5549" spans="2:7" ht="15.75" customHeight="1" x14ac:dyDescent="0.25">
      <c r="B5549" s="100"/>
      <c r="C5549" s="100"/>
      <c r="D5549" s="100"/>
      <c r="E5549" s="100"/>
      <c r="F5549" s="102"/>
      <c r="G5549" s="114"/>
    </row>
    <row r="5550" spans="2:7" ht="15.75" customHeight="1" x14ac:dyDescent="0.25">
      <c r="B5550" s="100"/>
      <c r="C5550" s="100"/>
      <c r="D5550" s="100"/>
      <c r="E5550" s="100"/>
      <c r="F5550" s="102"/>
      <c r="G5550" s="114"/>
    </row>
    <row r="5551" spans="2:7" ht="15.75" customHeight="1" x14ac:dyDescent="0.25">
      <c r="B5551" s="100"/>
      <c r="C5551" s="100"/>
      <c r="D5551" s="100"/>
      <c r="E5551" s="100"/>
      <c r="F5551" s="102"/>
      <c r="G5551" s="114"/>
    </row>
    <row r="5552" spans="2:7" ht="15.75" customHeight="1" x14ac:dyDescent="0.25">
      <c r="B5552" s="100"/>
      <c r="C5552" s="100"/>
      <c r="D5552" s="100"/>
      <c r="E5552" s="100"/>
      <c r="F5552" s="102"/>
      <c r="G5552" s="114"/>
    </row>
    <row r="5553" spans="2:7" ht="15.75" customHeight="1" x14ac:dyDescent="0.25">
      <c r="B5553" s="100"/>
      <c r="C5553" s="100"/>
      <c r="D5553" s="100"/>
      <c r="E5553" s="100"/>
      <c r="F5553" s="102"/>
      <c r="G5553" s="114"/>
    </row>
    <row r="5554" spans="2:7" ht="15.75" customHeight="1" x14ac:dyDescent="0.25">
      <c r="B5554" s="100"/>
      <c r="C5554" s="100"/>
      <c r="D5554" s="100"/>
      <c r="E5554" s="100"/>
      <c r="F5554" s="102"/>
      <c r="G5554" s="114"/>
    </row>
    <row r="5555" spans="2:7" ht="15.75" customHeight="1" x14ac:dyDescent="0.25">
      <c r="B5555" s="100"/>
      <c r="C5555" s="100"/>
      <c r="D5555" s="100"/>
      <c r="E5555" s="100"/>
      <c r="F5555" s="102"/>
      <c r="G5555" s="114"/>
    </row>
    <row r="5556" spans="2:7" ht="15.75" customHeight="1" x14ac:dyDescent="0.25">
      <c r="B5556" s="100"/>
      <c r="C5556" s="100"/>
      <c r="D5556" s="100"/>
      <c r="E5556" s="100"/>
      <c r="F5556" s="102"/>
      <c r="G5556" s="114"/>
    </row>
    <row r="5557" spans="2:7" ht="15.75" customHeight="1" x14ac:dyDescent="0.25">
      <c r="B5557" s="100"/>
      <c r="C5557" s="100"/>
      <c r="D5557" s="100"/>
      <c r="E5557" s="100"/>
      <c r="F5557" s="102"/>
      <c r="G5557" s="114"/>
    </row>
    <row r="5558" spans="2:7" ht="15.75" customHeight="1" x14ac:dyDescent="0.25">
      <c r="B5558" s="100"/>
      <c r="C5558" s="100"/>
      <c r="D5558" s="100"/>
      <c r="E5558" s="100"/>
      <c r="F5558" s="102"/>
      <c r="G5558" s="114"/>
    </row>
    <row r="5559" spans="2:7" ht="15.75" customHeight="1" x14ac:dyDescent="0.25">
      <c r="B5559" s="100"/>
      <c r="C5559" s="100"/>
      <c r="D5559" s="100"/>
      <c r="E5559" s="100"/>
      <c r="F5559" s="102"/>
      <c r="G5559" s="114"/>
    </row>
    <row r="5560" spans="2:7" ht="15.75" customHeight="1" x14ac:dyDescent="0.25">
      <c r="B5560" s="100"/>
      <c r="C5560" s="100"/>
      <c r="D5560" s="100"/>
      <c r="E5560" s="100"/>
      <c r="F5560" s="102"/>
      <c r="G5560" s="114"/>
    </row>
    <row r="5561" spans="2:7" ht="15.75" customHeight="1" x14ac:dyDescent="0.25">
      <c r="B5561" s="100"/>
      <c r="C5561" s="100"/>
      <c r="D5561" s="100"/>
      <c r="E5561" s="100"/>
      <c r="F5561" s="102"/>
      <c r="G5561" s="114"/>
    </row>
    <row r="5562" spans="2:7" ht="15.75" customHeight="1" x14ac:dyDescent="0.25">
      <c r="B5562" s="100"/>
      <c r="C5562" s="100"/>
      <c r="D5562" s="100"/>
      <c r="E5562" s="100"/>
      <c r="F5562" s="102"/>
      <c r="G5562" s="114"/>
    </row>
    <row r="5563" spans="2:7" ht="15.75" customHeight="1" x14ac:dyDescent="0.25">
      <c r="B5563" s="100"/>
      <c r="C5563" s="100"/>
      <c r="D5563" s="100"/>
      <c r="E5563" s="100"/>
      <c r="F5563" s="102"/>
      <c r="G5563" s="114"/>
    </row>
    <row r="5564" spans="2:7" ht="15.75" customHeight="1" x14ac:dyDescent="0.25">
      <c r="B5564" s="100"/>
      <c r="C5564" s="100"/>
      <c r="D5564" s="100"/>
      <c r="E5564" s="100"/>
      <c r="F5564" s="102"/>
      <c r="G5564" s="114"/>
    </row>
    <row r="5565" spans="2:7" ht="15.75" customHeight="1" x14ac:dyDescent="0.25">
      <c r="B5565" s="100"/>
      <c r="C5565" s="100"/>
      <c r="D5565" s="100"/>
      <c r="E5565" s="100"/>
      <c r="F5565" s="102"/>
      <c r="G5565" s="114"/>
    </row>
    <row r="5566" spans="2:7" ht="15.75" customHeight="1" x14ac:dyDescent="0.25">
      <c r="B5566" s="100"/>
      <c r="C5566" s="100"/>
      <c r="D5566" s="100"/>
      <c r="E5566" s="100"/>
      <c r="F5566" s="102"/>
      <c r="G5566" s="114"/>
    </row>
    <row r="5567" spans="2:7" ht="15.75" customHeight="1" x14ac:dyDescent="0.25">
      <c r="B5567" s="100"/>
      <c r="C5567" s="100"/>
      <c r="D5567" s="100"/>
      <c r="E5567" s="100"/>
      <c r="F5567" s="102"/>
      <c r="G5567" s="114"/>
    </row>
    <row r="5568" spans="2:7" ht="15.75" customHeight="1" x14ac:dyDescent="0.25">
      <c r="B5568" s="100"/>
      <c r="C5568" s="100"/>
      <c r="D5568" s="100"/>
      <c r="E5568" s="100"/>
      <c r="F5568" s="102"/>
      <c r="G5568" s="114"/>
    </row>
    <row r="5569" spans="2:7" ht="15.75" customHeight="1" x14ac:dyDescent="0.25">
      <c r="B5569" s="100"/>
      <c r="C5569" s="100"/>
      <c r="D5569" s="100"/>
      <c r="E5569" s="100"/>
      <c r="F5569" s="102"/>
      <c r="G5569" s="114"/>
    </row>
    <row r="5570" spans="2:7" ht="15.75" customHeight="1" x14ac:dyDescent="0.25">
      <c r="B5570" s="100"/>
      <c r="C5570" s="100"/>
      <c r="D5570" s="100"/>
      <c r="E5570" s="100"/>
      <c r="F5570" s="102"/>
      <c r="G5570" s="114"/>
    </row>
    <row r="5571" spans="2:7" ht="15.75" customHeight="1" x14ac:dyDescent="0.25">
      <c r="B5571" s="100"/>
      <c r="C5571" s="100"/>
      <c r="D5571" s="100"/>
      <c r="E5571" s="100"/>
      <c r="F5571" s="102"/>
      <c r="G5571" s="114"/>
    </row>
    <row r="5572" spans="2:7" ht="15.75" customHeight="1" x14ac:dyDescent="0.25">
      <c r="B5572" s="100"/>
      <c r="C5572" s="100"/>
      <c r="D5572" s="100"/>
      <c r="E5572" s="100"/>
      <c r="F5572" s="102"/>
      <c r="G5572" s="114"/>
    </row>
    <row r="5573" spans="2:7" ht="15.75" customHeight="1" x14ac:dyDescent="0.25">
      <c r="B5573" s="100"/>
      <c r="C5573" s="100"/>
      <c r="D5573" s="100"/>
      <c r="E5573" s="100"/>
      <c r="F5573" s="102"/>
      <c r="G5573" s="114"/>
    </row>
    <row r="5574" spans="2:7" ht="15.75" customHeight="1" x14ac:dyDescent="0.25">
      <c r="B5574" s="100"/>
      <c r="C5574" s="100"/>
      <c r="D5574" s="100"/>
      <c r="E5574" s="100"/>
      <c r="F5574" s="102"/>
      <c r="G5574" s="114"/>
    </row>
    <row r="5575" spans="2:7" ht="15.75" customHeight="1" x14ac:dyDescent="0.25">
      <c r="B5575" s="100"/>
      <c r="C5575" s="100"/>
      <c r="D5575" s="100"/>
      <c r="E5575" s="100"/>
      <c r="F5575" s="102"/>
      <c r="G5575" s="114"/>
    </row>
    <row r="5576" spans="2:7" ht="15.75" customHeight="1" x14ac:dyDescent="0.25">
      <c r="B5576" s="100"/>
      <c r="C5576" s="100"/>
      <c r="D5576" s="100"/>
      <c r="E5576" s="100"/>
      <c r="F5576" s="102"/>
      <c r="G5576" s="114"/>
    </row>
    <row r="5577" spans="2:7" ht="15.75" customHeight="1" x14ac:dyDescent="0.25">
      <c r="B5577" s="100"/>
      <c r="C5577" s="100"/>
      <c r="D5577" s="100"/>
      <c r="E5577" s="100"/>
      <c r="F5577" s="102"/>
      <c r="G5577" s="114"/>
    </row>
    <row r="5578" spans="2:7" ht="15.75" customHeight="1" x14ac:dyDescent="0.25">
      <c r="B5578" s="100"/>
      <c r="C5578" s="100"/>
      <c r="D5578" s="100"/>
      <c r="E5578" s="100"/>
      <c r="F5578" s="102"/>
      <c r="G5578" s="114"/>
    </row>
    <row r="5579" spans="2:7" ht="15.75" customHeight="1" x14ac:dyDescent="0.25">
      <c r="B5579" s="100"/>
      <c r="C5579" s="100"/>
      <c r="D5579" s="100"/>
      <c r="E5579" s="100"/>
      <c r="F5579" s="102"/>
      <c r="G5579" s="114"/>
    </row>
    <row r="5580" spans="2:7" ht="15.75" customHeight="1" x14ac:dyDescent="0.25">
      <c r="B5580" s="100"/>
      <c r="C5580" s="100"/>
      <c r="D5580" s="100"/>
      <c r="E5580" s="100"/>
      <c r="F5580" s="102"/>
      <c r="G5580" s="114"/>
    </row>
    <row r="5581" spans="2:7" ht="15.75" customHeight="1" x14ac:dyDescent="0.25">
      <c r="B5581" s="100"/>
      <c r="C5581" s="100"/>
      <c r="D5581" s="100"/>
      <c r="E5581" s="100"/>
      <c r="F5581" s="102"/>
      <c r="G5581" s="114"/>
    </row>
    <row r="5582" spans="2:7" ht="15.75" customHeight="1" x14ac:dyDescent="0.25">
      <c r="B5582" s="100"/>
      <c r="C5582" s="100"/>
      <c r="D5582" s="100"/>
      <c r="E5582" s="100"/>
      <c r="F5582" s="102"/>
      <c r="G5582" s="114"/>
    </row>
    <row r="5583" spans="2:7" ht="15.75" customHeight="1" x14ac:dyDescent="0.25">
      <c r="B5583" s="100"/>
      <c r="C5583" s="100"/>
      <c r="D5583" s="100"/>
      <c r="E5583" s="100"/>
      <c r="F5583" s="102"/>
      <c r="G5583" s="114"/>
    </row>
    <row r="5584" spans="2:7" ht="15.75" customHeight="1" x14ac:dyDescent="0.25">
      <c r="B5584" s="100"/>
      <c r="C5584" s="100"/>
      <c r="D5584" s="100"/>
      <c r="E5584" s="100"/>
      <c r="F5584" s="102"/>
      <c r="G5584" s="114"/>
    </row>
    <row r="5585" spans="2:7" ht="15.75" customHeight="1" x14ac:dyDescent="0.25">
      <c r="B5585" s="100"/>
      <c r="C5585" s="100"/>
      <c r="D5585" s="100"/>
      <c r="E5585" s="100"/>
      <c r="F5585" s="102"/>
      <c r="G5585" s="114"/>
    </row>
    <row r="5586" spans="2:7" ht="15.75" customHeight="1" x14ac:dyDescent="0.25">
      <c r="B5586" s="100"/>
      <c r="C5586" s="100"/>
      <c r="D5586" s="100"/>
      <c r="E5586" s="100"/>
      <c r="F5586" s="102"/>
      <c r="G5586" s="114"/>
    </row>
    <row r="5587" spans="2:7" ht="15.75" customHeight="1" x14ac:dyDescent="0.25">
      <c r="B5587" s="100"/>
      <c r="C5587" s="100"/>
      <c r="D5587" s="100"/>
      <c r="E5587" s="100"/>
      <c r="F5587" s="102"/>
      <c r="G5587" s="114"/>
    </row>
    <row r="5588" spans="2:7" ht="15.75" customHeight="1" x14ac:dyDescent="0.25">
      <c r="B5588" s="100"/>
      <c r="C5588" s="100"/>
      <c r="D5588" s="100"/>
      <c r="E5588" s="100"/>
      <c r="F5588" s="102"/>
      <c r="G5588" s="114"/>
    </row>
    <row r="5589" spans="2:7" ht="15.75" customHeight="1" x14ac:dyDescent="0.25">
      <c r="B5589" s="100"/>
      <c r="C5589" s="100"/>
      <c r="D5589" s="100"/>
      <c r="E5589" s="100"/>
      <c r="F5589" s="102"/>
      <c r="G5589" s="114"/>
    </row>
    <row r="5590" spans="2:7" ht="15.75" customHeight="1" x14ac:dyDescent="0.25">
      <c r="B5590" s="100"/>
      <c r="C5590" s="100"/>
      <c r="D5590" s="100"/>
      <c r="E5590" s="100"/>
      <c r="F5590" s="102"/>
      <c r="G5590" s="114"/>
    </row>
    <row r="5591" spans="2:7" ht="15.75" customHeight="1" x14ac:dyDescent="0.25">
      <c r="B5591" s="100"/>
      <c r="C5591" s="100"/>
      <c r="D5591" s="100"/>
      <c r="E5591" s="100"/>
      <c r="F5591" s="102"/>
      <c r="G5591" s="114"/>
    </row>
    <row r="5592" spans="2:7" ht="15.75" customHeight="1" x14ac:dyDescent="0.25">
      <c r="B5592" s="100"/>
      <c r="C5592" s="100"/>
      <c r="D5592" s="100"/>
      <c r="E5592" s="100"/>
      <c r="F5592" s="102"/>
      <c r="G5592" s="114"/>
    </row>
    <row r="5593" spans="2:7" ht="15.75" customHeight="1" x14ac:dyDescent="0.25">
      <c r="B5593" s="100"/>
      <c r="C5593" s="100"/>
      <c r="D5593" s="100"/>
      <c r="E5593" s="100"/>
      <c r="F5593" s="102"/>
      <c r="G5593" s="114"/>
    </row>
    <row r="5594" spans="2:7" ht="15.75" customHeight="1" x14ac:dyDescent="0.25">
      <c r="B5594" s="100"/>
      <c r="C5594" s="100"/>
      <c r="D5594" s="100"/>
      <c r="E5594" s="100"/>
      <c r="F5594" s="102"/>
      <c r="G5594" s="114"/>
    </row>
    <row r="5595" spans="2:7" ht="15.75" customHeight="1" x14ac:dyDescent="0.25">
      <c r="B5595" s="100"/>
      <c r="C5595" s="100"/>
      <c r="D5595" s="100"/>
      <c r="E5595" s="100"/>
      <c r="F5595" s="102"/>
      <c r="G5595" s="114"/>
    </row>
    <row r="5596" spans="2:7" ht="15.75" customHeight="1" x14ac:dyDescent="0.25">
      <c r="B5596" s="100"/>
      <c r="C5596" s="100"/>
      <c r="D5596" s="100"/>
      <c r="E5596" s="100"/>
      <c r="F5596" s="102"/>
      <c r="G5596" s="114"/>
    </row>
    <row r="5597" spans="2:7" ht="15.75" customHeight="1" x14ac:dyDescent="0.25">
      <c r="B5597" s="100"/>
      <c r="C5597" s="100"/>
      <c r="D5597" s="100"/>
      <c r="E5597" s="100"/>
      <c r="F5597" s="102"/>
      <c r="G5597" s="114"/>
    </row>
    <row r="5598" spans="2:7" ht="15.75" customHeight="1" x14ac:dyDescent="0.25">
      <c r="B5598" s="100"/>
      <c r="C5598" s="100"/>
      <c r="D5598" s="100"/>
      <c r="E5598" s="100"/>
      <c r="F5598" s="102"/>
      <c r="G5598" s="114"/>
    </row>
    <row r="5599" spans="2:7" ht="15.75" customHeight="1" x14ac:dyDescent="0.25">
      <c r="B5599" s="100"/>
      <c r="C5599" s="100"/>
      <c r="D5599" s="100"/>
      <c r="E5599" s="100"/>
      <c r="F5599" s="102"/>
      <c r="G5599" s="114"/>
    </row>
    <row r="5600" spans="2:7" ht="15.75" customHeight="1" x14ac:dyDescent="0.25">
      <c r="B5600" s="100"/>
      <c r="C5600" s="100"/>
      <c r="D5600" s="100"/>
      <c r="E5600" s="100"/>
      <c r="F5600" s="102"/>
      <c r="G5600" s="114"/>
    </row>
    <row r="5601" spans="2:7" ht="15.75" customHeight="1" x14ac:dyDescent="0.25">
      <c r="B5601" s="100"/>
      <c r="C5601" s="100"/>
      <c r="D5601" s="100"/>
      <c r="E5601" s="100"/>
      <c r="F5601" s="102"/>
      <c r="G5601" s="114"/>
    </row>
    <row r="5602" spans="2:7" ht="15.75" customHeight="1" x14ac:dyDescent="0.25">
      <c r="B5602" s="100"/>
      <c r="C5602" s="100"/>
      <c r="D5602" s="100"/>
      <c r="E5602" s="100"/>
      <c r="F5602" s="102"/>
      <c r="G5602" s="114"/>
    </row>
    <row r="5603" spans="2:7" ht="15.75" customHeight="1" x14ac:dyDescent="0.25">
      <c r="B5603" s="100"/>
      <c r="C5603" s="100"/>
      <c r="D5603" s="100"/>
      <c r="E5603" s="100"/>
      <c r="F5603" s="102"/>
      <c r="G5603" s="114"/>
    </row>
    <row r="5604" spans="2:7" ht="15.75" customHeight="1" x14ac:dyDescent="0.25">
      <c r="B5604" s="100"/>
      <c r="C5604" s="100"/>
      <c r="D5604" s="100"/>
      <c r="E5604" s="100"/>
      <c r="F5604" s="102"/>
      <c r="G5604" s="114"/>
    </row>
    <row r="5605" spans="2:7" ht="15.75" customHeight="1" x14ac:dyDescent="0.25">
      <c r="B5605" s="100"/>
      <c r="C5605" s="100"/>
      <c r="D5605" s="100"/>
      <c r="E5605" s="100"/>
      <c r="F5605" s="102"/>
      <c r="G5605" s="114"/>
    </row>
    <row r="5606" spans="2:7" ht="15.75" customHeight="1" x14ac:dyDescent="0.25">
      <c r="B5606" s="100"/>
      <c r="C5606" s="100"/>
      <c r="D5606" s="100"/>
      <c r="E5606" s="100"/>
      <c r="F5606" s="102"/>
      <c r="G5606" s="114"/>
    </row>
    <row r="5607" spans="2:7" ht="15.75" customHeight="1" x14ac:dyDescent="0.25">
      <c r="B5607" s="100"/>
      <c r="C5607" s="100"/>
      <c r="D5607" s="100"/>
      <c r="E5607" s="100"/>
      <c r="F5607" s="102"/>
      <c r="G5607" s="114"/>
    </row>
    <row r="5608" spans="2:7" ht="15.75" customHeight="1" x14ac:dyDescent="0.25">
      <c r="B5608" s="100"/>
      <c r="C5608" s="100"/>
      <c r="D5608" s="100"/>
      <c r="E5608" s="100"/>
      <c r="F5608" s="102"/>
      <c r="G5608" s="114"/>
    </row>
    <row r="5609" spans="2:7" ht="15.75" customHeight="1" x14ac:dyDescent="0.25">
      <c r="B5609" s="100"/>
      <c r="C5609" s="100"/>
      <c r="D5609" s="100"/>
      <c r="E5609" s="100"/>
      <c r="F5609" s="102"/>
      <c r="G5609" s="114"/>
    </row>
    <row r="5610" spans="2:7" ht="15.75" customHeight="1" x14ac:dyDescent="0.25">
      <c r="B5610" s="100"/>
      <c r="C5610" s="100"/>
      <c r="D5610" s="100"/>
      <c r="E5610" s="100"/>
      <c r="F5610" s="102"/>
      <c r="G5610" s="114"/>
    </row>
    <row r="5611" spans="2:7" ht="15.75" customHeight="1" x14ac:dyDescent="0.25">
      <c r="B5611" s="100"/>
      <c r="C5611" s="100"/>
      <c r="D5611" s="100"/>
      <c r="E5611" s="100"/>
      <c r="F5611" s="102"/>
      <c r="G5611" s="114"/>
    </row>
    <row r="5612" spans="2:7" ht="15.75" customHeight="1" x14ac:dyDescent="0.25">
      <c r="B5612" s="100"/>
      <c r="C5612" s="100"/>
      <c r="D5612" s="100"/>
      <c r="E5612" s="100"/>
      <c r="F5612" s="102"/>
      <c r="G5612" s="114"/>
    </row>
    <row r="5613" spans="2:7" ht="15.75" customHeight="1" x14ac:dyDescent="0.25">
      <c r="B5613" s="100"/>
      <c r="C5613" s="100"/>
      <c r="D5613" s="100"/>
      <c r="E5613" s="100"/>
      <c r="F5613" s="102"/>
      <c r="G5613" s="114"/>
    </row>
    <row r="5614" spans="2:7" ht="15.75" customHeight="1" x14ac:dyDescent="0.25">
      <c r="B5614" s="100"/>
      <c r="C5614" s="100"/>
      <c r="D5614" s="100"/>
      <c r="E5614" s="100"/>
      <c r="F5614" s="102"/>
      <c r="G5614" s="114"/>
    </row>
    <row r="5615" spans="2:7" ht="15.75" customHeight="1" x14ac:dyDescent="0.25">
      <c r="B5615" s="100"/>
      <c r="C5615" s="100"/>
      <c r="D5615" s="100"/>
      <c r="E5615" s="100"/>
      <c r="F5615" s="102"/>
      <c r="G5615" s="114"/>
    </row>
    <row r="5616" spans="2:7" ht="15.75" customHeight="1" x14ac:dyDescent="0.25">
      <c r="B5616" s="100"/>
      <c r="C5616" s="100"/>
      <c r="D5616" s="100"/>
      <c r="E5616" s="100"/>
      <c r="F5616" s="102"/>
      <c r="G5616" s="114"/>
    </row>
    <row r="5617" spans="2:7" ht="15.75" customHeight="1" x14ac:dyDescent="0.25">
      <c r="B5617" s="100"/>
      <c r="C5617" s="100"/>
      <c r="D5617" s="100"/>
      <c r="E5617" s="100"/>
      <c r="F5617" s="102"/>
      <c r="G5617" s="114"/>
    </row>
    <row r="5618" spans="2:7" ht="15.75" customHeight="1" x14ac:dyDescent="0.25">
      <c r="B5618" s="100"/>
      <c r="C5618" s="100"/>
      <c r="D5618" s="100"/>
      <c r="E5618" s="100"/>
      <c r="F5618" s="102"/>
      <c r="G5618" s="114"/>
    </row>
    <row r="5619" spans="2:7" ht="15.75" customHeight="1" x14ac:dyDescent="0.25">
      <c r="B5619" s="100"/>
      <c r="C5619" s="100"/>
      <c r="D5619" s="100"/>
      <c r="E5619" s="100"/>
      <c r="F5619" s="102"/>
      <c r="G5619" s="114"/>
    </row>
    <row r="5620" spans="2:7" ht="15.75" customHeight="1" x14ac:dyDescent="0.25">
      <c r="B5620" s="100"/>
      <c r="C5620" s="100"/>
      <c r="D5620" s="100"/>
      <c r="E5620" s="100"/>
      <c r="F5620" s="102"/>
      <c r="G5620" s="114"/>
    </row>
    <row r="5621" spans="2:7" ht="15.75" customHeight="1" x14ac:dyDescent="0.25">
      <c r="B5621" s="100"/>
      <c r="C5621" s="100"/>
      <c r="D5621" s="100"/>
      <c r="E5621" s="100"/>
      <c r="F5621" s="102"/>
      <c r="G5621" s="114"/>
    </row>
    <row r="5622" spans="2:7" ht="15.75" customHeight="1" x14ac:dyDescent="0.25">
      <c r="B5622" s="100"/>
      <c r="C5622" s="100"/>
      <c r="D5622" s="100"/>
      <c r="E5622" s="100"/>
      <c r="F5622" s="102"/>
      <c r="G5622" s="114"/>
    </row>
    <row r="5623" spans="2:7" ht="15.75" customHeight="1" x14ac:dyDescent="0.25">
      <c r="B5623" s="100"/>
      <c r="C5623" s="100"/>
      <c r="D5623" s="100"/>
      <c r="E5623" s="100"/>
      <c r="F5623" s="102"/>
      <c r="G5623" s="114"/>
    </row>
    <row r="5624" spans="2:7" ht="15.75" customHeight="1" x14ac:dyDescent="0.25">
      <c r="B5624" s="100"/>
      <c r="C5624" s="100"/>
      <c r="D5624" s="100"/>
      <c r="E5624" s="100"/>
      <c r="F5624" s="102"/>
      <c r="G5624" s="114"/>
    </row>
    <row r="5625" spans="2:7" ht="15.75" customHeight="1" x14ac:dyDescent="0.25">
      <c r="B5625" s="100"/>
      <c r="C5625" s="100"/>
      <c r="D5625" s="100"/>
      <c r="E5625" s="100"/>
      <c r="F5625" s="102"/>
      <c r="G5625" s="114"/>
    </row>
    <row r="5626" spans="2:7" ht="15.75" customHeight="1" x14ac:dyDescent="0.25">
      <c r="B5626" s="100"/>
      <c r="C5626" s="100"/>
      <c r="D5626" s="100"/>
      <c r="E5626" s="100"/>
      <c r="F5626" s="102"/>
      <c r="G5626" s="114"/>
    </row>
    <row r="5627" spans="2:7" ht="15.75" customHeight="1" x14ac:dyDescent="0.25">
      <c r="B5627" s="100"/>
      <c r="C5627" s="100"/>
      <c r="D5627" s="100"/>
      <c r="E5627" s="100"/>
      <c r="F5627" s="102"/>
      <c r="G5627" s="114"/>
    </row>
    <row r="5628" spans="2:7" ht="15.75" customHeight="1" x14ac:dyDescent="0.25">
      <c r="B5628" s="100"/>
      <c r="C5628" s="100"/>
      <c r="D5628" s="100"/>
      <c r="E5628" s="100"/>
      <c r="F5628" s="102"/>
      <c r="G5628" s="114"/>
    </row>
    <row r="5629" spans="2:7" ht="15.75" customHeight="1" x14ac:dyDescent="0.25">
      <c r="B5629" s="100"/>
      <c r="C5629" s="100"/>
      <c r="D5629" s="100"/>
      <c r="E5629" s="100"/>
      <c r="F5629" s="102"/>
      <c r="G5629" s="114"/>
    </row>
    <row r="5630" spans="2:7" ht="15.75" customHeight="1" x14ac:dyDescent="0.25">
      <c r="B5630" s="100"/>
      <c r="C5630" s="100"/>
      <c r="D5630" s="100"/>
      <c r="E5630" s="100"/>
      <c r="F5630" s="102"/>
      <c r="G5630" s="114"/>
    </row>
    <row r="5631" spans="2:7" ht="15.75" customHeight="1" x14ac:dyDescent="0.25">
      <c r="B5631" s="100"/>
      <c r="C5631" s="100"/>
      <c r="D5631" s="100"/>
      <c r="E5631" s="100"/>
      <c r="F5631" s="102"/>
      <c r="G5631" s="114"/>
    </row>
    <row r="5632" spans="2:7" ht="15.75" customHeight="1" x14ac:dyDescent="0.25">
      <c r="B5632" s="100"/>
      <c r="C5632" s="100"/>
      <c r="D5632" s="100"/>
      <c r="E5632" s="100"/>
      <c r="F5632" s="102"/>
      <c r="G5632" s="114"/>
    </row>
    <row r="5633" spans="2:7" ht="15.75" customHeight="1" x14ac:dyDescent="0.25">
      <c r="B5633" s="100"/>
      <c r="C5633" s="100"/>
      <c r="D5633" s="100"/>
      <c r="E5633" s="100"/>
      <c r="F5633" s="102"/>
      <c r="G5633" s="114"/>
    </row>
    <row r="5634" spans="2:7" ht="15.75" customHeight="1" x14ac:dyDescent="0.25">
      <c r="B5634" s="100"/>
      <c r="C5634" s="100"/>
      <c r="D5634" s="100"/>
      <c r="E5634" s="100"/>
      <c r="F5634" s="102"/>
      <c r="G5634" s="114"/>
    </row>
    <row r="5635" spans="2:7" ht="15.75" customHeight="1" x14ac:dyDescent="0.25">
      <c r="B5635" s="100"/>
      <c r="C5635" s="100"/>
      <c r="D5635" s="100"/>
      <c r="E5635" s="100"/>
      <c r="F5635" s="102"/>
      <c r="G5635" s="114"/>
    </row>
    <row r="5636" spans="2:7" ht="15.75" customHeight="1" x14ac:dyDescent="0.25">
      <c r="B5636" s="100"/>
      <c r="C5636" s="100"/>
      <c r="D5636" s="100"/>
      <c r="E5636" s="100"/>
      <c r="F5636" s="102"/>
      <c r="G5636" s="114"/>
    </row>
    <row r="5637" spans="2:7" ht="15.75" customHeight="1" x14ac:dyDescent="0.25">
      <c r="B5637" s="100"/>
      <c r="C5637" s="100"/>
      <c r="D5637" s="100"/>
      <c r="E5637" s="100"/>
      <c r="F5637" s="102"/>
      <c r="G5637" s="114"/>
    </row>
    <row r="5638" spans="2:7" ht="15.75" customHeight="1" x14ac:dyDescent="0.25">
      <c r="B5638" s="100"/>
      <c r="C5638" s="100"/>
      <c r="D5638" s="100"/>
      <c r="E5638" s="100"/>
      <c r="F5638" s="102"/>
      <c r="G5638" s="114"/>
    </row>
    <row r="5639" spans="2:7" ht="15.75" customHeight="1" x14ac:dyDescent="0.25">
      <c r="B5639" s="100"/>
      <c r="C5639" s="100"/>
      <c r="D5639" s="100"/>
      <c r="E5639" s="100"/>
      <c r="F5639" s="102"/>
      <c r="G5639" s="114"/>
    </row>
    <row r="5640" spans="2:7" ht="15.75" customHeight="1" x14ac:dyDescent="0.25">
      <c r="B5640" s="100"/>
      <c r="C5640" s="100"/>
      <c r="D5640" s="100"/>
      <c r="E5640" s="100"/>
      <c r="F5640" s="102"/>
      <c r="G5640" s="114"/>
    </row>
    <row r="5641" spans="2:7" ht="15.75" customHeight="1" x14ac:dyDescent="0.25">
      <c r="B5641" s="100"/>
      <c r="C5641" s="100"/>
      <c r="D5641" s="100"/>
      <c r="E5641" s="100"/>
      <c r="F5641" s="102"/>
      <c r="G5641" s="114"/>
    </row>
    <row r="5642" spans="2:7" ht="15.75" customHeight="1" x14ac:dyDescent="0.25">
      <c r="B5642" s="100"/>
      <c r="C5642" s="100"/>
      <c r="D5642" s="100"/>
      <c r="E5642" s="100"/>
      <c r="F5642" s="102"/>
      <c r="G5642" s="114"/>
    </row>
    <row r="5643" spans="2:7" ht="15.75" customHeight="1" x14ac:dyDescent="0.25">
      <c r="B5643" s="100"/>
      <c r="C5643" s="100"/>
      <c r="D5643" s="100"/>
      <c r="E5643" s="100"/>
      <c r="F5643" s="102"/>
      <c r="G5643" s="114"/>
    </row>
    <row r="5644" spans="2:7" ht="15.75" customHeight="1" x14ac:dyDescent="0.25">
      <c r="B5644" s="100"/>
      <c r="C5644" s="100"/>
      <c r="D5644" s="100"/>
      <c r="E5644" s="100"/>
      <c r="F5644" s="102"/>
      <c r="G5644" s="114"/>
    </row>
    <row r="5645" spans="2:7" ht="15.75" customHeight="1" x14ac:dyDescent="0.25">
      <c r="B5645" s="100"/>
      <c r="C5645" s="100"/>
      <c r="D5645" s="100"/>
      <c r="E5645" s="100"/>
      <c r="F5645" s="102"/>
      <c r="G5645" s="114"/>
    </row>
    <row r="5646" spans="2:7" ht="15.75" customHeight="1" x14ac:dyDescent="0.25">
      <c r="B5646" s="100"/>
      <c r="C5646" s="100"/>
      <c r="D5646" s="100"/>
      <c r="E5646" s="100"/>
      <c r="F5646" s="102"/>
      <c r="G5646" s="114"/>
    </row>
    <row r="5647" spans="2:7" ht="15.75" customHeight="1" x14ac:dyDescent="0.25">
      <c r="B5647" s="100"/>
      <c r="C5647" s="100"/>
      <c r="D5647" s="100"/>
      <c r="E5647" s="100"/>
      <c r="F5647" s="102"/>
      <c r="G5647" s="114"/>
    </row>
    <row r="5648" spans="2:7" ht="15.75" customHeight="1" x14ac:dyDescent="0.25">
      <c r="B5648" s="100"/>
      <c r="C5648" s="100"/>
      <c r="D5648" s="100"/>
      <c r="E5648" s="100"/>
      <c r="F5648" s="102"/>
      <c r="G5648" s="114"/>
    </row>
    <row r="5649" spans="2:7" ht="15.75" customHeight="1" x14ac:dyDescent="0.25">
      <c r="B5649" s="100"/>
      <c r="C5649" s="100"/>
      <c r="D5649" s="100"/>
      <c r="E5649" s="100"/>
      <c r="F5649" s="102"/>
      <c r="G5649" s="114"/>
    </row>
    <row r="5650" spans="2:7" ht="15.75" customHeight="1" x14ac:dyDescent="0.25">
      <c r="B5650" s="100"/>
      <c r="C5650" s="100"/>
      <c r="D5650" s="100"/>
      <c r="E5650" s="100"/>
      <c r="F5650" s="102"/>
      <c r="G5650" s="114"/>
    </row>
    <row r="5651" spans="2:7" ht="15.75" customHeight="1" x14ac:dyDescent="0.25">
      <c r="B5651" s="100"/>
      <c r="C5651" s="100"/>
      <c r="D5651" s="100"/>
      <c r="E5651" s="100"/>
      <c r="F5651" s="102"/>
      <c r="G5651" s="114"/>
    </row>
    <row r="5652" spans="2:7" ht="15.75" customHeight="1" x14ac:dyDescent="0.25">
      <c r="B5652" s="100"/>
      <c r="C5652" s="100"/>
      <c r="D5652" s="100"/>
      <c r="E5652" s="100"/>
      <c r="F5652" s="102"/>
      <c r="G5652" s="114"/>
    </row>
    <row r="5653" spans="2:7" ht="15.75" customHeight="1" x14ac:dyDescent="0.25">
      <c r="B5653" s="100"/>
      <c r="C5653" s="100"/>
      <c r="D5653" s="100"/>
      <c r="E5653" s="100"/>
      <c r="F5653" s="102"/>
      <c r="G5653" s="114"/>
    </row>
    <row r="5654" spans="2:7" ht="15.75" customHeight="1" x14ac:dyDescent="0.25">
      <c r="B5654" s="100"/>
      <c r="C5654" s="100"/>
      <c r="D5654" s="100"/>
      <c r="E5654" s="100"/>
      <c r="F5654" s="102"/>
      <c r="G5654" s="114"/>
    </row>
    <row r="5655" spans="2:7" ht="15.75" customHeight="1" x14ac:dyDescent="0.25">
      <c r="B5655" s="100"/>
      <c r="C5655" s="100"/>
      <c r="D5655" s="100"/>
      <c r="E5655" s="100"/>
      <c r="F5655" s="102"/>
      <c r="G5655" s="114"/>
    </row>
    <row r="5656" spans="2:7" ht="15.75" customHeight="1" x14ac:dyDescent="0.25">
      <c r="B5656" s="100"/>
      <c r="C5656" s="100"/>
      <c r="D5656" s="100"/>
      <c r="E5656" s="100"/>
      <c r="F5656" s="102"/>
      <c r="G5656" s="114"/>
    </row>
    <row r="5657" spans="2:7" ht="15.75" customHeight="1" x14ac:dyDescent="0.25">
      <c r="B5657" s="100"/>
      <c r="C5657" s="100"/>
      <c r="D5657" s="100"/>
      <c r="E5657" s="100"/>
      <c r="F5657" s="102"/>
      <c r="G5657" s="114"/>
    </row>
    <row r="5658" spans="2:7" ht="15.75" customHeight="1" x14ac:dyDescent="0.25">
      <c r="B5658" s="100"/>
      <c r="C5658" s="100"/>
      <c r="D5658" s="100"/>
      <c r="E5658" s="100"/>
      <c r="F5658" s="102"/>
      <c r="G5658" s="114"/>
    </row>
    <row r="5659" spans="2:7" ht="15.75" customHeight="1" x14ac:dyDescent="0.25">
      <c r="B5659" s="100"/>
      <c r="C5659" s="100"/>
      <c r="D5659" s="100"/>
      <c r="E5659" s="100"/>
      <c r="F5659" s="102"/>
      <c r="G5659" s="114"/>
    </row>
    <row r="5660" spans="2:7" ht="15.75" customHeight="1" x14ac:dyDescent="0.25">
      <c r="B5660" s="100"/>
      <c r="C5660" s="100"/>
      <c r="D5660" s="100"/>
      <c r="E5660" s="100"/>
      <c r="F5660" s="102"/>
      <c r="G5660" s="114"/>
    </row>
    <row r="5661" spans="2:7" ht="15.75" customHeight="1" x14ac:dyDescent="0.25">
      <c r="B5661" s="100"/>
      <c r="C5661" s="100"/>
      <c r="D5661" s="100"/>
      <c r="E5661" s="100"/>
      <c r="F5661" s="102"/>
      <c r="G5661" s="114"/>
    </row>
    <row r="5662" spans="2:7" ht="15.75" customHeight="1" x14ac:dyDescent="0.25">
      <c r="B5662" s="100"/>
      <c r="C5662" s="100"/>
      <c r="D5662" s="100"/>
      <c r="E5662" s="100"/>
      <c r="F5662" s="102"/>
      <c r="G5662" s="114"/>
    </row>
    <row r="5663" spans="2:7" ht="15.75" customHeight="1" x14ac:dyDescent="0.25">
      <c r="B5663" s="100"/>
      <c r="C5663" s="100"/>
      <c r="D5663" s="100"/>
      <c r="E5663" s="100"/>
      <c r="F5663" s="102"/>
      <c r="G5663" s="114"/>
    </row>
    <row r="5664" spans="2:7" ht="15.75" customHeight="1" x14ac:dyDescent="0.25">
      <c r="B5664" s="100"/>
      <c r="C5664" s="100"/>
      <c r="D5664" s="100"/>
      <c r="E5664" s="100"/>
      <c r="F5664" s="102"/>
      <c r="G5664" s="114"/>
    </row>
    <row r="5665" spans="2:7" ht="15.75" customHeight="1" x14ac:dyDescent="0.25">
      <c r="B5665" s="100"/>
      <c r="C5665" s="100"/>
      <c r="D5665" s="100"/>
      <c r="E5665" s="100"/>
      <c r="F5665" s="102"/>
      <c r="G5665" s="114"/>
    </row>
    <row r="5666" spans="2:7" ht="15.75" customHeight="1" x14ac:dyDescent="0.25">
      <c r="B5666" s="100"/>
      <c r="C5666" s="100"/>
      <c r="D5666" s="100"/>
      <c r="E5666" s="100"/>
      <c r="F5666" s="102"/>
      <c r="G5666" s="114"/>
    </row>
    <row r="5667" spans="2:7" ht="15.75" customHeight="1" x14ac:dyDescent="0.25">
      <c r="B5667" s="100"/>
      <c r="C5667" s="100"/>
      <c r="D5667" s="100"/>
      <c r="E5667" s="100"/>
      <c r="F5667" s="102"/>
      <c r="G5667" s="114"/>
    </row>
    <row r="5668" spans="2:7" ht="15.75" customHeight="1" x14ac:dyDescent="0.25">
      <c r="B5668" s="100"/>
      <c r="C5668" s="100"/>
      <c r="D5668" s="100"/>
      <c r="E5668" s="100"/>
      <c r="F5668" s="102"/>
      <c r="G5668" s="114"/>
    </row>
    <row r="5669" spans="2:7" ht="15.75" customHeight="1" x14ac:dyDescent="0.25">
      <c r="B5669" s="100"/>
      <c r="C5669" s="100"/>
      <c r="D5669" s="100"/>
      <c r="E5669" s="100"/>
      <c r="F5669" s="102"/>
      <c r="G5669" s="114"/>
    </row>
    <row r="5670" spans="2:7" ht="15.75" customHeight="1" x14ac:dyDescent="0.25">
      <c r="B5670" s="100"/>
      <c r="C5670" s="100"/>
      <c r="D5670" s="100"/>
      <c r="E5670" s="100"/>
      <c r="F5670" s="102"/>
      <c r="G5670" s="114"/>
    </row>
    <row r="5671" spans="2:7" ht="15.75" customHeight="1" x14ac:dyDescent="0.25">
      <c r="B5671" s="100"/>
      <c r="C5671" s="100"/>
      <c r="D5671" s="100"/>
      <c r="E5671" s="100"/>
      <c r="F5671" s="102"/>
      <c r="G5671" s="114"/>
    </row>
    <row r="5672" spans="2:7" ht="15.75" customHeight="1" x14ac:dyDescent="0.25">
      <c r="B5672" s="100"/>
      <c r="C5672" s="100"/>
      <c r="D5672" s="100"/>
      <c r="E5672" s="100"/>
      <c r="F5672" s="102"/>
      <c r="G5672" s="114"/>
    </row>
    <row r="5673" spans="2:7" ht="15.75" customHeight="1" x14ac:dyDescent="0.25">
      <c r="B5673" s="100"/>
      <c r="C5673" s="100"/>
      <c r="D5673" s="100"/>
      <c r="E5673" s="100"/>
      <c r="F5673" s="102"/>
      <c r="G5673" s="114"/>
    </row>
    <row r="5674" spans="2:7" ht="15.75" customHeight="1" x14ac:dyDescent="0.25">
      <c r="B5674" s="100"/>
      <c r="C5674" s="100"/>
      <c r="D5674" s="100"/>
      <c r="E5674" s="100"/>
      <c r="F5674" s="102"/>
      <c r="G5674" s="114"/>
    </row>
    <row r="5675" spans="2:7" ht="15.75" customHeight="1" x14ac:dyDescent="0.25">
      <c r="B5675" s="100"/>
      <c r="C5675" s="100"/>
      <c r="D5675" s="100"/>
      <c r="E5675" s="100"/>
      <c r="F5675" s="102"/>
      <c r="G5675" s="114"/>
    </row>
    <row r="5676" spans="2:7" ht="15.75" customHeight="1" x14ac:dyDescent="0.25">
      <c r="B5676" s="100"/>
      <c r="C5676" s="100"/>
      <c r="D5676" s="100"/>
      <c r="E5676" s="100"/>
      <c r="F5676" s="102"/>
      <c r="G5676" s="114"/>
    </row>
    <row r="5677" spans="2:7" ht="15.75" customHeight="1" x14ac:dyDescent="0.25">
      <c r="B5677" s="100"/>
      <c r="C5677" s="100"/>
      <c r="D5677" s="100"/>
      <c r="E5677" s="100"/>
      <c r="F5677" s="102"/>
      <c r="G5677" s="114"/>
    </row>
    <row r="5678" spans="2:7" ht="15.75" customHeight="1" x14ac:dyDescent="0.25">
      <c r="B5678" s="100"/>
      <c r="C5678" s="100"/>
      <c r="D5678" s="100"/>
      <c r="E5678" s="100"/>
      <c r="F5678" s="102"/>
      <c r="G5678" s="114"/>
    </row>
    <row r="5679" spans="2:7" ht="15.75" customHeight="1" x14ac:dyDescent="0.25">
      <c r="B5679" s="100"/>
      <c r="C5679" s="100"/>
      <c r="D5679" s="100"/>
      <c r="E5679" s="100"/>
      <c r="F5679" s="102"/>
      <c r="G5679" s="114"/>
    </row>
    <row r="5680" spans="2:7" ht="15.75" customHeight="1" x14ac:dyDescent="0.25">
      <c r="B5680" s="100"/>
      <c r="C5680" s="100"/>
      <c r="D5680" s="100"/>
      <c r="E5680" s="100"/>
      <c r="F5680" s="102"/>
      <c r="G5680" s="114"/>
    </row>
    <row r="5681" spans="2:7" ht="15.75" customHeight="1" x14ac:dyDescent="0.25">
      <c r="B5681" s="100"/>
      <c r="C5681" s="100"/>
      <c r="D5681" s="100"/>
      <c r="E5681" s="100"/>
      <c r="F5681" s="102"/>
      <c r="G5681" s="114"/>
    </row>
    <row r="5682" spans="2:7" ht="15.75" customHeight="1" x14ac:dyDescent="0.25">
      <c r="B5682" s="100"/>
      <c r="C5682" s="100"/>
      <c r="D5682" s="100"/>
      <c r="E5682" s="100"/>
      <c r="F5682" s="102"/>
      <c r="G5682" s="114"/>
    </row>
    <row r="5683" spans="2:7" ht="15.75" customHeight="1" x14ac:dyDescent="0.25">
      <c r="B5683" s="100"/>
      <c r="C5683" s="100"/>
      <c r="D5683" s="100"/>
      <c r="E5683" s="100"/>
      <c r="F5683" s="102"/>
      <c r="G5683" s="114"/>
    </row>
    <row r="5684" spans="2:7" ht="15.75" customHeight="1" x14ac:dyDescent="0.25">
      <c r="B5684" s="100"/>
      <c r="C5684" s="100"/>
      <c r="D5684" s="100"/>
      <c r="E5684" s="100"/>
      <c r="F5684" s="102"/>
      <c r="G5684" s="114"/>
    </row>
    <row r="5685" spans="2:7" ht="15.75" customHeight="1" x14ac:dyDescent="0.25">
      <c r="B5685" s="100"/>
      <c r="C5685" s="100"/>
      <c r="D5685" s="100"/>
      <c r="E5685" s="100"/>
      <c r="F5685" s="102"/>
      <c r="G5685" s="114"/>
    </row>
    <row r="5686" spans="2:7" ht="15.75" customHeight="1" x14ac:dyDescent="0.25">
      <c r="B5686" s="100"/>
      <c r="C5686" s="100"/>
      <c r="D5686" s="100"/>
      <c r="E5686" s="100"/>
      <c r="F5686" s="102"/>
      <c r="G5686" s="114"/>
    </row>
    <row r="5687" spans="2:7" ht="15.75" customHeight="1" x14ac:dyDescent="0.25">
      <c r="B5687" s="100"/>
      <c r="C5687" s="100"/>
      <c r="D5687" s="100"/>
      <c r="E5687" s="100"/>
      <c r="F5687" s="102"/>
      <c r="G5687" s="114"/>
    </row>
    <row r="5688" spans="2:7" ht="15.75" customHeight="1" x14ac:dyDescent="0.25">
      <c r="B5688" s="100"/>
      <c r="C5688" s="100"/>
      <c r="D5688" s="100"/>
      <c r="E5688" s="100"/>
      <c r="F5688" s="102"/>
      <c r="G5688" s="114"/>
    </row>
    <row r="5689" spans="2:7" ht="15.75" customHeight="1" x14ac:dyDescent="0.25">
      <c r="B5689" s="100"/>
      <c r="C5689" s="100"/>
      <c r="D5689" s="100"/>
      <c r="E5689" s="100"/>
      <c r="F5689" s="102"/>
      <c r="G5689" s="114"/>
    </row>
    <row r="5690" spans="2:7" ht="15.75" customHeight="1" x14ac:dyDescent="0.25">
      <c r="B5690" s="100"/>
      <c r="C5690" s="100"/>
      <c r="D5690" s="100"/>
      <c r="E5690" s="100"/>
      <c r="F5690" s="102"/>
      <c r="G5690" s="114"/>
    </row>
    <row r="5691" spans="2:7" ht="15.75" customHeight="1" x14ac:dyDescent="0.25">
      <c r="B5691" s="100"/>
      <c r="C5691" s="100"/>
      <c r="D5691" s="100"/>
      <c r="E5691" s="100"/>
      <c r="F5691" s="102"/>
      <c r="G5691" s="114"/>
    </row>
    <row r="5692" spans="2:7" ht="15.75" customHeight="1" x14ac:dyDescent="0.25">
      <c r="B5692" s="100"/>
      <c r="C5692" s="100"/>
      <c r="D5692" s="100"/>
      <c r="E5692" s="100"/>
      <c r="F5692" s="102"/>
      <c r="G5692" s="114"/>
    </row>
    <row r="5693" spans="2:7" ht="15.75" customHeight="1" x14ac:dyDescent="0.25">
      <c r="B5693" s="100"/>
      <c r="C5693" s="100"/>
      <c r="D5693" s="100"/>
      <c r="E5693" s="100"/>
      <c r="F5693" s="102"/>
      <c r="G5693" s="114"/>
    </row>
    <row r="5694" spans="2:7" ht="15.75" customHeight="1" x14ac:dyDescent="0.25">
      <c r="B5694" s="100"/>
      <c r="C5694" s="100"/>
      <c r="D5694" s="100"/>
      <c r="E5694" s="100"/>
      <c r="F5694" s="102"/>
      <c r="G5694" s="114"/>
    </row>
    <row r="5695" spans="2:7" ht="15.75" customHeight="1" x14ac:dyDescent="0.25">
      <c r="B5695" s="100"/>
      <c r="C5695" s="100"/>
      <c r="D5695" s="100"/>
      <c r="E5695" s="100"/>
      <c r="F5695" s="102"/>
      <c r="G5695" s="114"/>
    </row>
    <row r="5696" spans="2:7" ht="15.75" customHeight="1" x14ac:dyDescent="0.25">
      <c r="B5696" s="100"/>
      <c r="C5696" s="100"/>
      <c r="D5696" s="100"/>
      <c r="E5696" s="100"/>
      <c r="F5696" s="102"/>
      <c r="G5696" s="114"/>
    </row>
    <row r="5697" spans="2:7" ht="15.75" customHeight="1" x14ac:dyDescent="0.25">
      <c r="B5697" s="100"/>
      <c r="C5697" s="100"/>
      <c r="D5697" s="100"/>
      <c r="E5697" s="100"/>
      <c r="F5697" s="102"/>
      <c r="G5697" s="114"/>
    </row>
    <row r="5698" spans="2:7" ht="15.75" customHeight="1" x14ac:dyDescent="0.25">
      <c r="B5698" s="100"/>
      <c r="C5698" s="100"/>
      <c r="D5698" s="100"/>
      <c r="E5698" s="100"/>
      <c r="F5698" s="102"/>
      <c r="G5698" s="114"/>
    </row>
    <row r="5699" spans="2:7" ht="15.75" customHeight="1" x14ac:dyDescent="0.25">
      <c r="B5699" s="100"/>
      <c r="C5699" s="100"/>
      <c r="D5699" s="100"/>
      <c r="E5699" s="100"/>
      <c r="F5699" s="102"/>
      <c r="G5699" s="114"/>
    </row>
    <row r="5700" spans="2:7" ht="15.75" customHeight="1" x14ac:dyDescent="0.25">
      <c r="B5700" s="100"/>
      <c r="C5700" s="100"/>
      <c r="D5700" s="100"/>
      <c r="E5700" s="100"/>
      <c r="F5700" s="102"/>
      <c r="G5700" s="114"/>
    </row>
    <row r="5701" spans="2:7" ht="15.75" customHeight="1" x14ac:dyDescent="0.25">
      <c r="B5701" s="100"/>
      <c r="C5701" s="100"/>
      <c r="D5701" s="100"/>
      <c r="E5701" s="100"/>
      <c r="F5701" s="102"/>
      <c r="G5701" s="114"/>
    </row>
    <row r="5702" spans="2:7" ht="15.75" customHeight="1" x14ac:dyDescent="0.25">
      <c r="B5702" s="100"/>
      <c r="C5702" s="100"/>
      <c r="D5702" s="100"/>
      <c r="E5702" s="100"/>
      <c r="F5702" s="102"/>
      <c r="G5702" s="114"/>
    </row>
    <row r="5703" spans="2:7" ht="15.75" customHeight="1" x14ac:dyDescent="0.25">
      <c r="B5703" s="100"/>
      <c r="C5703" s="100"/>
      <c r="D5703" s="100"/>
      <c r="E5703" s="100"/>
      <c r="F5703" s="102"/>
      <c r="G5703" s="114"/>
    </row>
    <row r="5704" spans="2:7" ht="15.75" customHeight="1" x14ac:dyDescent="0.25">
      <c r="B5704" s="100"/>
      <c r="C5704" s="100"/>
      <c r="D5704" s="100"/>
      <c r="E5704" s="100"/>
      <c r="F5704" s="102"/>
      <c r="G5704" s="114"/>
    </row>
    <row r="5705" spans="2:7" ht="15.75" customHeight="1" x14ac:dyDescent="0.25">
      <c r="B5705" s="100"/>
      <c r="C5705" s="100"/>
      <c r="D5705" s="100"/>
      <c r="E5705" s="100"/>
      <c r="F5705" s="102"/>
      <c r="G5705" s="114"/>
    </row>
    <row r="5706" spans="2:7" ht="15.75" customHeight="1" x14ac:dyDescent="0.25">
      <c r="B5706" s="100"/>
      <c r="C5706" s="100"/>
      <c r="D5706" s="100"/>
      <c r="E5706" s="100"/>
      <c r="F5706" s="102"/>
      <c r="G5706" s="114"/>
    </row>
    <row r="5707" spans="2:7" ht="15.75" customHeight="1" x14ac:dyDescent="0.25">
      <c r="B5707" s="100"/>
      <c r="C5707" s="100"/>
      <c r="D5707" s="100"/>
      <c r="E5707" s="100"/>
      <c r="F5707" s="102"/>
      <c r="G5707" s="114"/>
    </row>
    <row r="5708" spans="2:7" ht="15.75" customHeight="1" x14ac:dyDescent="0.25">
      <c r="B5708" s="100"/>
      <c r="C5708" s="100"/>
      <c r="D5708" s="100"/>
      <c r="E5708" s="100"/>
      <c r="F5708" s="102"/>
      <c r="G5708" s="114"/>
    </row>
    <row r="5709" spans="2:7" ht="15.75" customHeight="1" x14ac:dyDescent="0.25">
      <c r="B5709" s="100"/>
      <c r="C5709" s="100"/>
      <c r="D5709" s="100"/>
      <c r="E5709" s="100"/>
      <c r="F5709" s="102"/>
      <c r="G5709" s="114"/>
    </row>
    <row r="5710" spans="2:7" ht="15.75" customHeight="1" x14ac:dyDescent="0.25">
      <c r="B5710" s="100"/>
      <c r="C5710" s="100"/>
      <c r="D5710" s="100"/>
      <c r="E5710" s="100"/>
      <c r="F5710" s="102"/>
      <c r="G5710" s="114"/>
    </row>
    <row r="5711" spans="2:7" ht="15.75" customHeight="1" x14ac:dyDescent="0.25">
      <c r="B5711" s="100"/>
      <c r="C5711" s="100"/>
      <c r="D5711" s="100"/>
      <c r="E5711" s="100"/>
      <c r="F5711" s="102"/>
      <c r="G5711" s="114"/>
    </row>
    <row r="5712" spans="2:7" ht="15.75" customHeight="1" x14ac:dyDescent="0.25">
      <c r="B5712" s="100"/>
      <c r="C5712" s="100"/>
      <c r="D5712" s="100"/>
      <c r="E5712" s="100"/>
      <c r="F5712" s="102"/>
      <c r="G5712" s="114"/>
    </row>
    <row r="5713" spans="2:7" ht="15.75" customHeight="1" x14ac:dyDescent="0.25">
      <c r="B5713" s="100"/>
      <c r="C5713" s="100"/>
      <c r="D5713" s="100"/>
      <c r="E5713" s="100"/>
      <c r="F5713" s="102"/>
      <c r="G5713" s="114"/>
    </row>
    <row r="5714" spans="2:7" ht="15.75" customHeight="1" x14ac:dyDescent="0.25">
      <c r="B5714" s="100"/>
      <c r="C5714" s="100"/>
      <c r="D5714" s="100"/>
      <c r="E5714" s="100"/>
      <c r="F5714" s="102"/>
      <c r="G5714" s="114"/>
    </row>
    <row r="5715" spans="2:7" ht="15.75" customHeight="1" x14ac:dyDescent="0.25">
      <c r="B5715" s="100"/>
      <c r="C5715" s="100"/>
      <c r="D5715" s="100"/>
      <c r="E5715" s="100"/>
      <c r="F5715" s="102"/>
      <c r="G5715" s="114"/>
    </row>
    <row r="5716" spans="2:7" ht="15.75" customHeight="1" x14ac:dyDescent="0.25">
      <c r="B5716" s="100"/>
      <c r="C5716" s="100"/>
      <c r="D5716" s="100"/>
      <c r="E5716" s="100"/>
      <c r="F5716" s="102"/>
      <c r="G5716" s="114"/>
    </row>
    <row r="5717" spans="2:7" ht="15.75" customHeight="1" x14ac:dyDescent="0.25">
      <c r="B5717" s="100"/>
      <c r="C5717" s="100"/>
      <c r="D5717" s="100"/>
      <c r="E5717" s="100"/>
      <c r="F5717" s="102"/>
      <c r="G5717" s="114"/>
    </row>
    <row r="5718" spans="2:7" ht="15.75" customHeight="1" x14ac:dyDescent="0.25">
      <c r="B5718" s="100"/>
      <c r="C5718" s="100"/>
      <c r="D5718" s="100"/>
      <c r="E5718" s="100"/>
      <c r="F5718" s="102"/>
      <c r="G5718" s="114"/>
    </row>
    <row r="5719" spans="2:7" ht="15.75" customHeight="1" x14ac:dyDescent="0.25">
      <c r="B5719" s="100"/>
      <c r="C5719" s="100"/>
      <c r="D5719" s="100"/>
      <c r="E5719" s="100"/>
      <c r="F5719" s="102"/>
      <c r="G5719" s="114"/>
    </row>
    <row r="5720" spans="2:7" ht="15.75" customHeight="1" x14ac:dyDescent="0.25">
      <c r="B5720" s="100"/>
      <c r="C5720" s="100"/>
      <c r="D5720" s="100"/>
      <c r="E5720" s="100"/>
      <c r="F5720" s="102"/>
      <c r="G5720" s="114"/>
    </row>
    <row r="5721" spans="2:7" ht="15.75" customHeight="1" x14ac:dyDescent="0.25">
      <c r="B5721" s="100"/>
      <c r="C5721" s="100"/>
      <c r="D5721" s="100"/>
      <c r="E5721" s="100"/>
      <c r="F5721" s="102"/>
      <c r="G5721" s="114"/>
    </row>
    <row r="5722" spans="2:7" ht="15.75" customHeight="1" x14ac:dyDescent="0.25">
      <c r="B5722" s="100"/>
      <c r="C5722" s="100"/>
      <c r="D5722" s="100"/>
      <c r="E5722" s="100"/>
      <c r="F5722" s="102"/>
      <c r="G5722" s="114"/>
    </row>
    <row r="5723" spans="2:7" ht="15.75" customHeight="1" x14ac:dyDescent="0.25">
      <c r="B5723" s="100"/>
      <c r="C5723" s="100"/>
      <c r="D5723" s="100"/>
      <c r="E5723" s="100"/>
      <c r="F5723" s="102"/>
      <c r="G5723" s="114"/>
    </row>
    <row r="5724" spans="2:7" ht="15.75" customHeight="1" x14ac:dyDescent="0.25">
      <c r="B5724" s="100"/>
      <c r="C5724" s="100"/>
      <c r="D5724" s="100"/>
      <c r="E5724" s="100"/>
      <c r="F5724" s="102"/>
      <c r="G5724" s="114"/>
    </row>
    <row r="5725" spans="2:7" ht="15.75" customHeight="1" x14ac:dyDescent="0.25">
      <c r="B5725" s="100"/>
      <c r="C5725" s="100"/>
      <c r="D5725" s="100"/>
      <c r="E5725" s="100"/>
      <c r="F5725" s="102"/>
      <c r="G5725" s="114"/>
    </row>
    <row r="5726" spans="2:7" ht="15.75" customHeight="1" x14ac:dyDescent="0.25">
      <c r="B5726" s="100"/>
      <c r="C5726" s="100"/>
      <c r="D5726" s="100"/>
      <c r="E5726" s="100"/>
      <c r="F5726" s="102"/>
      <c r="G5726" s="114"/>
    </row>
    <row r="5727" spans="2:7" ht="15.75" customHeight="1" x14ac:dyDescent="0.25">
      <c r="B5727" s="100"/>
      <c r="C5727" s="100"/>
      <c r="D5727" s="100"/>
      <c r="E5727" s="100"/>
      <c r="F5727" s="102"/>
      <c r="G5727" s="114"/>
    </row>
    <row r="5728" spans="2:7" ht="15.75" customHeight="1" x14ac:dyDescent="0.25">
      <c r="B5728" s="100"/>
      <c r="C5728" s="100"/>
      <c r="D5728" s="100"/>
      <c r="E5728" s="100"/>
      <c r="F5728" s="102"/>
      <c r="G5728" s="114"/>
    </row>
    <row r="5729" spans="2:7" ht="15.75" customHeight="1" x14ac:dyDescent="0.25">
      <c r="B5729" s="100"/>
      <c r="C5729" s="100"/>
      <c r="D5729" s="100"/>
      <c r="E5729" s="100"/>
      <c r="F5729" s="102"/>
      <c r="G5729" s="114"/>
    </row>
    <row r="5730" spans="2:7" ht="15.75" customHeight="1" x14ac:dyDescent="0.25">
      <c r="B5730" s="100"/>
      <c r="C5730" s="100"/>
      <c r="D5730" s="100"/>
      <c r="E5730" s="100"/>
      <c r="F5730" s="102"/>
      <c r="G5730" s="114"/>
    </row>
    <row r="5731" spans="2:7" ht="15.75" customHeight="1" x14ac:dyDescent="0.25">
      <c r="B5731" s="100"/>
      <c r="C5731" s="100"/>
      <c r="D5731" s="100"/>
      <c r="E5731" s="100"/>
      <c r="F5731" s="102"/>
      <c r="G5731" s="114"/>
    </row>
    <row r="5732" spans="2:7" ht="15.75" customHeight="1" x14ac:dyDescent="0.25">
      <c r="B5732" s="100"/>
      <c r="C5732" s="100"/>
      <c r="D5732" s="100"/>
      <c r="E5732" s="100"/>
      <c r="F5732" s="102"/>
      <c r="G5732" s="114"/>
    </row>
    <row r="5733" spans="2:7" ht="15.75" customHeight="1" x14ac:dyDescent="0.25">
      <c r="B5733" s="100"/>
      <c r="C5733" s="100"/>
      <c r="D5733" s="100"/>
      <c r="E5733" s="100"/>
      <c r="F5733" s="102"/>
      <c r="G5733" s="114"/>
    </row>
    <row r="5734" spans="2:7" ht="15.75" customHeight="1" x14ac:dyDescent="0.25">
      <c r="B5734" s="100"/>
      <c r="C5734" s="100"/>
      <c r="D5734" s="100"/>
      <c r="E5734" s="100"/>
      <c r="F5734" s="102"/>
      <c r="G5734" s="114"/>
    </row>
    <row r="5735" spans="2:7" ht="15.75" customHeight="1" x14ac:dyDescent="0.25">
      <c r="B5735" s="100"/>
      <c r="C5735" s="100"/>
      <c r="D5735" s="100"/>
      <c r="E5735" s="100"/>
      <c r="F5735" s="102"/>
      <c r="G5735" s="114"/>
    </row>
    <row r="5736" spans="2:7" ht="15.75" customHeight="1" x14ac:dyDescent="0.25">
      <c r="B5736" s="100"/>
      <c r="C5736" s="100"/>
      <c r="D5736" s="100"/>
      <c r="E5736" s="100"/>
      <c r="F5736" s="102"/>
      <c r="G5736" s="114"/>
    </row>
    <row r="5737" spans="2:7" ht="15.75" customHeight="1" x14ac:dyDescent="0.25">
      <c r="B5737" s="100"/>
      <c r="C5737" s="100"/>
      <c r="D5737" s="100"/>
      <c r="E5737" s="100"/>
      <c r="F5737" s="102"/>
      <c r="G5737" s="114"/>
    </row>
    <row r="5738" spans="2:7" ht="15.75" customHeight="1" x14ac:dyDescent="0.25">
      <c r="B5738" s="100"/>
      <c r="C5738" s="100"/>
      <c r="D5738" s="100"/>
      <c r="E5738" s="100"/>
      <c r="F5738" s="102"/>
      <c r="G5738" s="114"/>
    </row>
    <row r="5739" spans="2:7" ht="15.75" customHeight="1" x14ac:dyDescent="0.25">
      <c r="B5739" s="100"/>
      <c r="C5739" s="100"/>
      <c r="D5739" s="100"/>
      <c r="E5739" s="100"/>
      <c r="F5739" s="102"/>
      <c r="G5739" s="114"/>
    </row>
    <row r="5740" spans="2:7" ht="15.75" customHeight="1" x14ac:dyDescent="0.25">
      <c r="B5740" s="100"/>
      <c r="C5740" s="100"/>
      <c r="D5740" s="100"/>
      <c r="E5740" s="100"/>
      <c r="F5740" s="102"/>
      <c r="G5740" s="114"/>
    </row>
    <row r="5741" spans="2:7" ht="15.75" customHeight="1" x14ac:dyDescent="0.25">
      <c r="B5741" s="100"/>
      <c r="C5741" s="100"/>
      <c r="D5741" s="100"/>
      <c r="E5741" s="100"/>
      <c r="F5741" s="102"/>
      <c r="G5741" s="114"/>
    </row>
    <row r="5742" spans="2:7" ht="15.75" customHeight="1" x14ac:dyDescent="0.25">
      <c r="B5742" s="100"/>
      <c r="C5742" s="100"/>
      <c r="D5742" s="100"/>
      <c r="E5742" s="100"/>
      <c r="F5742" s="102"/>
      <c r="G5742" s="114"/>
    </row>
    <row r="5743" spans="2:7" ht="15.75" customHeight="1" x14ac:dyDescent="0.25">
      <c r="B5743" s="100"/>
      <c r="C5743" s="100"/>
      <c r="D5743" s="100"/>
      <c r="E5743" s="100"/>
      <c r="F5743" s="102"/>
      <c r="G5743" s="114"/>
    </row>
    <row r="5744" spans="2:7" ht="15.75" customHeight="1" x14ac:dyDescent="0.25">
      <c r="B5744" s="100"/>
      <c r="C5744" s="100"/>
      <c r="D5744" s="100"/>
      <c r="E5744" s="100"/>
      <c r="F5744" s="102"/>
      <c r="G5744" s="114"/>
    </row>
    <row r="5745" spans="2:7" ht="15.75" customHeight="1" x14ac:dyDescent="0.25">
      <c r="B5745" s="100"/>
      <c r="C5745" s="100"/>
      <c r="D5745" s="100"/>
      <c r="E5745" s="100"/>
      <c r="F5745" s="102"/>
      <c r="G5745" s="114"/>
    </row>
    <row r="5746" spans="2:7" ht="15.75" customHeight="1" x14ac:dyDescent="0.25">
      <c r="B5746" s="100"/>
      <c r="C5746" s="100"/>
      <c r="D5746" s="100"/>
      <c r="E5746" s="100"/>
      <c r="F5746" s="102"/>
      <c r="G5746" s="114"/>
    </row>
    <row r="5747" spans="2:7" ht="15.75" customHeight="1" x14ac:dyDescent="0.25">
      <c r="B5747" s="100"/>
      <c r="C5747" s="100"/>
      <c r="D5747" s="100"/>
      <c r="E5747" s="100"/>
      <c r="F5747" s="102"/>
      <c r="G5747" s="114"/>
    </row>
    <row r="5748" spans="2:7" ht="15.75" customHeight="1" x14ac:dyDescent="0.25">
      <c r="B5748" s="100"/>
      <c r="C5748" s="100"/>
      <c r="D5748" s="100"/>
      <c r="E5748" s="100"/>
      <c r="F5748" s="102"/>
      <c r="G5748" s="114"/>
    </row>
    <row r="5749" spans="2:7" ht="15.75" customHeight="1" x14ac:dyDescent="0.25">
      <c r="B5749" s="100"/>
      <c r="C5749" s="100"/>
      <c r="D5749" s="100"/>
      <c r="E5749" s="100"/>
      <c r="F5749" s="102"/>
      <c r="G5749" s="114"/>
    </row>
    <row r="5750" spans="2:7" ht="15.75" customHeight="1" x14ac:dyDescent="0.25">
      <c r="B5750" s="100"/>
      <c r="C5750" s="100"/>
      <c r="D5750" s="100"/>
      <c r="E5750" s="100"/>
      <c r="F5750" s="102"/>
      <c r="G5750" s="114"/>
    </row>
    <row r="5751" spans="2:7" ht="15.75" customHeight="1" x14ac:dyDescent="0.25">
      <c r="B5751" s="100"/>
      <c r="C5751" s="100"/>
      <c r="D5751" s="100"/>
      <c r="E5751" s="100"/>
      <c r="F5751" s="102"/>
      <c r="G5751" s="114"/>
    </row>
    <row r="5752" spans="2:7" ht="15.75" customHeight="1" x14ac:dyDescent="0.25">
      <c r="B5752" s="100"/>
      <c r="C5752" s="100"/>
      <c r="D5752" s="100"/>
      <c r="E5752" s="100"/>
      <c r="F5752" s="102"/>
      <c r="G5752" s="114"/>
    </row>
    <row r="5753" spans="2:7" ht="15.75" customHeight="1" x14ac:dyDescent="0.25">
      <c r="B5753" s="100"/>
      <c r="C5753" s="100"/>
      <c r="D5753" s="100"/>
      <c r="E5753" s="100"/>
      <c r="F5753" s="102"/>
      <c r="G5753" s="114"/>
    </row>
    <row r="5754" spans="2:7" ht="15.75" customHeight="1" x14ac:dyDescent="0.25">
      <c r="B5754" s="100"/>
      <c r="C5754" s="100"/>
      <c r="D5754" s="100"/>
      <c r="E5754" s="100"/>
      <c r="F5754" s="102"/>
      <c r="G5754" s="114"/>
    </row>
    <row r="5755" spans="2:7" ht="15.75" customHeight="1" x14ac:dyDescent="0.25">
      <c r="B5755" s="100"/>
      <c r="C5755" s="100"/>
      <c r="D5755" s="100"/>
      <c r="E5755" s="100"/>
      <c r="F5755" s="102"/>
      <c r="G5755" s="114"/>
    </row>
    <row r="5756" spans="2:7" ht="15.75" customHeight="1" x14ac:dyDescent="0.25">
      <c r="B5756" s="100"/>
      <c r="C5756" s="100"/>
      <c r="D5756" s="100"/>
      <c r="E5756" s="100"/>
      <c r="F5756" s="102"/>
      <c r="G5756" s="114"/>
    </row>
    <row r="5757" spans="2:7" ht="15.75" customHeight="1" x14ac:dyDescent="0.25">
      <c r="B5757" s="100"/>
      <c r="C5757" s="100"/>
      <c r="D5757" s="100"/>
      <c r="E5757" s="100"/>
      <c r="F5757" s="102"/>
      <c r="G5757" s="114"/>
    </row>
    <row r="5758" spans="2:7" ht="15.75" customHeight="1" x14ac:dyDescent="0.25">
      <c r="B5758" s="100"/>
      <c r="C5758" s="100"/>
      <c r="D5758" s="100"/>
      <c r="E5758" s="100"/>
      <c r="F5758" s="102"/>
      <c r="G5758" s="114"/>
    </row>
    <row r="5759" spans="2:7" ht="15.75" customHeight="1" x14ac:dyDescent="0.25">
      <c r="B5759" s="100"/>
      <c r="C5759" s="100"/>
      <c r="D5759" s="100"/>
      <c r="E5759" s="100"/>
      <c r="F5759" s="102"/>
      <c r="G5759" s="114"/>
    </row>
    <row r="5760" spans="2:7" ht="15.75" customHeight="1" x14ac:dyDescent="0.25">
      <c r="B5760" s="100"/>
      <c r="C5760" s="100"/>
      <c r="D5760" s="100"/>
      <c r="E5760" s="100"/>
      <c r="F5760" s="102"/>
      <c r="G5760" s="114"/>
    </row>
    <row r="5761" spans="2:7" ht="15.75" customHeight="1" x14ac:dyDescent="0.25">
      <c r="B5761" s="100"/>
      <c r="C5761" s="100"/>
      <c r="D5761" s="100"/>
      <c r="E5761" s="100"/>
      <c r="F5761" s="102"/>
      <c r="G5761" s="114"/>
    </row>
    <row r="5762" spans="2:7" ht="15.75" customHeight="1" x14ac:dyDescent="0.25">
      <c r="B5762" s="100"/>
      <c r="C5762" s="100"/>
      <c r="D5762" s="100"/>
      <c r="E5762" s="100"/>
      <c r="F5762" s="102"/>
      <c r="G5762" s="114"/>
    </row>
    <row r="5763" spans="2:7" ht="15.75" customHeight="1" x14ac:dyDescent="0.25">
      <c r="B5763" s="100"/>
      <c r="C5763" s="100"/>
      <c r="D5763" s="100"/>
      <c r="E5763" s="100"/>
      <c r="F5763" s="102"/>
      <c r="G5763" s="114"/>
    </row>
    <row r="5764" spans="2:7" ht="15.75" customHeight="1" x14ac:dyDescent="0.25">
      <c r="B5764" s="100"/>
      <c r="C5764" s="100"/>
      <c r="D5764" s="100"/>
      <c r="E5764" s="100"/>
      <c r="F5764" s="102"/>
      <c r="G5764" s="114"/>
    </row>
    <row r="5765" spans="2:7" ht="15.75" customHeight="1" x14ac:dyDescent="0.25">
      <c r="B5765" s="100"/>
      <c r="C5765" s="100"/>
      <c r="D5765" s="100"/>
      <c r="E5765" s="100"/>
      <c r="F5765" s="102"/>
      <c r="G5765" s="114"/>
    </row>
    <row r="5766" spans="2:7" ht="15.75" customHeight="1" x14ac:dyDescent="0.25">
      <c r="B5766" s="100"/>
      <c r="C5766" s="100"/>
      <c r="D5766" s="100"/>
      <c r="E5766" s="100"/>
      <c r="F5766" s="102"/>
      <c r="G5766" s="114"/>
    </row>
    <row r="5767" spans="2:7" ht="15.75" customHeight="1" x14ac:dyDescent="0.25">
      <c r="B5767" s="100"/>
      <c r="C5767" s="100"/>
      <c r="D5767" s="100"/>
      <c r="E5767" s="100"/>
      <c r="F5767" s="102"/>
      <c r="G5767" s="114"/>
    </row>
    <row r="5768" spans="2:7" ht="15.75" customHeight="1" x14ac:dyDescent="0.25">
      <c r="B5768" s="100"/>
      <c r="C5768" s="100"/>
      <c r="D5768" s="100"/>
      <c r="E5768" s="100"/>
      <c r="F5768" s="102"/>
      <c r="G5768" s="114"/>
    </row>
    <row r="5769" spans="2:7" ht="15.75" customHeight="1" x14ac:dyDescent="0.25">
      <c r="B5769" s="100"/>
      <c r="C5769" s="100"/>
      <c r="D5769" s="100"/>
      <c r="E5769" s="100"/>
      <c r="F5769" s="102"/>
      <c r="G5769" s="114"/>
    </row>
    <row r="5770" spans="2:7" ht="15.75" customHeight="1" x14ac:dyDescent="0.25">
      <c r="B5770" s="100"/>
      <c r="C5770" s="100"/>
      <c r="D5770" s="100"/>
      <c r="E5770" s="100"/>
      <c r="F5770" s="102"/>
      <c r="G5770" s="114"/>
    </row>
    <row r="5771" spans="2:7" ht="15.75" customHeight="1" x14ac:dyDescent="0.25">
      <c r="B5771" s="100"/>
      <c r="C5771" s="100"/>
      <c r="D5771" s="100"/>
      <c r="E5771" s="100"/>
      <c r="F5771" s="102"/>
      <c r="G5771" s="114"/>
    </row>
    <row r="5772" spans="2:7" ht="15.75" customHeight="1" x14ac:dyDescent="0.25">
      <c r="B5772" s="100"/>
      <c r="C5772" s="100"/>
      <c r="D5772" s="100"/>
      <c r="E5772" s="100"/>
      <c r="F5772" s="102"/>
      <c r="G5772" s="114"/>
    </row>
    <row r="5773" spans="2:7" ht="15.75" customHeight="1" x14ac:dyDescent="0.25">
      <c r="B5773" s="100"/>
      <c r="C5773" s="100"/>
      <c r="D5773" s="100"/>
      <c r="E5773" s="100"/>
      <c r="F5773" s="102"/>
      <c r="G5773" s="114"/>
    </row>
    <row r="5774" spans="2:7" ht="15.75" customHeight="1" x14ac:dyDescent="0.25">
      <c r="B5774" s="100"/>
      <c r="C5774" s="100"/>
      <c r="D5774" s="100"/>
      <c r="E5774" s="100"/>
      <c r="F5774" s="102"/>
      <c r="G5774" s="114"/>
    </row>
    <row r="5775" spans="2:7" ht="15.75" customHeight="1" x14ac:dyDescent="0.25">
      <c r="B5775" s="100"/>
      <c r="C5775" s="100"/>
      <c r="D5775" s="100"/>
      <c r="E5775" s="100"/>
      <c r="F5775" s="102"/>
      <c r="G5775" s="114"/>
    </row>
    <row r="5776" spans="2:7" ht="15.75" customHeight="1" x14ac:dyDescent="0.25">
      <c r="B5776" s="100"/>
      <c r="C5776" s="100"/>
      <c r="D5776" s="100"/>
      <c r="E5776" s="100"/>
      <c r="F5776" s="102"/>
      <c r="G5776" s="114"/>
    </row>
    <row r="5777" spans="2:7" ht="15.75" customHeight="1" x14ac:dyDescent="0.25">
      <c r="B5777" s="100"/>
      <c r="C5777" s="100"/>
      <c r="D5777" s="100"/>
      <c r="E5777" s="100"/>
      <c r="F5777" s="102"/>
      <c r="G5777" s="114"/>
    </row>
    <row r="5778" spans="2:7" ht="15.75" customHeight="1" x14ac:dyDescent="0.25">
      <c r="B5778" s="100"/>
      <c r="C5778" s="100"/>
      <c r="D5778" s="100"/>
      <c r="E5778" s="100"/>
      <c r="F5778" s="102"/>
      <c r="G5778" s="114"/>
    </row>
    <row r="5779" spans="2:7" ht="15.75" customHeight="1" x14ac:dyDescent="0.25">
      <c r="B5779" s="100"/>
      <c r="C5779" s="100"/>
      <c r="D5779" s="100"/>
      <c r="E5779" s="100"/>
      <c r="F5779" s="102"/>
      <c r="G5779" s="114"/>
    </row>
    <row r="5780" spans="2:7" ht="15.75" customHeight="1" x14ac:dyDescent="0.25">
      <c r="B5780" s="100"/>
      <c r="C5780" s="100"/>
      <c r="D5780" s="100"/>
      <c r="E5780" s="100"/>
      <c r="F5780" s="102"/>
      <c r="G5780" s="114"/>
    </row>
    <row r="5781" spans="2:7" ht="15.75" customHeight="1" x14ac:dyDescent="0.25">
      <c r="B5781" s="100"/>
      <c r="C5781" s="100"/>
      <c r="D5781" s="100"/>
      <c r="E5781" s="100"/>
      <c r="F5781" s="102"/>
      <c r="G5781" s="114"/>
    </row>
    <row r="5782" spans="2:7" ht="15.75" customHeight="1" x14ac:dyDescent="0.25">
      <c r="B5782" s="100"/>
      <c r="C5782" s="100"/>
      <c r="D5782" s="100"/>
      <c r="E5782" s="100"/>
      <c r="F5782" s="102"/>
      <c r="G5782" s="114"/>
    </row>
    <row r="5783" spans="2:7" ht="15.75" customHeight="1" x14ac:dyDescent="0.25">
      <c r="B5783" s="100"/>
      <c r="C5783" s="100"/>
      <c r="D5783" s="100"/>
      <c r="E5783" s="100"/>
      <c r="F5783" s="102"/>
      <c r="G5783" s="114"/>
    </row>
    <row r="5784" spans="2:7" ht="15.75" customHeight="1" x14ac:dyDescent="0.25">
      <c r="B5784" s="100"/>
      <c r="C5784" s="100"/>
      <c r="D5784" s="100"/>
      <c r="E5784" s="100"/>
      <c r="F5784" s="102"/>
      <c r="G5784" s="114"/>
    </row>
    <row r="5785" spans="2:7" ht="15.75" customHeight="1" x14ac:dyDescent="0.25">
      <c r="B5785" s="100"/>
      <c r="C5785" s="100"/>
      <c r="D5785" s="100"/>
      <c r="E5785" s="100"/>
      <c r="F5785" s="102"/>
      <c r="G5785" s="114"/>
    </row>
    <row r="5786" spans="2:7" ht="15.75" customHeight="1" x14ac:dyDescent="0.25">
      <c r="B5786" s="100"/>
      <c r="C5786" s="100"/>
      <c r="D5786" s="100"/>
      <c r="E5786" s="100"/>
      <c r="F5786" s="102"/>
      <c r="G5786" s="114"/>
    </row>
    <row r="5787" spans="2:7" ht="15.75" customHeight="1" x14ac:dyDescent="0.25">
      <c r="B5787" s="100"/>
      <c r="C5787" s="100"/>
      <c r="D5787" s="100"/>
      <c r="E5787" s="100"/>
      <c r="F5787" s="102"/>
      <c r="G5787" s="114"/>
    </row>
    <row r="5788" spans="2:7" ht="15.75" customHeight="1" x14ac:dyDescent="0.25">
      <c r="B5788" s="100"/>
      <c r="C5788" s="100"/>
      <c r="D5788" s="100"/>
      <c r="E5788" s="100"/>
      <c r="F5788" s="102"/>
      <c r="G5788" s="114"/>
    </row>
    <row r="5789" spans="2:7" ht="15.75" customHeight="1" x14ac:dyDescent="0.25">
      <c r="B5789" s="100"/>
      <c r="C5789" s="100"/>
      <c r="D5789" s="100"/>
      <c r="E5789" s="100"/>
      <c r="F5789" s="102"/>
      <c r="G5789" s="114"/>
    </row>
    <row r="5790" spans="2:7" ht="15.75" customHeight="1" x14ac:dyDescent="0.25">
      <c r="B5790" s="100"/>
      <c r="C5790" s="100"/>
      <c r="D5790" s="100"/>
      <c r="E5790" s="100"/>
      <c r="F5790" s="102"/>
      <c r="G5790" s="114"/>
    </row>
    <row r="5791" spans="2:7" ht="15.75" customHeight="1" x14ac:dyDescent="0.25">
      <c r="B5791" s="100"/>
      <c r="C5791" s="100"/>
      <c r="D5791" s="100"/>
      <c r="E5791" s="100"/>
      <c r="F5791" s="102"/>
      <c r="G5791" s="114"/>
    </row>
    <row r="5792" spans="2:7" ht="15.75" customHeight="1" x14ac:dyDescent="0.25">
      <c r="B5792" s="100"/>
      <c r="C5792" s="100"/>
      <c r="D5792" s="100"/>
      <c r="E5792" s="100"/>
      <c r="F5792" s="102"/>
      <c r="G5792" s="114"/>
    </row>
    <row r="5793" spans="2:7" ht="15.75" customHeight="1" x14ac:dyDescent="0.25">
      <c r="B5793" s="100"/>
      <c r="C5793" s="100"/>
      <c r="D5793" s="100"/>
      <c r="E5793" s="100"/>
      <c r="F5793" s="102"/>
      <c r="G5793" s="114"/>
    </row>
    <row r="5794" spans="2:7" ht="15.75" customHeight="1" x14ac:dyDescent="0.25">
      <c r="B5794" s="100"/>
      <c r="C5794" s="100"/>
      <c r="D5794" s="100"/>
      <c r="E5794" s="100"/>
      <c r="F5794" s="102"/>
      <c r="G5794" s="114"/>
    </row>
    <row r="5795" spans="2:7" ht="15.75" customHeight="1" x14ac:dyDescent="0.25">
      <c r="B5795" s="100"/>
      <c r="C5795" s="100"/>
      <c r="D5795" s="100"/>
      <c r="E5795" s="100"/>
      <c r="F5795" s="102"/>
      <c r="G5795" s="114"/>
    </row>
    <row r="5796" spans="2:7" ht="15.75" customHeight="1" x14ac:dyDescent="0.25">
      <c r="B5796" s="100"/>
      <c r="C5796" s="100"/>
      <c r="D5796" s="100"/>
      <c r="E5796" s="100"/>
      <c r="F5796" s="102"/>
      <c r="G5796" s="114"/>
    </row>
    <row r="5797" spans="2:7" ht="15.75" customHeight="1" x14ac:dyDescent="0.25">
      <c r="B5797" s="100"/>
      <c r="C5797" s="100"/>
      <c r="D5797" s="100"/>
      <c r="E5797" s="100"/>
      <c r="F5797" s="102"/>
      <c r="G5797" s="114"/>
    </row>
    <row r="5798" spans="2:7" ht="15.75" customHeight="1" x14ac:dyDescent="0.25">
      <c r="B5798" s="100"/>
      <c r="C5798" s="100"/>
      <c r="D5798" s="100"/>
      <c r="E5798" s="100"/>
      <c r="F5798" s="102"/>
      <c r="G5798" s="114"/>
    </row>
    <row r="5799" spans="2:7" ht="15.75" customHeight="1" x14ac:dyDescent="0.25">
      <c r="B5799" s="100"/>
      <c r="C5799" s="100"/>
      <c r="D5799" s="100"/>
      <c r="E5799" s="100"/>
      <c r="F5799" s="102"/>
      <c r="G5799" s="114"/>
    </row>
    <row r="5800" spans="2:7" ht="15.75" customHeight="1" x14ac:dyDescent="0.25">
      <c r="B5800" s="100"/>
      <c r="C5800" s="100"/>
      <c r="D5800" s="100"/>
      <c r="E5800" s="100"/>
      <c r="F5800" s="102"/>
      <c r="G5800" s="114"/>
    </row>
    <row r="5801" spans="2:7" ht="15.75" customHeight="1" x14ac:dyDescent="0.25">
      <c r="B5801" s="100"/>
      <c r="C5801" s="100"/>
      <c r="D5801" s="100"/>
      <c r="E5801" s="100"/>
      <c r="F5801" s="102"/>
      <c r="G5801" s="114"/>
    </row>
    <row r="5802" spans="2:7" ht="15.75" customHeight="1" x14ac:dyDescent="0.25">
      <c r="B5802" s="100"/>
      <c r="C5802" s="100"/>
      <c r="D5802" s="100"/>
      <c r="E5802" s="100"/>
      <c r="F5802" s="102"/>
      <c r="G5802" s="114"/>
    </row>
    <row r="5803" spans="2:7" ht="15.75" customHeight="1" x14ac:dyDescent="0.25">
      <c r="B5803" s="100"/>
      <c r="C5803" s="100"/>
      <c r="D5803" s="100"/>
      <c r="E5803" s="100"/>
      <c r="F5803" s="102"/>
      <c r="G5803" s="114"/>
    </row>
    <row r="5804" spans="2:7" ht="15.75" customHeight="1" x14ac:dyDescent="0.25">
      <c r="B5804" s="100"/>
      <c r="C5804" s="100"/>
      <c r="D5804" s="100"/>
      <c r="E5804" s="100"/>
      <c r="F5804" s="102"/>
      <c r="G5804" s="114"/>
    </row>
    <row r="5805" spans="2:7" ht="15.75" customHeight="1" x14ac:dyDescent="0.25">
      <c r="B5805" s="100"/>
      <c r="C5805" s="100"/>
      <c r="D5805" s="100"/>
      <c r="E5805" s="100"/>
      <c r="F5805" s="102"/>
      <c r="G5805" s="114"/>
    </row>
    <row r="5806" spans="2:7" ht="15.75" customHeight="1" x14ac:dyDescent="0.25">
      <c r="B5806" s="100"/>
      <c r="C5806" s="100"/>
      <c r="D5806" s="100"/>
      <c r="E5806" s="100"/>
      <c r="F5806" s="102"/>
      <c r="G5806" s="114"/>
    </row>
    <row r="5807" spans="2:7" ht="15.75" customHeight="1" x14ac:dyDescent="0.25">
      <c r="B5807" s="100"/>
      <c r="C5807" s="100"/>
      <c r="D5807" s="100"/>
      <c r="E5807" s="100"/>
      <c r="F5807" s="102"/>
      <c r="G5807" s="114"/>
    </row>
    <row r="5808" spans="2:7" ht="15.75" customHeight="1" x14ac:dyDescent="0.25">
      <c r="B5808" s="100"/>
      <c r="C5808" s="100"/>
      <c r="D5808" s="100"/>
      <c r="E5808" s="100"/>
      <c r="F5808" s="102"/>
      <c r="G5808" s="114"/>
    </row>
    <row r="5809" spans="2:7" ht="15.75" customHeight="1" x14ac:dyDescent="0.25">
      <c r="B5809" s="100"/>
      <c r="C5809" s="100"/>
      <c r="D5809" s="100"/>
      <c r="E5809" s="100"/>
      <c r="F5809" s="102"/>
      <c r="G5809" s="114"/>
    </row>
    <row r="5810" spans="2:7" ht="15.75" customHeight="1" x14ac:dyDescent="0.25">
      <c r="B5810" s="100"/>
      <c r="C5810" s="100"/>
      <c r="D5810" s="100"/>
      <c r="E5810" s="100"/>
      <c r="F5810" s="102"/>
      <c r="G5810" s="114"/>
    </row>
    <row r="5811" spans="2:7" ht="15.75" customHeight="1" x14ac:dyDescent="0.25">
      <c r="B5811" s="100"/>
      <c r="C5811" s="100"/>
      <c r="D5811" s="100"/>
      <c r="E5811" s="100"/>
      <c r="F5811" s="102"/>
      <c r="G5811" s="114"/>
    </row>
    <row r="5812" spans="2:7" ht="15.75" customHeight="1" x14ac:dyDescent="0.25">
      <c r="B5812" s="100"/>
      <c r="C5812" s="100"/>
      <c r="D5812" s="100"/>
      <c r="E5812" s="100"/>
      <c r="F5812" s="102"/>
      <c r="G5812" s="114"/>
    </row>
    <row r="5813" spans="2:7" ht="15.75" customHeight="1" x14ac:dyDescent="0.25">
      <c r="B5813" s="100"/>
      <c r="C5813" s="100"/>
      <c r="D5813" s="100"/>
      <c r="E5813" s="100"/>
      <c r="F5813" s="102"/>
      <c r="G5813" s="114"/>
    </row>
    <row r="5814" spans="2:7" ht="15.75" customHeight="1" x14ac:dyDescent="0.25">
      <c r="B5814" s="100"/>
      <c r="C5814" s="100"/>
      <c r="D5814" s="100"/>
      <c r="E5814" s="100"/>
      <c r="F5814" s="102"/>
      <c r="G5814" s="114"/>
    </row>
    <row r="5815" spans="2:7" ht="15.75" customHeight="1" x14ac:dyDescent="0.25">
      <c r="B5815" s="100"/>
      <c r="C5815" s="100"/>
      <c r="D5815" s="100"/>
      <c r="E5815" s="100"/>
      <c r="F5815" s="102"/>
      <c r="G5815" s="114"/>
    </row>
    <row r="5816" spans="2:7" ht="15.75" customHeight="1" x14ac:dyDescent="0.25">
      <c r="B5816" s="100"/>
      <c r="C5816" s="100"/>
      <c r="D5816" s="100"/>
      <c r="E5816" s="100"/>
      <c r="F5816" s="102"/>
      <c r="G5816" s="114"/>
    </row>
    <row r="5817" spans="2:7" ht="15.75" customHeight="1" x14ac:dyDescent="0.25">
      <c r="B5817" s="100"/>
      <c r="C5817" s="100"/>
      <c r="D5817" s="100"/>
      <c r="E5817" s="100"/>
      <c r="F5817" s="102"/>
      <c r="G5817" s="114"/>
    </row>
    <row r="5818" spans="2:7" ht="15.75" customHeight="1" x14ac:dyDescent="0.25">
      <c r="B5818" s="100"/>
      <c r="C5818" s="100"/>
      <c r="D5818" s="100"/>
      <c r="E5818" s="100"/>
      <c r="F5818" s="102"/>
      <c r="G5818" s="114"/>
    </row>
    <row r="5819" spans="2:7" ht="15.75" customHeight="1" x14ac:dyDescent="0.25">
      <c r="B5819" s="100"/>
      <c r="C5819" s="100"/>
      <c r="D5819" s="100"/>
      <c r="E5819" s="100"/>
      <c r="F5819" s="102"/>
      <c r="G5819" s="114"/>
    </row>
    <row r="5820" spans="2:7" ht="15.75" customHeight="1" x14ac:dyDescent="0.25">
      <c r="B5820" s="100"/>
      <c r="C5820" s="100"/>
      <c r="D5820" s="100"/>
      <c r="E5820" s="100"/>
      <c r="F5820" s="102"/>
      <c r="G5820" s="114"/>
    </row>
    <row r="5821" spans="2:7" ht="15.75" customHeight="1" x14ac:dyDescent="0.25">
      <c r="B5821" s="100"/>
      <c r="C5821" s="100"/>
      <c r="D5821" s="100"/>
      <c r="E5821" s="100"/>
      <c r="F5821" s="102"/>
      <c r="G5821" s="114"/>
    </row>
    <row r="5822" spans="2:7" ht="15.75" customHeight="1" x14ac:dyDescent="0.25">
      <c r="B5822" s="100"/>
      <c r="C5822" s="100"/>
      <c r="D5822" s="100"/>
      <c r="E5822" s="100"/>
      <c r="F5822" s="102"/>
      <c r="G5822" s="114"/>
    </row>
    <row r="5823" spans="2:7" ht="15.75" customHeight="1" x14ac:dyDescent="0.25">
      <c r="B5823" s="100"/>
      <c r="C5823" s="100"/>
      <c r="D5823" s="100"/>
      <c r="E5823" s="100"/>
      <c r="F5823" s="102"/>
      <c r="G5823" s="114"/>
    </row>
    <row r="5824" spans="2:7" ht="15.75" customHeight="1" x14ac:dyDescent="0.25">
      <c r="B5824" s="100"/>
      <c r="C5824" s="100"/>
      <c r="D5824" s="100"/>
      <c r="E5824" s="100"/>
      <c r="F5824" s="102"/>
      <c r="G5824" s="114"/>
    </row>
    <row r="5825" spans="2:7" ht="15.75" customHeight="1" x14ac:dyDescent="0.25">
      <c r="B5825" s="100"/>
      <c r="C5825" s="100"/>
      <c r="D5825" s="100"/>
      <c r="E5825" s="100"/>
      <c r="F5825" s="102"/>
      <c r="G5825" s="114"/>
    </row>
    <row r="5826" spans="2:7" ht="15.75" customHeight="1" x14ac:dyDescent="0.25">
      <c r="B5826" s="100"/>
      <c r="C5826" s="100"/>
      <c r="D5826" s="100"/>
      <c r="E5826" s="100"/>
      <c r="F5826" s="102"/>
      <c r="G5826" s="114"/>
    </row>
    <row r="5827" spans="2:7" ht="15.75" customHeight="1" x14ac:dyDescent="0.25">
      <c r="B5827" s="100"/>
      <c r="C5827" s="100"/>
      <c r="D5827" s="100"/>
      <c r="E5827" s="100"/>
      <c r="F5827" s="102"/>
      <c r="G5827" s="114"/>
    </row>
    <row r="5828" spans="2:7" ht="15.75" customHeight="1" x14ac:dyDescent="0.25">
      <c r="B5828" s="100"/>
      <c r="C5828" s="100"/>
      <c r="D5828" s="100"/>
      <c r="E5828" s="100"/>
      <c r="F5828" s="102"/>
      <c r="G5828" s="114"/>
    </row>
    <row r="5829" spans="2:7" ht="15.75" customHeight="1" x14ac:dyDescent="0.25">
      <c r="B5829" s="100"/>
      <c r="C5829" s="100"/>
      <c r="D5829" s="100"/>
      <c r="E5829" s="100"/>
      <c r="F5829" s="102"/>
      <c r="G5829" s="114"/>
    </row>
    <row r="5830" spans="2:7" ht="15.75" customHeight="1" x14ac:dyDescent="0.25">
      <c r="B5830" s="100"/>
      <c r="C5830" s="100"/>
      <c r="D5830" s="100"/>
      <c r="E5830" s="100"/>
      <c r="F5830" s="102"/>
      <c r="G5830" s="114"/>
    </row>
    <row r="5831" spans="2:7" ht="15.75" customHeight="1" x14ac:dyDescent="0.25">
      <c r="B5831" s="100"/>
      <c r="C5831" s="100"/>
      <c r="D5831" s="100"/>
      <c r="E5831" s="100"/>
      <c r="F5831" s="102"/>
      <c r="G5831" s="114"/>
    </row>
    <row r="5832" spans="2:7" ht="15.75" customHeight="1" x14ac:dyDescent="0.25">
      <c r="B5832" s="100"/>
      <c r="C5832" s="100"/>
      <c r="D5832" s="100"/>
      <c r="E5832" s="100"/>
      <c r="F5832" s="102"/>
      <c r="G5832" s="114"/>
    </row>
    <row r="5833" spans="2:7" ht="15.75" customHeight="1" x14ac:dyDescent="0.25">
      <c r="B5833" s="100"/>
      <c r="C5833" s="100"/>
      <c r="D5833" s="100"/>
      <c r="E5833" s="100"/>
      <c r="F5833" s="102"/>
      <c r="G5833" s="114"/>
    </row>
    <row r="5834" spans="2:7" ht="15.75" customHeight="1" x14ac:dyDescent="0.25">
      <c r="B5834" s="100"/>
      <c r="C5834" s="100"/>
      <c r="D5834" s="100"/>
      <c r="E5834" s="100"/>
      <c r="F5834" s="102"/>
      <c r="G5834" s="114"/>
    </row>
    <row r="5835" spans="2:7" ht="15.75" customHeight="1" x14ac:dyDescent="0.25">
      <c r="B5835" s="100"/>
      <c r="C5835" s="100"/>
      <c r="D5835" s="100"/>
      <c r="E5835" s="100"/>
      <c r="F5835" s="102"/>
      <c r="G5835" s="114"/>
    </row>
    <row r="5836" spans="2:7" ht="15.75" customHeight="1" x14ac:dyDescent="0.25">
      <c r="B5836" s="100"/>
      <c r="C5836" s="100"/>
      <c r="D5836" s="100"/>
      <c r="E5836" s="100"/>
      <c r="F5836" s="102"/>
      <c r="G5836" s="114"/>
    </row>
    <row r="5837" spans="2:7" ht="15.75" customHeight="1" x14ac:dyDescent="0.25">
      <c r="B5837" s="100"/>
      <c r="C5837" s="100"/>
      <c r="D5837" s="100"/>
      <c r="E5837" s="100"/>
      <c r="F5837" s="102"/>
      <c r="G5837" s="114"/>
    </row>
    <row r="5838" spans="2:7" ht="15.75" customHeight="1" x14ac:dyDescent="0.25">
      <c r="B5838" s="100"/>
      <c r="C5838" s="100"/>
      <c r="D5838" s="100"/>
      <c r="E5838" s="100"/>
      <c r="F5838" s="102"/>
      <c r="G5838" s="114"/>
    </row>
    <row r="5839" spans="2:7" ht="15.75" customHeight="1" x14ac:dyDescent="0.25">
      <c r="B5839" s="100"/>
      <c r="C5839" s="100"/>
      <c r="D5839" s="100"/>
      <c r="E5839" s="100"/>
      <c r="F5839" s="102"/>
      <c r="G5839" s="114"/>
    </row>
    <row r="5840" spans="2:7" ht="15.75" customHeight="1" x14ac:dyDescent="0.25">
      <c r="B5840" s="100"/>
      <c r="C5840" s="100"/>
      <c r="D5840" s="100"/>
      <c r="E5840" s="100"/>
      <c r="F5840" s="102"/>
      <c r="G5840" s="114"/>
    </row>
    <row r="5841" spans="2:7" ht="15.75" customHeight="1" x14ac:dyDescent="0.25">
      <c r="B5841" s="100"/>
      <c r="C5841" s="100"/>
      <c r="D5841" s="100"/>
      <c r="E5841" s="100"/>
      <c r="F5841" s="102"/>
      <c r="G5841" s="114"/>
    </row>
    <row r="5842" spans="2:7" ht="15.75" customHeight="1" x14ac:dyDescent="0.25">
      <c r="B5842" s="100"/>
      <c r="C5842" s="100"/>
      <c r="D5842" s="100"/>
      <c r="E5842" s="100"/>
      <c r="F5842" s="102"/>
      <c r="G5842" s="114"/>
    </row>
    <row r="5843" spans="2:7" ht="15.75" customHeight="1" x14ac:dyDescent="0.25">
      <c r="B5843" s="100"/>
      <c r="C5843" s="100"/>
      <c r="D5843" s="100"/>
      <c r="E5843" s="100"/>
      <c r="F5843" s="102"/>
      <c r="G5843" s="114"/>
    </row>
    <row r="5844" spans="2:7" ht="15.75" customHeight="1" x14ac:dyDescent="0.25">
      <c r="B5844" s="100"/>
      <c r="C5844" s="100"/>
      <c r="D5844" s="100"/>
      <c r="E5844" s="100"/>
      <c r="F5844" s="102"/>
      <c r="G5844" s="114"/>
    </row>
    <row r="5845" spans="2:7" ht="15.75" customHeight="1" x14ac:dyDescent="0.25">
      <c r="B5845" s="100"/>
      <c r="C5845" s="100"/>
      <c r="D5845" s="100"/>
      <c r="E5845" s="100"/>
      <c r="F5845" s="102"/>
      <c r="G5845" s="114"/>
    </row>
    <row r="5846" spans="2:7" ht="15.75" customHeight="1" x14ac:dyDescent="0.25">
      <c r="B5846" s="100"/>
      <c r="C5846" s="100"/>
      <c r="D5846" s="100"/>
      <c r="E5846" s="100"/>
      <c r="F5846" s="102"/>
      <c r="G5846" s="114"/>
    </row>
    <row r="5847" spans="2:7" ht="15.75" customHeight="1" x14ac:dyDescent="0.25">
      <c r="B5847" s="100"/>
      <c r="C5847" s="100"/>
      <c r="D5847" s="100"/>
      <c r="E5847" s="100"/>
      <c r="F5847" s="102"/>
      <c r="G5847" s="114"/>
    </row>
    <row r="5848" spans="2:7" ht="15.75" customHeight="1" x14ac:dyDescent="0.25">
      <c r="B5848" s="100"/>
      <c r="C5848" s="100"/>
      <c r="D5848" s="100"/>
      <c r="E5848" s="100"/>
      <c r="F5848" s="102"/>
      <c r="G5848" s="114"/>
    </row>
    <row r="5849" spans="2:7" ht="15.75" customHeight="1" x14ac:dyDescent="0.25">
      <c r="B5849" s="100"/>
      <c r="C5849" s="100"/>
      <c r="D5849" s="100"/>
      <c r="E5849" s="100"/>
      <c r="F5849" s="102"/>
      <c r="G5849" s="114"/>
    </row>
    <row r="5850" spans="2:7" ht="15.75" customHeight="1" x14ac:dyDescent="0.25">
      <c r="B5850" s="100"/>
      <c r="C5850" s="100"/>
      <c r="D5850" s="100"/>
      <c r="E5850" s="100"/>
      <c r="F5850" s="102"/>
      <c r="G5850" s="114"/>
    </row>
    <row r="5851" spans="2:7" ht="15.75" customHeight="1" x14ac:dyDescent="0.25">
      <c r="B5851" s="100"/>
      <c r="C5851" s="100"/>
      <c r="D5851" s="100"/>
      <c r="E5851" s="100"/>
      <c r="F5851" s="102"/>
      <c r="G5851" s="114"/>
    </row>
    <row r="5852" spans="2:7" ht="15.75" customHeight="1" x14ac:dyDescent="0.25">
      <c r="B5852" s="100"/>
      <c r="C5852" s="100"/>
      <c r="D5852" s="100"/>
      <c r="E5852" s="100"/>
      <c r="F5852" s="102"/>
      <c r="G5852" s="114"/>
    </row>
    <row r="5853" spans="2:7" ht="15.75" customHeight="1" x14ac:dyDescent="0.25">
      <c r="B5853" s="100"/>
      <c r="C5853" s="100"/>
      <c r="D5853" s="100"/>
      <c r="E5853" s="100"/>
      <c r="F5853" s="102"/>
      <c r="G5853" s="114"/>
    </row>
    <row r="5854" spans="2:7" ht="15.75" customHeight="1" x14ac:dyDescent="0.25">
      <c r="B5854" s="100"/>
      <c r="C5854" s="100"/>
      <c r="D5854" s="100"/>
      <c r="E5854" s="100"/>
      <c r="F5854" s="102"/>
      <c r="G5854" s="114"/>
    </row>
    <row r="5855" spans="2:7" ht="15.75" customHeight="1" x14ac:dyDescent="0.25">
      <c r="B5855" s="100"/>
      <c r="C5855" s="100"/>
      <c r="D5855" s="100"/>
      <c r="E5855" s="100"/>
      <c r="F5855" s="102"/>
      <c r="G5855" s="114"/>
    </row>
    <row r="5856" spans="2:7" ht="15.75" customHeight="1" x14ac:dyDescent="0.25">
      <c r="B5856" s="100"/>
      <c r="C5856" s="100"/>
      <c r="D5856" s="100"/>
      <c r="E5856" s="100"/>
      <c r="F5856" s="102"/>
      <c r="G5856" s="114"/>
    </row>
    <row r="5857" spans="2:7" ht="15.75" customHeight="1" x14ac:dyDescent="0.25">
      <c r="B5857" s="100"/>
      <c r="C5857" s="100"/>
      <c r="D5857" s="100"/>
      <c r="E5857" s="100"/>
      <c r="F5857" s="102"/>
      <c r="G5857" s="114"/>
    </row>
    <row r="5858" spans="2:7" ht="15.75" customHeight="1" x14ac:dyDescent="0.25">
      <c r="B5858" s="100"/>
      <c r="C5858" s="100"/>
      <c r="D5858" s="100"/>
      <c r="E5858" s="100"/>
      <c r="F5858" s="102"/>
      <c r="G5858" s="114"/>
    </row>
    <row r="5859" spans="2:7" ht="15.75" customHeight="1" x14ac:dyDescent="0.25">
      <c r="B5859" s="100"/>
      <c r="C5859" s="100"/>
      <c r="D5859" s="100"/>
      <c r="E5859" s="100"/>
      <c r="F5859" s="102"/>
      <c r="G5859" s="114"/>
    </row>
    <row r="5860" spans="2:7" ht="15.75" customHeight="1" x14ac:dyDescent="0.25">
      <c r="B5860" s="100"/>
      <c r="C5860" s="100"/>
      <c r="D5860" s="100"/>
      <c r="E5860" s="100"/>
      <c r="F5860" s="102"/>
      <c r="G5860" s="114"/>
    </row>
    <row r="5861" spans="2:7" ht="15.75" customHeight="1" x14ac:dyDescent="0.25">
      <c r="B5861" s="100"/>
      <c r="C5861" s="100"/>
      <c r="D5861" s="100"/>
      <c r="E5861" s="100"/>
      <c r="F5861" s="102"/>
      <c r="G5861" s="114"/>
    </row>
    <row r="5862" spans="2:7" ht="15.75" customHeight="1" x14ac:dyDescent="0.25">
      <c r="B5862" s="100"/>
      <c r="C5862" s="100"/>
      <c r="D5862" s="100"/>
      <c r="E5862" s="100"/>
      <c r="F5862" s="102"/>
      <c r="G5862" s="114"/>
    </row>
    <row r="5863" spans="2:7" ht="15.75" customHeight="1" x14ac:dyDescent="0.25">
      <c r="B5863" s="100"/>
      <c r="C5863" s="100"/>
      <c r="D5863" s="100"/>
      <c r="E5863" s="100"/>
      <c r="F5863" s="102"/>
      <c r="G5863" s="114"/>
    </row>
    <row r="5864" spans="2:7" ht="15.75" customHeight="1" x14ac:dyDescent="0.25">
      <c r="B5864" s="100"/>
      <c r="C5864" s="100"/>
      <c r="D5864" s="100"/>
      <c r="E5864" s="100"/>
      <c r="F5864" s="102"/>
      <c r="G5864" s="114"/>
    </row>
    <row r="5865" spans="2:7" ht="15.75" customHeight="1" x14ac:dyDescent="0.25">
      <c r="B5865" s="100"/>
      <c r="C5865" s="100"/>
      <c r="D5865" s="100"/>
      <c r="E5865" s="100"/>
      <c r="F5865" s="102"/>
      <c r="G5865" s="114"/>
    </row>
    <row r="5866" spans="2:7" ht="15.75" customHeight="1" x14ac:dyDescent="0.25">
      <c r="B5866" s="100"/>
      <c r="C5866" s="100"/>
      <c r="D5866" s="100"/>
      <c r="E5866" s="100"/>
      <c r="F5866" s="102"/>
      <c r="G5866" s="114"/>
    </row>
    <row r="5867" spans="2:7" ht="15.75" customHeight="1" x14ac:dyDescent="0.25">
      <c r="B5867" s="100"/>
      <c r="C5867" s="100"/>
      <c r="D5867" s="100"/>
      <c r="E5867" s="100"/>
      <c r="F5867" s="102"/>
      <c r="G5867" s="114"/>
    </row>
    <row r="5868" spans="2:7" ht="15.75" customHeight="1" x14ac:dyDescent="0.25">
      <c r="B5868" s="100"/>
      <c r="C5868" s="100"/>
      <c r="D5868" s="100"/>
      <c r="E5868" s="100"/>
      <c r="F5868" s="102"/>
      <c r="G5868" s="114"/>
    </row>
    <row r="5869" spans="2:7" ht="15.75" customHeight="1" x14ac:dyDescent="0.25">
      <c r="B5869" s="100"/>
      <c r="C5869" s="100"/>
      <c r="D5869" s="100"/>
      <c r="E5869" s="100"/>
      <c r="F5869" s="102"/>
      <c r="G5869" s="114"/>
    </row>
    <row r="5870" spans="2:7" ht="15.75" customHeight="1" x14ac:dyDescent="0.25">
      <c r="B5870" s="100"/>
      <c r="C5870" s="100"/>
      <c r="D5870" s="100"/>
      <c r="E5870" s="100"/>
      <c r="F5870" s="102"/>
      <c r="G5870" s="114"/>
    </row>
    <row r="5871" spans="2:7" ht="15.75" customHeight="1" x14ac:dyDescent="0.25">
      <c r="B5871" s="100"/>
      <c r="C5871" s="100"/>
      <c r="D5871" s="100"/>
      <c r="E5871" s="100"/>
      <c r="F5871" s="102"/>
      <c r="G5871" s="114"/>
    </row>
    <row r="5872" spans="2:7" ht="15.75" customHeight="1" x14ac:dyDescent="0.25">
      <c r="B5872" s="100"/>
      <c r="C5872" s="100"/>
      <c r="D5872" s="100"/>
      <c r="E5872" s="100"/>
      <c r="F5872" s="102"/>
      <c r="G5872" s="114"/>
    </row>
    <row r="5873" spans="2:7" ht="15.75" customHeight="1" x14ac:dyDescent="0.25">
      <c r="B5873" s="100"/>
      <c r="C5873" s="100"/>
      <c r="D5873" s="100"/>
      <c r="E5873" s="100"/>
      <c r="F5873" s="102"/>
      <c r="G5873" s="114"/>
    </row>
    <row r="5874" spans="2:7" ht="15.75" customHeight="1" x14ac:dyDescent="0.25">
      <c r="B5874" s="100"/>
      <c r="C5874" s="100"/>
      <c r="D5874" s="100"/>
      <c r="E5874" s="100"/>
      <c r="F5874" s="102"/>
      <c r="G5874" s="114"/>
    </row>
    <row r="5875" spans="2:7" ht="15.75" customHeight="1" x14ac:dyDescent="0.25">
      <c r="B5875" s="100"/>
      <c r="C5875" s="100"/>
      <c r="D5875" s="100"/>
      <c r="E5875" s="100"/>
      <c r="F5875" s="102"/>
      <c r="G5875" s="114"/>
    </row>
    <row r="5876" spans="2:7" ht="15.75" customHeight="1" x14ac:dyDescent="0.25">
      <c r="B5876" s="100"/>
      <c r="C5876" s="100"/>
      <c r="D5876" s="100"/>
      <c r="E5876" s="100"/>
      <c r="F5876" s="102"/>
      <c r="G5876" s="114"/>
    </row>
    <row r="5877" spans="2:7" ht="15.75" customHeight="1" x14ac:dyDescent="0.25">
      <c r="B5877" s="100"/>
      <c r="C5877" s="100"/>
      <c r="D5877" s="100"/>
      <c r="E5877" s="100"/>
      <c r="F5877" s="102"/>
      <c r="G5877" s="114"/>
    </row>
    <row r="5878" spans="2:7" ht="15.75" customHeight="1" x14ac:dyDescent="0.25">
      <c r="B5878" s="100"/>
      <c r="C5878" s="100"/>
      <c r="D5878" s="100"/>
      <c r="E5878" s="100"/>
      <c r="F5878" s="102"/>
      <c r="G5878" s="114"/>
    </row>
    <row r="5879" spans="2:7" ht="15.75" customHeight="1" x14ac:dyDescent="0.25">
      <c r="B5879" s="100"/>
      <c r="C5879" s="100"/>
      <c r="D5879" s="100"/>
      <c r="E5879" s="100"/>
      <c r="F5879" s="102"/>
      <c r="G5879" s="114"/>
    </row>
    <row r="5880" spans="2:7" ht="15.75" customHeight="1" x14ac:dyDescent="0.25">
      <c r="B5880" s="100"/>
      <c r="C5880" s="100"/>
      <c r="D5880" s="100"/>
      <c r="E5880" s="100"/>
      <c r="F5880" s="102"/>
      <c r="G5880" s="114"/>
    </row>
    <row r="5881" spans="2:7" ht="15.75" customHeight="1" x14ac:dyDescent="0.25">
      <c r="B5881" s="100"/>
      <c r="C5881" s="100"/>
      <c r="D5881" s="100"/>
      <c r="E5881" s="100"/>
      <c r="F5881" s="102"/>
      <c r="G5881" s="114"/>
    </row>
    <row r="5882" spans="2:7" ht="15.75" customHeight="1" x14ac:dyDescent="0.25">
      <c r="B5882" s="100"/>
      <c r="C5882" s="100"/>
      <c r="D5882" s="100"/>
      <c r="E5882" s="100"/>
      <c r="F5882" s="102"/>
      <c r="G5882" s="114"/>
    </row>
    <row r="5883" spans="2:7" ht="15.75" customHeight="1" x14ac:dyDescent="0.25">
      <c r="B5883" s="100"/>
      <c r="C5883" s="100"/>
      <c r="D5883" s="100"/>
      <c r="E5883" s="100"/>
      <c r="F5883" s="102"/>
      <c r="G5883" s="114"/>
    </row>
    <row r="5884" spans="2:7" ht="15.75" customHeight="1" x14ac:dyDescent="0.25">
      <c r="B5884" s="100"/>
      <c r="C5884" s="100"/>
      <c r="D5884" s="100"/>
      <c r="E5884" s="100"/>
      <c r="F5884" s="102"/>
      <c r="G5884" s="114"/>
    </row>
    <row r="5885" spans="2:7" ht="15.75" customHeight="1" x14ac:dyDescent="0.25">
      <c r="B5885" s="100"/>
      <c r="C5885" s="100"/>
      <c r="D5885" s="100"/>
      <c r="E5885" s="100"/>
      <c r="F5885" s="102"/>
      <c r="G5885" s="114"/>
    </row>
    <row r="5886" spans="2:7" ht="15.75" customHeight="1" x14ac:dyDescent="0.25">
      <c r="B5886" s="100"/>
      <c r="C5886" s="100"/>
      <c r="D5886" s="100"/>
      <c r="E5886" s="100"/>
      <c r="F5886" s="102"/>
      <c r="G5886" s="114"/>
    </row>
    <row r="5887" spans="2:7" ht="15.75" customHeight="1" x14ac:dyDescent="0.25">
      <c r="B5887" s="100"/>
      <c r="C5887" s="100"/>
      <c r="D5887" s="100"/>
      <c r="E5887" s="100"/>
      <c r="F5887" s="102"/>
      <c r="G5887" s="114"/>
    </row>
    <row r="5888" spans="2:7" ht="15.75" customHeight="1" x14ac:dyDescent="0.25">
      <c r="B5888" s="100"/>
      <c r="C5888" s="100"/>
      <c r="D5888" s="100"/>
      <c r="E5888" s="100"/>
      <c r="F5888" s="102"/>
      <c r="G5888" s="114"/>
    </row>
    <row r="5889" spans="2:7" ht="15.75" customHeight="1" x14ac:dyDescent="0.25">
      <c r="B5889" s="100"/>
      <c r="C5889" s="100"/>
      <c r="D5889" s="100"/>
      <c r="E5889" s="100"/>
      <c r="F5889" s="102"/>
      <c r="G5889" s="114"/>
    </row>
    <row r="5890" spans="2:7" ht="15.75" customHeight="1" x14ac:dyDescent="0.25">
      <c r="B5890" s="100"/>
      <c r="C5890" s="100"/>
      <c r="D5890" s="100"/>
      <c r="E5890" s="100"/>
      <c r="F5890" s="102"/>
      <c r="G5890" s="114"/>
    </row>
    <row r="5891" spans="2:7" ht="15.75" customHeight="1" x14ac:dyDescent="0.25">
      <c r="B5891" s="100"/>
      <c r="C5891" s="100"/>
      <c r="D5891" s="100"/>
      <c r="E5891" s="100"/>
      <c r="F5891" s="102"/>
      <c r="G5891" s="114"/>
    </row>
    <row r="5892" spans="2:7" ht="15.75" customHeight="1" x14ac:dyDescent="0.25">
      <c r="B5892" s="100"/>
      <c r="C5892" s="100"/>
      <c r="D5892" s="100"/>
      <c r="E5892" s="100"/>
      <c r="F5892" s="102"/>
      <c r="G5892" s="114"/>
    </row>
    <row r="5893" spans="2:7" ht="15.75" customHeight="1" x14ac:dyDescent="0.25">
      <c r="B5893" s="100"/>
      <c r="C5893" s="100"/>
      <c r="D5893" s="100"/>
      <c r="E5893" s="100"/>
      <c r="F5893" s="102"/>
      <c r="G5893" s="114"/>
    </row>
    <row r="5894" spans="2:7" ht="15.75" customHeight="1" x14ac:dyDescent="0.25">
      <c r="B5894" s="100"/>
      <c r="C5894" s="100"/>
      <c r="D5894" s="100"/>
      <c r="E5894" s="100"/>
      <c r="F5894" s="102"/>
      <c r="G5894" s="114"/>
    </row>
    <row r="5895" spans="2:7" ht="15.75" customHeight="1" x14ac:dyDescent="0.25">
      <c r="B5895" s="100"/>
      <c r="C5895" s="100"/>
      <c r="D5895" s="100"/>
      <c r="E5895" s="100"/>
      <c r="F5895" s="102"/>
      <c r="G5895" s="114"/>
    </row>
    <row r="5896" spans="2:7" ht="15.75" customHeight="1" x14ac:dyDescent="0.25">
      <c r="B5896" s="100"/>
      <c r="C5896" s="100"/>
      <c r="D5896" s="100"/>
      <c r="E5896" s="100"/>
      <c r="F5896" s="102"/>
      <c r="G5896" s="114"/>
    </row>
    <row r="5897" spans="2:7" ht="15.75" customHeight="1" x14ac:dyDescent="0.25">
      <c r="B5897" s="100"/>
      <c r="C5897" s="100"/>
      <c r="D5897" s="100"/>
      <c r="E5897" s="100"/>
      <c r="F5897" s="102"/>
      <c r="G5897" s="114"/>
    </row>
    <row r="5898" spans="2:7" ht="15.75" customHeight="1" x14ac:dyDescent="0.25">
      <c r="B5898" s="100"/>
      <c r="C5898" s="100"/>
      <c r="D5898" s="100"/>
      <c r="E5898" s="100"/>
      <c r="F5898" s="102"/>
      <c r="G5898" s="114"/>
    </row>
    <row r="5899" spans="2:7" ht="15.75" customHeight="1" x14ac:dyDescent="0.25">
      <c r="B5899" s="100"/>
      <c r="C5899" s="100"/>
      <c r="D5899" s="100"/>
      <c r="E5899" s="100"/>
      <c r="F5899" s="102"/>
      <c r="G5899" s="114"/>
    </row>
    <row r="5900" spans="2:7" ht="15.75" customHeight="1" x14ac:dyDescent="0.25">
      <c r="B5900" s="100"/>
      <c r="C5900" s="100"/>
      <c r="D5900" s="100"/>
      <c r="E5900" s="100"/>
      <c r="F5900" s="102"/>
      <c r="G5900" s="114"/>
    </row>
    <row r="5901" spans="2:7" ht="15.75" customHeight="1" x14ac:dyDescent="0.25">
      <c r="B5901" s="100"/>
      <c r="C5901" s="100"/>
      <c r="D5901" s="100"/>
      <c r="E5901" s="100"/>
      <c r="F5901" s="102"/>
      <c r="G5901" s="114"/>
    </row>
    <row r="5902" spans="2:7" ht="15.75" customHeight="1" x14ac:dyDescent="0.25">
      <c r="B5902" s="100"/>
      <c r="C5902" s="100"/>
      <c r="D5902" s="100"/>
      <c r="E5902" s="100"/>
      <c r="F5902" s="102"/>
      <c r="G5902" s="114"/>
    </row>
    <row r="5903" spans="2:7" ht="15.75" customHeight="1" x14ac:dyDescent="0.25">
      <c r="B5903" s="100"/>
      <c r="C5903" s="100"/>
      <c r="D5903" s="100"/>
      <c r="E5903" s="100"/>
      <c r="F5903" s="102"/>
      <c r="G5903" s="114"/>
    </row>
    <row r="5904" spans="2:7" ht="15.75" customHeight="1" x14ac:dyDescent="0.25">
      <c r="B5904" s="100"/>
      <c r="C5904" s="100"/>
      <c r="D5904" s="100"/>
      <c r="E5904" s="100"/>
      <c r="F5904" s="102"/>
      <c r="G5904" s="114"/>
    </row>
    <row r="5905" spans="2:7" ht="15.75" customHeight="1" x14ac:dyDescent="0.25">
      <c r="B5905" s="100"/>
      <c r="C5905" s="100"/>
      <c r="D5905" s="100"/>
      <c r="E5905" s="100"/>
      <c r="F5905" s="102"/>
      <c r="G5905" s="114"/>
    </row>
    <row r="5906" spans="2:7" ht="15.75" customHeight="1" x14ac:dyDescent="0.25">
      <c r="B5906" s="100"/>
      <c r="C5906" s="100"/>
      <c r="D5906" s="100"/>
      <c r="E5906" s="100"/>
      <c r="F5906" s="102"/>
      <c r="G5906" s="114"/>
    </row>
    <row r="5907" spans="2:7" ht="15.75" customHeight="1" x14ac:dyDescent="0.25">
      <c r="B5907" s="100"/>
      <c r="C5907" s="100"/>
      <c r="D5907" s="100"/>
      <c r="E5907" s="100"/>
      <c r="F5907" s="102"/>
      <c r="G5907" s="114"/>
    </row>
    <row r="5908" spans="2:7" ht="15.75" customHeight="1" x14ac:dyDescent="0.25">
      <c r="B5908" s="100"/>
      <c r="C5908" s="100"/>
      <c r="D5908" s="100"/>
      <c r="E5908" s="100"/>
      <c r="F5908" s="102"/>
      <c r="G5908" s="114"/>
    </row>
    <row r="5909" spans="2:7" ht="15.75" customHeight="1" x14ac:dyDescent="0.25">
      <c r="B5909" s="100"/>
      <c r="C5909" s="100"/>
      <c r="D5909" s="100"/>
      <c r="E5909" s="100"/>
      <c r="F5909" s="102"/>
      <c r="G5909" s="114"/>
    </row>
    <row r="5910" spans="2:7" ht="15.75" customHeight="1" x14ac:dyDescent="0.25">
      <c r="B5910" s="100"/>
      <c r="C5910" s="100"/>
      <c r="D5910" s="100"/>
      <c r="E5910" s="100"/>
      <c r="F5910" s="102"/>
      <c r="G5910" s="114"/>
    </row>
    <row r="5911" spans="2:7" ht="15.75" customHeight="1" x14ac:dyDescent="0.25">
      <c r="B5911" s="100"/>
      <c r="C5911" s="100"/>
      <c r="D5911" s="100"/>
      <c r="E5911" s="100"/>
      <c r="F5911" s="102"/>
      <c r="G5911" s="114"/>
    </row>
    <row r="5912" spans="2:7" ht="15.75" customHeight="1" x14ac:dyDescent="0.25">
      <c r="B5912" s="100"/>
      <c r="C5912" s="100"/>
      <c r="D5912" s="100"/>
      <c r="E5912" s="100"/>
      <c r="F5912" s="102"/>
      <c r="G5912" s="114"/>
    </row>
    <row r="5913" spans="2:7" ht="15.75" customHeight="1" x14ac:dyDescent="0.25">
      <c r="B5913" s="100"/>
      <c r="C5913" s="100"/>
      <c r="D5913" s="100"/>
      <c r="E5913" s="100"/>
      <c r="F5913" s="102"/>
      <c r="G5913" s="114"/>
    </row>
    <row r="5914" spans="2:7" ht="15.75" customHeight="1" x14ac:dyDescent="0.25">
      <c r="B5914" s="100"/>
      <c r="C5914" s="100"/>
      <c r="D5914" s="100"/>
      <c r="E5914" s="100"/>
      <c r="F5914" s="102"/>
      <c r="G5914" s="114"/>
    </row>
    <row r="5915" spans="2:7" ht="15.75" customHeight="1" x14ac:dyDescent="0.25">
      <c r="B5915" s="100"/>
      <c r="C5915" s="100"/>
      <c r="D5915" s="100"/>
      <c r="E5915" s="100"/>
      <c r="F5915" s="102"/>
      <c r="G5915" s="114"/>
    </row>
    <row r="5916" spans="2:7" ht="15.75" customHeight="1" x14ac:dyDescent="0.25">
      <c r="B5916" s="100"/>
      <c r="C5916" s="100"/>
      <c r="D5916" s="100"/>
      <c r="E5916" s="100"/>
      <c r="F5916" s="102"/>
      <c r="G5916" s="114"/>
    </row>
    <row r="5917" spans="2:7" ht="15.75" customHeight="1" x14ac:dyDescent="0.25">
      <c r="B5917" s="100"/>
      <c r="C5917" s="100"/>
      <c r="D5917" s="100"/>
      <c r="E5917" s="100"/>
      <c r="F5917" s="102"/>
      <c r="G5917" s="114"/>
    </row>
    <row r="5918" spans="2:7" ht="15.75" customHeight="1" x14ac:dyDescent="0.25">
      <c r="B5918" s="100"/>
      <c r="C5918" s="100"/>
      <c r="D5918" s="100"/>
      <c r="E5918" s="100"/>
      <c r="F5918" s="102"/>
      <c r="G5918" s="114"/>
    </row>
    <row r="5919" spans="2:7" ht="15.75" customHeight="1" x14ac:dyDescent="0.25">
      <c r="B5919" s="100"/>
      <c r="C5919" s="100"/>
      <c r="D5919" s="100"/>
      <c r="E5919" s="100"/>
      <c r="F5919" s="102"/>
      <c r="G5919" s="114"/>
    </row>
    <row r="5920" spans="2:7" ht="15.75" customHeight="1" x14ac:dyDescent="0.25">
      <c r="B5920" s="100"/>
      <c r="C5920" s="100"/>
      <c r="D5920" s="100"/>
      <c r="E5920" s="100"/>
      <c r="F5920" s="102"/>
      <c r="G5920" s="114"/>
    </row>
    <row r="5921" spans="2:7" ht="15.75" customHeight="1" x14ac:dyDescent="0.25">
      <c r="B5921" s="100"/>
      <c r="C5921" s="100"/>
      <c r="D5921" s="100"/>
      <c r="E5921" s="100"/>
      <c r="F5921" s="102"/>
      <c r="G5921" s="114"/>
    </row>
    <row r="5922" spans="2:7" ht="15.75" customHeight="1" x14ac:dyDescent="0.25">
      <c r="B5922" s="100"/>
      <c r="C5922" s="100"/>
      <c r="D5922" s="100"/>
      <c r="E5922" s="100"/>
      <c r="F5922" s="102"/>
      <c r="G5922" s="114"/>
    </row>
    <row r="5923" spans="2:7" ht="15.75" customHeight="1" x14ac:dyDescent="0.25">
      <c r="B5923" s="100"/>
      <c r="C5923" s="100"/>
      <c r="D5923" s="100"/>
      <c r="E5923" s="100"/>
      <c r="F5923" s="102"/>
      <c r="G5923" s="114"/>
    </row>
    <row r="5924" spans="2:7" ht="15.75" customHeight="1" x14ac:dyDescent="0.25">
      <c r="B5924" s="100"/>
      <c r="C5924" s="100"/>
      <c r="D5924" s="100"/>
      <c r="E5924" s="100"/>
      <c r="F5924" s="102"/>
      <c r="G5924" s="114"/>
    </row>
    <row r="5925" spans="2:7" ht="15.75" customHeight="1" x14ac:dyDescent="0.25">
      <c r="B5925" s="100"/>
      <c r="C5925" s="100"/>
      <c r="D5925" s="100"/>
      <c r="E5925" s="100"/>
      <c r="F5925" s="102"/>
      <c r="G5925" s="114"/>
    </row>
    <row r="5926" spans="2:7" ht="15.75" customHeight="1" x14ac:dyDescent="0.25">
      <c r="B5926" s="100"/>
      <c r="C5926" s="100"/>
      <c r="D5926" s="100"/>
      <c r="E5926" s="100"/>
      <c r="F5926" s="102"/>
      <c r="G5926" s="114"/>
    </row>
    <row r="5927" spans="2:7" ht="15.75" customHeight="1" x14ac:dyDescent="0.25">
      <c r="B5927" s="100"/>
      <c r="C5927" s="100"/>
      <c r="D5927" s="100"/>
      <c r="E5927" s="100"/>
      <c r="F5927" s="102"/>
      <c r="G5927" s="114"/>
    </row>
    <row r="5928" spans="2:7" ht="15.75" customHeight="1" x14ac:dyDescent="0.25">
      <c r="B5928" s="100"/>
      <c r="C5928" s="100"/>
      <c r="D5928" s="100"/>
      <c r="E5928" s="100"/>
      <c r="F5928" s="102"/>
      <c r="G5928" s="114"/>
    </row>
    <row r="5929" spans="2:7" ht="15.75" customHeight="1" x14ac:dyDescent="0.25">
      <c r="B5929" s="100"/>
      <c r="C5929" s="100"/>
      <c r="D5929" s="100"/>
      <c r="E5929" s="100"/>
      <c r="F5929" s="102"/>
      <c r="G5929" s="114"/>
    </row>
    <row r="5930" spans="2:7" ht="15.75" customHeight="1" x14ac:dyDescent="0.25">
      <c r="B5930" s="100"/>
      <c r="C5930" s="100"/>
      <c r="D5930" s="100"/>
      <c r="E5930" s="100"/>
      <c r="F5930" s="102"/>
      <c r="G5930" s="114"/>
    </row>
    <row r="5931" spans="2:7" ht="15.75" customHeight="1" x14ac:dyDescent="0.25">
      <c r="B5931" s="100"/>
      <c r="C5931" s="100"/>
      <c r="D5931" s="100"/>
      <c r="E5931" s="100"/>
      <c r="F5931" s="102"/>
      <c r="G5931" s="114"/>
    </row>
    <row r="5932" spans="2:7" ht="15.75" customHeight="1" x14ac:dyDescent="0.25">
      <c r="B5932" s="100"/>
      <c r="C5932" s="100"/>
      <c r="D5932" s="100"/>
      <c r="E5932" s="100"/>
      <c r="F5932" s="102"/>
      <c r="G5932" s="114"/>
    </row>
    <row r="5933" spans="2:7" ht="15.75" customHeight="1" x14ac:dyDescent="0.25">
      <c r="B5933" s="100"/>
      <c r="C5933" s="100"/>
      <c r="D5933" s="100"/>
      <c r="E5933" s="100"/>
      <c r="F5933" s="102"/>
      <c r="G5933" s="114"/>
    </row>
    <row r="5934" spans="2:7" ht="15.75" customHeight="1" x14ac:dyDescent="0.25">
      <c r="B5934" s="100"/>
      <c r="C5934" s="100"/>
      <c r="D5934" s="100"/>
      <c r="E5934" s="100"/>
      <c r="F5934" s="102"/>
      <c r="G5934" s="114"/>
    </row>
    <row r="5935" spans="2:7" ht="15.75" customHeight="1" x14ac:dyDescent="0.25">
      <c r="B5935" s="100"/>
      <c r="C5935" s="100"/>
      <c r="D5935" s="100"/>
      <c r="E5935" s="100"/>
      <c r="F5935" s="102"/>
      <c r="G5935" s="114"/>
    </row>
    <row r="5936" spans="2:7" ht="15.75" customHeight="1" x14ac:dyDescent="0.25">
      <c r="B5936" s="100"/>
      <c r="C5936" s="100"/>
      <c r="D5936" s="100"/>
      <c r="E5936" s="100"/>
      <c r="F5936" s="102"/>
      <c r="G5936" s="114"/>
    </row>
    <row r="5937" spans="2:7" ht="15.75" customHeight="1" x14ac:dyDescent="0.25">
      <c r="B5937" s="100"/>
      <c r="C5937" s="100"/>
      <c r="D5937" s="100"/>
      <c r="E5937" s="100"/>
      <c r="F5937" s="102"/>
      <c r="G5937" s="114"/>
    </row>
    <row r="5938" spans="2:7" ht="15.75" customHeight="1" x14ac:dyDescent="0.25">
      <c r="B5938" s="100"/>
      <c r="C5938" s="100"/>
      <c r="D5938" s="100"/>
      <c r="E5938" s="100"/>
      <c r="F5938" s="102"/>
      <c r="G5938" s="114"/>
    </row>
    <row r="5939" spans="2:7" ht="15.75" customHeight="1" x14ac:dyDescent="0.25">
      <c r="B5939" s="100"/>
      <c r="C5939" s="100"/>
      <c r="D5939" s="100"/>
      <c r="E5939" s="100"/>
      <c r="F5939" s="102"/>
      <c r="G5939" s="114"/>
    </row>
    <row r="5940" spans="2:7" ht="15.75" customHeight="1" x14ac:dyDescent="0.25">
      <c r="B5940" s="100"/>
      <c r="C5940" s="100"/>
      <c r="D5940" s="100"/>
      <c r="E5940" s="100"/>
      <c r="F5940" s="102"/>
      <c r="G5940" s="114"/>
    </row>
    <row r="5941" spans="2:7" ht="15.75" customHeight="1" x14ac:dyDescent="0.25">
      <c r="B5941" s="100"/>
      <c r="C5941" s="100"/>
      <c r="D5941" s="100"/>
      <c r="E5941" s="100"/>
      <c r="F5941" s="102"/>
      <c r="G5941" s="114"/>
    </row>
    <row r="5942" spans="2:7" ht="15.75" customHeight="1" x14ac:dyDescent="0.25">
      <c r="B5942" s="100"/>
      <c r="C5942" s="100"/>
      <c r="D5942" s="100"/>
      <c r="E5942" s="100"/>
      <c r="F5942" s="102"/>
      <c r="G5942" s="114"/>
    </row>
    <row r="5943" spans="2:7" ht="15.75" customHeight="1" x14ac:dyDescent="0.25">
      <c r="B5943" s="100"/>
      <c r="C5943" s="100"/>
      <c r="D5943" s="100"/>
      <c r="E5943" s="100"/>
      <c r="F5943" s="102"/>
      <c r="G5943" s="114"/>
    </row>
    <row r="5944" spans="2:7" ht="15.75" customHeight="1" x14ac:dyDescent="0.25">
      <c r="B5944" s="100"/>
      <c r="C5944" s="100"/>
      <c r="D5944" s="100"/>
      <c r="E5944" s="100"/>
      <c r="F5944" s="102"/>
      <c r="G5944" s="114"/>
    </row>
    <row r="5945" spans="2:7" ht="15.75" customHeight="1" x14ac:dyDescent="0.25">
      <c r="B5945" s="100"/>
      <c r="C5945" s="100"/>
      <c r="D5945" s="100"/>
      <c r="E5945" s="100"/>
      <c r="F5945" s="102"/>
      <c r="G5945" s="114"/>
    </row>
    <row r="5946" spans="2:7" ht="15.75" customHeight="1" x14ac:dyDescent="0.25">
      <c r="B5946" s="100"/>
      <c r="C5946" s="100"/>
      <c r="D5946" s="100"/>
      <c r="E5946" s="100"/>
      <c r="F5946" s="102"/>
      <c r="G5946" s="114"/>
    </row>
    <row r="5947" spans="2:7" ht="15.75" customHeight="1" x14ac:dyDescent="0.25">
      <c r="B5947" s="100"/>
      <c r="C5947" s="100"/>
      <c r="D5947" s="100"/>
      <c r="E5947" s="100"/>
      <c r="F5947" s="102"/>
      <c r="G5947" s="114"/>
    </row>
    <row r="5948" spans="2:7" ht="15.75" customHeight="1" x14ac:dyDescent="0.25">
      <c r="B5948" s="100"/>
      <c r="C5948" s="100"/>
      <c r="D5948" s="100"/>
      <c r="E5948" s="100"/>
      <c r="F5948" s="102"/>
      <c r="G5948" s="114"/>
    </row>
    <row r="5949" spans="2:7" ht="15.75" customHeight="1" x14ac:dyDescent="0.25">
      <c r="B5949" s="100"/>
      <c r="C5949" s="100"/>
      <c r="D5949" s="100"/>
      <c r="E5949" s="100"/>
      <c r="F5949" s="102"/>
      <c r="G5949" s="114"/>
    </row>
    <row r="5950" spans="2:7" ht="15.75" customHeight="1" x14ac:dyDescent="0.25">
      <c r="B5950" s="100"/>
      <c r="C5950" s="100"/>
      <c r="D5950" s="100"/>
      <c r="E5950" s="100"/>
      <c r="F5950" s="102"/>
      <c r="G5950" s="114"/>
    </row>
    <row r="5951" spans="2:7" ht="15.75" customHeight="1" x14ac:dyDescent="0.25">
      <c r="B5951" s="100"/>
      <c r="C5951" s="100"/>
      <c r="D5951" s="100"/>
      <c r="E5951" s="100"/>
      <c r="F5951" s="102"/>
      <c r="G5951" s="114"/>
    </row>
    <row r="5952" spans="2:7" ht="15.75" customHeight="1" x14ac:dyDescent="0.25">
      <c r="B5952" s="100"/>
      <c r="C5952" s="100"/>
      <c r="D5952" s="100"/>
      <c r="E5952" s="100"/>
      <c r="F5952" s="102"/>
      <c r="G5952" s="114"/>
    </row>
    <row r="5953" spans="2:7" ht="15.75" customHeight="1" x14ac:dyDescent="0.25">
      <c r="B5953" s="100"/>
      <c r="C5953" s="100"/>
      <c r="D5953" s="100"/>
      <c r="E5953" s="100"/>
      <c r="F5953" s="102"/>
      <c r="G5953" s="114"/>
    </row>
    <row r="5954" spans="2:7" ht="15.75" customHeight="1" x14ac:dyDescent="0.25">
      <c r="B5954" s="100"/>
      <c r="C5954" s="100"/>
      <c r="D5954" s="100"/>
      <c r="E5954" s="100"/>
      <c r="F5954" s="102"/>
      <c r="G5954" s="114"/>
    </row>
    <row r="5955" spans="2:7" ht="15.75" customHeight="1" x14ac:dyDescent="0.25">
      <c r="B5955" s="100"/>
      <c r="C5955" s="100"/>
      <c r="D5955" s="100"/>
      <c r="E5955" s="100"/>
      <c r="F5955" s="102"/>
      <c r="G5955" s="114"/>
    </row>
    <row r="5956" spans="2:7" ht="15.75" customHeight="1" x14ac:dyDescent="0.25">
      <c r="B5956" s="100"/>
      <c r="C5956" s="100"/>
      <c r="D5956" s="100"/>
      <c r="E5956" s="100"/>
      <c r="F5956" s="102"/>
      <c r="G5956" s="114"/>
    </row>
    <row r="5957" spans="2:7" ht="15.75" customHeight="1" x14ac:dyDescent="0.25">
      <c r="B5957" s="100"/>
      <c r="C5957" s="100"/>
      <c r="D5957" s="100"/>
      <c r="E5957" s="100"/>
      <c r="F5957" s="102"/>
      <c r="G5957" s="114"/>
    </row>
    <row r="5958" spans="2:7" ht="15.75" customHeight="1" x14ac:dyDescent="0.25">
      <c r="B5958" s="100"/>
      <c r="C5958" s="100"/>
      <c r="D5958" s="100"/>
      <c r="E5958" s="100"/>
      <c r="F5958" s="102"/>
      <c r="G5958" s="114"/>
    </row>
    <row r="5959" spans="2:7" ht="15.75" customHeight="1" x14ac:dyDescent="0.25">
      <c r="B5959" s="100"/>
      <c r="C5959" s="100"/>
      <c r="D5959" s="100"/>
      <c r="E5959" s="100"/>
      <c r="F5959" s="102"/>
      <c r="G5959" s="114"/>
    </row>
    <row r="5960" spans="2:7" ht="15.75" customHeight="1" x14ac:dyDescent="0.25">
      <c r="B5960" s="100"/>
      <c r="C5960" s="100"/>
      <c r="D5960" s="100"/>
      <c r="E5960" s="100"/>
      <c r="F5960" s="102"/>
      <c r="G5960" s="114"/>
    </row>
    <row r="5961" spans="2:7" ht="15.75" customHeight="1" x14ac:dyDescent="0.25">
      <c r="B5961" s="100"/>
      <c r="C5961" s="100"/>
      <c r="D5961" s="100"/>
      <c r="E5961" s="100"/>
      <c r="F5961" s="102"/>
      <c r="G5961" s="114"/>
    </row>
    <row r="5962" spans="2:7" ht="15.75" customHeight="1" x14ac:dyDescent="0.25">
      <c r="B5962" s="100"/>
      <c r="C5962" s="100"/>
      <c r="D5962" s="100"/>
      <c r="E5962" s="100"/>
      <c r="F5962" s="102"/>
      <c r="G5962" s="114"/>
    </row>
    <row r="5963" spans="2:7" ht="15.75" customHeight="1" x14ac:dyDescent="0.25">
      <c r="B5963" s="100"/>
      <c r="C5963" s="100"/>
      <c r="D5963" s="100"/>
      <c r="E5963" s="100"/>
      <c r="F5963" s="102"/>
      <c r="G5963" s="114"/>
    </row>
    <row r="5964" spans="2:7" ht="15.75" customHeight="1" x14ac:dyDescent="0.25">
      <c r="B5964" s="100"/>
      <c r="C5964" s="100"/>
      <c r="D5964" s="100"/>
      <c r="E5964" s="100"/>
      <c r="F5964" s="102"/>
      <c r="G5964" s="114"/>
    </row>
    <row r="5965" spans="2:7" ht="15.75" customHeight="1" x14ac:dyDescent="0.25">
      <c r="B5965" s="100"/>
      <c r="C5965" s="100"/>
      <c r="D5965" s="100"/>
      <c r="E5965" s="100"/>
      <c r="F5965" s="102"/>
      <c r="G5965" s="114"/>
    </row>
    <row r="5966" spans="2:7" ht="15.75" customHeight="1" x14ac:dyDescent="0.25">
      <c r="B5966" s="100"/>
      <c r="C5966" s="100"/>
      <c r="D5966" s="100"/>
      <c r="E5966" s="100"/>
      <c r="F5966" s="102"/>
      <c r="G5966" s="114"/>
    </row>
    <row r="5967" spans="2:7" ht="15.75" customHeight="1" x14ac:dyDescent="0.25">
      <c r="B5967" s="100"/>
      <c r="C5967" s="100"/>
      <c r="D5967" s="100"/>
      <c r="E5967" s="100"/>
      <c r="F5967" s="102"/>
      <c r="G5967" s="114"/>
    </row>
    <row r="5968" spans="2:7" ht="15.75" customHeight="1" x14ac:dyDescent="0.25">
      <c r="B5968" s="100"/>
      <c r="C5968" s="100"/>
      <c r="D5968" s="100"/>
      <c r="E5968" s="100"/>
      <c r="F5968" s="102"/>
      <c r="G5968" s="114"/>
    </row>
    <row r="5969" spans="2:7" ht="15.75" customHeight="1" x14ac:dyDescent="0.25">
      <c r="B5969" s="100"/>
      <c r="C5969" s="100"/>
      <c r="D5969" s="100"/>
      <c r="E5969" s="100"/>
      <c r="F5969" s="102"/>
      <c r="G5969" s="114"/>
    </row>
    <row r="5970" spans="2:7" ht="15.75" customHeight="1" x14ac:dyDescent="0.25">
      <c r="B5970" s="100"/>
      <c r="C5970" s="100"/>
      <c r="D5970" s="100"/>
      <c r="E5970" s="100"/>
      <c r="F5970" s="102"/>
      <c r="G5970" s="114"/>
    </row>
    <row r="5971" spans="2:7" ht="15.75" customHeight="1" x14ac:dyDescent="0.25">
      <c r="B5971" s="100"/>
      <c r="C5971" s="100"/>
      <c r="D5971" s="100"/>
      <c r="E5971" s="100"/>
      <c r="F5971" s="102"/>
      <c r="G5971" s="114"/>
    </row>
    <row r="5972" spans="2:7" ht="15.75" customHeight="1" x14ac:dyDescent="0.25">
      <c r="B5972" s="100"/>
      <c r="C5972" s="100"/>
      <c r="D5972" s="100"/>
      <c r="E5972" s="100"/>
      <c r="F5972" s="102"/>
      <c r="G5972" s="114"/>
    </row>
    <row r="5973" spans="2:7" ht="15.75" customHeight="1" x14ac:dyDescent="0.25">
      <c r="B5973" s="100"/>
      <c r="C5973" s="100"/>
      <c r="D5973" s="100"/>
      <c r="E5973" s="100"/>
      <c r="F5973" s="102"/>
      <c r="G5973" s="114"/>
    </row>
    <row r="5974" spans="2:7" ht="15.75" customHeight="1" x14ac:dyDescent="0.25">
      <c r="B5974" s="100"/>
      <c r="C5974" s="100"/>
      <c r="D5974" s="100"/>
      <c r="E5974" s="100"/>
      <c r="F5974" s="102"/>
      <c r="G5974" s="114"/>
    </row>
    <row r="5975" spans="2:7" ht="15.75" customHeight="1" x14ac:dyDescent="0.25">
      <c r="B5975" s="100"/>
      <c r="C5975" s="100"/>
      <c r="D5975" s="100"/>
      <c r="E5975" s="100"/>
      <c r="F5975" s="102"/>
      <c r="G5975" s="114"/>
    </row>
    <row r="5976" spans="2:7" ht="15.75" customHeight="1" x14ac:dyDescent="0.25">
      <c r="B5976" s="100"/>
      <c r="C5976" s="100"/>
      <c r="D5976" s="100"/>
      <c r="E5976" s="100"/>
      <c r="F5976" s="102"/>
      <c r="G5976" s="114"/>
    </row>
    <row r="5977" spans="2:7" ht="15.75" customHeight="1" x14ac:dyDescent="0.25">
      <c r="B5977" s="100"/>
      <c r="C5977" s="100"/>
      <c r="D5977" s="100"/>
      <c r="E5977" s="100"/>
      <c r="F5977" s="102"/>
      <c r="G5977" s="114"/>
    </row>
    <row r="5978" spans="2:7" ht="15.75" customHeight="1" x14ac:dyDescent="0.25">
      <c r="B5978" s="100"/>
      <c r="C5978" s="100"/>
      <c r="D5978" s="100"/>
      <c r="E5978" s="100"/>
      <c r="F5978" s="102"/>
      <c r="G5978" s="114"/>
    </row>
    <row r="5979" spans="2:7" ht="15.75" customHeight="1" x14ac:dyDescent="0.25">
      <c r="B5979" s="100"/>
      <c r="C5979" s="100"/>
      <c r="D5979" s="100"/>
      <c r="E5979" s="100"/>
      <c r="F5979" s="102"/>
      <c r="G5979" s="114"/>
    </row>
    <row r="5980" spans="2:7" ht="15.75" customHeight="1" x14ac:dyDescent="0.25">
      <c r="B5980" s="100"/>
      <c r="C5980" s="100"/>
      <c r="D5980" s="100"/>
      <c r="E5980" s="100"/>
      <c r="F5980" s="102"/>
      <c r="G5980" s="114"/>
    </row>
    <row r="5981" spans="2:7" ht="15.75" customHeight="1" x14ac:dyDescent="0.25">
      <c r="B5981" s="100"/>
      <c r="C5981" s="100"/>
      <c r="D5981" s="100"/>
      <c r="E5981" s="100"/>
      <c r="F5981" s="102"/>
      <c r="G5981" s="114"/>
    </row>
    <row r="5982" spans="2:7" ht="15.75" customHeight="1" x14ac:dyDescent="0.25">
      <c r="B5982" s="100"/>
      <c r="C5982" s="100"/>
      <c r="D5982" s="100"/>
      <c r="E5982" s="100"/>
      <c r="F5982" s="102"/>
      <c r="G5982" s="114"/>
    </row>
    <row r="5983" spans="2:7" ht="15.75" customHeight="1" x14ac:dyDescent="0.25">
      <c r="B5983" s="100"/>
      <c r="C5983" s="100"/>
      <c r="D5983" s="100"/>
      <c r="E5983" s="100"/>
      <c r="F5983" s="102"/>
      <c r="G5983" s="114"/>
    </row>
    <row r="5984" spans="2:7" ht="15.75" customHeight="1" x14ac:dyDescent="0.25">
      <c r="B5984" s="100"/>
      <c r="C5984" s="100"/>
      <c r="D5984" s="100"/>
      <c r="E5984" s="100"/>
      <c r="F5984" s="102"/>
      <c r="G5984" s="114"/>
    </row>
    <row r="5985" spans="2:7" ht="15.75" customHeight="1" x14ac:dyDescent="0.25">
      <c r="B5985" s="100"/>
      <c r="C5985" s="100"/>
      <c r="D5985" s="100"/>
      <c r="E5985" s="100"/>
      <c r="F5985" s="102"/>
      <c r="G5985" s="114"/>
    </row>
    <row r="5986" spans="2:7" ht="15.75" customHeight="1" x14ac:dyDescent="0.25">
      <c r="B5986" s="100"/>
      <c r="C5986" s="100"/>
      <c r="D5986" s="100"/>
      <c r="E5986" s="100"/>
      <c r="F5986" s="102"/>
      <c r="G5986" s="114"/>
    </row>
    <row r="5987" spans="2:7" ht="15.75" customHeight="1" x14ac:dyDescent="0.25">
      <c r="B5987" s="100"/>
      <c r="C5987" s="100"/>
      <c r="D5987" s="100"/>
      <c r="E5987" s="100"/>
      <c r="F5987" s="102"/>
      <c r="G5987" s="114"/>
    </row>
    <row r="5988" spans="2:7" ht="15.75" customHeight="1" x14ac:dyDescent="0.25">
      <c r="B5988" s="100"/>
      <c r="C5988" s="100"/>
      <c r="D5988" s="100"/>
      <c r="E5988" s="100"/>
      <c r="F5988" s="102"/>
      <c r="G5988" s="114"/>
    </row>
    <row r="5989" spans="2:7" ht="15.75" customHeight="1" x14ac:dyDescent="0.25">
      <c r="B5989" s="100"/>
      <c r="C5989" s="100"/>
      <c r="D5989" s="100"/>
      <c r="E5989" s="100"/>
      <c r="F5989" s="102"/>
      <c r="G5989" s="114"/>
    </row>
    <row r="5990" spans="2:7" ht="15.75" customHeight="1" x14ac:dyDescent="0.25">
      <c r="B5990" s="100"/>
      <c r="C5990" s="100"/>
      <c r="D5990" s="100"/>
      <c r="E5990" s="100"/>
      <c r="F5990" s="102"/>
      <c r="G5990" s="114"/>
    </row>
    <row r="5991" spans="2:7" ht="15.75" customHeight="1" x14ac:dyDescent="0.25">
      <c r="B5991" s="100"/>
      <c r="C5991" s="100"/>
      <c r="D5991" s="100"/>
      <c r="E5991" s="100"/>
      <c r="F5991" s="102"/>
      <c r="G5991" s="114"/>
    </row>
    <row r="5992" spans="2:7" ht="15.75" customHeight="1" x14ac:dyDescent="0.25">
      <c r="B5992" s="100"/>
      <c r="C5992" s="100"/>
      <c r="D5992" s="100"/>
      <c r="E5992" s="100"/>
      <c r="F5992" s="102"/>
      <c r="G5992" s="114"/>
    </row>
    <row r="5993" spans="2:7" ht="15.75" customHeight="1" x14ac:dyDescent="0.25">
      <c r="B5993" s="100"/>
      <c r="C5993" s="100"/>
      <c r="D5993" s="100"/>
      <c r="E5993" s="100"/>
      <c r="F5993" s="102"/>
      <c r="G5993" s="114"/>
    </row>
    <row r="5994" spans="2:7" ht="15.75" customHeight="1" x14ac:dyDescent="0.25">
      <c r="B5994" s="100"/>
      <c r="C5994" s="100"/>
      <c r="D5994" s="100"/>
      <c r="E5994" s="100"/>
      <c r="F5994" s="102"/>
      <c r="G5994" s="114"/>
    </row>
    <row r="5995" spans="2:7" ht="15.75" customHeight="1" x14ac:dyDescent="0.25">
      <c r="B5995" s="100"/>
      <c r="C5995" s="100"/>
      <c r="D5995" s="100"/>
      <c r="E5995" s="100"/>
      <c r="F5995" s="102"/>
      <c r="G5995" s="114"/>
    </row>
    <row r="5996" spans="2:7" ht="15.75" customHeight="1" x14ac:dyDescent="0.25">
      <c r="B5996" s="100"/>
      <c r="C5996" s="100"/>
      <c r="D5996" s="100"/>
      <c r="E5996" s="100"/>
      <c r="F5996" s="102"/>
      <c r="G5996" s="114"/>
    </row>
    <row r="5997" spans="2:7" ht="15.75" customHeight="1" x14ac:dyDescent="0.25">
      <c r="B5997" s="100"/>
      <c r="C5997" s="100"/>
      <c r="D5997" s="100"/>
      <c r="E5997" s="100"/>
      <c r="F5997" s="102"/>
      <c r="G5997" s="114"/>
    </row>
    <row r="5998" spans="2:7" ht="15.75" customHeight="1" x14ac:dyDescent="0.25">
      <c r="B5998" s="100"/>
      <c r="C5998" s="100"/>
      <c r="D5998" s="100"/>
      <c r="E5998" s="100"/>
      <c r="F5998" s="102"/>
      <c r="G5998" s="114"/>
    </row>
    <row r="5999" spans="2:7" ht="15.75" customHeight="1" x14ac:dyDescent="0.25">
      <c r="B5999" s="100"/>
      <c r="C5999" s="100"/>
      <c r="D5999" s="100"/>
      <c r="E5999" s="100"/>
      <c r="F5999" s="102"/>
      <c r="G5999" s="114"/>
    </row>
    <row r="6000" spans="2:7" ht="15.75" customHeight="1" x14ac:dyDescent="0.25">
      <c r="B6000" s="100"/>
      <c r="C6000" s="100"/>
      <c r="D6000" s="100"/>
      <c r="E6000" s="100"/>
      <c r="F6000" s="102"/>
      <c r="G6000" s="114"/>
    </row>
    <row r="6001" spans="2:7" ht="15.75" customHeight="1" x14ac:dyDescent="0.25">
      <c r="B6001" s="100"/>
      <c r="C6001" s="100"/>
      <c r="D6001" s="100"/>
      <c r="E6001" s="100"/>
      <c r="F6001" s="102"/>
      <c r="G6001" s="114"/>
    </row>
    <row r="6002" spans="2:7" ht="15.75" customHeight="1" x14ac:dyDescent="0.25">
      <c r="B6002" s="100"/>
      <c r="C6002" s="100"/>
      <c r="D6002" s="100"/>
      <c r="E6002" s="100"/>
      <c r="F6002" s="102"/>
      <c r="G6002" s="114"/>
    </row>
    <row r="6003" spans="2:7" ht="15.75" customHeight="1" x14ac:dyDescent="0.25">
      <c r="B6003" s="100"/>
      <c r="C6003" s="100"/>
      <c r="D6003" s="100"/>
      <c r="E6003" s="100"/>
      <c r="F6003" s="102"/>
      <c r="G6003" s="114"/>
    </row>
    <row r="6004" spans="2:7" ht="15.75" customHeight="1" x14ac:dyDescent="0.25">
      <c r="B6004" s="100"/>
      <c r="C6004" s="100"/>
      <c r="D6004" s="100"/>
      <c r="E6004" s="100"/>
      <c r="F6004" s="102"/>
      <c r="G6004" s="114"/>
    </row>
    <row r="6005" spans="2:7" ht="15.75" customHeight="1" x14ac:dyDescent="0.25">
      <c r="B6005" s="100"/>
      <c r="C6005" s="100"/>
      <c r="D6005" s="100"/>
      <c r="E6005" s="100"/>
      <c r="F6005" s="102"/>
      <c r="G6005" s="114"/>
    </row>
    <row r="6006" spans="2:7" ht="15.75" customHeight="1" x14ac:dyDescent="0.25">
      <c r="B6006" s="100"/>
      <c r="C6006" s="100"/>
      <c r="D6006" s="100"/>
      <c r="E6006" s="100"/>
      <c r="F6006" s="102"/>
      <c r="G6006" s="114"/>
    </row>
    <row r="6007" spans="2:7" ht="15.75" customHeight="1" x14ac:dyDescent="0.25">
      <c r="B6007" s="100"/>
      <c r="C6007" s="100"/>
      <c r="D6007" s="100"/>
      <c r="E6007" s="100"/>
      <c r="F6007" s="102"/>
      <c r="G6007" s="114"/>
    </row>
    <row r="6008" spans="2:7" ht="15.75" customHeight="1" x14ac:dyDescent="0.25">
      <c r="B6008" s="100"/>
      <c r="C6008" s="100"/>
      <c r="D6008" s="100"/>
      <c r="E6008" s="100"/>
      <c r="F6008" s="102"/>
      <c r="G6008" s="114"/>
    </row>
    <row r="6009" spans="2:7" ht="15.75" customHeight="1" x14ac:dyDescent="0.25">
      <c r="B6009" s="100"/>
      <c r="C6009" s="100"/>
      <c r="D6009" s="100"/>
      <c r="E6009" s="100"/>
      <c r="F6009" s="102"/>
      <c r="G6009" s="114"/>
    </row>
    <row r="6010" spans="2:7" ht="15.75" customHeight="1" x14ac:dyDescent="0.25">
      <c r="B6010" s="100"/>
      <c r="C6010" s="100"/>
      <c r="D6010" s="100"/>
      <c r="E6010" s="100"/>
      <c r="F6010" s="102"/>
      <c r="G6010" s="114"/>
    </row>
    <row r="6011" spans="2:7" ht="15.75" customHeight="1" x14ac:dyDescent="0.25">
      <c r="B6011" s="100"/>
      <c r="C6011" s="100"/>
      <c r="D6011" s="100"/>
      <c r="E6011" s="100"/>
      <c r="F6011" s="102"/>
      <c r="G6011" s="114"/>
    </row>
    <row r="6012" spans="2:7" ht="15.75" customHeight="1" x14ac:dyDescent="0.25">
      <c r="B6012" s="100"/>
      <c r="C6012" s="100"/>
      <c r="D6012" s="100"/>
      <c r="E6012" s="100"/>
      <c r="F6012" s="102"/>
      <c r="G6012" s="114"/>
    </row>
    <row r="6013" spans="2:7" ht="15.75" customHeight="1" x14ac:dyDescent="0.25">
      <c r="B6013" s="100"/>
      <c r="C6013" s="100"/>
      <c r="D6013" s="100"/>
      <c r="E6013" s="100"/>
      <c r="F6013" s="102"/>
      <c r="G6013" s="114"/>
    </row>
    <row r="6014" spans="2:7" ht="15.75" customHeight="1" x14ac:dyDescent="0.25">
      <c r="B6014" s="100"/>
      <c r="C6014" s="100"/>
      <c r="D6014" s="100"/>
      <c r="E6014" s="100"/>
      <c r="F6014" s="102"/>
      <c r="G6014" s="114"/>
    </row>
    <row r="6015" spans="2:7" ht="15.75" customHeight="1" x14ac:dyDescent="0.25">
      <c r="B6015" s="100"/>
      <c r="C6015" s="100"/>
      <c r="D6015" s="100"/>
      <c r="E6015" s="100"/>
      <c r="F6015" s="102"/>
      <c r="G6015" s="114"/>
    </row>
    <row r="6016" spans="2:7" ht="15.75" customHeight="1" x14ac:dyDescent="0.25">
      <c r="B6016" s="100"/>
      <c r="C6016" s="100"/>
      <c r="D6016" s="100"/>
      <c r="E6016" s="100"/>
      <c r="F6016" s="102"/>
      <c r="G6016" s="114"/>
    </row>
    <row r="6017" spans="2:7" ht="15.75" customHeight="1" x14ac:dyDescent="0.25">
      <c r="B6017" s="100"/>
      <c r="C6017" s="100"/>
      <c r="D6017" s="100"/>
      <c r="E6017" s="100"/>
      <c r="F6017" s="102"/>
      <c r="G6017" s="114"/>
    </row>
    <row r="6018" spans="2:7" ht="15.75" customHeight="1" x14ac:dyDescent="0.25">
      <c r="B6018" s="100"/>
      <c r="C6018" s="100"/>
      <c r="D6018" s="100"/>
      <c r="E6018" s="100"/>
      <c r="F6018" s="102"/>
      <c r="G6018" s="114"/>
    </row>
    <row r="6019" spans="2:7" ht="15.75" customHeight="1" x14ac:dyDescent="0.25">
      <c r="B6019" s="100"/>
      <c r="C6019" s="100"/>
      <c r="D6019" s="100"/>
      <c r="E6019" s="100"/>
      <c r="F6019" s="102"/>
      <c r="G6019" s="114"/>
    </row>
    <row r="6020" spans="2:7" ht="15.75" customHeight="1" x14ac:dyDescent="0.25">
      <c r="B6020" s="100"/>
      <c r="C6020" s="100"/>
      <c r="D6020" s="100"/>
      <c r="E6020" s="100"/>
      <c r="F6020" s="102"/>
      <c r="G6020" s="114"/>
    </row>
    <row r="6021" spans="2:7" ht="15.75" customHeight="1" x14ac:dyDescent="0.25">
      <c r="B6021" s="100"/>
      <c r="C6021" s="100"/>
      <c r="D6021" s="100"/>
      <c r="E6021" s="100"/>
      <c r="F6021" s="102"/>
      <c r="G6021" s="114"/>
    </row>
    <row r="6022" spans="2:7" ht="15.75" customHeight="1" x14ac:dyDescent="0.25">
      <c r="B6022" s="100"/>
      <c r="C6022" s="100"/>
      <c r="D6022" s="100"/>
      <c r="E6022" s="100"/>
      <c r="F6022" s="102"/>
      <c r="G6022" s="114"/>
    </row>
    <row r="6023" spans="2:7" ht="15.75" customHeight="1" x14ac:dyDescent="0.25">
      <c r="B6023" s="100"/>
      <c r="C6023" s="100"/>
      <c r="D6023" s="100"/>
      <c r="E6023" s="100"/>
      <c r="F6023" s="102"/>
      <c r="G6023" s="114"/>
    </row>
    <row r="6024" spans="2:7" ht="15.75" customHeight="1" x14ac:dyDescent="0.25">
      <c r="B6024" s="100"/>
      <c r="C6024" s="100"/>
      <c r="D6024" s="100"/>
      <c r="E6024" s="100"/>
      <c r="F6024" s="102"/>
      <c r="G6024" s="114"/>
    </row>
    <row r="6025" spans="2:7" ht="15.75" customHeight="1" x14ac:dyDescent="0.25">
      <c r="B6025" s="100"/>
      <c r="C6025" s="100"/>
      <c r="D6025" s="100"/>
      <c r="E6025" s="100"/>
      <c r="F6025" s="102"/>
      <c r="G6025" s="114"/>
    </row>
    <row r="6026" spans="2:7" ht="15.75" customHeight="1" x14ac:dyDescent="0.25">
      <c r="B6026" s="100"/>
      <c r="C6026" s="100"/>
      <c r="D6026" s="100"/>
      <c r="E6026" s="100"/>
      <c r="F6026" s="102"/>
      <c r="G6026" s="114"/>
    </row>
    <row r="6027" spans="2:7" ht="15.75" customHeight="1" x14ac:dyDescent="0.25">
      <c r="B6027" s="100"/>
      <c r="C6027" s="100"/>
      <c r="D6027" s="100"/>
      <c r="E6027" s="100"/>
      <c r="F6027" s="102"/>
      <c r="G6027" s="114"/>
    </row>
    <row r="6028" spans="2:7" ht="15.75" customHeight="1" x14ac:dyDescent="0.25">
      <c r="B6028" s="100"/>
      <c r="C6028" s="100"/>
      <c r="D6028" s="100"/>
      <c r="E6028" s="100"/>
      <c r="F6028" s="102"/>
      <c r="G6028" s="114"/>
    </row>
    <row r="6029" spans="2:7" ht="15.75" customHeight="1" x14ac:dyDescent="0.25">
      <c r="B6029" s="100"/>
      <c r="C6029" s="100"/>
      <c r="D6029" s="100"/>
      <c r="E6029" s="100"/>
      <c r="F6029" s="102"/>
      <c r="G6029" s="114"/>
    </row>
    <row r="6030" spans="2:7" ht="15.75" customHeight="1" x14ac:dyDescent="0.25">
      <c r="B6030" s="100"/>
      <c r="C6030" s="100"/>
      <c r="D6030" s="100"/>
      <c r="E6030" s="100"/>
      <c r="F6030" s="102"/>
      <c r="G6030" s="114"/>
    </row>
    <row r="6031" spans="2:7" ht="15.75" customHeight="1" x14ac:dyDescent="0.25">
      <c r="B6031" s="100"/>
      <c r="C6031" s="100"/>
      <c r="D6031" s="100"/>
      <c r="E6031" s="100"/>
      <c r="F6031" s="102"/>
      <c r="G6031" s="114"/>
    </row>
    <row r="6032" spans="2:7" ht="15.75" customHeight="1" x14ac:dyDescent="0.25">
      <c r="B6032" s="100"/>
      <c r="C6032" s="100"/>
      <c r="D6032" s="100"/>
      <c r="E6032" s="100"/>
      <c r="F6032" s="102"/>
      <c r="G6032" s="114"/>
    </row>
    <row r="6033" spans="2:7" ht="15.75" customHeight="1" x14ac:dyDescent="0.25">
      <c r="B6033" s="100"/>
      <c r="C6033" s="100"/>
      <c r="D6033" s="100"/>
      <c r="E6033" s="100"/>
      <c r="F6033" s="102"/>
      <c r="G6033" s="114"/>
    </row>
    <row r="6034" spans="2:7" ht="15.75" customHeight="1" x14ac:dyDescent="0.25">
      <c r="B6034" s="100"/>
      <c r="C6034" s="100"/>
      <c r="D6034" s="100"/>
      <c r="E6034" s="100"/>
      <c r="F6034" s="102"/>
      <c r="G6034" s="114"/>
    </row>
    <row r="6035" spans="2:7" ht="15.75" customHeight="1" x14ac:dyDescent="0.25">
      <c r="B6035" s="100"/>
      <c r="C6035" s="100"/>
      <c r="D6035" s="100"/>
      <c r="E6035" s="100"/>
      <c r="F6035" s="102"/>
      <c r="G6035" s="114"/>
    </row>
    <row r="6036" spans="2:7" ht="15.75" customHeight="1" x14ac:dyDescent="0.25">
      <c r="B6036" s="100"/>
      <c r="C6036" s="100"/>
      <c r="D6036" s="100"/>
      <c r="E6036" s="100"/>
      <c r="F6036" s="102"/>
      <c r="G6036" s="114"/>
    </row>
    <row r="6037" spans="2:7" ht="15.75" customHeight="1" x14ac:dyDescent="0.25">
      <c r="B6037" s="100"/>
      <c r="C6037" s="100"/>
      <c r="D6037" s="100"/>
      <c r="E6037" s="100"/>
      <c r="F6037" s="102"/>
      <c r="G6037" s="114"/>
    </row>
    <row r="6038" spans="2:7" ht="15.75" customHeight="1" x14ac:dyDescent="0.25">
      <c r="B6038" s="100"/>
      <c r="C6038" s="100"/>
      <c r="D6038" s="100"/>
      <c r="E6038" s="100"/>
      <c r="F6038" s="102"/>
      <c r="G6038" s="114"/>
    </row>
    <row r="6039" spans="2:7" ht="15.75" customHeight="1" x14ac:dyDescent="0.25">
      <c r="B6039" s="100"/>
      <c r="C6039" s="100"/>
      <c r="D6039" s="100"/>
      <c r="E6039" s="100"/>
      <c r="F6039" s="102"/>
      <c r="G6039" s="114"/>
    </row>
    <row r="6040" spans="2:7" ht="15.75" customHeight="1" x14ac:dyDescent="0.25">
      <c r="B6040" s="100"/>
      <c r="C6040" s="100"/>
      <c r="D6040" s="100"/>
      <c r="E6040" s="100"/>
      <c r="F6040" s="102"/>
      <c r="G6040" s="114"/>
    </row>
    <row r="6041" spans="2:7" ht="15.75" customHeight="1" x14ac:dyDescent="0.25">
      <c r="B6041" s="100"/>
      <c r="C6041" s="100"/>
      <c r="D6041" s="100"/>
      <c r="E6041" s="100"/>
      <c r="F6041" s="102"/>
      <c r="G6041" s="114"/>
    </row>
    <row r="6042" spans="2:7" ht="15.75" customHeight="1" x14ac:dyDescent="0.25">
      <c r="B6042" s="100"/>
      <c r="C6042" s="100"/>
      <c r="D6042" s="100"/>
      <c r="E6042" s="100"/>
      <c r="F6042" s="102"/>
      <c r="G6042" s="114"/>
    </row>
    <row r="6043" spans="2:7" ht="15.75" customHeight="1" x14ac:dyDescent="0.25">
      <c r="B6043" s="100"/>
      <c r="C6043" s="100"/>
      <c r="D6043" s="100"/>
      <c r="E6043" s="100"/>
      <c r="F6043" s="102"/>
      <c r="G6043" s="114"/>
    </row>
    <row r="6044" spans="2:7" ht="15.75" customHeight="1" x14ac:dyDescent="0.25">
      <c r="B6044" s="100"/>
      <c r="C6044" s="100"/>
      <c r="D6044" s="100"/>
      <c r="E6044" s="100"/>
      <c r="F6044" s="102"/>
      <c r="G6044" s="114"/>
    </row>
    <row r="6045" spans="2:7" ht="15.75" customHeight="1" x14ac:dyDescent="0.25">
      <c r="B6045" s="100"/>
      <c r="C6045" s="100"/>
      <c r="D6045" s="100"/>
      <c r="E6045" s="100"/>
      <c r="F6045" s="102"/>
      <c r="G6045" s="114"/>
    </row>
    <row r="6046" spans="2:7" ht="15.75" customHeight="1" x14ac:dyDescent="0.25">
      <c r="B6046" s="100"/>
      <c r="C6046" s="100"/>
      <c r="D6046" s="100"/>
      <c r="E6046" s="100"/>
      <c r="F6046" s="102"/>
      <c r="G6046" s="114"/>
    </row>
    <row r="6047" spans="2:7" ht="15.75" customHeight="1" x14ac:dyDescent="0.25">
      <c r="B6047" s="100"/>
      <c r="C6047" s="100"/>
      <c r="D6047" s="100"/>
      <c r="E6047" s="100"/>
      <c r="F6047" s="102"/>
      <c r="G6047" s="114"/>
    </row>
    <row r="6048" spans="2:7" ht="15.75" customHeight="1" x14ac:dyDescent="0.25">
      <c r="B6048" s="100"/>
      <c r="C6048" s="100"/>
      <c r="D6048" s="100"/>
      <c r="E6048" s="100"/>
      <c r="F6048" s="102"/>
      <c r="G6048" s="114"/>
    </row>
    <row r="6049" spans="2:7" ht="15.75" customHeight="1" x14ac:dyDescent="0.25">
      <c r="B6049" s="100"/>
      <c r="C6049" s="100"/>
      <c r="D6049" s="100"/>
      <c r="E6049" s="100"/>
      <c r="F6049" s="102"/>
      <c r="G6049" s="114"/>
    </row>
    <row r="6050" spans="2:7" ht="15.75" customHeight="1" x14ac:dyDescent="0.25">
      <c r="B6050" s="100"/>
      <c r="C6050" s="100"/>
      <c r="D6050" s="100"/>
      <c r="E6050" s="100"/>
      <c r="F6050" s="102"/>
      <c r="G6050" s="114"/>
    </row>
    <row r="6051" spans="2:7" ht="15.75" customHeight="1" x14ac:dyDescent="0.25">
      <c r="B6051" s="100"/>
      <c r="C6051" s="100"/>
      <c r="D6051" s="100"/>
      <c r="E6051" s="100"/>
      <c r="F6051" s="102"/>
      <c r="G6051" s="114"/>
    </row>
    <row r="6052" spans="2:7" ht="15.75" customHeight="1" x14ac:dyDescent="0.25">
      <c r="B6052" s="100"/>
      <c r="C6052" s="100"/>
      <c r="D6052" s="100"/>
      <c r="E6052" s="100"/>
      <c r="F6052" s="102"/>
      <c r="G6052" s="114"/>
    </row>
    <row r="6053" spans="2:7" ht="15.75" customHeight="1" x14ac:dyDescent="0.25">
      <c r="B6053" s="100"/>
      <c r="C6053" s="100"/>
      <c r="D6053" s="100"/>
      <c r="E6053" s="100"/>
      <c r="F6053" s="102"/>
      <c r="G6053" s="114"/>
    </row>
    <row r="6054" spans="2:7" ht="15.75" customHeight="1" x14ac:dyDescent="0.25">
      <c r="B6054" s="100"/>
      <c r="C6054" s="100"/>
      <c r="D6054" s="100"/>
      <c r="E6054" s="100"/>
      <c r="F6054" s="102"/>
      <c r="G6054" s="114"/>
    </row>
    <row r="6055" spans="2:7" ht="15.75" customHeight="1" x14ac:dyDescent="0.25">
      <c r="B6055" s="100"/>
      <c r="C6055" s="100"/>
      <c r="D6055" s="100"/>
      <c r="E6055" s="100"/>
      <c r="F6055" s="102"/>
      <c r="G6055" s="114"/>
    </row>
    <row r="6056" spans="2:7" ht="15.75" customHeight="1" x14ac:dyDescent="0.25">
      <c r="B6056" s="100"/>
      <c r="C6056" s="100"/>
      <c r="D6056" s="100"/>
      <c r="E6056" s="100"/>
      <c r="F6056" s="102"/>
      <c r="G6056" s="114"/>
    </row>
    <row r="6057" spans="2:7" ht="15.75" customHeight="1" x14ac:dyDescent="0.25">
      <c r="B6057" s="100"/>
      <c r="C6057" s="100"/>
      <c r="D6057" s="100"/>
      <c r="E6057" s="100"/>
      <c r="F6057" s="102"/>
      <c r="G6057" s="114"/>
    </row>
    <row r="6058" spans="2:7" ht="15.75" customHeight="1" x14ac:dyDescent="0.25">
      <c r="B6058" s="100"/>
      <c r="C6058" s="100"/>
      <c r="D6058" s="100"/>
      <c r="E6058" s="100"/>
      <c r="F6058" s="102"/>
      <c r="G6058" s="114"/>
    </row>
    <row r="6059" spans="2:7" ht="15.75" customHeight="1" x14ac:dyDescent="0.25">
      <c r="B6059" s="100"/>
      <c r="C6059" s="100"/>
      <c r="D6059" s="100"/>
      <c r="E6059" s="100"/>
      <c r="F6059" s="102"/>
      <c r="G6059" s="114"/>
    </row>
    <row r="6060" spans="2:7" ht="15.75" customHeight="1" x14ac:dyDescent="0.25">
      <c r="B6060" s="100"/>
      <c r="C6060" s="100"/>
      <c r="D6060" s="100"/>
      <c r="E6060" s="100"/>
      <c r="F6060" s="102"/>
      <c r="G6060" s="114"/>
    </row>
    <row r="6061" spans="2:7" ht="15.75" customHeight="1" x14ac:dyDescent="0.25">
      <c r="B6061" s="100"/>
      <c r="C6061" s="100"/>
      <c r="D6061" s="100"/>
      <c r="E6061" s="100"/>
      <c r="F6061" s="102"/>
      <c r="G6061" s="114"/>
    </row>
    <row r="6062" spans="2:7" ht="15.75" customHeight="1" x14ac:dyDescent="0.25">
      <c r="B6062" s="100"/>
      <c r="C6062" s="100"/>
      <c r="D6062" s="100"/>
      <c r="E6062" s="100"/>
      <c r="F6062" s="102"/>
      <c r="G6062" s="114"/>
    </row>
    <row r="6063" spans="2:7" ht="15.75" customHeight="1" x14ac:dyDescent="0.25">
      <c r="B6063" s="100"/>
      <c r="C6063" s="100"/>
      <c r="D6063" s="100"/>
      <c r="E6063" s="100"/>
      <c r="F6063" s="102"/>
      <c r="G6063" s="114"/>
    </row>
    <row r="6064" spans="2:7" ht="15.75" customHeight="1" x14ac:dyDescent="0.25">
      <c r="B6064" s="100"/>
      <c r="C6064" s="100"/>
      <c r="D6064" s="100"/>
      <c r="E6064" s="100"/>
      <c r="F6064" s="102"/>
      <c r="G6064" s="114"/>
    </row>
    <row r="6065" spans="2:7" ht="15.75" customHeight="1" x14ac:dyDescent="0.25">
      <c r="B6065" s="100"/>
      <c r="C6065" s="100"/>
      <c r="D6065" s="100"/>
      <c r="E6065" s="100"/>
      <c r="F6065" s="102"/>
      <c r="G6065" s="114"/>
    </row>
    <row r="6066" spans="2:7" ht="15.75" customHeight="1" x14ac:dyDescent="0.25">
      <c r="B6066" s="100"/>
      <c r="C6066" s="100"/>
      <c r="D6066" s="100"/>
      <c r="E6066" s="100"/>
      <c r="F6066" s="102"/>
      <c r="G6066" s="114"/>
    </row>
    <row r="6067" spans="2:7" ht="15.75" customHeight="1" x14ac:dyDescent="0.25">
      <c r="B6067" s="100"/>
      <c r="C6067" s="100"/>
      <c r="D6067" s="100"/>
      <c r="E6067" s="100"/>
      <c r="F6067" s="102"/>
      <c r="G6067" s="114"/>
    </row>
    <row r="6068" spans="2:7" ht="15.75" customHeight="1" x14ac:dyDescent="0.25">
      <c r="B6068" s="100"/>
      <c r="C6068" s="100"/>
      <c r="D6068" s="100"/>
      <c r="E6068" s="100"/>
      <c r="F6068" s="102"/>
      <c r="G6068" s="114"/>
    </row>
    <row r="6069" spans="2:7" ht="15.75" customHeight="1" x14ac:dyDescent="0.25">
      <c r="B6069" s="100"/>
      <c r="C6069" s="100"/>
      <c r="D6069" s="100"/>
      <c r="E6069" s="100"/>
      <c r="F6069" s="102"/>
      <c r="G6069" s="114"/>
    </row>
    <row r="6070" spans="2:7" ht="15.75" customHeight="1" x14ac:dyDescent="0.25">
      <c r="B6070" s="100"/>
      <c r="C6070" s="100"/>
      <c r="D6070" s="100"/>
      <c r="E6070" s="100"/>
      <c r="F6070" s="102"/>
      <c r="G6070" s="114"/>
    </row>
    <row r="6071" spans="2:7" ht="15.75" customHeight="1" x14ac:dyDescent="0.25">
      <c r="B6071" s="100"/>
      <c r="C6071" s="100"/>
      <c r="D6071" s="100"/>
      <c r="E6071" s="100"/>
      <c r="F6071" s="102"/>
      <c r="G6071" s="114"/>
    </row>
    <row r="6072" spans="2:7" ht="15.75" customHeight="1" x14ac:dyDescent="0.25">
      <c r="B6072" s="100"/>
      <c r="C6072" s="100"/>
      <c r="D6072" s="100"/>
      <c r="E6072" s="100"/>
      <c r="F6072" s="102"/>
      <c r="G6072" s="114"/>
    </row>
    <row r="6073" spans="2:7" ht="15.75" customHeight="1" x14ac:dyDescent="0.25">
      <c r="B6073" s="100"/>
      <c r="C6073" s="100"/>
      <c r="D6073" s="100"/>
      <c r="E6073" s="100"/>
      <c r="F6073" s="102"/>
      <c r="G6073" s="114"/>
    </row>
    <row r="6074" spans="2:7" ht="15.75" customHeight="1" x14ac:dyDescent="0.25">
      <c r="B6074" s="100"/>
      <c r="C6074" s="100"/>
      <c r="D6074" s="100"/>
      <c r="E6074" s="100"/>
      <c r="F6074" s="102"/>
      <c r="G6074" s="114"/>
    </row>
    <row r="6075" spans="2:7" ht="15.75" customHeight="1" x14ac:dyDescent="0.25">
      <c r="B6075" s="100"/>
      <c r="C6075" s="100"/>
      <c r="D6075" s="100"/>
      <c r="E6075" s="100"/>
      <c r="F6075" s="102"/>
      <c r="G6075" s="114"/>
    </row>
    <row r="6076" spans="2:7" ht="15.75" customHeight="1" x14ac:dyDescent="0.25">
      <c r="B6076" s="100"/>
      <c r="C6076" s="100"/>
      <c r="D6076" s="100"/>
      <c r="E6076" s="100"/>
      <c r="F6076" s="102"/>
      <c r="G6076" s="114"/>
    </row>
    <row r="6077" spans="2:7" ht="15.75" customHeight="1" x14ac:dyDescent="0.25">
      <c r="B6077" s="100"/>
      <c r="C6077" s="100"/>
      <c r="D6077" s="100"/>
      <c r="E6077" s="100"/>
      <c r="F6077" s="102"/>
      <c r="G6077" s="114"/>
    </row>
    <row r="6078" spans="2:7" ht="15.75" customHeight="1" x14ac:dyDescent="0.25">
      <c r="B6078" s="100"/>
      <c r="C6078" s="100"/>
      <c r="D6078" s="100"/>
      <c r="E6078" s="100"/>
      <c r="F6078" s="102"/>
      <c r="G6078" s="114"/>
    </row>
    <row r="6079" spans="2:7" ht="15.75" customHeight="1" x14ac:dyDescent="0.25">
      <c r="B6079" s="100"/>
      <c r="C6079" s="100"/>
      <c r="D6079" s="100"/>
      <c r="E6079" s="100"/>
      <c r="F6079" s="102"/>
      <c r="G6079" s="114"/>
    </row>
    <row r="6080" spans="2:7" ht="15.75" customHeight="1" x14ac:dyDescent="0.25">
      <c r="B6080" s="100"/>
      <c r="C6080" s="100"/>
      <c r="D6080" s="100"/>
      <c r="E6080" s="100"/>
      <c r="F6080" s="102"/>
      <c r="G6080" s="114"/>
    </row>
    <row r="6081" spans="2:7" ht="15.75" customHeight="1" x14ac:dyDescent="0.25">
      <c r="B6081" s="100"/>
      <c r="C6081" s="100"/>
      <c r="D6081" s="100"/>
      <c r="E6081" s="100"/>
      <c r="F6081" s="102"/>
      <c r="G6081" s="114"/>
    </row>
    <row r="6082" spans="2:7" ht="15.75" customHeight="1" x14ac:dyDescent="0.25">
      <c r="B6082" s="100"/>
      <c r="C6082" s="100"/>
      <c r="D6082" s="100"/>
      <c r="E6082" s="100"/>
      <c r="F6082" s="102"/>
      <c r="G6082" s="114"/>
    </row>
    <row r="6083" spans="2:7" ht="15.75" customHeight="1" x14ac:dyDescent="0.25">
      <c r="B6083" s="100"/>
      <c r="C6083" s="100"/>
      <c r="D6083" s="100"/>
      <c r="E6083" s="100"/>
      <c r="F6083" s="102"/>
      <c r="G6083" s="114"/>
    </row>
    <row r="6084" spans="2:7" ht="15.75" customHeight="1" x14ac:dyDescent="0.25">
      <c r="B6084" s="100"/>
      <c r="C6084" s="100"/>
      <c r="D6084" s="100"/>
      <c r="E6084" s="100"/>
      <c r="F6084" s="102"/>
      <c r="G6084" s="114"/>
    </row>
    <row r="6085" spans="2:7" ht="15.75" customHeight="1" x14ac:dyDescent="0.25">
      <c r="B6085" s="100"/>
      <c r="C6085" s="100"/>
      <c r="D6085" s="100"/>
      <c r="E6085" s="100"/>
      <c r="F6085" s="102"/>
      <c r="G6085" s="114"/>
    </row>
    <row r="6086" spans="2:7" ht="15.75" customHeight="1" x14ac:dyDescent="0.25">
      <c r="B6086" s="100"/>
      <c r="C6086" s="100"/>
      <c r="D6086" s="100"/>
      <c r="E6086" s="100"/>
      <c r="F6086" s="102"/>
      <c r="G6086" s="114"/>
    </row>
    <row r="6087" spans="2:7" ht="15.75" customHeight="1" x14ac:dyDescent="0.25">
      <c r="B6087" s="100"/>
      <c r="C6087" s="100"/>
      <c r="D6087" s="100"/>
      <c r="E6087" s="100"/>
      <c r="F6087" s="102"/>
      <c r="G6087" s="114"/>
    </row>
    <row r="6088" spans="2:7" ht="15.75" customHeight="1" x14ac:dyDescent="0.25">
      <c r="B6088" s="100"/>
      <c r="C6088" s="100"/>
      <c r="D6088" s="100"/>
      <c r="E6088" s="100"/>
      <c r="F6088" s="102"/>
      <c r="G6088" s="114"/>
    </row>
    <row r="6089" spans="2:7" ht="15.75" customHeight="1" x14ac:dyDescent="0.25">
      <c r="B6089" s="100"/>
      <c r="C6089" s="100"/>
      <c r="D6089" s="100"/>
      <c r="E6089" s="100"/>
      <c r="F6089" s="102"/>
      <c r="G6089" s="114"/>
    </row>
    <row r="6090" spans="2:7" ht="15.75" customHeight="1" x14ac:dyDescent="0.25">
      <c r="B6090" s="100"/>
      <c r="C6090" s="100"/>
      <c r="D6090" s="100"/>
      <c r="E6090" s="100"/>
      <c r="F6090" s="102"/>
      <c r="G6090" s="114"/>
    </row>
    <row r="6091" spans="2:7" ht="15.75" customHeight="1" x14ac:dyDescent="0.25">
      <c r="B6091" s="100"/>
      <c r="C6091" s="100"/>
      <c r="D6091" s="100"/>
      <c r="E6091" s="100"/>
      <c r="F6091" s="102"/>
      <c r="G6091" s="114"/>
    </row>
    <row r="6092" spans="2:7" ht="15.75" customHeight="1" x14ac:dyDescent="0.25">
      <c r="B6092" s="100"/>
      <c r="C6092" s="100"/>
      <c r="D6092" s="100"/>
      <c r="E6092" s="100"/>
      <c r="F6092" s="102"/>
      <c r="G6092" s="114"/>
    </row>
    <row r="6093" spans="2:7" ht="15.75" customHeight="1" x14ac:dyDescent="0.25">
      <c r="B6093" s="100"/>
      <c r="C6093" s="100"/>
      <c r="D6093" s="100"/>
      <c r="E6093" s="100"/>
      <c r="F6093" s="102"/>
      <c r="G6093" s="114"/>
    </row>
    <row r="6094" spans="2:7" ht="15.75" customHeight="1" x14ac:dyDescent="0.25">
      <c r="B6094" s="100"/>
      <c r="C6094" s="100"/>
      <c r="D6094" s="100"/>
      <c r="E6094" s="100"/>
      <c r="F6094" s="102"/>
      <c r="G6094" s="114"/>
    </row>
    <row r="6095" spans="2:7" ht="15.75" customHeight="1" x14ac:dyDescent="0.25">
      <c r="B6095" s="100"/>
      <c r="C6095" s="100"/>
      <c r="D6095" s="100"/>
      <c r="E6095" s="100"/>
      <c r="F6095" s="102"/>
      <c r="G6095" s="114"/>
    </row>
    <row r="6096" spans="2:7" ht="15.75" customHeight="1" x14ac:dyDescent="0.25">
      <c r="B6096" s="100"/>
      <c r="C6096" s="100"/>
      <c r="D6096" s="100"/>
      <c r="E6096" s="100"/>
      <c r="F6096" s="102"/>
      <c r="G6096" s="114"/>
    </row>
    <row r="6097" spans="2:7" ht="15.75" customHeight="1" x14ac:dyDescent="0.25">
      <c r="B6097" s="100"/>
      <c r="C6097" s="100"/>
      <c r="D6097" s="100"/>
      <c r="E6097" s="100"/>
      <c r="F6097" s="102"/>
      <c r="G6097" s="114"/>
    </row>
    <row r="6098" spans="2:7" ht="15.75" customHeight="1" x14ac:dyDescent="0.25">
      <c r="B6098" s="100"/>
      <c r="C6098" s="100"/>
      <c r="D6098" s="100"/>
      <c r="E6098" s="100"/>
      <c r="F6098" s="102"/>
      <c r="G6098" s="114"/>
    </row>
    <row r="6099" spans="2:7" ht="15.75" customHeight="1" x14ac:dyDescent="0.25">
      <c r="B6099" s="100"/>
      <c r="C6099" s="100"/>
      <c r="D6099" s="100"/>
      <c r="E6099" s="100"/>
      <c r="F6099" s="102"/>
      <c r="G6099" s="114"/>
    </row>
    <row r="6100" spans="2:7" ht="15.75" customHeight="1" x14ac:dyDescent="0.25">
      <c r="B6100" s="100"/>
      <c r="C6100" s="100"/>
      <c r="D6100" s="100"/>
      <c r="E6100" s="100"/>
      <c r="F6100" s="102"/>
      <c r="G6100" s="114"/>
    </row>
    <row r="6101" spans="2:7" ht="15.75" customHeight="1" x14ac:dyDescent="0.25">
      <c r="B6101" s="100"/>
      <c r="C6101" s="100"/>
      <c r="D6101" s="100"/>
      <c r="E6101" s="100"/>
      <c r="F6101" s="102"/>
      <c r="G6101" s="114"/>
    </row>
    <row r="6102" spans="2:7" ht="15.75" customHeight="1" x14ac:dyDescent="0.25">
      <c r="B6102" s="100"/>
      <c r="C6102" s="100"/>
      <c r="D6102" s="100"/>
      <c r="E6102" s="100"/>
      <c r="F6102" s="102"/>
      <c r="G6102" s="114"/>
    </row>
    <row r="6103" spans="2:7" ht="15.75" customHeight="1" x14ac:dyDescent="0.25">
      <c r="B6103" s="100"/>
      <c r="C6103" s="100"/>
      <c r="D6103" s="100"/>
      <c r="E6103" s="100"/>
      <c r="F6103" s="102"/>
      <c r="G6103" s="114"/>
    </row>
    <row r="6104" spans="2:7" ht="15.75" customHeight="1" x14ac:dyDescent="0.25">
      <c r="B6104" s="100"/>
      <c r="C6104" s="100"/>
      <c r="D6104" s="100"/>
      <c r="E6104" s="100"/>
      <c r="F6104" s="102"/>
      <c r="G6104" s="114"/>
    </row>
    <row r="6105" spans="2:7" ht="15.75" customHeight="1" x14ac:dyDescent="0.25">
      <c r="B6105" s="100"/>
      <c r="C6105" s="100"/>
      <c r="D6105" s="100"/>
      <c r="E6105" s="100"/>
      <c r="F6105" s="102"/>
      <c r="G6105" s="114"/>
    </row>
    <row r="6106" spans="2:7" ht="15.75" customHeight="1" x14ac:dyDescent="0.25">
      <c r="B6106" s="100"/>
      <c r="C6106" s="100"/>
      <c r="D6106" s="100"/>
      <c r="E6106" s="100"/>
      <c r="F6106" s="102"/>
      <c r="G6106" s="114"/>
    </row>
    <row r="6107" spans="2:7" ht="15.75" customHeight="1" x14ac:dyDescent="0.25">
      <c r="B6107" s="100"/>
      <c r="C6107" s="100"/>
      <c r="D6107" s="100"/>
      <c r="E6107" s="100"/>
      <c r="F6107" s="102"/>
      <c r="G6107" s="114"/>
    </row>
    <row r="6108" spans="2:7" ht="15.75" customHeight="1" x14ac:dyDescent="0.25">
      <c r="B6108" s="100"/>
      <c r="C6108" s="100"/>
      <c r="D6108" s="100"/>
      <c r="E6108" s="100"/>
      <c r="F6108" s="102"/>
      <c r="G6108" s="114"/>
    </row>
    <row r="6109" spans="2:7" ht="15.75" customHeight="1" x14ac:dyDescent="0.25">
      <c r="B6109" s="100"/>
      <c r="C6109" s="100"/>
      <c r="D6109" s="100"/>
      <c r="E6109" s="100"/>
      <c r="F6109" s="102"/>
      <c r="G6109" s="114"/>
    </row>
    <row r="6110" spans="2:7" ht="15.75" customHeight="1" x14ac:dyDescent="0.25">
      <c r="B6110" s="100"/>
      <c r="C6110" s="100"/>
      <c r="D6110" s="100"/>
      <c r="E6110" s="100"/>
      <c r="F6110" s="102"/>
      <c r="G6110" s="114"/>
    </row>
    <row r="6111" spans="2:7" ht="15.75" customHeight="1" x14ac:dyDescent="0.25">
      <c r="B6111" s="100"/>
      <c r="C6111" s="100"/>
      <c r="D6111" s="100"/>
      <c r="E6111" s="100"/>
      <c r="F6111" s="102"/>
      <c r="G6111" s="114"/>
    </row>
    <row r="6112" spans="2:7" ht="15.75" customHeight="1" x14ac:dyDescent="0.25">
      <c r="B6112" s="100"/>
      <c r="C6112" s="100"/>
      <c r="D6112" s="100"/>
      <c r="E6112" s="100"/>
      <c r="F6112" s="102"/>
      <c r="G6112" s="114"/>
    </row>
    <row r="6113" spans="2:7" ht="15.75" customHeight="1" x14ac:dyDescent="0.25">
      <c r="B6113" s="100"/>
      <c r="C6113" s="100"/>
      <c r="D6113" s="100"/>
      <c r="E6113" s="100"/>
      <c r="F6113" s="102"/>
      <c r="G6113" s="114"/>
    </row>
    <row r="6114" spans="2:7" ht="15.75" customHeight="1" x14ac:dyDescent="0.25">
      <c r="B6114" s="100"/>
      <c r="C6114" s="100"/>
      <c r="D6114" s="100"/>
      <c r="E6114" s="100"/>
      <c r="F6114" s="102"/>
      <c r="G6114" s="114"/>
    </row>
    <row r="6115" spans="2:7" ht="15.75" customHeight="1" x14ac:dyDescent="0.25">
      <c r="B6115" s="100"/>
      <c r="C6115" s="100"/>
      <c r="D6115" s="100"/>
      <c r="E6115" s="100"/>
      <c r="F6115" s="102"/>
      <c r="G6115" s="114"/>
    </row>
    <row r="6116" spans="2:7" ht="15.75" customHeight="1" x14ac:dyDescent="0.25">
      <c r="B6116" s="100"/>
      <c r="C6116" s="100"/>
      <c r="D6116" s="100"/>
      <c r="E6116" s="100"/>
      <c r="F6116" s="102"/>
      <c r="G6116" s="114"/>
    </row>
    <row r="6117" spans="2:7" ht="15.75" customHeight="1" x14ac:dyDescent="0.25">
      <c r="B6117" s="100"/>
      <c r="C6117" s="100"/>
      <c r="D6117" s="100"/>
      <c r="E6117" s="100"/>
      <c r="F6117" s="102"/>
      <c r="G6117" s="114"/>
    </row>
    <row r="6118" spans="2:7" ht="15.75" customHeight="1" x14ac:dyDescent="0.25">
      <c r="B6118" s="100"/>
      <c r="C6118" s="100"/>
      <c r="D6118" s="100"/>
      <c r="E6118" s="100"/>
      <c r="F6118" s="102"/>
      <c r="G6118" s="114"/>
    </row>
    <row r="6119" spans="2:7" ht="15.75" customHeight="1" x14ac:dyDescent="0.25">
      <c r="B6119" s="100"/>
      <c r="C6119" s="100"/>
      <c r="D6119" s="100"/>
      <c r="E6119" s="100"/>
      <c r="F6119" s="102"/>
      <c r="G6119" s="114"/>
    </row>
    <row r="6120" spans="2:7" ht="15.75" customHeight="1" x14ac:dyDescent="0.25">
      <c r="B6120" s="100"/>
      <c r="C6120" s="100"/>
      <c r="D6120" s="100"/>
      <c r="E6120" s="100"/>
      <c r="F6120" s="102"/>
      <c r="G6120" s="114"/>
    </row>
    <row r="6121" spans="2:7" ht="15.75" customHeight="1" x14ac:dyDescent="0.25">
      <c r="B6121" s="100"/>
      <c r="C6121" s="100"/>
      <c r="D6121" s="100"/>
      <c r="E6121" s="100"/>
      <c r="F6121" s="102"/>
      <c r="G6121" s="114"/>
    </row>
    <row r="6122" spans="2:7" ht="15.75" customHeight="1" x14ac:dyDescent="0.25">
      <c r="B6122" s="100"/>
      <c r="C6122" s="100"/>
      <c r="D6122" s="100"/>
      <c r="E6122" s="100"/>
      <c r="F6122" s="102"/>
      <c r="G6122" s="114"/>
    </row>
    <row r="6123" spans="2:7" ht="15.75" customHeight="1" x14ac:dyDescent="0.25">
      <c r="B6123" s="100"/>
      <c r="C6123" s="100"/>
      <c r="D6123" s="100"/>
      <c r="E6123" s="100"/>
      <c r="F6123" s="102"/>
      <c r="G6123" s="114"/>
    </row>
    <row r="6124" spans="2:7" ht="15.75" customHeight="1" x14ac:dyDescent="0.25">
      <c r="B6124" s="100"/>
      <c r="C6124" s="100"/>
      <c r="D6124" s="100"/>
      <c r="E6124" s="100"/>
      <c r="F6124" s="102"/>
      <c r="G6124" s="114"/>
    </row>
    <row r="6125" spans="2:7" ht="15.75" customHeight="1" x14ac:dyDescent="0.25">
      <c r="B6125" s="100"/>
      <c r="C6125" s="100"/>
      <c r="D6125" s="100"/>
      <c r="E6125" s="100"/>
      <c r="F6125" s="102"/>
      <c r="G6125" s="114"/>
    </row>
    <row r="6126" spans="2:7" ht="15.75" customHeight="1" x14ac:dyDescent="0.25">
      <c r="B6126" s="100"/>
      <c r="C6126" s="100"/>
      <c r="D6126" s="100"/>
      <c r="E6126" s="100"/>
      <c r="F6126" s="102"/>
      <c r="G6126" s="114"/>
    </row>
    <row r="6127" spans="2:7" ht="15.75" customHeight="1" x14ac:dyDescent="0.25">
      <c r="B6127" s="100"/>
      <c r="C6127" s="100"/>
      <c r="D6127" s="100"/>
      <c r="E6127" s="100"/>
      <c r="F6127" s="102"/>
      <c r="G6127" s="114"/>
    </row>
    <row r="6128" spans="2:7" ht="15.75" customHeight="1" x14ac:dyDescent="0.25">
      <c r="B6128" s="100"/>
      <c r="C6128" s="100"/>
      <c r="D6128" s="100"/>
      <c r="E6128" s="100"/>
      <c r="F6128" s="102"/>
      <c r="G6128" s="114"/>
    </row>
    <row r="6129" spans="2:7" ht="15.75" customHeight="1" x14ac:dyDescent="0.25">
      <c r="B6129" s="100"/>
      <c r="C6129" s="100"/>
      <c r="D6129" s="100"/>
      <c r="E6129" s="100"/>
      <c r="F6129" s="102"/>
      <c r="G6129" s="114"/>
    </row>
    <row r="6130" spans="2:7" ht="15.75" customHeight="1" x14ac:dyDescent="0.25">
      <c r="B6130" s="100"/>
      <c r="C6130" s="100"/>
      <c r="D6130" s="100"/>
      <c r="E6130" s="100"/>
      <c r="F6130" s="102"/>
      <c r="G6130" s="114"/>
    </row>
    <row r="6131" spans="2:7" ht="15.75" customHeight="1" x14ac:dyDescent="0.25">
      <c r="B6131" s="100"/>
      <c r="C6131" s="100"/>
      <c r="D6131" s="100"/>
      <c r="E6131" s="100"/>
      <c r="F6131" s="102"/>
      <c r="G6131" s="114"/>
    </row>
    <row r="6132" spans="2:7" ht="15.75" customHeight="1" x14ac:dyDescent="0.25">
      <c r="B6132" s="100"/>
      <c r="C6132" s="100"/>
      <c r="D6132" s="100"/>
      <c r="E6132" s="100"/>
      <c r="F6132" s="102"/>
      <c r="G6132" s="114"/>
    </row>
    <row r="6133" spans="2:7" ht="15.75" customHeight="1" x14ac:dyDescent="0.25">
      <c r="B6133" s="100"/>
      <c r="C6133" s="100"/>
      <c r="D6133" s="100"/>
      <c r="E6133" s="100"/>
      <c r="F6133" s="102"/>
      <c r="G6133" s="114"/>
    </row>
    <row r="6134" spans="2:7" ht="15.75" customHeight="1" x14ac:dyDescent="0.25">
      <c r="B6134" s="100"/>
      <c r="C6134" s="100"/>
      <c r="D6134" s="100"/>
      <c r="E6134" s="100"/>
      <c r="F6134" s="102"/>
      <c r="G6134" s="114"/>
    </row>
    <row r="6135" spans="2:7" ht="15.75" customHeight="1" x14ac:dyDescent="0.25">
      <c r="B6135" s="100"/>
      <c r="C6135" s="100"/>
      <c r="D6135" s="100"/>
      <c r="E6135" s="100"/>
      <c r="F6135" s="102"/>
      <c r="G6135" s="114"/>
    </row>
    <row r="6136" spans="2:7" ht="15.75" customHeight="1" x14ac:dyDescent="0.25">
      <c r="B6136" s="100"/>
      <c r="C6136" s="100"/>
      <c r="D6136" s="100"/>
      <c r="E6136" s="100"/>
      <c r="F6136" s="102"/>
      <c r="G6136" s="114"/>
    </row>
    <row r="6137" spans="2:7" ht="15.75" customHeight="1" x14ac:dyDescent="0.25">
      <c r="B6137" s="100"/>
      <c r="C6137" s="100"/>
      <c r="D6137" s="100"/>
      <c r="E6137" s="100"/>
      <c r="F6137" s="102"/>
      <c r="G6137" s="114"/>
    </row>
    <row r="6138" spans="2:7" ht="15.75" customHeight="1" x14ac:dyDescent="0.25">
      <c r="B6138" s="100"/>
      <c r="C6138" s="100"/>
      <c r="D6138" s="100"/>
      <c r="E6138" s="100"/>
      <c r="F6138" s="102"/>
      <c r="G6138" s="114"/>
    </row>
    <row r="6139" spans="2:7" ht="15.75" customHeight="1" x14ac:dyDescent="0.25">
      <c r="B6139" s="100"/>
      <c r="C6139" s="100"/>
      <c r="D6139" s="100"/>
      <c r="E6139" s="100"/>
      <c r="F6139" s="102"/>
      <c r="G6139" s="114"/>
    </row>
    <row r="6140" spans="2:7" ht="15.75" customHeight="1" x14ac:dyDescent="0.25">
      <c r="B6140" s="100"/>
      <c r="C6140" s="100"/>
      <c r="D6140" s="100"/>
      <c r="E6140" s="100"/>
      <c r="F6140" s="102"/>
      <c r="G6140" s="114"/>
    </row>
    <row r="6141" spans="2:7" ht="15.75" customHeight="1" x14ac:dyDescent="0.25">
      <c r="B6141" s="100"/>
      <c r="C6141" s="100"/>
      <c r="D6141" s="100"/>
      <c r="E6141" s="100"/>
      <c r="F6141" s="102"/>
      <c r="G6141" s="114"/>
    </row>
    <row r="6142" spans="2:7" ht="15.75" customHeight="1" x14ac:dyDescent="0.25">
      <c r="B6142" s="100"/>
      <c r="C6142" s="100"/>
      <c r="D6142" s="100"/>
      <c r="E6142" s="100"/>
      <c r="F6142" s="102"/>
      <c r="G6142" s="114"/>
    </row>
    <row r="6143" spans="2:7" ht="15.75" customHeight="1" x14ac:dyDescent="0.25">
      <c r="B6143" s="100"/>
      <c r="C6143" s="100"/>
      <c r="D6143" s="100"/>
      <c r="E6143" s="100"/>
      <c r="F6143" s="102"/>
      <c r="G6143" s="114"/>
    </row>
    <row r="6144" spans="2:7" ht="15.75" customHeight="1" x14ac:dyDescent="0.25">
      <c r="B6144" s="100"/>
      <c r="C6144" s="100"/>
      <c r="D6144" s="100"/>
      <c r="E6144" s="100"/>
      <c r="F6144" s="102"/>
      <c r="G6144" s="114"/>
    </row>
    <row r="6145" spans="2:7" ht="15.75" customHeight="1" x14ac:dyDescent="0.25">
      <c r="B6145" s="100"/>
      <c r="C6145" s="100"/>
      <c r="D6145" s="100"/>
      <c r="E6145" s="100"/>
      <c r="F6145" s="102"/>
      <c r="G6145" s="114"/>
    </row>
    <row r="6146" spans="2:7" ht="15.75" customHeight="1" x14ac:dyDescent="0.25">
      <c r="B6146" s="100"/>
      <c r="C6146" s="100"/>
      <c r="D6146" s="100"/>
      <c r="E6146" s="100"/>
      <c r="F6146" s="102"/>
      <c r="G6146" s="114"/>
    </row>
    <row r="6147" spans="2:7" ht="15.75" customHeight="1" x14ac:dyDescent="0.25">
      <c r="B6147" s="100"/>
      <c r="C6147" s="100"/>
      <c r="D6147" s="100"/>
      <c r="E6147" s="100"/>
      <c r="F6147" s="102"/>
      <c r="G6147" s="114"/>
    </row>
    <row r="6148" spans="2:7" ht="15.75" customHeight="1" x14ac:dyDescent="0.25">
      <c r="B6148" s="100"/>
      <c r="C6148" s="100"/>
      <c r="D6148" s="100"/>
      <c r="E6148" s="100"/>
      <c r="F6148" s="102"/>
      <c r="G6148" s="114"/>
    </row>
    <row r="6149" spans="2:7" ht="15.75" customHeight="1" x14ac:dyDescent="0.25">
      <c r="B6149" s="100"/>
      <c r="C6149" s="100"/>
      <c r="D6149" s="100"/>
      <c r="E6149" s="100"/>
      <c r="F6149" s="102"/>
      <c r="G6149" s="114"/>
    </row>
    <row r="6150" spans="2:7" ht="15.75" customHeight="1" x14ac:dyDescent="0.25">
      <c r="B6150" s="100"/>
      <c r="C6150" s="100"/>
      <c r="D6150" s="100"/>
      <c r="E6150" s="100"/>
      <c r="F6150" s="102"/>
      <c r="G6150" s="114"/>
    </row>
    <row r="6151" spans="2:7" ht="15.75" customHeight="1" x14ac:dyDescent="0.25">
      <c r="B6151" s="100"/>
      <c r="C6151" s="100"/>
      <c r="D6151" s="100"/>
      <c r="E6151" s="100"/>
      <c r="F6151" s="102"/>
      <c r="G6151" s="114"/>
    </row>
    <row r="6152" spans="2:7" ht="15.75" customHeight="1" x14ac:dyDescent="0.25">
      <c r="B6152" s="100"/>
      <c r="C6152" s="100"/>
      <c r="D6152" s="100"/>
      <c r="E6152" s="100"/>
      <c r="F6152" s="102"/>
      <c r="G6152" s="114"/>
    </row>
    <row r="6153" spans="2:7" ht="15.75" customHeight="1" x14ac:dyDescent="0.25">
      <c r="B6153" s="100"/>
      <c r="C6153" s="100"/>
      <c r="D6153" s="100"/>
      <c r="E6153" s="100"/>
      <c r="F6153" s="102"/>
      <c r="G6153" s="114"/>
    </row>
    <row r="6154" spans="2:7" ht="15.75" customHeight="1" x14ac:dyDescent="0.25">
      <c r="B6154" s="100"/>
      <c r="C6154" s="100"/>
      <c r="D6154" s="100"/>
      <c r="E6154" s="100"/>
      <c r="F6154" s="102"/>
      <c r="G6154" s="114"/>
    </row>
    <row r="6155" spans="2:7" ht="15.75" customHeight="1" x14ac:dyDescent="0.25">
      <c r="B6155" s="100"/>
      <c r="C6155" s="100"/>
      <c r="D6155" s="100"/>
      <c r="E6155" s="100"/>
      <c r="F6155" s="102"/>
      <c r="G6155" s="114"/>
    </row>
    <row r="6156" spans="2:7" ht="15.75" customHeight="1" x14ac:dyDescent="0.25">
      <c r="B6156" s="100"/>
      <c r="C6156" s="100"/>
      <c r="D6156" s="100"/>
      <c r="E6156" s="100"/>
      <c r="F6156" s="102"/>
      <c r="G6156" s="114"/>
    </row>
    <row r="6157" spans="2:7" ht="15.75" customHeight="1" x14ac:dyDescent="0.25">
      <c r="B6157" s="100"/>
      <c r="C6157" s="100"/>
      <c r="D6157" s="100"/>
      <c r="E6157" s="100"/>
      <c r="F6157" s="102"/>
      <c r="G6157" s="114"/>
    </row>
    <row r="6158" spans="2:7" ht="15.75" customHeight="1" x14ac:dyDescent="0.25">
      <c r="B6158" s="100"/>
      <c r="C6158" s="100"/>
      <c r="D6158" s="100"/>
      <c r="E6158" s="100"/>
      <c r="F6158" s="102"/>
      <c r="G6158" s="114"/>
    </row>
    <row r="6159" spans="2:7" ht="15.75" customHeight="1" x14ac:dyDescent="0.25">
      <c r="B6159" s="100"/>
      <c r="C6159" s="100"/>
      <c r="D6159" s="100"/>
      <c r="E6159" s="100"/>
      <c r="F6159" s="102"/>
      <c r="G6159" s="114"/>
    </row>
    <row r="6160" spans="2:7" ht="15.75" customHeight="1" x14ac:dyDescent="0.25">
      <c r="B6160" s="100"/>
      <c r="C6160" s="100"/>
      <c r="D6160" s="100"/>
      <c r="E6160" s="100"/>
      <c r="F6160" s="102"/>
      <c r="G6160" s="114"/>
    </row>
    <row r="6161" spans="2:7" ht="15.75" customHeight="1" x14ac:dyDescent="0.25">
      <c r="B6161" s="100"/>
      <c r="C6161" s="100"/>
      <c r="D6161" s="100"/>
      <c r="E6161" s="100"/>
      <c r="F6161" s="102"/>
      <c r="G6161" s="114"/>
    </row>
    <row r="6162" spans="2:7" ht="15.75" customHeight="1" x14ac:dyDescent="0.25">
      <c r="B6162" s="100"/>
      <c r="C6162" s="100"/>
      <c r="D6162" s="100"/>
      <c r="E6162" s="100"/>
      <c r="F6162" s="102"/>
      <c r="G6162" s="114"/>
    </row>
    <row r="6163" spans="2:7" ht="15.75" customHeight="1" x14ac:dyDescent="0.25">
      <c r="B6163" s="100"/>
      <c r="C6163" s="100"/>
      <c r="D6163" s="100"/>
      <c r="E6163" s="100"/>
      <c r="F6163" s="102"/>
      <c r="G6163" s="114"/>
    </row>
    <row r="6164" spans="2:7" ht="15.75" customHeight="1" x14ac:dyDescent="0.25">
      <c r="B6164" s="100"/>
      <c r="C6164" s="100"/>
      <c r="D6164" s="100"/>
      <c r="E6164" s="100"/>
      <c r="F6164" s="102"/>
      <c r="G6164" s="114"/>
    </row>
    <row r="6165" spans="2:7" ht="15.75" customHeight="1" x14ac:dyDescent="0.25">
      <c r="B6165" s="100"/>
      <c r="C6165" s="100"/>
      <c r="D6165" s="100"/>
      <c r="E6165" s="100"/>
      <c r="F6165" s="102"/>
      <c r="G6165" s="114"/>
    </row>
    <row r="6166" spans="2:7" ht="15.75" customHeight="1" x14ac:dyDescent="0.25">
      <c r="B6166" s="100"/>
      <c r="C6166" s="100"/>
      <c r="D6166" s="100"/>
      <c r="E6166" s="100"/>
      <c r="F6166" s="102"/>
      <c r="G6166" s="114"/>
    </row>
    <row r="6167" spans="2:7" ht="15.75" customHeight="1" x14ac:dyDescent="0.25">
      <c r="B6167" s="100"/>
      <c r="C6167" s="100"/>
      <c r="D6167" s="100"/>
      <c r="E6167" s="100"/>
      <c r="F6167" s="102"/>
      <c r="G6167" s="114"/>
    </row>
    <row r="6168" spans="2:7" ht="15.75" customHeight="1" x14ac:dyDescent="0.25">
      <c r="B6168" s="100"/>
      <c r="C6168" s="100"/>
      <c r="D6168" s="100"/>
      <c r="E6168" s="100"/>
      <c r="F6168" s="102"/>
      <c r="G6168" s="114"/>
    </row>
    <row r="6169" spans="2:7" ht="15.75" customHeight="1" x14ac:dyDescent="0.25">
      <c r="B6169" s="100"/>
      <c r="C6169" s="100"/>
      <c r="D6169" s="100"/>
      <c r="E6169" s="100"/>
      <c r="F6169" s="102"/>
      <c r="G6169" s="114"/>
    </row>
    <row r="6170" spans="2:7" ht="15.75" customHeight="1" x14ac:dyDescent="0.25">
      <c r="B6170" s="100"/>
      <c r="C6170" s="100"/>
      <c r="D6170" s="100"/>
      <c r="E6170" s="100"/>
      <c r="F6170" s="102"/>
      <c r="G6170" s="114"/>
    </row>
    <row r="6171" spans="2:7" ht="15.75" customHeight="1" x14ac:dyDescent="0.25">
      <c r="B6171" s="100"/>
      <c r="C6171" s="100"/>
      <c r="D6171" s="100"/>
      <c r="E6171" s="100"/>
      <c r="F6171" s="102"/>
      <c r="G6171" s="114"/>
    </row>
    <row r="6172" spans="2:7" ht="15.75" customHeight="1" x14ac:dyDescent="0.25">
      <c r="B6172" s="100"/>
      <c r="C6172" s="100"/>
      <c r="D6172" s="100"/>
      <c r="E6172" s="100"/>
      <c r="F6172" s="102"/>
      <c r="G6172" s="114"/>
    </row>
    <row r="6173" spans="2:7" ht="15.75" customHeight="1" x14ac:dyDescent="0.25">
      <c r="B6173" s="100"/>
      <c r="C6173" s="100"/>
      <c r="D6173" s="100"/>
      <c r="E6173" s="100"/>
      <c r="F6173" s="102"/>
      <c r="G6173" s="114"/>
    </row>
    <row r="6174" spans="2:7" ht="15.75" customHeight="1" x14ac:dyDescent="0.25">
      <c r="B6174" s="100"/>
      <c r="C6174" s="100"/>
      <c r="D6174" s="100"/>
      <c r="E6174" s="100"/>
      <c r="F6174" s="102"/>
      <c r="G6174" s="114"/>
    </row>
    <row r="6175" spans="2:7" ht="15.75" customHeight="1" x14ac:dyDescent="0.25">
      <c r="B6175" s="100"/>
      <c r="C6175" s="100"/>
      <c r="D6175" s="100"/>
      <c r="E6175" s="100"/>
      <c r="F6175" s="102"/>
      <c r="G6175" s="114"/>
    </row>
    <row r="6176" spans="2:7" ht="15.75" customHeight="1" x14ac:dyDescent="0.25">
      <c r="B6176" s="100"/>
      <c r="C6176" s="100"/>
      <c r="D6176" s="100"/>
      <c r="E6176" s="100"/>
      <c r="F6176" s="102"/>
      <c r="G6176" s="114"/>
    </row>
    <row r="6177" spans="2:7" ht="15.75" customHeight="1" x14ac:dyDescent="0.25">
      <c r="B6177" s="100"/>
      <c r="C6177" s="100"/>
      <c r="D6177" s="100"/>
      <c r="E6177" s="100"/>
      <c r="F6177" s="102"/>
      <c r="G6177" s="114"/>
    </row>
    <row r="6178" spans="2:7" ht="15.75" customHeight="1" x14ac:dyDescent="0.25">
      <c r="B6178" s="100"/>
      <c r="C6178" s="100"/>
      <c r="D6178" s="100"/>
      <c r="E6178" s="100"/>
      <c r="F6178" s="102"/>
      <c r="G6178" s="114"/>
    </row>
    <row r="6179" spans="2:7" ht="15.75" customHeight="1" x14ac:dyDescent="0.25">
      <c r="B6179" s="100"/>
      <c r="C6179" s="100"/>
      <c r="D6179" s="100"/>
      <c r="E6179" s="100"/>
      <c r="F6179" s="102"/>
      <c r="G6179" s="114"/>
    </row>
    <row r="6180" spans="2:7" ht="15.75" customHeight="1" x14ac:dyDescent="0.25">
      <c r="B6180" s="100"/>
      <c r="C6180" s="100"/>
      <c r="D6180" s="100"/>
      <c r="E6180" s="100"/>
      <c r="F6180" s="102"/>
      <c r="G6180" s="114"/>
    </row>
    <row r="6181" spans="2:7" ht="15.75" customHeight="1" x14ac:dyDescent="0.25">
      <c r="B6181" s="100"/>
      <c r="C6181" s="100"/>
      <c r="D6181" s="100"/>
      <c r="E6181" s="100"/>
      <c r="F6181" s="102"/>
      <c r="G6181" s="114"/>
    </row>
    <row r="6182" spans="2:7" ht="15.75" customHeight="1" x14ac:dyDescent="0.25">
      <c r="B6182" s="100"/>
      <c r="C6182" s="100"/>
      <c r="D6182" s="100"/>
      <c r="E6182" s="100"/>
      <c r="F6182" s="102"/>
      <c r="G6182" s="114"/>
    </row>
    <row r="6183" spans="2:7" ht="15.75" customHeight="1" x14ac:dyDescent="0.25">
      <c r="B6183" s="100"/>
      <c r="C6183" s="100"/>
      <c r="D6183" s="100"/>
      <c r="E6183" s="100"/>
      <c r="F6183" s="102"/>
      <c r="G6183" s="114"/>
    </row>
    <row r="6184" spans="2:7" ht="15.75" customHeight="1" x14ac:dyDescent="0.25">
      <c r="B6184" s="100"/>
      <c r="C6184" s="100"/>
      <c r="D6184" s="100"/>
      <c r="E6184" s="100"/>
      <c r="F6184" s="102"/>
      <c r="G6184" s="114"/>
    </row>
    <row r="6185" spans="2:7" ht="15.75" customHeight="1" x14ac:dyDescent="0.25">
      <c r="B6185" s="100"/>
      <c r="C6185" s="100"/>
      <c r="D6185" s="100"/>
      <c r="E6185" s="100"/>
      <c r="F6185" s="102"/>
      <c r="G6185" s="114"/>
    </row>
    <row r="6186" spans="2:7" ht="15.75" customHeight="1" x14ac:dyDescent="0.25">
      <c r="B6186" s="100"/>
      <c r="C6186" s="100"/>
      <c r="D6186" s="100"/>
      <c r="E6186" s="100"/>
      <c r="F6186" s="102"/>
      <c r="G6186" s="114"/>
    </row>
    <row r="6187" spans="2:7" ht="15.75" customHeight="1" x14ac:dyDescent="0.25">
      <c r="B6187" s="100"/>
      <c r="C6187" s="100"/>
      <c r="D6187" s="100"/>
      <c r="E6187" s="100"/>
      <c r="F6187" s="102"/>
      <c r="G6187" s="114"/>
    </row>
    <row r="6188" spans="2:7" ht="15.75" customHeight="1" x14ac:dyDescent="0.25">
      <c r="B6188" s="100"/>
      <c r="C6188" s="100"/>
      <c r="D6188" s="100"/>
      <c r="E6188" s="100"/>
      <c r="F6188" s="102"/>
      <c r="G6188" s="114"/>
    </row>
    <row r="6189" spans="2:7" ht="15.75" customHeight="1" x14ac:dyDescent="0.25">
      <c r="B6189" s="100"/>
      <c r="C6189" s="100"/>
      <c r="D6189" s="100"/>
      <c r="E6189" s="100"/>
      <c r="F6189" s="102"/>
      <c r="G6189" s="114"/>
    </row>
    <row r="6190" spans="2:7" ht="15.75" customHeight="1" x14ac:dyDescent="0.25">
      <c r="B6190" s="100"/>
      <c r="C6190" s="100"/>
      <c r="D6190" s="100"/>
      <c r="E6190" s="100"/>
      <c r="F6190" s="102"/>
      <c r="G6190" s="114"/>
    </row>
    <row r="6191" spans="2:7" ht="15.75" customHeight="1" x14ac:dyDescent="0.25">
      <c r="B6191" s="100"/>
      <c r="C6191" s="100"/>
      <c r="D6191" s="100"/>
      <c r="E6191" s="100"/>
      <c r="F6191" s="102"/>
      <c r="G6191" s="114"/>
    </row>
    <row r="6192" spans="2:7" ht="15.75" customHeight="1" x14ac:dyDescent="0.25">
      <c r="B6192" s="100"/>
      <c r="C6192" s="100"/>
      <c r="D6192" s="100"/>
      <c r="E6192" s="100"/>
      <c r="F6192" s="102"/>
      <c r="G6192" s="114"/>
    </row>
    <row r="6193" spans="2:7" ht="15.75" customHeight="1" x14ac:dyDescent="0.25">
      <c r="B6193" s="100"/>
      <c r="C6193" s="100"/>
      <c r="D6193" s="100"/>
      <c r="E6193" s="100"/>
      <c r="F6193" s="102"/>
      <c r="G6193" s="114"/>
    </row>
    <row r="6194" spans="2:7" ht="15.75" customHeight="1" x14ac:dyDescent="0.25">
      <c r="B6194" s="100"/>
      <c r="C6194" s="100"/>
      <c r="D6194" s="100"/>
      <c r="E6194" s="100"/>
      <c r="F6194" s="102"/>
      <c r="G6194" s="114"/>
    </row>
    <row r="6195" spans="2:7" ht="15.75" customHeight="1" x14ac:dyDescent="0.25">
      <c r="B6195" s="100"/>
      <c r="C6195" s="100"/>
      <c r="D6195" s="100"/>
      <c r="E6195" s="100"/>
      <c r="F6195" s="102"/>
      <c r="G6195" s="114"/>
    </row>
    <row r="6196" spans="2:7" ht="15.75" customHeight="1" x14ac:dyDescent="0.25">
      <c r="B6196" s="100"/>
      <c r="C6196" s="100"/>
      <c r="D6196" s="100"/>
      <c r="E6196" s="100"/>
      <c r="F6196" s="102"/>
      <c r="G6196" s="114"/>
    </row>
    <row r="6197" spans="2:7" ht="15.75" customHeight="1" x14ac:dyDescent="0.25">
      <c r="B6197" s="100"/>
      <c r="C6197" s="100"/>
      <c r="D6197" s="100"/>
      <c r="E6197" s="100"/>
      <c r="F6197" s="102"/>
      <c r="G6197" s="114"/>
    </row>
    <row r="6198" spans="2:7" ht="15.75" customHeight="1" x14ac:dyDescent="0.25">
      <c r="B6198" s="100"/>
      <c r="C6198" s="100"/>
      <c r="D6198" s="100"/>
      <c r="E6198" s="100"/>
      <c r="F6198" s="102"/>
      <c r="G6198" s="114"/>
    </row>
    <row r="6199" spans="2:7" ht="15.75" customHeight="1" x14ac:dyDescent="0.25">
      <c r="B6199" s="100"/>
      <c r="C6199" s="100"/>
      <c r="D6199" s="100"/>
      <c r="E6199" s="100"/>
      <c r="F6199" s="102"/>
      <c r="G6199" s="114"/>
    </row>
    <row r="6200" spans="2:7" ht="15.75" customHeight="1" x14ac:dyDescent="0.25">
      <c r="B6200" s="100"/>
      <c r="C6200" s="100"/>
      <c r="D6200" s="100"/>
      <c r="E6200" s="100"/>
      <c r="F6200" s="102"/>
      <c r="G6200" s="114"/>
    </row>
    <row r="6201" spans="2:7" ht="15.75" customHeight="1" x14ac:dyDescent="0.25">
      <c r="B6201" s="100"/>
      <c r="C6201" s="100"/>
      <c r="D6201" s="100"/>
      <c r="E6201" s="100"/>
      <c r="F6201" s="102"/>
      <c r="G6201" s="114"/>
    </row>
    <row r="6202" spans="2:7" ht="15.75" customHeight="1" x14ac:dyDescent="0.25">
      <c r="B6202" s="100"/>
      <c r="C6202" s="100"/>
      <c r="D6202" s="100"/>
      <c r="E6202" s="100"/>
      <c r="F6202" s="102"/>
      <c r="G6202" s="114"/>
    </row>
    <row r="6203" spans="2:7" ht="15.75" customHeight="1" x14ac:dyDescent="0.25">
      <c r="B6203" s="100"/>
      <c r="C6203" s="100"/>
      <c r="D6203" s="100"/>
      <c r="E6203" s="100"/>
      <c r="F6203" s="102"/>
      <c r="G6203" s="114"/>
    </row>
    <row r="6204" spans="2:7" ht="15.75" customHeight="1" x14ac:dyDescent="0.25">
      <c r="B6204" s="100"/>
      <c r="C6204" s="100"/>
      <c r="D6204" s="100"/>
      <c r="E6204" s="100"/>
      <c r="F6204" s="102"/>
      <c r="G6204" s="114"/>
    </row>
    <row r="6205" spans="2:7" ht="15.75" customHeight="1" x14ac:dyDescent="0.25">
      <c r="B6205" s="100"/>
      <c r="C6205" s="100"/>
      <c r="D6205" s="100"/>
      <c r="E6205" s="100"/>
      <c r="F6205" s="102"/>
      <c r="G6205" s="114"/>
    </row>
    <row r="6206" spans="2:7" ht="15.75" customHeight="1" x14ac:dyDescent="0.25">
      <c r="B6206" s="100"/>
      <c r="C6206" s="100"/>
      <c r="D6206" s="100"/>
      <c r="E6206" s="100"/>
      <c r="F6206" s="102"/>
      <c r="G6206" s="114"/>
    </row>
    <row r="6207" spans="2:7" ht="15.75" customHeight="1" x14ac:dyDescent="0.25">
      <c r="B6207" s="100"/>
      <c r="C6207" s="100"/>
      <c r="D6207" s="100"/>
      <c r="E6207" s="100"/>
      <c r="F6207" s="102"/>
      <c r="G6207" s="114"/>
    </row>
    <row r="6208" spans="2:7" ht="15.75" customHeight="1" x14ac:dyDescent="0.25">
      <c r="B6208" s="100"/>
      <c r="C6208" s="100"/>
      <c r="D6208" s="100"/>
      <c r="E6208" s="100"/>
      <c r="F6208" s="102"/>
      <c r="G6208" s="114"/>
    </row>
    <row r="6209" spans="2:7" ht="15.75" customHeight="1" x14ac:dyDescent="0.25">
      <c r="B6209" s="100"/>
      <c r="C6209" s="100"/>
      <c r="D6209" s="100"/>
      <c r="E6209" s="100"/>
      <c r="F6209" s="102"/>
      <c r="G6209" s="114"/>
    </row>
    <row r="6210" spans="2:7" ht="15.75" customHeight="1" x14ac:dyDescent="0.25">
      <c r="B6210" s="100"/>
      <c r="C6210" s="100"/>
      <c r="D6210" s="100"/>
      <c r="E6210" s="100"/>
      <c r="F6210" s="102"/>
      <c r="G6210" s="114"/>
    </row>
    <row r="6211" spans="2:7" ht="15.75" customHeight="1" x14ac:dyDescent="0.25">
      <c r="B6211" s="100"/>
      <c r="C6211" s="100"/>
      <c r="D6211" s="100"/>
      <c r="E6211" s="100"/>
      <c r="F6211" s="102"/>
      <c r="G6211" s="114"/>
    </row>
    <row r="6212" spans="2:7" ht="15.75" customHeight="1" x14ac:dyDescent="0.25">
      <c r="B6212" s="100"/>
      <c r="C6212" s="100"/>
      <c r="D6212" s="100"/>
      <c r="E6212" s="100"/>
      <c r="F6212" s="102"/>
      <c r="G6212" s="114"/>
    </row>
    <row r="6213" spans="2:7" ht="15.75" customHeight="1" x14ac:dyDescent="0.25">
      <c r="B6213" s="100"/>
      <c r="C6213" s="100"/>
      <c r="D6213" s="100"/>
      <c r="E6213" s="100"/>
      <c r="F6213" s="102"/>
      <c r="G6213" s="114"/>
    </row>
    <row r="6214" spans="2:7" ht="15.75" customHeight="1" x14ac:dyDescent="0.25">
      <c r="B6214" s="100"/>
      <c r="C6214" s="100"/>
      <c r="D6214" s="100"/>
      <c r="E6214" s="100"/>
      <c r="F6214" s="102"/>
      <c r="G6214" s="114"/>
    </row>
    <row r="6215" spans="2:7" ht="15.75" customHeight="1" x14ac:dyDescent="0.25">
      <c r="B6215" s="100"/>
      <c r="C6215" s="100"/>
      <c r="D6215" s="100"/>
      <c r="E6215" s="100"/>
      <c r="F6215" s="102"/>
      <c r="G6215" s="114"/>
    </row>
    <row r="6216" spans="2:7" ht="15.75" customHeight="1" x14ac:dyDescent="0.25">
      <c r="B6216" s="100"/>
      <c r="C6216" s="100"/>
      <c r="D6216" s="100"/>
      <c r="E6216" s="100"/>
      <c r="F6216" s="102"/>
      <c r="G6216" s="114"/>
    </row>
    <row r="6217" spans="2:7" ht="15.75" customHeight="1" x14ac:dyDescent="0.25">
      <c r="B6217" s="100"/>
      <c r="C6217" s="100"/>
      <c r="D6217" s="100"/>
      <c r="E6217" s="100"/>
      <c r="F6217" s="102"/>
      <c r="G6217" s="114"/>
    </row>
    <row r="6218" spans="2:7" ht="15.75" customHeight="1" x14ac:dyDescent="0.25">
      <c r="B6218" s="100"/>
      <c r="C6218" s="100"/>
      <c r="D6218" s="100"/>
      <c r="E6218" s="100"/>
      <c r="F6218" s="102"/>
      <c r="G6218" s="114"/>
    </row>
    <row r="6219" spans="2:7" ht="15.75" customHeight="1" x14ac:dyDescent="0.25">
      <c r="B6219" s="100"/>
      <c r="C6219" s="100"/>
      <c r="D6219" s="100"/>
      <c r="E6219" s="100"/>
      <c r="F6219" s="102"/>
      <c r="G6219" s="114"/>
    </row>
    <row r="6220" spans="2:7" ht="15.75" customHeight="1" x14ac:dyDescent="0.25">
      <c r="B6220" s="100"/>
      <c r="C6220" s="100"/>
      <c r="D6220" s="100"/>
      <c r="E6220" s="100"/>
      <c r="F6220" s="102"/>
      <c r="G6220" s="114"/>
    </row>
    <row r="6221" spans="2:7" ht="15.75" customHeight="1" x14ac:dyDescent="0.25">
      <c r="B6221" s="100"/>
      <c r="C6221" s="100"/>
      <c r="D6221" s="100"/>
      <c r="E6221" s="100"/>
      <c r="F6221" s="102"/>
      <c r="G6221" s="114"/>
    </row>
    <row r="6222" spans="2:7" ht="15.75" customHeight="1" x14ac:dyDescent="0.25">
      <c r="B6222" s="100"/>
      <c r="C6222" s="100"/>
      <c r="D6222" s="100"/>
      <c r="E6222" s="100"/>
      <c r="F6222" s="102"/>
      <c r="G6222" s="114"/>
    </row>
    <row r="6223" spans="2:7" ht="15.75" customHeight="1" x14ac:dyDescent="0.25">
      <c r="B6223" s="100"/>
      <c r="C6223" s="100"/>
      <c r="D6223" s="100"/>
      <c r="E6223" s="100"/>
      <c r="F6223" s="102"/>
      <c r="G6223" s="114"/>
    </row>
    <row r="6224" spans="2:7" ht="15.75" customHeight="1" x14ac:dyDescent="0.25">
      <c r="B6224" s="100"/>
      <c r="C6224" s="100"/>
      <c r="D6224" s="100"/>
      <c r="E6224" s="100"/>
      <c r="F6224" s="102"/>
      <c r="G6224" s="114"/>
    </row>
    <row r="6225" spans="2:7" ht="15.75" customHeight="1" x14ac:dyDescent="0.25">
      <c r="B6225" s="100"/>
      <c r="C6225" s="100"/>
      <c r="D6225" s="100"/>
      <c r="E6225" s="100"/>
      <c r="F6225" s="102"/>
      <c r="G6225" s="114"/>
    </row>
    <row r="6226" spans="2:7" ht="15.75" customHeight="1" x14ac:dyDescent="0.25">
      <c r="B6226" s="100"/>
      <c r="C6226" s="100"/>
      <c r="D6226" s="100"/>
      <c r="E6226" s="100"/>
      <c r="F6226" s="102"/>
      <c r="G6226" s="114"/>
    </row>
    <row r="6227" spans="2:7" ht="15.75" customHeight="1" x14ac:dyDescent="0.25">
      <c r="B6227" s="100"/>
      <c r="C6227" s="100"/>
      <c r="D6227" s="100"/>
      <c r="E6227" s="100"/>
      <c r="F6227" s="102"/>
      <c r="G6227" s="114"/>
    </row>
    <row r="6228" spans="2:7" ht="15.75" customHeight="1" x14ac:dyDescent="0.25">
      <c r="B6228" s="100"/>
      <c r="C6228" s="100"/>
      <c r="D6228" s="100"/>
      <c r="E6228" s="100"/>
      <c r="F6228" s="102"/>
      <c r="G6228" s="114"/>
    </row>
    <row r="6229" spans="2:7" ht="15.75" customHeight="1" x14ac:dyDescent="0.25">
      <c r="B6229" s="100"/>
      <c r="C6229" s="100"/>
      <c r="D6229" s="100"/>
      <c r="E6229" s="100"/>
      <c r="F6229" s="102"/>
      <c r="G6229" s="114"/>
    </row>
    <row r="6230" spans="2:7" ht="15.75" customHeight="1" x14ac:dyDescent="0.25">
      <c r="B6230" s="100"/>
      <c r="C6230" s="100"/>
      <c r="D6230" s="100"/>
      <c r="E6230" s="100"/>
      <c r="F6230" s="102"/>
      <c r="G6230" s="114"/>
    </row>
    <row r="6231" spans="2:7" ht="15.75" customHeight="1" x14ac:dyDescent="0.25">
      <c r="B6231" s="100"/>
      <c r="C6231" s="100"/>
      <c r="D6231" s="100"/>
      <c r="E6231" s="100"/>
      <c r="F6231" s="102"/>
      <c r="G6231" s="114"/>
    </row>
    <row r="6232" spans="2:7" ht="15.75" customHeight="1" x14ac:dyDescent="0.25">
      <c r="B6232" s="100"/>
      <c r="C6232" s="100"/>
      <c r="D6232" s="100"/>
      <c r="E6232" s="100"/>
      <c r="F6232" s="102"/>
      <c r="G6232" s="114"/>
    </row>
    <row r="6233" spans="2:7" ht="15.75" customHeight="1" x14ac:dyDescent="0.25">
      <c r="B6233" s="100"/>
      <c r="C6233" s="100"/>
      <c r="D6233" s="100"/>
      <c r="E6233" s="100"/>
      <c r="F6233" s="102"/>
      <c r="G6233" s="114"/>
    </row>
    <row r="6234" spans="2:7" ht="15.75" customHeight="1" x14ac:dyDescent="0.25">
      <c r="B6234" s="100"/>
      <c r="C6234" s="100"/>
      <c r="D6234" s="100"/>
      <c r="E6234" s="100"/>
      <c r="F6234" s="102"/>
      <c r="G6234" s="114"/>
    </row>
    <row r="6235" spans="2:7" ht="15.75" customHeight="1" x14ac:dyDescent="0.25">
      <c r="B6235" s="100"/>
      <c r="C6235" s="100"/>
      <c r="D6235" s="100"/>
      <c r="E6235" s="100"/>
      <c r="F6235" s="102"/>
      <c r="G6235" s="114"/>
    </row>
    <row r="6236" spans="2:7" ht="15.75" customHeight="1" x14ac:dyDescent="0.25">
      <c r="B6236" s="100"/>
      <c r="C6236" s="100"/>
      <c r="D6236" s="100"/>
      <c r="E6236" s="100"/>
      <c r="F6236" s="102"/>
      <c r="G6236" s="114"/>
    </row>
    <row r="6237" spans="2:7" ht="15.75" customHeight="1" x14ac:dyDescent="0.25">
      <c r="B6237" s="100"/>
      <c r="C6237" s="100"/>
      <c r="D6237" s="100"/>
      <c r="E6237" s="100"/>
      <c r="F6237" s="102"/>
      <c r="G6237" s="114"/>
    </row>
    <row r="6238" spans="2:7" ht="15.75" customHeight="1" x14ac:dyDescent="0.25">
      <c r="B6238" s="100"/>
      <c r="C6238" s="100"/>
      <c r="D6238" s="100"/>
      <c r="E6238" s="100"/>
      <c r="F6238" s="102"/>
      <c r="G6238" s="114"/>
    </row>
    <row r="6239" spans="2:7" ht="15.75" customHeight="1" x14ac:dyDescent="0.25">
      <c r="B6239" s="100"/>
      <c r="C6239" s="100"/>
      <c r="D6239" s="100"/>
      <c r="E6239" s="100"/>
      <c r="F6239" s="102"/>
      <c r="G6239" s="114"/>
    </row>
    <row r="6240" spans="2:7" ht="15.75" customHeight="1" x14ac:dyDescent="0.25">
      <c r="B6240" s="100"/>
      <c r="C6240" s="100"/>
      <c r="D6240" s="100"/>
      <c r="E6240" s="100"/>
      <c r="F6240" s="102"/>
      <c r="G6240" s="114"/>
    </row>
    <row r="6241" spans="2:7" ht="15.75" customHeight="1" x14ac:dyDescent="0.25">
      <c r="B6241" s="100"/>
      <c r="C6241" s="100"/>
      <c r="D6241" s="100"/>
      <c r="E6241" s="100"/>
      <c r="F6241" s="102"/>
      <c r="G6241" s="114"/>
    </row>
    <row r="6242" spans="2:7" ht="15.75" customHeight="1" x14ac:dyDescent="0.25">
      <c r="B6242" s="100"/>
      <c r="C6242" s="100"/>
      <c r="D6242" s="100"/>
      <c r="E6242" s="100"/>
      <c r="F6242" s="102"/>
      <c r="G6242" s="114"/>
    </row>
    <row r="6243" spans="2:7" ht="15.75" customHeight="1" x14ac:dyDescent="0.25">
      <c r="B6243" s="100"/>
      <c r="C6243" s="100"/>
      <c r="D6243" s="100"/>
      <c r="E6243" s="100"/>
      <c r="F6243" s="102"/>
      <c r="G6243" s="114"/>
    </row>
    <row r="6244" spans="2:7" ht="15.75" customHeight="1" x14ac:dyDescent="0.25">
      <c r="B6244" s="100"/>
      <c r="C6244" s="100"/>
      <c r="D6244" s="100"/>
      <c r="E6244" s="100"/>
      <c r="F6244" s="102"/>
      <c r="G6244" s="114"/>
    </row>
    <row r="6245" spans="2:7" ht="15.75" customHeight="1" x14ac:dyDescent="0.25">
      <c r="B6245" s="100"/>
      <c r="C6245" s="100"/>
      <c r="D6245" s="100"/>
      <c r="E6245" s="100"/>
      <c r="F6245" s="102"/>
      <c r="G6245" s="114"/>
    </row>
    <row r="6246" spans="2:7" ht="15.75" customHeight="1" x14ac:dyDescent="0.25">
      <c r="B6246" s="100"/>
      <c r="C6246" s="100"/>
      <c r="D6246" s="100"/>
      <c r="E6246" s="100"/>
      <c r="F6246" s="102"/>
      <c r="G6246" s="114"/>
    </row>
    <row r="6247" spans="2:7" ht="15.75" customHeight="1" x14ac:dyDescent="0.25">
      <c r="B6247" s="100"/>
      <c r="C6247" s="100"/>
      <c r="D6247" s="100"/>
      <c r="E6247" s="100"/>
      <c r="F6247" s="102"/>
      <c r="G6247" s="114"/>
    </row>
    <row r="6248" spans="2:7" ht="15.75" customHeight="1" x14ac:dyDescent="0.25">
      <c r="B6248" s="100"/>
      <c r="C6248" s="100"/>
      <c r="D6248" s="100"/>
      <c r="E6248" s="100"/>
      <c r="F6248" s="102"/>
      <c r="G6248" s="114"/>
    </row>
    <row r="6249" spans="2:7" ht="15.75" customHeight="1" x14ac:dyDescent="0.25">
      <c r="B6249" s="100"/>
      <c r="C6249" s="100"/>
      <c r="D6249" s="100"/>
      <c r="E6249" s="100"/>
      <c r="F6249" s="102"/>
      <c r="G6249" s="114"/>
    </row>
    <row r="6250" spans="2:7" ht="15.75" customHeight="1" x14ac:dyDescent="0.25">
      <c r="B6250" s="100"/>
      <c r="C6250" s="100"/>
      <c r="D6250" s="100"/>
      <c r="E6250" s="100"/>
      <c r="F6250" s="102"/>
      <c r="G6250" s="114"/>
    </row>
    <row r="6251" spans="2:7" ht="15.75" customHeight="1" x14ac:dyDescent="0.25">
      <c r="B6251" s="100"/>
      <c r="C6251" s="100"/>
      <c r="D6251" s="100"/>
      <c r="E6251" s="100"/>
      <c r="F6251" s="102"/>
      <c r="G6251" s="114"/>
    </row>
    <row r="6252" spans="2:7" ht="15.75" customHeight="1" x14ac:dyDescent="0.25">
      <c r="B6252" s="100"/>
      <c r="C6252" s="100"/>
      <c r="D6252" s="100"/>
      <c r="E6252" s="100"/>
      <c r="F6252" s="102"/>
      <c r="G6252" s="114"/>
    </row>
    <row r="6253" spans="2:7" ht="15.75" customHeight="1" x14ac:dyDescent="0.25">
      <c r="B6253" s="100"/>
      <c r="C6253" s="100"/>
      <c r="D6253" s="100"/>
      <c r="E6253" s="100"/>
      <c r="F6253" s="102"/>
      <c r="G6253" s="114"/>
    </row>
    <row r="6254" spans="2:7" ht="15.75" customHeight="1" x14ac:dyDescent="0.25">
      <c r="B6254" s="100"/>
      <c r="C6254" s="100"/>
      <c r="D6254" s="100"/>
      <c r="E6254" s="100"/>
      <c r="F6254" s="102"/>
      <c r="G6254" s="114"/>
    </row>
    <row r="6255" spans="2:7" ht="15.75" customHeight="1" x14ac:dyDescent="0.25">
      <c r="B6255" s="100"/>
      <c r="C6255" s="100"/>
      <c r="D6255" s="100"/>
      <c r="E6255" s="100"/>
      <c r="F6255" s="102"/>
      <c r="G6255" s="114"/>
    </row>
    <row r="6256" spans="2:7" ht="15.75" customHeight="1" x14ac:dyDescent="0.25">
      <c r="B6256" s="100"/>
      <c r="C6256" s="100"/>
      <c r="D6256" s="100"/>
      <c r="E6256" s="100"/>
      <c r="F6256" s="102"/>
      <c r="G6256" s="114"/>
    </row>
    <row r="6257" spans="2:7" ht="15.75" customHeight="1" x14ac:dyDescent="0.25">
      <c r="B6257" s="100"/>
      <c r="C6257" s="100"/>
      <c r="D6257" s="100"/>
      <c r="E6257" s="100"/>
      <c r="F6257" s="102"/>
      <c r="G6257" s="114"/>
    </row>
    <row r="6258" spans="2:7" ht="15.75" customHeight="1" x14ac:dyDescent="0.25">
      <c r="B6258" s="100"/>
      <c r="C6258" s="100"/>
      <c r="D6258" s="100"/>
      <c r="E6258" s="100"/>
      <c r="F6258" s="102"/>
      <c r="G6258" s="114"/>
    </row>
    <row r="6259" spans="2:7" ht="15.75" customHeight="1" x14ac:dyDescent="0.25">
      <c r="B6259" s="100"/>
      <c r="C6259" s="100"/>
      <c r="D6259" s="100"/>
      <c r="E6259" s="100"/>
      <c r="F6259" s="102"/>
      <c r="G6259" s="114"/>
    </row>
    <row r="6260" spans="2:7" ht="15.75" customHeight="1" x14ac:dyDescent="0.25">
      <c r="B6260" s="100"/>
      <c r="C6260" s="100"/>
      <c r="D6260" s="100"/>
      <c r="E6260" s="100"/>
      <c r="F6260" s="102"/>
      <c r="G6260" s="114"/>
    </row>
    <row r="6261" spans="2:7" ht="15.75" customHeight="1" x14ac:dyDescent="0.25">
      <c r="B6261" s="100"/>
      <c r="C6261" s="100"/>
      <c r="D6261" s="100"/>
      <c r="E6261" s="100"/>
      <c r="F6261" s="102"/>
      <c r="G6261" s="114"/>
    </row>
    <row r="6262" spans="2:7" ht="15.75" customHeight="1" x14ac:dyDescent="0.25">
      <c r="B6262" s="100"/>
      <c r="C6262" s="100"/>
      <c r="D6262" s="100"/>
      <c r="E6262" s="100"/>
      <c r="F6262" s="102"/>
      <c r="G6262" s="114"/>
    </row>
    <row r="6263" spans="2:7" ht="15.75" customHeight="1" x14ac:dyDescent="0.25">
      <c r="B6263" s="100"/>
      <c r="C6263" s="100"/>
      <c r="D6263" s="100"/>
      <c r="E6263" s="100"/>
      <c r="F6263" s="102"/>
      <c r="G6263" s="114"/>
    </row>
    <row r="6264" spans="2:7" ht="15.75" customHeight="1" x14ac:dyDescent="0.25">
      <c r="B6264" s="100"/>
      <c r="C6264" s="100"/>
      <c r="D6264" s="100"/>
      <c r="E6264" s="100"/>
      <c r="F6264" s="102"/>
      <c r="G6264" s="114"/>
    </row>
    <row r="6265" spans="2:7" ht="15.75" customHeight="1" x14ac:dyDescent="0.25">
      <c r="B6265" s="100"/>
      <c r="C6265" s="100"/>
      <c r="D6265" s="100"/>
      <c r="E6265" s="100"/>
      <c r="F6265" s="102"/>
      <c r="G6265" s="114"/>
    </row>
    <row r="6266" spans="2:7" ht="15.75" customHeight="1" x14ac:dyDescent="0.25">
      <c r="B6266" s="100"/>
      <c r="C6266" s="100"/>
      <c r="D6266" s="100"/>
      <c r="E6266" s="100"/>
      <c r="F6266" s="102"/>
      <c r="G6266" s="114"/>
    </row>
    <row r="6267" spans="2:7" ht="15.75" customHeight="1" x14ac:dyDescent="0.25">
      <c r="B6267" s="100"/>
      <c r="C6267" s="100"/>
      <c r="D6267" s="100"/>
      <c r="E6267" s="100"/>
      <c r="F6267" s="102"/>
      <c r="G6267" s="114"/>
    </row>
    <row r="6268" spans="2:7" ht="15.75" customHeight="1" x14ac:dyDescent="0.25">
      <c r="B6268" s="100"/>
      <c r="C6268" s="100"/>
      <c r="D6268" s="100"/>
      <c r="E6268" s="100"/>
      <c r="F6268" s="102"/>
      <c r="G6268" s="114"/>
    </row>
    <row r="6269" spans="2:7" ht="15.75" customHeight="1" x14ac:dyDescent="0.25">
      <c r="B6269" s="100"/>
      <c r="C6269" s="100"/>
      <c r="D6269" s="100"/>
      <c r="E6269" s="100"/>
      <c r="F6269" s="102"/>
      <c r="G6269" s="114"/>
    </row>
    <row r="6270" spans="2:7" ht="15.75" customHeight="1" x14ac:dyDescent="0.25">
      <c r="B6270" s="100"/>
      <c r="C6270" s="100"/>
      <c r="D6270" s="100"/>
      <c r="E6270" s="100"/>
      <c r="F6270" s="102"/>
      <c r="G6270" s="114"/>
    </row>
    <row r="6271" spans="2:7" ht="15.75" customHeight="1" x14ac:dyDescent="0.25">
      <c r="B6271" s="100"/>
      <c r="C6271" s="100"/>
      <c r="D6271" s="100"/>
      <c r="E6271" s="100"/>
      <c r="F6271" s="102"/>
      <c r="G6271" s="114"/>
    </row>
    <row r="6272" spans="2:7" ht="15.75" customHeight="1" x14ac:dyDescent="0.25">
      <c r="B6272" s="100"/>
      <c r="C6272" s="100"/>
      <c r="D6272" s="100"/>
      <c r="E6272" s="100"/>
      <c r="F6272" s="102"/>
      <c r="G6272" s="114"/>
    </row>
    <row r="6273" spans="2:7" ht="15.75" customHeight="1" x14ac:dyDescent="0.25">
      <c r="B6273" s="100"/>
      <c r="C6273" s="100"/>
      <c r="D6273" s="100"/>
      <c r="E6273" s="100"/>
      <c r="F6273" s="102"/>
      <c r="G6273" s="114"/>
    </row>
    <row r="6274" spans="2:7" ht="15.75" customHeight="1" x14ac:dyDescent="0.25">
      <c r="B6274" s="100"/>
      <c r="C6274" s="100"/>
      <c r="D6274" s="100"/>
      <c r="E6274" s="100"/>
      <c r="F6274" s="102"/>
      <c r="G6274" s="114"/>
    </row>
    <row r="6275" spans="2:7" ht="15.75" customHeight="1" x14ac:dyDescent="0.25">
      <c r="B6275" s="100"/>
      <c r="C6275" s="100"/>
      <c r="D6275" s="100"/>
      <c r="E6275" s="100"/>
      <c r="F6275" s="102"/>
      <c r="G6275" s="114"/>
    </row>
    <row r="6276" spans="2:7" ht="15.75" customHeight="1" x14ac:dyDescent="0.25">
      <c r="B6276" s="100"/>
      <c r="C6276" s="100"/>
      <c r="D6276" s="100"/>
      <c r="E6276" s="100"/>
      <c r="F6276" s="102"/>
      <c r="G6276" s="114"/>
    </row>
    <row r="6277" spans="2:7" ht="15.75" customHeight="1" x14ac:dyDescent="0.25">
      <c r="B6277" s="100"/>
      <c r="C6277" s="100"/>
      <c r="D6277" s="100"/>
      <c r="E6277" s="100"/>
      <c r="F6277" s="102"/>
      <c r="G6277" s="114"/>
    </row>
    <row r="6278" spans="2:7" ht="15.75" customHeight="1" x14ac:dyDescent="0.25">
      <c r="B6278" s="100"/>
      <c r="C6278" s="100"/>
      <c r="D6278" s="100"/>
      <c r="E6278" s="100"/>
      <c r="F6278" s="102"/>
      <c r="G6278" s="114"/>
    </row>
    <row r="6279" spans="2:7" ht="15.75" customHeight="1" x14ac:dyDescent="0.25">
      <c r="B6279" s="100"/>
      <c r="C6279" s="100"/>
      <c r="D6279" s="100"/>
      <c r="E6279" s="100"/>
      <c r="F6279" s="102"/>
      <c r="G6279" s="114"/>
    </row>
    <row r="6280" spans="2:7" ht="15.75" customHeight="1" x14ac:dyDescent="0.25">
      <c r="B6280" s="100"/>
      <c r="C6280" s="100"/>
      <c r="D6280" s="100"/>
      <c r="E6280" s="100"/>
      <c r="F6280" s="102"/>
      <c r="G6280" s="114"/>
    </row>
    <row r="6281" spans="2:7" ht="15.75" customHeight="1" x14ac:dyDescent="0.25">
      <c r="B6281" s="100"/>
      <c r="C6281" s="100"/>
      <c r="D6281" s="100"/>
      <c r="E6281" s="100"/>
      <c r="F6281" s="102"/>
      <c r="G6281" s="114"/>
    </row>
    <row r="6282" spans="2:7" ht="15.75" customHeight="1" x14ac:dyDescent="0.25">
      <c r="B6282" s="100"/>
      <c r="C6282" s="100"/>
      <c r="D6282" s="100"/>
      <c r="E6282" s="100"/>
      <c r="F6282" s="102"/>
      <c r="G6282" s="114"/>
    </row>
    <row r="6283" spans="2:7" ht="15.75" customHeight="1" x14ac:dyDescent="0.25">
      <c r="B6283" s="100"/>
      <c r="C6283" s="100"/>
      <c r="D6283" s="100"/>
      <c r="E6283" s="100"/>
      <c r="F6283" s="102"/>
      <c r="G6283" s="114"/>
    </row>
    <row r="6284" spans="2:7" ht="15.75" customHeight="1" x14ac:dyDescent="0.25">
      <c r="B6284" s="100"/>
      <c r="C6284" s="100"/>
      <c r="D6284" s="100"/>
      <c r="E6284" s="100"/>
      <c r="F6284" s="102"/>
      <c r="G6284" s="114"/>
    </row>
    <row r="6285" spans="2:7" ht="15.75" customHeight="1" x14ac:dyDescent="0.25">
      <c r="B6285" s="100"/>
      <c r="C6285" s="100"/>
      <c r="D6285" s="100"/>
      <c r="E6285" s="100"/>
      <c r="F6285" s="102"/>
      <c r="G6285" s="114"/>
    </row>
    <row r="6286" spans="2:7" ht="15.75" customHeight="1" x14ac:dyDescent="0.25">
      <c r="B6286" s="100"/>
      <c r="C6286" s="100"/>
      <c r="D6286" s="100"/>
      <c r="E6286" s="100"/>
      <c r="F6286" s="102"/>
      <c r="G6286" s="114"/>
    </row>
    <row r="6287" spans="2:7" ht="15.75" customHeight="1" x14ac:dyDescent="0.25">
      <c r="B6287" s="100"/>
      <c r="C6287" s="100"/>
      <c r="D6287" s="100"/>
      <c r="E6287" s="100"/>
      <c r="F6287" s="102"/>
      <c r="G6287" s="114"/>
    </row>
    <row r="6288" spans="2:7" ht="15.75" customHeight="1" x14ac:dyDescent="0.25">
      <c r="B6288" s="100"/>
      <c r="C6288" s="100"/>
      <c r="D6288" s="100"/>
      <c r="E6288" s="100"/>
      <c r="F6288" s="102"/>
      <c r="G6288" s="114"/>
    </row>
    <row r="6289" spans="2:7" ht="15.75" customHeight="1" x14ac:dyDescent="0.25">
      <c r="B6289" s="100"/>
      <c r="C6289" s="100"/>
      <c r="D6289" s="100"/>
      <c r="E6289" s="100"/>
      <c r="F6289" s="102"/>
      <c r="G6289" s="114"/>
    </row>
    <row r="6290" spans="2:7" ht="15.75" customHeight="1" x14ac:dyDescent="0.25">
      <c r="B6290" s="100"/>
      <c r="C6290" s="100"/>
      <c r="D6290" s="100"/>
      <c r="E6290" s="100"/>
      <c r="F6290" s="102"/>
      <c r="G6290" s="114"/>
    </row>
    <row r="6291" spans="2:7" ht="15.75" customHeight="1" x14ac:dyDescent="0.25">
      <c r="B6291" s="100"/>
      <c r="C6291" s="100"/>
      <c r="D6291" s="100"/>
      <c r="E6291" s="100"/>
      <c r="F6291" s="102"/>
      <c r="G6291" s="114"/>
    </row>
    <row r="6292" spans="2:7" ht="15.75" customHeight="1" x14ac:dyDescent="0.25">
      <c r="B6292" s="100"/>
      <c r="C6292" s="100"/>
      <c r="D6292" s="100"/>
      <c r="E6292" s="100"/>
      <c r="F6292" s="102"/>
      <c r="G6292" s="114"/>
    </row>
    <row r="6293" spans="2:7" ht="15.75" customHeight="1" x14ac:dyDescent="0.25">
      <c r="B6293" s="100"/>
      <c r="C6293" s="100"/>
      <c r="D6293" s="100"/>
      <c r="E6293" s="100"/>
      <c r="F6293" s="102"/>
      <c r="G6293" s="114"/>
    </row>
    <row r="6294" spans="2:7" ht="15.75" customHeight="1" x14ac:dyDescent="0.25">
      <c r="B6294" s="100"/>
      <c r="C6294" s="100"/>
      <c r="D6294" s="100"/>
      <c r="E6294" s="100"/>
      <c r="F6294" s="102"/>
      <c r="G6294" s="114"/>
    </row>
    <row r="6295" spans="2:7" ht="15.75" customHeight="1" x14ac:dyDescent="0.25">
      <c r="B6295" s="100"/>
      <c r="C6295" s="100"/>
      <c r="D6295" s="100"/>
      <c r="E6295" s="100"/>
      <c r="F6295" s="102"/>
      <c r="G6295" s="114"/>
    </row>
    <row r="6296" spans="2:7" ht="15.75" customHeight="1" x14ac:dyDescent="0.25">
      <c r="B6296" s="100"/>
      <c r="C6296" s="100"/>
      <c r="D6296" s="100"/>
      <c r="E6296" s="100"/>
      <c r="F6296" s="102"/>
      <c r="G6296" s="114"/>
    </row>
    <row r="6297" spans="2:7" ht="15.75" customHeight="1" x14ac:dyDescent="0.25">
      <c r="B6297" s="100"/>
      <c r="C6297" s="100"/>
      <c r="D6297" s="100"/>
      <c r="E6297" s="100"/>
      <c r="F6297" s="102"/>
      <c r="G6297" s="114"/>
    </row>
    <row r="6298" spans="2:7" ht="15.75" customHeight="1" x14ac:dyDescent="0.25">
      <c r="B6298" s="100"/>
      <c r="C6298" s="100"/>
      <c r="D6298" s="100"/>
      <c r="E6298" s="100"/>
      <c r="F6298" s="102"/>
      <c r="G6298" s="114"/>
    </row>
    <row r="6299" spans="2:7" ht="15.75" customHeight="1" x14ac:dyDescent="0.25">
      <c r="B6299" s="100"/>
      <c r="C6299" s="100"/>
      <c r="D6299" s="100"/>
      <c r="E6299" s="100"/>
      <c r="F6299" s="102"/>
      <c r="G6299" s="114"/>
    </row>
    <row r="6300" spans="2:7" ht="15.75" customHeight="1" x14ac:dyDescent="0.25">
      <c r="B6300" s="100"/>
      <c r="C6300" s="100"/>
      <c r="D6300" s="100"/>
      <c r="E6300" s="100"/>
      <c r="F6300" s="102"/>
      <c r="G6300" s="114"/>
    </row>
    <row r="6301" spans="2:7" ht="15.75" customHeight="1" x14ac:dyDescent="0.25">
      <c r="B6301" s="100"/>
      <c r="C6301" s="100"/>
      <c r="D6301" s="100"/>
      <c r="E6301" s="100"/>
      <c r="F6301" s="102"/>
      <c r="G6301" s="114"/>
    </row>
    <row r="6302" spans="2:7" ht="15.75" customHeight="1" x14ac:dyDescent="0.25">
      <c r="B6302" s="100"/>
      <c r="C6302" s="100"/>
      <c r="D6302" s="100"/>
      <c r="E6302" s="100"/>
      <c r="F6302" s="102"/>
      <c r="G6302" s="114"/>
    </row>
    <row r="6303" spans="2:7" ht="15.75" customHeight="1" x14ac:dyDescent="0.25">
      <c r="B6303" s="100"/>
      <c r="C6303" s="100"/>
      <c r="D6303" s="100"/>
      <c r="E6303" s="100"/>
      <c r="F6303" s="102"/>
      <c r="G6303" s="114"/>
    </row>
    <row r="6304" spans="2:7" ht="15.75" customHeight="1" x14ac:dyDescent="0.25">
      <c r="B6304" s="100"/>
      <c r="C6304" s="100"/>
      <c r="D6304" s="100"/>
      <c r="E6304" s="100"/>
      <c r="F6304" s="102"/>
      <c r="G6304" s="114"/>
    </row>
    <row r="6305" spans="2:7" ht="15.75" customHeight="1" x14ac:dyDescent="0.25">
      <c r="B6305" s="100"/>
      <c r="C6305" s="100"/>
      <c r="D6305" s="100"/>
      <c r="E6305" s="100"/>
      <c r="F6305" s="102"/>
      <c r="G6305" s="114"/>
    </row>
    <row r="6306" spans="2:7" ht="15.75" customHeight="1" x14ac:dyDescent="0.25">
      <c r="B6306" s="100"/>
      <c r="C6306" s="100"/>
      <c r="D6306" s="100"/>
      <c r="E6306" s="100"/>
      <c r="F6306" s="102"/>
      <c r="G6306" s="114"/>
    </row>
    <row r="6307" spans="2:7" ht="15.75" customHeight="1" x14ac:dyDescent="0.25">
      <c r="B6307" s="100"/>
      <c r="C6307" s="100"/>
      <c r="D6307" s="100"/>
      <c r="E6307" s="100"/>
      <c r="F6307" s="102"/>
      <c r="G6307" s="114"/>
    </row>
    <row r="6308" spans="2:7" ht="15.75" customHeight="1" x14ac:dyDescent="0.25">
      <c r="B6308" s="100"/>
      <c r="C6308" s="100"/>
      <c r="D6308" s="100"/>
      <c r="E6308" s="100"/>
      <c r="F6308" s="102"/>
      <c r="G6308" s="114"/>
    </row>
    <row r="6309" spans="2:7" ht="15.75" customHeight="1" x14ac:dyDescent="0.25">
      <c r="B6309" s="100"/>
      <c r="C6309" s="100"/>
      <c r="D6309" s="100"/>
      <c r="E6309" s="100"/>
      <c r="F6309" s="102"/>
      <c r="G6309" s="114"/>
    </row>
    <row r="6310" spans="2:7" ht="15.75" customHeight="1" x14ac:dyDescent="0.25">
      <c r="B6310" s="100"/>
      <c r="C6310" s="100"/>
      <c r="D6310" s="100"/>
      <c r="E6310" s="100"/>
      <c r="F6310" s="102"/>
      <c r="G6310" s="114"/>
    </row>
    <row r="6311" spans="2:7" ht="15.75" customHeight="1" x14ac:dyDescent="0.25">
      <c r="B6311" s="100"/>
      <c r="C6311" s="100"/>
      <c r="D6311" s="100"/>
      <c r="E6311" s="100"/>
      <c r="F6311" s="102"/>
      <c r="G6311" s="114"/>
    </row>
    <row r="6312" spans="2:7" ht="15.75" customHeight="1" x14ac:dyDescent="0.25">
      <c r="B6312" s="100"/>
      <c r="C6312" s="100"/>
      <c r="D6312" s="100"/>
      <c r="E6312" s="100"/>
      <c r="F6312" s="102"/>
      <c r="G6312" s="114"/>
    </row>
    <row r="6313" spans="2:7" ht="15.75" customHeight="1" x14ac:dyDescent="0.25">
      <c r="B6313" s="100"/>
      <c r="C6313" s="100"/>
      <c r="D6313" s="100"/>
      <c r="E6313" s="100"/>
      <c r="F6313" s="102"/>
      <c r="G6313" s="114"/>
    </row>
    <row r="6314" spans="2:7" ht="15.75" customHeight="1" x14ac:dyDescent="0.25">
      <c r="B6314" s="100"/>
      <c r="C6314" s="100"/>
      <c r="D6314" s="100"/>
      <c r="E6314" s="100"/>
      <c r="F6314" s="102"/>
      <c r="G6314" s="114"/>
    </row>
    <row r="6315" spans="2:7" ht="15.75" customHeight="1" x14ac:dyDescent="0.25">
      <c r="B6315" s="100"/>
      <c r="C6315" s="100"/>
      <c r="D6315" s="100"/>
      <c r="E6315" s="100"/>
      <c r="F6315" s="102"/>
      <c r="G6315" s="114"/>
    </row>
    <row r="6316" spans="2:7" ht="15.75" customHeight="1" x14ac:dyDescent="0.25">
      <c r="B6316" s="100"/>
      <c r="C6316" s="100"/>
      <c r="D6316" s="100"/>
      <c r="E6316" s="100"/>
      <c r="F6316" s="102"/>
      <c r="G6316" s="114"/>
    </row>
    <row r="6317" spans="2:7" ht="15.75" customHeight="1" x14ac:dyDescent="0.25">
      <c r="B6317" s="100"/>
      <c r="C6317" s="100"/>
      <c r="D6317" s="100"/>
      <c r="E6317" s="100"/>
      <c r="F6317" s="102"/>
      <c r="G6317" s="114"/>
    </row>
    <row r="6318" spans="2:7" ht="15.75" customHeight="1" x14ac:dyDescent="0.25">
      <c r="B6318" s="100"/>
      <c r="C6318" s="100"/>
      <c r="D6318" s="100"/>
      <c r="E6318" s="100"/>
      <c r="F6318" s="102"/>
      <c r="G6318" s="114"/>
    </row>
    <row r="6319" spans="2:7" ht="15.75" customHeight="1" x14ac:dyDescent="0.25">
      <c r="B6319" s="100"/>
      <c r="C6319" s="100"/>
      <c r="D6319" s="100"/>
      <c r="E6319" s="100"/>
      <c r="F6319" s="102"/>
      <c r="G6319" s="114"/>
    </row>
    <row r="6320" spans="2:7" ht="15.75" customHeight="1" x14ac:dyDescent="0.25">
      <c r="B6320" s="100"/>
      <c r="C6320" s="100"/>
      <c r="D6320" s="100"/>
      <c r="E6320" s="100"/>
      <c r="F6320" s="102"/>
      <c r="G6320" s="114"/>
    </row>
    <row r="6321" spans="2:7" ht="15.75" customHeight="1" x14ac:dyDescent="0.25">
      <c r="B6321" s="100"/>
      <c r="C6321" s="100"/>
      <c r="D6321" s="100"/>
      <c r="E6321" s="100"/>
      <c r="F6321" s="102"/>
      <c r="G6321" s="114"/>
    </row>
    <row r="6322" spans="2:7" ht="15.75" customHeight="1" x14ac:dyDescent="0.25">
      <c r="B6322" s="100"/>
      <c r="C6322" s="100"/>
      <c r="D6322" s="100"/>
      <c r="E6322" s="100"/>
      <c r="F6322" s="102"/>
      <c r="G6322" s="114"/>
    </row>
    <row r="6323" spans="2:7" ht="15.75" customHeight="1" x14ac:dyDescent="0.25">
      <c r="B6323" s="100"/>
      <c r="C6323" s="100"/>
      <c r="D6323" s="100"/>
      <c r="E6323" s="100"/>
      <c r="F6323" s="102"/>
      <c r="G6323" s="114"/>
    </row>
    <row r="6324" spans="2:7" ht="15.75" customHeight="1" x14ac:dyDescent="0.25">
      <c r="B6324" s="100"/>
      <c r="C6324" s="100"/>
      <c r="D6324" s="100"/>
      <c r="E6324" s="100"/>
      <c r="F6324" s="102"/>
      <c r="G6324" s="114"/>
    </row>
    <row r="6325" spans="2:7" ht="15.75" customHeight="1" x14ac:dyDescent="0.25">
      <c r="B6325" s="100"/>
      <c r="C6325" s="100"/>
      <c r="D6325" s="100"/>
      <c r="E6325" s="100"/>
      <c r="F6325" s="102"/>
      <c r="G6325" s="114"/>
    </row>
    <row r="6326" spans="2:7" ht="15.75" customHeight="1" x14ac:dyDescent="0.25">
      <c r="B6326" s="100"/>
      <c r="C6326" s="100"/>
      <c r="D6326" s="100"/>
      <c r="E6326" s="100"/>
      <c r="F6326" s="102"/>
      <c r="G6326" s="114"/>
    </row>
    <row r="6327" spans="2:7" ht="15.75" customHeight="1" x14ac:dyDescent="0.25">
      <c r="B6327" s="100"/>
      <c r="C6327" s="100"/>
      <c r="D6327" s="100"/>
      <c r="E6327" s="100"/>
      <c r="F6327" s="102"/>
      <c r="G6327" s="114"/>
    </row>
    <row r="6328" spans="2:7" ht="15.75" customHeight="1" x14ac:dyDescent="0.25">
      <c r="B6328" s="100"/>
      <c r="C6328" s="100"/>
      <c r="D6328" s="100"/>
      <c r="E6328" s="100"/>
      <c r="F6328" s="102"/>
      <c r="G6328" s="114"/>
    </row>
    <row r="6329" spans="2:7" ht="15.75" customHeight="1" x14ac:dyDescent="0.25">
      <c r="B6329" s="100"/>
      <c r="C6329" s="100"/>
      <c r="D6329" s="100"/>
      <c r="E6329" s="100"/>
      <c r="F6329" s="102"/>
      <c r="G6329" s="114"/>
    </row>
    <row r="6330" spans="2:7" ht="15.75" customHeight="1" x14ac:dyDescent="0.25">
      <c r="B6330" s="100"/>
      <c r="C6330" s="100"/>
      <c r="D6330" s="100"/>
      <c r="E6330" s="100"/>
      <c r="F6330" s="102"/>
      <c r="G6330" s="114"/>
    </row>
    <row r="6331" spans="2:7" ht="15.75" customHeight="1" x14ac:dyDescent="0.25">
      <c r="B6331" s="100"/>
      <c r="C6331" s="100"/>
      <c r="D6331" s="100"/>
      <c r="E6331" s="100"/>
      <c r="F6331" s="102"/>
      <c r="G6331" s="114"/>
    </row>
    <row r="6332" spans="2:7" ht="15.75" customHeight="1" x14ac:dyDescent="0.25">
      <c r="B6332" s="100"/>
      <c r="C6332" s="100"/>
      <c r="D6332" s="100"/>
      <c r="E6332" s="100"/>
      <c r="F6332" s="102"/>
      <c r="G6332" s="114"/>
    </row>
    <row r="6333" spans="2:7" ht="15.75" customHeight="1" x14ac:dyDescent="0.25">
      <c r="B6333" s="100"/>
      <c r="C6333" s="100"/>
      <c r="D6333" s="100"/>
      <c r="E6333" s="100"/>
      <c r="F6333" s="102"/>
      <c r="G6333" s="114"/>
    </row>
    <row r="6334" spans="2:7" ht="15.75" customHeight="1" x14ac:dyDescent="0.25">
      <c r="B6334" s="100"/>
      <c r="C6334" s="100"/>
      <c r="D6334" s="100"/>
      <c r="E6334" s="100"/>
      <c r="F6334" s="102"/>
      <c r="G6334" s="114"/>
    </row>
    <row r="6335" spans="2:7" ht="15.75" customHeight="1" x14ac:dyDescent="0.25">
      <c r="B6335" s="100"/>
      <c r="C6335" s="100"/>
      <c r="D6335" s="100"/>
      <c r="E6335" s="100"/>
      <c r="F6335" s="102"/>
      <c r="G6335" s="114"/>
    </row>
    <row r="6336" spans="2:7" ht="15.75" customHeight="1" x14ac:dyDescent="0.25">
      <c r="B6336" s="100"/>
      <c r="C6336" s="100"/>
      <c r="D6336" s="100"/>
      <c r="E6336" s="100"/>
      <c r="F6336" s="102"/>
      <c r="G6336" s="114"/>
    </row>
    <row r="6337" spans="2:7" ht="15.75" customHeight="1" x14ac:dyDescent="0.25">
      <c r="B6337" s="100"/>
      <c r="C6337" s="100"/>
      <c r="D6337" s="100"/>
      <c r="E6337" s="100"/>
      <c r="F6337" s="102"/>
      <c r="G6337" s="114"/>
    </row>
    <row r="6338" spans="2:7" ht="15.75" customHeight="1" x14ac:dyDescent="0.25">
      <c r="B6338" s="100"/>
      <c r="C6338" s="100"/>
      <c r="D6338" s="100"/>
      <c r="E6338" s="100"/>
      <c r="F6338" s="102"/>
      <c r="G6338" s="114"/>
    </row>
    <row r="6339" spans="2:7" ht="15.75" customHeight="1" x14ac:dyDescent="0.25">
      <c r="B6339" s="100"/>
      <c r="C6339" s="100"/>
      <c r="D6339" s="100"/>
      <c r="E6339" s="100"/>
      <c r="F6339" s="102"/>
      <c r="G6339" s="114"/>
    </row>
    <row r="6340" spans="2:7" ht="15.75" customHeight="1" x14ac:dyDescent="0.25">
      <c r="B6340" s="100"/>
      <c r="C6340" s="100"/>
      <c r="D6340" s="100"/>
      <c r="E6340" s="100"/>
      <c r="F6340" s="102"/>
      <c r="G6340" s="114"/>
    </row>
    <row r="6341" spans="2:7" ht="15.75" customHeight="1" x14ac:dyDescent="0.25">
      <c r="B6341" s="100"/>
      <c r="C6341" s="100"/>
      <c r="D6341" s="100"/>
      <c r="E6341" s="100"/>
      <c r="F6341" s="102"/>
      <c r="G6341" s="114"/>
    </row>
    <row r="6342" spans="2:7" ht="15.75" customHeight="1" x14ac:dyDescent="0.25">
      <c r="B6342" s="100"/>
      <c r="C6342" s="100"/>
      <c r="D6342" s="100"/>
      <c r="E6342" s="100"/>
      <c r="F6342" s="102"/>
      <c r="G6342" s="114"/>
    </row>
    <row r="6343" spans="2:7" ht="15.75" customHeight="1" x14ac:dyDescent="0.25">
      <c r="B6343" s="100"/>
      <c r="C6343" s="100"/>
      <c r="D6343" s="100"/>
      <c r="E6343" s="100"/>
      <c r="F6343" s="102"/>
      <c r="G6343" s="114"/>
    </row>
    <row r="6344" spans="2:7" ht="15.75" customHeight="1" x14ac:dyDescent="0.25">
      <c r="B6344" s="100"/>
      <c r="C6344" s="100"/>
      <c r="D6344" s="100"/>
      <c r="E6344" s="100"/>
      <c r="F6344" s="102"/>
      <c r="G6344" s="114"/>
    </row>
    <row r="6345" spans="2:7" ht="15.75" customHeight="1" x14ac:dyDescent="0.25">
      <c r="B6345" s="100"/>
      <c r="C6345" s="100"/>
      <c r="D6345" s="100"/>
      <c r="E6345" s="100"/>
      <c r="F6345" s="102"/>
      <c r="G6345" s="114"/>
    </row>
    <row r="6346" spans="2:7" ht="15.75" customHeight="1" x14ac:dyDescent="0.25">
      <c r="B6346" s="100"/>
      <c r="C6346" s="100"/>
      <c r="D6346" s="100"/>
      <c r="E6346" s="100"/>
      <c r="F6346" s="102"/>
      <c r="G6346" s="114"/>
    </row>
    <row r="6347" spans="2:7" ht="15.75" customHeight="1" x14ac:dyDescent="0.25">
      <c r="B6347" s="100"/>
      <c r="C6347" s="100"/>
      <c r="D6347" s="100"/>
      <c r="E6347" s="100"/>
      <c r="F6347" s="102"/>
      <c r="G6347" s="114"/>
    </row>
    <row r="6348" spans="2:7" ht="15.75" customHeight="1" x14ac:dyDescent="0.25">
      <c r="B6348" s="100"/>
      <c r="C6348" s="100"/>
      <c r="D6348" s="100"/>
      <c r="E6348" s="100"/>
      <c r="F6348" s="102"/>
      <c r="G6348" s="114"/>
    </row>
    <row r="6349" spans="2:7" ht="15.75" customHeight="1" x14ac:dyDescent="0.25">
      <c r="B6349" s="100"/>
      <c r="C6349" s="100"/>
      <c r="D6349" s="100"/>
      <c r="E6349" s="100"/>
      <c r="F6349" s="102"/>
      <c r="G6349" s="114"/>
    </row>
    <row r="6350" spans="2:7" ht="15.75" customHeight="1" x14ac:dyDescent="0.25">
      <c r="B6350" s="100"/>
      <c r="C6350" s="100"/>
      <c r="D6350" s="100"/>
      <c r="E6350" s="100"/>
      <c r="F6350" s="102"/>
      <c r="G6350" s="114"/>
    </row>
    <row r="6351" spans="2:7" ht="15.75" customHeight="1" x14ac:dyDescent="0.25">
      <c r="B6351" s="100"/>
      <c r="C6351" s="100"/>
      <c r="D6351" s="100"/>
      <c r="E6351" s="100"/>
      <c r="F6351" s="102"/>
      <c r="G6351" s="114"/>
    </row>
    <row r="6352" spans="2:7" ht="15.75" customHeight="1" x14ac:dyDescent="0.25">
      <c r="B6352" s="100"/>
      <c r="C6352" s="100"/>
      <c r="D6352" s="100"/>
      <c r="E6352" s="100"/>
      <c r="F6352" s="102"/>
      <c r="G6352" s="114"/>
    </row>
    <row r="6353" spans="2:7" ht="15.75" customHeight="1" x14ac:dyDescent="0.25">
      <c r="B6353" s="100"/>
      <c r="C6353" s="100"/>
      <c r="D6353" s="100"/>
      <c r="E6353" s="100"/>
      <c r="F6353" s="102"/>
      <c r="G6353" s="114"/>
    </row>
    <row r="6354" spans="2:7" ht="15.75" customHeight="1" x14ac:dyDescent="0.25">
      <c r="B6354" s="100"/>
      <c r="C6354" s="100"/>
      <c r="D6354" s="100"/>
      <c r="E6354" s="100"/>
      <c r="F6354" s="102"/>
      <c r="G6354" s="114"/>
    </row>
    <row r="6355" spans="2:7" ht="15.75" customHeight="1" x14ac:dyDescent="0.25">
      <c r="B6355" s="100"/>
      <c r="C6355" s="100"/>
      <c r="D6355" s="100"/>
      <c r="E6355" s="100"/>
      <c r="F6355" s="102"/>
      <c r="G6355" s="114"/>
    </row>
    <row r="6356" spans="2:7" ht="15.75" customHeight="1" x14ac:dyDescent="0.25">
      <c r="B6356" s="100"/>
      <c r="C6356" s="100"/>
      <c r="D6356" s="100"/>
      <c r="E6356" s="100"/>
      <c r="F6356" s="102"/>
      <c r="G6356" s="114"/>
    </row>
    <row r="6357" spans="2:7" ht="15.75" customHeight="1" x14ac:dyDescent="0.25">
      <c r="B6357" s="100"/>
      <c r="C6357" s="100"/>
      <c r="D6357" s="100"/>
      <c r="E6357" s="100"/>
      <c r="F6357" s="102"/>
      <c r="G6357" s="114"/>
    </row>
    <row r="6358" spans="2:7" ht="15.75" customHeight="1" x14ac:dyDescent="0.25">
      <c r="B6358" s="100"/>
      <c r="C6358" s="100"/>
      <c r="D6358" s="100"/>
      <c r="E6358" s="100"/>
      <c r="F6358" s="102"/>
      <c r="G6358" s="114"/>
    </row>
    <row r="6359" spans="2:7" ht="15.75" customHeight="1" x14ac:dyDescent="0.25">
      <c r="B6359" s="100"/>
      <c r="C6359" s="100"/>
      <c r="D6359" s="100"/>
      <c r="E6359" s="100"/>
      <c r="F6359" s="102"/>
      <c r="G6359" s="114"/>
    </row>
    <row r="6360" spans="2:7" ht="15.75" customHeight="1" x14ac:dyDescent="0.25">
      <c r="B6360" s="100"/>
      <c r="C6360" s="100"/>
      <c r="D6360" s="100"/>
      <c r="E6360" s="100"/>
      <c r="F6360" s="102"/>
      <c r="G6360" s="114"/>
    </row>
    <row r="6361" spans="2:7" ht="15.75" customHeight="1" x14ac:dyDescent="0.25">
      <c r="B6361" s="100"/>
      <c r="C6361" s="100"/>
      <c r="D6361" s="100"/>
      <c r="E6361" s="100"/>
      <c r="F6361" s="102"/>
      <c r="G6361" s="114"/>
    </row>
    <row r="6362" spans="2:7" ht="15.75" customHeight="1" x14ac:dyDescent="0.25">
      <c r="B6362" s="100"/>
      <c r="C6362" s="100"/>
      <c r="D6362" s="100"/>
      <c r="E6362" s="100"/>
      <c r="F6362" s="102"/>
      <c r="G6362" s="114"/>
    </row>
    <row r="6363" spans="2:7" ht="15.75" customHeight="1" x14ac:dyDescent="0.25">
      <c r="B6363" s="100"/>
      <c r="C6363" s="100"/>
      <c r="D6363" s="100"/>
      <c r="E6363" s="100"/>
      <c r="F6363" s="102"/>
      <c r="G6363" s="114"/>
    </row>
    <row r="6364" spans="2:7" ht="15.75" customHeight="1" x14ac:dyDescent="0.25">
      <c r="B6364" s="100"/>
      <c r="C6364" s="100"/>
      <c r="D6364" s="100"/>
      <c r="E6364" s="100"/>
      <c r="F6364" s="102"/>
      <c r="G6364" s="114"/>
    </row>
    <row r="6365" spans="2:7" ht="15.75" customHeight="1" x14ac:dyDescent="0.25">
      <c r="B6365" s="100"/>
      <c r="C6365" s="100"/>
      <c r="D6365" s="100"/>
      <c r="E6365" s="100"/>
      <c r="F6365" s="102"/>
      <c r="G6365" s="114"/>
    </row>
    <row r="6366" spans="2:7" ht="15.75" customHeight="1" x14ac:dyDescent="0.25">
      <c r="B6366" s="100"/>
      <c r="C6366" s="100"/>
      <c r="D6366" s="100"/>
      <c r="E6366" s="100"/>
      <c r="F6366" s="102"/>
      <c r="G6366" s="114"/>
    </row>
    <row r="6367" spans="2:7" ht="15.75" customHeight="1" x14ac:dyDescent="0.25">
      <c r="B6367" s="100"/>
      <c r="C6367" s="100"/>
      <c r="D6367" s="100"/>
      <c r="E6367" s="100"/>
      <c r="F6367" s="102"/>
      <c r="G6367" s="114"/>
    </row>
    <row r="6368" spans="2:7" ht="15.75" customHeight="1" x14ac:dyDescent="0.25">
      <c r="B6368" s="100"/>
      <c r="C6368" s="100"/>
      <c r="D6368" s="100"/>
      <c r="E6368" s="100"/>
      <c r="F6368" s="102"/>
      <c r="G6368" s="114"/>
    </row>
    <row r="6369" spans="2:7" ht="15.75" customHeight="1" x14ac:dyDescent="0.25">
      <c r="B6369" s="100"/>
      <c r="C6369" s="100"/>
      <c r="D6369" s="100"/>
      <c r="E6369" s="100"/>
      <c r="F6369" s="102"/>
      <c r="G6369" s="114"/>
    </row>
    <row r="6370" spans="2:7" ht="15.75" customHeight="1" x14ac:dyDescent="0.25">
      <c r="B6370" s="100"/>
      <c r="C6370" s="100"/>
      <c r="D6370" s="100"/>
      <c r="E6370" s="100"/>
      <c r="F6370" s="102"/>
      <c r="G6370" s="114"/>
    </row>
    <row r="6371" spans="2:7" ht="15.75" customHeight="1" x14ac:dyDescent="0.25">
      <c r="B6371" s="100"/>
      <c r="C6371" s="100"/>
      <c r="D6371" s="100"/>
      <c r="E6371" s="100"/>
      <c r="F6371" s="102"/>
      <c r="G6371" s="114"/>
    </row>
    <row r="6372" spans="2:7" ht="15.75" customHeight="1" x14ac:dyDescent="0.25">
      <c r="B6372" s="100"/>
      <c r="C6372" s="100"/>
      <c r="D6372" s="100"/>
      <c r="E6372" s="100"/>
      <c r="F6372" s="102"/>
      <c r="G6372" s="114"/>
    </row>
    <row r="6373" spans="2:7" ht="15.75" customHeight="1" x14ac:dyDescent="0.25">
      <c r="B6373" s="100"/>
      <c r="C6373" s="100"/>
      <c r="D6373" s="100"/>
      <c r="E6373" s="100"/>
      <c r="F6373" s="102"/>
      <c r="G6373" s="114"/>
    </row>
    <row r="6374" spans="2:7" ht="15.75" customHeight="1" x14ac:dyDescent="0.25">
      <c r="B6374" s="100"/>
      <c r="C6374" s="100"/>
      <c r="D6374" s="100"/>
      <c r="E6374" s="100"/>
      <c r="F6374" s="102"/>
      <c r="G6374" s="114"/>
    </row>
    <row r="6375" spans="2:7" ht="15.75" customHeight="1" x14ac:dyDescent="0.25">
      <c r="B6375" s="100"/>
      <c r="C6375" s="100"/>
      <c r="D6375" s="100"/>
      <c r="E6375" s="100"/>
      <c r="F6375" s="102"/>
      <c r="G6375" s="114"/>
    </row>
    <row r="6376" spans="2:7" ht="15.75" customHeight="1" x14ac:dyDescent="0.25">
      <c r="B6376" s="100"/>
      <c r="C6376" s="100"/>
      <c r="D6376" s="100"/>
      <c r="E6376" s="100"/>
      <c r="F6376" s="102"/>
      <c r="G6376" s="114"/>
    </row>
    <row r="6377" spans="2:7" ht="15.75" customHeight="1" x14ac:dyDescent="0.25">
      <c r="B6377" s="100"/>
      <c r="C6377" s="100"/>
      <c r="D6377" s="100"/>
      <c r="E6377" s="100"/>
      <c r="F6377" s="102"/>
      <c r="G6377" s="114"/>
    </row>
    <row r="6378" spans="2:7" ht="15.75" customHeight="1" x14ac:dyDescent="0.25">
      <c r="B6378" s="100"/>
      <c r="C6378" s="100"/>
      <c r="D6378" s="100"/>
      <c r="E6378" s="100"/>
      <c r="F6378" s="102"/>
      <c r="G6378" s="114"/>
    </row>
    <row r="6379" spans="2:7" ht="15.75" customHeight="1" x14ac:dyDescent="0.25">
      <c r="B6379" s="100"/>
      <c r="C6379" s="100"/>
      <c r="D6379" s="100"/>
      <c r="E6379" s="100"/>
      <c r="F6379" s="102"/>
      <c r="G6379" s="114"/>
    </row>
    <row r="6380" spans="2:7" ht="15.75" customHeight="1" x14ac:dyDescent="0.25">
      <c r="B6380" s="100"/>
      <c r="C6380" s="100"/>
      <c r="D6380" s="100"/>
      <c r="E6380" s="100"/>
      <c r="F6380" s="102"/>
      <c r="G6380" s="114"/>
    </row>
    <row r="6381" spans="2:7" ht="15.75" customHeight="1" x14ac:dyDescent="0.25">
      <c r="B6381" s="100"/>
      <c r="C6381" s="100"/>
      <c r="D6381" s="100"/>
      <c r="E6381" s="100"/>
      <c r="F6381" s="102"/>
      <c r="G6381" s="114"/>
    </row>
    <row r="6382" spans="2:7" ht="15.75" customHeight="1" x14ac:dyDescent="0.25">
      <c r="B6382" s="100"/>
      <c r="C6382" s="100"/>
      <c r="D6382" s="100"/>
      <c r="E6382" s="100"/>
      <c r="F6382" s="102"/>
      <c r="G6382" s="114"/>
    </row>
    <row r="6383" spans="2:7" ht="15.75" customHeight="1" x14ac:dyDescent="0.25">
      <c r="B6383" s="100"/>
      <c r="C6383" s="100"/>
      <c r="D6383" s="100"/>
      <c r="E6383" s="100"/>
      <c r="F6383" s="102"/>
      <c r="G6383" s="114"/>
    </row>
    <row r="6384" spans="2:7" ht="15.75" customHeight="1" x14ac:dyDescent="0.25">
      <c r="B6384" s="100"/>
      <c r="C6384" s="100"/>
      <c r="D6384" s="100"/>
      <c r="E6384" s="100"/>
      <c r="F6384" s="102"/>
      <c r="G6384" s="114"/>
    </row>
    <row r="6385" spans="2:7" ht="15.75" customHeight="1" x14ac:dyDescent="0.25">
      <c r="B6385" s="100"/>
      <c r="C6385" s="100"/>
      <c r="D6385" s="100"/>
      <c r="E6385" s="100"/>
      <c r="F6385" s="102"/>
      <c r="G6385" s="114"/>
    </row>
    <row r="6386" spans="2:7" ht="15.75" customHeight="1" x14ac:dyDescent="0.25">
      <c r="B6386" s="100"/>
      <c r="C6386" s="100"/>
      <c r="D6386" s="100"/>
      <c r="E6386" s="100"/>
      <c r="F6386" s="102"/>
      <c r="G6386" s="114"/>
    </row>
    <row r="6387" spans="2:7" ht="15.75" customHeight="1" x14ac:dyDescent="0.25">
      <c r="B6387" s="100"/>
      <c r="C6387" s="100"/>
      <c r="D6387" s="100"/>
      <c r="E6387" s="100"/>
      <c r="F6387" s="102"/>
      <c r="G6387" s="114"/>
    </row>
    <row r="6388" spans="2:7" ht="15.75" customHeight="1" x14ac:dyDescent="0.25">
      <c r="B6388" s="100"/>
      <c r="C6388" s="100"/>
      <c r="D6388" s="100"/>
      <c r="E6388" s="100"/>
      <c r="F6388" s="102"/>
      <c r="G6388" s="114"/>
    </row>
    <row r="6389" spans="2:7" ht="15.75" customHeight="1" x14ac:dyDescent="0.25">
      <c r="B6389" s="100"/>
      <c r="C6389" s="100"/>
      <c r="D6389" s="100"/>
      <c r="E6389" s="100"/>
      <c r="F6389" s="102"/>
      <c r="G6389" s="114"/>
    </row>
    <row r="6390" spans="2:7" ht="15.75" customHeight="1" x14ac:dyDescent="0.25">
      <c r="B6390" s="100"/>
      <c r="C6390" s="100"/>
      <c r="D6390" s="100"/>
      <c r="E6390" s="100"/>
      <c r="F6390" s="102"/>
      <c r="G6390" s="114"/>
    </row>
    <row r="6391" spans="2:7" ht="15.75" customHeight="1" x14ac:dyDescent="0.25">
      <c r="B6391" s="100"/>
      <c r="C6391" s="100"/>
      <c r="D6391" s="100"/>
      <c r="E6391" s="100"/>
      <c r="F6391" s="102"/>
      <c r="G6391" s="114"/>
    </row>
    <row r="6392" spans="2:7" ht="15.75" customHeight="1" x14ac:dyDescent="0.25">
      <c r="B6392" s="100"/>
      <c r="C6392" s="100"/>
      <c r="D6392" s="100"/>
      <c r="E6392" s="100"/>
      <c r="F6392" s="102"/>
      <c r="G6392" s="114"/>
    </row>
    <row r="6393" spans="2:7" ht="15.75" customHeight="1" x14ac:dyDescent="0.25">
      <c r="B6393" s="100"/>
      <c r="C6393" s="100"/>
      <c r="D6393" s="100"/>
      <c r="E6393" s="100"/>
      <c r="F6393" s="102"/>
      <c r="G6393" s="114"/>
    </row>
    <row r="6394" spans="2:7" ht="15.75" customHeight="1" x14ac:dyDescent="0.25">
      <c r="B6394" s="100"/>
      <c r="C6394" s="100"/>
      <c r="D6394" s="100"/>
      <c r="E6394" s="100"/>
      <c r="F6394" s="102"/>
      <c r="G6394" s="114"/>
    </row>
    <row r="6395" spans="2:7" ht="15.75" customHeight="1" x14ac:dyDescent="0.25">
      <c r="B6395" s="100"/>
      <c r="C6395" s="100"/>
      <c r="D6395" s="100"/>
      <c r="E6395" s="100"/>
      <c r="F6395" s="102"/>
      <c r="G6395" s="114"/>
    </row>
    <row r="6396" spans="2:7" ht="15.75" customHeight="1" x14ac:dyDescent="0.25">
      <c r="B6396" s="100"/>
      <c r="C6396" s="100"/>
      <c r="D6396" s="100"/>
      <c r="E6396" s="100"/>
      <c r="F6396" s="102"/>
      <c r="G6396" s="114"/>
    </row>
    <row r="6397" spans="2:7" ht="15.75" customHeight="1" x14ac:dyDescent="0.25">
      <c r="B6397" s="100"/>
      <c r="C6397" s="100"/>
      <c r="D6397" s="100"/>
      <c r="E6397" s="100"/>
      <c r="F6397" s="102"/>
      <c r="G6397" s="114"/>
    </row>
    <row r="6398" spans="2:7" ht="15.75" customHeight="1" x14ac:dyDescent="0.25">
      <c r="B6398" s="100"/>
      <c r="C6398" s="100"/>
      <c r="D6398" s="100"/>
      <c r="E6398" s="100"/>
      <c r="F6398" s="102"/>
      <c r="G6398" s="114"/>
    </row>
    <row r="6399" spans="2:7" ht="15.75" customHeight="1" x14ac:dyDescent="0.25">
      <c r="B6399" s="100"/>
      <c r="C6399" s="100"/>
      <c r="D6399" s="100"/>
      <c r="E6399" s="100"/>
      <c r="F6399" s="102"/>
      <c r="G6399" s="114"/>
    </row>
    <row r="6400" spans="2:7" ht="15.75" customHeight="1" x14ac:dyDescent="0.25">
      <c r="B6400" s="100"/>
      <c r="C6400" s="100"/>
      <c r="D6400" s="100"/>
      <c r="E6400" s="100"/>
      <c r="F6400" s="102"/>
      <c r="G6400" s="114"/>
    </row>
    <row r="6401" spans="2:7" ht="15.75" customHeight="1" x14ac:dyDescent="0.25">
      <c r="B6401" s="100"/>
      <c r="C6401" s="100"/>
      <c r="D6401" s="100"/>
      <c r="E6401" s="100"/>
      <c r="F6401" s="102"/>
      <c r="G6401" s="114"/>
    </row>
    <row r="6402" spans="2:7" ht="15.75" customHeight="1" x14ac:dyDescent="0.25">
      <c r="B6402" s="100"/>
      <c r="C6402" s="100"/>
      <c r="D6402" s="100"/>
      <c r="E6402" s="100"/>
      <c r="F6402" s="102"/>
      <c r="G6402" s="114"/>
    </row>
    <row r="6403" spans="2:7" ht="15.75" customHeight="1" x14ac:dyDescent="0.25">
      <c r="B6403" s="100"/>
      <c r="C6403" s="100"/>
      <c r="D6403" s="100"/>
      <c r="E6403" s="100"/>
      <c r="F6403" s="102"/>
      <c r="G6403" s="114"/>
    </row>
    <row r="6404" spans="2:7" ht="15.75" customHeight="1" x14ac:dyDescent="0.25">
      <c r="B6404" s="100"/>
      <c r="C6404" s="100"/>
      <c r="D6404" s="100"/>
      <c r="E6404" s="100"/>
      <c r="F6404" s="102"/>
      <c r="G6404" s="114"/>
    </row>
    <row r="6405" spans="2:7" ht="15.75" customHeight="1" x14ac:dyDescent="0.25">
      <c r="B6405" s="100"/>
      <c r="C6405" s="100"/>
      <c r="D6405" s="100"/>
      <c r="E6405" s="100"/>
      <c r="F6405" s="102"/>
      <c r="G6405" s="114"/>
    </row>
    <row r="6406" spans="2:7" ht="15.75" customHeight="1" x14ac:dyDescent="0.25">
      <c r="B6406" s="100"/>
      <c r="C6406" s="100"/>
      <c r="D6406" s="100"/>
      <c r="E6406" s="100"/>
      <c r="F6406" s="102"/>
      <c r="G6406" s="114"/>
    </row>
    <row r="6407" spans="2:7" ht="15.75" customHeight="1" x14ac:dyDescent="0.25">
      <c r="B6407" s="100"/>
      <c r="C6407" s="100"/>
      <c r="D6407" s="100"/>
      <c r="E6407" s="100"/>
      <c r="F6407" s="102"/>
      <c r="G6407" s="114"/>
    </row>
    <row r="6408" spans="2:7" ht="15.75" customHeight="1" x14ac:dyDescent="0.25">
      <c r="B6408" s="100"/>
      <c r="C6408" s="100"/>
      <c r="D6408" s="100"/>
      <c r="E6408" s="100"/>
      <c r="F6408" s="102"/>
      <c r="G6408" s="114"/>
    </row>
    <row r="6409" spans="2:7" ht="15.75" customHeight="1" x14ac:dyDescent="0.25">
      <c r="B6409" s="100"/>
      <c r="C6409" s="100"/>
      <c r="D6409" s="100"/>
      <c r="E6409" s="100"/>
      <c r="F6409" s="102"/>
      <c r="G6409" s="114"/>
    </row>
    <row r="6410" spans="2:7" ht="15.75" customHeight="1" x14ac:dyDescent="0.25">
      <c r="B6410" s="100"/>
      <c r="C6410" s="100"/>
      <c r="D6410" s="100"/>
      <c r="E6410" s="100"/>
      <c r="F6410" s="102"/>
      <c r="G6410" s="114"/>
    </row>
    <row r="6411" spans="2:7" ht="15.75" customHeight="1" x14ac:dyDescent="0.25">
      <c r="B6411" s="100"/>
      <c r="C6411" s="100"/>
      <c r="D6411" s="100"/>
      <c r="E6411" s="100"/>
      <c r="F6411" s="102"/>
      <c r="G6411" s="114"/>
    </row>
    <row r="6412" spans="2:7" ht="15.75" customHeight="1" x14ac:dyDescent="0.25">
      <c r="B6412" s="100"/>
      <c r="C6412" s="100"/>
      <c r="D6412" s="100"/>
      <c r="E6412" s="100"/>
      <c r="F6412" s="102"/>
      <c r="G6412" s="114"/>
    </row>
    <row r="6413" spans="2:7" ht="15.75" customHeight="1" x14ac:dyDescent="0.25">
      <c r="B6413" s="100"/>
      <c r="C6413" s="100"/>
      <c r="D6413" s="100"/>
      <c r="E6413" s="100"/>
      <c r="F6413" s="102"/>
      <c r="G6413" s="114"/>
    </row>
    <row r="6414" spans="2:7" ht="15.75" customHeight="1" x14ac:dyDescent="0.25">
      <c r="B6414" s="100"/>
      <c r="C6414" s="100"/>
      <c r="D6414" s="100"/>
      <c r="E6414" s="100"/>
      <c r="F6414" s="102"/>
      <c r="G6414" s="114"/>
    </row>
    <row r="6415" spans="2:7" ht="15.75" customHeight="1" x14ac:dyDescent="0.25">
      <c r="B6415" s="100"/>
      <c r="C6415" s="100"/>
      <c r="D6415" s="100"/>
      <c r="E6415" s="100"/>
      <c r="F6415" s="102"/>
      <c r="G6415" s="114"/>
    </row>
    <row r="6416" spans="2:7" ht="15.75" customHeight="1" x14ac:dyDescent="0.25">
      <c r="B6416" s="100"/>
      <c r="C6416" s="100"/>
      <c r="D6416" s="100"/>
      <c r="E6416" s="100"/>
      <c r="F6416" s="102"/>
      <c r="G6416" s="114"/>
    </row>
    <row r="6417" spans="2:7" ht="15.75" customHeight="1" x14ac:dyDescent="0.25">
      <c r="B6417" s="100"/>
      <c r="C6417" s="100"/>
      <c r="D6417" s="100"/>
      <c r="E6417" s="100"/>
      <c r="F6417" s="102"/>
      <c r="G6417" s="114"/>
    </row>
    <row r="6418" spans="2:7" ht="15.75" customHeight="1" x14ac:dyDescent="0.25">
      <c r="B6418" s="100"/>
      <c r="C6418" s="100"/>
      <c r="D6418" s="100"/>
      <c r="E6418" s="100"/>
      <c r="F6418" s="102"/>
      <c r="G6418" s="114"/>
    </row>
    <row r="6419" spans="2:7" ht="15.75" customHeight="1" x14ac:dyDescent="0.25">
      <c r="B6419" s="100"/>
      <c r="C6419" s="100"/>
      <c r="D6419" s="100"/>
      <c r="E6419" s="100"/>
      <c r="F6419" s="102"/>
      <c r="G6419" s="114"/>
    </row>
    <row r="6420" spans="2:7" ht="15.75" customHeight="1" x14ac:dyDescent="0.25">
      <c r="B6420" s="100"/>
      <c r="C6420" s="100"/>
      <c r="D6420" s="100"/>
      <c r="E6420" s="100"/>
      <c r="F6420" s="102"/>
      <c r="G6420" s="114"/>
    </row>
    <row r="6421" spans="2:7" ht="15.75" customHeight="1" x14ac:dyDescent="0.25">
      <c r="B6421" s="100"/>
      <c r="C6421" s="100"/>
      <c r="D6421" s="100"/>
      <c r="E6421" s="100"/>
      <c r="F6421" s="102"/>
      <c r="G6421" s="114"/>
    </row>
    <row r="6422" spans="2:7" ht="15.75" customHeight="1" x14ac:dyDescent="0.25">
      <c r="B6422" s="100"/>
      <c r="C6422" s="100"/>
      <c r="D6422" s="100"/>
      <c r="E6422" s="100"/>
      <c r="F6422" s="102"/>
      <c r="G6422" s="114"/>
    </row>
    <row r="6423" spans="2:7" ht="15.75" customHeight="1" x14ac:dyDescent="0.25">
      <c r="B6423" s="100"/>
      <c r="C6423" s="100"/>
      <c r="D6423" s="100"/>
      <c r="E6423" s="100"/>
      <c r="F6423" s="102"/>
      <c r="G6423" s="114"/>
    </row>
    <row r="6424" spans="2:7" ht="15.75" customHeight="1" x14ac:dyDescent="0.25">
      <c r="B6424" s="100"/>
      <c r="C6424" s="100"/>
      <c r="D6424" s="100"/>
      <c r="E6424" s="100"/>
      <c r="F6424" s="102"/>
      <c r="G6424" s="114"/>
    </row>
    <row r="6425" spans="2:7" ht="15.75" customHeight="1" x14ac:dyDescent="0.25">
      <c r="B6425" s="100"/>
      <c r="C6425" s="100"/>
      <c r="D6425" s="100"/>
      <c r="E6425" s="100"/>
      <c r="F6425" s="102"/>
      <c r="G6425" s="114"/>
    </row>
    <row r="6426" spans="2:7" ht="15.75" customHeight="1" x14ac:dyDescent="0.25">
      <c r="B6426" s="100"/>
      <c r="C6426" s="100"/>
      <c r="D6426" s="100"/>
      <c r="E6426" s="100"/>
      <c r="F6426" s="102"/>
      <c r="G6426" s="114"/>
    </row>
    <row r="6427" spans="2:7" ht="15.75" customHeight="1" x14ac:dyDescent="0.25">
      <c r="B6427" s="100"/>
      <c r="C6427" s="100"/>
      <c r="D6427" s="100"/>
      <c r="E6427" s="100"/>
      <c r="F6427" s="102"/>
      <c r="G6427" s="114"/>
    </row>
    <row r="6428" spans="2:7" ht="15.75" customHeight="1" x14ac:dyDescent="0.25">
      <c r="B6428" s="100"/>
      <c r="C6428" s="100"/>
      <c r="D6428" s="100"/>
      <c r="E6428" s="100"/>
      <c r="F6428" s="102"/>
      <c r="G6428" s="114"/>
    </row>
    <row r="6429" spans="2:7" ht="15.75" customHeight="1" x14ac:dyDescent="0.25">
      <c r="B6429" s="100"/>
      <c r="C6429" s="100"/>
      <c r="D6429" s="100"/>
      <c r="E6429" s="100"/>
      <c r="F6429" s="102"/>
      <c r="G6429" s="114"/>
    </row>
    <row r="6430" spans="2:7" ht="15.75" customHeight="1" x14ac:dyDescent="0.25">
      <c r="B6430" s="100"/>
      <c r="C6430" s="100"/>
      <c r="D6430" s="100"/>
      <c r="E6430" s="100"/>
      <c r="F6430" s="102"/>
      <c r="G6430" s="114"/>
    </row>
    <row r="6431" spans="2:7" ht="15.75" customHeight="1" x14ac:dyDescent="0.25">
      <c r="B6431" s="100"/>
      <c r="C6431" s="100"/>
      <c r="D6431" s="100"/>
      <c r="E6431" s="100"/>
      <c r="F6431" s="102"/>
      <c r="G6431" s="114"/>
    </row>
    <row r="6432" spans="2:7" ht="15.75" customHeight="1" x14ac:dyDescent="0.25">
      <c r="B6432" s="100"/>
      <c r="C6432" s="100"/>
      <c r="D6432" s="100"/>
      <c r="E6432" s="100"/>
      <c r="F6432" s="102"/>
      <c r="G6432" s="114"/>
    </row>
    <row r="6433" spans="2:7" ht="15.75" customHeight="1" x14ac:dyDescent="0.25">
      <c r="B6433" s="100"/>
      <c r="C6433" s="100"/>
      <c r="D6433" s="100"/>
      <c r="E6433" s="100"/>
      <c r="F6433" s="102"/>
      <c r="G6433" s="114"/>
    </row>
    <row r="6434" spans="2:7" ht="15.75" customHeight="1" x14ac:dyDescent="0.25">
      <c r="B6434" s="100"/>
      <c r="C6434" s="100"/>
      <c r="D6434" s="100"/>
      <c r="E6434" s="100"/>
      <c r="F6434" s="102"/>
      <c r="G6434" s="114"/>
    </row>
    <row r="6435" spans="2:7" ht="15.75" customHeight="1" x14ac:dyDescent="0.25">
      <c r="B6435" s="100"/>
      <c r="C6435" s="100"/>
      <c r="D6435" s="100"/>
      <c r="E6435" s="100"/>
      <c r="F6435" s="102"/>
      <c r="G6435" s="114"/>
    </row>
    <row r="6436" spans="2:7" ht="15.75" customHeight="1" x14ac:dyDescent="0.25">
      <c r="B6436" s="100"/>
      <c r="C6436" s="100"/>
      <c r="D6436" s="100"/>
      <c r="E6436" s="100"/>
      <c r="F6436" s="102"/>
      <c r="G6436" s="114"/>
    </row>
    <row r="6437" spans="2:7" ht="15.75" customHeight="1" x14ac:dyDescent="0.25">
      <c r="B6437" s="100"/>
      <c r="C6437" s="100"/>
      <c r="D6437" s="100"/>
      <c r="E6437" s="100"/>
      <c r="F6437" s="102"/>
      <c r="G6437" s="114"/>
    </row>
    <row r="6438" spans="2:7" ht="15.75" customHeight="1" x14ac:dyDescent="0.25">
      <c r="B6438" s="100"/>
      <c r="C6438" s="100"/>
      <c r="D6438" s="100"/>
      <c r="E6438" s="100"/>
      <c r="F6438" s="102"/>
      <c r="G6438" s="114"/>
    </row>
    <row r="6439" spans="2:7" ht="15.75" customHeight="1" x14ac:dyDescent="0.25">
      <c r="B6439" s="100"/>
      <c r="C6439" s="100"/>
      <c r="D6439" s="100"/>
      <c r="E6439" s="100"/>
      <c r="F6439" s="102"/>
      <c r="G6439" s="114"/>
    </row>
    <row r="6440" spans="2:7" ht="15.75" customHeight="1" x14ac:dyDescent="0.25">
      <c r="B6440" s="100"/>
      <c r="C6440" s="100"/>
      <c r="D6440" s="100"/>
      <c r="E6440" s="100"/>
      <c r="F6440" s="102"/>
      <c r="G6440" s="114"/>
    </row>
    <row r="6441" spans="2:7" ht="15.75" customHeight="1" x14ac:dyDescent="0.25">
      <c r="B6441" s="100"/>
      <c r="C6441" s="100"/>
      <c r="D6441" s="100"/>
      <c r="E6441" s="100"/>
      <c r="F6441" s="102"/>
      <c r="G6441" s="114"/>
    </row>
    <row r="6442" spans="2:7" ht="15.75" customHeight="1" x14ac:dyDescent="0.25">
      <c r="B6442" s="100"/>
      <c r="C6442" s="100"/>
      <c r="D6442" s="100"/>
      <c r="E6442" s="100"/>
      <c r="F6442" s="102"/>
      <c r="G6442" s="114"/>
    </row>
    <row r="6443" spans="2:7" ht="15.75" customHeight="1" x14ac:dyDescent="0.25">
      <c r="B6443" s="100"/>
      <c r="C6443" s="100"/>
      <c r="D6443" s="100"/>
      <c r="E6443" s="100"/>
      <c r="F6443" s="102"/>
      <c r="G6443" s="114"/>
    </row>
    <row r="6444" spans="2:7" ht="15.75" customHeight="1" x14ac:dyDescent="0.25">
      <c r="B6444" s="100"/>
      <c r="C6444" s="100"/>
      <c r="D6444" s="100"/>
      <c r="E6444" s="100"/>
      <c r="F6444" s="102"/>
      <c r="G6444" s="114"/>
    </row>
    <row r="6445" spans="2:7" ht="15.75" customHeight="1" x14ac:dyDescent="0.25">
      <c r="B6445" s="100"/>
      <c r="C6445" s="100"/>
      <c r="D6445" s="100"/>
      <c r="E6445" s="100"/>
      <c r="F6445" s="102"/>
      <c r="G6445" s="114"/>
    </row>
    <row r="6446" spans="2:7" ht="15.75" customHeight="1" x14ac:dyDescent="0.25">
      <c r="B6446" s="100"/>
      <c r="C6446" s="100"/>
      <c r="D6446" s="100"/>
      <c r="E6446" s="100"/>
      <c r="F6446" s="102"/>
      <c r="G6446" s="114"/>
    </row>
    <row r="6447" spans="2:7" ht="15.75" customHeight="1" x14ac:dyDescent="0.25">
      <c r="B6447" s="100"/>
      <c r="C6447" s="100"/>
      <c r="D6447" s="100"/>
      <c r="E6447" s="100"/>
      <c r="F6447" s="102"/>
      <c r="G6447" s="114"/>
    </row>
    <row r="6448" spans="2:7" ht="15.75" customHeight="1" x14ac:dyDescent="0.25">
      <c r="B6448" s="100"/>
      <c r="C6448" s="100"/>
      <c r="D6448" s="100"/>
      <c r="E6448" s="100"/>
      <c r="F6448" s="102"/>
      <c r="G6448" s="114"/>
    </row>
    <row r="6449" spans="2:7" ht="15.75" customHeight="1" x14ac:dyDescent="0.25">
      <c r="B6449" s="100"/>
      <c r="C6449" s="100"/>
      <c r="D6449" s="100"/>
      <c r="E6449" s="100"/>
      <c r="F6449" s="102"/>
      <c r="G6449" s="114"/>
    </row>
    <row r="6450" spans="2:7" ht="15.75" customHeight="1" x14ac:dyDescent="0.25">
      <c r="B6450" s="100"/>
      <c r="C6450" s="100"/>
      <c r="D6450" s="100"/>
      <c r="E6450" s="100"/>
      <c r="F6450" s="102"/>
      <c r="G6450" s="114"/>
    </row>
    <row r="6451" spans="2:7" ht="15.75" customHeight="1" x14ac:dyDescent="0.25">
      <c r="B6451" s="100"/>
      <c r="C6451" s="100"/>
      <c r="D6451" s="100"/>
      <c r="E6451" s="100"/>
      <c r="F6451" s="102"/>
      <c r="G6451" s="114"/>
    </row>
    <row r="6452" spans="2:7" ht="15.75" customHeight="1" x14ac:dyDescent="0.25">
      <c r="B6452" s="100"/>
      <c r="C6452" s="100"/>
      <c r="D6452" s="100"/>
      <c r="E6452" s="100"/>
      <c r="F6452" s="102"/>
      <c r="G6452" s="114"/>
    </row>
    <row r="6453" spans="2:7" ht="15.75" customHeight="1" x14ac:dyDescent="0.25">
      <c r="B6453" s="100"/>
      <c r="C6453" s="100"/>
      <c r="D6453" s="100"/>
      <c r="E6453" s="100"/>
      <c r="F6453" s="102"/>
      <c r="G6453" s="114"/>
    </row>
    <row r="6454" spans="2:7" ht="15.75" customHeight="1" x14ac:dyDescent="0.25">
      <c r="B6454" s="100"/>
      <c r="C6454" s="100"/>
      <c r="D6454" s="100"/>
      <c r="E6454" s="100"/>
      <c r="F6454" s="102"/>
      <c r="G6454" s="114"/>
    </row>
    <row r="6455" spans="2:7" ht="15.75" customHeight="1" x14ac:dyDescent="0.25">
      <c r="B6455" s="100"/>
      <c r="C6455" s="100"/>
      <c r="D6455" s="100"/>
      <c r="E6455" s="100"/>
      <c r="F6455" s="102"/>
      <c r="G6455" s="114"/>
    </row>
    <row r="6456" spans="2:7" ht="15.75" customHeight="1" x14ac:dyDescent="0.25">
      <c r="B6456" s="100"/>
      <c r="C6456" s="100"/>
      <c r="D6456" s="100"/>
      <c r="E6456" s="100"/>
      <c r="F6456" s="102"/>
      <c r="G6456" s="114"/>
    </row>
    <row r="6457" spans="2:7" ht="15.75" customHeight="1" x14ac:dyDescent="0.25">
      <c r="B6457" s="100"/>
      <c r="C6457" s="100"/>
      <c r="D6457" s="100"/>
      <c r="E6457" s="100"/>
      <c r="F6457" s="102"/>
      <c r="G6457" s="114"/>
    </row>
    <row r="6458" spans="2:7" ht="15.75" customHeight="1" x14ac:dyDescent="0.25">
      <c r="B6458" s="100"/>
      <c r="C6458" s="100"/>
      <c r="D6458" s="100"/>
      <c r="E6458" s="100"/>
      <c r="F6458" s="102"/>
      <c r="G6458" s="114"/>
    </row>
    <row r="6459" spans="2:7" ht="15.75" customHeight="1" x14ac:dyDescent="0.25">
      <c r="B6459" s="100"/>
      <c r="C6459" s="100"/>
      <c r="D6459" s="100"/>
      <c r="E6459" s="100"/>
      <c r="F6459" s="102"/>
      <c r="G6459" s="114"/>
    </row>
    <row r="6460" spans="2:7" ht="15.75" customHeight="1" x14ac:dyDescent="0.25">
      <c r="B6460" s="100"/>
      <c r="C6460" s="100"/>
      <c r="D6460" s="100"/>
      <c r="E6460" s="100"/>
      <c r="F6460" s="102"/>
      <c r="G6460" s="114"/>
    </row>
    <row r="6461" spans="2:7" ht="15.75" customHeight="1" x14ac:dyDescent="0.25">
      <c r="B6461" s="100"/>
      <c r="C6461" s="100"/>
      <c r="D6461" s="100"/>
      <c r="E6461" s="100"/>
      <c r="F6461" s="102"/>
      <c r="G6461" s="114"/>
    </row>
    <row r="6462" spans="2:7" ht="15.75" customHeight="1" x14ac:dyDescent="0.25">
      <c r="B6462" s="100"/>
      <c r="C6462" s="100"/>
      <c r="D6462" s="100"/>
      <c r="E6462" s="100"/>
      <c r="F6462" s="102"/>
      <c r="G6462" s="114"/>
    </row>
    <row r="6463" spans="2:7" ht="15.75" customHeight="1" x14ac:dyDescent="0.25">
      <c r="B6463" s="100"/>
      <c r="C6463" s="100"/>
      <c r="D6463" s="100"/>
      <c r="E6463" s="100"/>
      <c r="F6463" s="102"/>
      <c r="G6463" s="114"/>
    </row>
    <row r="6464" spans="2:7" ht="15.75" customHeight="1" x14ac:dyDescent="0.25">
      <c r="B6464" s="100"/>
      <c r="C6464" s="100"/>
      <c r="D6464" s="100"/>
      <c r="E6464" s="100"/>
      <c r="F6464" s="102"/>
      <c r="G6464" s="114"/>
    </row>
    <row r="6465" spans="2:7" ht="15.75" customHeight="1" x14ac:dyDescent="0.25">
      <c r="B6465" s="100"/>
      <c r="C6465" s="100"/>
      <c r="D6465" s="100"/>
      <c r="E6465" s="100"/>
      <c r="F6465" s="102"/>
      <c r="G6465" s="114"/>
    </row>
    <row r="6466" spans="2:7" ht="15.75" customHeight="1" x14ac:dyDescent="0.25">
      <c r="B6466" s="100"/>
      <c r="C6466" s="100"/>
      <c r="D6466" s="100"/>
      <c r="E6466" s="100"/>
      <c r="F6466" s="102"/>
      <c r="G6466" s="114"/>
    </row>
    <row r="6467" spans="2:7" ht="15.75" customHeight="1" x14ac:dyDescent="0.25">
      <c r="B6467" s="100"/>
      <c r="C6467" s="100"/>
      <c r="D6467" s="100"/>
      <c r="E6467" s="100"/>
      <c r="F6467" s="102"/>
      <c r="G6467" s="114"/>
    </row>
    <row r="6468" spans="2:7" ht="15.75" customHeight="1" x14ac:dyDescent="0.25">
      <c r="B6468" s="100"/>
      <c r="C6468" s="100"/>
      <c r="D6468" s="100"/>
      <c r="E6468" s="100"/>
      <c r="F6468" s="102"/>
      <c r="G6468" s="114"/>
    </row>
    <row r="6469" spans="2:7" ht="15.75" customHeight="1" x14ac:dyDescent="0.25">
      <c r="B6469" s="100"/>
      <c r="C6469" s="100"/>
      <c r="D6469" s="100"/>
      <c r="E6469" s="100"/>
      <c r="F6469" s="102"/>
      <c r="G6469" s="114"/>
    </row>
    <row r="6470" spans="2:7" ht="15.75" customHeight="1" x14ac:dyDescent="0.25">
      <c r="B6470" s="100"/>
      <c r="C6470" s="100"/>
      <c r="D6470" s="100"/>
      <c r="E6470" s="100"/>
      <c r="F6470" s="102"/>
      <c r="G6470" s="114"/>
    </row>
    <row r="6471" spans="2:7" ht="15.75" customHeight="1" x14ac:dyDescent="0.25">
      <c r="B6471" s="100"/>
      <c r="C6471" s="100"/>
      <c r="D6471" s="100"/>
      <c r="E6471" s="100"/>
      <c r="F6471" s="102"/>
      <c r="G6471" s="114"/>
    </row>
    <row r="6472" spans="2:7" ht="15.75" customHeight="1" x14ac:dyDescent="0.25">
      <c r="B6472" s="100"/>
      <c r="C6472" s="100"/>
      <c r="D6472" s="100"/>
      <c r="E6472" s="100"/>
      <c r="F6472" s="102"/>
      <c r="G6472" s="114"/>
    </row>
    <row r="6473" spans="2:7" ht="15.75" customHeight="1" x14ac:dyDescent="0.25">
      <c r="B6473" s="100"/>
      <c r="C6473" s="100"/>
      <c r="D6473" s="100"/>
      <c r="E6473" s="100"/>
      <c r="F6473" s="102"/>
      <c r="G6473" s="114"/>
    </row>
    <row r="6474" spans="2:7" ht="15.75" customHeight="1" x14ac:dyDescent="0.25">
      <c r="B6474" s="100"/>
      <c r="C6474" s="100"/>
      <c r="D6474" s="100"/>
      <c r="E6474" s="100"/>
      <c r="F6474" s="102"/>
      <c r="G6474" s="114"/>
    </row>
    <row r="6475" spans="2:7" ht="15.75" customHeight="1" x14ac:dyDescent="0.25">
      <c r="B6475" s="100"/>
      <c r="C6475" s="100"/>
      <c r="D6475" s="100"/>
      <c r="E6475" s="100"/>
      <c r="F6475" s="102"/>
      <c r="G6475" s="114"/>
    </row>
    <row r="6476" spans="2:7" ht="15.75" customHeight="1" x14ac:dyDescent="0.25">
      <c r="B6476" s="100"/>
      <c r="C6476" s="100"/>
      <c r="D6476" s="100"/>
      <c r="E6476" s="100"/>
      <c r="F6476" s="102"/>
      <c r="G6476" s="114"/>
    </row>
    <row r="6477" spans="2:7" ht="15.75" customHeight="1" x14ac:dyDescent="0.25">
      <c r="B6477" s="100"/>
      <c r="C6477" s="100"/>
      <c r="D6477" s="100"/>
      <c r="E6477" s="100"/>
      <c r="F6477" s="102"/>
      <c r="G6477" s="114"/>
    </row>
    <row r="6478" spans="2:7" ht="15.75" customHeight="1" x14ac:dyDescent="0.25">
      <c r="B6478" s="100"/>
      <c r="C6478" s="100"/>
      <c r="D6478" s="100"/>
      <c r="E6478" s="100"/>
      <c r="F6478" s="102"/>
      <c r="G6478" s="114"/>
    </row>
    <row r="6479" spans="2:7" ht="15.75" customHeight="1" x14ac:dyDescent="0.25">
      <c r="B6479" s="100"/>
      <c r="C6479" s="100"/>
      <c r="D6479" s="100"/>
      <c r="E6479" s="100"/>
      <c r="F6479" s="102"/>
      <c r="G6479" s="114"/>
    </row>
    <row r="6480" spans="2:7" ht="15.75" customHeight="1" x14ac:dyDescent="0.25">
      <c r="B6480" s="100"/>
      <c r="C6480" s="100"/>
      <c r="D6480" s="100"/>
      <c r="E6480" s="100"/>
      <c r="F6480" s="102"/>
      <c r="G6480" s="114"/>
    </row>
    <row r="6481" spans="2:7" ht="15.75" customHeight="1" x14ac:dyDescent="0.25">
      <c r="B6481" s="100"/>
      <c r="C6481" s="100"/>
      <c r="D6481" s="100"/>
      <c r="E6481" s="100"/>
      <c r="F6481" s="102"/>
      <c r="G6481" s="114"/>
    </row>
    <row r="6482" spans="2:7" ht="15.75" customHeight="1" x14ac:dyDescent="0.25">
      <c r="B6482" s="100"/>
      <c r="C6482" s="100"/>
      <c r="D6482" s="100"/>
      <c r="E6482" s="100"/>
      <c r="F6482" s="102"/>
      <c r="G6482" s="114"/>
    </row>
    <row r="6483" spans="2:7" ht="15.75" customHeight="1" x14ac:dyDescent="0.25">
      <c r="B6483" s="100"/>
      <c r="C6483" s="100"/>
      <c r="D6483" s="100"/>
      <c r="E6483" s="100"/>
      <c r="F6483" s="102"/>
      <c r="G6483" s="114"/>
    </row>
    <row r="6484" spans="2:7" ht="15.75" customHeight="1" x14ac:dyDescent="0.25">
      <c r="B6484" s="100"/>
      <c r="C6484" s="100"/>
      <c r="D6484" s="100"/>
      <c r="E6484" s="100"/>
      <c r="F6484" s="102"/>
      <c r="G6484" s="114"/>
    </row>
    <row r="6485" spans="2:7" ht="15.75" customHeight="1" x14ac:dyDescent="0.25">
      <c r="B6485" s="100"/>
      <c r="C6485" s="100"/>
      <c r="D6485" s="100"/>
      <c r="E6485" s="100"/>
      <c r="F6485" s="102"/>
      <c r="G6485" s="114"/>
    </row>
    <row r="6486" spans="2:7" ht="15.75" customHeight="1" x14ac:dyDescent="0.25">
      <c r="B6486" s="100"/>
      <c r="C6486" s="100"/>
      <c r="D6486" s="100"/>
      <c r="E6486" s="100"/>
      <c r="F6486" s="102"/>
      <c r="G6486" s="114"/>
    </row>
    <row r="6487" spans="2:7" ht="15.75" customHeight="1" x14ac:dyDescent="0.25">
      <c r="B6487" s="100"/>
      <c r="C6487" s="100"/>
      <c r="D6487" s="100"/>
      <c r="E6487" s="100"/>
      <c r="F6487" s="102"/>
      <c r="G6487" s="114"/>
    </row>
    <row r="6488" spans="2:7" ht="15.75" customHeight="1" x14ac:dyDescent="0.25">
      <c r="B6488" s="100"/>
      <c r="C6488" s="100"/>
      <c r="D6488" s="100"/>
      <c r="E6488" s="100"/>
      <c r="F6488" s="102"/>
      <c r="G6488" s="114"/>
    </row>
    <row r="6489" spans="2:7" ht="15.75" customHeight="1" x14ac:dyDescent="0.25">
      <c r="B6489" s="100"/>
      <c r="C6489" s="100"/>
      <c r="D6489" s="100"/>
      <c r="E6489" s="100"/>
      <c r="F6489" s="102"/>
      <c r="G6489" s="114"/>
    </row>
    <row r="6490" spans="2:7" ht="15.75" customHeight="1" x14ac:dyDescent="0.25">
      <c r="B6490" s="100"/>
      <c r="C6490" s="100"/>
      <c r="D6490" s="100"/>
      <c r="E6490" s="100"/>
      <c r="F6490" s="102"/>
      <c r="G6490" s="114"/>
    </row>
    <row r="6491" spans="2:7" ht="15.75" customHeight="1" x14ac:dyDescent="0.25">
      <c r="B6491" s="100"/>
      <c r="C6491" s="100"/>
      <c r="D6491" s="100"/>
      <c r="E6491" s="100"/>
      <c r="F6491" s="102"/>
      <c r="G6491" s="114"/>
    </row>
    <row r="6492" spans="2:7" ht="15.75" customHeight="1" x14ac:dyDescent="0.25">
      <c r="B6492" s="100"/>
      <c r="C6492" s="100"/>
      <c r="D6492" s="100"/>
      <c r="E6492" s="100"/>
      <c r="F6492" s="102"/>
      <c r="G6492" s="114"/>
    </row>
    <row r="6493" spans="2:7" ht="15.75" customHeight="1" x14ac:dyDescent="0.25">
      <c r="B6493" s="100"/>
      <c r="C6493" s="100"/>
      <c r="D6493" s="100"/>
      <c r="E6493" s="100"/>
      <c r="F6493" s="102"/>
      <c r="G6493" s="114"/>
    </row>
    <row r="6494" spans="2:7" ht="15.75" customHeight="1" x14ac:dyDescent="0.25">
      <c r="B6494" s="100"/>
      <c r="C6494" s="100"/>
      <c r="D6494" s="100"/>
      <c r="E6494" s="100"/>
      <c r="F6494" s="102"/>
      <c r="G6494" s="114"/>
    </row>
    <row r="6495" spans="2:7" ht="15.75" customHeight="1" x14ac:dyDescent="0.25">
      <c r="B6495" s="100"/>
      <c r="C6495" s="100"/>
      <c r="D6495" s="100"/>
      <c r="E6495" s="100"/>
      <c r="F6495" s="102"/>
      <c r="G6495" s="114"/>
    </row>
    <row r="6496" spans="2:7" ht="15.75" customHeight="1" x14ac:dyDescent="0.25">
      <c r="B6496" s="100"/>
      <c r="C6496" s="100"/>
      <c r="D6496" s="100"/>
      <c r="E6496" s="100"/>
      <c r="F6496" s="102"/>
      <c r="G6496" s="114"/>
    </row>
    <row r="6497" spans="2:7" ht="15.75" customHeight="1" x14ac:dyDescent="0.25">
      <c r="B6497" s="100"/>
      <c r="C6497" s="100"/>
      <c r="D6497" s="100"/>
      <c r="E6497" s="100"/>
      <c r="F6497" s="102"/>
      <c r="G6497" s="114"/>
    </row>
    <row r="6498" spans="2:7" ht="15.75" customHeight="1" x14ac:dyDescent="0.25">
      <c r="B6498" s="100"/>
      <c r="C6498" s="100"/>
      <c r="D6498" s="100"/>
      <c r="E6498" s="100"/>
      <c r="F6498" s="102"/>
      <c r="G6498" s="114"/>
    </row>
    <row r="6499" spans="2:7" ht="15.75" customHeight="1" x14ac:dyDescent="0.25">
      <c r="B6499" s="100"/>
      <c r="C6499" s="100"/>
      <c r="D6499" s="100"/>
      <c r="E6499" s="100"/>
      <c r="F6499" s="102"/>
      <c r="G6499" s="114"/>
    </row>
    <row r="6500" spans="2:7" ht="15.75" customHeight="1" x14ac:dyDescent="0.25">
      <c r="B6500" s="100"/>
      <c r="C6500" s="100"/>
      <c r="D6500" s="100"/>
      <c r="E6500" s="100"/>
      <c r="F6500" s="102"/>
      <c r="G6500" s="114"/>
    </row>
    <row r="6501" spans="2:7" ht="15.75" customHeight="1" x14ac:dyDescent="0.25">
      <c r="B6501" s="100"/>
      <c r="C6501" s="100"/>
      <c r="D6501" s="100"/>
      <c r="E6501" s="100"/>
      <c r="F6501" s="102"/>
      <c r="G6501" s="114"/>
    </row>
    <row r="6502" spans="2:7" ht="15.75" customHeight="1" x14ac:dyDescent="0.25">
      <c r="B6502" s="100"/>
      <c r="C6502" s="100"/>
      <c r="D6502" s="100"/>
      <c r="E6502" s="100"/>
      <c r="F6502" s="102"/>
      <c r="G6502" s="114"/>
    </row>
    <row r="6503" spans="2:7" ht="15.75" customHeight="1" x14ac:dyDescent="0.25">
      <c r="B6503" s="100"/>
      <c r="C6503" s="100"/>
      <c r="D6503" s="100"/>
      <c r="E6503" s="100"/>
      <c r="F6503" s="102"/>
      <c r="G6503" s="114"/>
    </row>
    <row r="6504" spans="2:7" ht="15.75" customHeight="1" x14ac:dyDescent="0.25">
      <c r="B6504" s="100"/>
      <c r="C6504" s="100"/>
      <c r="D6504" s="100"/>
      <c r="E6504" s="100"/>
      <c r="F6504" s="102"/>
      <c r="G6504" s="114"/>
    </row>
    <row r="6505" spans="2:7" ht="15.75" customHeight="1" x14ac:dyDescent="0.25">
      <c r="B6505" s="100"/>
      <c r="C6505" s="100"/>
      <c r="D6505" s="100"/>
      <c r="E6505" s="100"/>
      <c r="F6505" s="102"/>
      <c r="G6505" s="114"/>
    </row>
    <row r="6506" spans="2:7" ht="15.75" customHeight="1" x14ac:dyDescent="0.25">
      <c r="B6506" s="100"/>
      <c r="C6506" s="100"/>
      <c r="D6506" s="100"/>
      <c r="E6506" s="100"/>
      <c r="F6506" s="102"/>
      <c r="G6506" s="114"/>
    </row>
    <row r="6507" spans="2:7" ht="15.75" customHeight="1" x14ac:dyDescent="0.25">
      <c r="B6507" s="100"/>
      <c r="C6507" s="100"/>
      <c r="D6507" s="100"/>
      <c r="E6507" s="100"/>
      <c r="F6507" s="102"/>
      <c r="G6507" s="114"/>
    </row>
    <row r="6508" spans="2:7" ht="15.75" customHeight="1" x14ac:dyDescent="0.25">
      <c r="B6508" s="100"/>
      <c r="C6508" s="100"/>
      <c r="D6508" s="100"/>
      <c r="E6508" s="100"/>
      <c r="F6508" s="102"/>
      <c r="G6508" s="114"/>
    </row>
    <row r="6509" spans="2:7" ht="15.75" customHeight="1" x14ac:dyDescent="0.25">
      <c r="B6509" s="100"/>
      <c r="C6509" s="100"/>
      <c r="D6509" s="100"/>
      <c r="E6509" s="100"/>
      <c r="F6509" s="102"/>
      <c r="G6509" s="114"/>
    </row>
    <row r="6510" spans="2:7" ht="15.75" customHeight="1" x14ac:dyDescent="0.25">
      <c r="B6510" s="100"/>
      <c r="C6510" s="100"/>
      <c r="D6510" s="100"/>
      <c r="E6510" s="100"/>
      <c r="F6510" s="102"/>
      <c r="G6510" s="114"/>
    </row>
    <row r="6511" spans="2:7" ht="15.75" customHeight="1" x14ac:dyDescent="0.25">
      <c r="B6511" s="100"/>
      <c r="C6511" s="100"/>
      <c r="D6511" s="100"/>
      <c r="E6511" s="100"/>
      <c r="F6511" s="102"/>
      <c r="G6511" s="114"/>
    </row>
    <row r="6512" spans="2:7" ht="15.75" customHeight="1" x14ac:dyDescent="0.25">
      <c r="B6512" s="100"/>
      <c r="C6512" s="100"/>
      <c r="D6512" s="100"/>
      <c r="E6512" s="100"/>
      <c r="F6512" s="102"/>
      <c r="G6512" s="114"/>
    </row>
    <row r="6513" spans="2:7" ht="15.75" customHeight="1" x14ac:dyDescent="0.25">
      <c r="B6513" s="100"/>
      <c r="C6513" s="100"/>
      <c r="D6513" s="100"/>
      <c r="E6513" s="100"/>
      <c r="F6513" s="102"/>
      <c r="G6513" s="114"/>
    </row>
    <row r="6514" spans="2:7" ht="15.75" customHeight="1" x14ac:dyDescent="0.25">
      <c r="B6514" s="100"/>
      <c r="C6514" s="100"/>
      <c r="D6514" s="100"/>
      <c r="E6514" s="100"/>
      <c r="F6514" s="102"/>
      <c r="G6514" s="114"/>
    </row>
    <row r="6515" spans="2:7" ht="15.75" customHeight="1" x14ac:dyDescent="0.25">
      <c r="B6515" s="100"/>
      <c r="C6515" s="100"/>
      <c r="D6515" s="100"/>
      <c r="E6515" s="100"/>
      <c r="F6515" s="102"/>
      <c r="G6515" s="114"/>
    </row>
    <row r="6516" spans="2:7" ht="15.75" customHeight="1" x14ac:dyDescent="0.25">
      <c r="B6516" s="100"/>
      <c r="C6516" s="100"/>
      <c r="D6516" s="100"/>
      <c r="E6516" s="100"/>
      <c r="F6516" s="102"/>
      <c r="G6516" s="114"/>
    </row>
    <row r="6517" spans="2:7" ht="15.75" customHeight="1" x14ac:dyDescent="0.25">
      <c r="B6517" s="100"/>
      <c r="C6517" s="100"/>
      <c r="D6517" s="100"/>
      <c r="E6517" s="100"/>
      <c r="F6517" s="102"/>
      <c r="G6517" s="114"/>
    </row>
    <row r="6518" spans="2:7" ht="15.75" customHeight="1" x14ac:dyDescent="0.25">
      <c r="B6518" s="100"/>
      <c r="C6518" s="100"/>
      <c r="D6518" s="100"/>
      <c r="E6518" s="100"/>
      <c r="F6518" s="102"/>
      <c r="G6518" s="114"/>
    </row>
    <row r="6519" spans="2:7" ht="15.75" customHeight="1" x14ac:dyDescent="0.25">
      <c r="B6519" s="100"/>
      <c r="C6519" s="100"/>
      <c r="D6519" s="100"/>
      <c r="E6519" s="100"/>
      <c r="F6519" s="102"/>
      <c r="G6519" s="114"/>
    </row>
    <row r="6520" spans="2:7" ht="15.75" customHeight="1" x14ac:dyDescent="0.25">
      <c r="B6520" s="100"/>
      <c r="C6520" s="100"/>
      <c r="D6520" s="100"/>
      <c r="E6520" s="100"/>
      <c r="F6520" s="102"/>
      <c r="G6520" s="114"/>
    </row>
    <row r="6521" spans="2:7" ht="15.75" customHeight="1" x14ac:dyDescent="0.25">
      <c r="B6521" s="100"/>
      <c r="C6521" s="100"/>
      <c r="D6521" s="100"/>
      <c r="E6521" s="100"/>
      <c r="F6521" s="102"/>
      <c r="G6521" s="114"/>
    </row>
    <row r="6522" spans="2:7" ht="15.75" customHeight="1" x14ac:dyDescent="0.25">
      <c r="B6522" s="100"/>
      <c r="C6522" s="100"/>
      <c r="D6522" s="100"/>
      <c r="E6522" s="100"/>
      <c r="F6522" s="102"/>
      <c r="G6522" s="114"/>
    </row>
    <row r="6523" spans="2:7" ht="15.75" customHeight="1" x14ac:dyDescent="0.25">
      <c r="B6523" s="100"/>
      <c r="C6523" s="100"/>
      <c r="D6523" s="100"/>
      <c r="E6523" s="100"/>
      <c r="F6523" s="102"/>
      <c r="G6523" s="114"/>
    </row>
    <row r="6524" spans="2:7" ht="15.75" customHeight="1" x14ac:dyDescent="0.25">
      <c r="B6524" s="100"/>
      <c r="C6524" s="100"/>
      <c r="D6524" s="100"/>
      <c r="E6524" s="100"/>
      <c r="F6524" s="102"/>
      <c r="G6524" s="114"/>
    </row>
    <row r="6525" spans="2:7" ht="15.75" customHeight="1" x14ac:dyDescent="0.25">
      <c r="B6525" s="100"/>
      <c r="C6525" s="100"/>
      <c r="D6525" s="100"/>
      <c r="E6525" s="100"/>
      <c r="F6525" s="102"/>
      <c r="G6525" s="114"/>
    </row>
    <row r="6526" spans="2:7" ht="15.75" customHeight="1" x14ac:dyDescent="0.25">
      <c r="B6526" s="100"/>
      <c r="C6526" s="100"/>
      <c r="D6526" s="100"/>
      <c r="E6526" s="100"/>
      <c r="F6526" s="102"/>
      <c r="G6526" s="114"/>
    </row>
    <row r="6527" spans="2:7" ht="15.75" customHeight="1" x14ac:dyDescent="0.25">
      <c r="B6527" s="100"/>
      <c r="C6527" s="100"/>
      <c r="D6527" s="100"/>
      <c r="E6527" s="100"/>
      <c r="F6527" s="102"/>
      <c r="G6527" s="114"/>
    </row>
    <row r="6528" spans="2:7" ht="15.75" customHeight="1" x14ac:dyDescent="0.25">
      <c r="B6528" s="100"/>
      <c r="C6528" s="100"/>
      <c r="D6528" s="100"/>
      <c r="E6528" s="100"/>
      <c r="F6528" s="102"/>
      <c r="G6528" s="114"/>
    </row>
    <row r="6529" spans="2:7" ht="15.75" customHeight="1" x14ac:dyDescent="0.25">
      <c r="B6529" s="100"/>
      <c r="C6529" s="100"/>
      <c r="D6529" s="100"/>
      <c r="E6529" s="100"/>
      <c r="F6529" s="102"/>
      <c r="G6529" s="114"/>
    </row>
    <row r="6530" spans="2:7" ht="15.75" customHeight="1" x14ac:dyDescent="0.25">
      <c r="B6530" s="100"/>
      <c r="C6530" s="100"/>
      <c r="D6530" s="100"/>
      <c r="E6530" s="100"/>
      <c r="F6530" s="102"/>
      <c r="G6530" s="114"/>
    </row>
    <row r="6531" spans="2:7" ht="15.75" customHeight="1" x14ac:dyDescent="0.25">
      <c r="B6531" s="100"/>
      <c r="C6531" s="100"/>
      <c r="D6531" s="100"/>
      <c r="E6531" s="100"/>
      <c r="F6531" s="102"/>
      <c r="G6531" s="114"/>
    </row>
    <row r="6532" spans="2:7" ht="15.75" customHeight="1" x14ac:dyDescent="0.25">
      <c r="B6532" s="100"/>
      <c r="C6532" s="100"/>
      <c r="D6532" s="100"/>
      <c r="E6532" s="100"/>
      <c r="F6532" s="102"/>
      <c r="G6532" s="114"/>
    </row>
    <row r="6533" spans="2:7" ht="15.75" customHeight="1" x14ac:dyDescent="0.25">
      <c r="B6533" s="100"/>
      <c r="C6533" s="100"/>
      <c r="D6533" s="100"/>
      <c r="E6533" s="100"/>
      <c r="F6533" s="102"/>
      <c r="G6533" s="114"/>
    </row>
    <row r="6534" spans="2:7" ht="15.75" customHeight="1" x14ac:dyDescent="0.25">
      <c r="B6534" s="100"/>
      <c r="C6534" s="100"/>
      <c r="D6534" s="100"/>
      <c r="E6534" s="100"/>
      <c r="F6534" s="102"/>
      <c r="G6534" s="114"/>
    </row>
    <row r="6535" spans="2:7" ht="15.75" customHeight="1" x14ac:dyDescent="0.25">
      <c r="B6535" s="100"/>
      <c r="C6535" s="100"/>
      <c r="D6535" s="100"/>
      <c r="E6535" s="100"/>
      <c r="F6535" s="102"/>
      <c r="G6535" s="114"/>
    </row>
    <row r="6536" spans="2:7" ht="15.75" customHeight="1" x14ac:dyDescent="0.25">
      <c r="B6536" s="100"/>
      <c r="C6536" s="100"/>
      <c r="D6536" s="100"/>
      <c r="E6536" s="100"/>
      <c r="F6536" s="102"/>
      <c r="G6536" s="114"/>
    </row>
    <row r="6537" spans="2:7" ht="15.75" customHeight="1" x14ac:dyDescent="0.25">
      <c r="B6537" s="100"/>
      <c r="C6537" s="100"/>
      <c r="D6537" s="100"/>
      <c r="E6537" s="100"/>
      <c r="F6537" s="102"/>
      <c r="G6537" s="114"/>
    </row>
    <row r="6538" spans="2:7" ht="15.75" customHeight="1" x14ac:dyDescent="0.25">
      <c r="B6538" s="100"/>
      <c r="C6538" s="100"/>
      <c r="D6538" s="100"/>
      <c r="E6538" s="100"/>
      <c r="F6538" s="102"/>
      <c r="G6538" s="114"/>
    </row>
    <row r="6539" spans="2:7" ht="15.75" customHeight="1" x14ac:dyDescent="0.25">
      <c r="B6539" s="100"/>
      <c r="C6539" s="100"/>
      <c r="D6539" s="100"/>
      <c r="E6539" s="100"/>
      <c r="F6539" s="102"/>
      <c r="G6539" s="114"/>
    </row>
    <row r="6540" spans="2:7" ht="15.75" customHeight="1" x14ac:dyDescent="0.25">
      <c r="B6540" s="100"/>
      <c r="C6540" s="100"/>
      <c r="D6540" s="100"/>
      <c r="E6540" s="100"/>
      <c r="F6540" s="102"/>
      <c r="G6540" s="114"/>
    </row>
    <row r="6541" spans="2:7" ht="15.75" customHeight="1" x14ac:dyDescent="0.25">
      <c r="B6541" s="100"/>
      <c r="C6541" s="100"/>
      <c r="D6541" s="100"/>
      <c r="E6541" s="100"/>
      <c r="F6541" s="102"/>
      <c r="G6541" s="114"/>
    </row>
    <row r="6542" spans="2:7" ht="15.75" customHeight="1" x14ac:dyDescent="0.25">
      <c r="B6542" s="100"/>
      <c r="C6542" s="100"/>
      <c r="D6542" s="100"/>
      <c r="E6542" s="100"/>
      <c r="F6542" s="102"/>
      <c r="G6542" s="114"/>
    </row>
    <row r="6543" spans="2:7" ht="15.75" customHeight="1" x14ac:dyDescent="0.25">
      <c r="B6543" s="100"/>
      <c r="C6543" s="100"/>
      <c r="D6543" s="100"/>
      <c r="E6543" s="100"/>
      <c r="F6543" s="102"/>
      <c r="G6543" s="114"/>
    </row>
    <row r="6544" spans="2:7" ht="15.75" customHeight="1" x14ac:dyDescent="0.25">
      <c r="B6544" s="100"/>
      <c r="C6544" s="100"/>
      <c r="D6544" s="100"/>
      <c r="E6544" s="100"/>
      <c r="F6544" s="102"/>
      <c r="G6544" s="114"/>
    </row>
    <row r="6545" spans="2:7" ht="15.75" customHeight="1" x14ac:dyDescent="0.25">
      <c r="B6545" s="100"/>
      <c r="C6545" s="100"/>
      <c r="D6545" s="100"/>
      <c r="E6545" s="100"/>
      <c r="F6545" s="102"/>
      <c r="G6545" s="114"/>
    </row>
    <row r="6546" spans="2:7" ht="15.75" customHeight="1" x14ac:dyDescent="0.25">
      <c r="B6546" s="100"/>
      <c r="C6546" s="100"/>
      <c r="D6546" s="100"/>
      <c r="E6546" s="100"/>
      <c r="F6546" s="102"/>
      <c r="G6546" s="114"/>
    </row>
    <row r="6547" spans="2:7" ht="15.75" customHeight="1" x14ac:dyDescent="0.25">
      <c r="B6547" s="100"/>
      <c r="C6547" s="100"/>
      <c r="D6547" s="100"/>
      <c r="E6547" s="100"/>
      <c r="F6547" s="102"/>
      <c r="G6547" s="114"/>
    </row>
    <row r="6548" spans="2:7" ht="15.75" customHeight="1" x14ac:dyDescent="0.25">
      <c r="B6548" s="100"/>
      <c r="C6548" s="100"/>
      <c r="D6548" s="100"/>
      <c r="E6548" s="100"/>
      <c r="F6548" s="102"/>
      <c r="G6548" s="114"/>
    </row>
    <row r="6549" spans="2:7" ht="15.75" customHeight="1" x14ac:dyDescent="0.25">
      <c r="B6549" s="100"/>
      <c r="C6549" s="100"/>
      <c r="D6549" s="100"/>
      <c r="E6549" s="100"/>
      <c r="F6549" s="102"/>
      <c r="G6549" s="114"/>
    </row>
    <row r="6550" spans="2:7" ht="15.75" customHeight="1" x14ac:dyDescent="0.25">
      <c r="B6550" s="100"/>
      <c r="C6550" s="100"/>
      <c r="D6550" s="100"/>
      <c r="E6550" s="100"/>
      <c r="F6550" s="102"/>
      <c r="G6550" s="114"/>
    </row>
    <row r="6551" spans="2:7" ht="15.75" customHeight="1" x14ac:dyDescent="0.25">
      <c r="B6551" s="100"/>
      <c r="C6551" s="100"/>
      <c r="D6551" s="100"/>
      <c r="E6551" s="100"/>
      <c r="F6551" s="102"/>
      <c r="G6551" s="114"/>
    </row>
    <row r="6552" spans="2:7" ht="15.75" customHeight="1" x14ac:dyDescent="0.25">
      <c r="B6552" s="100"/>
      <c r="C6552" s="100"/>
      <c r="D6552" s="100"/>
      <c r="E6552" s="100"/>
      <c r="F6552" s="102"/>
      <c r="G6552" s="114"/>
    </row>
    <row r="6553" spans="2:7" ht="15.75" customHeight="1" x14ac:dyDescent="0.25">
      <c r="B6553" s="100"/>
      <c r="C6553" s="100"/>
      <c r="D6553" s="100"/>
      <c r="E6553" s="100"/>
      <c r="F6553" s="102"/>
      <c r="G6553" s="114"/>
    </row>
    <row r="6554" spans="2:7" ht="15.75" customHeight="1" x14ac:dyDescent="0.25">
      <c r="B6554" s="100"/>
      <c r="C6554" s="100"/>
      <c r="D6554" s="100"/>
      <c r="E6554" s="100"/>
      <c r="F6554" s="102"/>
      <c r="G6554" s="114"/>
    </row>
    <row r="6555" spans="2:7" ht="15.75" customHeight="1" x14ac:dyDescent="0.25">
      <c r="B6555" s="100"/>
      <c r="C6555" s="100"/>
      <c r="D6555" s="100"/>
      <c r="E6555" s="100"/>
      <c r="F6555" s="102"/>
      <c r="G6555" s="114"/>
    </row>
    <row r="6556" spans="2:7" ht="15.75" customHeight="1" x14ac:dyDescent="0.25">
      <c r="B6556" s="100"/>
      <c r="C6556" s="100"/>
      <c r="D6556" s="100"/>
      <c r="E6556" s="100"/>
      <c r="F6556" s="102"/>
      <c r="G6556" s="114"/>
    </row>
    <row r="6557" spans="2:7" ht="15.75" customHeight="1" x14ac:dyDescent="0.25">
      <c r="B6557" s="100"/>
      <c r="C6557" s="100"/>
      <c r="D6557" s="100"/>
      <c r="E6557" s="100"/>
      <c r="F6557" s="102"/>
      <c r="G6557" s="114"/>
    </row>
    <row r="6558" spans="2:7" ht="15.75" customHeight="1" x14ac:dyDescent="0.25">
      <c r="B6558" s="100"/>
      <c r="C6558" s="100"/>
      <c r="D6558" s="100"/>
      <c r="E6558" s="100"/>
      <c r="F6558" s="102"/>
      <c r="G6558" s="114"/>
    </row>
    <row r="6559" spans="2:7" ht="15.75" customHeight="1" x14ac:dyDescent="0.25">
      <c r="B6559" s="100"/>
      <c r="C6559" s="100"/>
      <c r="D6559" s="100"/>
      <c r="E6559" s="100"/>
      <c r="F6559" s="102"/>
      <c r="G6559" s="114"/>
    </row>
    <row r="6560" spans="2:7" ht="15.75" customHeight="1" x14ac:dyDescent="0.25">
      <c r="B6560" s="100"/>
      <c r="C6560" s="100"/>
      <c r="D6560" s="100"/>
      <c r="E6560" s="100"/>
      <c r="F6560" s="102"/>
      <c r="G6560" s="114"/>
    </row>
    <row r="6561" spans="2:7" ht="15.75" customHeight="1" x14ac:dyDescent="0.25">
      <c r="B6561" s="100"/>
      <c r="C6561" s="100"/>
      <c r="D6561" s="100"/>
      <c r="E6561" s="100"/>
      <c r="F6561" s="102"/>
      <c r="G6561" s="114"/>
    </row>
    <row r="6562" spans="2:7" ht="15.75" customHeight="1" x14ac:dyDescent="0.25">
      <c r="B6562" s="100"/>
      <c r="C6562" s="100"/>
      <c r="D6562" s="100"/>
      <c r="E6562" s="100"/>
      <c r="F6562" s="102"/>
      <c r="G6562" s="114"/>
    </row>
    <row r="6563" spans="2:7" ht="15.75" customHeight="1" x14ac:dyDescent="0.25">
      <c r="B6563" s="100"/>
      <c r="C6563" s="100"/>
      <c r="D6563" s="100"/>
      <c r="E6563" s="100"/>
      <c r="F6563" s="102"/>
      <c r="G6563" s="114"/>
    </row>
    <row r="6564" spans="2:7" ht="15.75" customHeight="1" x14ac:dyDescent="0.25">
      <c r="B6564" s="100"/>
      <c r="C6564" s="100"/>
      <c r="D6564" s="100"/>
      <c r="E6564" s="100"/>
      <c r="F6564" s="102"/>
      <c r="G6564" s="114"/>
    </row>
    <row r="6565" spans="2:7" ht="15.75" customHeight="1" x14ac:dyDescent="0.25">
      <c r="B6565" s="100"/>
      <c r="C6565" s="100"/>
      <c r="D6565" s="100"/>
      <c r="E6565" s="100"/>
      <c r="F6565" s="102"/>
      <c r="G6565" s="114"/>
    </row>
    <row r="6566" spans="2:7" ht="15.75" customHeight="1" x14ac:dyDescent="0.25">
      <c r="B6566" s="100"/>
      <c r="C6566" s="100"/>
      <c r="D6566" s="100"/>
      <c r="E6566" s="100"/>
      <c r="F6566" s="102"/>
      <c r="G6566" s="114"/>
    </row>
    <row r="6567" spans="2:7" ht="15.75" customHeight="1" x14ac:dyDescent="0.25">
      <c r="B6567" s="100"/>
      <c r="C6567" s="100"/>
      <c r="D6567" s="100"/>
      <c r="E6567" s="100"/>
      <c r="F6567" s="102"/>
      <c r="G6567" s="114"/>
    </row>
    <row r="6568" spans="2:7" ht="15.75" customHeight="1" x14ac:dyDescent="0.25">
      <c r="B6568" s="100"/>
      <c r="C6568" s="100"/>
      <c r="D6568" s="100"/>
      <c r="E6568" s="100"/>
      <c r="F6568" s="102"/>
      <c r="G6568" s="114"/>
    </row>
    <row r="6569" spans="2:7" ht="15.75" customHeight="1" x14ac:dyDescent="0.25">
      <c r="B6569" s="100"/>
      <c r="C6569" s="100"/>
      <c r="D6569" s="100"/>
      <c r="E6569" s="100"/>
      <c r="F6569" s="102"/>
      <c r="G6569" s="114"/>
    </row>
    <row r="6570" spans="2:7" ht="15.75" customHeight="1" x14ac:dyDescent="0.25">
      <c r="B6570" s="100"/>
      <c r="C6570" s="100"/>
      <c r="D6570" s="100"/>
      <c r="E6570" s="100"/>
      <c r="F6570" s="102"/>
      <c r="G6570" s="114"/>
    </row>
    <row r="6571" spans="2:7" ht="15.75" customHeight="1" x14ac:dyDescent="0.25">
      <c r="B6571" s="100"/>
      <c r="C6571" s="100"/>
      <c r="D6571" s="100"/>
      <c r="E6571" s="100"/>
      <c r="F6571" s="102"/>
      <c r="G6571" s="114"/>
    </row>
    <row r="6572" spans="2:7" ht="15.75" customHeight="1" x14ac:dyDescent="0.25">
      <c r="B6572" s="100"/>
      <c r="C6572" s="100"/>
      <c r="D6572" s="100"/>
      <c r="E6572" s="100"/>
      <c r="F6572" s="102"/>
      <c r="G6572" s="114"/>
    </row>
    <row r="6573" spans="2:7" ht="15.75" customHeight="1" x14ac:dyDescent="0.25">
      <c r="B6573" s="100"/>
      <c r="C6573" s="100"/>
      <c r="D6573" s="100"/>
      <c r="E6573" s="100"/>
      <c r="F6573" s="102"/>
      <c r="G6573" s="114"/>
    </row>
    <row r="6574" spans="2:7" ht="15.75" customHeight="1" x14ac:dyDescent="0.25">
      <c r="B6574" s="100"/>
      <c r="C6574" s="100"/>
      <c r="D6574" s="100"/>
      <c r="E6574" s="100"/>
      <c r="F6574" s="102"/>
      <c r="G6574" s="114"/>
    </row>
    <row r="6575" spans="2:7" ht="15.75" customHeight="1" x14ac:dyDescent="0.25">
      <c r="B6575" s="100"/>
      <c r="C6575" s="100"/>
      <c r="D6575" s="100"/>
      <c r="E6575" s="100"/>
      <c r="F6575" s="102"/>
      <c r="G6575" s="114"/>
    </row>
    <row r="6576" spans="2:7" ht="15.75" customHeight="1" x14ac:dyDescent="0.25">
      <c r="B6576" s="100"/>
      <c r="C6576" s="100"/>
      <c r="D6576" s="100"/>
      <c r="E6576" s="100"/>
      <c r="F6576" s="102"/>
      <c r="G6576" s="114"/>
    </row>
    <row r="6577" spans="2:7" ht="15.75" customHeight="1" x14ac:dyDescent="0.25">
      <c r="B6577" s="100"/>
      <c r="C6577" s="100"/>
      <c r="D6577" s="100"/>
      <c r="E6577" s="100"/>
      <c r="F6577" s="102"/>
      <c r="G6577" s="114"/>
    </row>
    <row r="6578" spans="2:7" ht="15.75" customHeight="1" x14ac:dyDescent="0.25">
      <c r="B6578" s="100"/>
      <c r="C6578" s="100"/>
      <c r="D6578" s="100"/>
      <c r="E6578" s="100"/>
      <c r="F6578" s="102"/>
      <c r="G6578" s="114"/>
    </row>
    <row r="6579" spans="2:7" ht="15.75" customHeight="1" x14ac:dyDescent="0.25">
      <c r="B6579" s="100"/>
      <c r="C6579" s="100"/>
      <c r="D6579" s="100"/>
      <c r="E6579" s="100"/>
      <c r="F6579" s="102"/>
      <c r="G6579" s="114"/>
    </row>
    <row r="6580" spans="2:7" ht="15.75" customHeight="1" x14ac:dyDescent="0.25">
      <c r="B6580" s="100"/>
      <c r="C6580" s="100"/>
      <c r="D6580" s="100"/>
      <c r="E6580" s="100"/>
      <c r="F6580" s="102"/>
      <c r="G6580" s="114"/>
    </row>
    <row r="6581" spans="2:7" ht="15.75" customHeight="1" x14ac:dyDescent="0.25">
      <c r="B6581" s="100"/>
      <c r="C6581" s="100"/>
      <c r="D6581" s="100"/>
      <c r="E6581" s="100"/>
      <c r="F6581" s="102"/>
      <c r="G6581" s="114"/>
    </row>
    <row r="6582" spans="2:7" ht="15.75" customHeight="1" x14ac:dyDescent="0.25">
      <c r="B6582" s="100"/>
      <c r="C6582" s="100"/>
      <c r="D6582" s="100"/>
      <c r="E6582" s="100"/>
      <c r="F6582" s="102"/>
      <c r="G6582" s="114"/>
    </row>
    <row r="6583" spans="2:7" ht="15.75" customHeight="1" x14ac:dyDescent="0.25">
      <c r="B6583" s="100"/>
      <c r="C6583" s="100"/>
      <c r="D6583" s="100"/>
      <c r="E6583" s="100"/>
      <c r="F6583" s="102"/>
      <c r="G6583" s="114"/>
    </row>
    <row r="6584" spans="2:7" ht="15.75" customHeight="1" x14ac:dyDescent="0.25">
      <c r="B6584" s="100"/>
      <c r="C6584" s="100"/>
      <c r="D6584" s="100"/>
      <c r="E6584" s="100"/>
      <c r="F6584" s="102"/>
      <c r="G6584" s="114"/>
    </row>
    <row r="6585" spans="2:7" ht="15.75" customHeight="1" x14ac:dyDescent="0.25">
      <c r="B6585" s="100"/>
      <c r="C6585" s="100"/>
      <c r="D6585" s="100"/>
      <c r="E6585" s="100"/>
      <c r="F6585" s="102"/>
      <c r="G6585" s="114"/>
    </row>
    <row r="6586" spans="2:7" ht="15.75" customHeight="1" x14ac:dyDescent="0.25">
      <c r="B6586" s="100"/>
      <c r="C6586" s="100"/>
      <c r="D6586" s="100"/>
      <c r="E6586" s="100"/>
      <c r="F6586" s="102"/>
      <c r="G6586" s="114"/>
    </row>
    <row r="6587" spans="2:7" ht="15.75" customHeight="1" x14ac:dyDescent="0.25">
      <c r="B6587" s="100"/>
      <c r="C6587" s="100"/>
      <c r="D6587" s="100"/>
      <c r="E6587" s="100"/>
      <c r="F6587" s="102"/>
      <c r="G6587" s="114"/>
    </row>
    <row r="6588" spans="2:7" ht="15.75" customHeight="1" x14ac:dyDescent="0.25">
      <c r="B6588" s="100"/>
      <c r="C6588" s="100"/>
      <c r="D6588" s="100"/>
      <c r="E6588" s="100"/>
      <c r="F6588" s="102"/>
      <c r="G6588" s="114"/>
    </row>
    <row r="6589" spans="2:7" ht="15.75" customHeight="1" x14ac:dyDescent="0.25">
      <c r="B6589" s="100"/>
      <c r="C6589" s="100"/>
      <c r="D6589" s="100"/>
      <c r="E6589" s="100"/>
      <c r="F6589" s="102"/>
      <c r="G6589" s="114"/>
    </row>
    <row r="6590" spans="2:7" ht="15.75" customHeight="1" x14ac:dyDescent="0.25">
      <c r="B6590" s="100"/>
      <c r="C6590" s="100"/>
      <c r="D6590" s="100"/>
      <c r="E6590" s="100"/>
      <c r="F6590" s="102"/>
      <c r="G6590" s="114"/>
    </row>
    <row r="6591" spans="2:7" ht="15.75" customHeight="1" x14ac:dyDescent="0.25">
      <c r="B6591" s="100"/>
      <c r="C6591" s="100"/>
      <c r="D6591" s="100"/>
      <c r="E6591" s="100"/>
      <c r="F6591" s="102"/>
      <c r="G6591" s="114"/>
    </row>
    <row r="6592" spans="2:7" ht="15.75" customHeight="1" x14ac:dyDescent="0.25">
      <c r="B6592" s="100"/>
      <c r="C6592" s="100"/>
      <c r="D6592" s="100"/>
      <c r="E6592" s="100"/>
      <c r="F6592" s="102"/>
      <c r="G6592" s="114"/>
    </row>
    <row r="6593" spans="2:7" ht="15.75" customHeight="1" x14ac:dyDescent="0.25">
      <c r="B6593" s="100"/>
      <c r="C6593" s="100"/>
      <c r="D6593" s="100"/>
      <c r="E6593" s="100"/>
      <c r="F6593" s="102"/>
      <c r="G6593" s="114"/>
    </row>
    <row r="6594" spans="2:7" ht="15.75" customHeight="1" x14ac:dyDescent="0.25">
      <c r="B6594" s="100"/>
      <c r="C6594" s="100"/>
      <c r="D6594" s="100"/>
      <c r="E6594" s="100"/>
      <c r="F6594" s="102"/>
      <c r="G6594" s="114"/>
    </row>
    <row r="6595" spans="2:7" ht="15.75" customHeight="1" x14ac:dyDescent="0.25">
      <c r="B6595" s="100"/>
      <c r="C6595" s="100"/>
      <c r="D6595" s="100"/>
      <c r="E6595" s="100"/>
      <c r="F6595" s="102"/>
      <c r="G6595" s="114"/>
    </row>
    <row r="6596" spans="2:7" ht="15.75" customHeight="1" x14ac:dyDescent="0.25">
      <c r="B6596" s="100"/>
      <c r="C6596" s="100"/>
      <c r="D6596" s="100"/>
      <c r="E6596" s="100"/>
      <c r="F6596" s="102"/>
      <c r="G6596" s="114"/>
    </row>
    <row r="6597" spans="2:7" ht="15.75" customHeight="1" x14ac:dyDescent="0.25">
      <c r="B6597" s="100"/>
      <c r="C6597" s="100"/>
      <c r="D6597" s="100"/>
      <c r="E6597" s="100"/>
      <c r="F6597" s="102"/>
      <c r="G6597" s="114"/>
    </row>
    <row r="6598" spans="2:7" ht="15.75" customHeight="1" x14ac:dyDescent="0.25">
      <c r="B6598" s="100"/>
      <c r="C6598" s="100"/>
      <c r="D6598" s="100"/>
      <c r="E6598" s="100"/>
      <c r="F6598" s="102"/>
      <c r="G6598" s="114"/>
    </row>
    <row r="6599" spans="2:7" ht="15.75" customHeight="1" x14ac:dyDescent="0.25">
      <c r="B6599" s="100"/>
      <c r="C6599" s="100"/>
      <c r="D6599" s="100"/>
      <c r="E6599" s="100"/>
      <c r="F6599" s="102"/>
      <c r="G6599" s="114"/>
    </row>
    <row r="6600" spans="2:7" ht="15.75" customHeight="1" x14ac:dyDescent="0.25">
      <c r="B6600" s="100"/>
      <c r="C6600" s="100"/>
      <c r="D6600" s="100"/>
      <c r="E6600" s="100"/>
      <c r="F6600" s="102"/>
      <c r="G6600" s="114"/>
    </row>
    <row r="6601" spans="2:7" ht="15.75" customHeight="1" x14ac:dyDescent="0.25">
      <c r="B6601" s="100"/>
      <c r="C6601" s="100"/>
      <c r="D6601" s="100"/>
      <c r="E6601" s="100"/>
      <c r="F6601" s="102"/>
      <c r="G6601" s="114"/>
    </row>
    <row r="6602" spans="2:7" ht="15.75" customHeight="1" x14ac:dyDescent="0.25">
      <c r="B6602" s="100"/>
      <c r="C6602" s="100"/>
      <c r="D6602" s="100"/>
      <c r="E6602" s="100"/>
      <c r="F6602" s="102"/>
      <c r="G6602" s="114"/>
    </row>
    <row r="6603" spans="2:7" ht="15.75" customHeight="1" x14ac:dyDescent="0.25">
      <c r="B6603" s="100"/>
      <c r="C6603" s="100"/>
      <c r="D6603" s="100"/>
      <c r="E6603" s="100"/>
      <c r="F6603" s="102"/>
      <c r="G6603" s="114"/>
    </row>
    <row r="6604" spans="2:7" ht="15.75" customHeight="1" x14ac:dyDescent="0.25">
      <c r="B6604" s="100"/>
      <c r="C6604" s="100"/>
      <c r="D6604" s="100"/>
      <c r="E6604" s="100"/>
      <c r="F6604" s="102"/>
      <c r="G6604" s="114"/>
    </row>
    <row r="6605" spans="2:7" ht="15.75" customHeight="1" x14ac:dyDescent="0.25">
      <c r="B6605" s="100"/>
      <c r="C6605" s="100"/>
      <c r="D6605" s="100"/>
      <c r="E6605" s="100"/>
      <c r="F6605" s="102"/>
      <c r="G6605" s="114"/>
    </row>
    <row r="6606" spans="2:7" ht="15.75" customHeight="1" x14ac:dyDescent="0.25">
      <c r="B6606" s="100"/>
      <c r="C6606" s="100"/>
      <c r="D6606" s="100"/>
      <c r="E6606" s="100"/>
      <c r="F6606" s="102"/>
      <c r="G6606" s="114"/>
    </row>
    <row r="6607" spans="2:7" ht="15.75" customHeight="1" x14ac:dyDescent="0.25">
      <c r="B6607" s="100"/>
      <c r="C6607" s="100"/>
      <c r="D6607" s="100"/>
      <c r="E6607" s="100"/>
      <c r="F6607" s="102"/>
      <c r="G6607" s="114"/>
    </row>
    <row r="6608" spans="2:7" ht="15.75" customHeight="1" x14ac:dyDescent="0.25">
      <c r="B6608" s="100"/>
      <c r="C6608" s="100"/>
      <c r="D6608" s="100"/>
      <c r="E6608" s="100"/>
      <c r="F6608" s="102"/>
      <c r="G6608" s="114"/>
    </row>
    <row r="6609" spans="2:7" ht="15.75" customHeight="1" x14ac:dyDescent="0.25">
      <c r="B6609" s="100"/>
      <c r="C6609" s="100"/>
      <c r="D6609" s="100"/>
      <c r="E6609" s="100"/>
      <c r="F6609" s="102"/>
      <c r="G6609" s="114"/>
    </row>
    <row r="6610" spans="2:7" ht="15.75" customHeight="1" x14ac:dyDescent="0.25">
      <c r="B6610" s="100"/>
      <c r="C6610" s="100"/>
      <c r="D6610" s="100"/>
      <c r="E6610" s="100"/>
      <c r="F6610" s="102"/>
      <c r="G6610" s="114"/>
    </row>
    <row r="6611" spans="2:7" ht="15.75" customHeight="1" x14ac:dyDescent="0.25">
      <c r="B6611" s="100"/>
      <c r="C6611" s="100"/>
      <c r="D6611" s="100"/>
      <c r="E6611" s="100"/>
      <c r="F6611" s="102"/>
      <c r="G6611" s="114"/>
    </row>
    <row r="6612" spans="2:7" ht="15.75" customHeight="1" x14ac:dyDescent="0.25">
      <c r="B6612" s="100"/>
      <c r="C6612" s="100"/>
      <c r="D6612" s="100"/>
      <c r="E6612" s="100"/>
      <c r="F6612" s="102"/>
      <c r="G6612" s="114"/>
    </row>
    <row r="6613" spans="2:7" ht="15.75" customHeight="1" x14ac:dyDescent="0.25">
      <c r="B6613" s="100"/>
      <c r="C6613" s="100"/>
      <c r="D6613" s="100"/>
      <c r="E6613" s="100"/>
      <c r="F6613" s="102"/>
      <c r="G6613" s="114"/>
    </row>
    <row r="6614" spans="2:7" ht="15.75" customHeight="1" x14ac:dyDescent="0.25">
      <c r="B6614" s="100"/>
      <c r="C6614" s="100"/>
      <c r="D6614" s="100"/>
      <c r="E6614" s="100"/>
      <c r="F6614" s="102"/>
      <c r="G6614" s="114"/>
    </row>
    <row r="6615" spans="2:7" ht="15.75" customHeight="1" x14ac:dyDescent="0.25">
      <c r="B6615" s="100"/>
      <c r="C6615" s="100"/>
      <c r="D6615" s="100"/>
      <c r="E6615" s="100"/>
      <c r="F6615" s="102"/>
      <c r="G6615" s="114"/>
    </row>
    <row r="6616" spans="2:7" ht="15.75" customHeight="1" x14ac:dyDescent="0.25">
      <c r="B6616" s="100"/>
      <c r="C6616" s="100"/>
      <c r="D6616" s="100"/>
      <c r="E6616" s="100"/>
      <c r="F6616" s="102"/>
      <c r="G6616" s="114"/>
    </row>
    <row r="6617" spans="2:7" ht="15.75" customHeight="1" x14ac:dyDescent="0.25">
      <c r="B6617" s="100"/>
      <c r="C6617" s="100"/>
      <c r="D6617" s="100"/>
      <c r="E6617" s="100"/>
      <c r="F6617" s="102"/>
      <c r="G6617" s="114"/>
    </row>
    <row r="6618" spans="2:7" ht="15.75" customHeight="1" x14ac:dyDescent="0.25">
      <c r="B6618" s="100"/>
      <c r="C6618" s="100"/>
      <c r="D6618" s="100"/>
      <c r="E6618" s="100"/>
      <c r="F6618" s="102"/>
      <c r="G6618" s="114"/>
    </row>
    <row r="6619" spans="2:7" ht="15.75" customHeight="1" x14ac:dyDescent="0.25">
      <c r="B6619" s="100"/>
      <c r="C6619" s="100"/>
      <c r="D6619" s="100"/>
      <c r="E6619" s="100"/>
      <c r="F6619" s="102"/>
      <c r="G6619" s="114"/>
    </row>
    <row r="6620" spans="2:7" ht="15.75" customHeight="1" x14ac:dyDescent="0.25">
      <c r="B6620" s="100"/>
      <c r="C6620" s="100"/>
      <c r="D6620" s="100"/>
      <c r="E6620" s="100"/>
      <c r="F6620" s="102"/>
      <c r="G6620" s="114"/>
    </row>
    <row r="6621" spans="2:7" ht="15.75" customHeight="1" x14ac:dyDescent="0.25">
      <c r="B6621" s="100"/>
      <c r="C6621" s="100"/>
      <c r="D6621" s="100"/>
      <c r="E6621" s="100"/>
      <c r="F6621" s="102"/>
      <c r="G6621" s="114"/>
    </row>
    <row r="6622" spans="2:7" ht="15.75" customHeight="1" x14ac:dyDescent="0.25">
      <c r="B6622" s="100"/>
      <c r="C6622" s="100"/>
      <c r="D6622" s="100"/>
      <c r="E6622" s="100"/>
      <c r="F6622" s="102"/>
      <c r="G6622" s="114"/>
    </row>
    <row r="6623" spans="2:7" ht="15.75" customHeight="1" x14ac:dyDescent="0.25">
      <c r="B6623" s="100"/>
      <c r="C6623" s="100"/>
      <c r="D6623" s="100"/>
      <c r="E6623" s="100"/>
      <c r="F6623" s="102"/>
      <c r="G6623" s="114"/>
    </row>
    <row r="6624" spans="2:7" ht="15.75" customHeight="1" x14ac:dyDescent="0.25">
      <c r="B6624" s="100"/>
      <c r="C6624" s="100"/>
      <c r="D6624" s="100"/>
      <c r="E6624" s="100"/>
      <c r="F6624" s="102"/>
      <c r="G6624" s="114"/>
    </row>
    <row r="6625" spans="2:7" ht="15.75" customHeight="1" x14ac:dyDescent="0.25">
      <c r="B6625" s="100"/>
      <c r="C6625" s="100"/>
      <c r="D6625" s="100"/>
      <c r="E6625" s="100"/>
      <c r="F6625" s="102"/>
      <c r="G6625" s="114"/>
    </row>
    <row r="6626" spans="2:7" ht="15.75" customHeight="1" x14ac:dyDescent="0.25">
      <c r="B6626" s="100"/>
      <c r="C6626" s="100"/>
      <c r="D6626" s="100"/>
      <c r="E6626" s="100"/>
      <c r="F6626" s="102"/>
      <c r="G6626" s="114"/>
    </row>
    <row r="6627" spans="2:7" ht="15.75" customHeight="1" x14ac:dyDescent="0.25">
      <c r="B6627" s="100"/>
      <c r="C6627" s="100"/>
      <c r="D6627" s="100"/>
      <c r="E6627" s="100"/>
      <c r="F6627" s="102"/>
      <c r="G6627" s="114"/>
    </row>
    <row r="6628" spans="2:7" ht="15.75" customHeight="1" x14ac:dyDescent="0.25">
      <c r="B6628" s="100"/>
      <c r="C6628" s="100"/>
      <c r="D6628" s="100"/>
      <c r="E6628" s="100"/>
      <c r="F6628" s="102"/>
      <c r="G6628" s="114"/>
    </row>
    <row r="6629" spans="2:7" ht="15.75" customHeight="1" x14ac:dyDescent="0.25">
      <c r="B6629" s="100"/>
      <c r="C6629" s="100"/>
      <c r="D6629" s="100"/>
      <c r="E6629" s="100"/>
      <c r="F6629" s="102"/>
      <c r="G6629" s="114"/>
    </row>
    <row r="6630" spans="2:7" ht="15.75" customHeight="1" x14ac:dyDescent="0.25">
      <c r="B6630" s="100"/>
      <c r="C6630" s="100"/>
      <c r="D6630" s="100"/>
      <c r="E6630" s="100"/>
      <c r="F6630" s="102"/>
      <c r="G6630" s="114"/>
    </row>
    <row r="6631" spans="2:7" ht="15.75" customHeight="1" x14ac:dyDescent="0.25">
      <c r="B6631" s="100"/>
      <c r="C6631" s="100"/>
      <c r="D6631" s="100"/>
      <c r="E6631" s="100"/>
      <c r="F6631" s="102"/>
      <c r="G6631" s="114"/>
    </row>
    <row r="6632" spans="2:7" ht="15.75" customHeight="1" x14ac:dyDescent="0.25">
      <c r="B6632" s="100"/>
      <c r="C6632" s="100"/>
      <c r="D6632" s="100"/>
      <c r="E6632" s="100"/>
      <c r="F6632" s="102"/>
      <c r="G6632" s="114"/>
    </row>
    <row r="6633" spans="2:7" ht="15.75" customHeight="1" x14ac:dyDescent="0.25">
      <c r="B6633" s="100"/>
      <c r="C6633" s="100"/>
      <c r="D6633" s="100"/>
      <c r="E6633" s="100"/>
      <c r="F6633" s="102"/>
      <c r="G6633" s="114"/>
    </row>
    <row r="6634" spans="2:7" ht="15.75" customHeight="1" x14ac:dyDescent="0.25">
      <c r="B6634" s="100"/>
      <c r="C6634" s="100"/>
      <c r="D6634" s="100"/>
      <c r="E6634" s="100"/>
      <c r="F6634" s="102"/>
      <c r="G6634" s="114"/>
    </row>
    <row r="6635" spans="2:7" ht="15.75" customHeight="1" x14ac:dyDescent="0.25">
      <c r="B6635" s="100"/>
      <c r="C6635" s="100"/>
      <c r="D6635" s="100"/>
      <c r="E6635" s="100"/>
      <c r="F6635" s="102"/>
      <c r="G6635" s="114"/>
    </row>
    <row r="6636" spans="2:7" ht="15.75" customHeight="1" x14ac:dyDescent="0.25">
      <c r="B6636" s="100"/>
      <c r="C6636" s="100"/>
      <c r="D6636" s="100"/>
      <c r="E6636" s="100"/>
      <c r="F6636" s="102"/>
      <c r="G6636" s="114"/>
    </row>
    <row r="6637" spans="2:7" ht="15.75" customHeight="1" x14ac:dyDescent="0.25">
      <c r="B6637" s="100"/>
      <c r="C6637" s="100"/>
      <c r="D6637" s="100"/>
      <c r="E6637" s="100"/>
      <c r="F6637" s="102"/>
      <c r="G6637" s="114"/>
    </row>
    <row r="6638" spans="2:7" ht="15.75" customHeight="1" x14ac:dyDescent="0.25">
      <c r="B6638" s="100"/>
      <c r="C6638" s="100"/>
      <c r="D6638" s="100"/>
      <c r="E6638" s="100"/>
      <c r="F6638" s="102"/>
      <c r="G6638" s="114"/>
    </row>
    <row r="6639" spans="2:7" ht="15.75" customHeight="1" x14ac:dyDescent="0.25">
      <c r="B6639" s="100"/>
      <c r="C6639" s="100"/>
      <c r="D6639" s="100"/>
      <c r="E6639" s="100"/>
      <c r="F6639" s="102"/>
      <c r="G6639" s="114"/>
    </row>
    <row r="6640" spans="2:7" ht="15.75" customHeight="1" x14ac:dyDescent="0.25">
      <c r="B6640" s="100"/>
      <c r="C6640" s="100"/>
      <c r="D6640" s="100"/>
      <c r="E6640" s="100"/>
      <c r="F6640" s="102"/>
      <c r="G6640" s="114"/>
    </row>
    <row r="6641" spans="2:7" ht="15.75" customHeight="1" x14ac:dyDescent="0.25">
      <c r="B6641" s="100"/>
      <c r="C6641" s="100"/>
      <c r="D6641" s="100"/>
      <c r="E6641" s="100"/>
      <c r="F6641" s="102"/>
      <c r="G6641" s="114"/>
    </row>
    <row r="6642" spans="2:7" ht="15.75" customHeight="1" x14ac:dyDescent="0.25">
      <c r="B6642" s="100"/>
      <c r="C6642" s="100"/>
      <c r="D6642" s="100"/>
      <c r="E6642" s="100"/>
      <c r="F6642" s="102"/>
      <c r="G6642" s="114"/>
    </row>
    <row r="6643" spans="2:7" ht="15.75" customHeight="1" x14ac:dyDescent="0.25">
      <c r="B6643" s="100"/>
      <c r="C6643" s="100"/>
      <c r="D6643" s="100"/>
      <c r="E6643" s="100"/>
      <c r="F6643" s="102"/>
      <c r="G6643" s="114"/>
    </row>
    <row r="6644" spans="2:7" ht="15.75" customHeight="1" x14ac:dyDescent="0.25">
      <c r="B6644" s="100"/>
      <c r="C6644" s="100"/>
      <c r="D6644" s="100"/>
      <c r="E6644" s="100"/>
      <c r="F6644" s="102"/>
      <c r="G6644" s="114"/>
    </row>
    <row r="6645" spans="2:7" ht="15.75" customHeight="1" x14ac:dyDescent="0.25">
      <c r="B6645" s="100"/>
      <c r="C6645" s="100"/>
      <c r="D6645" s="100"/>
      <c r="E6645" s="100"/>
      <c r="F6645" s="102"/>
      <c r="G6645" s="114"/>
    </row>
    <row r="6646" spans="2:7" ht="15.75" customHeight="1" x14ac:dyDescent="0.25">
      <c r="B6646" s="100"/>
      <c r="C6646" s="100"/>
      <c r="D6646" s="100"/>
      <c r="E6646" s="100"/>
      <c r="F6646" s="102"/>
      <c r="G6646" s="114"/>
    </row>
    <row r="6647" spans="2:7" ht="15.75" customHeight="1" x14ac:dyDescent="0.25">
      <c r="B6647" s="100"/>
      <c r="C6647" s="100"/>
      <c r="D6647" s="100"/>
      <c r="E6647" s="100"/>
      <c r="F6647" s="102"/>
      <c r="G6647" s="114"/>
    </row>
    <row r="6648" spans="2:7" ht="15.75" customHeight="1" x14ac:dyDescent="0.25">
      <c r="B6648" s="100"/>
      <c r="C6648" s="100"/>
      <c r="D6648" s="100"/>
      <c r="E6648" s="100"/>
      <c r="F6648" s="102"/>
      <c r="G6648" s="114"/>
    </row>
    <row r="6649" spans="2:7" ht="15.75" customHeight="1" x14ac:dyDescent="0.25">
      <c r="B6649" s="100"/>
      <c r="C6649" s="100"/>
      <c r="D6649" s="100"/>
      <c r="E6649" s="100"/>
      <c r="F6649" s="102"/>
      <c r="G6649" s="114"/>
    </row>
    <row r="6650" spans="2:7" ht="15.75" customHeight="1" x14ac:dyDescent="0.25">
      <c r="B6650" s="100"/>
      <c r="C6650" s="100"/>
      <c r="D6650" s="100"/>
      <c r="E6650" s="100"/>
      <c r="F6650" s="102"/>
      <c r="G6650" s="114"/>
    </row>
    <row r="6651" spans="2:7" ht="15.75" customHeight="1" x14ac:dyDescent="0.25">
      <c r="B6651" s="100"/>
      <c r="C6651" s="100"/>
      <c r="D6651" s="100"/>
      <c r="E6651" s="100"/>
      <c r="F6651" s="102"/>
      <c r="G6651" s="114"/>
    </row>
    <row r="6652" spans="2:7" ht="15.75" customHeight="1" x14ac:dyDescent="0.25">
      <c r="B6652" s="100"/>
      <c r="C6652" s="100"/>
      <c r="D6652" s="100"/>
      <c r="E6652" s="100"/>
      <c r="F6652" s="102"/>
      <c r="G6652" s="114"/>
    </row>
    <row r="6653" spans="2:7" ht="15.75" customHeight="1" x14ac:dyDescent="0.25">
      <c r="B6653" s="100"/>
      <c r="C6653" s="100"/>
      <c r="D6653" s="100"/>
      <c r="E6653" s="100"/>
      <c r="F6653" s="102"/>
      <c r="G6653" s="114"/>
    </row>
    <row r="6654" spans="2:7" ht="15.75" customHeight="1" x14ac:dyDescent="0.25">
      <c r="B6654" s="100"/>
      <c r="C6654" s="100"/>
      <c r="D6654" s="100"/>
      <c r="E6654" s="100"/>
      <c r="F6654" s="102"/>
      <c r="G6654" s="114"/>
    </row>
    <row r="6655" spans="2:7" ht="15.75" customHeight="1" x14ac:dyDescent="0.25">
      <c r="B6655" s="100"/>
      <c r="C6655" s="100"/>
      <c r="D6655" s="100"/>
      <c r="E6655" s="100"/>
      <c r="F6655" s="102"/>
      <c r="G6655" s="114"/>
    </row>
    <row r="6656" spans="2:7" ht="15.75" customHeight="1" x14ac:dyDescent="0.25">
      <c r="B6656" s="100"/>
      <c r="C6656" s="100"/>
      <c r="D6656" s="100"/>
      <c r="E6656" s="100"/>
      <c r="F6656" s="102"/>
      <c r="G6656" s="114"/>
    </row>
    <row r="6657" spans="2:7" ht="15.75" customHeight="1" x14ac:dyDescent="0.25">
      <c r="B6657" s="100"/>
      <c r="C6657" s="100"/>
      <c r="D6657" s="100"/>
      <c r="E6657" s="100"/>
      <c r="F6657" s="102"/>
      <c r="G6657" s="114"/>
    </row>
    <row r="6658" spans="2:7" ht="15.75" customHeight="1" x14ac:dyDescent="0.25">
      <c r="B6658" s="100"/>
      <c r="C6658" s="100"/>
      <c r="D6658" s="100"/>
      <c r="E6658" s="100"/>
      <c r="F6658" s="102"/>
      <c r="G6658" s="114"/>
    </row>
    <row r="6659" spans="2:7" ht="15.75" customHeight="1" x14ac:dyDescent="0.25">
      <c r="B6659" s="100"/>
      <c r="C6659" s="100"/>
      <c r="D6659" s="100"/>
      <c r="E6659" s="100"/>
      <c r="F6659" s="102"/>
      <c r="G6659" s="114"/>
    </row>
    <row r="6660" spans="2:7" ht="15.75" customHeight="1" x14ac:dyDescent="0.25">
      <c r="B6660" s="100"/>
      <c r="C6660" s="100"/>
      <c r="D6660" s="100"/>
      <c r="E6660" s="100"/>
      <c r="F6660" s="102"/>
      <c r="G6660" s="114"/>
    </row>
    <row r="6661" spans="2:7" ht="15.75" customHeight="1" x14ac:dyDescent="0.25">
      <c r="B6661" s="100"/>
      <c r="C6661" s="100"/>
      <c r="D6661" s="100"/>
      <c r="E6661" s="100"/>
      <c r="F6661" s="102"/>
      <c r="G6661" s="114"/>
    </row>
    <row r="6662" spans="2:7" ht="15.75" customHeight="1" x14ac:dyDescent="0.25">
      <c r="B6662" s="100"/>
      <c r="C6662" s="100"/>
      <c r="D6662" s="100"/>
      <c r="E6662" s="100"/>
      <c r="F6662" s="102"/>
      <c r="G6662" s="114"/>
    </row>
    <row r="6663" spans="2:7" ht="15.75" customHeight="1" x14ac:dyDescent="0.25">
      <c r="B6663" s="100"/>
      <c r="C6663" s="100"/>
      <c r="D6663" s="100"/>
      <c r="E6663" s="100"/>
      <c r="F6663" s="102"/>
      <c r="G6663" s="114"/>
    </row>
    <row r="6664" spans="2:7" ht="15.75" customHeight="1" x14ac:dyDescent="0.25">
      <c r="B6664" s="100"/>
      <c r="C6664" s="100"/>
      <c r="D6664" s="100"/>
      <c r="E6664" s="100"/>
      <c r="F6664" s="102"/>
      <c r="G6664" s="114"/>
    </row>
    <row r="6665" spans="2:7" ht="15.75" customHeight="1" x14ac:dyDescent="0.25">
      <c r="B6665" s="100"/>
      <c r="C6665" s="100"/>
      <c r="D6665" s="100"/>
      <c r="E6665" s="100"/>
      <c r="F6665" s="102"/>
      <c r="G6665" s="114"/>
    </row>
    <row r="6666" spans="2:7" ht="15.75" customHeight="1" x14ac:dyDescent="0.25">
      <c r="B6666" s="100"/>
      <c r="C6666" s="100"/>
      <c r="D6666" s="100"/>
      <c r="E6666" s="100"/>
      <c r="F6666" s="102"/>
      <c r="G6666" s="114"/>
    </row>
    <row r="6667" spans="2:7" ht="15.75" customHeight="1" x14ac:dyDescent="0.25">
      <c r="B6667" s="100"/>
      <c r="C6667" s="100"/>
      <c r="D6667" s="100"/>
      <c r="E6667" s="100"/>
      <c r="F6667" s="102"/>
      <c r="G6667" s="114"/>
    </row>
    <row r="6668" spans="2:7" ht="15.75" customHeight="1" x14ac:dyDescent="0.25">
      <c r="B6668" s="100"/>
      <c r="C6668" s="100"/>
      <c r="D6668" s="100"/>
      <c r="E6668" s="100"/>
      <c r="F6668" s="102"/>
      <c r="G6668" s="114"/>
    </row>
    <row r="6669" spans="2:7" ht="15.75" customHeight="1" x14ac:dyDescent="0.25">
      <c r="B6669" s="100"/>
      <c r="C6669" s="100"/>
      <c r="D6669" s="100"/>
      <c r="E6669" s="100"/>
      <c r="F6669" s="102"/>
      <c r="G6669" s="114"/>
    </row>
    <row r="6670" spans="2:7" ht="15.75" customHeight="1" x14ac:dyDescent="0.25">
      <c r="B6670" s="100"/>
      <c r="C6670" s="100"/>
      <c r="D6670" s="100"/>
      <c r="E6670" s="100"/>
      <c r="F6670" s="102"/>
      <c r="G6670" s="114"/>
    </row>
    <row r="6671" spans="2:7" ht="15.75" customHeight="1" x14ac:dyDescent="0.25">
      <c r="B6671" s="100"/>
      <c r="C6671" s="100"/>
      <c r="D6671" s="100"/>
      <c r="E6671" s="100"/>
      <c r="F6671" s="102"/>
      <c r="G6671" s="114"/>
    </row>
    <row r="6672" spans="2:7" ht="15.75" customHeight="1" x14ac:dyDescent="0.25">
      <c r="B6672" s="100"/>
      <c r="C6672" s="100"/>
      <c r="D6672" s="100"/>
      <c r="E6672" s="100"/>
      <c r="F6672" s="102"/>
      <c r="G6672" s="114"/>
    </row>
    <row r="6673" spans="2:7" ht="15.75" customHeight="1" x14ac:dyDescent="0.25">
      <c r="B6673" s="100"/>
      <c r="C6673" s="100"/>
      <c r="D6673" s="100"/>
      <c r="E6673" s="100"/>
      <c r="F6673" s="102"/>
      <c r="G6673" s="114"/>
    </row>
    <row r="6674" spans="2:7" ht="15.75" customHeight="1" x14ac:dyDescent="0.25">
      <c r="B6674" s="100"/>
      <c r="C6674" s="100"/>
      <c r="D6674" s="100"/>
      <c r="E6674" s="100"/>
      <c r="F6674" s="102"/>
      <c r="G6674" s="114"/>
    </row>
    <row r="6675" spans="2:7" ht="15.75" customHeight="1" x14ac:dyDescent="0.25">
      <c r="B6675" s="100"/>
      <c r="C6675" s="100"/>
      <c r="D6675" s="100"/>
      <c r="E6675" s="100"/>
      <c r="F6675" s="102"/>
      <c r="G6675" s="114"/>
    </row>
    <row r="6676" spans="2:7" ht="15.75" customHeight="1" x14ac:dyDescent="0.25">
      <c r="B6676" s="100"/>
      <c r="C6676" s="100"/>
      <c r="D6676" s="100"/>
      <c r="E6676" s="100"/>
      <c r="F6676" s="102"/>
      <c r="G6676" s="114"/>
    </row>
    <row r="6677" spans="2:7" ht="15.75" customHeight="1" x14ac:dyDescent="0.25">
      <c r="B6677" s="100"/>
      <c r="C6677" s="100"/>
      <c r="D6677" s="100"/>
      <c r="E6677" s="100"/>
      <c r="F6677" s="102"/>
      <c r="G6677" s="114"/>
    </row>
    <row r="6678" spans="2:7" ht="15.75" customHeight="1" x14ac:dyDescent="0.25">
      <c r="B6678" s="100"/>
      <c r="C6678" s="100"/>
      <c r="D6678" s="100"/>
      <c r="E6678" s="100"/>
      <c r="F6678" s="102"/>
      <c r="G6678" s="114"/>
    </row>
    <row r="6679" spans="2:7" ht="15.75" customHeight="1" x14ac:dyDescent="0.25">
      <c r="B6679" s="100"/>
      <c r="C6679" s="100"/>
      <c r="D6679" s="100"/>
      <c r="E6679" s="100"/>
      <c r="F6679" s="102"/>
      <c r="G6679" s="114"/>
    </row>
    <row r="6680" spans="2:7" ht="15.75" customHeight="1" x14ac:dyDescent="0.25">
      <c r="B6680" s="100"/>
      <c r="C6680" s="100"/>
      <c r="D6680" s="100"/>
      <c r="E6680" s="100"/>
      <c r="F6680" s="102"/>
      <c r="G6680" s="114"/>
    </row>
    <row r="6681" spans="2:7" ht="15.75" customHeight="1" x14ac:dyDescent="0.25">
      <c r="B6681" s="100"/>
      <c r="C6681" s="100"/>
      <c r="D6681" s="100"/>
      <c r="E6681" s="100"/>
      <c r="F6681" s="102"/>
      <c r="G6681" s="114"/>
    </row>
    <row r="6682" spans="2:7" ht="15.75" customHeight="1" x14ac:dyDescent="0.25">
      <c r="B6682" s="100"/>
      <c r="C6682" s="100"/>
      <c r="D6682" s="100"/>
      <c r="E6682" s="100"/>
      <c r="F6682" s="102"/>
      <c r="G6682" s="114"/>
    </row>
    <row r="6683" spans="2:7" ht="15.75" customHeight="1" x14ac:dyDescent="0.25">
      <c r="B6683" s="100"/>
      <c r="C6683" s="100"/>
      <c r="D6683" s="100"/>
      <c r="E6683" s="100"/>
      <c r="F6683" s="102"/>
      <c r="G6683" s="114"/>
    </row>
    <row r="6684" spans="2:7" ht="15.75" customHeight="1" x14ac:dyDescent="0.25">
      <c r="B6684" s="100"/>
      <c r="C6684" s="100"/>
      <c r="D6684" s="100"/>
      <c r="E6684" s="100"/>
      <c r="F6684" s="102"/>
      <c r="G6684" s="114"/>
    </row>
    <row r="6685" spans="2:7" ht="15.75" customHeight="1" x14ac:dyDescent="0.25">
      <c r="B6685" s="100"/>
      <c r="C6685" s="100"/>
      <c r="D6685" s="100"/>
      <c r="E6685" s="100"/>
      <c r="F6685" s="102"/>
      <c r="G6685" s="114"/>
    </row>
    <row r="6686" spans="2:7" ht="15.75" customHeight="1" x14ac:dyDescent="0.25">
      <c r="B6686" s="100"/>
      <c r="C6686" s="100"/>
      <c r="D6686" s="100"/>
      <c r="E6686" s="100"/>
      <c r="F6686" s="102"/>
      <c r="G6686" s="114"/>
    </row>
    <row r="6687" spans="2:7" ht="15.75" customHeight="1" x14ac:dyDescent="0.25">
      <c r="B6687" s="100"/>
      <c r="C6687" s="100"/>
      <c r="D6687" s="100"/>
      <c r="E6687" s="100"/>
      <c r="F6687" s="102"/>
      <c r="G6687" s="114"/>
    </row>
    <row r="6688" spans="2:7" ht="15.75" customHeight="1" x14ac:dyDescent="0.25">
      <c r="B6688" s="100"/>
      <c r="C6688" s="100"/>
      <c r="D6688" s="100"/>
      <c r="E6688" s="100"/>
      <c r="F6688" s="102"/>
      <c r="G6688" s="114"/>
    </row>
    <row r="6689" spans="2:7" ht="15.75" customHeight="1" x14ac:dyDescent="0.25">
      <c r="B6689" s="100"/>
      <c r="C6689" s="100"/>
      <c r="D6689" s="100"/>
      <c r="E6689" s="100"/>
      <c r="F6689" s="102"/>
      <c r="G6689" s="114"/>
    </row>
    <row r="6690" spans="2:7" ht="15.75" customHeight="1" x14ac:dyDescent="0.25">
      <c r="B6690" s="100"/>
      <c r="C6690" s="100"/>
      <c r="D6690" s="100"/>
      <c r="E6690" s="100"/>
      <c r="F6690" s="102"/>
      <c r="G6690" s="114"/>
    </row>
    <row r="6691" spans="2:7" ht="15.75" customHeight="1" x14ac:dyDescent="0.25">
      <c r="B6691" s="100"/>
      <c r="C6691" s="100"/>
      <c r="D6691" s="100"/>
      <c r="E6691" s="100"/>
      <c r="F6691" s="102"/>
      <c r="G6691" s="114"/>
    </row>
    <row r="6692" spans="2:7" ht="15.75" customHeight="1" x14ac:dyDescent="0.25">
      <c r="B6692" s="100"/>
      <c r="C6692" s="100"/>
      <c r="D6692" s="100"/>
      <c r="E6692" s="100"/>
      <c r="F6692" s="102"/>
      <c r="G6692" s="114"/>
    </row>
    <row r="6693" spans="2:7" ht="15.75" customHeight="1" x14ac:dyDescent="0.25">
      <c r="B6693" s="100"/>
      <c r="C6693" s="100"/>
      <c r="D6693" s="100"/>
      <c r="E6693" s="100"/>
      <c r="F6693" s="102"/>
      <c r="G6693" s="114"/>
    </row>
    <row r="6694" spans="2:7" ht="15.75" customHeight="1" x14ac:dyDescent="0.25">
      <c r="B6694" s="100"/>
      <c r="C6694" s="100"/>
      <c r="D6694" s="100"/>
      <c r="E6694" s="100"/>
      <c r="F6694" s="102"/>
      <c r="G6694" s="114"/>
    </row>
    <row r="6695" spans="2:7" ht="15.75" customHeight="1" x14ac:dyDescent="0.25">
      <c r="B6695" s="100"/>
      <c r="C6695" s="100"/>
      <c r="D6695" s="100"/>
      <c r="E6695" s="100"/>
      <c r="F6695" s="102"/>
      <c r="G6695" s="114"/>
    </row>
    <row r="6696" spans="2:7" ht="15.75" customHeight="1" x14ac:dyDescent="0.25">
      <c r="B6696" s="100"/>
      <c r="C6696" s="100"/>
      <c r="D6696" s="100"/>
      <c r="E6696" s="100"/>
      <c r="F6696" s="102"/>
      <c r="G6696" s="114"/>
    </row>
    <row r="6697" spans="2:7" ht="15.75" customHeight="1" x14ac:dyDescent="0.25">
      <c r="B6697" s="100"/>
      <c r="C6697" s="100"/>
      <c r="D6697" s="100"/>
      <c r="E6697" s="100"/>
      <c r="F6697" s="102"/>
      <c r="G6697" s="114"/>
    </row>
    <row r="6698" spans="2:7" ht="15.75" customHeight="1" x14ac:dyDescent="0.25">
      <c r="B6698" s="100"/>
      <c r="C6698" s="100"/>
      <c r="D6698" s="100"/>
      <c r="E6698" s="100"/>
      <c r="F6698" s="102"/>
      <c r="G6698" s="114"/>
    </row>
    <row r="6699" spans="2:7" ht="15.75" customHeight="1" x14ac:dyDescent="0.25">
      <c r="B6699" s="100"/>
      <c r="C6699" s="100"/>
      <c r="D6699" s="100"/>
      <c r="E6699" s="100"/>
      <c r="F6699" s="102"/>
      <c r="G6699" s="114"/>
    </row>
    <row r="6700" spans="2:7" ht="15.75" customHeight="1" x14ac:dyDescent="0.25">
      <c r="B6700" s="100"/>
      <c r="C6700" s="100"/>
      <c r="D6700" s="100"/>
      <c r="E6700" s="100"/>
      <c r="F6700" s="102"/>
      <c r="G6700" s="114"/>
    </row>
    <row r="6701" spans="2:7" ht="15.75" customHeight="1" x14ac:dyDescent="0.25">
      <c r="B6701" s="100"/>
      <c r="C6701" s="100"/>
      <c r="D6701" s="100"/>
      <c r="E6701" s="100"/>
      <c r="F6701" s="102"/>
      <c r="G6701" s="114"/>
    </row>
    <row r="6702" spans="2:7" ht="15.75" customHeight="1" x14ac:dyDescent="0.25">
      <c r="B6702" s="100"/>
      <c r="C6702" s="100"/>
      <c r="D6702" s="100"/>
      <c r="E6702" s="100"/>
      <c r="F6702" s="102"/>
      <c r="G6702" s="114"/>
    </row>
    <row r="6703" spans="2:7" ht="15.75" customHeight="1" x14ac:dyDescent="0.25">
      <c r="B6703" s="100"/>
      <c r="C6703" s="100"/>
      <c r="D6703" s="100"/>
      <c r="E6703" s="100"/>
      <c r="F6703" s="102"/>
      <c r="G6703" s="114"/>
    </row>
    <row r="6704" spans="2:7" ht="15.75" customHeight="1" x14ac:dyDescent="0.25">
      <c r="B6704" s="100"/>
      <c r="C6704" s="100"/>
      <c r="D6704" s="100"/>
      <c r="E6704" s="100"/>
      <c r="F6704" s="102"/>
      <c r="G6704" s="114"/>
    </row>
    <row r="6705" spans="2:7" ht="15.75" customHeight="1" x14ac:dyDescent="0.25">
      <c r="B6705" s="100"/>
      <c r="C6705" s="100"/>
      <c r="D6705" s="100"/>
      <c r="E6705" s="100"/>
      <c r="F6705" s="102"/>
      <c r="G6705" s="114"/>
    </row>
    <row r="6706" spans="2:7" ht="15.75" customHeight="1" x14ac:dyDescent="0.25">
      <c r="B6706" s="100"/>
      <c r="C6706" s="100"/>
      <c r="D6706" s="100"/>
      <c r="E6706" s="100"/>
      <c r="F6706" s="102"/>
      <c r="G6706" s="114"/>
    </row>
    <row r="6707" spans="2:7" ht="15.75" customHeight="1" x14ac:dyDescent="0.25">
      <c r="B6707" s="100"/>
      <c r="C6707" s="100"/>
      <c r="D6707" s="100"/>
      <c r="E6707" s="100"/>
      <c r="F6707" s="102"/>
      <c r="G6707" s="114"/>
    </row>
    <row r="6708" spans="2:7" ht="15.75" customHeight="1" x14ac:dyDescent="0.25">
      <c r="B6708" s="100"/>
      <c r="C6708" s="100"/>
      <c r="D6708" s="100"/>
      <c r="E6708" s="100"/>
      <c r="F6708" s="102"/>
      <c r="G6708" s="114"/>
    </row>
    <row r="6709" spans="2:7" ht="15.75" customHeight="1" x14ac:dyDescent="0.25">
      <c r="B6709" s="100"/>
      <c r="C6709" s="100"/>
      <c r="D6709" s="100"/>
      <c r="E6709" s="100"/>
      <c r="F6709" s="102"/>
      <c r="G6709" s="114"/>
    </row>
    <row r="6710" spans="2:7" ht="15.75" customHeight="1" x14ac:dyDescent="0.25">
      <c r="B6710" s="100"/>
      <c r="C6710" s="100"/>
      <c r="D6710" s="100"/>
      <c r="E6710" s="100"/>
      <c r="F6710" s="102"/>
      <c r="G6710" s="114"/>
    </row>
    <row r="6711" spans="2:7" ht="15.75" customHeight="1" x14ac:dyDescent="0.25">
      <c r="B6711" s="100"/>
      <c r="C6711" s="100"/>
      <c r="D6711" s="100"/>
      <c r="E6711" s="100"/>
      <c r="F6711" s="102"/>
      <c r="G6711" s="114"/>
    </row>
    <row r="6712" spans="2:7" ht="15.75" customHeight="1" x14ac:dyDescent="0.25">
      <c r="B6712" s="100"/>
      <c r="C6712" s="100"/>
      <c r="D6712" s="100"/>
      <c r="E6712" s="100"/>
      <c r="F6712" s="102"/>
      <c r="G6712" s="114"/>
    </row>
    <row r="6713" spans="2:7" ht="15.75" customHeight="1" x14ac:dyDescent="0.25">
      <c r="B6713" s="100"/>
      <c r="C6713" s="100"/>
      <c r="D6713" s="100"/>
      <c r="E6713" s="100"/>
      <c r="F6713" s="102"/>
      <c r="G6713" s="114"/>
    </row>
    <row r="6714" spans="2:7" ht="15.75" customHeight="1" x14ac:dyDescent="0.25">
      <c r="B6714" s="100"/>
      <c r="C6714" s="100"/>
      <c r="D6714" s="100"/>
      <c r="E6714" s="100"/>
      <c r="F6714" s="102"/>
      <c r="G6714" s="114"/>
    </row>
    <row r="6715" spans="2:7" ht="15.75" customHeight="1" x14ac:dyDescent="0.25">
      <c r="B6715" s="100"/>
      <c r="C6715" s="100"/>
      <c r="D6715" s="100"/>
      <c r="E6715" s="100"/>
      <c r="F6715" s="102"/>
      <c r="G6715" s="114"/>
    </row>
    <row r="6716" spans="2:7" ht="15.75" customHeight="1" x14ac:dyDescent="0.25">
      <c r="B6716" s="100"/>
      <c r="C6716" s="100"/>
      <c r="D6716" s="100"/>
      <c r="E6716" s="100"/>
      <c r="F6716" s="102"/>
      <c r="G6716" s="114"/>
    </row>
    <row r="6717" spans="2:7" ht="15.75" customHeight="1" x14ac:dyDescent="0.25">
      <c r="B6717" s="100"/>
      <c r="C6717" s="100"/>
      <c r="D6717" s="100"/>
      <c r="E6717" s="100"/>
      <c r="F6717" s="102"/>
      <c r="G6717" s="114"/>
    </row>
    <row r="6718" spans="2:7" ht="15.75" customHeight="1" x14ac:dyDescent="0.25">
      <c r="B6718" s="100"/>
      <c r="C6718" s="100"/>
      <c r="D6718" s="100"/>
      <c r="E6718" s="100"/>
      <c r="F6718" s="102"/>
      <c r="G6718" s="114"/>
    </row>
    <row r="6719" spans="2:7" ht="15.75" customHeight="1" x14ac:dyDescent="0.25">
      <c r="B6719" s="100"/>
      <c r="C6719" s="100"/>
      <c r="D6719" s="100"/>
      <c r="E6719" s="100"/>
      <c r="F6719" s="102"/>
      <c r="G6719" s="114"/>
    </row>
    <row r="6720" spans="2:7" ht="15.75" customHeight="1" x14ac:dyDescent="0.25">
      <c r="B6720" s="100"/>
      <c r="C6720" s="100"/>
      <c r="D6720" s="100"/>
      <c r="E6720" s="100"/>
      <c r="F6720" s="102"/>
      <c r="G6720" s="114"/>
    </row>
    <row r="6721" spans="2:7" ht="15.75" customHeight="1" x14ac:dyDescent="0.25">
      <c r="B6721" s="100"/>
      <c r="C6721" s="100"/>
      <c r="D6721" s="100"/>
      <c r="E6721" s="100"/>
      <c r="F6721" s="102"/>
      <c r="G6721" s="114"/>
    </row>
    <row r="6722" spans="2:7" ht="15.75" customHeight="1" x14ac:dyDescent="0.25">
      <c r="B6722" s="100"/>
      <c r="C6722" s="100"/>
      <c r="D6722" s="100"/>
      <c r="E6722" s="100"/>
      <c r="F6722" s="102"/>
      <c r="G6722" s="114"/>
    </row>
    <row r="6723" spans="2:7" ht="15.75" customHeight="1" x14ac:dyDescent="0.25">
      <c r="B6723" s="100"/>
      <c r="C6723" s="100"/>
      <c r="D6723" s="100"/>
      <c r="E6723" s="100"/>
      <c r="F6723" s="102"/>
      <c r="G6723" s="114"/>
    </row>
    <row r="6724" spans="2:7" ht="15.75" customHeight="1" x14ac:dyDescent="0.25">
      <c r="B6724" s="100"/>
      <c r="C6724" s="100"/>
      <c r="D6724" s="100"/>
      <c r="E6724" s="100"/>
      <c r="F6724" s="102"/>
      <c r="G6724" s="114"/>
    </row>
    <row r="6725" spans="2:7" ht="15.75" customHeight="1" x14ac:dyDescent="0.25">
      <c r="B6725" s="100"/>
      <c r="C6725" s="100"/>
      <c r="D6725" s="100"/>
      <c r="E6725" s="100"/>
      <c r="F6725" s="102"/>
      <c r="G6725" s="114"/>
    </row>
    <row r="6726" spans="2:7" ht="15.75" customHeight="1" x14ac:dyDescent="0.25">
      <c r="B6726" s="100"/>
      <c r="C6726" s="100"/>
      <c r="D6726" s="100"/>
      <c r="E6726" s="100"/>
      <c r="F6726" s="102"/>
      <c r="G6726" s="114"/>
    </row>
    <row r="6727" spans="2:7" ht="15.75" customHeight="1" x14ac:dyDescent="0.25">
      <c r="B6727" s="100"/>
      <c r="C6727" s="100"/>
      <c r="D6727" s="100"/>
      <c r="E6727" s="100"/>
      <c r="F6727" s="102"/>
      <c r="G6727" s="114"/>
    </row>
    <row r="6728" spans="2:7" ht="15.75" customHeight="1" x14ac:dyDescent="0.25">
      <c r="B6728" s="100"/>
      <c r="C6728" s="100"/>
      <c r="D6728" s="100"/>
      <c r="E6728" s="100"/>
      <c r="F6728" s="102"/>
      <c r="G6728" s="114"/>
    </row>
    <row r="6729" spans="2:7" ht="15.75" customHeight="1" x14ac:dyDescent="0.25">
      <c r="B6729" s="100"/>
      <c r="C6729" s="100"/>
      <c r="D6729" s="100"/>
      <c r="E6729" s="100"/>
      <c r="F6729" s="102"/>
      <c r="G6729" s="114"/>
    </row>
    <row r="6730" spans="2:7" ht="15.75" customHeight="1" x14ac:dyDescent="0.25">
      <c r="B6730" s="100"/>
      <c r="C6730" s="100"/>
      <c r="D6730" s="100"/>
      <c r="E6730" s="100"/>
      <c r="F6730" s="102"/>
      <c r="G6730" s="114"/>
    </row>
    <row r="6731" spans="2:7" ht="15.75" customHeight="1" x14ac:dyDescent="0.25">
      <c r="B6731" s="100"/>
      <c r="C6731" s="100"/>
      <c r="D6731" s="100"/>
      <c r="E6731" s="100"/>
      <c r="F6731" s="102"/>
      <c r="G6731" s="114"/>
    </row>
    <row r="6732" spans="2:7" ht="15.75" customHeight="1" x14ac:dyDescent="0.25">
      <c r="B6732" s="100"/>
      <c r="C6732" s="100"/>
      <c r="D6732" s="100"/>
      <c r="E6732" s="100"/>
      <c r="F6732" s="102"/>
      <c r="G6732" s="114"/>
    </row>
    <row r="6733" spans="2:7" ht="15.75" customHeight="1" x14ac:dyDescent="0.25">
      <c r="B6733" s="100"/>
      <c r="C6733" s="100"/>
      <c r="D6733" s="100"/>
      <c r="E6733" s="100"/>
      <c r="F6733" s="102"/>
      <c r="G6733" s="114"/>
    </row>
    <row r="6734" spans="2:7" ht="15.75" customHeight="1" x14ac:dyDescent="0.25">
      <c r="B6734" s="100"/>
      <c r="C6734" s="100"/>
      <c r="D6734" s="100"/>
      <c r="E6734" s="100"/>
      <c r="F6734" s="102"/>
      <c r="G6734" s="114"/>
    </row>
    <row r="6735" spans="2:7" ht="15.75" customHeight="1" x14ac:dyDescent="0.25">
      <c r="B6735" s="100"/>
      <c r="C6735" s="100"/>
      <c r="D6735" s="100"/>
      <c r="E6735" s="100"/>
      <c r="F6735" s="102"/>
      <c r="G6735" s="114"/>
    </row>
    <row r="6736" spans="2:7" ht="15.75" customHeight="1" x14ac:dyDescent="0.25">
      <c r="B6736" s="100"/>
      <c r="C6736" s="100"/>
      <c r="D6736" s="100"/>
      <c r="E6736" s="100"/>
      <c r="F6736" s="102"/>
      <c r="G6736" s="114"/>
    </row>
    <row r="6737" spans="2:7" ht="15.75" customHeight="1" x14ac:dyDescent="0.25">
      <c r="B6737" s="100"/>
      <c r="C6737" s="100"/>
      <c r="D6737" s="100"/>
      <c r="E6737" s="100"/>
      <c r="F6737" s="102"/>
      <c r="G6737" s="114"/>
    </row>
    <row r="6738" spans="2:7" ht="15.75" customHeight="1" x14ac:dyDescent="0.25">
      <c r="B6738" s="100"/>
      <c r="C6738" s="100"/>
      <c r="D6738" s="100"/>
      <c r="E6738" s="100"/>
      <c r="F6738" s="102"/>
      <c r="G6738" s="114"/>
    </row>
    <row r="6739" spans="2:7" ht="15.75" customHeight="1" x14ac:dyDescent="0.25">
      <c r="B6739" s="100"/>
      <c r="C6739" s="100"/>
      <c r="D6739" s="100"/>
      <c r="E6739" s="100"/>
      <c r="F6739" s="102"/>
      <c r="G6739" s="114"/>
    </row>
    <row r="6740" spans="2:7" ht="15.75" customHeight="1" x14ac:dyDescent="0.25">
      <c r="B6740" s="100"/>
      <c r="C6740" s="100"/>
      <c r="D6740" s="100"/>
      <c r="E6740" s="100"/>
      <c r="F6740" s="102"/>
      <c r="G6740" s="114"/>
    </row>
    <row r="6741" spans="2:7" ht="15.75" customHeight="1" x14ac:dyDescent="0.25">
      <c r="B6741" s="100"/>
      <c r="C6741" s="100"/>
      <c r="D6741" s="100"/>
      <c r="E6741" s="100"/>
      <c r="F6741" s="102"/>
      <c r="G6741" s="114"/>
    </row>
    <row r="6742" spans="2:7" ht="15.75" customHeight="1" x14ac:dyDescent="0.25">
      <c r="B6742" s="100"/>
      <c r="C6742" s="100"/>
      <c r="D6742" s="100"/>
      <c r="E6742" s="100"/>
      <c r="F6742" s="102"/>
      <c r="G6742" s="114"/>
    </row>
    <row r="6743" spans="2:7" ht="15.75" customHeight="1" x14ac:dyDescent="0.25">
      <c r="B6743" s="100"/>
      <c r="C6743" s="100"/>
      <c r="D6743" s="100"/>
      <c r="E6743" s="100"/>
      <c r="F6743" s="102"/>
      <c r="G6743" s="114"/>
    </row>
    <row r="6744" spans="2:7" ht="15.75" customHeight="1" x14ac:dyDescent="0.25">
      <c r="B6744" s="100"/>
      <c r="C6744" s="100"/>
      <c r="D6744" s="100"/>
      <c r="E6744" s="100"/>
      <c r="F6744" s="102"/>
      <c r="G6744" s="114"/>
    </row>
    <row r="6745" spans="2:7" ht="15.75" customHeight="1" x14ac:dyDescent="0.25">
      <c r="B6745" s="100"/>
      <c r="C6745" s="100"/>
      <c r="D6745" s="100"/>
      <c r="E6745" s="100"/>
      <c r="F6745" s="102"/>
      <c r="G6745" s="114"/>
    </row>
    <row r="6746" spans="2:7" ht="15.75" customHeight="1" x14ac:dyDescent="0.25">
      <c r="B6746" s="100"/>
      <c r="C6746" s="100"/>
      <c r="D6746" s="100"/>
      <c r="E6746" s="100"/>
      <c r="F6746" s="102"/>
      <c r="G6746" s="114"/>
    </row>
    <row r="6747" spans="2:7" ht="15.75" customHeight="1" x14ac:dyDescent="0.25">
      <c r="B6747" s="100"/>
      <c r="C6747" s="100"/>
      <c r="D6747" s="100"/>
      <c r="E6747" s="100"/>
      <c r="F6747" s="102"/>
      <c r="G6747" s="114"/>
    </row>
    <row r="6748" spans="2:7" ht="15.75" customHeight="1" x14ac:dyDescent="0.25">
      <c r="B6748" s="100"/>
      <c r="C6748" s="100"/>
      <c r="D6748" s="100"/>
      <c r="E6748" s="100"/>
      <c r="F6748" s="102"/>
      <c r="G6748" s="114"/>
    </row>
    <row r="6749" spans="2:7" ht="15.75" customHeight="1" x14ac:dyDescent="0.25">
      <c r="B6749" s="100"/>
      <c r="C6749" s="100"/>
      <c r="D6749" s="100"/>
      <c r="E6749" s="100"/>
      <c r="F6749" s="102"/>
      <c r="G6749" s="114"/>
    </row>
    <row r="6750" spans="2:7" ht="15.75" customHeight="1" x14ac:dyDescent="0.25">
      <c r="B6750" s="100"/>
      <c r="C6750" s="100"/>
      <c r="D6750" s="100"/>
      <c r="E6750" s="100"/>
      <c r="F6750" s="102"/>
      <c r="G6750" s="114"/>
    </row>
    <row r="6751" spans="2:7" ht="15.75" customHeight="1" x14ac:dyDescent="0.25">
      <c r="B6751" s="100"/>
      <c r="C6751" s="100"/>
      <c r="D6751" s="100"/>
      <c r="E6751" s="100"/>
      <c r="F6751" s="102"/>
      <c r="G6751" s="114"/>
    </row>
    <row r="6752" spans="2:7" ht="15.75" customHeight="1" x14ac:dyDescent="0.25">
      <c r="B6752" s="100"/>
      <c r="C6752" s="100"/>
      <c r="D6752" s="100"/>
      <c r="E6752" s="100"/>
      <c r="F6752" s="102"/>
      <c r="G6752" s="114"/>
    </row>
    <row r="6753" spans="2:7" ht="15.75" customHeight="1" x14ac:dyDescent="0.25">
      <c r="B6753" s="100"/>
      <c r="C6753" s="100"/>
      <c r="D6753" s="100"/>
      <c r="E6753" s="100"/>
      <c r="F6753" s="102"/>
      <c r="G6753" s="114"/>
    </row>
    <row r="6754" spans="2:7" ht="15.75" customHeight="1" x14ac:dyDescent="0.25">
      <c r="B6754" s="100"/>
      <c r="C6754" s="100"/>
      <c r="D6754" s="100"/>
      <c r="E6754" s="100"/>
      <c r="F6754" s="102"/>
      <c r="G6754" s="114"/>
    </row>
    <row r="6755" spans="2:7" ht="15.75" customHeight="1" x14ac:dyDescent="0.25">
      <c r="B6755" s="100"/>
      <c r="C6755" s="100"/>
      <c r="D6755" s="100"/>
      <c r="E6755" s="100"/>
      <c r="F6755" s="102"/>
      <c r="G6755" s="114"/>
    </row>
    <row r="6756" spans="2:7" ht="15.75" customHeight="1" x14ac:dyDescent="0.25">
      <c r="B6756" s="100"/>
      <c r="C6756" s="100"/>
      <c r="D6756" s="100"/>
      <c r="E6756" s="100"/>
      <c r="F6756" s="102"/>
      <c r="G6756" s="114"/>
    </row>
    <row r="6757" spans="2:7" ht="15.75" customHeight="1" x14ac:dyDescent="0.25">
      <c r="B6757" s="100"/>
      <c r="C6757" s="100"/>
      <c r="D6757" s="100"/>
      <c r="E6757" s="100"/>
      <c r="F6757" s="102"/>
      <c r="G6757" s="114"/>
    </row>
    <row r="6758" spans="2:7" ht="15.75" customHeight="1" x14ac:dyDescent="0.25">
      <c r="B6758" s="100"/>
      <c r="C6758" s="100"/>
      <c r="D6758" s="100"/>
      <c r="E6758" s="100"/>
      <c r="F6758" s="102"/>
      <c r="G6758" s="114"/>
    </row>
    <row r="6759" spans="2:7" ht="15.75" customHeight="1" x14ac:dyDescent="0.25">
      <c r="B6759" s="100"/>
      <c r="C6759" s="100"/>
      <c r="D6759" s="100"/>
      <c r="E6759" s="100"/>
      <c r="F6759" s="102"/>
      <c r="G6759" s="114"/>
    </row>
    <row r="6760" spans="2:7" ht="15.75" customHeight="1" x14ac:dyDescent="0.25">
      <c r="B6760" s="100"/>
      <c r="C6760" s="100"/>
      <c r="D6760" s="100"/>
      <c r="E6760" s="100"/>
      <c r="F6760" s="102"/>
      <c r="G6760" s="114"/>
    </row>
    <row r="6761" spans="2:7" ht="15.75" customHeight="1" x14ac:dyDescent="0.25">
      <c r="B6761" s="100"/>
      <c r="C6761" s="100"/>
      <c r="D6761" s="100"/>
      <c r="E6761" s="100"/>
      <c r="F6761" s="102"/>
      <c r="G6761" s="114"/>
    </row>
    <row r="6762" spans="2:7" ht="15.75" customHeight="1" x14ac:dyDescent="0.25">
      <c r="B6762" s="100"/>
      <c r="C6762" s="100"/>
      <c r="D6762" s="100"/>
      <c r="E6762" s="100"/>
      <c r="F6762" s="102"/>
      <c r="G6762" s="114"/>
    </row>
    <row r="6763" spans="2:7" ht="15.75" customHeight="1" x14ac:dyDescent="0.25">
      <c r="B6763" s="100"/>
      <c r="C6763" s="100"/>
      <c r="D6763" s="100"/>
      <c r="E6763" s="100"/>
      <c r="F6763" s="102"/>
      <c r="G6763" s="114"/>
    </row>
    <row r="6764" spans="2:7" ht="15.75" customHeight="1" x14ac:dyDescent="0.25">
      <c r="B6764" s="100"/>
      <c r="C6764" s="100"/>
      <c r="D6764" s="100"/>
      <c r="E6764" s="100"/>
      <c r="F6764" s="102"/>
      <c r="G6764" s="114"/>
    </row>
    <row r="6765" spans="2:7" ht="15.75" customHeight="1" x14ac:dyDescent="0.25">
      <c r="B6765" s="100"/>
      <c r="C6765" s="100"/>
      <c r="D6765" s="100"/>
      <c r="E6765" s="100"/>
      <c r="F6765" s="102"/>
      <c r="G6765" s="114"/>
    </row>
    <row r="6766" spans="2:7" ht="15.75" customHeight="1" x14ac:dyDescent="0.25">
      <c r="B6766" s="100"/>
      <c r="C6766" s="100"/>
      <c r="D6766" s="100"/>
      <c r="E6766" s="100"/>
      <c r="F6766" s="102"/>
      <c r="G6766" s="114"/>
    </row>
    <row r="6767" spans="2:7" ht="15.75" customHeight="1" x14ac:dyDescent="0.25">
      <c r="B6767" s="100"/>
      <c r="C6767" s="100"/>
      <c r="D6767" s="100"/>
      <c r="E6767" s="100"/>
      <c r="F6767" s="102"/>
      <c r="G6767" s="114"/>
    </row>
    <row r="6768" spans="2:7" ht="15.75" customHeight="1" x14ac:dyDescent="0.25">
      <c r="B6768" s="100"/>
      <c r="C6768" s="100"/>
      <c r="D6768" s="100"/>
      <c r="E6768" s="100"/>
      <c r="F6768" s="102"/>
      <c r="G6768" s="114"/>
    </row>
    <row r="6769" spans="2:7" ht="15.75" customHeight="1" x14ac:dyDescent="0.25">
      <c r="B6769" s="100"/>
      <c r="C6769" s="100"/>
      <c r="D6769" s="100"/>
      <c r="E6769" s="100"/>
      <c r="F6769" s="102"/>
      <c r="G6769" s="114"/>
    </row>
    <row r="6770" spans="2:7" ht="15.75" customHeight="1" x14ac:dyDescent="0.25">
      <c r="B6770" s="100"/>
      <c r="C6770" s="100"/>
      <c r="D6770" s="100"/>
      <c r="E6770" s="100"/>
      <c r="F6770" s="102"/>
      <c r="G6770" s="114"/>
    </row>
    <row r="6771" spans="2:7" ht="15.75" customHeight="1" x14ac:dyDescent="0.25">
      <c r="B6771" s="100"/>
      <c r="C6771" s="100"/>
      <c r="D6771" s="100"/>
      <c r="E6771" s="100"/>
      <c r="F6771" s="102"/>
      <c r="G6771" s="114"/>
    </row>
    <row r="6772" spans="2:7" ht="15.75" customHeight="1" x14ac:dyDescent="0.25">
      <c r="B6772" s="100"/>
      <c r="C6772" s="100"/>
      <c r="D6772" s="100"/>
      <c r="E6772" s="100"/>
      <c r="F6772" s="102"/>
      <c r="G6772" s="114"/>
    </row>
    <row r="6773" spans="2:7" ht="15.75" customHeight="1" x14ac:dyDescent="0.25">
      <c r="B6773" s="100"/>
      <c r="C6773" s="100"/>
      <c r="D6773" s="100"/>
      <c r="E6773" s="100"/>
      <c r="F6773" s="102"/>
      <c r="G6773" s="114"/>
    </row>
    <row r="6774" spans="2:7" ht="15.75" customHeight="1" x14ac:dyDescent="0.25">
      <c r="B6774" s="100"/>
      <c r="C6774" s="100"/>
      <c r="D6774" s="100"/>
      <c r="E6774" s="100"/>
      <c r="F6774" s="102"/>
      <c r="G6774" s="114"/>
    </row>
    <row r="6775" spans="2:7" ht="15.75" customHeight="1" x14ac:dyDescent="0.25">
      <c r="B6775" s="100"/>
      <c r="C6775" s="100"/>
      <c r="D6775" s="100"/>
      <c r="E6775" s="100"/>
      <c r="F6775" s="102"/>
      <c r="G6775" s="114"/>
    </row>
    <row r="6776" spans="2:7" ht="15.75" customHeight="1" x14ac:dyDescent="0.25">
      <c r="B6776" s="100"/>
      <c r="C6776" s="100"/>
      <c r="D6776" s="100"/>
      <c r="E6776" s="100"/>
      <c r="F6776" s="102"/>
      <c r="G6776" s="114"/>
    </row>
    <row r="6777" spans="2:7" ht="15.75" customHeight="1" x14ac:dyDescent="0.25">
      <c r="B6777" s="100"/>
      <c r="C6777" s="100"/>
      <c r="D6777" s="100"/>
      <c r="E6777" s="100"/>
      <c r="F6777" s="102"/>
      <c r="G6777" s="114"/>
    </row>
    <row r="6778" spans="2:7" ht="15.75" customHeight="1" x14ac:dyDescent="0.25">
      <c r="B6778" s="100"/>
      <c r="C6778" s="100"/>
      <c r="D6778" s="100"/>
      <c r="E6778" s="100"/>
      <c r="F6778" s="102"/>
      <c r="G6778" s="114"/>
    </row>
    <row r="6779" spans="2:7" ht="15.75" customHeight="1" x14ac:dyDescent="0.25">
      <c r="B6779" s="100"/>
      <c r="C6779" s="100"/>
      <c r="D6779" s="100"/>
      <c r="E6779" s="100"/>
      <c r="F6779" s="102"/>
      <c r="G6779" s="114"/>
    </row>
    <row r="6780" spans="2:7" ht="15.75" customHeight="1" x14ac:dyDescent="0.25">
      <c r="B6780" s="100"/>
      <c r="C6780" s="100"/>
      <c r="D6780" s="100"/>
      <c r="E6780" s="100"/>
      <c r="F6780" s="102"/>
      <c r="G6780" s="114"/>
    </row>
    <row r="6781" spans="2:7" ht="15.75" customHeight="1" x14ac:dyDescent="0.25">
      <c r="B6781" s="100"/>
      <c r="C6781" s="100"/>
      <c r="D6781" s="100"/>
      <c r="E6781" s="100"/>
      <c r="F6781" s="102"/>
      <c r="G6781" s="114"/>
    </row>
    <row r="6782" spans="2:7" ht="15.75" customHeight="1" x14ac:dyDescent="0.25">
      <c r="B6782" s="100"/>
      <c r="C6782" s="100"/>
      <c r="D6782" s="100"/>
      <c r="E6782" s="100"/>
      <c r="F6782" s="102"/>
      <c r="G6782" s="114"/>
    </row>
    <row r="6783" spans="2:7" ht="15.75" customHeight="1" x14ac:dyDescent="0.25">
      <c r="B6783" s="100"/>
      <c r="C6783" s="100"/>
      <c r="D6783" s="100"/>
      <c r="E6783" s="100"/>
      <c r="F6783" s="102"/>
      <c r="G6783" s="114"/>
    </row>
    <row r="6784" spans="2:7" ht="15.75" customHeight="1" x14ac:dyDescent="0.25">
      <c r="B6784" s="100"/>
      <c r="C6784" s="100"/>
      <c r="D6784" s="100"/>
      <c r="E6784" s="100"/>
      <c r="F6784" s="102"/>
      <c r="G6784" s="114"/>
    </row>
    <row r="6785" spans="2:7" ht="15.75" customHeight="1" x14ac:dyDescent="0.25">
      <c r="B6785" s="100"/>
      <c r="C6785" s="100"/>
      <c r="D6785" s="100"/>
      <c r="E6785" s="100"/>
      <c r="F6785" s="102"/>
      <c r="G6785" s="114"/>
    </row>
    <row r="6786" spans="2:7" ht="15.75" customHeight="1" x14ac:dyDescent="0.25">
      <c r="B6786" s="100"/>
      <c r="C6786" s="100"/>
      <c r="D6786" s="100"/>
      <c r="E6786" s="100"/>
      <c r="F6786" s="102"/>
      <c r="G6786" s="114"/>
    </row>
    <row r="6787" spans="2:7" ht="15.75" customHeight="1" x14ac:dyDescent="0.25">
      <c r="B6787" s="100"/>
      <c r="C6787" s="100"/>
      <c r="D6787" s="100"/>
      <c r="E6787" s="100"/>
      <c r="F6787" s="102"/>
      <c r="G6787" s="114"/>
    </row>
    <row r="6788" spans="2:7" ht="15.75" customHeight="1" x14ac:dyDescent="0.25">
      <c r="B6788" s="100"/>
      <c r="C6788" s="100"/>
      <c r="D6788" s="100"/>
      <c r="E6788" s="100"/>
      <c r="F6788" s="102"/>
      <c r="G6788" s="114"/>
    </row>
    <row r="6789" spans="2:7" ht="15.75" customHeight="1" x14ac:dyDescent="0.25">
      <c r="B6789" s="100"/>
      <c r="C6789" s="100"/>
      <c r="D6789" s="100"/>
      <c r="E6789" s="100"/>
      <c r="F6789" s="102"/>
      <c r="G6789" s="114"/>
    </row>
    <row r="6790" spans="2:7" ht="15.75" customHeight="1" x14ac:dyDescent="0.25">
      <c r="B6790" s="100"/>
      <c r="C6790" s="100"/>
      <c r="D6790" s="100"/>
      <c r="E6790" s="100"/>
      <c r="F6790" s="102"/>
      <c r="G6790" s="114"/>
    </row>
    <row r="6791" spans="2:7" ht="15.75" customHeight="1" x14ac:dyDescent="0.25">
      <c r="B6791" s="100"/>
      <c r="C6791" s="100"/>
      <c r="D6791" s="100"/>
      <c r="E6791" s="100"/>
      <c r="F6791" s="102"/>
      <c r="G6791" s="114"/>
    </row>
    <row r="6792" spans="2:7" ht="15.75" customHeight="1" x14ac:dyDescent="0.25">
      <c r="B6792" s="100"/>
      <c r="C6792" s="100"/>
      <c r="D6792" s="100"/>
      <c r="E6792" s="100"/>
      <c r="F6792" s="102"/>
      <c r="G6792" s="114"/>
    </row>
    <row r="6793" spans="2:7" ht="15.75" customHeight="1" x14ac:dyDescent="0.25">
      <c r="B6793" s="100"/>
      <c r="C6793" s="100"/>
      <c r="D6793" s="100"/>
      <c r="E6793" s="100"/>
      <c r="F6793" s="102"/>
      <c r="G6793" s="114"/>
    </row>
    <row r="6794" spans="2:7" ht="15.75" customHeight="1" x14ac:dyDescent="0.25">
      <c r="B6794" s="100"/>
      <c r="C6794" s="100"/>
      <c r="D6794" s="100"/>
      <c r="E6794" s="100"/>
      <c r="F6794" s="102"/>
      <c r="G6794" s="114"/>
    </row>
    <row r="6795" spans="2:7" ht="15.75" customHeight="1" x14ac:dyDescent="0.25">
      <c r="B6795" s="100"/>
      <c r="C6795" s="100"/>
      <c r="D6795" s="100"/>
      <c r="E6795" s="100"/>
      <c r="F6795" s="102"/>
      <c r="G6795" s="114"/>
    </row>
    <row r="6796" spans="2:7" ht="15.75" customHeight="1" x14ac:dyDescent="0.25">
      <c r="B6796" s="100"/>
      <c r="C6796" s="100"/>
      <c r="D6796" s="100"/>
      <c r="E6796" s="100"/>
      <c r="F6796" s="102"/>
      <c r="G6796" s="114"/>
    </row>
    <row r="6797" spans="2:7" ht="15.75" customHeight="1" x14ac:dyDescent="0.25">
      <c r="B6797" s="100"/>
      <c r="C6797" s="100"/>
      <c r="D6797" s="100"/>
      <c r="E6797" s="100"/>
      <c r="F6797" s="102"/>
      <c r="G6797" s="114"/>
    </row>
    <row r="6798" spans="2:7" ht="15.75" customHeight="1" x14ac:dyDescent="0.25">
      <c r="B6798" s="100"/>
      <c r="C6798" s="100"/>
      <c r="D6798" s="100"/>
      <c r="E6798" s="100"/>
      <c r="F6798" s="102"/>
      <c r="G6798" s="114"/>
    </row>
    <row r="6799" spans="2:7" ht="15.75" customHeight="1" x14ac:dyDescent="0.25">
      <c r="B6799" s="100"/>
      <c r="C6799" s="100"/>
      <c r="D6799" s="100"/>
      <c r="E6799" s="100"/>
      <c r="F6799" s="102"/>
      <c r="G6799" s="114"/>
    </row>
    <row r="6800" spans="2:7" ht="15.75" customHeight="1" x14ac:dyDescent="0.25">
      <c r="B6800" s="100"/>
      <c r="C6800" s="100"/>
      <c r="D6800" s="100"/>
      <c r="E6800" s="100"/>
      <c r="F6800" s="102"/>
      <c r="G6800" s="114"/>
    </row>
    <row r="6801" spans="2:7" ht="15.75" customHeight="1" x14ac:dyDescent="0.25">
      <c r="B6801" s="100"/>
      <c r="C6801" s="100"/>
      <c r="D6801" s="100"/>
      <c r="E6801" s="100"/>
      <c r="F6801" s="102"/>
      <c r="G6801" s="114"/>
    </row>
    <row r="6802" spans="2:7" ht="15.75" customHeight="1" x14ac:dyDescent="0.25">
      <c r="B6802" s="100"/>
      <c r="C6802" s="100"/>
      <c r="D6802" s="100"/>
      <c r="E6802" s="100"/>
      <c r="F6802" s="102"/>
      <c r="G6802" s="114"/>
    </row>
    <row r="6803" spans="2:7" ht="15.75" customHeight="1" x14ac:dyDescent="0.25">
      <c r="B6803" s="100"/>
      <c r="C6803" s="100"/>
      <c r="D6803" s="100"/>
      <c r="E6803" s="100"/>
      <c r="F6803" s="102"/>
      <c r="G6803" s="114"/>
    </row>
    <row r="6804" spans="2:7" ht="15.75" customHeight="1" x14ac:dyDescent="0.25">
      <c r="B6804" s="100"/>
      <c r="C6804" s="100"/>
      <c r="D6804" s="100"/>
      <c r="E6804" s="100"/>
      <c r="F6804" s="102"/>
      <c r="G6804" s="114"/>
    </row>
    <row r="6805" spans="2:7" ht="15.75" customHeight="1" x14ac:dyDescent="0.25">
      <c r="B6805" s="100"/>
      <c r="C6805" s="100"/>
      <c r="D6805" s="100"/>
      <c r="E6805" s="100"/>
      <c r="F6805" s="102"/>
      <c r="G6805" s="114"/>
    </row>
    <row r="6806" spans="2:7" ht="15.75" customHeight="1" x14ac:dyDescent="0.25">
      <c r="B6806" s="100"/>
      <c r="C6806" s="100"/>
      <c r="D6806" s="100"/>
      <c r="E6806" s="100"/>
      <c r="F6806" s="102"/>
      <c r="G6806" s="114"/>
    </row>
    <row r="6807" spans="2:7" ht="15.75" customHeight="1" x14ac:dyDescent="0.25">
      <c r="B6807" s="100"/>
      <c r="C6807" s="100"/>
      <c r="D6807" s="100"/>
      <c r="E6807" s="100"/>
      <c r="F6807" s="102"/>
      <c r="G6807" s="114"/>
    </row>
    <row r="6808" spans="2:7" ht="15.75" customHeight="1" x14ac:dyDescent="0.25">
      <c r="B6808" s="100"/>
      <c r="C6808" s="100"/>
      <c r="D6808" s="100"/>
      <c r="E6808" s="100"/>
      <c r="F6808" s="102"/>
      <c r="G6808" s="114"/>
    </row>
    <row r="6809" spans="2:7" ht="15.75" customHeight="1" x14ac:dyDescent="0.25">
      <c r="B6809" s="100"/>
      <c r="C6809" s="100"/>
      <c r="D6809" s="100"/>
      <c r="E6809" s="100"/>
      <c r="F6809" s="102"/>
      <c r="G6809" s="114"/>
    </row>
    <row r="6810" spans="2:7" ht="15.75" customHeight="1" x14ac:dyDescent="0.25">
      <c r="B6810" s="100"/>
      <c r="C6810" s="100"/>
      <c r="D6810" s="100"/>
      <c r="E6810" s="100"/>
      <c r="F6810" s="102"/>
      <c r="G6810" s="114"/>
    </row>
    <row r="6811" spans="2:7" ht="15.75" customHeight="1" x14ac:dyDescent="0.25">
      <c r="B6811" s="100"/>
      <c r="C6811" s="100"/>
      <c r="D6811" s="100"/>
      <c r="E6811" s="100"/>
      <c r="F6811" s="102"/>
      <c r="G6811" s="114"/>
    </row>
    <row r="6812" spans="2:7" ht="15.75" customHeight="1" x14ac:dyDescent="0.25">
      <c r="B6812" s="100"/>
      <c r="C6812" s="100"/>
      <c r="D6812" s="100"/>
      <c r="E6812" s="100"/>
      <c r="F6812" s="102"/>
      <c r="G6812" s="114"/>
    </row>
    <row r="6813" spans="2:7" ht="15.75" customHeight="1" x14ac:dyDescent="0.25">
      <c r="B6813" s="100"/>
      <c r="C6813" s="100"/>
      <c r="D6813" s="100"/>
      <c r="E6813" s="100"/>
      <c r="F6813" s="102"/>
      <c r="G6813" s="114"/>
    </row>
    <row r="6814" spans="2:7" ht="15.75" customHeight="1" x14ac:dyDescent="0.25">
      <c r="B6814" s="100"/>
      <c r="C6814" s="100"/>
      <c r="D6814" s="100"/>
      <c r="E6814" s="100"/>
      <c r="F6814" s="102"/>
      <c r="G6814" s="114"/>
    </row>
    <row r="6815" spans="2:7" ht="15.75" customHeight="1" x14ac:dyDescent="0.25">
      <c r="B6815" s="100"/>
      <c r="C6815" s="100"/>
      <c r="D6815" s="100"/>
      <c r="E6815" s="100"/>
      <c r="F6815" s="102"/>
      <c r="G6815" s="114"/>
    </row>
    <row r="6816" spans="2:7" ht="15.75" customHeight="1" x14ac:dyDescent="0.25">
      <c r="B6816" s="100"/>
      <c r="C6816" s="100"/>
      <c r="D6816" s="100"/>
      <c r="E6816" s="100"/>
      <c r="F6816" s="102"/>
      <c r="G6816" s="114"/>
    </row>
    <row r="6817" spans="2:7" ht="15.75" customHeight="1" x14ac:dyDescent="0.25">
      <c r="B6817" s="100"/>
      <c r="C6817" s="100"/>
      <c r="D6817" s="100"/>
      <c r="E6817" s="100"/>
      <c r="F6817" s="102"/>
      <c r="G6817" s="114"/>
    </row>
    <row r="6818" spans="2:7" ht="15.75" customHeight="1" x14ac:dyDescent="0.25">
      <c r="B6818" s="100"/>
      <c r="C6818" s="100"/>
      <c r="D6818" s="100"/>
      <c r="E6818" s="100"/>
      <c r="F6818" s="102"/>
      <c r="G6818" s="114"/>
    </row>
    <row r="6819" spans="2:7" ht="15.75" customHeight="1" x14ac:dyDescent="0.25">
      <c r="B6819" s="100"/>
      <c r="C6819" s="100"/>
      <c r="D6819" s="100"/>
      <c r="E6819" s="100"/>
      <c r="F6819" s="102"/>
      <c r="G6819" s="114"/>
    </row>
    <row r="6820" spans="2:7" ht="15.75" customHeight="1" x14ac:dyDescent="0.25">
      <c r="B6820" s="100"/>
      <c r="C6820" s="100"/>
      <c r="D6820" s="100"/>
      <c r="E6820" s="100"/>
      <c r="F6820" s="102"/>
      <c r="G6820" s="114"/>
    </row>
    <row r="6821" spans="2:7" ht="15.75" customHeight="1" x14ac:dyDescent="0.25">
      <c r="B6821" s="100"/>
      <c r="C6821" s="100"/>
      <c r="D6821" s="100"/>
      <c r="E6821" s="100"/>
      <c r="F6821" s="102"/>
      <c r="G6821" s="114"/>
    </row>
    <row r="6822" spans="2:7" ht="15.75" customHeight="1" x14ac:dyDescent="0.25">
      <c r="B6822" s="100"/>
      <c r="C6822" s="100"/>
      <c r="D6822" s="100"/>
      <c r="E6822" s="100"/>
      <c r="F6822" s="102"/>
      <c r="G6822" s="114"/>
    </row>
    <row r="6823" spans="2:7" ht="15.75" customHeight="1" x14ac:dyDescent="0.25">
      <c r="B6823" s="100"/>
      <c r="C6823" s="100"/>
      <c r="D6823" s="100"/>
      <c r="E6823" s="100"/>
      <c r="F6823" s="102"/>
      <c r="G6823" s="114"/>
    </row>
    <row r="6824" spans="2:7" ht="15.75" customHeight="1" x14ac:dyDescent="0.25">
      <c r="B6824" s="100"/>
      <c r="C6824" s="100"/>
      <c r="D6824" s="100"/>
      <c r="E6824" s="100"/>
      <c r="F6824" s="102"/>
      <c r="G6824" s="114"/>
    </row>
    <row r="6825" spans="2:7" ht="15.75" customHeight="1" x14ac:dyDescent="0.25">
      <c r="B6825" s="100"/>
      <c r="C6825" s="100"/>
      <c r="D6825" s="100"/>
      <c r="E6825" s="100"/>
      <c r="F6825" s="102"/>
      <c r="G6825" s="114"/>
    </row>
    <row r="6826" spans="2:7" ht="15.75" customHeight="1" x14ac:dyDescent="0.25">
      <c r="B6826" s="100"/>
      <c r="C6826" s="100"/>
      <c r="D6826" s="100"/>
      <c r="E6826" s="100"/>
      <c r="F6826" s="102"/>
      <c r="G6826" s="114"/>
    </row>
    <row r="6827" spans="2:7" ht="15.75" customHeight="1" x14ac:dyDescent="0.25">
      <c r="B6827" s="100"/>
      <c r="C6827" s="100"/>
      <c r="D6827" s="100"/>
      <c r="E6827" s="100"/>
      <c r="F6827" s="102"/>
      <c r="G6827" s="114"/>
    </row>
    <row r="6828" spans="2:7" ht="15.75" customHeight="1" x14ac:dyDescent="0.25">
      <c r="B6828" s="100"/>
      <c r="C6828" s="100"/>
      <c r="D6828" s="100"/>
      <c r="E6828" s="100"/>
      <c r="F6828" s="102"/>
      <c r="G6828" s="114"/>
    </row>
    <row r="6829" spans="2:7" ht="15.75" customHeight="1" x14ac:dyDescent="0.25">
      <c r="B6829" s="100"/>
      <c r="C6829" s="100"/>
      <c r="D6829" s="100"/>
      <c r="E6829" s="100"/>
      <c r="F6829" s="102"/>
      <c r="G6829" s="114"/>
    </row>
    <row r="6830" spans="2:7" ht="15.75" customHeight="1" x14ac:dyDescent="0.25">
      <c r="B6830" s="100"/>
      <c r="C6830" s="100"/>
      <c r="D6830" s="100"/>
      <c r="E6830" s="100"/>
      <c r="F6830" s="102"/>
      <c r="G6830" s="114"/>
    </row>
    <row r="6831" spans="2:7" ht="15.75" customHeight="1" x14ac:dyDescent="0.25">
      <c r="B6831" s="100"/>
      <c r="C6831" s="100"/>
      <c r="D6831" s="100"/>
      <c r="E6831" s="100"/>
      <c r="F6831" s="102"/>
      <c r="G6831" s="114"/>
    </row>
    <row r="6832" spans="2:7" ht="15.75" customHeight="1" x14ac:dyDescent="0.25">
      <c r="B6832" s="100"/>
      <c r="C6832" s="100"/>
      <c r="D6832" s="100"/>
      <c r="E6832" s="100"/>
      <c r="F6832" s="102"/>
      <c r="G6832" s="114"/>
    </row>
    <row r="6833" spans="2:7" ht="15.75" customHeight="1" x14ac:dyDescent="0.25">
      <c r="B6833" s="100"/>
      <c r="C6833" s="100"/>
      <c r="D6833" s="100"/>
      <c r="E6833" s="100"/>
      <c r="F6833" s="102"/>
      <c r="G6833" s="114"/>
    </row>
    <row r="6834" spans="2:7" ht="15.75" customHeight="1" x14ac:dyDescent="0.25">
      <c r="B6834" s="100"/>
      <c r="C6834" s="100"/>
      <c r="D6834" s="100"/>
      <c r="E6834" s="100"/>
      <c r="F6834" s="102"/>
      <c r="G6834" s="114"/>
    </row>
    <row r="6835" spans="2:7" ht="15.75" customHeight="1" x14ac:dyDescent="0.25">
      <c r="B6835" s="100"/>
      <c r="C6835" s="100"/>
      <c r="D6835" s="100"/>
      <c r="E6835" s="100"/>
      <c r="F6835" s="102"/>
      <c r="G6835" s="114"/>
    </row>
    <row r="6836" spans="2:7" ht="15.75" customHeight="1" x14ac:dyDescent="0.25">
      <c r="B6836" s="100"/>
      <c r="C6836" s="100"/>
      <c r="D6836" s="100"/>
      <c r="E6836" s="100"/>
      <c r="F6836" s="102"/>
      <c r="G6836" s="114"/>
    </row>
    <row r="6837" spans="2:7" ht="15.75" customHeight="1" x14ac:dyDescent="0.25">
      <c r="B6837" s="100"/>
      <c r="C6837" s="100"/>
      <c r="D6837" s="100"/>
      <c r="E6837" s="100"/>
      <c r="F6837" s="102"/>
      <c r="G6837" s="114"/>
    </row>
    <row r="6838" spans="2:7" ht="15.75" customHeight="1" x14ac:dyDescent="0.25">
      <c r="B6838" s="100"/>
      <c r="C6838" s="100"/>
      <c r="D6838" s="100"/>
      <c r="E6838" s="100"/>
      <c r="F6838" s="102"/>
      <c r="G6838" s="114"/>
    </row>
    <row r="6839" spans="2:7" ht="15.75" customHeight="1" x14ac:dyDescent="0.25">
      <c r="B6839" s="100"/>
      <c r="C6839" s="100"/>
      <c r="D6839" s="100"/>
      <c r="E6839" s="100"/>
      <c r="F6839" s="102"/>
      <c r="G6839" s="114"/>
    </row>
    <row r="6840" spans="2:7" ht="15.75" customHeight="1" x14ac:dyDescent="0.25">
      <c r="B6840" s="100"/>
      <c r="C6840" s="100"/>
      <c r="D6840" s="100"/>
      <c r="E6840" s="100"/>
      <c r="F6840" s="102"/>
      <c r="G6840" s="114"/>
    </row>
    <row r="6841" spans="2:7" ht="15.75" customHeight="1" x14ac:dyDescent="0.25">
      <c r="B6841" s="100"/>
      <c r="C6841" s="100"/>
      <c r="D6841" s="100"/>
      <c r="E6841" s="100"/>
      <c r="F6841" s="102"/>
      <c r="G6841" s="114"/>
    </row>
    <row r="6842" spans="2:7" ht="15.75" customHeight="1" x14ac:dyDescent="0.25">
      <c r="B6842" s="100"/>
      <c r="C6842" s="100"/>
      <c r="D6842" s="100"/>
      <c r="E6842" s="100"/>
      <c r="F6842" s="102"/>
      <c r="G6842" s="114"/>
    </row>
    <row r="6843" spans="2:7" ht="15.75" customHeight="1" x14ac:dyDescent="0.25">
      <c r="B6843" s="100"/>
      <c r="C6843" s="100"/>
      <c r="D6843" s="100"/>
      <c r="E6843" s="100"/>
      <c r="F6843" s="102"/>
      <c r="G6843" s="114"/>
    </row>
    <row r="6844" spans="2:7" ht="15.75" customHeight="1" x14ac:dyDescent="0.25">
      <c r="B6844" s="100"/>
      <c r="C6844" s="100"/>
      <c r="D6844" s="100"/>
      <c r="E6844" s="100"/>
      <c r="F6844" s="102"/>
      <c r="G6844" s="114"/>
    </row>
    <row r="6845" spans="2:7" ht="15.75" customHeight="1" x14ac:dyDescent="0.25">
      <c r="B6845" s="100"/>
      <c r="C6845" s="100"/>
      <c r="D6845" s="100"/>
      <c r="E6845" s="100"/>
      <c r="F6845" s="102"/>
      <c r="G6845" s="114"/>
    </row>
    <row r="6846" spans="2:7" ht="15.75" customHeight="1" x14ac:dyDescent="0.25">
      <c r="B6846" s="100"/>
      <c r="C6846" s="100"/>
      <c r="D6846" s="100"/>
      <c r="E6846" s="100"/>
      <c r="F6846" s="102"/>
      <c r="G6846" s="114"/>
    </row>
    <row r="6847" spans="2:7" ht="15.75" customHeight="1" x14ac:dyDescent="0.25">
      <c r="B6847" s="100"/>
      <c r="C6847" s="100"/>
      <c r="D6847" s="100"/>
      <c r="E6847" s="100"/>
      <c r="F6847" s="102"/>
      <c r="G6847" s="114"/>
    </row>
    <row r="6848" spans="2:7" ht="15.75" customHeight="1" x14ac:dyDescent="0.25">
      <c r="B6848" s="100"/>
      <c r="C6848" s="100"/>
      <c r="D6848" s="100"/>
      <c r="E6848" s="100"/>
      <c r="F6848" s="102"/>
      <c r="G6848" s="114"/>
    </row>
    <row r="6849" spans="2:7" ht="15.75" customHeight="1" x14ac:dyDescent="0.25">
      <c r="B6849" s="100"/>
      <c r="C6849" s="100"/>
      <c r="D6849" s="100"/>
      <c r="E6849" s="100"/>
      <c r="F6849" s="102"/>
      <c r="G6849" s="114"/>
    </row>
    <row r="6850" spans="2:7" ht="15.75" customHeight="1" x14ac:dyDescent="0.25">
      <c r="B6850" s="100"/>
      <c r="C6850" s="100"/>
      <c r="D6850" s="100"/>
      <c r="E6850" s="100"/>
      <c r="F6850" s="102"/>
      <c r="G6850" s="114"/>
    </row>
    <row r="6851" spans="2:7" ht="15.75" customHeight="1" x14ac:dyDescent="0.25">
      <c r="B6851" s="100"/>
      <c r="C6851" s="100"/>
      <c r="D6851" s="100"/>
      <c r="E6851" s="100"/>
      <c r="F6851" s="102"/>
      <c r="G6851" s="114"/>
    </row>
    <row r="6852" spans="2:7" ht="15.75" customHeight="1" x14ac:dyDescent="0.25">
      <c r="B6852" s="100"/>
      <c r="C6852" s="100"/>
      <c r="D6852" s="100"/>
      <c r="E6852" s="100"/>
      <c r="F6852" s="102"/>
      <c r="G6852" s="114"/>
    </row>
    <row r="6853" spans="2:7" ht="15.75" customHeight="1" x14ac:dyDescent="0.25">
      <c r="B6853" s="100"/>
      <c r="C6853" s="100"/>
      <c r="D6853" s="100"/>
      <c r="E6853" s="100"/>
      <c r="F6853" s="102"/>
      <c r="G6853" s="114"/>
    </row>
    <row r="6854" spans="2:7" ht="15.75" customHeight="1" x14ac:dyDescent="0.25">
      <c r="B6854" s="100"/>
      <c r="C6854" s="100"/>
      <c r="D6854" s="100"/>
      <c r="E6854" s="100"/>
      <c r="F6854" s="102"/>
      <c r="G6854" s="114"/>
    </row>
    <row r="6855" spans="2:7" ht="15.75" customHeight="1" x14ac:dyDescent="0.25">
      <c r="B6855" s="100"/>
      <c r="C6855" s="100"/>
      <c r="D6855" s="100"/>
      <c r="E6855" s="100"/>
      <c r="F6855" s="102"/>
      <c r="G6855" s="114"/>
    </row>
    <row r="6856" spans="2:7" ht="15.75" customHeight="1" x14ac:dyDescent="0.25">
      <c r="B6856" s="100"/>
      <c r="C6856" s="100"/>
      <c r="D6856" s="100"/>
      <c r="E6856" s="100"/>
      <c r="F6856" s="102"/>
      <c r="G6856" s="114"/>
    </row>
    <row r="6857" spans="2:7" ht="15.75" customHeight="1" x14ac:dyDescent="0.25">
      <c r="B6857" s="100"/>
      <c r="C6857" s="100"/>
      <c r="D6857" s="100"/>
      <c r="E6857" s="100"/>
      <c r="F6857" s="102"/>
      <c r="G6857" s="114"/>
    </row>
    <row r="6858" spans="2:7" ht="15.75" customHeight="1" x14ac:dyDescent="0.25">
      <c r="B6858" s="100"/>
      <c r="C6858" s="100"/>
      <c r="D6858" s="100"/>
      <c r="E6858" s="100"/>
      <c r="F6858" s="102"/>
      <c r="G6858" s="114"/>
    </row>
    <row r="6859" spans="2:7" ht="15.75" customHeight="1" x14ac:dyDescent="0.25">
      <c r="B6859" s="100"/>
      <c r="C6859" s="100"/>
      <c r="D6859" s="100"/>
      <c r="E6859" s="100"/>
      <c r="F6859" s="102"/>
      <c r="G6859" s="114"/>
    </row>
    <row r="6860" spans="2:7" ht="15.75" customHeight="1" x14ac:dyDescent="0.25">
      <c r="B6860" s="100"/>
      <c r="C6860" s="100"/>
      <c r="D6860" s="100"/>
      <c r="E6860" s="100"/>
      <c r="F6860" s="102"/>
      <c r="G6860" s="114"/>
    </row>
    <row r="6861" spans="2:7" ht="15.75" customHeight="1" x14ac:dyDescent="0.25">
      <c r="B6861" s="100"/>
      <c r="C6861" s="100"/>
      <c r="D6861" s="100"/>
      <c r="E6861" s="100"/>
      <c r="F6861" s="102"/>
      <c r="G6861" s="114"/>
    </row>
    <row r="6862" spans="2:7" ht="15.75" customHeight="1" x14ac:dyDescent="0.25">
      <c r="B6862" s="100"/>
      <c r="C6862" s="100"/>
      <c r="D6862" s="100"/>
      <c r="E6862" s="100"/>
      <c r="F6862" s="102"/>
      <c r="G6862" s="114"/>
    </row>
    <row r="6863" spans="2:7" ht="15.75" customHeight="1" x14ac:dyDescent="0.25">
      <c r="B6863" s="100"/>
      <c r="C6863" s="100"/>
      <c r="D6863" s="100"/>
      <c r="E6863" s="100"/>
      <c r="F6863" s="102"/>
      <c r="G6863" s="114"/>
    </row>
    <row r="6864" spans="2:7" ht="15.75" customHeight="1" x14ac:dyDescent="0.25">
      <c r="B6864" s="100"/>
      <c r="C6864" s="100"/>
      <c r="D6864" s="100"/>
      <c r="E6864" s="100"/>
      <c r="F6864" s="102"/>
      <c r="G6864" s="114"/>
    </row>
    <row r="6865" spans="2:7" ht="15.75" customHeight="1" x14ac:dyDescent="0.25">
      <c r="B6865" s="100"/>
      <c r="C6865" s="100"/>
      <c r="D6865" s="100"/>
      <c r="E6865" s="100"/>
      <c r="F6865" s="102"/>
      <c r="G6865" s="114"/>
    </row>
    <row r="6866" spans="2:7" ht="15.75" customHeight="1" x14ac:dyDescent="0.25">
      <c r="B6866" s="100"/>
      <c r="C6866" s="100"/>
      <c r="D6866" s="100"/>
      <c r="E6866" s="100"/>
      <c r="F6866" s="102"/>
      <c r="G6866" s="114"/>
    </row>
    <row r="6867" spans="2:7" ht="15.75" customHeight="1" x14ac:dyDescent="0.25">
      <c r="B6867" s="100"/>
      <c r="C6867" s="100"/>
      <c r="D6867" s="100"/>
      <c r="E6867" s="100"/>
      <c r="F6867" s="102"/>
      <c r="G6867" s="114"/>
    </row>
    <row r="6868" spans="2:7" ht="15.75" customHeight="1" x14ac:dyDescent="0.25">
      <c r="B6868" s="100"/>
      <c r="C6868" s="100"/>
      <c r="D6868" s="100"/>
      <c r="E6868" s="100"/>
      <c r="F6868" s="102"/>
      <c r="G6868" s="114"/>
    </row>
    <row r="6869" spans="2:7" ht="15.75" customHeight="1" x14ac:dyDescent="0.25">
      <c r="B6869" s="100"/>
      <c r="C6869" s="100"/>
      <c r="D6869" s="100"/>
      <c r="E6869" s="100"/>
      <c r="F6869" s="102"/>
      <c r="G6869" s="114"/>
    </row>
    <row r="6870" spans="2:7" ht="15.75" customHeight="1" x14ac:dyDescent="0.25">
      <c r="B6870" s="100"/>
      <c r="C6870" s="100"/>
      <c r="D6870" s="100"/>
      <c r="E6870" s="100"/>
      <c r="F6870" s="102"/>
      <c r="G6870" s="114"/>
    </row>
    <row r="6871" spans="2:7" ht="15.75" customHeight="1" x14ac:dyDescent="0.25">
      <c r="B6871" s="100"/>
      <c r="C6871" s="100"/>
      <c r="D6871" s="100"/>
      <c r="E6871" s="100"/>
      <c r="F6871" s="102"/>
      <c r="G6871" s="114"/>
    </row>
    <row r="6872" spans="2:7" ht="15.75" customHeight="1" x14ac:dyDescent="0.25">
      <c r="B6872" s="100"/>
      <c r="C6872" s="100"/>
      <c r="D6872" s="100"/>
      <c r="E6872" s="100"/>
      <c r="F6872" s="102"/>
      <c r="G6872" s="114"/>
    </row>
    <row r="6873" spans="2:7" ht="15.75" customHeight="1" x14ac:dyDescent="0.25">
      <c r="B6873" s="100"/>
      <c r="C6873" s="100"/>
      <c r="D6873" s="100"/>
      <c r="E6873" s="100"/>
      <c r="F6873" s="102"/>
      <c r="G6873" s="114"/>
    </row>
    <row r="6874" spans="2:7" ht="15.75" customHeight="1" x14ac:dyDescent="0.25">
      <c r="B6874" s="100"/>
      <c r="C6874" s="100"/>
      <c r="D6874" s="100"/>
      <c r="E6874" s="100"/>
      <c r="F6874" s="102"/>
      <c r="G6874" s="114"/>
    </row>
    <row r="6875" spans="2:7" ht="15.75" customHeight="1" x14ac:dyDescent="0.25">
      <c r="B6875" s="100"/>
      <c r="C6875" s="100"/>
      <c r="D6875" s="100"/>
      <c r="E6875" s="100"/>
      <c r="F6875" s="102"/>
      <c r="G6875" s="114"/>
    </row>
    <row r="6876" spans="2:7" ht="15.75" customHeight="1" x14ac:dyDescent="0.25">
      <c r="B6876" s="100"/>
      <c r="C6876" s="100"/>
      <c r="D6876" s="100"/>
      <c r="E6876" s="100"/>
      <c r="F6876" s="102"/>
      <c r="G6876" s="114"/>
    </row>
    <row r="6877" spans="2:7" ht="15.75" customHeight="1" x14ac:dyDescent="0.25">
      <c r="B6877" s="100"/>
      <c r="C6877" s="100"/>
      <c r="D6877" s="100"/>
      <c r="E6877" s="100"/>
      <c r="F6877" s="102"/>
      <c r="G6877" s="114"/>
    </row>
    <row r="6878" spans="2:7" ht="15.75" customHeight="1" x14ac:dyDescent="0.25">
      <c r="B6878" s="100"/>
      <c r="C6878" s="100"/>
      <c r="D6878" s="100"/>
      <c r="E6878" s="100"/>
      <c r="F6878" s="102"/>
      <c r="G6878" s="114"/>
    </row>
    <row r="6879" spans="2:7" ht="15.75" customHeight="1" x14ac:dyDescent="0.25">
      <c r="B6879" s="100"/>
      <c r="C6879" s="100"/>
      <c r="D6879" s="100"/>
      <c r="E6879" s="100"/>
      <c r="F6879" s="102"/>
      <c r="G6879" s="114"/>
    </row>
    <row r="6880" spans="2:7" ht="15.75" customHeight="1" x14ac:dyDescent="0.25">
      <c r="B6880" s="100"/>
      <c r="C6880" s="100"/>
      <c r="D6880" s="100"/>
      <c r="E6880" s="100"/>
      <c r="F6880" s="102"/>
      <c r="G6880" s="114"/>
    </row>
    <row r="6881" spans="2:7" ht="15.75" customHeight="1" x14ac:dyDescent="0.25">
      <c r="B6881" s="100"/>
      <c r="C6881" s="100"/>
      <c r="D6881" s="100"/>
      <c r="E6881" s="100"/>
      <c r="F6881" s="102"/>
      <c r="G6881" s="114"/>
    </row>
    <row r="6882" spans="2:7" ht="15.75" customHeight="1" x14ac:dyDescent="0.25">
      <c r="B6882" s="100"/>
      <c r="C6882" s="100"/>
      <c r="D6882" s="100"/>
      <c r="E6882" s="100"/>
      <c r="F6882" s="102"/>
      <c r="G6882" s="114"/>
    </row>
    <row r="6883" spans="2:7" ht="15.75" customHeight="1" x14ac:dyDescent="0.25">
      <c r="B6883" s="100"/>
      <c r="C6883" s="100"/>
      <c r="D6883" s="100"/>
      <c r="E6883" s="100"/>
      <c r="F6883" s="102"/>
      <c r="G6883" s="114"/>
    </row>
    <row r="6884" spans="2:7" ht="15.75" customHeight="1" x14ac:dyDescent="0.25">
      <c r="B6884" s="100"/>
      <c r="C6884" s="100"/>
      <c r="D6884" s="100"/>
      <c r="E6884" s="100"/>
      <c r="F6884" s="102"/>
      <c r="G6884" s="114"/>
    </row>
    <row r="6885" spans="2:7" ht="15.75" customHeight="1" x14ac:dyDescent="0.25">
      <c r="B6885" s="100"/>
      <c r="C6885" s="100"/>
      <c r="D6885" s="100"/>
      <c r="E6885" s="100"/>
      <c r="F6885" s="102"/>
      <c r="G6885" s="114"/>
    </row>
    <row r="6886" spans="2:7" ht="15.75" customHeight="1" x14ac:dyDescent="0.25">
      <c r="B6886" s="100"/>
      <c r="C6886" s="100"/>
      <c r="D6886" s="100"/>
      <c r="E6886" s="100"/>
      <c r="F6886" s="102"/>
      <c r="G6886" s="114"/>
    </row>
    <row r="6887" spans="2:7" ht="15.75" customHeight="1" x14ac:dyDescent="0.25">
      <c r="B6887" s="100"/>
      <c r="C6887" s="100"/>
      <c r="D6887" s="100"/>
      <c r="E6887" s="100"/>
      <c r="F6887" s="102"/>
      <c r="G6887" s="114"/>
    </row>
    <row r="6888" spans="2:7" ht="15.75" customHeight="1" x14ac:dyDescent="0.25">
      <c r="B6888" s="100"/>
      <c r="C6888" s="100"/>
      <c r="D6888" s="100"/>
      <c r="E6888" s="100"/>
      <c r="F6888" s="102"/>
      <c r="G6888" s="114"/>
    </row>
    <row r="6889" spans="2:7" ht="15.75" customHeight="1" x14ac:dyDescent="0.25">
      <c r="B6889" s="100"/>
      <c r="C6889" s="100"/>
      <c r="D6889" s="100"/>
      <c r="E6889" s="100"/>
      <c r="F6889" s="102"/>
      <c r="G6889" s="114"/>
    </row>
    <row r="6890" spans="2:7" ht="15.75" customHeight="1" x14ac:dyDescent="0.25">
      <c r="B6890" s="100"/>
      <c r="C6890" s="100"/>
      <c r="D6890" s="100"/>
      <c r="E6890" s="100"/>
      <c r="F6890" s="102"/>
      <c r="G6890" s="114"/>
    </row>
    <row r="6891" spans="2:7" ht="15.75" customHeight="1" x14ac:dyDescent="0.25">
      <c r="B6891" s="100"/>
      <c r="C6891" s="100"/>
      <c r="D6891" s="100"/>
      <c r="E6891" s="100"/>
      <c r="F6891" s="102"/>
      <c r="G6891" s="114"/>
    </row>
    <row r="6892" spans="2:7" ht="15.75" customHeight="1" x14ac:dyDescent="0.25">
      <c r="B6892" s="100"/>
      <c r="C6892" s="100"/>
      <c r="D6892" s="100"/>
      <c r="E6892" s="100"/>
      <c r="F6892" s="102"/>
      <c r="G6892" s="114"/>
    </row>
    <row r="6893" spans="2:7" ht="15.75" customHeight="1" x14ac:dyDescent="0.25">
      <c r="B6893" s="100"/>
      <c r="C6893" s="100"/>
      <c r="D6893" s="100"/>
      <c r="E6893" s="100"/>
      <c r="F6893" s="102"/>
      <c r="G6893" s="114"/>
    </row>
    <row r="6894" spans="2:7" ht="15.75" customHeight="1" x14ac:dyDescent="0.25">
      <c r="B6894" s="100"/>
      <c r="C6894" s="100"/>
      <c r="D6894" s="100"/>
      <c r="E6894" s="100"/>
      <c r="F6894" s="102"/>
      <c r="G6894" s="114"/>
    </row>
    <row r="6895" spans="2:7" ht="15.75" customHeight="1" x14ac:dyDescent="0.25">
      <c r="B6895" s="100"/>
      <c r="C6895" s="100"/>
      <c r="D6895" s="100"/>
      <c r="E6895" s="100"/>
      <c r="F6895" s="102"/>
      <c r="G6895" s="114"/>
    </row>
    <row r="6896" spans="2:7" ht="15.75" customHeight="1" x14ac:dyDescent="0.25">
      <c r="B6896" s="100"/>
      <c r="C6896" s="100"/>
      <c r="D6896" s="100"/>
      <c r="E6896" s="100"/>
      <c r="F6896" s="102"/>
      <c r="G6896" s="114"/>
    </row>
    <row r="6897" spans="2:7" ht="15.75" customHeight="1" x14ac:dyDescent="0.25">
      <c r="B6897" s="100"/>
      <c r="C6897" s="100"/>
      <c r="D6897" s="100"/>
      <c r="E6897" s="100"/>
      <c r="F6897" s="102"/>
      <c r="G6897" s="114"/>
    </row>
    <row r="6898" spans="2:7" ht="15.75" customHeight="1" x14ac:dyDescent="0.25">
      <c r="B6898" s="100"/>
      <c r="C6898" s="100"/>
      <c r="D6898" s="100"/>
      <c r="E6898" s="100"/>
      <c r="F6898" s="102"/>
      <c r="G6898" s="114"/>
    </row>
    <row r="6899" spans="2:7" ht="15.75" customHeight="1" x14ac:dyDescent="0.25">
      <c r="B6899" s="100"/>
      <c r="C6899" s="100"/>
      <c r="D6899" s="100"/>
      <c r="E6899" s="100"/>
      <c r="F6899" s="102"/>
      <c r="G6899" s="114"/>
    </row>
    <row r="6900" spans="2:7" ht="15.75" customHeight="1" x14ac:dyDescent="0.25">
      <c r="B6900" s="100"/>
      <c r="C6900" s="100"/>
      <c r="D6900" s="100"/>
      <c r="E6900" s="100"/>
      <c r="F6900" s="102"/>
      <c r="G6900" s="114"/>
    </row>
    <row r="6901" spans="2:7" ht="15.75" customHeight="1" x14ac:dyDescent="0.25">
      <c r="B6901" s="100"/>
      <c r="C6901" s="100"/>
      <c r="D6901" s="100"/>
      <c r="E6901" s="100"/>
      <c r="F6901" s="102"/>
      <c r="G6901" s="114"/>
    </row>
    <row r="6902" spans="2:7" ht="15.75" customHeight="1" x14ac:dyDescent="0.25">
      <c r="B6902" s="100"/>
      <c r="C6902" s="100"/>
      <c r="D6902" s="100"/>
      <c r="E6902" s="100"/>
      <c r="F6902" s="102"/>
      <c r="G6902" s="114"/>
    </row>
    <row r="6903" spans="2:7" ht="15.75" customHeight="1" x14ac:dyDescent="0.25">
      <c r="B6903" s="100"/>
      <c r="C6903" s="100"/>
      <c r="D6903" s="100"/>
      <c r="E6903" s="100"/>
      <c r="F6903" s="102"/>
      <c r="G6903" s="114"/>
    </row>
    <row r="6904" spans="2:7" ht="15.75" customHeight="1" x14ac:dyDescent="0.25">
      <c r="B6904" s="100"/>
      <c r="C6904" s="100"/>
      <c r="D6904" s="100"/>
      <c r="E6904" s="100"/>
      <c r="F6904" s="102"/>
      <c r="G6904" s="114"/>
    </row>
    <row r="6905" spans="2:7" ht="15.75" customHeight="1" x14ac:dyDescent="0.25">
      <c r="B6905" s="100"/>
      <c r="C6905" s="100"/>
      <c r="D6905" s="100"/>
      <c r="E6905" s="100"/>
      <c r="F6905" s="102"/>
      <c r="G6905" s="114"/>
    </row>
    <row r="6906" spans="2:7" ht="15.75" customHeight="1" x14ac:dyDescent="0.25">
      <c r="B6906" s="100"/>
      <c r="C6906" s="100"/>
      <c r="D6906" s="100"/>
      <c r="E6906" s="100"/>
      <c r="F6906" s="102"/>
      <c r="G6906" s="114"/>
    </row>
    <row r="6907" spans="2:7" ht="15.75" customHeight="1" x14ac:dyDescent="0.25">
      <c r="B6907" s="100"/>
      <c r="C6907" s="100"/>
      <c r="D6907" s="100"/>
      <c r="E6907" s="100"/>
      <c r="F6907" s="102"/>
      <c r="G6907" s="114"/>
    </row>
    <row r="6908" spans="2:7" ht="15.75" customHeight="1" x14ac:dyDescent="0.25">
      <c r="B6908" s="100"/>
      <c r="C6908" s="100"/>
      <c r="D6908" s="100"/>
      <c r="E6908" s="100"/>
      <c r="F6908" s="102"/>
      <c r="G6908" s="114"/>
    </row>
    <row r="6909" spans="2:7" ht="15.75" customHeight="1" x14ac:dyDescent="0.25">
      <c r="B6909" s="100"/>
      <c r="C6909" s="100"/>
      <c r="D6909" s="100"/>
      <c r="E6909" s="100"/>
      <c r="F6909" s="102"/>
      <c r="G6909" s="114"/>
    </row>
    <row r="6910" spans="2:7" ht="15.75" customHeight="1" x14ac:dyDescent="0.25">
      <c r="B6910" s="100"/>
      <c r="C6910" s="100"/>
      <c r="D6910" s="100"/>
      <c r="E6910" s="100"/>
      <c r="F6910" s="102"/>
      <c r="G6910" s="114"/>
    </row>
    <row r="6911" spans="2:7" ht="15.75" customHeight="1" x14ac:dyDescent="0.25">
      <c r="B6911" s="100"/>
      <c r="C6911" s="100"/>
      <c r="D6911" s="100"/>
      <c r="E6911" s="100"/>
      <c r="F6911" s="102"/>
      <c r="G6911" s="114"/>
    </row>
    <row r="6912" spans="2:7" ht="15.75" customHeight="1" x14ac:dyDescent="0.25">
      <c r="B6912" s="100"/>
      <c r="C6912" s="100"/>
      <c r="D6912" s="100"/>
      <c r="E6912" s="100"/>
      <c r="F6912" s="102"/>
      <c r="G6912" s="114"/>
    </row>
    <row r="6913" spans="2:7" ht="15.75" customHeight="1" x14ac:dyDescent="0.25">
      <c r="B6913" s="100"/>
      <c r="C6913" s="100"/>
      <c r="D6913" s="100"/>
      <c r="E6913" s="100"/>
      <c r="F6913" s="102"/>
      <c r="G6913" s="114"/>
    </row>
    <row r="6914" spans="2:7" ht="15.75" customHeight="1" x14ac:dyDescent="0.25">
      <c r="B6914" s="100"/>
      <c r="C6914" s="100"/>
      <c r="D6914" s="100"/>
      <c r="E6914" s="100"/>
      <c r="F6914" s="102"/>
      <c r="G6914" s="114"/>
    </row>
    <row r="6915" spans="2:7" ht="15.75" customHeight="1" x14ac:dyDescent="0.25">
      <c r="B6915" s="100"/>
      <c r="C6915" s="100"/>
      <c r="D6915" s="100"/>
      <c r="E6915" s="100"/>
      <c r="F6915" s="102"/>
      <c r="G6915" s="114"/>
    </row>
    <row r="6916" spans="2:7" ht="15.75" customHeight="1" x14ac:dyDescent="0.25">
      <c r="B6916" s="100"/>
      <c r="C6916" s="100"/>
      <c r="D6916" s="100"/>
      <c r="E6916" s="100"/>
      <c r="F6916" s="102"/>
      <c r="G6916" s="114"/>
    </row>
    <row r="6917" spans="2:7" ht="15.75" customHeight="1" x14ac:dyDescent="0.25">
      <c r="B6917" s="100"/>
      <c r="C6917" s="100"/>
      <c r="D6917" s="100"/>
      <c r="E6917" s="100"/>
      <c r="F6917" s="102"/>
      <c r="G6917" s="114"/>
    </row>
    <row r="6918" spans="2:7" ht="15.75" customHeight="1" x14ac:dyDescent="0.25">
      <c r="B6918" s="100"/>
      <c r="C6918" s="100"/>
      <c r="D6918" s="100"/>
      <c r="E6918" s="100"/>
      <c r="F6918" s="102"/>
      <c r="G6918" s="114"/>
    </row>
    <row r="6919" spans="2:7" ht="15.75" customHeight="1" x14ac:dyDescent="0.25">
      <c r="B6919" s="100"/>
      <c r="C6919" s="100"/>
      <c r="D6919" s="100"/>
      <c r="E6919" s="100"/>
      <c r="F6919" s="102"/>
      <c r="G6919" s="114"/>
    </row>
    <row r="6920" spans="2:7" ht="15.75" customHeight="1" x14ac:dyDescent="0.25">
      <c r="B6920" s="100"/>
      <c r="C6920" s="100"/>
      <c r="D6920" s="100"/>
      <c r="E6920" s="100"/>
      <c r="F6920" s="102"/>
      <c r="G6920" s="114"/>
    </row>
    <row r="6921" spans="2:7" ht="15.75" customHeight="1" x14ac:dyDescent="0.25">
      <c r="B6921" s="100"/>
      <c r="C6921" s="100"/>
      <c r="D6921" s="100"/>
      <c r="E6921" s="100"/>
      <c r="F6921" s="102"/>
      <c r="G6921" s="114"/>
    </row>
    <row r="6922" spans="2:7" ht="15.75" customHeight="1" x14ac:dyDescent="0.25">
      <c r="B6922" s="100"/>
      <c r="C6922" s="100"/>
      <c r="D6922" s="100"/>
      <c r="E6922" s="100"/>
      <c r="F6922" s="102"/>
      <c r="G6922" s="114"/>
    </row>
    <row r="6923" spans="2:7" ht="15.75" customHeight="1" x14ac:dyDescent="0.25">
      <c r="B6923" s="100"/>
      <c r="C6923" s="100"/>
      <c r="D6923" s="100"/>
      <c r="E6923" s="100"/>
      <c r="F6923" s="102"/>
      <c r="G6923" s="114"/>
    </row>
    <row r="6924" spans="2:7" ht="15.75" customHeight="1" x14ac:dyDescent="0.25">
      <c r="B6924" s="100"/>
      <c r="C6924" s="100"/>
      <c r="D6924" s="100"/>
      <c r="E6924" s="100"/>
      <c r="F6924" s="102"/>
      <c r="G6924" s="114"/>
    </row>
    <row r="6925" spans="2:7" ht="15.75" customHeight="1" x14ac:dyDescent="0.25">
      <c r="B6925" s="100"/>
      <c r="C6925" s="100"/>
      <c r="D6925" s="100"/>
      <c r="E6925" s="100"/>
      <c r="F6925" s="102"/>
      <c r="G6925" s="114"/>
    </row>
    <row r="6926" spans="2:7" ht="15.75" customHeight="1" x14ac:dyDescent="0.25">
      <c r="B6926" s="100"/>
      <c r="C6926" s="100"/>
      <c r="D6926" s="100"/>
      <c r="E6926" s="100"/>
      <c r="F6926" s="102"/>
      <c r="G6926" s="114"/>
    </row>
    <row r="6927" spans="2:7" ht="15.75" customHeight="1" x14ac:dyDescent="0.25">
      <c r="B6927" s="100"/>
      <c r="C6927" s="100"/>
      <c r="D6927" s="100"/>
      <c r="E6927" s="100"/>
      <c r="F6927" s="102"/>
      <c r="G6927" s="114"/>
    </row>
    <row r="6928" spans="2:7" ht="15.75" customHeight="1" x14ac:dyDescent="0.25">
      <c r="B6928" s="100"/>
      <c r="C6928" s="100"/>
      <c r="D6928" s="100"/>
      <c r="E6928" s="100"/>
      <c r="F6928" s="102"/>
      <c r="G6928" s="114"/>
    </row>
    <row r="6929" spans="2:7" ht="15.75" customHeight="1" x14ac:dyDescent="0.25">
      <c r="B6929" s="100"/>
      <c r="C6929" s="100"/>
      <c r="D6929" s="100"/>
      <c r="E6929" s="100"/>
      <c r="F6929" s="102"/>
      <c r="G6929" s="114"/>
    </row>
    <row r="6930" spans="2:7" ht="15.75" customHeight="1" x14ac:dyDescent="0.25">
      <c r="B6930" s="100"/>
      <c r="C6930" s="100"/>
      <c r="D6930" s="100"/>
      <c r="E6930" s="100"/>
      <c r="F6930" s="102"/>
      <c r="G6930" s="114"/>
    </row>
    <row r="6931" spans="2:7" ht="15.75" customHeight="1" x14ac:dyDescent="0.25">
      <c r="B6931" s="100"/>
      <c r="C6931" s="100"/>
      <c r="D6931" s="100"/>
      <c r="E6931" s="100"/>
      <c r="F6931" s="102"/>
      <c r="G6931" s="114"/>
    </row>
    <row r="6932" spans="2:7" ht="15.75" customHeight="1" x14ac:dyDescent="0.25">
      <c r="B6932" s="100"/>
      <c r="C6932" s="100"/>
      <c r="D6932" s="100"/>
      <c r="E6932" s="100"/>
      <c r="F6932" s="102"/>
      <c r="G6932" s="114"/>
    </row>
    <row r="6933" spans="2:7" ht="15.75" customHeight="1" x14ac:dyDescent="0.25">
      <c r="B6933" s="100"/>
      <c r="C6933" s="100"/>
      <c r="D6933" s="100"/>
      <c r="E6933" s="100"/>
      <c r="F6933" s="102"/>
      <c r="G6933" s="114"/>
    </row>
    <row r="6934" spans="2:7" ht="15.75" customHeight="1" x14ac:dyDescent="0.25">
      <c r="B6934" s="100"/>
      <c r="C6934" s="100"/>
      <c r="D6934" s="100"/>
      <c r="E6934" s="100"/>
      <c r="F6934" s="102"/>
      <c r="G6934" s="114"/>
    </row>
    <row r="6935" spans="2:7" ht="15.75" customHeight="1" x14ac:dyDescent="0.25">
      <c r="B6935" s="100"/>
      <c r="C6935" s="100"/>
      <c r="D6935" s="100"/>
      <c r="E6935" s="100"/>
      <c r="F6935" s="102"/>
      <c r="G6935" s="114"/>
    </row>
    <row r="6936" spans="2:7" ht="15.75" customHeight="1" x14ac:dyDescent="0.25">
      <c r="B6936" s="100"/>
      <c r="C6936" s="100"/>
      <c r="D6936" s="100"/>
      <c r="E6936" s="100"/>
      <c r="F6936" s="102"/>
      <c r="G6936" s="114"/>
    </row>
    <row r="6937" spans="2:7" ht="15.75" customHeight="1" x14ac:dyDescent="0.25">
      <c r="B6937" s="100"/>
      <c r="C6937" s="100"/>
      <c r="D6937" s="100"/>
      <c r="E6937" s="100"/>
      <c r="F6937" s="102"/>
      <c r="G6937" s="114"/>
    </row>
    <row r="6938" spans="2:7" ht="15.75" customHeight="1" x14ac:dyDescent="0.25">
      <c r="B6938" s="100"/>
      <c r="C6938" s="100"/>
      <c r="D6938" s="100"/>
      <c r="E6938" s="100"/>
      <c r="F6938" s="102"/>
      <c r="G6938" s="114"/>
    </row>
    <row r="6939" spans="2:7" ht="15.75" customHeight="1" x14ac:dyDescent="0.25">
      <c r="B6939" s="100"/>
      <c r="C6939" s="100"/>
      <c r="D6939" s="100"/>
      <c r="E6939" s="100"/>
      <c r="F6939" s="102"/>
      <c r="G6939" s="114"/>
    </row>
    <row r="6940" spans="2:7" ht="15.75" customHeight="1" x14ac:dyDescent="0.25">
      <c r="B6940" s="100"/>
      <c r="C6940" s="100"/>
      <c r="D6940" s="100"/>
      <c r="E6940" s="100"/>
      <c r="F6940" s="102"/>
      <c r="G6940" s="114"/>
    </row>
    <row r="6941" spans="2:7" ht="15.75" customHeight="1" x14ac:dyDescent="0.25">
      <c r="B6941" s="100"/>
      <c r="C6941" s="100"/>
      <c r="D6941" s="100"/>
      <c r="E6941" s="100"/>
      <c r="F6941" s="102"/>
      <c r="G6941" s="114"/>
    </row>
    <row r="6942" spans="2:7" ht="15.75" customHeight="1" x14ac:dyDescent="0.25">
      <c r="B6942" s="100"/>
      <c r="C6942" s="100"/>
      <c r="D6942" s="100"/>
      <c r="E6942" s="100"/>
      <c r="F6942" s="102"/>
      <c r="G6942" s="114"/>
    </row>
    <row r="6943" spans="2:7" ht="15.75" customHeight="1" x14ac:dyDescent="0.25">
      <c r="B6943" s="100"/>
      <c r="C6943" s="100"/>
      <c r="D6943" s="100"/>
      <c r="E6943" s="100"/>
      <c r="F6943" s="102"/>
      <c r="G6943" s="114"/>
    </row>
    <row r="6944" spans="2:7" ht="15.75" customHeight="1" x14ac:dyDescent="0.25">
      <c r="B6944" s="100"/>
      <c r="C6944" s="100"/>
      <c r="D6944" s="100"/>
      <c r="E6944" s="100"/>
      <c r="F6944" s="102"/>
      <c r="G6944" s="114"/>
    </row>
    <row r="6945" spans="2:7" ht="15.75" customHeight="1" x14ac:dyDescent="0.25">
      <c r="B6945" s="100"/>
      <c r="C6945" s="100"/>
      <c r="D6945" s="100"/>
      <c r="E6945" s="100"/>
      <c r="F6945" s="102"/>
      <c r="G6945" s="114"/>
    </row>
    <row r="6946" spans="2:7" ht="15.75" customHeight="1" x14ac:dyDescent="0.25">
      <c r="B6946" s="100"/>
      <c r="C6946" s="100"/>
      <c r="D6946" s="100"/>
      <c r="E6946" s="100"/>
      <c r="F6946" s="102"/>
      <c r="G6946" s="114"/>
    </row>
    <row r="6947" spans="2:7" ht="15.75" customHeight="1" x14ac:dyDescent="0.25">
      <c r="B6947" s="100"/>
      <c r="C6947" s="100"/>
      <c r="D6947" s="100"/>
      <c r="E6947" s="100"/>
      <c r="F6947" s="102"/>
      <c r="G6947" s="114"/>
    </row>
    <row r="6948" spans="2:7" ht="15.75" customHeight="1" x14ac:dyDescent="0.25">
      <c r="B6948" s="100"/>
      <c r="C6948" s="100"/>
      <c r="D6948" s="100"/>
      <c r="E6948" s="100"/>
      <c r="F6948" s="102"/>
      <c r="G6948" s="114"/>
    </row>
    <row r="6949" spans="2:7" ht="15.75" customHeight="1" x14ac:dyDescent="0.25">
      <c r="B6949" s="100"/>
      <c r="C6949" s="100"/>
      <c r="D6949" s="100"/>
      <c r="E6949" s="100"/>
      <c r="F6949" s="102"/>
      <c r="G6949" s="114"/>
    </row>
    <row r="6950" spans="2:7" ht="15.75" customHeight="1" x14ac:dyDescent="0.25">
      <c r="B6950" s="100"/>
      <c r="C6950" s="100"/>
      <c r="D6950" s="100"/>
      <c r="E6950" s="100"/>
      <c r="F6950" s="102"/>
      <c r="G6950" s="114"/>
    </row>
    <row r="6951" spans="2:7" ht="15.75" customHeight="1" x14ac:dyDescent="0.25">
      <c r="B6951" s="100"/>
      <c r="C6951" s="100"/>
      <c r="D6951" s="100"/>
      <c r="E6951" s="100"/>
      <c r="F6951" s="102"/>
      <c r="G6951" s="114"/>
    </row>
    <row r="6952" spans="2:7" ht="15.75" customHeight="1" x14ac:dyDescent="0.25">
      <c r="B6952" s="100"/>
      <c r="C6952" s="100"/>
      <c r="D6952" s="100"/>
      <c r="E6952" s="100"/>
      <c r="F6952" s="102"/>
      <c r="G6952" s="114"/>
    </row>
    <row r="6953" spans="2:7" ht="15.75" customHeight="1" x14ac:dyDescent="0.25">
      <c r="B6953" s="100"/>
      <c r="C6953" s="100"/>
      <c r="D6953" s="100"/>
      <c r="E6953" s="100"/>
      <c r="F6953" s="102"/>
      <c r="G6953" s="114"/>
    </row>
    <row r="6954" spans="2:7" ht="15.75" customHeight="1" x14ac:dyDescent="0.25">
      <c r="B6954" s="100"/>
      <c r="C6954" s="100"/>
      <c r="D6954" s="100"/>
      <c r="E6954" s="100"/>
      <c r="F6954" s="102"/>
      <c r="G6954" s="114"/>
    </row>
    <row r="6955" spans="2:7" ht="15.75" customHeight="1" x14ac:dyDescent="0.25">
      <c r="B6955" s="100"/>
      <c r="C6955" s="100"/>
      <c r="D6955" s="100"/>
      <c r="E6955" s="100"/>
      <c r="F6955" s="102"/>
      <c r="G6955" s="114"/>
    </row>
    <row r="6956" spans="2:7" ht="15.75" customHeight="1" x14ac:dyDescent="0.25">
      <c r="B6956" s="100"/>
      <c r="C6956" s="100"/>
      <c r="D6956" s="100"/>
      <c r="E6956" s="100"/>
      <c r="F6956" s="102"/>
      <c r="G6956" s="114"/>
    </row>
    <row r="6957" spans="2:7" ht="15.75" customHeight="1" x14ac:dyDescent="0.25">
      <c r="B6957" s="100"/>
      <c r="C6957" s="100"/>
      <c r="D6957" s="100"/>
      <c r="E6957" s="100"/>
      <c r="F6957" s="102"/>
      <c r="G6957" s="114"/>
    </row>
    <row r="6958" spans="2:7" ht="15.75" customHeight="1" x14ac:dyDescent="0.25">
      <c r="B6958" s="100"/>
      <c r="C6958" s="100"/>
      <c r="D6958" s="100"/>
      <c r="E6958" s="100"/>
      <c r="F6958" s="102"/>
      <c r="G6958" s="114"/>
    </row>
    <row r="6959" spans="2:7" ht="15.75" customHeight="1" x14ac:dyDescent="0.25">
      <c r="B6959" s="100"/>
      <c r="C6959" s="100"/>
      <c r="D6959" s="100"/>
      <c r="E6959" s="100"/>
      <c r="F6959" s="102"/>
      <c r="G6959" s="114"/>
    </row>
    <row r="6960" spans="2:7" ht="15.75" customHeight="1" x14ac:dyDescent="0.25">
      <c r="B6960" s="100"/>
      <c r="C6960" s="100"/>
      <c r="D6960" s="100"/>
      <c r="E6960" s="100"/>
      <c r="F6960" s="102"/>
      <c r="G6960" s="114"/>
    </row>
    <row r="6961" spans="2:7" ht="15.75" customHeight="1" x14ac:dyDescent="0.25">
      <c r="B6961" s="100"/>
      <c r="C6961" s="100"/>
      <c r="D6961" s="100"/>
      <c r="E6961" s="100"/>
      <c r="F6961" s="102"/>
      <c r="G6961" s="114"/>
    </row>
    <row r="6962" spans="2:7" ht="15.75" customHeight="1" x14ac:dyDescent="0.25">
      <c r="B6962" s="100"/>
      <c r="C6962" s="100"/>
      <c r="D6962" s="100"/>
      <c r="E6962" s="100"/>
      <c r="F6962" s="102"/>
      <c r="G6962" s="114"/>
    </row>
    <row r="6963" spans="2:7" ht="15.75" customHeight="1" x14ac:dyDescent="0.25">
      <c r="B6963" s="100"/>
      <c r="C6963" s="100"/>
      <c r="D6963" s="100"/>
      <c r="E6963" s="100"/>
      <c r="F6963" s="102"/>
      <c r="G6963" s="114"/>
    </row>
    <row r="6964" spans="2:7" ht="15.75" customHeight="1" x14ac:dyDescent="0.25">
      <c r="B6964" s="100"/>
      <c r="C6964" s="100"/>
      <c r="D6964" s="100"/>
      <c r="E6964" s="100"/>
      <c r="F6964" s="102"/>
      <c r="G6964" s="114"/>
    </row>
    <row r="6965" spans="2:7" ht="15.75" customHeight="1" x14ac:dyDescent="0.25">
      <c r="B6965" s="100"/>
      <c r="C6965" s="100"/>
      <c r="D6965" s="100"/>
      <c r="E6965" s="100"/>
      <c r="F6965" s="102"/>
      <c r="G6965" s="114"/>
    </row>
    <row r="6966" spans="2:7" ht="15.75" customHeight="1" x14ac:dyDescent="0.25">
      <c r="B6966" s="100"/>
      <c r="C6966" s="100"/>
      <c r="D6966" s="100"/>
      <c r="E6966" s="100"/>
      <c r="F6966" s="102"/>
      <c r="G6966" s="114"/>
    </row>
    <row r="6967" spans="2:7" ht="15.75" customHeight="1" x14ac:dyDescent="0.25">
      <c r="B6967" s="100"/>
      <c r="C6967" s="100"/>
      <c r="D6967" s="100"/>
      <c r="E6967" s="100"/>
      <c r="F6967" s="102"/>
      <c r="G6967" s="114"/>
    </row>
    <row r="6968" spans="2:7" ht="15.75" customHeight="1" x14ac:dyDescent="0.25">
      <c r="B6968" s="100"/>
      <c r="C6968" s="100"/>
      <c r="D6968" s="100"/>
      <c r="E6968" s="100"/>
      <c r="F6968" s="102"/>
      <c r="G6968" s="114"/>
    </row>
    <row r="6969" spans="2:7" ht="15.75" customHeight="1" x14ac:dyDescent="0.25">
      <c r="B6969" s="100"/>
      <c r="C6969" s="100"/>
      <c r="D6969" s="100"/>
      <c r="E6969" s="100"/>
      <c r="F6969" s="102"/>
      <c r="G6969" s="114"/>
    </row>
    <row r="6970" spans="2:7" ht="15.75" customHeight="1" x14ac:dyDescent="0.25">
      <c r="B6970" s="100"/>
      <c r="C6970" s="100"/>
      <c r="D6970" s="100"/>
      <c r="E6970" s="100"/>
      <c r="F6970" s="102"/>
      <c r="G6970" s="114"/>
    </row>
    <row r="6971" spans="2:7" ht="15.75" customHeight="1" x14ac:dyDescent="0.25">
      <c r="B6971" s="100"/>
      <c r="C6971" s="100"/>
      <c r="D6971" s="100"/>
      <c r="E6971" s="100"/>
      <c r="F6971" s="102"/>
      <c r="G6971" s="114"/>
    </row>
    <row r="6972" spans="2:7" ht="15.75" customHeight="1" x14ac:dyDescent="0.25">
      <c r="B6972" s="100"/>
      <c r="C6972" s="100"/>
      <c r="D6972" s="100"/>
      <c r="E6972" s="100"/>
      <c r="F6972" s="102"/>
      <c r="G6972" s="114"/>
    </row>
    <row r="6973" spans="2:7" ht="15.75" customHeight="1" x14ac:dyDescent="0.25">
      <c r="B6973" s="100"/>
      <c r="C6973" s="100"/>
      <c r="D6973" s="100"/>
      <c r="E6973" s="100"/>
      <c r="F6973" s="102"/>
      <c r="G6973" s="114"/>
    </row>
    <row r="6974" spans="2:7" ht="15.75" customHeight="1" x14ac:dyDescent="0.25">
      <c r="B6974" s="100"/>
      <c r="C6974" s="100"/>
      <c r="D6974" s="100"/>
      <c r="E6974" s="100"/>
      <c r="F6974" s="102"/>
      <c r="G6974" s="114"/>
    </row>
    <row r="6975" spans="2:7" ht="15.75" customHeight="1" x14ac:dyDescent="0.25">
      <c r="B6975" s="100"/>
      <c r="C6975" s="100"/>
      <c r="D6975" s="100"/>
      <c r="E6975" s="100"/>
      <c r="F6975" s="102"/>
      <c r="G6975" s="114"/>
    </row>
    <row r="6976" spans="2:7" ht="15.75" customHeight="1" x14ac:dyDescent="0.25">
      <c r="B6976" s="100"/>
      <c r="C6976" s="100"/>
      <c r="D6976" s="100"/>
      <c r="E6976" s="100"/>
      <c r="F6976" s="102"/>
      <c r="G6976" s="114"/>
    </row>
    <row r="6977" spans="2:7" ht="15.75" customHeight="1" x14ac:dyDescent="0.25">
      <c r="B6977" s="100"/>
      <c r="C6977" s="100"/>
      <c r="D6977" s="100"/>
      <c r="E6977" s="100"/>
      <c r="F6977" s="102"/>
      <c r="G6977" s="114"/>
    </row>
    <row r="6978" spans="2:7" ht="15.75" customHeight="1" x14ac:dyDescent="0.25">
      <c r="B6978" s="100"/>
      <c r="C6978" s="100"/>
      <c r="D6978" s="100"/>
      <c r="E6978" s="100"/>
      <c r="F6978" s="102"/>
      <c r="G6978" s="114"/>
    </row>
    <row r="6979" spans="2:7" ht="15.75" customHeight="1" x14ac:dyDescent="0.25">
      <c r="B6979" s="100"/>
      <c r="C6979" s="100"/>
      <c r="D6979" s="100"/>
      <c r="E6979" s="100"/>
      <c r="F6979" s="102"/>
      <c r="G6979" s="114"/>
    </row>
    <row r="6980" spans="2:7" ht="15.75" customHeight="1" x14ac:dyDescent="0.25">
      <c r="B6980" s="100"/>
      <c r="C6980" s="100"/>
      <c r="D6980" s="100"/>
      <c r="E6980" s="100"/>
      <c r="F6980" s="102"/>
      <c r="G6980" s="114"/>
    </row>
    <row r="6981" spans="2:7" ht="15.75" customHeight="1" x14ac:dyDescent="0.25">
      <c r="B6981" s="100"/>
      <c r="C6981" s="100"/>
      <c r="D6981" s="100"/>
      <c r="E6981" s="100"/>
      <c r="F6981" s="102"/>
      <c r="G6981" s="114"/>
    </row>
    <row r="6982" spans="2:7" ht="15.75" customHeight="1" x14ac:dyDescent="0.25">
      <c r="B6982" s="100"/>
      <c r="C6982" s="100"/>
      <c r="D6982" s="100"/>
      <c r="E6982" s="100"/>
      <c r="F6982" s="102"/>
      <c r="G6982" s="114"/>
    </row>
    <row r="6983" spans="2:7" ht="15.75" customHeight="1" x14ac:dyDescent="0.25">
      <c r="B6983" s="100"/>
      <c r="C6983" s="100"/>
      <c r="D6983" s="100"/>
      <c r="E6983" s="100"/>
      <c r="F6983" s="102"/>
      <c r="G6983" s="114"/>
    </row>
    <row r="6984" spans="2:7" ht="15.75" customHeight="1" x14ac:dyDescent="0.25">
      <c r="B6984" s="100"/>
      <c r="C6984" s="100"/>
      <c r="D6984" s="100"/>
      <c r="E6984" s="100"/>
      <c r="F6984" s="102"/>
      <c r="G6984" s="114"/>
    </row>
    <row r="6985" spans="2:7" ht="15.75" customHeight="1" x14ac:dyDescent="0.25">
      <c r="B6985" s="100"/>
      <c r="C6985" s="100"/>
      <c r="D6985" s="100"/>
      <c r="E6985" s="100"/>
      <c r="F6985" s="102"/>
      <c r="G6985" s="114"/>
    </row>
    <row r="6986" spans="2:7" ht="15.75" customHeight="1" x14ac:dyDescent="0.25">
      <c r="B6986" s="100"/>
      <c r="C6986" s="100"/>
      <c r="D6986" s="100"/>
      <c r="E6986" s="100"/>
      <c r="F6986" s="102"/>
      <c r="G6986" s="114"/>
    </row>
    <row r="6987" spans="2:7" ht="15.75" customHeight="1" x14ac:dyDescent="0.25">
      <c r="B6987" s="100"/>
      <c r="C6987" s="100"/>
      <c r="D6987" s="100"/>
      <c r="E6987" s="100"/>
      <c r="F6987" s="102"/>
      <c r="G6987" s="114"/>
    </row>
    <row r="6988" spans="2:7" ht="15.75" customHeight="1" x14ac:dyDescent="0.25">
      <c r="B6988" s="100"/>
      <c r="C6988" s="100"/>
      <c r="D6988" s="100"/>
      <c r="E6988" s="100"/>
      <c r="F6988" s="102"/>
      <c r="G6988" s="114"/>
    </row>
    <row r="6989" spans="2:7" ht="15.75" customHeight="1" x14ac:dyDescent="0.25">
      <c r="B6989" s="100"/>
      <c r="C6989" s="100"/>
      <c r="D6989" s="100"/>
      <c r="E6989" s="100"/>
      <c r="F6989" s="102"/>
      <c r="G6989" s="114"/>
    </row>
    <row r="6990" spans="2:7" ht="15.75" customHeight="1" x14ac:dyDescent="0.25">
      <c r="B6990" s="100"/>
      <c r="C6990" s="100"/>
      <c r="D6990" s="100"/>
      <c r="E6990" s="100"/>
      <c r="F6990" s="102"/>
      <c r="G6990" s="114"/>
    </row>
    <row r="6991" spans="2:7" ht="15.75" customHeight="1" x14ac:dyDescent="0.25">
      <c r="B6991" s="100"/>
      <c r="C6991" s="100"/>
      <c r="D6991" s="100"/>
      <c r="E6991" s="100"/>
      <c r="F6991" s="102"/>
      <c r="G6991" s="114"/>
    </row>
    <row r="6992" spans="2:7" ht="15.75" customHeight="1" x14ac:dyDescent="0.25">
      <c r="B6992" s="100"/>
      <c r="C6992" s="100"/>
      <c r="D6992" s="100"/>
      <c r="E6992" s="100"/>
      <c r="F6992" s="102"/>
      <c r="G6992" s="114"/>
    </row>
    <row r="6993" spans="2:7" ht="15.75" customHeight="1" x14ac:dyDescent="0.25">
      <c r="B6993" s="100"/>
      <c r="C6993" s="100"/>
      <c r="D6993" s="100"/>
      <c r="E6993" s="100"/>
      <c r="F6993" s="102"/>
      <c r="G6993" s="114"/>
    </row>
    <row r="6994" spans="2:7" ht="15.75" customHeight="1" x14ac:dyDescent="0.25">
      <c r="B6994" s="100"/>
      <c r="C6994" s="100"/>
      <c r="D6994" s="100"/>
      <c r="E6994" s="100"/>
      <c r="F6994" s="102"/>
      <c r="G6994" s="114"/>
    </row>
    <row r="6995" spans="2:7" ht="15.75" customHeight="1" x14ac:dyDescent="0.25">
      <c r="B6995" s="100"/>
      <c r="C6995" s="100"/>
      <c r="D6995" s="100"/>
      <c r="E6995" s="100"/>
      <c r="F6995" s="102"/>
      <c r="G6995" s="114"/>
    </row>
    <row r="6996" spans="2:7" ht="15.75" customHeight="1" x14ac:dyDescent="0.25">
      <c r="B6996" s="100"/>
      <c r="C6996" s="100"/>
      <c r="D6996" s="100"/>
      <c r="E6996" s="100"/>
      <c r="F6996" s="102"/>
      <c r="G6996" s="114"/>
    </row>
    <row r="6997" spans="2:7" ht="15.75" customHeight="1" x14ac:dyDescent="0.25">
      <c r="B6997" s="100"/>
      <c r="C6997" s="100"/>
      <c r="D6997" s="100"/>
      <c r="E6997" s="100"/>
      <c r="F6997" s="102"/>
      <c r="G6997" s="114"/>
    </row>
    <row r="6998" spans="2:7" ht="15.75" customHeight="1" x14ac:dyDescent="0.25">
      <c r="B6998" s="100"/>
      <c r="C6998" s="100"/>
      <c r="D6998" s="100"/>
      <c r="E6998" s="100"/>
      <c r="F6998" s="102"/>
      <c r="G6998" s="114"/>
    </row>
    <row r="6999" spans="2:7" ht="15.75" customHeight="1" x14ac:dyDescent="0.25">
      <c r="B6999" s="100"/>
      <c r="C6999" s="100"/>
      <c r="D6999" s="100"/>
      <c r="E6999" s="100"/>
      <c r="F6999" s="102"/>
      <c r="G6999" s="114"/>
    </row>
    <row r="7000" spans="2:7" ht="15.75" customHeight="1" x14ac:dyDescent="0.25">
      <c r="B7000" s="100"/>
      <c r="C7000" s="100"/>
      <c r="D7000" s="100"/>
      <c r="E7000" s="100"/>
      <c r="F7000" s="102"/>
      <c r="G7000" s="114"/>
    </row>
    <row r="7001" spans="2:7" ht="15.75" customHeight="1" x14ac:dyDescent="0.25">
      <c r="B7001" s="100"/>
      <c r="C7001" s="100"/>
      <c r="D7001" s="100"/>
      <c r="E7001" s="100"/>
      <c r="F7001" s="102"/>
      <c r="G7001" s="114"/>
    </row>
    <row r="7002" spans="2:7" ht="15.75" customHeight="1" x14ac:dyDescent="0.25">
      <c r="B7002" s="100"/>
      <c r="C7002" s="100"/>
      <c r="D7002" s="100"/>
      <c r="E7002" s="100"/>
      <c r="F7002" s="102"/>
      <c r="G7002" s="114"/>
    </row>
    <row r="7003" spans="2:7" ht="15.75" customHeight="1" x14ac:dyDescent="0.25">
      <c r="B7003" s="100"/>
      <c r="C7003" s="100"/>
      <c r="D7003" s="100"/>
      <c r="E7003" s="100"/>
      <c r="F7003" s="102"/>
      <c r="G7003" s="114"/>
    </row>
    <row r="7004" spans="2:7" ht="15.75" customHeight="1" x14ac:dyDescent="0.25">
      <c r="B7004" s="100"/>
      <c r="C7004" s="100"/>
      <c r="D7004" s="100"/>
      <c r="E7004" s="100"/>
      <c r="F7004" s="102"/>
      <c r="G7004" s="114"/>
    </row>
    <row r="7005" spans="2:7" ht="15.75" customHeight="1" x14ac:dyDescent="0.25">
      <c r="B7005" s="100"/>
      <c r="C7005" s="100"/>
      <c r="D7005" s="100"/>
      <c r="E7005" s="100"/>
      <c r="F7005" s="102"/>
      <c r="G7005" s="114"/>
    </row>
    <row r="7006" spans="2:7" ht="15.75" customHeight="1" x14ac:dyDescent="0.25">
      <c r="B7006" s="100"/>
      <c r="C7006" s="100"/>
      <c r="D7006" s="100"/>
      <c r="E7006" s="100"/>
      <c r="F7006" s="102"/>
      <c r="G7006" s="114"/>
    </row>
    <row r="7007" spans="2:7" ht="15.75" customHeight="1" x14ac:dyDescent="0.25">
      <c r="B7007" s="100"/>
      <c r="C7007" s="100"/>
      <c r="D7007" s="100"/>
      <c r="E7007" s="100"/>
      <c r="F7007" s="102"/>
      <c r="G7007" s="114"/>
    </row>
    <row r="7008" spans="2:7" ht="15.75" customHeight="1" x14ac:dyDescent="0.25">
      <c r="B7008" s="100"/>
      <c r="C7008" s="100"/>
      <c r="D7008" s="100"/>
      <c r="E7008" s="100"/>
      <c r="F7008" s="102"/>
      <c r="G7008" s="114"/>
    </row>
    <row r="7009" spans="2:7" ht="15.75" customHeight="1" x14ac:dyDescent="0.25">
      <c r="B7009" s="100"/>
      <c r="C7009" s="100"/>
      <c r="D7009" s="100"/>
      <c r="E7009" s="100"/>
      <c r="F7009" s="102"/>
      <c r="G7009" s="114"/>
    </row>
    <row r="7010" spans="2:7" ht="15.75" customHeight="1" x14ac:dyDescent="0.25">
      <c r="B7010" s="100"/>
      <c r="C7010" s="100"/>
      <c r="D7010" s="100"/>
      <c r="E7010" s="100"/>
      <c r="F7010" s="102"/>
      <c r="G7010" s="114"/>
    </row>
    <row r="7011" spans="2:7" ht="15.75" customHeight="1" x14ac:dyDescent="0.25">
      <c r="B7011" s="100"/>
      <c r="C7011" s="100"/>
      <c r="D7011" s="100"/>
      <c r="E7011" s="100"/>
      <c r="F7011" s="102"/>
      <c r="G7011" s="114"/>
    </row>
    <row r="7012" spans="2:7" ht="15.75" customHeight="1" x14ac:dyDescent="0.25">
      <c r="B7012" s="100"/>
      <c r="C7012" s="100"/>
      <c r="D7012" s="100"/>
      <c r="E7012" s="100"/>
      <c r="F7012" s="102"/>
      <c r="G7012" s="114"/>
    </row>
    <row r="7013" spans="2:7" ht="15.75" customHeight="1" x14ac:dyDescent="0.25">
      <c r="B7013" s="100"/>
      <c r="C7013" s="100"/>
      <c r="D7013" s="100"/>
      <c r="E7013" s="100"/>
      <c r="F7013" s="102"/>
      <c r="G7013" s="114"/>
    </row>
    <row r="7014" spans="2:7" ht="15.75" customHeight="1" x14ac:dyDescent="0.25">
      <c r="B7014" s="100"/>
      <c r="C7014" s="100"/>
      <c r="D7014" s="100"/>
      <c r="E7014" s="100"/>
      <c r="F7014" s="102"/>
      <c r="G7014" s="114"/>
    </row>
    <row r="7015" spans="2:7" ht="15.75" customHeight="1" x14ac:dyDescent="0.25">
      <c r="B7015" s="100"/>
      <c r="C7015" s="100"/>
      <c r="D7015" s="100"/>
      <c r="E7015" s="100"/>
      <c r="F7015" s="102"/>
      <c r="G7015" s="114"/>
    </row>
    <row r="7016" spans="2:7" ht="15.75" customHeight="1" x14ac:dyDescent="0.25">
      <c r="B7016" s="100"/>
      <c r="C7016" s="100"/>
      <c r="D7016" s="100"/>
      <c r="E7016" s="100"/>
      <c r="F7016" s="102"/>
      <c r="G7016" s="114"/>
    </row>
    <row r="7017" spans="2:7" ht="15.75" customHeight="1" x14ac:dyDescent="0.25">
      <c r="B7017" s="100"/>
      <c r="C7017" s="100"/>
      <c r="D7017" s="100"/>
      <c r="E7017" s="100"/>
      <c r="F7017" s="102"/>
      <c r="G7017" s="114"/>
    </row>
    <row r="7018" spans="2:7" ht="15.75" customHeight="1" x14ac:dyDescent="0.25">
      <c r="B7018" s="100"/>
      <c r="C7018" s="100"/>
      <c r="D7018" s="100"/>
      <c r="E7018" s="100"/>
      <c r="F7018" s="102"/>
      <c r="G7018" s="114"/>
    </row>
    <row r="7019" spans="2:7" ht="15.75" customHeight="1" x14ac:dyDescent="0.25">
      <c r="B7019" s="100"/>
      <c r="C7019" s="100"/>
      <c r="D7019" s="100"/>
      <c r="E7019" s="100"/>
      <c r="F7019" s="102"/>
      <c r="G7019" s="114"/>
    </row>
    <row r="7020" spans="2:7" ht="15.75" customHeight="1" x14ac:dyDescent="0.25">
      <c r="B7020" s="100"/>
      <c r="C7020" s="100"/>
      <c r="D7020" s="100"/>
      <c r="E7020" s="100"/>
      <c r="F7020" s="102"/>
      <c r="G7020" s="114"/>
    </row>
    <row r="7021" spans="2:7" ht="15.75" customHeight="1" x14ac:dyDescent="0.25">
      <c r="B7021" s="100"/>
      <c r="C7021" s="100"/>
      <c r="D7021" s="100"/>
      <c r="E7021" s="100"/>
      <c r="F7021" s="102"/>
      <c r="G7021" s="114"/>
    </row>
    <row r="7022" spans="2:7" ht="15.75" customHeight="1" x14ac:dyDescent="0.25">
      <c r="B7022" s="100"/>
      <c r="C7022" s="100"/>
      <c r="D7022" s="100"/>
      <c r="E7022" s="100"/>
      <c r="F7022" s="102"/>
      <c r="G7022" s="114"/>
    </row>
    <row r="7023" spans="2:7" ht="15.75" customHeight="1" x14ac:dyDescent="0.25">
      <c r="B7023" s="100"/>
      <c r="C7023" s="100"/>
      <c r="D7023" s="100"/>
      <c r="E7023" s="100"/>
      <c r="F7023" s="102"/>
      <c r="G7023" s="114"/>
    </row>
    <row r="7024" spans="2:7" ht="15.75" customHeight="1" x14ac:dyDescent="0.25">
      <c r="B7024" s="100"/>
      <c r="C7024" s="100"/>
      <c r="D7024" s="100"/>
      <c r="E7024" s="100"/>
      <c r="F7024" s="102"/>
      <c r="G7024" s="114"/>
    </row>
    <row r="7025" spans="2:7" ht="15.75" customHeight="1" x14ac:dyDescent="0.25">
      <c r="B7025" s="100"/>
      <c r="C7025" s="100"/>
      <c r="D7025" s="100"/>
      <c r="E7025" s="100"/>
      <c r="F7025" s="102"/>
      <c r="G7025" s="114"/>
    </row>
    <row r="7026" spans="2:7" ht="15.75" customHeight="1" x14ac:dyDescent="0.25">
      <c r="B7026" s="100"/>
      <c r="C7026" s="100"/>
      <c r="D7026" s="100"/>
      <c r="E7026" s="100"/>
      <c r="F7026" s="102"/>
      <c r="G7026" s="114"/>
    </row>
    <row r="7027" spans="2:7" ht="15.75" customHeight="1" x14ac:dyDescent="0.25">
      <c r="B7027" s="100"/>
      <c r="C7027" s="100"/>
      <c r="D7027" s="100"/>
      <c r="E7027" s="100"/>
      <c r="F7027" s="102"/>
      <c r="G7027" s="114"/>
    </row>
    <row r="7028" spans="2:7" ht="15.75" customHeight="1" x14ac:dyDescent="0.25">
      <c r="B7028" s="100"/>
      <c r="C7028" s="100"/>
      <c r="D7028" s="100"/>
      <c r="E7028" s="100"/>
      <c r="F7028" s="102"/>
      <c r="G7028" s="114"/>
    </row>
    <row r="7029" spans="2:7" ht="15.75" customHeight="1" x14ac:dyDescent="0.25">
      <c r="B7029" s="100"/>
      <c r="C7029" s="100"/>
      <c r="D7029" s="100"/>
      <c r="E7029" s="100"/>
      <c r="F7029" s="102"/>
      <c r="G7029" s="114"/>
    </row>
    <row r="7030" spans="2:7" ht="15.75" customHeight="1" x14ac:dyDescent="0.25">
      <c r="B7030" s="100"/>
      <c r="C7030" s="100"/>
      <c r="D7030" s="100"/>
      <c r="E7030" s="100"/>
      <c r="F7030" s="102"/>
      <c r="G7030" s="114"/>
    </row>
    <row r="7031" spans="2:7" ht="15.75" customHeight="1" x14ac:dyDescent="0.25">
      <c r="B7031" s="100"/>
      <c r="C7031" s="100"/>
      <c r="D7031" s="100"/>
      <c r="E7031" s="100"/>
      <c r="F7031" s="102"/>
      <c r="G7031" s="114"/>
    </row>
    <row r="7032" spans="2:7" ht="15.75" customHeight="1" x14ac:dyDescent="0.25">
      <c r="B7032" s="100"/>
      <c r="C7032" s="100"/>
      <c r="D7032" s="100"/>
      <c r="E7032" s="100"/>
      <c r="F7032" s="102"/>
      <c r="G7032" s="114"/>
    </row>
    <row r="7033" spans="2:7" ht="15.75" customHeight="1" x14ac:dyDescent="0.25">
      <c r="B7033" s="100"/>
      <c r="C7033" s="100"/>
      <c r="D7033" s="100"/>
      <c r="E7033" s="100"/>
      <c r="F7033" s="102"/>
      <c r="G7033" s="114"/>
    </row>
    <row r="7034" spans="2:7" ht="15.75" customHeight="1" x14ac:dyDescent="0.25">
      <c r="B7034" s="100"/>
      <c r="C7034" s="100"/>
      <c r="D7034" s="100"/>
      <c r="E7034" s="100"/>
      <c r="F7034" s="102"/>
      <c r="G7034" s="114"/>
    </row>
    <row r="7035" spans="2:7" ht="15.75" customHeight="1" x14ac:dyDescent="0.25">
      <c r="B7035" s="100"/>
      <c r="C7035" s="100"/>
      <c r="D7035" s="100"/>
      <c r="E7035" s="100"/>
      <c r="F7035" s="102"/>
      <c r="G7035" s="114"/>
    </row>
    <row r="7036" spans="2:7" ht="15.75" customHeight="1" x14ac:dyDescent="0.25">
      <c r="B7036" s="100"/>
      <c r="C7036" s="100"/>
      <c r="D7036" s="100"/>
      <c r="E7036" s="100"/>
      <c r="F7036" s="102"/>
      <c r="G7036" s="114"/>
    </row>
    <row r="7037" spans="2:7" ht="15.75" customHeight="1" x14ac:dyDescent="0.25">
      <c r="B7037" s="100"/>
      <c r="C7037" s="100"/>
      <c r="D7037" s="100"/>
      <c r="E7037" s="100"/>
      <c r="F7037" s="102"/>
      <c r="G7037" s="114"/>
    </row>
    <row r="7038" spans="2:7" ht="15.75" customHeight="1" x14ac:dyDescent="0.25">
      <c r="B7038" s="100"/>
      <c r="C7038" s="100"/>
      <c r="D7038" s="100"/>
      <c r="E7038" s="100"/>
      <c r="F7038" s="102"/>
      <c r="G7038" s="114"/>
    </row>
    <row r="7039" spans="2:7" ht="15.75" customHeight="1" x14ac:dyDescent="0.25">
      <c r="B7039" s="100"/>
      <c r="C7039" s="100"/>
      <c r="D7039" s="100"/>
      <c r="E7039" s="100"/>
      <c r="F7039" s="102"/>
      <c r="G7039" s="114"/>
    </row>
    <row r="7040" spans="2:7" ht="15.75" customHeight="1" x14ac:dyDescent="0.25">
      <c r="B7040" s="100"/>
      <c r="C7040" s="100"/>
      <c r="D7040" s="100"/>
      <c r="E7040" s="100"/>
      <c r="F7040" s="102"/>
      <c r="G7040" s="114"/>
    </row>
    <row r="7041" spans="2:7" ht="15.75" customHeight="1" x14ac:dyDescent="0.25">
      <c r="B7041" s="100"/>
      <c r="C7041" s="100"/>
      <c r="D7041" s="100"/>
      <c r="E7041" s="100"/>
      <c r="F7041" s="102"/>
      <c r="G7041" s="114"/>
    </row>
    <row r="7042" spans="2:7" ht="15.75" customHeight="1" x14ac:dyDescent="0.25">
      <c r="B7042" s="100"/>
      <c r="C7042" s="100"/>
      <c r="D7042" s="100"/>
      <c r="E7042" s="100"/>
      <c r="F7042" s="102"/>
      <c r="G7042" s="114"/>
    </row>
    <row r="7043" spans="2:7" ht="15.75" customHeight="1" x14ac:dyDescent="0.25">
      <c r="B7043" s="100"/>
      <c r="C7043" s="100"/>
      <c r="D7043" s="100"/>
      <c r="E7043" s="100"/>
      <c r="F7043" s="102"/>
      <c r="G7043" s="114"/>
    </row>
    <row r="7044" spans="2:7" ht="15.75" customHeight="1" x14ac:dyDescent="0.25">
      <c r="B7044" s="100"/>
      <c r="C7044" s="100"/>
      <c r="D7044" s="100"/>
      <c r="E7044" s="100"/>
      <c r="F7044" s="102"/>
      <c r="G7044" s="114"/>
    </row>
    <row r="7045" spans="2:7" ht="15.75" customHeight="1" x14ac:dyDescent="0.25">
      <c r="B7045" s="100"/>
      <c r="C7045" s="100"/>
      <c r="D7045" s="100"/>
      <c r="E7045" s="100"/>
      <c r="F7045" s="102"/>
      <c r="G7045" s="114"/>
    </row>
    <row r="7046" spans="2:7" ht="15.75" customHeight="1" x14ac:dyDescent="0.25">
      <c r="B7046" s="100"/>
      <c r="C7046" s="100"/>
      <c r="D7046" s="100"/>
      <c r="E7046" s="100"/>
      <c r="F7046" s="102"/>
      <c r="G7046" s="114"/>
    </row>
    <row r="7047" spans="2:7" ht="15.75" customHeight="1" x14ac:dyDescent="0.25">
      <c r="B7047" s="100"/>
      <c r="C7047" s="100"/>
      <c r="D7047" s="100"/>
      <c r="E7047" s="100"/>
      <c r="F7047" s="102"/>
      <c r="G7047" s="114"/>
    </row>
    <row r="7048" spans="2:7" ht="15.75" customHeight="1" x14ac:dyDescent="0.25">
      <c r="B7048" s="100"/>
      <c r="C7048" s="100"/>
      <c r="D7048" s="100"/>
      <c r="E7048" s="100"/>
      <c r="F7048" s="102"/>
      <c r="G7048" s="114"/>
    </row>
    <row r="7049" spans="2:7" ht="15.75" customHeight="1" x14ac:dyDescent="0.25">
      <c r="B7049" s="100"/>
      <c r="C7049" s="100"/>
      <c r="D7049" s="100"/>
      <c r="E7049" s="100"/>
      <c r="F7049" s="102"/>
      <c r="G7049" s="114"/>
    </row>
    <row r="7050" spans="2:7" ht="15.75" customHeight="1" x14ac:dyDescent="0.25">
      <c r="B7050" s="100"/>
      <c r="C7050" s="100"/>
      <c r="D7050" s="100"/>
      <c r="E7050" s="100"/>
      <c r="F7050" s="102"/>
      <c r="G7050" s="114"/>
    </row>
    <row r="7051" spans="2:7" ht="15.75" customHeight="1" x14ac:dyDescent="0.25">
      <c r="B7051" s="100"/>
      <c r="C7051" s="100"/>
      <c r="D7051" s="100"/>
      <c r="E7051" s="100"/>
      <c r="F7051" s="102"/>
      <c r="G7051" s="114"/>
    </row>
    <row r="7052" spans="2:7" ht="15.75" customHeight="1" x14ac:dyDescent="0.25">
      <c r="B7052" s="100"/>
      <c r="C7052" s="100"/>
      <c r="D7052" s="100"/>
      <c r="E7052" s="100"/>
      <c r="F7052" s="102"/>
      <c r="G7052" s="114"/>
    </row>
    <row r="7053" spans="2:7" ht="15.75" customHeight="1" x14ac:dyDescent="0.25">
      <c r="B7053" s="100"/>
      <c r="C7053" s="100"/>
      <c r="D7053" s="100"/>
      <c r="E7053" s="100"/>
      <c r="F7053" s="102"/>
      <c r="G7053" s="114"/>
    </row>
    <row r="7054" spans="2:7" ht="15.75" customHeight="1" x14ac:dyDescent="0.25">
      <c r="B7054" s="100"/>
      <c r="C7054" s="100"/>
      <c r="D7054" s="100"/>
      <c r="E7054" s="100"/>
      <c r="F7054" s="102"/>
      <c r="G7054" s="114"/>
    </row>
    <row r="7055" spans="2:7" ht="15.75" customHeight="1" x14ac:dyDescent="0.25">
      <c r="B7055" s="100"/>
      <c r="C7055" s="100"/>
      <c r="D7055" s="100"/>
      <c r="E7055" s="100"/>
      <c r="F7055" s="102"/>
      <c r="G7055" s="114"/>
    </row>
    <row r="7056" spans="2:7" ht="15.75" customHeight="1" x14ac:dyDescent="0.25">
      <c r="B7056" s="100"/>
      <c r="C7056" s="100"/>
      <c r="D7056" s="100"/>
      <c r="E7056" s="100"/>
      <c r="F7056" s="102"/>
      <c r="G7056" s="114"/>
    </row>
    <row r="7057" spans="2:7" ht="15.75" customHeight="1" x14ac:dyDescent="0.25">
      <c r="B7057" s="100"/>
      <c r="C7057" s="100"/>
      <c r="D7057" s="100"/>
      <c r="E7057" s="100"/>
      <c r="F7057" s="102"/>
      <c r="G7057" s="114"/>
    </row>
    <row r="7058" spans="2:7" ht="15.75" customHeight="1" x14ac:dyDescent="0.25">
      <c r="B7058" s="100"/>
      <c r="C7058" s="100"/>
      <c r="D7058" s="100"/>
      <c r="E7058" s="100"/>
      <c r="F7058" s="102"/>
      <c r="G7058" s="114"/>
    </row>
    <row r="7059" spans="2:7" ht="15.75" customHeight="1" x14ac:dyDescent="0.25">
      <c r="B7059" s="100"/>
      <c r="C7059" s="100"/>
      <c r="D7059" s="100"/>
      <c r="E7059" s="100"/>
      <c r="F7059" s="102"/>
      <c r="G7059" s="114"/>
    </row>
    <row r="7060" spans="2:7" ht="15.75" customHeight="1" x14ac:dyDescent="0.25">
      <c r="B7060" s="100"/>
      <c r="C7060" s="100"/>
      <c r="D7060" s="100"/>
      <c r="E7060" s="100"/>
      <c r="F7060" s="102"/>
      <c r="G7060" s="114"/>
    </row>
    <row r="7061" spans="2:7" ht="15.75" customHeight="1" x14ac:dyDescent="0.25">
      <c r="B7061" s="100"/>
      <c r="C7061" s="100"/>
      <c r="D7061" s="100"/>
      <c r="E7061" s="100"/>
      <c r="F7061" s="102"/>
      <c r="G7061" s="114"/>
    </row>
    <row r="7062" spans="2:7" ht="15.75" customHeight="1" x14ac:dyDescent="0.25">
      <c r="B7062" s="100"/>
      <c r="C7062" s="100"/>
      <c r="D7062" s="100"/>
      <c r="E7062" s="100"/>
      <c r="F7062" s="102"/>
      <c r="G7062" s="114"/>
    </row>
    <row r="7063" spans="2:7" ht="15.75" customHeight="1" x14ac:dyDescent="0.25">
      <c r="B7063" s="100"/>
      <c r="C7063" s="100"/>
      <c r="D7063" s="100"/>
      <c r="E7063" s="100"/>
      <c r="F7063" s="102"/>
      <c r="G7063" s="114"/>
    </row>
    <row r="7064" spans="2:7" ht="15.75" customHeight="1" x14ac:dyDescent="0.25">
      <c r="B7064" s="100"/>
      <c r="C7064" s="100"/>
      <c r="D7064" s="100"/>
      <c r="E7064" s="100"/>
      <c r="F7064" s="102"/>
      <c r="G7064" s="114"/>
    </row>
    <row r="7065" spans="2:7" ht="15.75" customHeight="1" x14ac:dyDescent="0.25">
      <c r="B7065" s="100"/>
      <c r="C7065" s="100"/>
      <c r="D7065" s="100"/>
      <c r="E7065" s="100"/>
      <c r="F7065" s="102"/>
      <c r="G7065" s="114"/>
    </row>
    <row r="7066" spans="2:7" ht="15.75" customHeight="1" x14ac:dyDescent="0.25">
      <c r="B7066" s="100"/>
      <c r="C7066" s="100"/>
      <c r="D7066" s="100"/>
      <c r="E7066" s="100"/>
      <c r="F7066" s="102"/>
      <c r="G7066" s="114"/>
    </row>
    <row r="7067" spans="2:7" ht="15.75" customHeight="1" x14ac:dyDescent="0.25">
      <c r="B7067" s="100"/>
      <c r="C7067" s="100"/>
      <c r="D7067" s="100"/>
      <c r="E7067" s="100"/>
      <c r="F7067" s="102"/>
      <c r="G7067" s="114"/>
    </row>
    <row r="7068" spans="2:7" ht="15.75" customHeight="1" x14ac:dyDescent="0.25">
      <c r="B7068" s="100"/>
      <c r="C7068" s="100"/>
      <c r="D7068" s="100"/>
      <c r="E7068" s="100"/>
      <c r="F7068" s="102"/>
      <c r="G7068" s="114"/>
    </row>
    <row r="7069" spans="2:7" ht="15.75" customHeight="1" x14ac:dyDescent="0.25">
      <c r="B7069" s="100"/>
      <c r="C7069" s="100"/>
      <c r="D7069" s="100"/>
      <c r="E7069" s="100"/>
      <c r="F7069" s="102"/>
      <c r="G7069" s="114"/>
    </row>
    <row r="7070" spans="2:7" ht="15.75" customHeight="1" x14ac:dyDescent="0.25">
      <c r="B7070" s="100"/>
      <c r="C7070" s="100"/>
      <c r="D7070" s="100"/>
      <c r="E7070" s="100"/>
      <c r="F7070" s="102"/>
      <c r="G7070" s="114"/>
    </row>
    <row r="7071" spans="2:7" ht="15.75" customHeight="1" x14ac:dyDescent="0.25">
      <c r="B7071" s="100"/>
      <c r="C7071" s="100"/>
      <c r="D7071" s="100"/>
      <c r="E7071" s="100"/>
      <c r="F7071" s="102"/>
      <c r="G7071" s="114"/>
    </row>
    <row r="7072" spans="2:7" ht="15.75" customHeight="1" x14ac:dyDescent="0.25">
      <c r="B7072" s="100"/>
      <c r="C7072" s="100"/>
      <c r="D7072" s="100"/>
      <c r="E7072" s="100"/>
      <c r="F7072" s="102"/>
      <c r="G7072" s="114"/>
    </row>
    <row r="7073" spans="2:7" ht="15.75" customHeight="1" x14ac:dyDescent="0.25">
      <c r="B7073" s="100"/>
      <c r="C7073" s="100"/>
      <c r="D7073" s="100"/>
      <c r="E7073" s="100"/>
      <c r="F7073" s="102"/>
      <c r="G7073" s="114"/>
    </row>
    <row r="7074" spans="2:7" ht="15.75" customHeight="1" x14ac:dyDescent="0.25">
      <c r="B7074" s="100"/>
      <c r="C7074" s="100"/>
      <c r="D7074" s="100"/>
      <c r="E7074" s="100"/>
      <c r="F7074" s="102"/>
      <c r="G7074" s="114"/>
    </row>
    <row r="7075" spans="2:7" ht="15.75" customHeight="1" x14ac:dyDescent="0.25">
      <c r="B7075" s="100"/>
      <c r="C7075" s="100"/>
      <c r="D7075" s="100"/>
      <c r="E7075" s="100"/>
      <c r="F7075" s="102"/>
      <c r="G7075" s="114"/>
    </row>
    <row r="7076" spans="2:7" ht="15.75" customHeight="1" x14ac:dyDescent="0.25">
      <c r="B7076" s="100"/>
      <c r="C7076" s="100"/>
      <c r="D7076" s="100"/>
      <c r="E7076" s="100"/>
      <c r="F7076" s="102"/>
      <c r="G7076" s="114"/>
    </row>
    <row r="7077" spans="2:7" ht="15.75" customHeight="1" x14ac:dyDescent="0.25">
      <c r="B7077" s="100"/>
      <c r="C7077" s="100"/>
      <c r="D7077" s="100"/>
      <c r="E7077" s="100"/>
      <c r="F7077" s="102"/>
      <c r="G7077" s="114"/>
    </row>
    <row r="7078" spans="2:7" ht="15.75" customHeight="1" x14ac:dyDescent="0.25">
      <c r="B7078" s="100"/>
      <c r="C7078" s="100"/>
      <c r="D7078" s="100"/>
      <c r="E7078" s="100"/>
      <c r="F7078" s="102"/>
      <c r="G7078" s="114"/>
    </row>
    <row r="7079" spans="2:7" ht="15.75" customHeight="1" x14ac:dyDescent="0.25">
      <c r="B7079" s="100"/>
      <c r="C7079" s="100"/>
      <c r="D7079" s="100"/>
      <c r="E7079" s="100"/>
      <c r="F7079" s="102"/>
      <c r="G7079" s="114"/>
    </row>
    <row r="7080" spans="2:7" ht="15.75" customHeight="1" x14ac:dyDescent="0.25">
      <c r="B7080" s="100"/>
      <c r="C7080" s="100"/>
      <c r="D7080" s="100"/>
      <c r="E7080" s="100"/>
      <c r="F7080" s="102"/>
      <c r="G7080" s="114"/>
    </row>
    <row r="7081" spans="2:7" ht="15.75" customHeight="1" x14ac:dyDescent="0.25">
      <c r="B7081" s="100"/>
      <c r="C7081" s="100"/>
      <c r="D7081" s="100"/>
      <c r="E7081" s="100"/>
      <c r="F7081" s="102"/>
      <c r="G7081" s="114"/>
    </row>
    <row r="7082" spans="2:7" ht="15.75" customHeight="1" x14ac:dyDescent="0.25">
      <c r="B7082" s="100"/>
      <c r="C7082" s="100"/>
      <c r="D7082" s="100"/>
      <c r="E7082" s="100"/>
      <c r="F7082" s="102"/>
      <c r="G7082" s="114"/>
    </row>
    <row r="7083" spans="2:7" ht="15.75" customHeight="1" x14ac:dyDescent="0.25">
      <c r="B7083" s="100"/>
      <c r="C7083" s="100"/>
      <c r="D7083" s="100"/>
      <c r="E7083" s="100"/>
      <c r="F7083" s="102"/>
      <c r="G7083" s="114"/>
    </row>
    <row r="7084" spans="2:7" ht="15.75" customHeight="1" x14ac:dyDescent="0.25">
      <c r="B7084" s="100"/>
      <c r="C7084" s="100"/>
      <c r="D7084" s="100"/>
      <c r="E7084" s="100"/>
      <c r="F7084" s="102"/>
      <c r="G7084" s="114"/>
    </row>
    <row r="7085" spans="2:7" ht="15.75" customHeight="1" x14ac:dyDescent="0.25">
      <c r="B7085" s="100"/>
      <c r="C7085" s="100"/>
      <c r="D7085" s="100"/>
      <c r="E7085" s="100"/>
      <c r="F7085" s="102"/>
      <c r="G7085" s="114"/>
    </row>
    <row r="7086" spans="2:7" ht="15.75" customHeight="1" x14ac:dyDescent="0.25">
      <c r="B7086" s="100"/>
      <c r="C7086" s="100"/>
      <c r="D7086" s="100"/>
      <c r="E7086" s="100"/>
      <c r="F7086" s="102"/>
      <c r="G7086" s="114"/>
    </row>
    <row r="7087" spans="2:7" ht="15.75" customHeight="1" x14ac:dyDescent="0.25">
      <c r="B7087" s="100"/>
      <c r="C7087" s="100"/>
      <c r="D7087" s="100"/>
      <c r="E7087" s="100"/>
      <c r="F7087" s="102"/>
      <c r="G7087" s="114"/>
    </row>
    <row r="7088" spans="2:7" ht="15.75" customHeight="1" x14ac:dyDescent="0.25">
      <c r="B7088" s="100"/>
      <c r="C7088" s="100"/>
      <c r="D7088" s="100"/>
      <c r="E7088" s="100"/>
      <c r="F7088" s="102"/>
      <c r="G7088" s="114"/>
    </row>
    <row r="7089" spans="2:7" ht="15.75" customHeight="1" x14ac:dyDescent="0.25">
      <c r="B7089" s="100"/>
      <c r="C7089" s="100"/>
      <c r="D7089" s="100"/>
      <c r="E7089" s="100"/>
      <c r="F7089" s="102"/>
      <c r="G7089" s="114"/>
    </row>
    <row r="7090" spans="2:7" ht="15.75" customHeight="1" x14ac:dyDescent="0.25">
      <c r="B7090" s="100"/>
      <c r="C7090" s="100"/>
      <c r="D7090" s="100"/>
      <c r="E7090" s="100"/>
      <c r="F7090" s="102"/>
      <c r="G7090" s="114"/>
    </row>
    <row r="7091" spans="2:7" ht="15.75" customHeight="1" x14ac:dyDescent="0.25">
      <c r="B7091" s="100"/>
      <c r="C7091" s="100"/>
      <c r="D7091" s="100"/>
      <c r="E7091" s="100"/>
      <c r="F7091" s="102"/>
      <c r="G7091" s="114"/>
    </row>
    <row r="7092" spans="2:7" ht="15.75" customHeight="1" x14ac:dyDescent="0.25">
      <c r="B7092" s="100"/>
      <c r="C7092" s="100"/>
      <c r="D7092" s="100"/>
      <c r="E7092" s="100"/>
      <c r="F7092" s="102"/>
      <c r="G7092" s="114"/>
    </row>
    <row r="7093" spans="2:7" ht="15.75" customHeight="1" x14ac:dyDescent="0.25">
      <c r="B7093" s="100"/>
      <c r="C7093" s="100"/>
      <c r="D7093" s="100"/>
      <c r="E7093" s="100"/>
      <c r="F7093" s="102"/>
      <c r="G7093" s="114"/>
    </row>
    <row r="7094" spans="2:7" ht="15.75" customHeight="1" x14ac:dyDescent="0.25">
      <c r="B7094" s="100"/>
      <c r="C7094" s="100"/>
      <c r="D7094" s="100"/>
      <c r="E7094" s="100"/>
      <c r="F7094" s="102"/>
      <c r="G7094" s="114"/>
    </row>
    <row r="7095" spans="2:7" ht="15.75" customHeight="1" x14ac:dyDescent="0.25">
      <c r="B7095" s="100"/>
      <c r="C7095" s="100"/>
      <c r="D7095" s="100"/>
      <c r="E7095" s="100"/>
      <c r="F7095" s="102"/>
      <c r="G7095" s="114"/>
    </row>
    <row r="7096" spans="2:7" ht="15.75" customHeight="1" x14ac:dyDescent="0.25">
      <c r="B7096" s="100"/>
      <c r="C7096" s="100"/>
      <c r="D7096" s="100"/>
      <c r="E7096" s="100"/>
      <c r="F7096" s="102"/>
      <c r="G7096" s="114"/>
    </row>
    <row r="7097" spans="2:7" ht="15.75" customHeight="1" x14ac:dyDescent="0.25">
      <c r="B7097" s="100"/>
      <c r="C7097" s="100"/>
      <c r="D7097" s="100"/>
      <c r="E7097" s="100"/>
      <c r="F7097" s="102"/>
      <c r="G7097" s="114"/>
    </row>
    <row r="7098" spans="2:7" ht="15.75" customHeight="1" x14ac:dyDescent="0.25">
      <c r="B7098" s="100"/>
      <c r="C7098" s="100"/>
      <c r="D7098" s="100"/>
      <c r="E7098" s="100"/>
      <c r="F7098" s="102"/>
      <c r="G7098" s="114"/>
    </row>
    <row r="7099" spans="2:7" ht="15.75" customHeight="1" x14ac:dyDescent="0.25">
      <c r="B7099" s="100"/>
      <c r="C7099" s="100"/>
      <c r="D7099" s="100"/>
      <c r="E7099" s="100"/>
      <c r="F7099" s="102"/>
      <c r="G7099" s="114"/>
    </row>
    <row r="7100" spans="2:7" ht="15.75" customHeight="1" x14ac:dyDescent="0.25">
      <c r="B7100" s="100"/>
      <c r="C7100" s="100"/>
      <c r="D7100" s="100"/>
      <c r="E7100" s="100"/>
      <c r="F7100" s="102"/>
      <c r="G7100" s="114"/>
    </row>
    <row r="7101" spans="2:7" ht="15.75" customHeight="1" x14ac:dyDescent="0.25">
      <c r="B7101" s="100"/>
      <c r="C7101" s="100"/>
      <c r="D7101" s="100"/>
      <c r="E7101" s="100"/>
      <c r="F7101" s="102"/>
      <c r="G7101" s="114"/>
    </row>
    <row r="7102" spans="2:7" ht="15.75" customHeight="1" x14ac:dyDescent="0.25">
      <c r="B7102" s="100"/>
      <c r="C7102" s="100"/>
      <c r="D7102" s="100"/>
      <c r="E7102" s="100"/>
      <c r="F7102" s="102"/>
      <c r="G7102" s="114"/>
    </row>
    <row r="7103" spans="2:7" ht="15.75" customHeight="1" x14ac:dyDescent="0.25">
      <c r="B7103" s="100"/>
      <c r="C7103" s="100"/>
      <c r="D7103" s="100"/>
      <c r="E7103" s="100"/>
      <c r="F7103" s="102"/>
      <c r="G7103" s="114"/>
    </row>
    <row r="7104" spans="2:7" ht="15.75" customHeight="1" x14ac:dyDescent="0.25">
      <c r="B7104" s="100"/>
      <c r="C7104" s="100"/>
      <c r="D7104" s="100"/>
      <c r="E7104" s="100"/>
      <c r="F7104" s="102"/>
      <c r="G7104" s="114"/>
    </row>
    <row r="7105" spans="2:7" ht="15.75" customHeight="1" x14ac:dyDescent="0.25">
      <c r="B7105" s="100"/>
      <c r="C7105" s="100"/>
      <c r="D7105" s="100"/>
      <c r="E7105" s="100"/>
      <c r="F7105" s="102"/>
      <c r="G7105" s="114"/>
    </row>
    <row r="7106" spans="2:7" ht="15.75" customHeight="1" x14ac:dyDescent="0.25">
      <c r="B7106" s="100"/>
      <c r="C7106" s="100"/>
      <c r="D7106" s="100"/>
      <c r="E7106" s="100"/>
      <c r="F7106" s="102"/>
      <c r="G7106" s="114"/>
    </row>
    <row r="7107" spans="2:7" ht="15.75" customHeight="1" x14ac:dyDescent="0.25">
      <c r="B7107" s="100"/>
      <c r="C7107" s="100"/>
      <c r="D7107" s="100"/>
      <c r="E7107" s="100"/>
      <c r="F7107" s="102"/>
      <c r="G7107" s="114"/>
    </row>
    <row r="7108" spans="2:7" ht="15.75" customHeight="1" x14ac:dyDescent="0.25">
      <c r="B7108" s="100"/>
      <c r="C7108" s="100"/>
      <c r="D7108" s="100"/>
      <c r="E7108" s="100"/>
      <c r="F7108" s="102"/>
      <c r="G7108" s="114"/>
    </row>
    <row r="7109" spans="2:7" ht="15.75" customHeight="1" x14ac:dyDescent="0.25">
      <c r="B7109" s="100"/>
      <c r="C7109" s="100"/>
      <c r="D7109" s="100"/>
      <c r="E7109" s="100"/>
      <c r="F7109" s="102"/>
      <c r="G7109" s="114"/>
    </row>
    <row r="7110" spans="2:7" ht="15.75" customHeight="1" x14ac:dyDescent="0.25">
      <c r="B7110" s="100"/>
      <c r="C7110" s="100"/>
      <c r="D7110" s="100"/>
      <c r="E7110" s="100"/>
      <c r="F7110" s="102"/>
      <c r="G7110" s="114"/>
    </row>
    <row r="7111" spans="2:7" ht="15.75" customHeight="1" x14ac:dyDescent="0.25">
      <c r="B7111" s="100"/>
      <c r="C7111" s="100"/>
      <c r="D7111" s="100"/>
      <c r="E7111" s="100"/>
      <c r="F7111" s="102"/>
      <c r="G7111" s="114"/>
    </row>
    <row r="7112" spans="2:7" ht="15.75" customHeight="1" x14ac:dyDescent="0.25">
      <c r="B7112" s="100"/>
      <c r="C7112" s="100"/>
      <c r="D7112" s="100"/>
      <c r="E7112" s="100"/>
      <c r="F7112" s="102"/>
      <c r="G7112" s="114"/>
    </row>
    <row r="7113" spans="2:7" ht="15.75" customHeight="1" x14ac:dyDescent="0.25">
      <c r="B7113" s="100"/>
      <c r="C7113" s="100"/>
      <c r="D7113" s="100"/>
      <c r="E7113" s="100"/>
      <c r="F7113" s="102"/>
      <c r="G7113" s="114"/>
    </row>
    <row r="7114" spans="2:7" ht="15.75" customHeight="1" x14ac:dyDescent="0.25">
      <c r="B7114" s="100"/>
      <c r="C7114" s="100"/>
      <c r="D7114" s="100"/>
      <c r="E7114" s="100"/>
      <c r="F7114" s="102"/>
      <c r="G7114" s="114"/>
    </row>
    <row r="7115" spans="2:7" ht="15.75" customHeight="1" x14ac:dyDescent="0.25">
      <c r="B7115" s="100"/>
      <c r="C7115" s="100"/>
      <c r="D7115" s="100"/>
      <c r="E7115" s="100"/>
      <c r="F7115" s="102"/>
      <c r="G7115" s="114"/>
    </row>
    <row r="7116" spans="2:7" ht="15.75" customHeight="1" x14ac:dyDescent="0.25">
      <c r="B7116" s="100"/>
      <c r="C7116" s="100"/>
      <c r="D7116" s="100"/>
      <c r="E7116" s="100"/>
      <c r="F7116" s="102"/>
      <c r="G7116" s="114"/>
    </row>
    <row r="7117" spans="2:7" ht="15.75" customHeight="1" x14ac:dyDescent="0.25">
      <c r="B7117" s="100"/>
      <c r="C7117" s="100"/>
      <c r="D7117" s="100"/>
      <c r="E7117" s="100"/>
      <c r="F7117" s="102"/>
      <c r="G7117" s="114"/>
    </row>
    <row r="7118" spans="2:7" ht="15.75" customHeight="1" x14ac:dyDescent="0.25">
      <c r="B7118" s="100"/>
      <c r="C7118" s="100"/>
      <c r="D7118" s="100"/>
      <c r="E7118" s="100"/>
      <c r="F7118" s="102"/>
      <c r="G7118" s="114"/>
    </row>
    <row r="7119" spans="2:7" ht="15.75" customHeight="1" x14ac:dyDescent="0.25">
      <c r="B7119" s="100"/>
      <c r="C7119" s="100"/>
      <c r="D7119" s="100"/>
      <c r="E7119" s="100"/>
      <c r="F7119" s="102"/>
      <c r="G7119" s="114"/>
    </row>
    <row r="7120" spans="2:7" ht="15.75" customHeight="1" x14ac:dyDescent="0.25">
      <c r="B7120" s="100"/>
      <c r="C7120" s="100"/>
      <c r="D7120" s="100"/>
      <c r="E7120" s="100"/>
      <c r="F7120" s="102"/>
      <c r="G7120" s="114"/>
    </row>
    <row r="7121" spans="2:7" ht="15.75" customHeight="1" x14ac:dyDescent="0.25">
      <c r="B7121" s="100"/>
      <c r="C7121" s="100"/>
      <c r="D7121" s="100"/>
      <c r="E7121" s="100"/>
      <c r="F7121" s="102"/>
      <c r="G7121" s="114"/>
    </row>
    <row r="7122" spans="2:7" ht="15.75" customHeight="1" x14ac:dyDescent="0.25">
      <c r="B7122" s="100"/>
      <c r="C7122" s="100"/>
      <c r="D7122" s="100"/>
      <c r="E7122" s="100"/>
      <c r="F7122" s="102"/>
      <c r="G7122" s="114"/>
    </row>
    <row r="7123" spans="2:7" ht="15.75" customHeight="1" x14ac:dyDescent="0.25">
      <c r="B7123" s="100"/>
      <c r="C7123" s="100"/>
      <c r="D7123" s="100"/>
      <c r="E7123" s="100"/>
      <c r="F7123" s="102"/>
      <c r="G7123" s="114"/>
    </row>
    <row r="7124" spans="2:7" ht="15.75" customHeight="1" x14ac:dyDescent="0.25">
      <c r="B7124" s="100"/>
      <c r="C7124" s="100"/>
      <c r="D7124" s="100"/>
      <c r="E7124" s="100"/>
      <c r="F7124" s="102"/>
      <c r="G7124" s="114"/>
    </row>
    <row r="7125" spans="2:7" ht="15.75" customHeight="1" x14ac:dyDescent="0.25">
      <c r="B7125" s="100"/>
      <c r="C7125" s="100"/>
      <c r="D7125" s="100"/>
      <c r="E7125" s="100"/>
      <c r="F7125" s="102"/>
      <c r="G7125" s="114"/>
    </row>
    <row r="7126" spans="2:7" ht="15.75" customHeight="1" x14ac:dyDescent="0.25">
      <c r="B7126" s="100"/>
      <c r="C7126" s="100"/>
      <c r="D7126" s="100"/>
      <c r="E7126" s="100"/>
      <c r="F7126" s="102"/>
      <c r="G7126" s="114"/>
    </row>
    <row r="7127" spans="2:7" ht="15.75" customHeight="1" x14ac:dyDescent="0.25">
      <c r="B7127" s="100"/>
      <c r="C7127" s="100"/>
      <c r="D7127" s="100"/>
      <c r="E7127" s="100"/>
      <c r="F7127" s="102"/>
      <c r="G7127" s="114"/>
    </row>
    <row r="7128" spans="2:7" ht="15.75" customHeight="1" x14ac:dyDescent="0.25">
      <c r="B7128" s="100"/>
      <c r="C7128" s="100"/>
      <c r="D7128" s="100"/>
      <c r="E7128" s="100"/>
      <c r="F7128" s="102"/>
      <c r="G7128" s="114"/>
    </row>
    <row r="7129" spans="2:7" ht="15.75" customHeight="1" x14ac:dyDescent="0.25">
      <c r="B7129" s="100"/>
      <c r="C7129" s="100"/>
      <c r="D7129" s="100"/>
      <c r="E7129" s="100"/>
      <c r="F7129" s="102"/>
      <c r="G7129" s="114"/>
    </row>
    <row r="7130" spans="2:7" ht="15.75" customHeight="1" x14ac:dyDescent="0.25">
      <c r="B7130" s="100"/>
      <c r="C7130" s="100"/>
      <c r="D7130" s="100"/>
      <c r="E7130" s="100"/>
      <c r="F7130" s="102"/>
      <c r="G7130" s="114"/>
    </row>
    <row r="7131" spans="2:7" ht="15.75" customHeight="1" x14ac:dyDescent="0.25">
      <c r="B7131" s="100"/>
      <c r="C7131" s="100"/>
      <c r="D7131" s="100"/>
      <c r="E7131" s="100"/>
      <c r="F7131" s="102"/>
      <c r="G7131" s="114"/>
    </row>
    <row r="7132" spans="2:7" ht="15.75" customHeight="1" x14ac:dyDescent="0.25">
      <c r="B7132" s="100"/>
      <c r="C7132" s="100"/>
      <c r="D7132" s="100"/>
      <c r="E7132" s="100"/>
      <c r="F7132" s="102"/>
      <c r="G7132" s="114"/>
    </row>
    <row r="7133" spans="2:7" ht="15.75" customHeight="1" x14ac:dyDescent="0.25">
      <c r="B7133" s="100"/>
      <c r="C7133" s="100"/>
      <c r="D7133" s="100"/>
      <c r="E7133" s="100"/>
      <c r="F7133" s="102"/>
      <c r="G7133" s="114"/>
    </row>
    <row r="7134" spans="2:7" ht="15.75" customHeight="1" x14ac:dyDescent="0.25">
      <c r="B7134" s="100"/>
      <c r="C7134" s="100"/>
      <c r="D7134" s="100"/>
      <c r="E7134" s="100"/>
      <c r="F7134" s="102"/>
      <c r="G7134" s="114"/>
    </row>
    <row r="7135" spans="2:7" ht="15.75" customHeight="1" x14ac:dyDescent="0.25">
      <c r="B7135" s="100"/>
      <c r="C7135" s="100"/>
      <c r="D7135" s="100"/>
      <c r="E7135" s="100"/>
      <c r="F7135" s="102"/>
      <c r="G7135" s="114"/>
    </row>
    <row r="7136" spans="2:7" ht="15.75" customHeight="1" x14ac:dyDescent="0.25">
      <c r="B7136" s="100"/>
      <c r="C7136" s="100"/>
      <c r="D7136" s="100"/>
      <c r="E7136" s="100"/>
      <c r="F7136" s="102"/>
      <c r="G7136" s="114"/>
    </row>
    <row r="7137" spans="2:7" ht="15.75" customHeight="1" x14ac:dyDescent="0.25">
      <c r="B7137" s="100"/>
      <c r="C7137" s="100"/>
      <c r="D7137" s="100"/>
      <c r="E7137" s="100"/>
      <c r="F7137" s="102"/>
      <c r="G7137" s="114"/>
    </row>
    <row r="7138" spans="2:7" ht="15.75" customHeight="1" x14ac:dyDescent="0.25">
      <c r="B7138" s="100"/>
      <c r="C7138" s="100"/>
      <c r="D7138" s="100"/>
      <c r="E7138" s="100"/>
      <c r="F7138" s="102"/>
      <c r="G7138" s="114"/>
    </row>
    <row r="7139" spans="2:7" ht="15.75" customHeight="1" x14ac:dyDescent="0.25">
      <c r="B7139" s="100"/>
      <c r="C7139" s="100"/>
      <c r="D7139" s="100"/>
      <c r="E7139" s="100"/>
      <c r="F7139" s="102"/>
      <c r="G7139" s="114"/>
    </row>
    <row r="7140" spans="2:7" ht="15.75" customHeight="1" x14ac:dyDescent="0.25">
      <c r="B7140" s="100"/>
      <c r="C7140" s="100"/>
      <c r="D7140" s="100"/>
      <c r="E7140" s="100"/>
      <c r="F7140" s="102"/>
      <c r="G7140" s="114"/>
    </row>
    <row r="7141" spans="2:7" ht="15.75" customHeight="1" x14ac:dyDescent="0.25">
      <c r="B7141" s="100"/>
      <c r="C7141" s="100"/>
      <c r="D7141" s="100"/>
      <c r="E7141" s="100"/>
      <c r="F7141" s="102"/>
      <c r="G7141" s="114"/>
    </row>
    <row r="7142" spans="2:7" ht="15.75" customHeight="1" x14ac:dyDescent="0.25">
      <c r="B7142" s="100"/>
      <c r="C7142" s="100"/>
      <c r="D7142" s="100"/>
      <c r="E7142" s="100"/>
      <c r="F7142" s="102"/>
      <c r="G7142" s="114"/>
    </row>
    <row r="7143" spans="2:7" ht="15.75" customHeight="1" x14ac:dyDescent="0.25">
      <c r="B7143" s="100"/>
      <c r="C7143" s="100"/>
      <c r="D7143" s="100"/>
      <c r="E7143" s="100"/>
      <c r="F7143" s="102"/>
      <c r="G7143" s="114"/>
    </row>
    <row r="7144" spans="2:7" ht="15.75" customHeight="1" x14ac:dyDescent="0.25">
      <c r="B7144" s="100"/>
      <c r="C7144" s="100"/>
      <c r="D7144" s="100"/>
      <c r="E7144" s="100"/>
      <c r="F7144" s="102"/>
      <c r="G7144" s="114"/>
    </row>
    <row r="7145" spans="2:7" ht="15.75" customHeight="1" x14ac:dyDescent="0.25">
      <c r="B7145" s="100"/>
      <c r="C7145" s="100"/>
      <c r="D7145" s="100"/>
      <c r="E7145" s="100"/>
      <c r="F7145" s="102"/>
      <c r="G7145" s="114"/>
    </row>
    <row r="7146" spans="2:7" ht="15.75" customHeight="1" x14ac:dyDescent="0.25">
      <c r="B7146" s="100"/>
      <c r="C7146" s="100"/>
      <c r="D7146" s="100"/>
      <c r="E7146" s="100"/>
      <c r="F7146" s="102"/>
      <c r="G7146" s="114"/>
    </row>
    <row r="7147" spans="2:7" ht="15.75" customHeight="1" x14ac:dyDescent="0.25">
      <c r="B7147" s="100"/>
      <c r="C7147" s="100"/>
      <c r="D7147" s="100"/>
      <c r="E7147" s="100"/>
      <c r="F7147" s="102"/>
      <c r="G7147" s="114"/>
    </row>
    <row r="7148" spans="2:7" ht="15.75" customHeight="1" x14ac:dyDescent="0.25">
      <c r="B7148" s="100"/>
      <c r="C7148" s="100"/>
      <c r="D7148" s="100"/>
      <c r="E7148" s="100"/>
      <c r="F7148" s="102"/>
      <c r="G7148" s="114"/>
    </row>
    <row r="7149" spans="2:7" ht="15.75" customHeight="1" x14ac:dyDescent="0.25">
      <c r="B7149" s="100"/>
      <c r="C7149" s="100"/>
      <c r="D7149" s="100"/>
      <c r="E7149" s="100"/>
      <c r="F7149" s="102"/>
      <c r="G7149" s="114"/>
    </row>
    <row r="7150" spans="2:7" ht="15.75" customHeight="1" x14ac:dyDescent="0.25">
      <c r="B7150" s="100"/>
      <c r="C7150" s="100"/>
      <c r="D7150" s="100"/>
      <c r="E7150" s="100"/>
      <c r="F7150" s="102"/>
      <c r="G7150" s="114"/>
    </row>
    <row r="7151" spans="2:7" ht="15.75" customHeight="1" x14ac:dyDescent="0.25">
      <c r="B7151" s="100"/>
      <c r="C7151" s="100"/>
      <c r="D7151" s="100"/>
      <c r="E7151" s="100"/>
      <c r="F7151" s="102"/>
      <c r="G7151" s="114"/>
    </row>
    <row r="7152" spans="2:7" ht="15.75" customHeight="1" x14ac:dyDescent="0.25">
      <c r="B7152" s="100"/>
      <c r="C7152" s="100"/>
      <c r="D7152" s="100"/>
      <c r="E7152" s="100"/>
      <c r="F7152" s="102"/>
      <c r="G7152" s="114"/>
    </row>
    <row r="7153" spans="2:7" ht="15.75" customHeight="1" x14ac:dyDescent="0.25">
      <c r="B7153" s="100"/>
      <c r="C7153" s="100"/>
      <c r="D7153" s="100"/>
      <c r="E7153" s="100"/>
      <c r="F7153" s="102"/>
      <c r="G7153" s="114"/>
    </row>
    <row r="7154" spans="2:7" ht="15.75" customHeight="1" x14ac:dyDescent="0.25">
      <c r="B7154" s="100"/>
      <c r="C7154" s="100"/>
      <c r="D7154" s="100"/>
      <c r="E7154" s="100"/>
      <c r="F7154" s="102"/>
      <c r="G7154" s="114"/>
    </row>
    <row r="7155" spans="2:7" ht="15.75" customHeight="1" x14ac:dyDescent="0.25">
      <c r="B7155" s="100"/>
      <c r="C7155" s="100"/>
      <c r="D7155" s="100"/>
      <c r="E7155" s="100"/>
      <c r="F7155" s="102"/>
      <c r="G7155" s="114"/>
    </row>
    <row r="7156" spans="2:7" ht="15.75" customHeight="1" x14ac:dyDescent="0.25">
      <c r="B7156" s="100"/>
      <c r="C7156" s="100"/>
      <c r="D7156" s="100"/>
      <c r="E7156" s="100"/>
      <c r="F7156" s="102"/>
      <c r="G7156" s="114"/>
    </row>
    <row r="7157" spans="2:7" ht="15.75" customHeight="1" x14ac:dyDescent="0.25">
      <c r="B7157" s="100"/>
      <c r="C7157" s="100"/>
      <c r="D7157" s="100"/>
      <c r="E7157" s="100"/>
      <c r="F7157" s="102"/>
      <c r="G7157" s="114"/>
    </row>
    <row r="7158" spans="2:7" ht="15.75" customHeight="1" x14ac:dyDescent="0.25">
      <c r="B7158" s="100"/>
      <c r="C7158" s="100"/>
      <c r="D7158" s="100"/>
      <c r="E7158" s="100"/>
      <c r="F7158" s="102"/>
      <c r="G7158" s="114"/>
    </row>
    <row r="7159" spans="2:7" ht="15.75" customHeight="1" x14ac:dyDescent="0.25">
      <c r="B7159" s="100"/>
      <c r="C7159" s="100"/>
      <c r="D7159" s="100"/>
      <c r="E7159" s="100"/>
      <c r="F7159" s="102"/>
      <c r="G7159" s="114"/>
    </row>
    <row r="7160" spans="2:7" ht="15.75" customHeight="1" x14ac:dyDescent="0.25">
      <c r="B7160" s="100"/>
      <c r="C7160" s="100"/>
      <c r="D7160" s="100"/>
      <c r="E7160" s="100"/>
      <c r="F7160" s="102"/>
      <c r="G7160" s="114"/>
    </row>
    <row r="7161" spans="2:7" ht="15.75" customHeight="1" x14ac:dyDescent="0.25">
      <c r="B7161" s="100"/>
      <c r="C7161" s="100"/>
      <c r="D7161" s="100"/>
      <c r="E7161" s="100"/>
      <c r="F7161" s="102"/>
      <c r="G7161" s="114"/>
    </row>
    <row r="7162" spans="2:7" ht="15.75" customHeight="1" x14ac:dyDescent="0.25">
      <c r="B7162" s="100"/>
      <c r="C7162" s="100"/>
      <c r="D7162" s="100"/>
      <c r="E7162" s="100"/>
      <c r="F7162" s="102"/>
      <c r="G7162" s="114"/>
    </row>
    <row r="7163" spans="2:7" ht="15.75" customHeight="1" x14ac:dyDescent="0.25">
      <c r="B7163" s="100"/>
      <c r="C7163" s="100"/>
      <c r="D7163" s="100"/>
      <c r="E7163" s="100"/>
      <c r="F7163" s="102"/>
      <c r="G7163" s="114"/>
    </row>
    <row r="7164" spans="2:7" ht="15.75" customHeight="1" x14ac:dyDescent="0.25">
      <c r="B7164" s="100"/>
      <c r="C7164" s="100"/>
      <c r="D7164" s="100"/>
      <c r="E7164" s="100"/>
      <c r="F7164" s="102"/>
      <c r="G7164" s="114"/>
    </row>
    <row r="7165" spans="2:7" ht="15.75" customHeight="1" x14ac:dyDescent="0.25">
      <c r="B7165" s="100"/>
      <c r="C7165" s="100"/>
      <c r="D7165" s="100"/>
      <c r="E7165" s="100"/>
      <c r="F7165" s="102"/>
      <c r="G7165" s="114"/>
    </row>
    <row r="7166" spans="2:7" ht="15.75" customHeight="1" x14ac:dyDescent="0.25">
      <c r="B7166" s="100"/>
      <c r="C7166" s="100"/>
      <c r="D7166" s="100"/>
      <c r="E7166" s="100"/>
      <c r="F7166" s="102"/>
      <c r="G7166" s="114"/>
    </row>
    <row r="7167" spans="2:7" ht="15.75" customHeight="1" x14ac:dyDescent="0.25">
      <c r="B7167" s="100"/>
      <c r="C7167" s="100"/>
      <c r="D7167" s="100"/>
      <c r="E7167" s="100"/>
      <c r="F7167" s="102"/>
      <c r="G7167" s="114"/>
    </row>
    <row r="7168" spans="2:7" ht="15.75" customHeight="1" x14ac:dyDescent="0.25">
      <c r="B7168" s="100"/>
      <c r="C7168" s="100"/>
      <c r="D7168" s="100"/>
      <c r="E7168" s="100"/>
      <c r="F7168" s="102"/>
      <c r="G7168" s="114"/>
    </row>
    <row r="7169" spans="2:7" ht="15.75" customHeight="1" x14ac:dyDescent="0.25">
      <c r="B7169" s="100"/>
      <c r="C7169" s="100"/>
      <c r="D7169" s="100"/>
      <c r="E7169" s="100"/>
      <c r="F7169" s="102"/>
      <c r="G7169" s="114"/>
    </row>
    <row r="7170" spans="2:7" ht="15.75" customHeight="1" x14ac:dyDescent="0.25">
      <c r="B7170" s="100"/>
      <c r="C7170" s="100"/>
      <c r="D7170" s="100"/>
      <c r="E7170" s="100"/>
      <c r="F7170" s="102"/>
      <c r="G7170" s="114"/>
    </row>
    <row r="7171" spans="2:7" ht="15.75" customHeight="1" x14ac:dyDescent="0.25">
      <c r="B7171" s="100"/>
      <c r="C7171" s="100"/>
      <c r="D7171" s="100"/>
      <c r="E7171" s="100"/>
      <c r="F7171" s="102"/>
      <c r="G7171" s="114"/>
    </row>
    <row r="7172" spans="2:7" ht="15.75" customHeight="1" x14ac:dyDescent="0.25">
      <c r="B7172" s="100"/>
      <c r="C7172" s="100"/>
      <c r="D7172" s="100"/>
      <c r="E7172" s="100"/>
      <c r="F7172" s="102"/>
      <c r="G7172" s="114"/>
    </row>
    <row r="7173" spans="2:7" ht="15.75" customHeight="1" x14ac:dyDescent="0.25">
      <c r="B7173" s="100"/>
      <c r="C7173" s="100"/>
      <c r="D7173" s="100"/>
      <c r="E7173" s="100"/>
      <c r="F7173" s="102"/>
      <c r="G7173" s="114"/>
    </row>
    <row r="7174" spans="2:7" ht="15.75" customHeight="1" x14ac:dyDescent="0.25">
      <c r="B7174" s="100"/>
      <c r="C7174" s="100"/>
      <c r="D7174" s="100"/>
      <c r="E7174" s="100"/>
      <c r="F7174" s="102"/>
      <c r="G7174" s="114"/>
    </row>
    <row r="7175" spans="2:7" ht="15.75" customHeight="1" x14ac:dyDescent="0.25">
      <c r="B7175" s="100"/>
      <c r="C7175" s="100"/>
      <c r="D7175" s="100"/>
      <c r="E7175" s="100"/>
      <c r="F7175" s="102"/>
      <c r="G7175" s="114"/>
    </row>
    <row r="7176" spans="2:7" ht="15.75" customHeight="1" x14ac:dyDescent="0.25">
      <c r="B7176" s="100"/>
      <c r="C7176" s="100"/>
      <c r="D7176" s="100"/>
      <c r="E7176" s="100"/>
      <c r="F7176" s="102"/>
      <c r="G7176" s="114"/>
    </row>
    <row r="7177" spans="2:7" ht="15.75" customHeight="1" x14ac:dyDescent="0.25">
      <c r="B7177" s="100"/>
      <c r="C7177" s="100"/>
      <c r="D7177" s="100"/>
      <c r="E7177" s="100"/>
      <c r="F7177" s="102"/>
      <c r="G7177" s="114"/>
    </row>
    <row r="7178" spans="2:7" ht="15.75" customHeight="1" x14ac:dyDescent="0.25">
      <c r="B7178" s="100"/>
      <c r="C7178" s="100"/>
      <c r="D7178" s="100"/>
      <c r="E7178" s="100"/>
      <c r="F7178" s="102"/>
      <c r="G7178" s="114"/>
    </row>
    <row r="7179" spans="2:7" ht="15.75" customHeight="1" x14ac:dyDescent="0.25">
      <c r="B7179" s="100"/>
      <c r="C7179" s="100"/>
      <c r="D7179" s="100"/>
      <c r="E7179" s="100"/>
      <c r="F7179" s="102"/>
      <c r="G7179" s="114"/>
    </row>
    <row r="7180" spans="2:7" ht="15.75" customHeight="1" x14ac:dyDescent="0.25">
      <c r="B7180" s="100"/>
      <c r="C7180" s="100"/>
      <c r="D7180" s="100"/>
      <c r="E7180" s="100"/>
      <c r="F7180" s="102"/>
      <c r="G7180" s="114"/>
    </row>
    <row r="7181" spans="2:7" ht="15.75" customHeight="1" x14ac:dyDescent="0.25">
      <c r="B7181" s="100"/>
      <c r="C7181" s="100"/>
      <c r="D7181" s="100"/>
      <c r="E7181" s="100"/>
      <c r="F7181" s="102"/>
      <c r="G7181" s="114"/>
    </row>
    <row r="7182" spans="2:7" ht="15.75" customHeight="1" x14ac:dyDescent="0.25">
      <c r="B7182" s="100"/>
      <c r="C7182" s="100"/>
      <c r="D7182" s="100"/>
      <c r="E7182" s="100"/>
      <c r="F7182" s="102"/>
      <c r="G7182" s="114"/>
    </row>
    <row r="7183" spans="2:7" ht="15.75" customHeight="1" x14ac:dyDescent="0.25">
      <c r="B7183" s="100"/>
      <c r="C7183" s="100"/>
      <c r="D7183" s="100"/>
      <c r="E7183" s="100"/>
      <c r="F7183" s="102"/>
      <c r="G7183" s="114"/>
    </row>
    <row r="7184" spans="2:7" ht="15.75" customHeight="1" x14ac:dyDescent="0.25">
      <c r="B7184" s="100"/>
      <c r="C7184" s="100"/>
      <c r="D7184" s="100"/>
      <c r="E7184" s="100"/>
      <c r="F7184" s="102"/>
      <c r="G7184" s="114"/>
    </row>
    <row r="7185" spans="2:7" ht="15.75" customHeight="1" x14ac:dyDescent="0.25">
      <c r="B7185" s="100"/>
      <c r="C7185" s="100"/>
      <c r="D7185" s="100"/>
      <c r="E7185" s="100"/>
      <c r="F7185" s="102"/>
      <c r="G7185" s="114"/>
    </row>
    <row r="7186" spans="2:7" ht="15.75" customHeight="1" x14ac:dyDescent="0.25">
      <c r="B7186" s="100"/>
      <c r="C7186" s="100"/>
      <c r="D7186" s="100"/>
      <c r="E7186" s="100"/>
      <c r="F7186" s="102"/>
      <c r="G7186" s="114"/>
    </row>
    <row r="7187" spans="2:7" ht="15.75" customHeight="1" x14ac:dyDescent="0.25">
      <c r="B7187" s="100"/>
      <c r="C7187" s="100"/>
      <c r="D7187" s="100"/>
      <c r="E7187" s="100"/>
      <c r="F7187" s="102"/>
      <c r="G7187" s="114"/>
    </row>
    <row r="7188" spans="2:7" ht="15.75" customHeight="1" x14ac:dyDescent="0.25">
      <c r="B7188" s="100"/>
      <c r="C7188" s="100"/>
      <c r="D7188" s="100"/>
      <c r="E7188" s="100"/>
      <c r="F7188" s="102"/>
      <c r="G7188" s="114"/>
    </row>
    <row r="7189" spans="2:7" ht="15.75" customHeight="1" x14ac:dyDescent="0.25">
      <c r="B7189" s="100"/>
      <c r="C7189" s="100"/>
      <c r="D7189" s="100"/>
      <c r="E7189" s="100"/>
      <c r="F7189" s="102"/>
      <c r="G7189" s="114"/>
    </row>
    <row r="7190" spans="2:7" ht="15.75" customHeight="1" x14ac:dyDescent="0.25">
      <c r="B7190" s="100"/>
      <c r="C7190" s="100"/>
      <c r="D7190" s="100"/>
      <c r="E7190" s="100"/>
      <c r="F7190" s="102"/>
      <c r="G7190" s="114"/>
    </row>
    <row r="7191" spans="2:7" ht="15.75" customHeight="1" x14ac:dyDescent="0.25">
      <c r="B7191" s="100"/>
      <c r="C7191" s="100"/>
      <c r="D7191" s="100"/>
      <c r="E7191" s="100"/>
      <c r="F7191" s="102"/>
      <c r="G7191" s="114"/>
    </row>
    <row r="7192" spans="2:7" ht="15.75" customHeight="1" x14ac:dyDescent="0.25">
      <c r="B7192" s="100"/>
      <c r="C7192" s="100"/>
      <c r="D7192" s="100"/>
      <c r="E7192" s="100"/>
      <c r="F7192" s="102"/>
      <c r="G7192" s="114"/>
    </row>
    <row r="7193" spans="2:7" ht="15.75" customHeight="1" x14ac:dyDescent="0.25">
      <c r="B7193" s="100"/>
      <c r="C7193" s="100"/>
      <c r="D7193" s="100"/>
      <c r="E7193" s="100"/>
      <c r="F7193" s="102"/>
      <c r="G7193" s="114"/>
    </row>
    <row r="7194" spans="2:7" ht="15.75" customHeight="1" x14ac:dyDescent="0.25">
      <c r="B7194" s="100"/>
      <c r="C7194" s="100"/>
      <c r="D7194" s="100"/>
      <c r="E7194" s="100"/>
      <c r="F7194" s="102"/>
      <c r="G7194" s="114"/>
    </row>
    <row r="7195" spans="2:7" ht="15.75" customHeight="1" x14ac:dyDescent="0.25">
      <c r="B7195" s="100"/>
      <c r="C7195" s="100"/>
      <c r="D7195" s="100"/>
      <c r="E7195" s="100"/>
      <c r="F7195" s="102"/>
      <c r="G7195" s="114"/>
    </row>
    <row r="7196" spans="2:7" ht="15.75" customHeight="1" x14ac:dyDescent="0.25">
      <c r="B7196" s="100"/>
      <c r="C7196" s="100"/>
      <c r="D7196" s="100"/>
      <c r="E7196" s="100"/>
      <c r="F7196" s="102"/>
      <c r="G7196" s="114"/>
    </row>
    <row r="7197" spans="2:7" ht="15.75" customHeight="1" x14ac:dyDescent="0.25">
      <c r="B7197" s="100"/>
      <c r="C7197" s="100"/>
      <c r="D7197" s="100"/>
      <c r="E7197" s="100"/>
      <c r="F7197" s="102"/>
      <c r="G7197" s="114"/>
    </row>
    <row r="7198" spans="2:7" ht="15.75" customHeight="1" x14ac:dyDescent="0.25">
      <c r="B7198" s="100"/>
      <c r="C7198" s="100"/>
      <c r="D7198" s="100"/>
      <c r="E7198" s="100"/>
      <c r="F7198" s="102"/>
      <c r="G7198" s="114"/>
    </row>
    <row r="7199" spans="2:7" ht="15.75" customHeight="1" x14ac:dyDescent="0.25">
      <c r="B7199" s="100"/>
      <c r="C7199" s="100"/>
      <c r="D7199" s="100"/>
      <c r="E7199" s="100"/>
      <c r="F7199" s="102"/>
      <c r="G7199" s="114"/>
    </row>
    <row r="7200" spans="2:7" ht="15.75" customHeight="1" x14ac:dyDescent="0.25">
      <c r="B7200" s="100"/>
      <c r="C7200" s="100"/>
      <c r="D7200" s="100"/>
      <c r="E7200" s="100"/>
      <c r="F7200" s="102"/>
      <c r="G7200" s="114"/>
    </row>
    <row r="7201" spans="2:7" ht="15.75" customHeight="1" x14ac:dyDescent="0.25">
      <c r="B7201" s="100"/>
      <c r="C7201" s="100"/>
      <c r="D7201" s="100"/>
      <c r="E7201" s="100"/>
      <c r="F7201" s="102"/>
      <c r="G7201" s="114"/>
    </row>
    <row r="7202" spans="2:7" ht="15.75" customHeight="1" x14ac:dyDescent="0.25">
      <c r="B7202" s="100"/>
      <c r="C7202" s="100"/>
      <c r="D7202" s="100"/>
      <c r="E7202" s="100"/>
      <c r="F7202" s="102"/>
      <c r="G7202" s="114"/>
    </row>
    <row r="7203" spans="2:7" ht="15.75" customHeight="1" x14ac:dyDescent="0.25">
      <c r="B7203" s="100"/>
      <c r="C7203" s="100"/>
      <c r="D7203" s="100"/>
      <c r="E7203" s="100"/>
      <c r="F7203" s="102"/>
      <c r="G7203" s="114"/>
    </row>
    <row r="7204" spans="2:7" ht="15.75" customHeight="1" x14ac:dyDescent="0.25">
      <c r="B7204" s="100"/>
      <c r="C7204" s="100"/>
      <c r="D7204" s="100"/>
      <c r="E7204" s="100"/>
      <c r="F7204" s="102"/>
      <c r="G7204" s="114"/>
    </row>
    <row r="7205" spans="2:7" ht="15.75" customHeight="1" x14ac:dyDescent="0.25">
      <c r="B7205" s="100"/>
      <c r="C7205" s="100"/>
      <c r="D7205" s="100"/>
      <c r="E7205" s="100"/>
      <c r="F7205" s="102"/>
      <c r="G7205" s="114"/>
    </row>
    <row r="7206" spans="2:7" ht="15.75" customHeight="1" x14ac:dyDescent="0.25">
      <c r="B7206" s="100"/>
      <c r="C7206" s="100"/>
      <c r="D7206" s="100"/>
      <c r="E7206" s="100"/>
      <c r="F7206" s="102"/>
      <c r="G7206" s="114"/>
    </row>
    <row r="7207" spans="2:7" ht="15.75" customHeight="1" x14ac:dyDescent="0.25">
      <c r="B7207" s="100"/>
      <c r="C7207" s="100"/>
      <c r="D7207" s="100"/>
      <c r="E7207" s="100"/>
      <c r="F7207" s="102"/>
      <c r="G7207" s="114"/>
    </row>
    <row r="7208" spans="2:7" ht="15.75" customHeight="1" x14ac:dyDescent="0.25">
      <c r="B7208" s="100"/>
      <c r="C7208" s="100"/>
      <c r="D7208" s="100"/>
      <c r="E7208" s="100"/>
      <c r="F7208" s="102"/>
      <c r="G7208" s="114"/>
    </row>
    <row r="7209" spans="2:7" ht="15.75" customHeight="1" x14ac:dyDescent="0.25">
      <c r="B7209" s="100"/>
      <c r="C7209" s="100"/>
      <c r="D7209" s="100"/>
      <c r="E7209" s="100"/>
      <c r="F7209" s="102"/>
      <c r="G7209" s="114"/>
    </row>
    <row r="7210" spans="2:7" ht="15.75" customHeight="1" x14ac:dyDescent="0.25">
      <c r="B7210" s="100"/>
      <c r="C7210" s="100"/>
      <c r="D7210" s="100"/>
      <c r="E7210" s="100"/>
      <c r="F7210" s="102"/>
      <c r="G7210" s="114"/>
    </row>
    <row r="7211" spans="2:7" ht="15.75" customHeight="1" x14ac:dyDescent="0.25">
      <c r="B7211" s="100"/>
      <c r="C7211" s="100"/>
      <c r="D7211" s="100"/>
      <c r="E7211" s="100"/>
      <c r="F7211" s="102"/>
      <c r="G7211" s="114"/>
    </row>
    <row r="7212" spans="2:7" ht="15.75" customHeight="1" x14ac:dyDescent="0.25">
      <c r="B7212" s="100"/>
      <c r="C7212" s="100"/>
      <c r="D7212" s="100"/>
      <c r="E7212" s="100"/>
      <c r="F7212" s="102"/>
      <c r="G7212" s="114"/>
    </row>
    <row r="7213" spans="2:7" ht="15.75" customHeight="1" x14ac:dyDescent="0.25">
      <c r="B7213" s="100"/>
      <c r="C7213" s="100"/>
      <c r="D7213" s="100"/>
      <c r="E7213" s="100"/>
      <c r="F7213" s="102"/>
      <c r="G7213" s="114"/>
    </row>
    <row r="7214" spans="2:7" ht="15.75" customHeight="1" x14ac:dyDescent="0.25">
      <c r="B7214" s="100"/>
      <c r="C7214" s="100"/>
      <c r="D7214" s="100"/>
      <c r="E7214" s="100"/>
      <c r="F7214" s="102"/>
      <c r="G7214" s="114"/>
    </row>
    <row r="7215" spans="2:7" ht="15.75" customHeight="1" x14ac:dyDescent="0.25">
      <c r="B7215" s="100"/>
      <c r="C7215" s="100"/>
      <c r="D7215" s="100"/>
      <c r="E7215" s="100"/>
      <c r="F7215" s="102"/>
      <c r="G7215" s="114"/>
    </row>
    <row r="7216" spans="2:7" ht="15.75" customHeight="1" x14ac:dyDescent="0.25">
      <c r="B7216" s="100"/>
      <c r="C7216" s="100"/>
      <c r="D7216" s="100"/>
      <c r="E7216" s="100"/>
      <c r="F7216" s="102"/>
      <c r="G7216" s="114"/>
    </row>
    <row r="7217" spans="2:7" ht="15.75" customHeight="1" x14ac:dyDescent="0.25">
      <c r="B7217" s="100"/>
      <c r="C7217" s="100"/>
      <c r="D7217" s="100"/>
      <c r="E7217" s="100"/>
      <c r="F7217" s="102"/>
      <c r="G7217" s="114"/>
    </row>
    <row r="7218" spans="2:7" ht="15.75" customHeight="1" x14ac:dyDescent="0.25">
      <c r="B7218" s="100"/>
      <c r="C7218" s="100"/>
      <c r="D7218" s="100"/>
      <c r="E7218" s="100"/>
      <c r="F7218" s="102"/>
      <c r="G7218" s="114"/>
    </row>
    <row r="7219" spans="2:7" ht="15.75" customHeight="1" x14ac:dyDescent="0.25">
      <c r="B7219" s="100"/>
      <c r="C7219" s="100"/>
      <c r="D7219" s="100"/>
      <c r="E7219" s="100"/>
      <c r="F7219" s="102"/>
      <c r="G7219" s="114"/>
    </row>
    <row r="7220" spans="2:7" ht="15.75" customHeight="1" x14ac:dyDescent="0.25">
      <c r="B7220" s="100"/>
      <c r="C7220" s="100"/>
      <c r="D7220" s="100"/>
      <c r="E7220" s="100"/>
      <c r="F7220" s="102"/>
      <c r="G7220" s="114"/>
    </row>
    <row r="7221" spans="2:7" ht="15.75" customHeight="1" x14ac:dyDescent="0.25">
      <c r="B7221" s="100"/>
      <c r="C7221" s="100"/>
      <c r="D7221" s="100"/>
      <c r="E7221" s="100"/>
      <c r="F7221" s="102"/>
      <c r="G7221" s="114"/>
    </row>
    <row r="7222" spans="2:7" ht="15.75" customHeight="1" x14ac:dyDescent="0.25">
      <c r="B7222" s="100"/>
      <c r="C7222" s="100"/>
      <c r="D7222" s="100"/>
      <c r="E7222" s="100"/>
      <c r="F7222" s="102"/>
      <c r="G7222" s="114"/>
    </row>
    <row r="7223" spans="2:7" ht="15.75" customHeight="1" x14ac:dyDescent="0.25">
      <c r="B7223" s="100"/>
      <c r="C7223" s="100"/>
      <c r="D7223" s="100"/>
      <c r="E7223" s="100"/>
      <c r="F7223" s="102"/>
      <c r="G7223" s="114"/>
    </row>
    <row r="7224" spans="2:7" ht="15.75" customHeight="1" x14ac:dyDescent="0.25">
      <c r="B7224" s="100"/>
      <c r="C7224" s="100"/>
      <c r="D7224" s="100"/>
      <c r="E7224" s="100"/>
      <c r="F7224" s="102"/>
      <c r="G7224" s="114"/>
    </row>
    <row r="7225" spans="2:7" ht="15.75" customHeight="1" x14ac:dyDescent="0.25">
      <c r="B7225" s="100"/>
      <c r="C7225" s="100"/>
      <c r="D7225" s="100"/>
      <c r="E7225" s="100"/>
      <c r="F7225" s="102"/>
      <c r="G7225" s="114"/>
    </row>
    <row r="7226" spans="2:7" ht="15.75" customHeight="1" x14ac:dyDescent="0.25">
      <c r="B7226" s="100"/>
      <c r="C7226" s="100"/>
      <c r="D7226" s="100"/>
      <c r="E7226" s="100"/>
      <c r="F7226" s="102"/>
      <c r="G7226" s="114"/>
    </row>
    <row r="7227" spans="2:7" ht="15.75" customHeight="1" x14ac:dyDescent="0.25">
      <c r="B7227" s="100"/>
      <c r="C7227" s="100"/>
      <c r="D7227" s="100"/>
      <c r="E7227" s="100"/>
      <c r="F7227" s="102"/>
      <c r="G7227" s="114"/>
    </row>
    <row r="7228" spans="2:7" ht="15.75" customHeight="1" x14ac:dyDescent="0.25">
      <c r="B7228" s="100"/>
      <c r="C7228" s="100"/>
      <c r="D7228" s="100"/>
      <c r="E7228" s="100"/>
      <c r="F7228" s="102"/>
      <c r="G7228" s="114"/>
    </row>
    <row r="7229" spans="2:7" ht="15.75" customHeight="1" x14ac:dyDescent="0.25">
      <c r="B7229" s="100"/>
      <c r="C7229" s="100"/>
      <c r="D7229" s="100"/>
      <c r="E7229" s="100"/>
      <c r="F7229" s="102"/>
      <c r="G7229" s="114"/>
    </row>
    <row r="7230" spans="2:7" ht="15.75" customHeight="1" x14ac:dyDescent="0.25">
      <c r="B7230" s="100"/>
      <c r="C7230" s="100"/>
      <c r="D7230" s="100"/>
      <c r="E7230" s="100"/>
      <c r="F7230" s="102"/>
      <c r="G7230" s="114"/>
    </row>
    <row r="7231" spans="2:7" ht="15.75" customHeight="1" x14ac:dyDescent="0.25">
      <c r="B7231" s="100"/>
      <c r="C7231" s="100"/>
      <c r="D7231" s="100"/>
      <c r="E7231" s="100"/>
      <c r="F7231" s="102"/>
      <c r="G7231" s="114"/>
    </row>
    <row r="7232" spans="2:7" ht="15.75" customHeight="1" x14ac:dyDescent="0.25">
      <c r="B7232" s="100"/>
      <c r="C7232" s="100"/>
      <c r="D7232" s="100"/>
      <c r="E7232" s="100"/>
      <c r="F7232" s="102"/>
      <c r="G7232" s="114"/>
    </row>
    <row r="7233" spans="2:7" ht="15.75" customHeight="1" x14ac:dyDescent="0.25">
      <c r="B7233" s="100"/>
      <c r="C7233" s="100"/>
      <c r="D7233" s="100"/>
      <c r="E7233" s="100"/>
      <c r="F7233" s="102"/>
      <c r="G7233" s="114"/>
    </row>
    <row r="7234" spans="2:7" ht="15.75" customHeight="1" x14ac:dyDescent="0.25">
      <c r="B7234" s="100"/>
      <c r="C7234" s="100"/>
      <c r="D7234" s="100"/>
      <c r="E7234" s="100"/>
      <c r="F7234" s="102"/>
      <c r="G7234" s="114"/>
    </row>
    <row r="7235" spans="2:7" ht="15.75" customHeight="1" x14ac:dyDescent="0.25">
      <c r="B7235" s="100"/>
      <c r="C7235" s="100"/>
      <c r="D7235" s="100"/>
      <c r="E7235" s="100"/>
      <c r="F7235" s="102"/>
      <c r="G7235" s="114"/>
    </row>
    <row r="7236" spans="2:7" ht="15.75" customHeight="1" x14ac:dyDescent="0.25">
      <c r="B7236" s="100"/>
      <c r="C7236" s="100"/>
      <c r="D7236" s="100"/>
      <c r="E7236" s="100"/>
      <c r="F7236" s="102"/>
      <c r="G7236" s="114"/>
    </row>
    <row r="7237" spans="2:7" ht="15.75" customHeight="1" x14ac:dyDescent="0.25">
      <c r="B7237" s="100"/>
      <c r="C7237" s="100"/>
      <c r="D7237" s="100"/>
      <c r="E7237" s="100"/>
      <c r="F7237" s="102"/>
      <c r="G7237" s="114"/>
    </row>
    <row r="7238" spans="2:7" ht="15.75" customHeight="1" x14ac:dyDescent="0.25">
      <c r="B7238" s="100"/>
      <c r="C7238" s="100"/>
      <c r="D7238" s="100"/>
      <c r="E7238" s="100"/>
      <c r="F7238" s="102"/>
      <c r="G7238" s="114"/>
    </row>
    <row r="7239" spans="2:7" ht="15.75" customHeight="1" x14ac:dyDescent="0.25">
      <c r="B7239" s="100"/>
      <c r="C7239" s="100"/>
      <c r="D7239" s="100"/>
      <c r="E7239" s="100"/>
      <c r="F7239" s="102"/>
      <c r="G7239" s="114"/>
    </row>
    <row r="7240" spans="2:7" ht="15.75" customHeight="1" x14ac:dyDescent="0.25">
      <c r="B7240" s="100"/>
      <c r="C7240" s="100"/>
      <c r="D7240" s="100"/>
      <c r="E7240" s="100"/>
      <c r="F7240" s="102"/>
      <c r="G7240" s="114"/>
    </row>
    <row r="7241" spans="2:7" ht="15.75" customHeight="1" x14ac:dyDescent="0.25">
      <c r="B7241" s="100"/>
      <c r="C7241" s="100"/>
      <c r="D7241" s="100"/>
      <c r="E7241" s="100"/>
      <c r="F7241" s="102"/>
      <c r="G7241" s="114"/>
    </row>
    <row r="7242" spans="2:7" ht="15.75" customHeight="1" x14ac:dyDescent="0.25">
      <c r="B7242" s="100"/>
      <c r="C7242" s="100"/>
      <c r="D7242" s="100"/>
      <c r="E7242" s="100"/>
      <c r="F7242" s="102"/>
      <c r="G7242" s="114"/>
    </row>
    <row r="7243" spans="2:7" ht="15.75" customHeight="1" x14ac:dyDescent="0.25">
      <c r="B7243" s="100"/>
      <c r="C7243" s="100"/>
      <c r="D7243" s="100"/>
      <c r="E7243" s="100"/>
      <c r="F7243" s="102"/>
      <c r="G7243" s="114"/>
    </row>
    <row r="7244" spans="2:7" ht="15.75" customHeight="1" x14ac:dyDescent="0.25">
      <c r="B7244" s="100"/>
      <c r="C7244" s="100"/>
      <c r="D7244" s="100"/>
      <c r="E7244" s="100"/>
      <c r="F7244" s="102"/>
      <c r="G7244" s="114"/>
    </row>
    <row r="7245" spans="2:7" ht="15.75" customHeight="1" x14ac:dyDescent="0.25">
      <c r="B7245" s="100"/>
      <c r="C7245" s="100"/>
      <c r="D7245" s="100"/>
      <c r="E7245" s="100"/>
      <c r="F7245" s="102"/>
      <c r="G7245" s="114"/>
    </row>
    <row r="7246" spans="2:7" ht="15.75" customHeight="1" x14ac:dyDescent="0.25">
      <c r="B7246" s="100"/>
      <c r="C7246" s="100"/>
      <c r="D7246" s="100"/>
      <c r="E7246" s="100"/>
      <c r="F7246" s="102"/>
      <c r="G7246" s="114"/>
    </row>
    <row r="7247" spans="2:7" ht="15.75" customHeight="1" x14ac:dyDescent="0.25">
      <c r="B7247" s="100"/>
      <c r="C7247" s="100"/>
      <c r="D7247" s="100"/>
      <c r="E7247" s="100"/>
      <c r="F7247" s="102"/>
      <c r="G7247" s="114"/>
    </row>
    <row r="7248" spans="2:7" ht="15.75" customHeight="1" x14ac:dyDescent="0.25">
      <c r="B7248" s="100"/>
      <c r="C7248" s="100"/>
      <c r="D7248" s="100"/>
      <c r="E7248" s="100"/>
      <c r="F7248" s="102"/>
      <c r="G7248" s="114"/>
    </row>
    <row r="7249" spans="2:7" ht="15.75" customHeight="1" x14ac:dyDescent="0.25">
      <c r="B7249" s="100"/>
      <c r="C7249" s="100"/>
      <c r="D7249" s="100"/>
      <c r="E7249" s="100"/>
      <c r="F7249" s="102"/>
      <c r="G7249" s="114"/>
    </row>
    <row r="7250" spans="2:7" ht="15.75" customHeight="1" x14ac:dyDescent="0.25">
      <c r="B7250" s="100"/>
      <c r="C7250" s="100"/>
      <c r="D7250" s="100"/>
      <c r="E7250" s="100"/>
      <c r="F7250" s="102"/>
      <c r="G7250" s="114"/>
    </row>
    <row r="7251" spans="2:7" ht="15.75" customHeight="1" x14ac:dyDescent="0.25">
      <c r="B7251" s="100"/>
      <c r="C7251" s="100"/>
      <c r="D7251" s="100"/>
      <c r="E7251" s="100"/>
      <c r="F7251" s="102"/>
      <c r="G7251" s="114"/>
    </row>
    <row r="7252" spans="2:7" ht="15.75" customHeight="1" x14ac:dyDescent="0.25">
      <c r="B7252" s="100"/>
      <c r="C7252" s="100"/>
      <c r="D7252" s="100"/>
      <c r="E7252" s="100"/>
      <c r="F7252" s="102"/>
      <c r="G7252" s="114"/>
    </row>
    <row r="7253" spans="2:7" ht="15.75" customHeight="1" x14ac:dyDescent="0.25">
      <c r="B7253" s="100"/>
      <c r="C7253" s="100"/>
      <c r="D7253" s="100"/>
      <c r="E7253" s="100"/>
      <c r="F7253" s="102"/>
      <c r="G7253" s="114"/>
    </row>
    <row r="7254" spans="2:7" ht="15.75" customHeight="1" x14ac:dyDescent="0.25">
      <c r="B7254" s="100"/>
      <c r="C7254" s="100"/>
      <c r="D7254" s="100"/>
      <c r="E7254" s="100"/>
      <c r="F7254" s="102"/>
      <c r="G7254" s="114"/>
    </row>
    <row r="7255" spans="2:7" ht="15.75" customHeight="1" x14ac:dyDescent="0.25">
      <c r="B7255" s="100"/>
      <c r="C7255" s="100"/>
      <c r="D7255" s="100"/>
      <c r="E7255" s="100"/>
      <c r="F7255" s="102"/>
      <c r="G7255" s="114"/>
    </row>
    <row r="7256" spans="2:7" ht="15.75" customHeight="1" x14ac:dyDescent="0.25">
      <c r="B7256" s="100"/>
      <c r="C7256" s="100"/>
      <c r="D7256" s="100"/>
      <c r="E7256" s="100"/>
      <c r="F7256" s="102"/>
      <c r="G7256" s="114"/>
    </row>
    <row r="7257" spans="2:7" ht="15.75" customHeight="1" x14ac:dyDescent="0.25">
      <c r="B7257" s="100"/>
      <c r="C7257" s="100"/>
      <c r="D7257" s="100"/>
      <c r="E7257" s="100"/>
      <c r="F7257" s="102"/>
      <c r="G7257" s="114"/>
    </row>
    <row r="7258" spans="2:7" ht="15.75" customHeight="1" x14ac:dyDescent="0.25">
      <c r="B7258" s="100"/>
      <c r="C7258" s="100"/>
      <c r="D7258" s="100"/>
      <c r="E7258" s="100"/>
      <c r="F7258" s="102"/>
      <c r="G7258" s="114"/>
    </row>
    <row r="7259" spans="2:7" ht="15.75" customHeight="1" x14ac:dyDescent="0.25">
      <c r="B7259" s="100"/>
      <c r="C7259" s="100"/>
      <c r="D7259" s="100"/>
      <c r="E7259" s="100"/>
      <c r="F7259" s="102"/>
      <c r="G7259" s="114"/>
    </row>
    <row r="7260" spans="2:7" ht="15.75" customHeight="1" x14ac:dyDescent="0.25">
      <c r="B7260" s="100"/>
      <c r="C7260" s="100"/>
      <c r="D7260" s="100"/>
      <c r="E7260" s="100"/>
      <c r="F7260" s="102"/>
      <c r="G7260" s="114"/>
    </row>
    <row r="7261" spans="2:7" ht="15.75" customHeight="1" x14ac:dyDescent="0.25">
      <c r="B7261" s="100"/>
      <c r="C7261" s="100"/>
      <c r="D7261" s="100"/>
      <c r="E7261" s="100"/>
      <c r="F7261" s="102"/>
      <c r="G7261" s="114"/>
    </row>
    <row r="7262" spans="2:7" ht="15.75" customHeight="1" x14ac:dyDescent="0.25">
      <c r="B7262" s="100"/>
      <c r="C7262" s="100"/>
      <c r="D7262" s="100"/>
      <c r="E7262" s="100"/>
      <c r="F7262" s="102"/>
      <c r="G7262" s="114"/>
    </row>
    <row r="7263" spans="2:7" ht="15.75" customHeight="1" x14ac:dyDescent="0.25">
      <c r="B7263" s="100"/>
      <c r="C7263" s="100"/>
      <c r="D7263" s="100"/>
      <c r="E7263" s="100"/>
      <c r="F7263" s="102"/>
      <c r="G7263" s="114"/>
    </row>
    <row r="7264" spans="2:7" ht="15.75" customHeight="1" x14ac:dyDescent="0.25">
      <c r="B7264" s="100"/>
      <c r="C7264" s="100"/>
      <c r="D7264" s="100"/>
      <c r="E7264" s="100"/>
      <c r="F7264" s="102"/>
      <c r="G7264" s="114"/>
    </row>
    <row r="7265" spans="2:7" ht="15.75" customHeight="1" x14ac:dyDescent="0.25">
      <c r="B7265" s="100"/>
      <c r="C7265" s="100"/>
      <c r="D7265" s="100"/>
      <c r="E7265" s="100"/>
      <c r="F7265" s="102"/>
      <c r="G7265" s="114"/>
    </row>
    <row r="7266" spans="2:7" ht="15.75" customHeight="1" x14ac:dyDescent="0.25">
      <c r="B7266" s="100"/>
      <c r="C7266" s="100"/>
      <c r="D7266" s="100"/>
      <c r="E7266" s="100"/>
      <c r="F7266" s="102"/>
      <c r="G7266" s="114"/>
    </row>
    <row r="7267" spans="2:7" ht="15.75" customHeight="1" x14ac:dyDescent="0.25">
      <c r="B7267" s="100"/>
      <c r="C7267" s="100"/>
      <c r="D7267" s="100"/>
      <c r="E7267" s="100"/>
      <c r="F7267" s="102"/>
      <c r="G7267" s="114"/>
    </row>
    <row r="7268" spans="2:7" ht="15.75" customHeight="1" x14ac:dyDescent="0.25">
      <c r="B7268" s="100"/>
      <c r="C7268" s="100"/>
      <c r="D7268" s="100"/>
      <c r="E7268" s="100"/>
      <c r="F7268" s="102"/>
      <c r="G7268" s="114"/>
    </row>
    <row r="7269" spans="2:7" ht="15.75" customHeight="1" x14ac:dyDescent="0.25">
      <c r="B7269" s="100"/>
      <c r="C7269" s="100"/>
      <c r="D7269" s="100"/>
      <c r="E7269" s="100"/>
      <c r="F7269" s="102"/>
      <c r="G7269" s="114"/>
    </row>
    <row r="7270" spans="2:7" ht="15.75" customHeight="1" x14ac:dyDescent="0.25">
      <c r="B7270" s="100"/>
      <c r="C7270" s="100"/>
      <c r="D7270" s="100"/>
      <c r="E7270" s="100"/>
      <c r="F7270" s="102"/>
      <c r="G7270" s="114"/>
    </row>
    <row r="7271" spans="2:7" ht="15.75" customHeight="1" x14ac:dyDescent="0.25">
      <c r="B7271" s="100"/>
      <c r="C7271" s="100"/>
      <c r="D7271" s="100"/>
      <c r="E7271" s="100"/>
      <c r="F7271" s="102"/>
      <c r="G7271" s="114"/>
    </row>
    <row r="7272" spans="2:7" ht="15.75" customHeight="1" x14ac:dyDescent="0.25">
      <c r="B7272" s="100"/>
      <c r="C7272" s="100"/>
      <c r="D7272" s="100"/>
      <c r="E7272" s="100"/>
      <c r="F7272" s="102"/>
      <c r="G7272" s="114"/>
    </row>
    <row r="7273" spans="2:7" ht="15.75" customHeight="1" x14ac:dyDescent="0.25">
      <c r="B7273" s="100"/>
      <c r="C7273" s="100"/>
      <c r="D7273" s="100"/>
      <c r="E7273" s="100"/>
      <c r="F7273" s="102"/>
      <c r="G7273" s="114"/>
    </row>
    <row r="7274" spans="2:7" ht="15.75" customHeight="1" x14ac:dyDescent="0.25">
      <c r="B7274" s="100"/>
      <c r="C7274" s="100"/>
      <c r="D7274" s="100"/>
      <c r="E7274" s="100"/>
      <c r="F7274" s="102"/>
      <c r="G7274" s="114"/>
    </row>
    <row r="7275" spans="2:7" ht="15.75" customHeight="1" x14ac:dyDescent="0.25">
      <c r="B7275" s="100"/>
      <c r="C7275" s="100"/>
      <c r="D7275" s="100"/>
      <c r="E7275" s="100"/>
      <c r="F7275" s="102"/>
      <c r="G7275" s="114"/>
    </row>
    <row r="7276" spans="2:7" ht="15.75" customHeight="1" x14ac:dyDescent="0.25">
      <c r="B7276" s="100"/>
      <c r="C7276" s="100"/>
      <c r="D7276" s="100"/>
      <c r="E7276" s="100"/>
      <c r="F7276" s="102"/>
      <c r="G7276" s="114"/>
    </row>
    <row r="7277" spans="2:7" ht="15.75" customHeight="1" x14ac:dyDescent="0.25">
      <c r="B7277" s="100"/>
      <c r="C7277" s="100"/>
      <c r="D7277" s="100"/>
      <c r="E7277" s="100"/>
      <c r="F7277" s="102"/>
      <c r="G7277" s="114"/>
    </row>
    <row r="7278" spans="2:7" ht="15.75" customHeight="1" x14ac:dyDescent="0.25">
      <c r="B7278" s="100"/>
      <c r="C7278" s="100"/>
      <c r="D7278" s="100"/>
      <c r="E7278" s="100"/>
      <c r="F7278" s="102"/>
      <c r="G7278" s="114"/>
    </row>
    <row r="7279" spans="2:7" ht="15.75" customHeight="1" x14ac:dyDescent="0.25">
      <c r="B7279" s="100"/>
      <c r="C7279" s="100"/>
      <c r="D7279" s="100"/>
      <c r="E7279" s="100"/>
      <c r="F7279" s="102"/>
      <c r="G7279" s="114"/>
    </row>
    <row r="7280" spans="2:7" ht="15.75" customHeight="1" x14ac:dyDescent="0.25">
      <c r="B7280" s="100"/>
      <c r="C7280" s="100"/>
      <c r="D7280" s="100"/>
      <c r="E7280" s="100"/>
      <c r="F7280" s="102"/>
      <c r="G7280" s="114"/>
    </row>
    <row r="7281" spans="2:7" ht="15.75" customHeight="1" x14ac:dyDescent="0.25">
      <c r="B7281" s="100"/>
      <c r="C7281" s="100"/>
      <c r="D7281" s="100"/>
      <c r="E7281" s="100"/>
      <c r="F7281" s="102"/>
      <c r="G7281" s="114"/>
    </row>
    <row r="7282" spans="2:7" ht="15.75" customHeight="1" x14ac:dyDescent="0.25">
      <c r="B7282" s="100"/>
      <c r="C7282" s="100"/>
      <c r="D7282" s="100"/>
      <c r="E7282" s="100"/>
      <c r="F7282" s="102"/>
      <c r="G7282" s="114"/>
    </row>
    <row r="7283" spans="2:7" ht="15.75" customHeight="1" x14ac:dyDescent="0.25">
      <c r="B7283" s="100"/>
      <c r="C7283" s="100"/>
      <c r="D7283" s="100"/>
      <c r="E7283" s="100"/>
      <c r="F7283" s="102"/>
      <c r="G7283" s="114"/>
    </row>
    <row r="7284" spans="2:7" ht="15.75" customHeight="1" x14ac:dyDescent="0.25">
      <c r="B7284" s="100"/>
      <c r="C7284" s="100"/>
      <c r="D7284" s="100"/>
      <c r="E7284" s="100"/>
      <c r="F7284" s="102"/>
      <c r="G7284" s="114"/>
    </row>
    <row r="7285" spans="2:7" ht="15.75" customHeight="1" x14ac:dyDescent="0.25">
      <c r="B7285" s="100"/>
      <c r="C7285" s="100"/>
      <c r="D7285" s="100"/>
      <c r="E7285" s="100"/>
      <c r="F7285" s="102"/>
      <c r="G7285" s="114"/>
    </row>
    <row r="7286" spans="2:7" ht="15.75" customHeight="1" x14ac:dyDescent="0.25">
      <c r="B7286" s="100"/>
      <c r="C7286" s="100"/>
      <c r="D7286" s="100"/>
      <c r="E7286" s="100"/>
      <c r="F7286" s="102"/>
      <c r="G7286" s="114"/>
    </row>
    <row r="7287" spans="2:7" ht="15.75" customHeight="1" x14ac:dyDescent="0.25">
      <c r="B7287" s="100"/>
      <c r="C7287" s="100"/>
      <c r="D7287" s="100"/>
      <c r="E7287" s="100"/>
      <c r="F7287" s="102"/>
      <c r="G7287" s="114"/>
    </row>
    <row r="7288" spans="2:7" ht="15.75" customHeight="1" x14ac:dyDescent="0.25">
      <c r="B7288" s="100"/>
      <c r="C7288" s="100"/>
      <c r="D7288" s="100"/>
      <c r="E7288" s="100"/>
      <c r="F7288" s="102"/>
      <c r="G7288" s="114"/>
    </row>
    <row r="7289" spans="2:7" ht="15.75" customHeight="1" x14ac:dyDescent="0.25">
      <c r="B7289" s="100"/>
      <c r="C7289" s="100"/>
      <c r="D7289" s="100"/>
      <c r="E7289" s="100"/>
      <c r="F7289" s="102"/>
      <c r="G7289" s="114"/>
    </row>
    <row r="7290" spans="2:7" ht="15.75" customHeight="1" x14ac:dyDescent="0.25">
      <c r="B7290" s="100"/>
      <c r="C7290" s="100"/>
      <c r="D7290" s="100"/>
      <c r="E7290" s="100"/>
      <c r="F7290" s="102"/>
      <c r="G7290" s="114"/>
    </row>
    <row r="7291" spans="2:7" ht="15.75" customHeight="1" x14ac:dyDescent="0.25">
      <c r="B7291" s="100"/>
      <c r="C7291" s="100"/>
      <c r="D7291" s="100"/>
      <c r="E7291" s="100"/>
      <c r="F7291" s="102"/>
      <c r="G7291" s="114"/>
    </row>
    <row r="7292" spans="2:7" ht="15.75" customHeight="1" x14ac:dyDescent="0.25">
      <c r="B7292" s="100"/>
      <c r="C7292" s="100"/>
      <c r="D7292" s="100"/>
      <c r="E7292" s="100"/>
      <c r="F7292" s="102"/>
      <c r="G7292" s="114"/>
    </row>
    <row r="7293" spans="2:7" ht="15.75" customHeight="1" x14ac:dyDescent="0.25">
      <c r="B7293" s="100"/>
      <c r="C7293" s="100"/>
      <c r="D7293" s="100"/>
      <c r="E7293" s="100"/>
      <c r="F7293" s="102"/>
      <c r="G7293" s="114"/>
    </row>
    <row r="7294" spans="2:7" ht="15.75" customHeight="1" x14ac:dyDescent="0.25">
      <c r="B7294" s="100"/>
      <c r="C7294" s="100"/>
      <c r="D7294" s="100"/>
      <c r="E7294" s="100"/>
      <c r="F7294" s="102"/>
      <c r="G7294" s="114"/>
    </row>
    <row r="7295" spans="2:7" ht="15.75" customHeight="1" x14ac:dyDescent="0.25">
      <c r="B7295" s="100"/>
      <c r="C7295" s="100"/>
      <c r="D7295" s="100"/>
      <c r="E7295" s="100"/>
      <c r="F7295" s="102"/>
      <c r="G7295" s="114"/>
    </row>
    <row r="7296" spans="2:7" ht="15.75" customHeight="1" x14ac:dyDescent="0.25">
      <c r="B7296" s="100"/>
      <c r="C7296" s="100"/>
      <c r="D7296" s="100"/>
      <c r="E7296" s="100"/>
      <c r="F7296" s="102"/>
      <c r="G7296" s="114"/>
    </row>
    <row r="7297" spans="2:7" ht="15.75" customHeight="1" x14ac:dyDescent="0.25">
      <c r="B7297" s="100"/>
      <c r="C7297" s="100"/>
      <c r="D7297" s="100"/>
      <c r="E7297" s="100"/>
      <c r="F7297" s="102"/>
      <c r="G7297" s="114"/>
    </row>
    <row r="7298" spans="2:7" ht="15.75" customHeight="1" x14ac:dyDescent="0.25">
      <c r="B7298" s="100"/>
      <c r="C7298" s="100"/>
      <c r="D7298" s="100"/>
      <c r="E7298" s="100"/>
      <c r="F7298" s="102"/>
      <c r="G7298" s="114"/>
    </row>
    <row r="7299" spans="2:7" ht="15.75" customHeight="1" x14ac:dyDescent="0.25">
      <c r="B7299" s="100"/>
      <c r="C7299" s="100"/>
      <c r="D7299" s="100"/>
      <c r="E7299" s="100"/>
      <c r="F7299" s="102"/>
      <c r="G7299" s="114"/>
    </row>
    <row r="7300" spans="2:7" ht="15.75" customHeight="1" x14ac:dyDescent="0.25">
      <c r="B7300" s="100"/>
      <c r="C7300" s="100"/>
      <c r="D7300" s="100"/>
      <c r="E7300" s="100"/>
      <c r="F7300" s="102"/>
      <c r="G7300" s="114"/>
    </row>
    <row r="7301" spans="2:7" ht="15.75" customHeight="1" x14ac:dyDescent="0.25">
      <c r="B7301" s="100"/>
      <c r="C7301" s="100"/>
      <c r="D7301" s="100"/>
      <c r="E7301" s="100"/>
      <c r="F7301" s="102"/>
      <c r="G7301" s="114"/>
    </row>
    <row r="7302" spans="2:7" ht="15.75" customHeight="1" x14ac:dyDescent="0.25">
      <c r="B7302" s="100"/>
      <c r="C7302" s="100"/>
      <c r="D7302" s="100"/>
      <c r="E7302" s="100"/>
      <c r="F7302" s="102"/>
      <c r="G7302" s="114"/>
    </row>
    <row r="7303" spans="2:7" ht="15.75" customHeight="1" x14ac:dyDescent="0.25">
      <c r="B7303" s="100"/>
      <c r="C7303" s="100"/>
      <c r="D7303" s="100"/>
      <c r="E7303" s="100"/>
      <c r="F7303" s="102"/>
      <c r="G7303" s="114"/>
    </row>
    <row r="7304" spans="2:7" ht="15.75" customHeight="1" x14ac:dyDescent="0.25">
      <c r="B7304" s="100"/>
      <c r="C7304" s="100"/>
      <c r="D7304" s="100"/>
      <c r="E7304" s="100"/>
      <c r="F7304" s="102"/>
      <c r="G7304" s="114"/>
    </row>
    <row r="7305" spans="2:7" ht="15.75" customHeight="1" x14ac:dyDescent="0.25">
      <c r="B7305" s="100"/>
      <c r="C7305" s="100"/>
      <c r="D7305" s="100"/>
      <c r="E7305" s="100"/>
      <c r="F7305" s="102"/>
      <c r="G7305" s="114"/>
    </row>
    <row r="7306" spans="2:7" ht="15.75" customHeight="1" x14ac:dyDescent="0.25">
      <c r="B7306" s="100"/>
      <c r="C7306" s="100"/>
      <c r="D7306" s="100"/>
      <c r="E7306" s="100"/>
      <c r="F7306" s="102"/>
      <c r="G7306" s="114"/>
    </row>
    <row r="7307" spans="2:7" ht="15.75" customHeight="1" x14ac:dyDescent="0.25">
      <c r="B7307" s="100"/>
      <c r="C7307" s="100"/>
      <c r="D7307" s="100"/>
      <c r="E7307" s="100"/>
      <c r="F7307" s="102"/>
      <c r="G7307" s="114"/>
    </row>
    <row r="7308" spans="2:7" ht="15.75" customHeight="1" x14ac:dyDescent="0.25">
      <c r="B7308" s="100"/>
      <c r="C7308" s="100"/>
      <c r="D7308" s="100"/>
      <c r="E7308" s="100"/>
      <c r="F7308" s="102"/>
      <c r="G7308" s="114"/>
    </row>
    <row r="7309" spans="2:7" ht="15.75" customHeight="1" x14ac:dyDescent="0.25">
      <c r="B7309" s="100"/>
      <c r="C7309" s="100"/>
      <c r="D7309" s="100"/>
      <c r="E7309" s="100"/>
      <c r="F7309" s="102"/>
      <c r="G7309" s="114"/>
    </row>
    <row r="7310" spans="2:7" ht="15.75" customHeight="1" x14ac:dyDescent="0.25">
      <c r="B7310" s="100"/>
      <c r="C7310" s="100"/>
      <c r="D7310" s="100"/>
      <c r="E7310" s="100"/>
      <c r="F7310" s="102"/>
      <c r="G7310" s="114"/>
    </row>
    <row r="7311" spans="2:7" ht="15.75" customHeight="1" x14ac:dyDescent="0.25">
      <c r="B7311" s="100"/>
      <c r="C7311" s="100"/>
      <c r="D7311" s="100"/>
      <c r="E7311" s="100"/>
      <c r="F7311" s="102"/>
      <c r="G7311" s="114"/>
    </row>
    <row r="7312" spans="2:7" ht="15.75" customHeight="1" x14ac:dyDescent="0.25">
      <c r="B7312" s="100"/>
      <c r="C7312" s="100"/>
      <c r="D7312" s="100"/>
      <c r="E7312" s="100"/>
      <c r="F7312" s="102"/>
      <c r="G7312" s="114"/>
    </row>
    <row r="7313" spans="2:7" ht="15.75" customHeight="1" x14ac:dyDescent="0.25">
      <c r="B7313" s="100"/>
      <c r="C7313" s="100"/>
      <c r="D7313" s="100"/>
      <c r="E7313" s="100"/>
      <c r="F7313" s="102"/>
      <c r="G7313" s="114"/>
    </row>
    <row r="7314" spans="2:7" ht="15.75" customHeight="1" x14ac:dyDescent="0.25">
      <c r="B7314" s="100"/>
      <c r="C7314" s="100"/>
      <c r="D7314" s="100"/>
      <c r="E7314" s="100"/>
      <c r="F7314" s="102"/>
      <c r="G7314" s="114"/>
    </row>
    <row r="7315" spans="2:7" ht="15.75" customHeight="1" x14ac:dyDescent="0.25">
      <c r="B7315" s="100"/>
      <c r="C7315" s="100"/>
      <c r="D7315" s="100"/>
      <c r="E7315" s="100"/>
      <c r="F7315" s="102"/>
      <c r="G7315" s="114"/>
    </row>
    <row r="7316" spans="2:7" ht="15.75" customHeight="1" x14ac:dyDescent="0.25">
      <c r="B7316" s="100"/>
      <c r="C7316" s="100"/>
      <c r="D7316" s="100"/>
      <c r="E7316" s="100"/>
      <c r="F7316" s="102"/>
      <c r="G7316" s="114"/>
    </row>
    <row r="7317" spans="2:7" ht="15.75" customHeight="1" x14ac:dyDescent="0.25">
      <c r="B7317" s="100"/>
      <c r="C7317" s="100"/>
      <c r="D7317" s="100"/>
      <c r="E7317" s="100"/>
      <c r="F7317" s="102"/>
      <c r="G7317" s="114"/>
    </row>
    <row r="7318" spans="2:7" ht="15.75" customHeight="1" x14ac:dyDescent="0.25">
      <c r="B7318" s="100"/>
      <c r="C7318" s="100"/>
      <c r="D7318" s="100"/>
      <c r="E7318" s="100"/>
      <c r="F7318" s="102"/>
      <c r="G7318" s="114"/>
    </row>
    <row r="7319" spans="2:7" ht="15.75" customHeight="1" x14ac:dyDescent="0.25">
      <c r="B7319" s="100"/>
      <c r="C7319" s="100"/>
      <c r="D7319" s="100"/>
      <c r="E7319" s="100"/>
      <c r="F7319" s="102"/>
      <c r="G7319" s="114"/>
    </row>
    <row r="7320" spans="2:7" ht="15.75" customHeight="1" x14ac:dyDescent="0.25">
      <c r="B7320" s="100"/>
      <c r="C7320" s="100"/>
      <c r="D7320" s="100"/>
      <c r="E7320" s="100"/>
      <c r="F7320" s="102"/>
      <c r="G7320" s="114"/>
    </row>
    <row r="7321" spans="2:7" ht="15.75" customHeight="1" x14ac:dyDescent="0.25">
      <c r="B7321" s="100"/>
      <c r="C7321" s="100"/>
      <c r="D7321" s="100"/>
      <c r="E7321" s="100"/>
      <c r="F7321" s="102"/>
      <c r="G7321" s="114"/>
    </row>
    <row r="7322" spans="2:7" ht="15.75" customHeight="1" x14ac:dyDescent="0.25">
      <c r="B7322" s="100"/>
      <c r="C7322" s="100"/>
      <c r="D7322" s="100"/>
      <c r="E7322" s="100"/>
      <c r="F7322" s="102"/>
      <c r="G7322" s="114"/>
    </row>
    <row r="7323" spans="2:7" ht="15.75" customHeight="1" x14ac:dyDescent="0.25">
      <c r="B7323" s="100"/>
      <c r="C7323" s="100"/>
      <c r="D7323" s="100"/>
      <c r="E7323" s="100"/>
      <c r="F7323" s="102"/>
      <c r="G7323" s="114"/>
    </row>
    <row r="7324" spans="2:7" ht="15.75" customHeight="1" x14ac:dyDescent="0.25">
      <c r="B7324" s="100"/>
      <c r="C7324" s="100"/>
      <c r="D7324" s="100"/>
      <c r="E7324" s="100"/>
      <c r="F7324" s="102"/>
      <c r="G7324" s="114"/>
    </row>
    <row r="7325" spans="2:7" ht="15.75" customHeight="1" x14ac:dyDescent="0.25">
      <c r="B7325" s="100"/>
      <c r="C7325" s="100"/>
      <c r="D7325" s="100"/>
      <c r="E7325" s="100"/>
      <c r="F7325" s="102"/>
      <c r="G7325" s="114"/>
    </row>
    <row r="7326" spans="2:7" ht="15.75" customHeight="1" x14ac:dyDescent="0.25">
      <c r="B7326" s="100"/>
      <c r="C7326" s="100"/>
      <c r="D7326" s="100"/>
      <c r="E7326" s="100"/>
      <c r="F7326" s="102"/>
      <c r="G7326" s="114"/>
    </row>
    <row r="7327" spans="2:7" ht="15.75" customHeight="1" x14ac:dyDescent="0.25">
      <c r="B7327" s="100"/>
      <c r="C7327" s="100"/>
      <c r="D7327" s="100"/>
      <c r="E7327" s="100"/>
      <c r="F7327" s="102"/>
      <c r="G7327" s="114"/>
    </row>
    <row r="7328" spans="2:7" ht="15.75" customHeight="1" x14ac:dyDescent="0.25">
      <c r="B7328" s="100"/>
      <c r="C7328" s="100"/>
      <c r="D7328" s="100"/>
      <c r="E7328" s="100"/>
      <c r="F7328" s="102"/>
      <c r="G7328" s="114"/>
    </row>
    <row r="7329" spans="2:7" ht="15.75" customHeight="1" x14ac:dyDescent="0.25">
      <c r="B7329" s="100"/>
      <c r="C7329" s="100"/>
      <c r="D7329" s="100"/>
      <c r="E7329" s="100"/>
      <c r="F7329" s="102"/>
      <c r="G7329" s="114"/>
    </row>
    <row r="7330" spans="2:7" ht="15.75" customHeight="1" x14ac:dyDescent="0.25">
      <c r="B7330" s="100"/>
      <c r="C7330" s="100"/>
      <c r="D7330" s="100"/>
      <c r="E7330" s="100"/>
      <c r="F7330" s="102"/>
      <c r="G7330" s="114"/>
    </row>
    <row r="7331" spans="2:7" ht="15.75" customHeight="1" x14ac:dyDescent="0.25">
      <c r="B7331" s="100"/>
      <c r="C7331" s="100"/>
      <c r="D7331" s="100"/>
      <c r="E7331" s="100"/>
      <c r="F7331" s="102"/>
      <c r="G7331" s="114"/>
    </row>
    <row r="7332" spans="2:7" ht="15.75" customHeight="1" x14ac:dyDescent="0.25">
      <c r="B7332" s="100"/>
      <c r="C7332" s="100"/>
      <c r="D7332" s="100"/>
      <c r="E7332" s="100"/>
      <c r="F7332" s="102"/>
      <c r="G7332" s="114"/>
    </row>
    <row r="7333" spans="2:7" ht="15.75" customHeight="1" x14ac:dyDescent="0.25">
      <c r="B7333" s="100"/>
      <c r="C7333" s="100"/>
      <c r="D7333" s="100"/>
      <c r="E7333" s="100"/>
      <c r="F7333" s="102"/>
      <c r="G7333" s="114"/>
    </row>
    <row r="7334" spans="2:7" ht="15.75" customHeight="1" x14ac:dyDescent="0.25">
      <c r="B7334" s="100"/>
      <c r="C7334" s="100"/>
      <c r="D7334" s="100"/>
      <c r="E7334" s="100"/>
      <c r="F7334" s="102"/>
      <c r="G7334" s="114"/>
    </row>
    <row r="7335" spans="2:7" ht="15.75" customHeight="1" x14ac:dyDescent="0.25">
      <c r="B7335" s="100"/>
      <c r="C7335" s="100"/>
      <c r="D7335" s="100"/>
      <c r="E7335" s="100"/>
      <c r="F7335" s="102"/>
      <c r="G7335" s="114"/>
    </row>
    <row r="7336" spans="2:7" ht="15.75" customHeight="1" x14ac:dyDescent="0.25">
      <c r="B7336" s="100"/>
      <c r="C7336" s="100"/>
      <c r="D7336" s="100"/>
      <c r="E7336" s="100"/>
      <c r="F7336" s="102"/>
      <c r="G7336" s="114"/>
    </row>
    <row r="7337" spans="2:7" ht="15.75" customHeight="1" x14ac:dyDescent="0.25">
      <c r="B7337" s="100"/>
      <c r="C7337" s="100"/>
      <c r="D7337" s="100"/>
      <c r="E7337" s="100"/>
      <c r="F7337" s="102"/>
      <c r="G7337" s="114"/>
    </row>
    <row r="7338" spans="2:7" ht="15.75" customHeight="1" x14ac:dyDescent="0.25">
      <c r="B7338" s="100"/>
      <c r="C7338" s="100"/>
      <c r="D7338" s="100"/>
      <c r="E7338" s="100"/>
      <c r="F7338" s="102"/>
      <c r="G7338" s="114"/>
    </row>
    <row r="7339" spans="2:7" ht="15.75" customHeight="1" x14ac:dyDescent="0.25">
      <c r="B7339" s="100"/>
      <c r="C7339" s="100"/>
      <c r="D7339" s="100"/>
      <c r="E7339" s="100"/>
      <c r="F7339" s="102"/>
      <c r="G7339" s="114"/>
    </row>
    <row r="7340" spans="2:7" ht="15.75" customHeight="1" x14ac:dyDescent="0.25">
      <c r="B7340" s="100"/>
      <c r="C7340" s="100"/>
      <c r="D7340" s="100"/>
      <c r="E7340" s="100"/>
      <c r="F7340" s="102"/>
      <c r="G7340" s="114"/>
    </row>
    <row r="7341" spans="2:7" ht="15.75" customHeight="1" x14ac:dyDescent="0.25">
      <c r="B7341" s="100"/>
      <c r="C7341" s="100"/>
      <c r="D7341" s="100"/>
      <c r="E7341" s="100"/>
      <c r="F7341" s="102"/>
      <c r="G7341" s="114"/>
    </row>
    <row r="7342" spans="2:7" ht="15.75" customHeight="1" x14ac:dyDescent="0.25">
      <c r="B7342" s="100"/>
      <c r="C7342" s="100"/>
      <c r="D7342" s="100"/>
      <c r="E7342" s="100"/>
      <c r="F7342" s="102"/>
      <c r="G7342" s="114"/>
    </row>
    <row r="7343" spans="2:7" ht="15.75" customHeight="1" x14ac:dyDescent="0.25">
      <c r="B7343" s="100"/>
      <c r="C7343" s="100"/>
      <c r="D7343" s="100"/>
      <c r="E7343" s="100"/>
      <c r="F7343" s="102"/>
      <c r="G7343" s="114"/>
    </row>
    <row r="7344" spans="2:7" ht="15.75" customHeight="1" x14ac:dyDescent="0.25">
      <c r="B7344" s="100"/>
      <c r="C7344" s="100"/>
      <c r="D7344" s="100"/>
      <c r="E7344" s="100"/>
      <c r="F7344" s="102"/>
      <c r="G7344" s="114"/>
    </row>
    <row r="7345" spans="2:7" ht="15.75" customHeight="1" x14ac:dyDescent="0.25">
      <c r="B7345" s="100"/>
      <c r="C7345" s="100"/>
      <c r="D7345" s="100"/>
      <c r="E7345" s="100"/>
      <c r="F7345" s="102"/>
      <c r="G7345" s="114"/>
    </row>
    <row r="7346" spans="2:7" ht="15.75" customHeight="1" x14ac:dyDescent="0.25">
      <c r="B7346" s="100"/>
      <c r="C7346" s="100"/>
      <c r="D7346" s="100"/>
      <c r="E7346" s="100"/>
      <c r="F7346" s="102"/>
      <c r="G7346" s="114"/>
    </row>
    <row r="7347" spans="2:7" ht="15.75" customHeight="1" x14ac:dyDescent="0.25">
      <c r="B7347" s="100"/>
      <c r="C7347" s="100"/>
      <c r="D7347" s="100"/>
      <c r="E7347" s="100"/>
      <c r="F7347" s="102"/>
      <c r="G7347" s="114"/>
    </row>
    <row r="7348" spans="2:7" ht="15.75" customHeight="1" x14ac:dyDescent="0.25">
      <c r="B7348" s="100"/>
      <c r="C7348" s="100"/>
      <c r="D7348" s="100"/>
      <c r="E7348" s="100"/>
      <c r="F7348" s="102"/>
      <c r="G7348" s="114"/>
    </row>
    <row r="7349" spans="2:7" ht="15.75" customHeight="1" x14ac:dyDescent="0.25">
      <c r="B7349" s="100"/>
      <c r="C7349" s="100"/>
      <c r="D7349" s="100"/>
      <c r="E7349" s="100"/>
      <c r="F7349" s="102"/>
      <c r="G7349" s="114"/>
    </row>
    <row r="7350" spans="2:7" ht="15.75" customHeight="1" x14ac:dyDescent="0.25">
      <c r="B7350" s="100"/>
      <c r="C7350" s="100"/>
      <c r="D7350" s="100"/>
      <c r="E7350" s="100"/>
      <c r="F7350" s="102"/>
      <c r="G7350" s="114"/>
    </row>
    <row r="7351" spans="2:7" ht="15.75" customHeight="1" x14ac:dyDescent="0.25">
      <c r="B7351" s="100"/>
      <c r="C7351" s="100"/>
      <c r="D7351" s="100"/>
      <c r="E7351" s="100"/>
      <c r="F7351" s="102"/>
      <c r="G7351" s="114"/>
    </row>
    <row r="7352" spans="2:7" ht="15.75" customHeight="1" x14ac:dyDescent="0.25">
      <c r="B7352" s="100"/>
      <c r="C7352" s="100"/>
      <c r="D7352" s="100"/>
      <c r="E7352" s="100"/>
      <c r="F7352" s="102"/>
      <c r="G7352" s="114"/>
    </row>
    <row r="7353" spans="2:7" ht="15.75" customHeight="1" x14ac:dyDescent="0.25">
      <c r="B7353" s="100"/>
      <c r="C7353" s="100"/>
      <c r="D7353" s="100"/>
      <c r="E7353" s="100"/>
      <c r="F7353" s="102"/>
      <c r="G7353" s="114"/>
    </row>
    <row r="7354" spans="2:7" ht="15.75" customHeight="1" x14ac:dyDescent="0.25">
      <c r="B7354" s="100"/>
      <c r="C7354" s="100"/>
      <c r="D7354" s="100"/>
      <c r="E7354" s="100"/>
      <c r="F7354" s="102"/>
      <c r="G7354" s="114"/>
    </row>
    <row r="7355" spans="2:7" ht="15.75" customHeight="1" x14ac:dyDescent="0.25">
      <c r="B7355" s="100"/>
      <c r="C7355" s="100"/>
      <c r="D7355" s="100"/>
      <c r="E7355" s="100"/>
      <c r="F7355" s="102"/>
      <c r="G7355" s="114"/>
    </row>
    <row r="7356" spans="2:7" ht="15.75" customHeight="1" x14ac:dyDescent="0.25">
      <c r="B7356" s="100"/>
      <c r="C7356" s="100"/>
      <c r="D7356" s="100"/>
      <c r="E7356" s="100"/>
      <c r="F7356" s="102"/>
      <c r="G7356" s="114"/>
    </row>
    <row r="7357" spans="2:7" ht="15.75" customHeight="1" x14ac:dyDescent="0.25">
      <c r="B7357" s="100"/>
      <c r="C7357" s="100"/>
      <c r="D7357" s="100"/>
      <c r="E7357" s="100"/>
      <c r="F7357" s="102"/>
      <c r="G7357" s="114"/>
    </row>
    <row r="7358" spans="2:7" ht="15.75" customHeight="1" x14ac:dyDescent="0.25">
      <c r="B7358" s="100"/>
      <c r="C7358" s="100"/>
      <c r="D7358" s="100"/>
      <c r="E7358" s="100"/>
      <c r="F7358" s="102"/>
      <c r="G7358" s="114"/>
    </row>
    <row r="7359" spans="2:7" ht="15.75" customHeight="1" x14ac:dyDescent="0.25">
      <c r="B7359" s="100"/>
      <c r="C7359" s="100"/>
      <c r="D7359" s="100"/>
      <c r="E7359" s="100"/>
      <c r="F7359" s="102"/>
      <c r="G7359" s="114"/>
    </row>
    <row r="7360" spans="2:7" ht="15.75" customHeight="1" x14ac:dyDescent="0.25">
      <c r="B7360" s="100"/>
      <c r="C7360" s="100"/>
      <c r="D7360" s="100"/>
      <c r="E7360" s="100"/>
      <c r="F7360" s="102"/>
      <c r="G7360" s="114"/>
    </row>
    <row r="7361" spans="2:7" ht="15.75" customHeight="1" x14ac:dyDescent="0.25">
      <c r="B7361" s="100"/>
      <c r="C7361" s="100"/>
      <c r="D7361" s="100"/>
      <c r="E7361" s="100"/>
      <c r="F7361" s="102"/>
      <c r="G7361" s="114"/>
    </row>
    <row r="7362" spans="2:7" ht="15.75" customHeight="1" x14ac:dyDescent="0.25">
      <c r="B7362" s="100"/>
      <c r="C7362" s="100"/>
      <c r="D7362" s="100"/>
      <c r="E7362" s="100"/>
      <c r="F7362" s="102"/>
      <c r="G7362" s="114"/>
    </row>
    <row r="7363" spans="2:7" ht="15.75" customHeight="1" x14ac:dyDescent="0.25">
      <c r="B7363" s="100"/>
      <c r="C7363" s="100"/>
      <c r="D7363" s="100"/>
      <c r="E7363" s="100"/>
      <c r="F7363" s="102"/>
      <c r="G7363" s="114"/>
    </row>
    <row r="7364" spans="2:7" ht="15.75" customHeight="1" x14ac:dyDescent="0.25">
      <c r="B7364" s="100"/>
      <c r="C7364" s="100"/>
      <c r="D7364" s="100"/>
      <c r="E7364" s="100"/>
      <c r="F7364" s="102"/>
      <c r="G7364" s="114"/>
    </row>
    <row r="7365" spans="2:7" ht="15.75" customHeight="1" x14ac:dyDescent="0.25">
      <c r="B7365" s="100"/>
      <c r="C7365" s="100"/>
      <c r="D7365" s="100"/>
      <c r="E7365" s="100"/>
      <c r="F7365" s="102"/>
      <c r="G7365" s="114"/>
    </row>
    <row r="7366" spans="2:7" ht="15.75" customHeight="1" x14ac:dyDescent="0.25">
      <c r="B7366" s="100"/>
      <c r="C7366" s="100"/>
      <c r="D7366" s="100"/>
      <c r="E7366" s="100"/>
      <c r="F7366" s="102"/>
      <c r="G7366" s="114"/>
    </row>
    <row r="7367" spans="2:7" ht="15.75" customHeight="1" x14ac:dyDescent="0.25">
      <c r="B7367" s="100"/>
      <c r="C7367" s="100"/>
      <c r="D7367" s="100"/>
      <c r="E7367" s="100"/>
      <c r="F7367" s="102"/>
      <c r="G7367" s="114"/>
    </row>
    <row r="7368" spans="2:7" ht="15.75" customHeight="1" x14ac:dyDescent="0.25">
      <c r="B7368" s="100"/>
      <c r="C7368" s="100"/>
      <c r="D7368" s="100"/>
      <c r="E7368" s="100"/>
      <c r="F7368" s="102"/>
      <c r="G7368" s="114"/>
    </row>
    <row r="7369" spans="2:7" ht="15.75" customHeight="1" x14ac:dyDescent="0.25">
      <c r="B7369" s="100"/>
      <c r="C7369" s="100"/>
      <c r="D7369" s="100"/>
      <c r="E7369" s="100"/>
      <c r="F7369" s="102"/>
      <c r="G7369" s="114"/>
    </row>
    <row r="7370" spans="2:7" ht="15.75" customHeight="1" x14ac:dyDescent="0.25">
      <c r="B7370" s="100"/>
      <c r="C7370" s="100"/>
      <c r="D7370" s="100"/>
      <c r="E7370" s="100"/>
      <c r="F7370" s="102"/>
      <c r="G7370" s="114"/>
    </row>
    <row r="7371" spans="2:7" ht="15.75" customHeight="1" x14ac:dyDescent="0.25">
      <c r="B7371" s="100"/>
      <c r="C7371" s="100"/>
      <c r="D7371" s="100"/>
      <c r="E7371" s="100"/>
      <c r="F7371" s="102"/>
      <c r="G7371" s="114"/>
    </row>
    <row r="7372" spans="2:7" ht="15.75" customHeight="1" x14ac:dyDescent="0.25">
      <c r="B7372" s="100"/>
      <c r="C7372" s="100"/>
      <c r="D7372" s="100"/>
      <c r="E7372" s="100"/>
      <c r="F7372" s="102"/>
      <c r="G7372" s="114"/>
    </row>
    <row r="7373" spans="2:7" ht="15.75" customHeight="1" x14ac:dyDescent="0.25">
      <c r="B7373" s="100"/>
      <c r="C7373" s="100"/>
      <c r="D7373" s="100"/>
      <c r="E7373" s="100"/>
      <c r="F7373" s="102"/>
      <c r="G7373" s="114"/>
    </row>
    <row r="7374" spans="2:7" ht="15.75" customHeight="1" x14ac:dyDescent="0.25">
      <c r="B7374" s="100"/>
      <c r="C7374" s="100"/>
      <c r="D7374" s="100"/>
      <c r="E7374" s="100"/>
      <c r="F7374" s="102"/>
      <c r="G7374" s="114"/>
    </row>
    <row r="7375" spans="2:7" ht="15.75" customHeight="1" x14ac:dyDescent="0.25">
      <c r="B7375" s="100"/>
      <c r="C7375" s="100"/>
      <c r="D7375" s="100"/>
      <c r="E7375" s="100"/>
      <c r="F7375" s="102"/>
      <c r="G7375" s="114"/>
    </row>
    <row r="7376" spans="2:7" ht="15.75" customHeight="1" x14ac:dyDescent="0.25">
      <c r="B7376" s="100"/>
      <c r="C7376" s="100"/>
      <c r="D7376" s="100"/>
      <c r="E7376" s="100"/>
      <c r="F7376" s="102"/>
      <c r="G7376" s="114"/>
    </row>
    <row r="7377" spans="2:7" ht="15.75" customHeight="1" x14ac:dyDescent="0.25">
      <c r="B7377" s="100"/>
      <c r="C7377" s="100"/>
      <c r="D7377" s="100"/>
      <c r="E7377" s="100"/>
      <c r="F7377" s="102"/>
      <c r="G7377" s="114"/>
    </row>
    <row r="7378" spans="2:7" ht="15.75" customHeight="1" x14ac:dyDescent="0.25">
      <c r="B7378" s="100"/>
      <c r="C7378" s="100"/>
      <c r="D7378" s="100"/>
      <c r="E7378" s="100"/>
      <c r="F7378" s="102"/>
      <c r="G7378" s="114"/>
    </row>
    <row r="7379" spans="2:7" ht="15.75" customHeight="1" x14ac:dyDescent="0.25">
      <c r="B7379" s="100"/>
      <c r="C7379" s="100"/>
      <c r="D7379" s="100"/>
      <c r="E7379" s="100"/>
      <c r="F7379" s="102"/>
      <c r="G7379" s="114"/>
    </row>
    <row r="7380" spans="2:7" ht="15.75" customHeight="1" x14ac:dyDescent="0.25">
      <c r="B7380" s="100"/>
      <c r="C7380" s="100"/>
      <c r="D7380" s="100"/>
      <c r="E7380" s="100"/>
      <c r="F7380" s="102"/>
      <c r="G7380" s="114"/>
    </row>
    <row r="7381" spans="2:7" ht="15.75" customHeight="1" x14ac:dyDescent="0.25">
      <c r="B7381" s="100"/>
      <c r="C7381" s="100"/>
      <c r="D7381" s="100"/>
      <c r="E7381" s="100"/>
      <c r="F7381" s="102"/>
      <c r="G7381" s="114"/>
    </row>
    <row r="7382" spans="2:7" ht="15.75" customHeight="1" x14ac:dyDescent="0.25">
      <c r="B7382" s="100"/>
      <c r="C7382" s="100"/>
      <c r="D7382" s="100"/>
      <c r="E7382" s="100"/>
      <c r="F7382" s="102"/>
      <c r="G7382" s="114"/>
    </row>
    <row r="7383" spans="2:7" ht="15.75" customHeight="1" x14ac:dyDescent="0.25">
      <c r="B7383" s="100"/>
      <c r="C7383" s="100"/>
      <c r="D7383" s="100"/>
      <c r="E7383" s="100"/>
      <c r="F7383" s="102"/>
      <c r="G7383" s="114"/>
    </row>
    <row r="7384" spans="2:7" ht="15.75" customHeight="1" x14ac:dyDescent="0.25">
      <c r="B7384" s="100"/>
      <c r="C7384" s="100"/>
      <c r="D7384" s="100"/>
      <c r="E7384" s="100"/>
      <c r="F7384" s="102"/>
      <c r="G7384" s="114"/>
    </row>
    <row r="7385" spans="2:7" ht="15.75" customHeight="1" x14ac:dyDescent="0.25">
      <c r="B7385" s="100"/>
      <c r="C7385" s="100"/>
      <c r="D7385" s="100"/>
      <c r="E7385" s="100"/>
      <c r="F7385" s="102"/>
      <c r="G7385" s="114"/>
    </row>
    <row r="7386" spans="2:7" ht="15.75" customHeight="1" x14ac:dyDescent="0.25">
      <c r="B7386" s="100"/>
      <c r="C7386" s="100"/>
      <c r="D7386" s="100"/>
      <c r="E7386" s="100"/>
      <c r="F7386" s="102"/>
      <c r="G7386" s="114"/>
    </row>
    <row r="7387" spans="2:7" ht="15.75" customHeight="1" x14ac:dyDescent="0.25">
      <c r="B7387" s="100"/>
      <c r="C7387" s="100"/>
      <c r="D7387" s="100"/>
      <c r="E7387" s="100"/>
      <c r="F7387" s="102"/>
      <c r="G7387" s="114"/>
    </row>
    <row r="7388" spans="2:7" ht="15.75" customHeight="1" x14ac:dyDescent="0.25">
      <c r="B7388" s="100"/>
      <c r="C7388" s="100"/>
      <c r="D7388" s="100"/>
      <c r="E7388" s="100"/>
      <c r="F7388" s="102"/>
      <c r="G7388" s="114"/>
    </row>
    <row r="7389" spans="2:7" ht="15.75" customHeight="1" x14ac:dyDescent="0.25">
      <c r="B7389" s="100"/>
      <c r="C7389" s="100"/>
      <c r="D7389" s="100"/>
      <c r="E7389" s="100"/>
      <c r="F7389" s="102"/>
      <c r="G7389" s="114"/>
    </row>
    <row r="7390" spans="2:7" ht="15.75" customHeight="1" x14ac:dyDescent="0.25">
      <c r="B7390" s="100"/>
      <c r="C7390" s="100"/>
      <c r="D7390" s="100"/>
      <c r="E7390" s="100"/>
      <c r="F7390" s="102"/>
      <c r="G7390" s="114"/>
    </row>
    <row r="7391" spans="2:7" ht="15.75" customHeight="1" x14ac:dyDescent="0.25">
      <c r="B7391" s="100"/>
      <c r="C7391" s="100"/>
      <c r="D7391" s="100"/>
      <c r="E7391" s="100"/>
      <c r="F7391" s="102"/>
      <c r="G7391" s="114"/>
    </row>
    <row r="7392" spans="2:7" ht="15.75" customHeight="1" x14ac:dyDescent="0.25">
      <c r="B7392" s="100"/>
      <c r="C7392" s="100"/>
      <c r="D7392" s="100"/>
      <c r="E7392" s="100"/>
      <c r="F7392" s="102"/>
      <c r="G7392" s="114"/>
    </row>
    <row r="7393" spans="2:7" ht="15.75" customHeight="1" x14ac:dyDescent="0.25">
      <c r="B7393" s="100"/>
      <c r="C7393" s="100"/>
      <c r="D7393" s="100"/>
      <c r="E7393" s="100"/>
      <c r="F7393" s="102"/>
      <c r="G7393" s="114"/>
    </row>
    <row r="7394" spans="2:7" ht="15.75" customHeight="1" x14ac:dyDescent="0.25">
      <c r="B7394" s="100"/>
      <c r="C7394" s="100"/>
      <c r="D7394" s="100"/>
      <c r="E7394" s="100"/>
      <c r="F7394" s="102"/>
      <c r="G7394" s="114"/>
    </row>
    <row r="7395" spans="2:7" ht="15.75" customHeight="1" x14ac:dyDescent="0.25">
      <c r="B7395" s="100"/>
      <c r="C7395" s="100"/>
      <c r="D7395" s="100"/>
      <c r="E7395" s="100"/>
      <c r="F7395" s="102"/>
      <c r="G7395" s="114"/>
    </row>
    <row r="7396" spans="2:7" ht="15.75" customHeight="1" x14ac:dyDescent="0.25">
      <c r="B7396" s="100"/>
      <c r="C7396" s="100"/>
      <c r="D7396" s="100"/>
      <c r="E7396" s="100"/>
      <c r="F7396" s="102"/>
      <c r="G7396" s="114"/>
    </row>
    <row r="7397" spans="2:7" ht="15.75" customHeight="1" x14ac:dyDescent="0.25">
      <c r="B7397" s="100"/>
      <c r="C7397" s="100"/>
      <c r="D7397" s="100"/>
      <c r="E7397" s="100"/>
      <c r="F7397" s="102"/>
      <c r="G7397" s="114"/>
    </row>
    <row r="7398" spans="2:7" ht="15.75" customHeight="1" x14ac:dyDescent="0.25">
      <c r="B7398" s="100"/>
      <c r="C7398" s="100"/>
      <c r="D7398" s="100"/>
      <c r="E7398" s="100"/>
      <c r="F7398" s="102"/>
      <c r="G7398" s="114"/>
    </row>
    <row r="7399" spans="2:7" ht="15.75" customHeight="1" x14ac:dyDescent="0.25">
      <c r="B7399" s="100"/>
      <c r="C7399" s="100"/>
      <c r="D7399" s="100"/>
      <c r="E7399" s="100"/>
      <c r="F7399" s="102"/>
      <c r="G7399" s="114"/>
    </row>
    <row r="7400" spans="2:7" ht="15.75" customHeight="1" x14ac:dyDescent="0.25">
      <c r="B7400" s="100"/>
      <c r="C7400" s="100"/>
      <c r="D7400" s="100"/>
      <c r="E7400" s="100"/>
      <c r="F7400" s="102"/>
      <c r="G7400" s="114"/>
    </row>
    <row r="7401" spans="2:7" ht="15.75" customHeight="1" x14ac:dyDescent="0.25">
      <c r="B7401" s="100"/>
      <c r="C7401" s="100"/>
      <c r="D7401" s="100"/>
      <c r="E7401" s="100"/>
      <c r="F7401" s="102"/>
      <c r="G7401" s="114"/>
    </row>
    <row r="7402" spans="2:7" ht="15.75" customHeight="1" x14ac:dyDescent="0.25">
      <c r="B7402" s="100"/>
      <c r="C7402" s="100"/>
      <c r="D7402" s="100"/>
      <c r="E7402" s="100"/>
      <c r="F7402" s="102"/>
      <c r="G7402" s="114"/>
    </row>
    <row r="7403" spans="2:7" ht="15.75" customHeight="1" x14ac:dyDescent="0.25">
      <c r="B7403" s="100"/>
      <c r="C7403" s="100"/>
      <c r="D7403" s="100"/>
      <c r="E7403" s="100"/>
      <c r="F7403" s="102"/>
      <c r="G7403" s="114"/>
    </row>
    <row r="7404" spans="2:7" ht="15.75" customHeight="1" x14ac:dyDescent="0.25">
      <c r="B7404" s="100"/>
      <c r="C7404" s="100"/>
      <c r="D7404" s="100"/>
      <c r="E7404" s="100"/>
      <c r="F7404" s="102"/>
      <c r="G7404" s="114"/>
    </row>
    <row r="7405" spans="2:7" ht="15.75" customHeight="1" x14ac:dyDescent="0.25">
      <c r="B7405" s="100"/>
      <c r="C7405" s="100"/>
      <c r="D7405" s="100"/>
      <c r="E7405" s="100"/>
      <c r="F7405" s="102"/>
      <c r="G7405" s="114"/>
    </row>
    <row r="7406" spans="2:7" ht="15.75" customHeight="1" x14ac:dyDescent="0.25">
      <c r="B7406" s="100"/>
      <c r="C7406" s="100"/>
      <c r="D7406" s="100"/>
      <c r="E7406" s="100"/>
      <c r="F7406" s="102"/>
      <c r="G7406" s="114"/>
    </row>
    <row r="7407" spans="2:7" ht="15.75" customHeight="1" x14ac:dyDescent="0.25">
      <c r="B7407" s="100"/>
      <c r="C7407" s="100"/>
      <c r="D7407" s="100"/>
      <c r="E7407" s="100"/>
      <c r="F7407" s="102"/>
      <c r="G7407" s="114"/>
    </row>
    <row r="7408" spans="2:7" ht="15.75" customHeight="1" x14ac:dyDescent="0.25">
      <c r="B7408" s="100"/>
      <c r="C7408" s="100"/>
      <c r="D7408" s="100"/>
      <c r="E7408" s="100"/>
      <c r="F7408" s="102"/>
      <c r="G7408" s="114"/>
    </row>
    <row r="7409" spans="2:7" ht="15.75" customHeight="1" x14ac:dyDescent="0.25">
      <c r="B7409" s="100"/>
      <c r="C7409" s="100"/>
      <c r="D7409" s="100"/>
      <c r="E7409" s="100"/>
      <c r="F7409" s="102"/>
      <c r="G7409" s="114"/>
    </row>
    <row r="7410" spans="2:7" ht="15.75" customHeight="1" x14ac:dyDescent="0.25">
      <c r="B7410" s="100"/>
      <c r="C7410" s="100"/>
      <c r="D7410" s="100"/>
      <c r="E7410" s="100"/>
      <c r="F7410" s="102"/>
      <c r="G7410" s="114"/>
    </row>
    <row r="7411" spans="2:7" ht="15.75" customHeight="1" x14ac:dyDescent="0.25">
      <c r="B7411" s="100"/>
      <c r="C7411" s="100"/>
      <c r="D7411" s="100"/>
      <c r="E7411" s="100"/>
      <c r="F7411" s="102"/>
      <c r="G7411" s="114"/>
    </row>
    <row r="7412" spans="2:7" ht="15.75" customHeight="1" x14ac:dyDescent="0.25">
      <c r="B7412" s="100"/>
      <c r="C7412" s="100"/>
      <c r="D7412" s="100"/>
      <c r="E7412" s="100"/>
      <c r="F7412" s="102"/>
      <c r="G7412" s="114"/>
    </row>
    <row r="7413" spans="2:7" ht="15.75" customHeight="1" x14ac:dyDescent="0.25">
      <c r="B7413" s="100"/>
      <c r="C7413" s="100"/>
      <c r="D7413" s="100"/>
      <c r="E7413" s="100"/>
      <c r="F7413" s="102"/>
      <c r="G7413" s="114"/>
    </row>
    <row r="7414" spans="2:7" ht="15.75" customHeight="1" x14ac:dyDescent="0.25">
      <c r="B7414" s="100"/>
      <c r="C7414" s="100"/>
      <c r="D7414" s="100"/>
      <c r="E7414" s="100"/>
      <c r="F7414" s="102"/>
      <c r="G7414" s="114"/>
    </row>
    <row r="7415" spans="2:7" ht="15.75" customHeight="1" x14ac:dyDescent="0.25">
      <c r="B7415" s="100"/>
      <c r="C7415" s="100"/>
      <c r="D7415" s="100"/>
      <c r="E7415" s="100"/>
      <c r="F7415" s="102"/>
      <c r="G7415" s="114"/>
    </row>
    <row r="7416" spans="2:7" ht="15.75" customHeight="1" x14ac:dyDescent="0.25">
      <c r="B7416" s="100"/>
      <c r="C7416" s="100"/>
      <c r="D7416" s="100"/>
      <c r="E7416" s="100"/>
      <c r="F7416" s="102"/>
      <c r="G7416" s="114"/>
    </row>
    <row r="7417" spans="2:7" ht="15.75" customHeight="1" x14ac:dyDescent="0.25">
      <c r="B7417" s="100"/>
      <c r="C7417" s="100"/>
      <c r="D7417" s="100"/>
      <c r="E7417" s="100"/>
      <c r="F7417" s="102"/>
      <c r="G7417" s="114"/>
    </row>
    <row r="7418" spans="2:7" ht="15.75" customHeight="1" x14ac:dyDescent="0.25">
      <c r="B7418" s="100"/>
      <c r="C7418" s="100"/>
      <c r="D7418" s="100"/>
      <c r="E7418" s="100"/>
      <c r="F7418" s="102"/>
      <c r="G7418" s="114"/>
    </row>
    <row r="7419" spans="2:7" ht="15.75" customHeight="1" x14ac:dyDescent="0.25">
      <c r="B7419" s="100"/>
      <c r="C7419" s="100"/>
      <c r="D7419" s="100"/>
      <c r="E7419" s="100"/>
      <c r="F7419" s="102"/>
      <c r="G7419" s="114"/>
    </row>
    <row r="7420" spans="2:7" ht="15.75" customHeight="1" x14ac:dyDescent="0.25">
      <c r="B7420" s="100"/>
      <c r="C7420" s="100"/>
      <c r="D7420" s="100"/>
      <c r="E7420" s="100"/>
      <c r="F7420" s="102"/>
      <c r="G7420" s="114"/>
    </row>
    <row r="7421" spans="2:7" ht="15.75" customHeight="1" x14ac:dyDescent="0.25">
      <c r="B7421" s="100"/>
      <c r="C7421" s="100"/>
      <c r="D7421" s="100"/>
      <c r="E7421" s="100"/>
      <c r="F7421" s="102"/>
      <c r="G7421" s="114"/>
    </row>
    <row r="7422" spans="2:7" ht="15.75" customHeight="1" x14ac:dyDescent="0.25">
      <c r="B7422" s="100"/>
      <c r="C7422" s="100"/>
      <c r="D7422" s="100"/>
      <c r="E7422" s="100"/>
      <c r="F7422" s="102"/>
      <c r="G7422" s="114"/>
    </row>
    <row r="7423" spans="2:7" ht="15.75" customHeight="1" x14ac:dyDescent="0.25">
      <c r="B7423" s="100"/>
      <c r="C7423" s="100"/>
      <c r="D7423" s="100"/>
      <c r="E7423" s="100"/>
      <c r="F7423" s="102"/>
      <c r="G7423" s="114"/>
    </row>
    <row r="7424" spans="2:7" ht="15.75" customHeight="1" x14ac:dyDescent="0.25">
      <c r="B7424" s="100"/>
      <c r="C7424" s="100"/>
      <c r="D7424" s="100"/>
      <c r="E7424" s="100"/>
      <c r="F7424" s="102"/>
      <c r="G7424" s="114"/>
    </row>
    <row r="7425" spans="2:7" ht="15.75" customHeight="1" x14ac:dyDescent="0.25">
      <c r="B7425" s="100"/>
      <c r="C7425" s="100"/>
      <c r="D7425" s="100"/>
      <c r="E7425" s="100"/>
      <c r="F7425" s="102"/>
      <c r="G7425" s="114"/>
    </row>
    <row r="7426" spans="2:7" ht="15.75" customHeight="1" x14ac:dyDescent="0.25">
      <c r="B7426" s="100"/>
      <c r="C7426" s="100"/>
      <c r="D7426" s="100"/>
      <c r="E7426" s="100"/>
      <c r="F7426" s="102"/>
      <c r="G7426" s="114"/>
    </row>
    <row r="7427" spans="2:7" ht="15.75" customHeight="1" x14ac:dyDescent="0.25">
      <c r="B7427" s="100"/>
      <c r="C7427" s="100"/>
      <c r="D7427" s="100"/>
      <c r="E7427" s="100"/>
      <c r="F7427" s="102"/>
      <c r="G7427" s="114"/>
    </row>
    <row r="7428" spans="2:7" ht="15.75" customHeight="1" x14ac:dyDescent="0.25">
      <c r="B7428" s="100"/>
      <c r="C7428" s="100"/>
      <c r="D7428" s="100"/>
      <c r="E7428" s="100"/>
      <c r="F7428" s="102"/>
      <c r="G7428" s="114"/>
    </row>
    <row r="7429" spans="2:7" ht="15.75" customHeight="1" x14ac:dyDescent="0.25">
      <c r="B7429" s="100"/>
      <c r="C7429" s="100"/>
      <c r="D7429" s="100"/>
      <c r="E7429" s="100"/>
      <c r="F7429" s="102"/>
      <c r="G7429" s="114"/>
    </row>
    <row r="7430" spans="2:7" ht="15.75" customHeight="1" x14ac:dyDescent="0.25">
      <c r="B7430" s="100"/>
      <c r="C7430" s="100"/>
      <c r="D7430" s="100"/>
      <c r="E7430" s="100"/>
      <c r="F7430" s="102"/>
      <c r="G7430" s="114"/>
    </row>
    <row r="7431" spans="2:7" ht="15.75" customHeight="1" x14ac:dyDescent="0.25">
      <c r="B7431" s="100"/>
      <c r="C7431" s="100"/>
      <c r="D7431" s="100"/>
      <c r="E7431" s="100"/>
      <c r="F7431" s="102"/>
      <c r="G7431" s="114"/>
    </row>
    <row r="7432" spans="2:7" ht="15.75" customHeight="1" x14ac:dyDescent="0.25">
      <c r="B7432" s="100"/>
      <c r="C7432" s="100"/>
      <c r="D7432" s="100"/>
      <c r="E7432" s="100"/>
      <c r="F7432" s="102"/>
      <c r="G7432" s="114"/>
    </row>
    <row r="7433" spans="2:7" ht="15.75" customHeight="1" x14ac:dyDescent="0.25">
      <c r="B7433" s="100"/>
      <c r="C7433" s="100"/>
      <c r="D7433" s="100"/>
      <c r="E7433" s="100"/>
      <c r="F7433" s="102"/>
      <c r="G7433" s="114"/>
    </row>
    <row r="7434" spans="2:7" ht="15.75" customHeight="1" x14ac:dyDescent="0.25">
      <c r="B7434" s="100"/>
      <c r="C7434" s="100"/>
      <c r="D7434" s="100"/>
      <c r="E7434" s="100"/>
      <c r="F7434" s="102"/>
      <c r="G7434" s="114"/>
    </row>
    <row r="7435" spans="2:7" ht="15.75" customHeight="1" x14ac:dyDescent="0.25">
      <c r="B7435" s="100"/>
      <c r="C7435" s="100"/>
      <c r="D7435" s="100"/>
      <c r="E7435" s="100"/>
      <c r="F7435" s="102"/>
      <c r="G7435" s="114"/>
    </row>
    <row r="7436" spans="2:7" ht="15.75" customHeight="1" x14ac:dyDescent="0.25">
      <c r="B7436" s="100"/>
      <c r="C7436" s="100"/>
      <c r="D7436" s="100"/>
      <c r="E7436" s="100"/>
      <c r="F7436" s="102"/>
      <c r="G7436" s="114"/>
    </row>
    <row r="7437" spans="2:7" ht="15.75" customHeight="1" x14ac:dyDescent="0.25">
      <c r="B7437" s="100"/>
      <c r="C7437" s="100"/>
      <c r="D7437" s="100"/>
      <c r="E7437" s="100"/>
      <c r="F7437" s="102"/>
      <c r="G7437" s="114"/>
    </row>
    <row r="7438" spans="2:7" ht="15.75" customHeight="1" x14ac:dyDescent="0.25">
      <c r="B7438" s="100"/>
      <c r="C7438" s="100"/>
      <c r="D7438" s="100"/>
      <c r="E7438" s="100"/>
      <c r="F7438" s="102"/>
      <c r="G7438" s="114"/>
    </row>
    <row r="7439" spans="2:7" ht="15.75" customHeight="1" x14ac:dyDescent="0.25">
      <c r="B7439" s="100"/>
      <c r="C7439" s="100"/>
      <c r="D7439" s="100"/>
      <c r="E7439" s="100"/>
      <c r="F7439" s="102"/>
      <c r="G7439" s="114"/>
    </row>
    <row r="7440" spans="2:7" ht="15.75" customHeight="1" x14ac:dyDescent="0.25">
      <c r="B7440" s="100"/>
      <c r="C7440" s="100"/>
      <c r="D7440" s="100"/>
      <c r="E7440" s="100"/>
      <c r="F7440" s="102"/>
      <c r="G7440" s="114"/>
    </row>
    <row r="7441" spans="2:7" ht="15.75" customHeight="1" x14ac:dyDescent="0.25">
      <c r="B7441" s="100"/>
      <c r="C7441" s="100"/>
      <c r="D7441" s="100"/>
      <c r="E7441" s="100"/>
      <c r="F7441" s="102"/>
      <c r="G7441" s="114"/>
    </row>
    <row r="7442" spans="2:7" ht="15.75" customHeight="1" x14ac:dyDescent="0.25">
      <c r="B7442" s="100"/>
      <c r="C7442" s="100"/>
      <c r="D7442" s="100"/>
      <c r="E7442" s="100"/>
      <c r="F7442" s="102"/>
      <c r="G7442" s="114"/>
    </row>
    <row r="7443" spans="2:7" ht="15.75" customHeight="1" x14ac:dyDescent="0.25">
      <c r="B7443" s="100"/>
      <c r="C7443" s="100"/>
      <c r="D7443" s="100"/>
      <c r="E7443" s="100"/>
      <c r="F7443" s="102"/>
      <c r="G7443" s="114"/>
    </row>
    <row r="7444" spans="2:7" ht="15.75" customHeight="1" x14ac:dyDescent="0.25">
      <c r="B7444" s="100"/>
      <c r="C7444" s="100"/>
      <c r="D7444" s="100"/>
      <c r="E7444" s="100"/>
      <c r="F7444" s="102"/>
      <c r="G7444" s="114"/>
    </row>
    <row r="7445" spans="2:7" ht="15.75" customHeight="1" x14ac:dyDescent="0.25">
      <c r="B7445" s="100"/>
      <c r="C7445" s="100"/>
      <c r="D7445" s="100"/>
      <c r="E7445" s="100"/>
      <c r="F7445" s="102"/>
      <c r="G7445" s="114"/>
    </row>
    <row r="7446" spans="2:7" ht="15.75" customHeight="1" x14ac:dyDescent="0.25">
      <c r="B7446" s="100"/>
      <c r="C7446" s="100"/>
      <c r="D7446" s="100"/>
      <c r="E7446" s="100"/>
      <c r="F7446" s="102"/>
      <c r="G7446" s="114"/>
    </row>
    <row r="7447" spans="2:7" ht="15.75" customHeight="1" x14ac:dyDescent="0.25">
      <c r="B7447" s="100"/>
      <c r="C7447" s="100"/>
      <c r="D7447" s="100"/>
      <c r="E7447" s="100"/>
      <c r="F7447" s="102"/>
      <c r="G7447" s="114"/>
    </row>
    <row r="7448" spans="2:7" ht="15.75" customHeight="1" x14ac:dyDescent="0.25">
      <c r="B7448" s="100"/>
      <c r="C7448" s="100"/>
      <c r="D7448" s="100"/>
      <c r="E7448" s="100"/>
      <c r="F7448" s="102"/>
      <c r="G7448" s="114"/>
    </row>
    <row r="7449" spans="2:7" ht="15.75" customHeight="1" x14ac:dyDescent="0.25">
      <c r="B7449" s="100"/>
      <c r="C7449" s="100"/>
      <c r="D7449" s="100"/>
      <c r="E7449" s="100"/>
      <c r="F7449" s="102"/>
      <c r="G7449" s="114"/>
    </row>
    <row r="7450" spans="2:7" ht="15.75" customHeight="1" x14ac:dyDescent="0.25">
      <c r="B7450" s="100"/>
      <c r="C7450" s="100"/>
      <c r="D7450" s="100"/>
      <c r="E7450" s="100"/>
      <c r="F7450" s="102"/>
      <c r="G7450" s="114"/>
    </row>
    <row r="7451" spans="2:7" ht="15.75" customHeight="1" x14ac:dyDescent="0.25">
      <c r="B7451" s="100"/>
      <c r="C7451" s="100"/>
      <c r="D7451" s="100"/>
      <c r="E7451" s="100"/>
      <c r="F7451" s="102"/>
      <c r="G7451" s="114"/>
    </row>
    <row r="7452" spans="2:7" ht="15.75" customHeight="1" x14ac:dyDescent="0.25">
      <c r="B7452" s="100"/>
      <c r="C7452" s="100"/>
      <c r="D7452" s="100"/>
      <c r="E7452" s="100"/>
      <c r="F7452" s="102"/>
      <c r="G7452" s="114"/>
    </row>
    <row r="7453" spans="2:7" ht="15.75" customHeight="1" x14ac:dyDescent="0.25">
      <c r="B7453" s="100"/>
      <c r="C7453" s="100"/>
      <c r="D7453" s="100"/>
      <c r="E7453" s="100"/>
      <c r="F7453" s="102"/>
      <c r="G7453" s="114"/>
    </row>
    <row r="7454" spans="2:7" ht="15.75" customHeight="1" x14ac:dyDescent="0.25">
      <c r="B7454" s="100"/>
      <c r="C7454" s="100"/>
      <c r="D7454" s="100"/>
      <c r="E7454" s="100"/>
      <c r="F7454" s="102"/>
      <c r="G7454" s="114"/>
    </row>
    <row r="7455" spans="2:7" ht="15.75" customHeight="1" x14ac:dyDescent="0.25">
      <c r="B7455" s="100"/>
      <c r="C7455" s="100"/>
      <c r="D7455" s="100"/>
      <c r="E7455" s="100"/>
      <c r="F7455" s="102"/>
      <c r="G7455" s="114"/>
    </row>
    <row r="7456" spans="2:7" ht="15.75" customHeight="1" x14ac:dyDescent="0.25">
      <c r="B7456" s="100"/>
      <c r="C7456" s="100"/>
      <c r="D7456" s="100"/>
      <c r="E7456" s="100"/>
      <c r="F7456" s="102"/>
      <c r="G7456" s="114"/>
    </row>
    <row r="7457" spans="2:7" ht="15.75" customHeight="1" x14ac:dyDescent="0.25">
      <c r="B7457" s="100"/>
      <c r="C7457" s="100"/>
      <c r="D7457" s="100"/>
      <c r="E7457" s="100"/>
      <c r="F7457" s="102"/>
      <c r="G7457" s="114"/>
    </row>
    <row r="7458" spans="2:7" ht="15.75" customHeight="1" x14ac:dyDescent="0.25">
      <c r="B7458" s="100"/>
      <c r="C7458" s="100"/>
      <c r="D7458" s="100"/>
      <c r="E7458" s="100"/>
      <c r="F7458" s="102"/>
      <c r="G7458" s="114"/>
    </row>
    <row r="7459" spans="2:7" ht="15.75" customHeight="1" x14ac:dyDescent="0.25">
      <c r="B7459" s="100"/>
      <c r="C7459" s="100"/>
      <c r="D7459" s="100"/>
      <c r="E7459" s="100"/>
      <c r="F7459" s="102"/>
      <c r="G7459" s="114"/>
    </row>
    <row r="7460" spans="2:7" ht="15.75" customHeight="1" x14ac:dyDescent="0.25">
      <c r="B7460" s="100"/>
      <c r="C7460" s="100"/>
      <c r="D7460" s="100"/>
      <c r="E7460" s="100"/>
      <c r="F7460" s="102"/>
      <c r="G7460" s="114"/>
    </row>
    <row r="7461" spans="2:7" ht="15.75" customHeight="1" x14ac:dyDescent="0.25">
      <c r="B7461" s="100"/>
      <c r="C7461" s="100"/>
      <c r="D7461" s="100"/>
      <c r="E7461" s="100"/>
      <c r="F7461" s="102"/>
      <c r="G7461" s="114"/>
    </row>
    <row r="7462" spans="2:7" ht="15.75" customHeight="1" x14ac:dyDescent="0.25">
      <c r="B7462" s="100"/>
      <c r="C7462" s="100"/>
      <c r="D7462" s="100"/>
      <c r="E7462" s="100"/>
      <c r="F7462" s="102"/>
      <c r="G7462" s="114"/>
    </row>
    <row r="7463" spans="2:7" ht="15.75" customHeight="1" x14ac:dyDescent="0.25">
      <c r="B7463" s="100"/>
      <c r="C7463" s="100"/>
      <c r="D7463" s="100"/>
      <c r="E7463" s="100"/>
      <c r="F7463" s="102"/>
      <c r="G7463" s="114"/>
    </row>
    <row r="7464" spans="2:7" ht="15.75" customHeight="1" x14ac:dyDescent="0.25">
      <c r="B7464" s="100"/>
      <c r="C7464" s="100"/>
      <c r="D7464" s="100"/>
      <c r="E7464" s="100"/>
      <c r="F7464" s="102"/>
      <c r="G7464" s="114"/>
    </row>
    <row r="7465" spans="2:7" ht="15.75" customHeight="1" x14ac:dyDescent="0.25">
      <c r="B7465" s="100"/>
      <c r="C7465" s="100"/>
      <c r="D7465" s="100"/>
      <c r="E7465" s="100"/>
      <c r="F7465" s="102"/>
      <c r="G7465" s="114"/>
    </row>
    <row r="7466" spans="2:7" ht="15.75" customHeight="1" x14ac:dyDescent="0.25">
      <c r="B7466" s="100"/>
      <c r="C7466" s="100"/>
      <c r="D7466" s="100"/>
      <c r="E7466" s="100"/>
      <c r="F7466" s="102"/>
      <c r="G7466" s="114"/>
    </row>
    <row r="7467" spans="2:7" ht="15.75" customHeight="1" x14ac:dyDescent="0.25">
      <c r="B7467" s="100"/>
      <c r="C7467" s="100"/>
      <c r="D7467" s="100"/>
      <c r="E7467" s="100"/>
      <c r="F7467" s="102"/>
      <c r="G7467" s="114"/>
    </row>
    <row r="7468" spans="2:7" ht="15.75" customHeight="1" x14ac:dyDescent="0.25">
      <c r="B7468" s="100"/>
      <c r="C7468" s="100"/>
      <c r="D7468" s="100"/>
      <c r="E7468" s="100"/>
      <c r="F7468" s="102"/>
      <c r="G7468" s="114"/>
    </row>
    <row r="7469" spans="2:7" ht="15.75" customHeight="1" x14ac:dyDescent="0.25">
      <c r="B7469" s="100"/>
      <c r="C7469" s="100"/>
      <c r="D7469" s="100"/>
      <c r="E7469" s="100"/>
      <c r="F7469" s="102"/>
      <c r="G7469" s="114"/>
    </row>
    <row r="7470" spans="2:7" ht="15.75" customHeight="1" x14ac:dyDescent="0.25">
      <c r="B7470" s="100"/>
      <c r="C7470" s="100"/>
      <c r="D7470" s="100"/>
      <c r="E7470" s="100"/>
      <c r="F7470" s="102"/>
      <c r="G7470" s="114"/>
    </row>
    <row r="7471" spans="2:7" ht="15.75" customHeight="1" x14ac:dyDescent="0.25">
      <c r="B7471" s="100"/>
      <c r="C7471" s="100"/>
      <c r="D7471" s="100"/>
      <c r="E7471" s="100"/>
      <c r="F7471" s="102"/>
      <c r="G7471" s="114"/>
    </row>
    <row r="7472" spans="2:7" ht="15.75" customHeight="1" x14ac:dyDescent="0.25">
      <c r="B7472" s="100"/>
      <c r="C7472" s="100"/>
      <c r="D7472" s="100"/>
      <c r="E7472" s="100"/>
      <c r="F7472" s="102"/>
      <c r="G7472" s="114"/>
    </row>
    <row r="7473" spans="2:7" ht="15.75" customHeight="1" x14ac:dyDescent="0.25">
      <c r="B7473" s="100"/>
      <c r="C7473" s="100"/>
      <c r="D7473" s="100"/>
      <c r="E7473" s="100"/>
      <c r="F7473" s="102"/>
      <c r="G7473" s="114"/>
    </row>
    <row r="7474" spans="2:7" ht="15.75" customHeight="1" x14ac:dyDescent="0.25">
      <c r="B7474" s="100"/>
      <c r="C7474" s="100"/>
      <c r="D7474" s="100"/>
      <c r="E7474" s="100"/>
      <c r="F7474" s="102"/>
      <c r="G7474" s="114"/>
    </row>
    <row r="7475" spans="2:7" ht="15.75" customHeight="1" x14ac:dyDescent="0.25">
      <c r="B7475" s="100"/>
      <c r="C7475" s="100"/>
      <c r="D7475" s="100"/>
      <c r="E7475" s="100"/>
      <c r="F7475" s="102"/>
      <c r="G7475" s="114"/>
    </row>
    <row r="7476" spans="2:7" ht="15.75" customHeight="1" x14ac:dyDescent="0.25">
      <c r="B7476" s="100"/>
      <c r="C7476" s="100"/>
      <c r="D7476" s="100"/>
      <c r="E7476" s="100"/>
      <c r="F7476" s="102"/>
      <c r="G7476" s="114"/>
    </row>
    <row r="7477" spans="2:7" ht="15.75" customHeight="1" x14ac:dyDescent="0.25">
      <c r="B7477" s="100"/>
      <c r="C7477" s="100"/>
      <c r="D7477" s="100"/>
      <c r="E7477" s="100"/>
      <c r="F7477" s="102"/>
      <c r="G7477" s="114"/>
    </row>
    <row r="7478" spans="2:7" ht="15.75" customHeight="1" x14ac:dyDescent="0.25">
      <c r="B7478" s="100"/>
      <c r="C7478" s="100"/>
      <c r="D7478" s="100"/>
      <c r="E7478" s="100"/>
      <c r="F7478" s="102"/>
      <c r="G7478" s="114"/>
    </row>
    <row r="7479" spans="2:7" ht="15.75" customHeight="1" x14ac:dyDescent="0.25">
      <c r="B7479" s="100"/>
      <c r="C7479" s="100"/>
      <c r="D7479" s="100"/>
      <c r="E7479" s="100"/>
      <c r="F7479" s="102"/>
      <c r="G7479" s="114"/>
    </row>
    <row r="7480" spans="2:7" ht="15.75" customHeight="1" x14ac:dyDescent="0.25">
      <c r="B7480" s="100"/>
      <c r="C7480" s="100"/>
      <c r="D7480" s="100"/>
      <c r="E7480" s="100"/>
      <c r="F7480" s="102"/>
      <c r="G7480" s="114"/>
    </row>
    <row r="7481" spans="2:7" ht="15.75" customHeight="1" x14ac:dyDescent="0.25">
      <c r="B7481" s="100"/>
      <c r="C7481" s="100"/>
      <c r="D7481" s="100"/>
      <c r="E7481" s="100"/>
      <c r="F7481" s="102"/>
      <c r="G7481" s="114"/>
    </row>
    <row r="7482" spans="2:7" ht="15.75" customHeight="1" x14ac:dyDescent="0.25">
      <c r="B7482" s="100"/>
      <c r="C7482" s="100"/>
      <c r="D7482" s="100"/>
      <c r="E7482" s="100"/>
      <c r="F7482" s="102"/>
      <c r="G7482" s="114"/>
    </row>
    <row r="7483" spans="2:7" ht="15.75" customHeight="1" x14ac:dyDescent="0.25">
      <c r="B7483" s="100"/>
      <c r="C7483" s="100"/>
      <c r="D7483" s="100"/>
      <c r="E7483" s="100"/>
      <c r="F7483" s="102"/>
      <c r="G7483" s="114"/>
    </row>
    <row r="7484" spans="2:7" ht="15.75" customHeight="1" x14ac:dyDescent="0.25">
      <c r="B7484" s="100"/>
      <c r="C7484" s="100"/>
      <c r="D7484" s="100"/>
      <c r="E7484" s="100"/>
      <c r="F7484" s="102"/>
      <c r="G7484" s="114"/>
    </row>
    <row r="7485" spans="2:7" ht="15.75" customHeight="1" x14ac:dyDescent="0.25">
      <c r="B7485" s="100"/>
      <c r="C7485" s="100"/>
      <c r="D7485" s="100"/>
      <c r="E7485" s="100"/>
      <c r="F7485" s="102"/>
      <c r="G7485" s="114"/>
    </row>
    <row r="7486" spans="2:7" ht="15.75" customHeight="1" x14ac:dyDescent="0.25">
      <c r="B7486" s="100"/>
      <c r="C7486" s="100"/>
      <c r="D7486" s="100"/>
      <c r="E7486" s="100"/>
      <c r="F7486" s="102"/>
      <c r="G7486" s="114"/>
    </row>
    <row r="7487" spans="2:7" ht="15.75" customHeight="1" x14ac:dyDescent="0.25">
      <c r="B7487" s="100"/>
      <c r="C7487" s="100"/>
      <c r="D7487" s="100"/>
      <c r="E7487" s="100"/>
      <c r="F7487" s="102"/>
      <c r="G7487" s="114"/>
    </row>
    <row r="7488" spans="2:7" ht="15.75" customHeight="1" x14ac:dyDescent="0.25">
      <c r="B7488" s="100"/>
      <c r="C7488" s="100"/>
      <c r="D7488" s="100"/>
      <c r="E7488" s="100"/>
      <c r="F7488" s="102"/>
      <c r="G7488" s="114"/>
    </row>
    <row r="7489" spans="2:7" ht="15.75" customHeight="1" x14ac:dyDescent="0.25">
      <c r="B7489" s="100"/>
      <c r="C7489" s="100"/>
      <c r="D7489" s="100"/>
      <c r="E7489" s="100"/>
      <c r="F7489" s="102"/>
      <c r="G7489" s="114"/>
    </row>
    <row r="7490" spans="2:7" ht="15.75" customHeight="1" x14ac:dyDescent="0.25">
      <c r="B7490" s="100"/>
      <c r="C7490" s="100"/>
      <c r="D7490" s="100"/>
      <c r="E7490" s="100"/>
      <c r="F7490" s="102"/>
      <c r="G7490" s="114"/>
    </row>
    <row r="7491" spans="2:7" ht="15.75" customHeight="1" x14ac:dyDescent="0.25">
      <c r="B7491" s="100"/>
      <c r="C7491" s="100"/>
      <c r="D7491" s="100"/>
      <c r="E7491" s="100"/>
      <c r="F7491" s="102"/>
      <c r="G7491" s="114"/>
    </row>
    <row r="7492" spans="2:7" ht="15.75" customHeight="1" x14ac:dyDescent="0.25">
      <c r="B7492" s="100"/>
      <c r="C7492" s="100"/>
      <c r="D7492" s="100"/>
      <c r="E7492" s="100"/>
      <c r="F7492" s="102"/>
      <c r="G7492" s="114"/>
    </row>
    <row r="7493" spans="2:7" ht="15.75" customHeight="1" x14ac:dyDescent="0.25">
      <c r="B7493" s="100"/>
      <c r="C7493" s="100"/>
      <c r="D7493" s="100"/>
      <c r="E7493" s="100"/>
      <c r="F7493" s="102"/>
      <c r="G7493" s="114"/>
    </row>
    <row r="7494" spans="2:7" ht="15.75" customHeight="1" x14ac:dyDescent="0.25">
      <c r="B7494" s="100"/>
      <c r="C7494" s="100"/>
      <c r="D7494" s="100"/>
      <c r="E7494" s="100"/>
      <c r="F7494" s="102"/>
      <c r="G7494" s="114"/>
    </row>
    <row r="7495" spans="2:7" ht="15.75" customHeight="1" x14ac:dyDescent="0.25">
      <c r="B7495" s="100"/>
      <c r="C7495" s="100"/>
      <c r="D7495" s="100"/>
      <c r="E7495" s="100"/>
      <c r="F7495" s="102"/>
      <c r="G7495" s="114"/>
    </row>
    <row r="7496" spans="2:7" ht="15.75" customHeight="1" x14ac:dyDescent="0.25">
      <c r="B7496" s="100"/>
      <c r="C7496" s="100"/>
      <c r="D7496" s="100"/>
      <c r="E7496" s="100"/>
      <c r="F7496" s="102"/>
      <c r="G7496" s="114"/>
    </row>
    <row r="7497" spans="2:7" ht="15.75" customHeight="1" x14ac:dyDescent="0.25">
      <c r="B7497" s="100"/>
      <c r="C7497" s="100"/>
      <c r="D7497" s="100"/>
      <c r="E7497" s="100"/>
      <c r="F7497" s="102"/>
      <c r="G7497" s="114"/>
    </row>
    <row r="7498" spans="2:7" ht="15.75" customHeight="1" x14ac:dyDescent="0.25">
      <c r="B7498" s="100"/>
      <c r="C7498" s="100"/>
      <c r="D7498" s="100"/>
      <c r="E7498" s="100"/>
      <c r="F7498" s="102"/>
      <c r="G7498" s="114"/>
    </row>
    <row r="7499" spans="2:7" ht="15.75" customHeight="1" x14ac:dyDescent="0.25">
      <c r="B7499" s="100"/>
      <c r="C7499" s="100"/>
      <c r="D7499" s="100"/>
      <c r="E7499" s="100"/>
      <c r="F7499" s="102"/>
      <c r="G7499" s="114"/>
    </row>
    <row r="7500" spans="2:7" ht="15.75" customHeight="1" x14ac:dyDescent="0.25">
      <c r="B7500" s="100"/>
      <c r="C7500" s="100"/>
      <c r="D7500" s="100"/>
      <c r="E7500" s="100"/>
      <c r="F7500" s="102"/>
      <c r="G7500" s="114"/>
    </row>
    <row r="7501" spans="2:7" ht="15.75" customHeight="1" x14ac:dyDescent="0.25">
      <c r="B7501" s="100"/>
      <c r="C7501" s="100"/>
      <c r="D7501" s="100"/>
      <c r="E7501" s="100"/>
      <c r="F7501" s="102"/>
      <c r="G7501" s="114"/>
    </row>
    <row r="7502" spans="2:7" ht="15.75" customHeight="1" x14ac:dyDescent="0.25">
      <c r="B7502" s="100"/>
      <c r="C7502" s="100"/>
      <c r="D7502" s="100"/>
      <c r="E7502" s="100"/>
      <c r="F7502" s="102"/>
      <c r="G7502" s="114"/>
    </row>
    <row r="7503" spans="2:7" ht="15.75" customHeight="1" x14ac:dyDescent="0.25">
      <c r="B7503" s="100"/>
      <c r="C7503" s="100"/>
      <c r="D7503" s="100"/>
      <c r="E7503" s="100"/>
      <c r="F7503" s="102"/>
      <c r="G7503" s="114"/>
    </row>
    <row r="7504" spans="2:7" ht="15.75" customHeight="1" x14ac:dyDescent="0.25">
      <c r="B7504" s="100"/>
      <c r="C7504" s="100"/>
      <c r="D7504" s="100"/>
      <c r="E7504" s="100"/>
      <c r="F7504" s="102"/>
      <c r="G7504" s="114"/>
    </row>
    <row r="7505" spans="2:7" ht="15.75" customHeight="1" x14ac:dyDescent="0.25">
      <c r="B7505" s="100"/>
      <c r="C7505" s="100"/>
      <c r="D7505" s="100"/>
      <c r="E7505" s="100"/>
      <c r="F7505" s="102"/>
      <c r="G7505" s="114"/>
    </row>
    <row r="7506" spans="2:7" ht="15.75" customHeight="1" x14ac:dyDescent="0.25">
      <c r="B7506" s="100"/>
      <c r="C7506" s="100"/>
      <c r="D7506" s="100"/>
      <c r="E7506" s="100"/>
      <c r="F7506" s="102"/>
      <c r="G7506" s="114"/>
    </row>
    <row r="7507" spans="2:7" ht="15.75" customHeight="1" x14ac:dyDescent="0.25">
      <c r="B7507" s="100"/>
      <c r="C7507" s="100"/>
      <c r="D7507" s="100"/>
      <c r="E7507" s="100"/>
      <c r="F7507" s="102"/>
      <c r="G7507" s="114"/>
    </row>
    <row r="7508" spans="2:7" ht="15.75" customHeight="1" x14ac:dyDescent="0.25">
      <c r="B7508" s="100"/>
      <c r="C7508" s="100"/>
      <c r="D7508" s="100"/>
      <c r="E7508" s="100"/>
      <c r="F7508" s="102"/>
      <c r="G7508" s="114"/>
    </row>
    <row r="7509" spans="2:7" ht="15.75" customHeight="1" x14ac:dyDescent="0.25">
      <c r="B7509" s="100"/>
      <c r="C7509" s="100"/>
      <c r="D7509" s="100"/>
      <c r="E7509" s="100"/>
      <c r="F7509" s="102"/>
      <c r="G7509" s="114"/>
    </row>
    <row r="7510" spans="2:7" ht="15.75" customHeight="1" x14ac:dyDescent="0.25">
      <c r="B7510" s="100"/>
      <c r="C7510" s="100"/>
      <c r="D7510" s="100"/>
      <c r="E7510" s="100"/>
      <c r="F7510" s="102"/>
      <c r="G7510" s="114"/>
    </row>
    <row r="7511" spans="2:7" ht="15.75" customHeight="1" x14ac:dyDescent="0.25">
      <c r="B7511" s="100"/>
      <c r="C7511" s="100"/>
      <c r="D7511" s="100"/>
      <c r="E7511" s="100"/>
      <c r="F7511" s="102"/>
      <c r="G7511" s="114"/>
    </row>
    <row r="7512" spans="2:7" ht="15.75" customHeight="1" x14ac:dyDescent="0.25">
      <c r="B7512" s="100"/>
      <c r="C7512" s="100"/>
      <c r="D7512" s="100"/>
      <c r="E7512" s="100"/>
      <c r="F7512" s="102"/>
      <c r="G7512" s="114"/>
    </row>
    <row r="7513" spans="2:7" ht="15.75" customHeight="1" x14ac:dyDescent="0.25">
      <c r="B7513" s="100"/>
      <c r="C7513" s="100"/>
      <c r="D7513" s="100"/>
      <c r="E7513" s="100"/>
      <c r="F7513" s="102"/>
      <c r="G7513" s="114"/>
    </row>
    <row r="7514" spans="2:7" ht="15.75" customHeight="1" x14ac:dyDescent="0.25">
      <c r="B7514" s="100"/>
      <c r="C7514" s="100"/>
      <c r="D7514" s="100"/>
      <c r="E7514" s="100"/>
      <c r="F7514" s="102"/>
      <c r="G7514" s="114"/>
    </row>
    <row r="7515" spans="2:7" ht="15.75" customHeight="1" x14ac:dyDescent="0.25">
      <c r="B7515" s="100"/>
      <c r="C7515" s="100"/>
      <c r="D7515" s="100"/>
      <c r="E7515" s="100"/>
      <c r="F7515" s="102"/>
      <c r="G7515" s="114"/>
    </row>
    <row r="7516" spans="2:7" ht="15.75" customHeight="1" x14ac:dyDescent="0.25">
      <c r="B7516" s="100"/>
      <c r="C7516" s="100"/>
      <c r="D7516" s="100"/>
      <c r="E7516" s="100"/>
      <c r="F7516" s="102"/>
      <c r="G7516" s="114"/>
    </row>
    <row r="7517" spans="2:7" ht="15.75" customHeight="1" x14ac:dyDescent="0.25">
      <c r="B7517" s="100"/>
      <c r="C7517" s="100"/>
      <c r="D7517" s="100"/>
      <c r="E7517" s="100"/>
      <c r="F7517" s="102"/>
      <c r="G7517" s="114"/>
    </row>
    <row r="7518" spans="2:7" ht="15.75" customHeight="1" x14ac:dyDescent="0.25">
      <c r="B7518" s="100"/>
      <c r="C7518" s="100"/>
      <c r="D7518" s="100"/>
      <c r="E7518" s="100"/>
      <c r="F7518" s="102"/>
      <c r="G7518" s="114"/>
    </row>
    <row r="7519" spans="2:7" ht="15.75" customHeight="1" x14ac:dyDescent="0.25">
      <c r="B7519" s="100"/>
      <c r="C7519" s="100"/>
      <c r="D7519" s="100"/>
      <c r="E7519" s="100"/>
      <c r="F7519" s="102"/>
      <c r="G7519" s="114"/>
    </row>
    <row r="7520" spans="2:7" ht="15.75" customHeight="1" x14ac:dyDescent="0.25">
      <c r="B7520" s="100"/>
      <c r="C7520" s="100"/>
      <c r="D7520" s="100"/>
      <c r="E7520" s="100"/>
      <c r="F7520" s="102"/>
      <c r="G7520" s="114"/>
    </row>
    <row r="7521" spans="2:7" ht="15.75" customHeight="1" x14ac:dyDescent="0.25">
      <c r="B7521" s="100"/>
      <c r="C7521" s="100"/>
      <c r="D7521" s="100"/>
      <c r="E7521" s="100"/>
      <c r="F7521" s="102"/>
      <c r="G7521" s="114"/>
    </row>
    <row r="7522" spans="2:7" ht="15.75" customHeight="1" x14ac:dyDescent="0.25">
      <c r="B7522" s="100"/>
      <c r="C7522" s="100"/>
      <c r="D7522" s="100"/>
      <c r="E7522" s="100"/>
      <c r="F7522" s="102"/>
      <c r="G7522" s="114"/>
    </row>
    <row r="7523" spans="2:7" ht="15.75" customHeight="1" x14ac:dyDescent="0.25">
      <c r="B7523" s="100"/>
      <c r="C7523" s="100"/>
      <c r="D7523" s="100"/>
      <c r="E7523" s="100"/>
      <c r="F7523" s="102"/>
      <c r="G7523" s="114"/>
    </row>
    <row r="7524" spans="2:7" ht="15.75" customHeight="1" x14ac:dyDescent="0.25">
      <c r="B7524" s="100"/>
      <c r="C7524" s="100"/>
      <c r="D7524" s="100"/>
      <c r="E7524" s="100"/>
      <c r="F7524" s="102"/>
      <c r="G7524" s="114"/>
    </row>
    <row r="7525" spans="2:7" ht="15.75" customHeight="1" x14ac:dyDescent="0.25">
      <c r="B7525" s="100"/>
      <c r="C7525" s="100"/>
      <c r="D7525" s="100"/>
      <c r="E7525" s="100"/>
      <c r="F7525" s="102"/>
      <c r="G7525" s="114"/>
    </row>
    <row r="7526" spans="2:7" ht="15.75" customHeight="1" x14ac:dyDescent="0.25">
      <c r="B7526" s="100"/>
      <c r="C7526" s="100"/>
      <c r="D7526" s="100"/>
      <c r="E7526" s="100"/>
      <c r="F7526" s="102"/>
      <c r="G7526" s="114"/>
    </row>
    <row r="7527" spans="2:7" ht="15.75" customHeight="1" x14ac:dyDescent="0.25">
      <c r="B7527" s="100"/>
      <c r="C7527" s="100"/>
      <c r="D7527" s="100"/>
      <c r="E7527" s="100"/>
      <c r="F7527" s="102"/>
      <c r="G7527" s="114"/>
    </row>
    <row r="7528" spans="2:7" ht="15.75" customHeight="1" x14ac:dyDescent="0.25">
      <c r="B7528" s="100"/>
      <c r="C7528" s="100"/>
      <c r="D7528" s="100"/>
      <c r="E7528" s="100"/>
      <c r="F7528" s="102"/>
      <c r="G7528" s="114"/>
    </row>
    <row r="7529" spans="2:7" ht="15.75" customHeight="1" x14ac:dyDescent="0.25">
      <c r="B7529" s="100"/>
      <c r="C7529" s="100"/>
      <c r="D7529" s="100"/>
      <c r="E7529" s="100"/>
      <c r="F7529" s="102"/>
      <c r="G7529" s="114"/>
    </row>
    <row r="7530" spans="2:7" ht="15.75" customHeight="1" x14ac:dyDescent="0.25">
      <c r="B7530" s="100"/>
      <c r="C7530" s="100"/>
      <c r="D7530" s="100"/>
      <c r="E7530" s="100"/>
      <c r="F7530" s="102"/>
      <c r="G7530" s="114"/>
    </row>
    <row r="7531" spans="2:7" ht="15.75" customHeight="1" x14ac:dyDescent="0.25">
      <c r="B7531" s="100"/>
      <c r="C7531" s="100"/>
      <c r="D7531" s="100"/>
      <c r="E7531" s="100"/>
      <c r="F7531" s="102"/>
      <c r="G7531" s="114"/>
    </row>
    <row r="7532" spans="2:7" ht="15.75" customHeight="1" x14ac:dyDescent="0.25">
      <c r="B7532" s="100"/>
      <c r="C7532" s="100"/>
      <c r="D7532" s="100"/>
      <c r="E7532" s="100"/>
      <c r="F7532" s="102"/>
      <c r="G7532" s="114"/>
    </row>
    <row r="7533" spans="2:7" ht="15.75" customHeight="1" x14ac:dyDescent="0.25">
      <c r="B7533" s="100"/>
      <c r="C7533" s="100"/>
      <c r="D7533" s="100"/>
      <c r="E7533" s="100"/>
      <c r="F7533" s="102"/>
      <c r="G7533" s="114"/>
    </row>
    <row r="7534" spans="2:7" ht="15.75" customHeight="1" x14ac:dyDescent="0.25">
      <c r="B7534" s="100"/>
      <c r="C7534" s="100"/>
      <c r="D7534" s="100"/>
      <c r="E7534" s="100"/>
      <c r="F7534" s="102"/>
      <c r="G7534" s="114"/>
    </row>
    <row r="7535" spans="2:7" ht="15.75" customHeight="1" x14ac:dyDescent="0.25">
      <c r="B7535" s="100"/>
      <c r="C7535" s="100"/>
      <c r="D7535" s="100"/>
      <c r="E7535" s="100"/>
      <c r="F7535" s="102"/>
      <c r="G7535" s="114"/>
    </row>
    <row r="7536" spans="2:7" ht="15.75" customHeight="1" x14ac:dyDescent="0.25">
      <c r="B7536" s="100"/>
      <c r="C7536" s="100"/>
      <c r="D7536" s="100"/>
      <c r="E7536" s="100"/>
      <c r="F7536" s="102"/>
      <c r="G7536" s="114"/>
    </row>
    <row r="7537" spans="2:7" ht="15.75" customHeight="1" x14ac:dyDescent="0.25">
      <c r="B7537" s="100"/>
      <c r="C7537" s="100"/>
      <c r="D7537" s="100"/>
      <c r="E7537" s="100"/>
      <c r="F7537" s="102"/>
      <c r="G7537" s="114"/>
    </row>
    <row r="7538" spans="2:7" ht="15.75" customHeight="1" x14ac:dyDescent="0.25">
      <c r="B7538" s="100"/>
      <c r="C7538" s="100"/>
      <c r="D7538" s="100"/>
      <c r="E7538" s="100"/>
      <c r="F7538" s="102"/>
      <c r="G7538" s="114"/>
    </row>
    <row r="7539" spans="2:7" ht="15.75" customHeight="1" x14ac:dyDescent="0.25">
      <c r="B7539" s="100"/>
      <c r="C7539" s="100"/>
      <c r="D7539" s="100"/>
      <c r="E7539" s="100"/>
      <c r="F7539" s="102"/>
      <c r="G7539" s="114"/>
    </row>
    <row r="7540" spans="2:7" ht="15.75" customHeight="1" x14ac:dyDescent="0.25">
      <c r="B7540" s="100"/>
      <c r="C7540" s="100"/>
      <c r="D7540" s="100"/>
      <c r="E7540" s="100"/>
      <c r="F7540" s="102"/>
      <c r="G7540" s="114"/>
    </row>
    <row r="7541" spans="2:7" ht="15.75" customHeight="1" x14ac:dyDescent="0.25">
      <c r="B7541" s="100"/>
      <c r="C7541" s="100"/>
      <c r="D7541" s="100"/>
      <c r="E7541" s="100"/>
      <c r="F7541" s="102"/>
      <c r="G7541" s="114"/>
    </row>
    <row r="7542" spans="2:7" ht="15.75" customHeight="1" x14ac:dyDescent="0.25">
      <c r="B7542" s="100"/>
      <c r="C7542" s="100"/>
      <c r="D7542" s="100"/>
      <c r="E7542" s="100"/>
      <c r="F7542" s="102"/>
      <c r="G7542" s="114"/>
    </row>
    <row r="7543" spans="2:7" ht="15.75" customHeight="1" x14ac:dyDescent="0.25">
      <c r="B7543" s="100"/>
      <c r="C7543" s="100"/>
      <c r="D7543" s="100"/>
      <c r="E7543" s="100"/>
      <c r="F7543" s="102"/>
      <c r="G7543" s="114"/>
    </row>
    <row r="7544" spans="2:7" ht="15.75" customHeight="1" x14ac:dyDescent="0.25">
      <c r="B7544" s="100"/>
      <c r="C7544" s="100"/>
      <c r="D7544" s="100"/>
      <c r="E7544" s="100"/>
      <c r="F7544" s="102"/>
      <c r="G7544" s="114"/>
    </row>
    <row r="7545" spans="2:7" ht="15.75" customHeight="1" x14ac:dyDescent="0.25">
      <c r="B7545" s="100"/>
      <c r="C7545" s="100"/>
      <c r="D7545" s="100"/>
      <c r="E7545" s="100"/>
      <c r="F7545" s="102"/>
      <c r="G7545" s="114"/>
    </row>
    <row r="7546" spans="2:7" ht="15.75" customHeight="1" x14ac:dyDescent="0.25">
      <c r="B7546" s="100"/>
      <c r="C7546" s="100"/>
      <c r="D7546" s="100"/>
      <c r="E7546" s="100"/>
      <c r="F7546" s="102"/>
      <c r="G7546" s="114"/>
    </row>
    <row r="7547" spans="2:7" ht="15.75" customHeight="1" x14ac:dyDescent="0.25">
      <c r="B7547" s="100"/>
      <c r="C7547" s="100"/>
      <c r="D7547" s="100"/>
      <c r="E7547" s="100"/>
      <c r="F7547" s="102"/>
      <c r="G7547" s="114"/>
    </row>
    <row r="7548" spans="2:7" ht="15.75" customHeight="1" x14ac:dyDescent="0.25">
      <c r="B7548" s="100"/>
      <c r="C7548" s="100"/>
      <c r="D7548" s="100"/>
      <c r="E7548" s="100"/>
      <c r="F7548" s="102"/>
      <c r="G7548" s="114"/>
    </row>
    <row r="7549" spans="2:7" ht="15.75" customHeight="1" x14ac:dyDescent="0.25">
      <c r="B7549" s="100"/>
      <c r="C7549" s="100"/>
      <c r="D7549" s="100"/>
      <c r="E7549" s="100"/>
      <c r="F7549" s="102"/>
      <c r="G7549" s="114"/>
    </row>
    <row r="7550" spans="2:7" ht="15.75" customHeight="1" x14ac:dyDescent="0.25">
      <c r="B7550" s="100"/>
      <c r="C7550" s="100"/>
      <c r="D7550" s="100"/>
      <c r="E7550" s="100"/>
      <c r="F7550" s="102"/>
      <c r="G7550" s="114"/>
    </row>
    <row r="7551" spans="2:7" ht="15.75" customHeight="1" x14ac:dyDescent="0.25">
      <c r="B7551" s="100"/>
      <c r="C7551" s="100"/>
      <c r="D7551" s="100"/>
      <c r="E7551" s="100"/>
      <c r="F7551" s="102"/>
      <c r="G7551" s="114"/>
    </row>
    <row r="7552" spans="2:7" ht="15.75" customHeight="1" x14ac:dyDescent="0.25">
      <c r="B7552" s="100"/>
      <c r="C7552" s="100"/>
      <c r="D7552" s="100"/>
      <c r="E7552" s="100"/>
      <c r="F7552" s="102"/>
      <c r="G7552" s="114"/>
    </row>
    <row r="7553" spans="2:7" ht="15.75" customHeight="1" x14ac:dyDescent="0.25">
      <c r="B7553" s="100"/>
      <c r="C7553" s="100"/>
      <c r="D7553" s="100"/>
      <c r="E7553" s="100"/>
      <c r="F7553" s="102"/>
      <c r="G7553" s="114"/>
    </row>
    <row r="7554" spans="2:7" ht="15.75" customHeight="1" x14ac:dyDescent="0.25">
      <c r="B7554" s="100"/>
      <c r="C7554" s="100"/>
      <c r="D7554" s="100"/>
      <c r="E7554" s="100"/>
      <c r="F7554" s="102"/>
      <c r="G7554" s="114"/>
    </row>
    <row r="7555" spans="2:7" ht="15.75" customHeight="1" x14ac:dyDescent="0.25">
      <c r="B7555" s="100"/>
      <c r="C7555" s="100"/>
      <c r="D7555" s="100"/>
      <c r="E7555" s="100"/>
      <c r="F7555" s="102"/>
      <c r="G7555" s="114"/>
    </row>
    <row r="7556" spans="2:7" ht="15.75" customHeight="1" x14ac:dyDescent="0.25">
      <c r="B7556" s="100"/>
      <c r="C7556" s="100"/>
      <c r="D7556" s="100"/>
      <c r="E7556" s="100"/>
      <c r="F7556" s="102"/>
      <c r="G7556" s="114"/>
    </row>
    <row r="7557" spans="2:7" ht="15.75" customHeight="1" x14ac:dyDescent="0.25">
      <c r="B7557" s="100"/>
      <c r="C7557" s="100"/>
      <c r="D7557" s="100"/>
      <c r="E7557" s="100"/>
      <c r="F7557" s="102"/>
      <c r="G7557" s="114"/>
    </row>
    <row r="7558" spans="2:7" ht="15.75" customHeight="1" x14ac:dyDescent="0.25">
      <c r="B7558" s="100"/>
      <c r="C7558" s="100"/>
      <c r="D7558" s="100"/>
      <c r="E7558" s="100"/>
      <c r="F7558" s="102"/>
      <c r="G7558" s="114"/>
    </row>
    <row r="7559" spans="2:7" ht="15.75" customHeight="1" x14ac:dyDescent="0.25">
      <c r="B7559" s="100"/>
      <c r="C7559" s="100"/>
      <c r="D7559" s="100"/>
      <c r="E7559" s="100"/>
      <c r="F7559" s="102"/>
      <c r="G7559" s="114"/>
    </row>
    <row r="7560" spans="2:7" ht="15.75" customHeight="1" x14ac:dyDescent="0.25">
      <c r="B7560" s="100"/>
      <c r="C7560" s="100"/>
      <c r="D7560" s="100"/>
      <c r="E7560" s="100"/>
      <c r="F7560" s="102"/>
      <c r="G7560" s="114"/>
    </row>
    <row r="7561" spans="2:7" ht="15.75" customHeight="1" x14ac:dyDescent="0.25">
      <c r="B7561" s="100"/>
      <c r="C7561" s="100"/>
      <c r="D7561" s="100"/>
      <c r="E7561" s="100"/>
      <c r="F7561" s="102"/>
      <c r="G7561" s="114"/>
    </row>
    <row r="7562" spans="2:7" ht="15.75" customHeight="1" x14ac:dyDescent="0.25">
      <c r="B7562" s="100"/>
      <c r="C7562" s="100"/>
      <c r="D7562" s="100"/>
      <c r="E7562" s="100"/>
      <c r="F7562" s="102"/>
      <c r="G7562" s="114"/>
    </row>
    <row r="7563" spans="2:7" ht="15.75" customHeight="1" x14ac:dyDescent="0.25">
      <c r="B7563" s="100"/>
      <c r="C7563" s="100"/>
      <c r="D7563" s="100"/>
      <c r="E7563" s="100"/>
      <c r="F7563" s="102"/>
      <c r="G7563" s="114"/>
    </row>
    <row r="7564" spans="2:7" ht="15.75" customHeight="1" x14ac:dyDescent="0.25">
      <c r="B7564" s="100"/>
      <c r="C7564" s="100"/>
      <c r="D7564" s="100"/>
      <c r="E7564" s="100"/>
      <c r="F7564" s="102"/>
      <c r="G7564" s="114"/>
    </row>
    <row r="7565" spans="2:7" ht="15.75" customHeight="1" x14ac:dyDescent="0.25">
      <c r="B7565" s="100"/>
      <c r="C7565" s="100"/>
      <c r="D7565" s="100"/>
      <c r="E7565" s="100"/>
      <c r="F7565" s="102"/>
      <c r="G7565" s="114"/>
    </row>
    <row r="7566" spans="2:7" ht="15.75" customHeight="1" x14ac:dyDescent="0.25">
      <c r="B7566" s="100"/>
      <c r="C7566" s="100"/>
      <c r="D7566" s="100"/>
      <c r="E7566" s="100"/>
      <c r="F7566" s="102"/>
      <c r="G7566" s="114"/>
    </row>
    <row r="7567" spans="2:7" ht="15.75" customHeight="1" x14ac:dyDescent="0.25">
      <c r="B7567" s="100"/>
      <c r="C7567" s="100"/>
      <c r="D7567" s="100"/>
      <c r="E7567" s="100"/>
      <c r="F7567" s="102"/>
      <c r="G7567" s="114"/>
    </row>
    <row r="7568" spans="2:7" ht="15.75" customHeight="1" x14ac:dyDescent="0.25">
      <c r="B7568" s="100"/>
      <c r="C7568" s="100"/>
      <c r="D7568" s="100"/>
      <c r="E7568" s="100"/>
      <c r="F7568" s="102"/>
      <c r="G7568" s="114"/>
    </row>
    <row r="7569" spans="2:7" ht="15.75" customHeight="1" x14ac:dyDescent="0.25">
      <c r="B7569" s="100"/>
      <c r="C7569" s="100"/>
      <c r="D7569" s="100"/>
      <c r="E7569" s="100"/>
      <c r="F7569" s="102"/>
      <c r="G7569" s="114"/>
    </row>
    <row r="7570" spans="2:7" ht="15.75" customHeight="1" x14ac:dyDescent="0.25">
      <c r="B7570" s="100"/>
      <c r="C7570" s="100"/>
      <c r="D7570" s="100"/>
      <c r="E7570" s="100"/>
      <c r="F7570" s="102"/>
      <c r="G7570" s="114"/>
    </row>
    <row r="7571" spans="2:7" ht="15.75" customHeight="1" x14ac:dyDescent="0.25">
      <c r="B7571" s="100"/>
      <c r="C7571" s="100"/>
      <c r="D7571" s="100"/>
      <c r="E7571" s="100"/>
      <c r="F7571" s="102"/>
      <c r="G7571" s="114"/>
    </row>
    <row r="7572" spans="2:7" ht="15.75" customHeight="1" x14ac:dyDescent="0.25">
      <c r="B7572" s="100"/>
      <c r="C7572" s="100"/>
      <c r="D7572" s="100"/>
      <c r="E7572" s="100"/>
      <c r="F7572" s="102"/>
      <c r="G7572" s="114"/>
    </row>
    <row r="7573" spans="2:7" ht="15.75" customHeight="1" x14ac:dyDescent="0.25">
      <c r="B7573" s="100"/>
      <c r="C7573" s="100"/>
      <c r="D7573" s="100"/>
      <c r="E7573" s="100"/>
      <c r="F7573" s="102"/>
      <c r="G7573" s="114"/>
    </row>
    <row r="7574" spans="2:7" ht="15.75" customHeight="1" x14ac:dyDescent="0.25">
      <c r="B7574" s="100"/>
      <c r="C7574" s="100"/>
      <c r="D7574" s="100"/>
      <c r="E7574" s="100"/>
      <c r="F7574" s="102"/>
      <c r="G7574" s="114"/>
    </row>
    <row r="7575" spans="2:7" ht="15.75" customHeight="1" x14ac:dyDescent="0.25">
      <c r="B7575" s="100"/>
      <c r="C7575" s="100"/>
      <c r="D7575" s="100"/>
      <c r="E7575" s="100"/>
      <c r="F7575" s="102"/>
      <c r="G7575" s="114"/>
    </row>
    <row r="7576" spans="2:7" ht="15.75" customHeight="1" x14ac:dyDescent="0.25">
      <c r="B7576" s="100"/>
      <c r="C7576" s="100"/>
      <c r="D7576" s="100"/>
      <c r="E7576" s="100"/>
      <c r="F7576" s="102"/>
      <c r="G7576" s="114"/>
    </row>
    <row r="7577" spans="2:7" ht="15.75" customHeight="1" x14ac:dyDescent="0.25">
      <c r="B7577" s="100"/>
      <c r="C7577" s="100"/>
      <c r="D7577" s="100"/>
      <c r="E7577" s="100"/>
      <c r="F7577" s="102"/>
      <c r="G7577" s="114"/>
    </row>
    <row r="7578" spans="2:7" ht="15.75" customHeight="1" x14ac:dyDescent="0.25">
      <c r="B7578" s="100"/>
      <c r="C7578" s="100"/>
      <c r="D7578" s="100"/>
      <c r="E7578" s="100"/>
      <c r="F7578" s="102"/>
      <c r="G7578" s="114"/>
    </row>
    <row r="7579" spans="2:7" ht="15.75" customHeight="1" x14ac:dyDescent="0.25">
      <c r="B7579" s="100"/>
      <c r="C7579" s="100"/>
      <c r="D7579" s="100"/>
      <c r="E7579" s="100"/>
      <c r="F7579" s="102"/>
      <c r="G7579" s="114"/>
    </row>
    <row r="7580" spans="2:7" ht="15.75" customHeight="1" x14ac:dyDescent="0.25">
      <c r="B7580" s="100"/>
      <c r="C7580" s="100"/>
      <c r="D7580" s="100"/>
      <c r="E7580" s="100"/>
      <c r="F7580" s="102"/>
      <c r="G7580" s="114"/>
    </row>
    <row r="7581" spans="2:7" ht="15.75" customHeight="1" x14ac:dyDescent="0.25">
      <c r="B7581" s="100"/>
      <c r="C7581" s="100"/>
      <c r="D7581" s="100"/>
      <c r="E7581" s="100"/>
      <c r="F7581" s="102"/>
      <c r="G7581" s="114"/>
    </row>
    <row r="7582" spans="2:7" ht="15.75" customHeight="1" x14ac:dyDescent="0.25">
      <c r="B7582" s="100"/>
      <c r="C7582" s="100"/>
      <c r="D7582" s="100"/>
      <c r="E7582" s="100"/>
      <c r="F7582" s="102"/>
      <c r="G7582" s="114"/>
    </row>
    <row r="7583" spans="2:7" ht="15.75" customHeight="1" x14ac:dyDescent="0.25">
      <c r="B7583" s="100"/>
      <c r="C7583" s="100"/>
      <c r="D7583" s="100"/>
      <c r="E7583" s="100"/>
      <c r="F7583" s="102"/>
      <c r="G7583" s="114"/>
    </row>
    <row r="7584" spans="2:7" ht="15.75" customHeight="1" x14ac:dyDescent="0.25">
      <c r="B7584" s="100"/>
      <c r="C7584" s="100"/>
      <c r="D7584" s="100"/>
      <c r="E7584" s="100"/>
      <c r="F7584" s="102"/>
      <c r="G7584" s="114"/>
    </row>
    <row r="7585" spans="2:7" ht="15.75" customHeight="1" x14ac:dyDescent="0.25">
      <c r="B7585" s="100"/>
      <c r="C7585" s="100"/>
      <c r="D7585" s="100"/>
      <c r="E7585" s="100"/>
      <c r="F7585" s="102"/>
      <c r="G7585" s="114"/>
    </row>
    <row r="7586" spans="2:7" ht="15.75" customHeight="1" x14ac:dyDescent="0.25">
      <c r="B7586" s="100"/>
      <c r="C7586" s="100"/>
      <c r="D7586" s="100"/>
      <c r="E7586" s="100"/>
      <c r="F7586" s="102"/>
      <c r="G7586" s="114"/>
    </row>
    <row r="7587" spans="2:7" ht="15.75" customHeight="1" x14ac:dyDescent="0.25">
      <c r="B7587" s="100"/>
      <c r="C7587" s="100"/>
      <c r="D7587" s="100"/>
      <c r="E7587" s="100"/>
      <c r="F7587" s="102"/>
      <c r="G7587" s="114"/>
    </row>
    <row r="7588" spans="2:7" ht="15.75" customHeight="1" x14ac:dyDescent="0.25">
      <c r="B7588" s="100"/>
      <c r="C7588" s="100"/>
      <c r="D7588" s="100"/>
      <c r="E7588" s="100"/>
      <c r="F7588" s="102"/>
      <c r="G7588" s="114"/>
    </row>
    <row r="7589" spans="2:7" ht="15.75" customHeight="1" x14ac:dyDescent="0.25">
      <c r="B7589" s="100"/>
      <c r="C7589" s="100"/>
      <c r="D7589" s="100"/>
      <c r="E7589" s="100"/>
      <c r="F7589" s="102"/>
      <c r="G7589" s="114"/>
    </row>
    <row r="7590" spans="2:7" ht="15.75" customHeight="1" x14ac:dyDescent="0.25">
      <c r="B7590" s="100"/>
      <c r="C7590" s="100"/>
      <c r="D7590" s="100"/>
      <c r="E7590" s="100"/>
      <c r="F7590" s="102"/>
      <c r="G7590" s="114"/>
    </row>
    <row r="7591" spans="2:7" ht="15.75" customHeight="1" x14ac:dyDescent="0.25">
      <c r="B7591" s="100"/>
      <c r="C7591" s="100"/>
      <c r="D7591" s="100"/>
      <c r="E7591" s="100"/>
      <c r="F7591" s="102"/>
      <c r="G7591" s="114"/>
    </row>
    <row r="7592" spans="2:7" ht="15.75" customHeight="1" x14ac:dyDescent="0.25">
      <c r="B7592" s="100"/>
      <c r="C7592" s="100"/>
      <c r="D7592" s="100"/>
      <c r="E7592" s="100"/>
      <c r="F7592" s="102"/>
      <c r="G7592" s="114"/>
    </row>
    <row r="7593" spans="2:7" ht="15.75" customHeight="1" x14ac:dyDescent="0.25">
      <c r="B7593" s="100"/>
      <c r="C7593" s="100"/>
      <c r="D7593" s="100"/>
      <c r="E7593" s="100"/>
      <c r="F7593" s="102"/>
      <c r="G7593" s="114"/>
    </row>
    <row r="7594" spans="2:7" ht="15.75" customHeight="1" x14ac:dyDescent="0.25">
      <c r="B7594" s="100"/>
      <c r="C7594" s="100"/>
      <c r="D7594" s="100"/>
      <c r="E7594" s="100"/>
      <c r="F7594" s="102"/>
      <c r="G7594" s="114"/>
    </row>
    <row r="7595" spans="2:7" ht="15.75" customHeight="1" x14ac:dyDescent="0.25">
      <c r="B7595" s="100"/>
      <c r="C7595" s="100"/>
      <c r="D7595" s="100"/>
      <c r="E7595" s="100"/>
      <c r="F7595" s="102"/>
      <c r="G7595" s="114"/>
    </row>
    <row r="7596" spans="2:7" ht="15.75" customHeight="1" x14ac:dyDescent="0.25">
      <c r="B7596" s="100"/>
      <c r="C7596" s="100"/>
      <c r="D7596" s="100"/>
      <c r="E7596" s="100"/>
      <c r="F7596" s="102"/>
      <c r="G7596" s="114"/>
    </row>
    <row r="7597" spans="2:7" ht="15.75" customHeight="1" x14ac:dyDescent="0.25">
      <c r="B7597" s="100"/>
      <c r="C7597" s="100"/>
      <c r="D7597" s="100"/>
      <c r="E7597" s="100"/>
      <c r="F7597" s="102"/>
      <c r="G7597" s="114"/>
    </row>
    <row r="7598" spans="2:7" ht="15.75" customHeight="1" x14ac:dyDescent="0.25">
      <c r="B7598" s="100"/>
      <c r="C7598" s="100"/>
      <c r="D7598" s="100"/>
      <c r="E7598" s="100"/>
      <c r="F7598" s="102"/>
      <c r="G7598" s="114"/>
    </row>
    <row r="7599" spans="2:7" ht="15.75" customHeight="1" x14ac:dyDescent="0.25">
      <c r="B7599" s="100"/>
      <c r="C7599" s="100"/>
      <c r="D7599" s="100"/>
      <c r="E7599" s="100"/>
      <c r="F7599" s="102"/>
      <c r="G7599" s="114"/>
    </row>
    <row r="7600" spans="2:7" ht="15.75" customHeight="1" x14ac:dyDescent="0.25">
      <c r="B7600" s="100"/>
      <c r="C7600" s="100"/>
      <c r="D7600" s="100"/>
      <c r="E7600" s="100"/>
      <c r="F7600" s="102"/>
      <c r="G7600" s="114"/>
    </row>
    <row r="7601" spans="2:7" ht="15.75" customHeight="1" x14ac:dyDescent="0.25">
      <c r="B7601" s="100"/>
      <c r="C7601" s="100"/>
      <c r="D7601" s="100"/>
      <c r="E7601" s="100"/>
      <c r="F7601" s="102"/>
      <c r="G7601" s="114"/>
    </row>
    <row r="7602" spans="2:7" ht="15.75" customHeight="1" x14ac:dyDescent="0.25">
      <c r="B7602" s="100"/>
      <c r="C7602" s="100"/>
      <c r="D7602" s="100"/>
      <c r="E7602" s="100"/>
      <c r="F7602" s="102"/>
      <c r="G7602" s="114"/>
    </row>
    <row r="7603" spans="2:7" ht="15.75" customHeight="1" x14ac:dyDescent="0.25">
      <c r="B7603" s="100"/>
      <c r="C7603" s="100"/>
      <c r="D7603" s="100"/>
      <c r="E7603" s="100"/>
      <c r="F7603" s="102"/>
      <c r="G7603" s="114"/>
    </row>
    <row r="7604" spans="2:7" ht="15.75" customHeight="1" x14ac:dyDescent="0.25">
      <c r="B7604" s="100"/>
      <c r="C7604" s="100"/>
      <c r="D7604" s="100"/>
      <c r="E7604" s="100"/>
      <c r="F7604" s="102"/>
      <c r="G7604" s="114"/>
    </row>
    <row r="7605" spans="2:7" ht="15.75" customHeight="1" x14ac:dyDescent="0.25">
      <c r="B7605" s="100"/>
      <c r="C7605" s="100"/>
      <c r="D7605" s="100"/>
      <c r="E7605" s="100"/>
      <c r="F7605" s="102"/>
      <c r="G7605" s="114"/>
    </row>
    <row r="7606" spans="2:7" ht="15.75" customHeight="1" x14ac:dyDescent="0.25">
      <c r="B7606" s="100"/>
      <c r="C7606" s="100"/>
      <c r="D7606" s="100"/>
      <c r="E7606" s="100"/>
      <c r="F7606" s="102"/>
      <c r="G7606" s="114"/>
    </row>
    <row r="7607" spans="2:7" ht="15.75" customHeight="1" x14ac:dyDescent="0.25">
      <c r="B7607" s="100"/>
      <c r="C7607" s="100"/>
      <c r="D7607" s="100"/>
      <c r="E7607" s="100"/>
      <c r="F7607" s="102"/>
      <c r="G7607" s="114"/>
    </row>
    <row r="7608" spans="2:7" ht="15.75" customHeight="1" x14ac:dyDescent="0.25">
      <c r="B7608" s="100"/>
      <c r="C7608" s="100"/>
      <c r="D7608" s="100"/>
      <c r="E7608" s="100"/>
      <c r="F7608" s="102"/>
      <c r="G7608" s="114"/>
    </row>
    <row r="7609" spans="2:7" ht="15.75" customHeight="1" x14ac:dyDescent="0.25">
      <c r="B7609" s="100"/>
      <c r="C7609" s="100"/>
      <c r="D7609" s="100"/>
      <c r="E7609" s="100"/>
      <c r="F7609" s="102"/>
      <c r="G7609" s="114"/>
    </row>
    <row r="7610" spans="2:7" ht="15.75" customHeight="1" x14ac:dyDescent="0.25">
      <c r="B7610" s="100"/>
      <c r="C7610" s="100"/>
      <c r="D7610" s="100"/>
      <c r="E7610" s="100"/>
      <c r="F7610" s="102"/>
      <c r="G7610" s="114"/>
    </row>
    <row r="7611" spans="2:7" ht="15.75" customHeight="1" x14ac:dyDescent="0.25">
      <c r="B7611" s="100"/>
      <c r="C7611" s="100"/>
      <c r="D7611" s="100"/>
      <c r="E7611" s="100"/>
      <c r="F7611" s="102"/>
      <c r="G7611" s="114"/>
    </row>
    <row r="7612" spans="2:7" ht="15.75" customHeight="1" x14ac:dyDescent="0.25">
      <c r="B7612" s="100"/>
      <c r="C7612" s="100"/>
      <c r="D7612" s="100"/>
      <c r="E7612" s="100"/>
      <c r="F7612" s="102"/>
      <c r="G7612" s="114"/>
    </row>
    <row r="7613" spans="2:7" ht="15.75" customHeight="1" x14ac:dyDescent="0.25">
      <c r="B7613" s="100"/>
      <c r="C7613" s="100"/>
      <c r="D7613" s="100"/>
      <c r="E7613" s="100"/>
      <c r="F7613" s="102"/>
      <c r="G7613" s="114"/>
    </row>
    <row r="7614" spans="2:7" ht="15.75" customHeight="1" x14ac:dyDescent="0.25">
      <c r="B7614" s="100"/>
      <c r="C7614" s="100"/>
      <c r="D7614" s="100"/>
      <c r="E7614" s="100"/>
      <c r="F7614" s="102"/>
      <c r="G7614" s="114"/>
    </row>
    <row r="7615" spans="2:7" ht="15.75" customHeight="1" x14ac:dyDescent="0.25">
      <c r="B7615" s="100"/>
      <c r="C7615" s="100"/>
      <c r="D7615" s="100"/>
      <c r="E7615" s="100"/>
      <c r="F7615" s="102"/>
      <c r="G7615" s="114"/>
    </row>
    <row r="7616" spans="2:7" ht="15.75" customHeight="1" x14ac:dyDescent="0.25">
      <c r="B7616" s="100"/>
      <c r="C7616" s="100"/>
      <c r="D7616" s="100"/>
      <c r="E7616" s="100"/>
      <c r="F7616" s="102"/>
      <c r="G7616" s="114"/>
    </row>
    <row r="7617" spans="2:7" ht="15.75" customHeight="1" x14ac:dyDescent="0.25">
      <c r="B7617" s="100"/>
      <c r="C7617" s="100"/>
      <c r="D7617" s="100"/>
      <c r="E7617" s="100"/>
      <c r="F7617" s="102"/>
      <c r="G7617" s="114"/>
    </row>
    <row r="7618" spans="2:7" ht="15.75" customHeight="1" x14ac:dyDescent="0.25">
      <c r="B7618" s="100"/>
      <c r="C7618" s="100"/>
      <c r="D7618" s="100"/>
      <c r="E7618" s="100"/>
      <c r="F7618" s="102"/>
      <c r="G7618" s="114"/>
    </row>
    <row r="7619" spans="2:7" ht="15.75" customHeight="1" x14ac:dyDescent="0.25">
      <c r="B7619" s="100"/>
      <c r="C7619" s="100"/>
      <c r="D7619" s="100"/>
      <c r="E7619" s="100"/>
      <c r="F7619" s="102"/>
      <c r="G7619" s="114"/>
    </row>
    <row r="7620" spans="2:7" ht="15.75" customHeight="1" x14ac:dyDescent="0.25">
      <c r="B7620" s="100"/>
      <c r="C7620" s="100"/>
      <c r="D7620" s="100"/>
      <c r="E7620" s="100"/>
      <c r="F7620" s="102"/>
      <c r="G7620" s="114"/>
    </row>
    <row r="7621" spans="2:7" ht="15.75" customHeight="1" x14ac:dyDescent="0.25">
      <c r="B7621" s="100"/>
      <c r="C7621" s="100"/>
      <c r="D7621" s="100"/>
      <c r="E7621" s="100"/>
      <c r="F7621" s="102"/>
      <c r="G7621" s="114"/>
    </row>
    <row r="7622" spans="2:7" ht="15.75" customHeight="1" x14ac:dyDescent="0.25">
      <c r="B7622" s="100"/>
      <c r="C7622" s="100"/>
      <c r="D7622" s="100"/>
      <c r="E7622" s="100"/>
      <c r="F7622" s="102"/>
      <c r="G7622" s="114"/>
    </row>
    <row r="7623" spans="2:7" ht="15.75" customHeight="1" x14ac:dyDescent="0.25">
      <c r="B7623" s="100"/>
      <c r="C7623" s="100"/>
      <c r="D7623" s="100"/>
      <c r="E7623" s="100"/>
      <c r="F7623" s="102"/>
      <c r="G7623" s="114"/>
    </row>
    <row r="7624" spans="2:7" ht="15.75" customHeight="1" x14ac:dyDescent="0.25">
      <c r="B7624" s="100"/>
      <c r="C7624" s="100"/>
      <c r="D7624" s="100"/>
      <c r="E7624" s="100"/>
      <c r="F7624" s="102"/>
      <c r="G7624" s="114"/>
    </row>
    <row r="7625" spans="2:7" ht="15.75" customHeight="1" x14ac:dyDescent="0.25">
      <c r="B7625" s="100"/>
      <c r="C7625" s="100"/>
      <c r="D7625" s="100"/>
      <c r="E7625" s="100"/>
      <c r="F7625" s="102"/>
      <c r="G7625" s="114"/>
    </row>
    <row r="7626" spans="2:7" ht="15.75" customHeight="1" x14ac:dyDescent="0.25">
      <c r="B7626" s="100"/>
      <c r="C7626" s="100"/>
      <c r="D7626" s="100"/>
      <c r="E7626" s="100"/>
      <c r="F7626" s="102"/>
      <c r="G7626" s="114"/>
    </row>
    <row r="7627" spans="2:7" ht="15.75" customHeight="1" x14ac:dyDescent="0.25">
      <c r="B7627" s="100"/>
      <c r="C7627" s="100"/>
      <c r="D7627" s="100"/>
      <c r="E7627" s="100"/>
      <c r="F7627" s="102"/>
      <c r="G7627" s="114"/>
    </row>
    <row r="7628" spans="2:7" ht="15.75" customHeight="1" x14ac:dyDescent="0.25">
      <c r="B7628" s="100"/>
      <c r="C7628" s="100"/>
      <c r="D7628" s="100"/>
      <c r="E7628" s="100"/>
      <c r="F7628" s="102"/>
      <c r="G7628" s="114"/>
    </row>
    <row r="7629" spans="2:7" ht="15.75" customHeight="1" x14ac:dyDescent="0.25">
      <c r="B7629" s="100"/>
      <c r="C7629" s="100"/>
      <c r="D7629" s="100"/>
      <c r="E7629" s="100"/>
      <c r="F7629" s="102"/>
      <c r="G7629" s="114"/>
    </row>
    <row r="7630" spans="2:7" ht="15.75" customHeight="1" x14ac:dyDescent="0.25">
      <c r="B7630" s="100"/>
      <c r="C7630" s="100"/>
      <c r="D7630" s="100"/>
      <c r="E7630" s="100"/>
      <c r="F7630" s="102"/>
      <c r="G7630" s="114"/>
    </row>
    <row r="7631" spans="2:7" ht="15.75" customHeight="1" x14ac:dyDescent="0.25">
      <c r="B7631" s="100"/>
      <c r="C7631" s="100"/>
      <c r="D7631" s="100"/>
      <c r="E7631" s="100"/>
      <c r="F7631" s="102"/>
      <c r="G7631" s="114"/>
    </row>
    <row r="7632" spans="2:7" ht="15.75" customHeight="1" x14ac:dyDescent="0.25">
      <c r="B7632" s="100"/>
      <c r="C7632" s="100"/>
      <c r="D7632" s="100"/>
      <c r="E7632" s="100"/>
      <c r="F7632" s="102"/>
      <c r="G7632" s="114"/>
    </row>
    <row r="7633" spans="2:7" ht="15.75" customHeight="1" x14ac:dyDescent="0.25">
      <c r="B7633" s="100"/>
      <c r="C7633" s="100"/>
      <c r="D7633" s="100"/>
      <c r="E7633" s="100"/>
      <c r="F7633" s="102"/>
      <c r="G7633" s="114"/>
    </row>
    <row r="7634" spans="2:7" ht="15.75" customHeight="1" x14ac:dyDescent="0.25">
      <c r="B7634" s="100"/>
      <c r="C7634" s="100"/>
      <c r="D7634" s="100"/>
      <c r="E7634" s="100"/>
      <c r="F7634" s="102"/>
      <c r="G7634" s="114"/>
    </row>
    <row r="7635" spans="2:7" ht="15.75" customHeight="1" x14ac:dyDescent="0.25">
      <c r="B7635" s="100"/>
      <c r="C7635" s="100"/>
      <c r="D7635" s="100"/>
      <c r="E7635" s="100"/>
      <c r="F7635" s="102"/>
      <c r="G7635" s="114"/>
    </row>
    <row r="7636" spans="2:7" ht="15.75" customHeight="1" x14ac:dyDescent="0.25">
      <c r="B7636" s="100"/>
      <c r="C7636" s="100"/>
      <c r="D7636" s="100"/>
      <c r="E7636" s="100"/>
      <c r="F7636" s="102"/>
      <c r="G7636" s="114"/>
    </row>
    <row r="7637" spans="2:7" ht="15.75" customHeight="1" x14ac:dyDescent="0.25">
      <c r="B7637" s="100"/>
      <c r="C7637" s="100"/>
      <c r="D7637" s="100"/>
      <c r="E7637" s="100"/>
      <c r="F7637" s="102"/>
      <c r="G7637" s="114"/>
    </row>
    <row r="7638" spans="2:7" ht="15.75" customHeight="1" x14ac:dyDescent="0.25">
      <c r="B7638" s="100"/>
      <c r="C7638" s="100"/>
      <c r="D7638" s="100"/>
      <c r="E7638" s="100"/>
      <c r="F7638" s="102"/>
      <c r="G7638" s="114"/>
    </row>
    <row r="7639" spans="2:7" ht="15.75" customHeight="1" x14ac:dyDescent="0.25">
      <c r="B7639" s="100"/>
      <c r="C7639" s="100"/>
      <c r="D7639" s="100"/>
      <c r="E7639" s="100"/>
      <c r="F7639" s="102"/>
      <c r="G7639" s="114"/>
    </row>
    <row r="7640" spans="2:7" ht="15.75" customHeight="1" x14ac:dyDescent="0.25">
      <c r="B7640" s="100"/>
      <c r="C7640" s="100"/>
      <c r="D7640" s="100"/>
      <c r="E7640" s="100"/>
      <c r="F7640" s="102"/>
      <c r="G7640" s="114"/>
    </row>
    <row r="7641" spans="2:7" ht="15.75" customHeight="1" x14ac:dyDescent="0.25">
      <c r="B7641" s="100"/>
      <c r="C7641" s="100"/>
      <c r="D7641" s="100"/>
      <c r="E7641" s="100"/>
      <c r="F7641" s="102"/>
      <c r="G7641" s="114"/>
    </row>
    <row r="7642" spans="2:7" ht="15.75" customHeight="1" x14ac:dyDescent="0.25">
      <c r="B7642" s="100"/>
      <c r="C7642" s="100"/>
      <c r="D7642" s="100"/>
      <c r="E7642" s="100"/>
      <c r="F7642" s="102"/>
      <c r="G7642" s="114"/>
    </row>
    <row r="7643" spans="2:7" ht="15.75" customHeight="1" x14ac:dyDescent="0.25">
      <c r="B7643" s="100"/>
      <c r="C7643" s="100"/>
      <c r="D7643" s="100"/>
      <c r="E7643" s="100"/>
      <c r="F7643" s="102"/>
      <c r="G7643" s="114"/>
    </row>
    <row r="7644" spans="2:7" ht="15.75" customHeight="1" x14ac:dyDescent="0.25">
      <c r="B7644" s="100"/>
      <c r="C7644" s="100"/>
      <c r="D7644" s="100"/>
      <c r="E7644" s="100"/>
      <c r="F7644" s="102"/>
      <c r="G7644" s="114"/>
    </row>
    <row r="7645" spans="2:7" ht="15.75" customHeight="1" x14ac:dyDescent="0.25">
      <c r="B7645" s="100"/>
      <c r="C7645" s="100"/>
      <c r="D7645" s="100"/>
      <c r="E7645" s="100"/>
      <c r="F7645" s="102"/>
      <c r="G7645" s="114"/>
    </row>
    <row r="7646" spans="2:7" ht="15.75" customHeight="1" x14ac:dyDescent="0.25">
      <c r="B7646" s="100"/>
      <c r="C7646" s="100"/>
      <c r="D7646" s="100"/>
      <c r="E7646" s="100"/>
      <c r="F7646" s="102"/>
      <c r="G7646" s="114"/>
    </row>
    <row r="7647" spans="2:7" ht="15.75" customHeight="1" x14ac:dyDescent="0.25">
      <c r="B7647" s="100"/>
      <c r="C7647" s="100"/>
      <c r="D7647" s="100"/>
      <c r="E7647" s="100"/>
      <c r="F7647" s="102"/>
      <c r="G7647" s="114"/>
    </row>
    <row r="7648" spans="2:7" ht="15.75" customHeight="1" x14ac:dyDescent="0.25">
      <c r="B7648" s="100"/>
      <c r="C7648" s="100"/>
      <c r="D7648" s="100"/>
      <c r="E7648" s="100"/>
      <c r="F7648" s="102"/>
      <c r="G7648" s="114"/>
    </row>
    <row r="7649" spans="2:7" ht="15.75" customHeight="1" x14ac:dyDescent="0.25">
      <c r="B7649" s="100"/>
      <c r="C7649" s="100"/>
      <c r="D7649" s="100"/>
      <c r="E7649" s="100"/>
      <c r="F7649" s="102"/>
      <c r="G7649" s="114"/>
    </row>
    <row r="7650" spans="2:7" ht="15.75" customHeight="1" x14ac:dyDescent="0.25">
      <c r="B7650" s="100"/>
      <c r="C7650" s="100"/>
      <c r="D7650" s="100"/>
      <c r="E7650" s="100"/>
      <c r="F7650" s="102"/>
      <c r="G7650" s="114"/>
    </row>
    <row r="7651" spans="2:7" ht="15.75" customHeight="1" x14ac:dyDescent="0.25">
      <c r="B7651" s="100"/>
      <c r="C7651" s="100"/>
      <c r="D7651" s="100"/>
      <c r="E7651" s="100"/>
      <c r="F7651" s="102"/>
      <c r="G7651" s="114"/>
    </row>
    <row r="7652" spans="2:7" ht="15.75" customHeight="1" x14ac:dyDescent="0.25">
      <c r="B7652" s="100"/>
      <c r="C7652" s="100"/>
      <c r="D7652" s="100"/>
      <c r="E7652" s="100"/>
      <c r="F7652" s="102"/>
      <c r="G7652" s="114"/>
    </row>
    <row r="7653" spans="2:7" ht="15.75" customHeight="1" x14ac:dyDescent="0.25">
      <c r="B7653" s="100"/>
      <c r="C7653" s="100"/>
      <c r="D7653" s="100"/>
      <c r="E7653" s="100"/>
      <c r="F7653" s="102"/>
      <c r="G7653" s="114"/>
    </row>
    <row r="7654" spans="2:7" ht="15.75" customHeight="1" x14ac:dyDescent="0.25">
      <c r="B7654" s="100"/>
      <c r="C7654" s="100"/>
      <c r="D7654" s="100"/>
      <c r="E7654" s="100"/>
      <c r="F7654" s="102"/>
      <c r="G7654" s="114"/>
    </row>
    <row r="7655" spans="2:7" ht="15.75" customHeight="1" x14ac:dyDescent="0.25">
      <c r="B7655" s="100"/>
      <c r="C7655" s="100"/>
      <c r="D7655" s="100"/>
      <c r="E7655" s="100"/>
      <c r="F7655" s="102"/>
      <c r="G7655" s="114"/>
    </row>
    <row r="7656" spans="2:7" ht="15.75" customHeight="1" x14ac:dyDescent="0.25">
      <c r="B7656" s="100"/>
      <c r="C7656" s="100"/>
      <c r="D7656" s="100"/>
      <c r="E7656" s="100"/>
      <c r="F7656" s="102"/>
      <c r="G7656" s="114"/>
    </row>
    <row r="7657" spans="2:7" ht="15.75" customHeight="1" x14ac:dyDescent="0.25">
      <c r="B7657" s="100"/>
      <c r="C7657" s="100"/>
      <c r="D7657" s="100"/>
      <c r="E7657" s="100"/>
      <c r="F7657" s="102"/>
      <c r="G7657" s="114"/>
    </row>
    <row r="7658" spans="2:7" ht="15.75" customHeight="1" x14ac:dyDescent="0.25">
      <c r="B7658" s="100"/>
      <c r="C7658" s="100"/>
      <c r="D7658" s="100"/>
      <c r="E7658" s="100"/>
      <c r="F7658" s="102"/>
      <c r="G7658" s="114"/>
    </row>
    <row r="7659" spans="2:7" ht="15.75" customHeight="1" x14ac:dyDescent="0.25">
      <c r="B7659" s="100"/>
      <c r="C7659" s="100"/>
      <c r="D7659" s="100"/>
      <c r="E7659" s="100"/>
      <c r="F7659" s="102"/>
      <c r="G7659" s="114"/>
    </row>
    <row r="7660" spans="2:7" ht="15.75" customHeight="1" x14ac:dyDescent="0.25">
      <c r="B7660" s="100"/>
      <c r="C7660" s="100"/>
      <c r="D7660" s="100"/>
      <c r="E7660" s="100"/>
      <c r="F7660" s="102"/>
      <c r="G7660" s="114"/>
    </row>
    <row r="7661" spans="2:7" ht="15.75" customHeight="1" x14ac:dyDescent="0.25">
      <c r="B7661" s="100"/>
      <c r="C7661" s="100"/>
      <c r="D7661" s="100"/>
      <c r="E7661" s="100"/>
      <c r="F7661" s="102"/>
      <c r="G7661" s="114"/>
    </row>
    <row r="7662" spans="2:7" ht="15.75" customHeight="1" x14ac:dyDescent="0.25">
      <c r="B7662" s="100"/>
      <c r="C7662" s="100"/>
      <c r="D7662" s="100"/>
      <c r="E7662" s="100"/>
      <c r="F7662" s="102"/>
      <c r="G7662" s="114"/>
    </row>
    <row r="7663" spans="2:7" ht="15.75" customHeight="1" x14ac:dyDescent="0.25">
      <c r="B7663" s="100"/>
      <c r="C7663" s="100"/>
      <c r="D7663" s="100"/>
      <c r="E7663" s="100"/>
      <c r="F7663" s="102"/>
      <c r="G7663" s="114"/>
    </row>
    <row r="7664" spans="2:7" ht="15.75" customHeight="1" x14ac:dyDescent="0.25">
      <c r="B7664" s="100"/>
      <c r="C7664" s="100"/>
      <c r="D7664" s="100"/>
      <c r="E7664" s="100"/>
      <c r="F7664" s="102"/>
      <c r="G7664" s="114"/>
    </row>
    <row r="7665" spans="2:7" ht="15.75" customHeight="1" x14ac:dyDescent="0.25">
      <c r="B7665" s="100"/>
      <c r="C7665" s="100"/>
      <c r="D7665" s="100"/>
      <c r="E7665" s="100"/>
      <c r="F7665" s="102"/>
      <c r="G7665" s="114"/>
    </row>
    <row r="7666" spans="2:7" ht="15.75" customHeight="1" x14ac:dyDescent="0.25">
      <c r="B7666" s="100"/>
      <c r="C7666" s="100"/>
      <c r="D7666" s="100"/>
      <c r="E7666" s="100"/>
      <c r="F7666" s="102"/>
      <c r="G7666" s="114"/>
    </row>
    <row r="7667" spans="2:7" ht="15.75" customHeight="1" x14ac:dyDescent="0.25">
      <c r="B7667" s="100"/>
      <c r="C7667" s="100"/>
      <c r="D7667" s="100"/>
      <c r="E7667" s="100"/>
      <c r="F7667" s="102"/>
      <c r="G7667" s="114"/>
    </row>
    <row r="7668" spans="2:7" ht="15.75" customHeight="1" x14ac:dyDescent="0.25">
      <c r="B7668" s="100"/>
      <c r="C7668" s="100"/>
      <c r="D7668" s="100"/>
      <c r="E7668" s="100"/>
      <c r="F7668" s="102"/>
      <c r="G7668" s="114"/>
    </row>
    <row r="7669" spans="2:7" ht="15.75" customHeight="1" x14ac:dyDescent="0.25">
      <c r="B7669" s="100"/>
      <c r="C7669" s="100"/>
      <c r="D7669" s="100"/>
      <c r="E7669" s="100"/>
      <c r="F7669" s="102"/>
      <c r="G7669" s="114"/>
    </row>
    <row r="7670" spans="2:7" ht="15.75" customHeight="1" x14ac:dyDescent="0.25">
      <c r="B7670" s="100"/>
      <c r="C7670" s="100"/>
      <c r="D7670" s="100"/>
      <c r="E7670" s="100"/>
      <c r="F7670" s="102"/>
      <c r="G7670" s="114"/>
    </row>
    <row r="7671" spans="2:7" ht="15.75" customHeight="1" x14ac:dyDescent="0.25">
      <c r="B7671" s="100"/>
      <c r="C7671" s="100"/>
      <c r="D7671" s="100"/>
      <c r="E7671" s="100"/>
      <c r="F7671" s="102"/>
      <c r="G7671" s="114"/>
    </row>
    <row r="7672" spans="2:7" ht="15.75" customHeight="1" x14ac:dyDescent="0.25">
      <c r="B7672" s="100"/>
      <c r="C7672" s="100"/>
      <c r="D7672" s="100"/>
      <c r="E7672" s="100"/>
      <c r="F7672" s="102"/>
      <c r="G7672" s="114"/>
    </row>
    <row r="7673" spans="2:7" ht="15.75" customHeight="1" x14ac:dyDescent="0.25">
      <c r="B7673" s="100"/>
      <c r="C7673" s="100"/>
      <c r="D7673" s="100"/>
      <c r="E7673" s="100"/>
      <c r="F7673" s="102"/>
      <c r="G7673" s="114"/>
    </row>
    <row r="7674" spans="2:7" ht="15.75" customHeight="1" x14ac:dyDescent="0.25">
      <c r="B7674" s="100"/>
      <c r="C7674" s="100"/>
      <c r="D7674" s="100"/>
      <c r="E7674" s="100"/>
      <c r="F7674" s="102"/>
      <c r="G7674" s="114"/>
    </row>
    <row r="7675" spans="2:7" ht="15.75" customHeight="1" x14ac:dyDescent="0.25">
      <c r="B7675" s="100"/>
      <c r="C7675" s="100"/>
      <c r="D7675" s="100"/>
      <c r="E7675" s="100"/>
      <c r="F7675" s="102"/>
      <c r="G7675" s="114"/>
    </row>
    <row r="7676" spans="2:7" ht="15.75" customHeight="1" x14ac:dyDescent="0.25">
      <c r="B7676" s="100"/>
      <c r="C7676" s="100"/>
      <c r="D7676" s="100"/>
      <c r="E7676" s="100"/>
      <c r="F7676" s="102"/>
      <c r="G7676" s="114"/>
    </row>
    <row r="7677" spans="2:7" ht="15.75" customHeight="1" x14ac:dyDescent="0.25">
      <c r="B7677" s="100"/>
      <c r="C7677" s="100"/>
      <c r="D7677" s="100"/>
      <c r="E7677" s="100"/>
      <c r="F7677" s="102"/>
      <c r="G7677" s="114"/>
    </row>
    <row r="7678" spans="2:7" ht="15.75" customHeight="1" x14ac:dyDescent="0.25">
      <c r="B7678" s="100"/>
      <c r="C7678" s="100"/>
      <c r="D7678" s="100"/>
      <c r="E7678" s="100"/>
      <c r="F7678" s="102"/>
      <c r="G7678" s="114"/>
    </row>
    <row r="7679" spans="2:7" ht="15.75" customHeight="1" x14ac:dyDescent="0.25">
      <c r="B7679" s="100"/>
      <c r="C7679" s="100"/>
      <c r="D7679" s="100"/>
      <c r="E7679" s="100"/>
      <c r="F7679" s="102"/>
      <c r="G7679" s="114"/>
    </row>
    <row r="7680" spans="2:7" ht="15.75" customHeight="1" x14ac:dyDescent="0.25">
      <c r="B7680" s="100"/>
      <c r="C7680" s="100"/>
      <c r="D7680" s="100"/>
      <c r="E7680" s="100"/>
      <c r="F7680" s="102"/>
      <c r="G7680" s="114"/>
    </row>
    <row r="7681" spans="2:7" ht="15.75" customHeight="1" x14ac:dyDescent="0.25">
      <c r="B7681" s="100"/>
      <c r="C7681" s="100"/>
      <c r="D7681" s="100"/>
      <c r="E7681" s="100"/>
      <c r="F7681" s="102"/>
      <c r="G7681" s="114"/>
    </row>
    <row r="7682" spans="2:7" ht="15.75" customHeight="1" x14ac:dyDescent="0.25">
      <c r="B7682" s="100"/>
      <c r="C7682" s="100"/>
      <c r="D7682" s="100"/>
      <c r="E7682" s="100"/>
      <c r="F7682" s="102"/>
      <c r="G7682" s="114"/>
    </row>
    <row r="7683" spans="2:7" ht="15.75" customHeight="1" x14ac:dyDescent="0.25">
      <c r="B7683" s="100"/>
      <c r="C7683" s="100"/>
      <c r="D7683" s="100"/>
      <c r="E7683" s="100"/>
      <c r="F7683" s="102"/>
      <c r="G7683" s="114"/>
    </row>
    <row r="7684" spans="2:7" ht="15.75" customHeight="1" x14ac:dyDescent="0.25">
      <c r="B7684" s="100"/>
      <c r="C7684" s="100"/>
      <c r="D7684" s="100"/>
      <c r="E7684" s="100"/>
      <c r="F7684" s="102"/>
      <c r="G7684" s="114"/>
    </row>
    <row r="7685" spans="2:7" ht="15.75" customHeight="1" x14ac:dyDescent="0.25">
      <c r="B7685" s="100"/>
      <c r="C7685" s="100"/>
      <c r="D7685" s="100"/>
      <c r="E7685" s="100"/>
      <c r="F7685" s="102"/>
      <c r="G7685" s="114"/>
    </row>
    <row r="7686" spans="2:7" ht="15.75" customHeight="1" x14ac:dyDescent="0.25">
      <c r="B7686" s="100"/>
      <c r="C7686" s="100"/>
      <c r="D7686" s="100"/>
      <c r="E7686" s="100"/>
      <c r="F7686" s="102"/>
      <c r="G7686" s="114"/>
    </row>
    <row r="7687" spans="2:7" ht="15.75" customHeight="1" x14ac:dyDescent="0.25">
      <c r="B7687" s="100"/>
      <c r="C7687" s="100"/>
      <c r="D7687" s="100"/>
      <c r="E7687" s="100"/>
      <c r="F7687" s="102"/>
      <c r="G7687" s="114"/>
    </row>
    <row r="7688" spans="2:7" ht="15.75" customHeight="1" x14ac:dyDescent="0.25">
      <c r="B7688" s="100"/>
      <c r="C7688" s="100"/>
      <c r="D7688" s="100"/>
      <c r="E7688" s="100"/>
      <c r="F7688" s="102"/>
      <c r="G7688" s="114"/>
    </row>
    <row r="7689" spans="2:7" ht="15.75" customHeight="1" x14ac:dyDescent="0.25">
      <c r="B7689" s="100"/>
      <c r="C7689" s="100"/>
      <c r="D7689" s="100"/>
      <c r="E7689" s="100"/>
      <c r="F7689" s="102"/>
      <c r="G7689" s="114"/>
    </row>
    <row r="7690" spans="2:7" ht="15.75" customHeight="1" x14ac:dyDescent="0.25">
      <c r="B7690" s="100"/>
      <c r="C7690" s="100"/>
      <c r="D7690" s="100"/>
      <c r="E7690" s="100"/>
      <c r="F7690" s="102"/>
      <c r="G7690" s="114"/>
    </row>
    <row r="7691" spans="2:7" ht="15.75" customHeight="1" x14ac:dyDescent="0.25">
      <c r="B7691" s="100"/>
      <c r="C7691" s="100"/>
      <c r="D7691" s="100"/>
      <c r="E7691" s="100"/>
      <c r="F7691" s="102"/>
      <c r="G7691" s="114"/>
    </row>
    <row r="7692" spans="2:7" ht="15.75" customHeight="1" x14ac:dyDescent="0.25">
      <c r="B7692" s="100"/>
      <c r="C7692" s="100"/>
      <c r="D7692" s="100"/>
      <c r="E7692" s="100"/>
      <c r="F7692" s="102"/>
      <c r="G7692" s="114"/>
    </row>
    <row r="7693" spans="2:7" ht="15.75" customHeight="1" x14ac:dyDescent="0.25">
      <c r="B7693" s="100"/>
      <c r="C7693" s="100"/>
      <c r="D7693" s="100"/>
      <c r="E7693" s="100"/>
      <c r="F7693" s="102"/>
      <c r="G7693" s="114"/>
    </row>
    <row r="7694" spans="2:7" ht="15.75" customHeight="1" x14ac:dyDescent="0.25">
      <c r="B7694" s="100"/>
      <c r="C7694" s="100"/>
      <c r="D7694" s="100"/>
      <c r="E7694" s="100"/>
      <c r="F7694" s="102"/>
      <c r="G7694" s="114"/>
    </row>
    <row r="7695" spans="2:7" ht="15.75" customHeight="1" x14ac:dyDescent="0.25">
      <c r="B7695" s="100"/>
      <c r="C7695" s="100"/>
      <c r="D7695" s="100"/>
      <c r="E7695" s="100"/>
      <c r="F7695" s="102"/>
      <c r="G7695" s="114"/>
    </row>
    <row r="7696" spans="2:7" ht="15.75" customHeight="1" x14ac:dyDescent="0.25">
      <c r="B7696" s="100"/>
      <c r="C7696" s="100"/>
      <c r="D7696" s="100"/>
      <c r="E7696" s="100"/>
      <c r="F7696" s="102"/>
      <c r="G7696" s="114"/>
    </row>
    <row r="7697" spans="2:7" ht="15.75" customHeight="1" x14ac:dyDescent="0.25">
      <c r="B7697" s="100"/>
      <c r="C7697" s="100"/>
      <c r="D7697" s="100"/>
      <c r="E7697" s="100"/>
      <c r="F7697" s="102"/>
      <c r="G7697" s="114"/>
    </row>
    <row r="7698" spans="2:7" ht="15.75" customHeight="1" x14ac:dyDescent="0.25">
      <c r="B7698" s="100"/>
      <c r="C7698" s="100"/>
      <c r="D7698" s="100"/>
      <c r="E7698" s="100"/>
      <c r="F7698" s="102"/>
      <c r="G7698" s="114"/>
    </row>
    <row r="7699" spans="2:7" ht="15.75" customHeight="1" x14ac:dyDescent="0.25">
      <c r="B7699" s="100"/>
      <c r="C7699" s="100"/>
      <c r="D7699" s="100"/>
      <c r="E7699" s="100"/>
      <c r="F7699" s="102"/>
      <c r="G7699" s="114"/>
    </row>
    <row r="7700" spans="2:7" ht="15.75" customHeight="1" x14ac:dyDescent="0.25">
      <c r="B7700" s="100"/>
      <c r="C7700" s="100"/>
      <c r="D7700" s="100"/>
      <c r="E7700" s="100"/>
      <c r="F7700" s="102"/>
      <c r="G7700" s="114"/>
    </row>
    <row r="7701" spans="2:7" ht="15.75" customHeight="1" x14ac:dyDescent="0.25">
      <c r="B7701" s="100"/>
      <c r="C7701" s="100"/>
      <c r="D7701" s="100"/>
      <c r="E7701" s="100"/>
      <c r="F7701" s="102"/>
      <c r="G7701" s="114"/>
    </row>
    <row r="7702" spans="2:7" ht="15.75" customHeight="1" x14ac:dyDescent="0.25">
      <c r="B7702" s="100"/>
      <c r="C7702" s="100"/>
      <c r="D7702" s="100"/>
      <c r="E7702" s="100"/>
      <c r="F7702" s="102"/>
      <c r="G7702" s="114"/>
    </row>
    <row r="7703" spans="2:7" ht="15.75" customHeight="1" x14ac:dyDescent="0.25">
      <c r="B7703" s="100"/>
      <c r="C7703" s="100"/>
      <c r="D7703" s="100"/>
      <c r="E7703" s="100"/>
      <c r="F7703" s="102"/>
      <c r="G7703" s="114"/>
    </row>
    <row r="7704" spans="2:7" ht="15.75" customHeight="1" x14ac:dyDescent="0.25">
      <c r="B7704" s="100"/>
      <c r="C7704" s="100"/>
      <c r="D7704" s="100"/>
      <c r="E7704" s="100"/>
      <c r="F7704" s="102"/>
      <c r="G7704" s="114"/>
    </row>
    <row r="7705" spans="2:7" ht="15.75" customHeight="1" x14ac:dyDescent="0.25">
      <c r="B7705" s="100"/>
      <c r="C7705" s="100"/>
      <c r="D7705" s="100"/>
      <c r="E7705" s="100"/>
      <c r="F7705" s="102"/>
      <c r="G7705" s="114"/>
    </row>
    <row r="7706" spans="2:7" ht="15.75" customHeight="1" x14ac:dyDescent="0.25">
      <c r="B7706" s="100"/>
      <c r="C7706" s="100"/>
      <c r="D7706" s="100"/>
      <c r="E7706" s="100"/>
      <c r="F7706" s="102"/>
      <c r="G7706" s="114"/>
    </row>
    <row r="7707" spans="2:7" ht="15.75" customHeight="1" x14ac:dyDescent="0.25">
      <c r="B7707" s="100"/>
      <c r="C7707" s="100"/>
      <c r="D7707" s="100"/>
      <c r="E7707" s="100"/>
      <c r="F7707" s="102"/>
      <c r="G7707" s="114"/>
    </row>
    <row r="7708" spans="2:7" ht="15.75" customHeight="1" x14ac:dyDescent="0.25">
      <c r="B7708" s="100"/>
      <c r="C7708" s="100"/>
      <c r="D7708" s="100"/>
      <c r="E7708" s="100"/>
      <c r="F7708" s="102"/>
      <c r="G7708" s="114"/>
    </row>
    <row r="7709" spans="2:7" ht="15.75" customHeight="1" x14ac:dyDescent="0.25">
      <c r="B7709" s="100"/>
      <c r="C7709" s="100"/>
      <c r="D7709" s="100"/>
      <c r="E7709" s="100"/>
      <c r="F7709" s="102"/>
      <c r="G7709" s="114"/>
    </row>
    <row r="7710" spans="2:7" ht="15.75" customHeight="1" x14ac:dyDescent="0.25">
      <c r="B7710" s="100"/>
      <c r="C7710" s="100"/>
      <c r="D7710" s="100"/>
      <c r="E7710" s="100"/>
      <c r="F7710" s="102"/>
      <c r="G7710" s="114"/>
    </row>
    <row r="7711" spans="2:7" ht="15.75" customHeight="1" x14ac:dyDescent="0.25">
      <c r="B7711" s="100"/>
      <c r="C7711" s="100"/>
      <c r="D7711" s="100"/>
      <c r="E7711" s="100"/>
      <c r="F7711" s="102"/>
      <c r="G7711" s="114"/>
    </row>
    <row r="7712" spans="2:7" ht="15.75" customHeight="1" x14ac:dyDescent="0.25">
      <c r="B7712" s="100"/>
      <c r="C7712" s="100"/>
      <c r="D7712" s="100"/>
      <c r="E7712" s="100"/>
      <c r="F7712" s="102"/>
      <c r="G7712" s="114"/>
    </row>
    <row r="7713" spans="2:7" ht="15.75" customHeight="1" x14ac:dyDescent="0.25">
      <c r="B7713" s="100"/>
      <c r="C7713" s="100"/>
      <c r="D7713" s="100"/>
      <c r="E7713" s="100"/>
      <c r="F7713" s="102"/>
      <c r="G7713" s="114"/>
    </row>
    <row r="7714" spans="2:7" ht="15.75" customHeight="1" x14ac:dyDescent="0.25">
      <c r="B7714" s="100"/>
      <c r="C7714" s="100"/>
      <c r="D7714" s="100"/>
      <c r="E7714" s="100"/>
      <c r="F7714" s="102"/>
      <c r="G7714" s="114"/>
    </row>
    <row r="7715" spans="2:7" ht="15.75" customHeight="1" x14ac:dyDescent="0.25">
      <c r="B7715" s="100"/>
      <c r="C7715" s="100"/>
      <c r="D7715" s="100"/>
      <c r="E7715" s="100"/>
      <c r="F7715" s="102"/>
      <c r="G7715" s="114"/>
    </row>
    <row r="7716" spans="2:7" ht="15.75" customHeight="1" x14ac:dyDescent="0.25">
      <c r="B7716" s="100"/>
      <c r="C7716" s="100"/>
      <c r="D7716" s="100"/>
      <c r="E7716" s="100"/>
      <c r="F7716" s="102"/>
      <c r="G7716" s="114"/>
    </row>
    <row r="7717" spans="2:7" ht="15.75" customHeight="1" x14ac:dyDescent="0.25">
      <c r="B7717" s="100"/>
      <c r="C7717" s="100"/>
      <c r="D7717" s="100"/>
      <c r="E7717" s="100"/>
      <c r="F7717" s="102"/>
      <c r="G7717" s="114"/>
    </row>
    <row r="7718" spans="2:7" ht="15.75" customHeight="1" x14ac:dyDescent="0.25">
      <c r="B7718" s="100"/>
      <c r="C7718" s="100"/>
      <c r="D7718" s="100"/>
      <c r="E7718" s="100"/>
      <c r="F7718" s="102"/>
      <c r="G7718" s="114"/>
    </row>
    <row r="7719" spans="2:7" ht="15.75" customHeight="1" x14ac:dyDescent="0.25">
      <c r="B7719" s="100"/>
      <c r="C7719" s="100"/>
      <c r="D7719" s="100"/>
      <c r="E7719" s="100"/>
      <c r="F7719" s="102"/>
      <c r="G7719" s="114"/>
    </row>
    <row r="7720" spans="2:7" ht="15.75" customHeight="1" x14ac:dyDescent="0.25">
      <c r="B7720" s="100"/>
      <c r="C7720" s="100"/>
      <c r="D7720" s="100"/>
      <c r="E7720" s="100"/>
      <c r="F7720" s="102"/>
      <c r="G7720" s="114"/>
    </row>
    <row r="7721" spans="2:7" ht="15.75" customHeight="1" x14ac:dyDescent="0.25">
      <c r="B7721" s="100"/>
      <c r="C7721" s="100"/>
      <c r="D7721" s="100"/>
      <c r="E7721" s="100"/>
      <c r="F7721" s="102"/>
      <c r="G7721" s="114"/>
    </row>
    <row r="7722" spans="2:7" ht="15.75" customHeight="1" x14ac:dyDescent="0.25">
      <c r="B7722" s="100"/>
      <c r="C7722" s="100"/>
      <c r="D7722" s="100"/>
      <c r="E7722" s="100"/>
      <c r="F7722" s="102"/>
      <c r="G7722" s="114"/>
    </row>
    <row r="7723" spans="2:7" ht="15.75" customHeight="1" x14ac:dyDescent="0.25">
      <c r="B7723" s="100"/>
      <c r="C7723" s="100"/>
      <c r="D7723" s="100"/>
      <c r="E7723" s="100"/>
      <c r="F7723" s="102"/>
      <c r="G7723" s="114"/>
    </row>
    <row r="7724" spans="2:7" ht="15.75" customHeight="1" x14ac:dyDescent="0.25">
      <c r="B7724" s="100"/>
      <c r="C7724" s="100"/>
      <c r="D7724" s="100"/>
      <c r="E7724" s="100"/>
      <c r="F7724" s="102"/>
      <c r="G7724" s="114"/>
    </row>
    <row r="7725" spans="2:7" ht="15.75" customHeight="1" x14ac:dyDescent="0.25">
      <c r="B7725" s="100"/>
      <c r="C7725" s="100"/>
      <c r="D7725" s="100"/>
      <c r="E7725" s="100"/>
      <c r="F7725" s="102"/>
      <c r="G7725" s="114"/>
    </row>
    <row r="7726" spans="2:7" ht="15.75" customHeight="1" x14ac:dyDescent="0.25">
      <c r="B7726" s="100"/>
      <c r="C7726" s="100"/>
      <c r="D7726" s="100"/>
      <c r="E7726" s="100"/>
      <c r="F7726" s="102"/>
      <c r="G7726" s="114"/>
    </row>
    <row r="7727" spans="2:7" ht="15.75" customHeight="1" x14ac:dyDescent="0.25">
      <c r="B7727" s="100"/>
      <c r="C7727" s="100"/>
      <c r="D7727" s="100"/>
      <c r="E7727" s="100"/>
      <c r="F7727" s="102"/>
      <c r="G7727" s="114"/>
    </row>
    <row r="7728" spans="2:7" ht="15.75" customHeight="1" x14ac:dyDescent="0.25">
      <c r="B7728" s="100"/>
      <c r="C7728" s="100"/>
      <c r="D7728" s="100"/>
      <c r="E7728" s="100"/>
      <c r="F7728" s="102"/>
      <c r="G7728" s="114"/>
    </row>
    <row r="7729" spans="2:7" ht="15.75" customHeight="1" x14ac:dyDescent="0.25">
      <c r="B7729" s="100"/>
      <c r="C7729" s="100"/>
      <c r="D7729" s="100"/>
      <c r="E7729" s="100"/>
      <c r="F7729" s="102"/>
      <c r="G7729" s="114"/>
    </row>
    <row r="7730" spans="2:7" ht="15.75" customHeight="1" x14ac:dyDescent="0.25">
      <c r="B7730" s="100"/>
      <c r="C7730" s="100"/>
      <c r="D7730" s="100"/>
      <c r="E7730" s="100"/>
      <c r="F7730" s="102"/>
      <c r="G7730" s="114"/>
    </row>
    <row r="7731" spans="2:7" ht="15.75" customHeight="1" x14ac:dyDescent="0.25">
      <c r="B7731" s="100"/>
      <c r="C7731" s="100"/>
      <c r="D7731" s="100"/>
      <c r="E7731" s="100"/>
      <c r="F7731" s="102"/>
      <c r="G7731" s="114"/>
    </row>
    <row r="7732" spans="2:7" ht="15.75" customHeight="1" x14ac:dyDescent="0.25">
      <c r="B7732" s="100"/>
      <c r="C7732" s="100"/>
      <c r="D7732" s="100"/>
      <c r="E7732" s="100"/>
      <c r="F7732" s="102"/>
      <c r="G7732" s="114"/>
    </row>
    <row r="7733" spans="2:7" ht="15.75" customHeight="1" x14ac:dyDescent="0.25">
      <c r="B7733" s="100"/>
      <c r="C7733" s="100"/>
      <c r="D7733" s="100"/>
      <c r="E7733" s="100"/>
      <c r="F7733" s="102"/>
      <c r="G7733" s="114"/>
    </row>
    <row r="7734" spans="2:7" ht="15.75" customHeight="1" x14ac:dyDescent="0.25">
      <c r="B7734" s="100"/>
      <c r="C7734" s="100"/>
      <c r="D7734" s="100"/>
      <c r="E7734" s="100"/>
      <c r="F7734" s="102"/>
      <c r="G7734" s="114"/>
    </row>
    <row r="7735" spans="2:7" ht="15.75" customHeight="1" x14ac:dyDescent="0.25">
      <c r="B7735" s="100"/>
      <c r="C7735" s="100"/>
      <c r="D7735" s="100"/>
      <c r="E7735" s="100"/>
      <c r="F7735" s="102"/>
      <c r="G7735" s="114"/>
    </row>
    <row r="7736" spans="2:7" ht="15.75" customHeight="1" x14ac:dyDescent="0.25">
      <c r="B7736" s="100"/>
      <c r="C7736" s="100"/>
      <c r="D7736" s="100"/>
      <c r="E7736" s="100"/>
      <c r="F7736" s="102"/>
      <c r="G7736" s="114"/>
    </row>
    <row r="7737" spans="2:7" ht="15.75" customHeight="1" x14ac:dyDescent="0.25">
      <c r="B7737" s="100"/>
      <c r="C7737" s="100"/>
      <c r="D7737" s="100"/>
      <c r="E7737" s="100"/>
      <c r="F7737" s="102"/>
      <c r="G7737" s="114"/>
    </row>
    <row r="7738" spans="2:7" ht="15.75" customHeight="1" x14ac:dyDescent="0.25">
      <c r="B7738" s="100"/>
      <c r="C7738" s="100"/>
      <c r="D7738" s="100"/>
      <c r="E7738" s="100"/>
      <c r="F7738" s="102"/>
      <c r="G7738" s="114"/>
    </row>
    <row r="7739" spans="2:7" ht="15.75" customHeight="1" x14ac:dyDescent="0.25">
      <c r="B7739" s="100"/>
      <c r="C7739" s="100"/>
      <c r="D7739" s="100"/>
      <c r="E7739" s="100"/>
      <c r="F7739" s="102"/>
      <c r="G7739" s="114"/>
    </row>
    <row r="7740" spans="2:7" ht="15.75" customHeight="1" x14ac:dyDescent="0.25">
      <c r="B7740" s="100"/>
      <c r="C7740" s="100"/>
      <c r="D7740" s="100"/>
      <c r="E7740" s="100"/>
      <c r="F7740" s="102"/>
      <c r="G7740" s="114"/>
    </row>
    <row r="7741" spans="2:7" ht="15.75" customHeight="1" x14ac:dyDescent="0.25">
      <c r="B7741" s="100"/>
      <c r="C7741" s="100"/>
      <c r="D7741" s="100"/>
      <c r="E7741" s="100"/>
      <c r="F7741" s="102"/>
      <c r="G7741" s="114"/>
    </row>
    <row r="7742" spans="2:7" ht="15.75" customHeight="1" x14ac:dyDescent="0.25">
      <c r="B7742" s="100"/>
      <c r="C7742" s="100"/>
      <c r="D7742" s="100"/>
      <c r="E7742" s="100"/>
      <c r="F7742" s="102"/>
      <c r="G7742" s="114"/>
    </row>
    <row r="7743" spans="2:7" ht="15.75" customHeight="1" x14ac:dyDescent="0.25">
      <c r="B7743" s="100"/>
      <c r="C7743" s="100"/>
      <c r="D7743" s="100"/>
      <c r="E7743" s="100"/>
      <c r="F7743" s="102"/>
      <c r="G7743" s="114"/>
    </row>
    <row r="7744" spans="2:7" ht="15.75" customHeight="1" x14ac:dyDescent="0.25">
      <c r="B7744" s="100"/>
      <c r="C7744" s="100"/>
      <c r="D7744" s="100"/>
      <c r="E7744" s="100"/>
      <c r="F7744" s="102"/>
      <c r="G7744" s="114"/>
    </row>
    <row r="7745" spans="2:7" ht="15.75" customHeight="1" x14ac:dyDescent="0.25">
      <c r="B7745" s="100"/>
      <c r="C7745" s="100"/>
      <c r="D7745" s="100"/>
      <c r="E7745" s="100"/>
      <c r="F7745" s="102"/>
      <c r="G7745" s="114"/>
    </row>
    <row r="7746" spans="2:7" ht="15.75" customHeight="1" x14ac:dyDescent="0.25">
      <c r="B7746" s="100"/>
      <c r="C7746" s="100"/>
      <c r="D7746" s="100"/>
      <c r="E7746" s="100"/>
      <c r="F7746" s="102"/>
      <c r="G7746" s="114"/>
    </row>
    <row r="7747" spans="2:7" ht="15.75" customHeight="1" x14ac:dyDescent="0.25">
      <c r="B7747" s="100"/>
      <c r="C7747" s="100"/>
      <c r="D7747" s="100"/>
      <c r="E7747" s="100"/>
      <c r="F7747" s="102"/>
      <c r="G7747" s="114"/>
    </row>
    <row r="7748" spans="2:7" ht="15.75" customHeight="1" x14ac:dyDescent="0.25">
      <c r="B7748" s="100"/>
      <c r="C7748" s="100"/>
      <c r="D7748" s="100"/>
      <c r="E7748" s="100"/>
      <c r="F7748" s="102"/>
      <c r="G7748" s="114"/>
    </row>
    <row r="7749" spans="2:7" ht="15.75" customHeight="1" x14ac:dyDescent="0.25">
      <c r="B7749" s="100"/>
      <c r="C7749" s="100"/>
      <c r="D7749" s="100"/>
      <c r="E7749" s="100"/>
      <c r="F7749" s="102"/>
      <c r="G7749" s="114"/>
    </row>
    <row r="7750" spans="2:7" ht="15.75" customHeight="1" x14ac:dyDescent="0.25">
      <c r="B7750" s="100"/>
      <c r="C7750" s="100"/>
      <c r="D7750" s="100"/>
      <c r="E7750" s="100"/>
      <c r="F7750" s="102"/>
      <c r="G7750" s="114"/>
    </row>
    <row r="7751" spans="2:7" ht="15.75" customHeight="1" x14ac:dyDescent="0.25">
      <c r="B7751" s="100"/>
      <c r="C7751" s="100"/>
      <c r="D7751" s="100"/>
      <c r="E7751" s="100"/>
      <c r="F7751" s="102"/>
      <c r="G7751" s="114"/>
    </row>
    <row r="7752" spans="2:7" ht="15.75" customHeight="1" x14ac:dyDescent="0.25">
      <c r="B7752" s="100"/>
      <c r="C7752" s="100"/>
      <c r="D7752" s="100"/>
      <c r="E7752" s="100"/>
      <c r="F7752" s="102"/>
      <c r="G7752" s="114"/>
    </row>
    <row r="7753" spans="2:7" ht="15.75" customHeight="1" x14ac:dyDescent="0.25">
      <c r="B7753" s="100"/>
      <c r="C7753" s="100"/>
      <c r="D7753" s="100"/>
      <c r="E7753" s="100"/>
      <c r="F7753" s="102"/>
      <c r="G7753" s="114"/>
    </row>
    <row r="7754" spans="2:7" ht="15.75" customHeight="1" x14ac:dyDescent="0.25">
      <c r="B7754" s="100"/>
      <c r="C7754" s="100"/>
      <c r="D7754" s="100"/>
      <c r="E7754" s="100"/>
      <c r="F7754" s="102"/>
      <c r="G7754" s="114"/>
    </row>
    <row r="7755" spans="2:7" ht="15.75" customHeight="1" x14ac:dyDescent="0.25">
      <c r="B7755" s="100"/>
      <c r="C7755" s="100"/>
      <c r="D7755" s="100"/>
      <c r="E7755" s="100"/>
      <c r="F7755" s="102"/>
      <c r="G7755" s="114"/>
    </row>
    <row r="7756" spans="2:7" ht="15.75" customHeight="1" x14ac:dyDescent="0.25">
      <c r="B7756" s="100"/>
      <c r="C7756" s="100"/>
      <c r="D7756" s="100"/>
      <c r="E7756" s="100"/>
      <c r="F7756" s="102"/>
      <c r="G7756" s="114"/>
    </row>
    <row r="7757" spans="2:7" ht="15.75" customHeight="1" x14ac:dyDescent="0.25">
      <c r="B7757" s="100"/>
      <c r="C7757" s="100"/>
      <c r="D7757" s="100"/>
      <c r="E7757" s="100"/>
      <c r="F7757" s="102"/>
      <c r="G7757" s="114"/>
    </row>
    <row r="7758" spans="2:7" ht="15.75" customHeight="1" x14ac:dyDescent="0.25">
      <c r="B7758" s="100"/>
      <c r="C7758" s="100"/>
      <c r="D7758" s="100"/>
      <c r="E7758" s="100"/>
      <c r="F7758" s="102"/>
      <c r="G7758" s="114"/>
    </row>
    <row r="7759" spans="2:7" ht="15.75" customHeight="1" x14ac:dyDescent="0.25">
      <c r="B7759" s="100"/>
      <c r="C7759" s="100"/>
      <c r="D7759" s="100"/>
      <c r="E7759" s="100"/>
      <c r="F7759" s="102"/>
      <c r="G7759" s="114"/>
    </row>
    <row r="7760" spans="2:7" ht="15.75" customHeight="1" x14ac:dyDescent="0.25">
      <c r="B7760" s="100"/>
      <c r="C7760" s="100"/>
      <c r="D7760" s="100"/>
      <c r="E7760" s="100"/>
      <c r="F7760" s="102"/>
      <c r="G7760" s="114"/>
    </row>
    <row r="7761" spans="2:7" ht="15.75" customHeight="1" x14ac:dyDescent="0.25">
      <c r="B7761" s="100"/>
      <c r="C7761" s="100"/>
      <c r="D7761" s="100"/>
      <c r="E7761" s="100"/>
      <c r="F7761" s="102"/>
      <c r="G7761" s="114"/>
    </row>
    <row r="7762" spans="2:7" ht="15.75" customHeight="1" x14ac:dyDescent="0.25">
      <c r="B7762" s="100"/>
      <c r="C7762" s="100"/>
      <c r="D7762" s="100"/>
      <c r="E7762" s="100"/>
      <c r="F7762" s="102"/>
      <c r="G7762" s="114"/>
    </row>
    <row r="7763" spans="2:7" ht="15.75" customHeight="1" x14ac:dyDescent="0.25">
      <c r="B7763" s="100"/>
      <c r="C7763" s="100"/>
      <c r="D7763" s="100"/>
      <c r="E7763" s="100"/>
      <c r="F7763" s="102"/>
      <c r="G7763" s="114"/>
    </row>
    <row r="7764" spans="2:7" ht="15.75" customHeight="1" x14ac:dyDescent="0.25">
      <c r="B7764" s="100"/>
      <c r="C7764" s="100"/>
      <c r="D7764" s="100"/>
      <c r="E7764" s="100"/>
      <c r="F7764" s="102"/>
      <c r="G7764" s="114"/>
    </row>
    <row r="7765" spans="2:7" ht="15.75" customHeight="1" x14ac:dyDescent="0.25">
      <c r="B7765" s="100"/>
      <c r="C7765" s="100"/>
      <c r="D7765" s="100"/>
      <c r="E7765" s="100"/>
      <c r="F7765" s="102"/>
      <c r="G7765" s="114"/>
    </row>
    <row r="7766" spans="2:7" ht="15.75" customHeight="1" x14ac:dyDescent="0.25">
      <c r="B7766" s="100"/>
      <c r="C7766" s="100"/>
      <c r="D7766" s="100"/>
      <c r="E7766" s="100"/>
      <c r="F7766" s="102"/>
      <c r="G7766" s="114"/>
    </row>
    <row r="7767" spans="2:7" ht="15.75" customHeight="1" x14ac:dyDescent="0.25">
      <c r="B7767" s="100"/>
      <c r="C7767" s="100"/>
      <c r="D7767" s="100"/>
      <c r="E7767" s="100"/>
      <c r="F7767" s="102"/>
      <c r="G7767" s="114"/>
    </row>
    <row r="7768" spans="2:7" ht="15.75" customHeight="1" x14ac:dyDescent="0.25">
      <c r="B7768" s="100"/>
      <c r="C7768" s="100"/>
      <c r="D7768" s="100"/>
      <c r="E7768" s="100"/>
      <c r="F7768" s="102"/>
      <c r="G7768" s="114"/>
    </row>
    <row r="7769" spans="2:7" ht="15.75" customHeight="1" x14ac:dyDescent="0.25">
      <c r="B7769" s="100"/>
      <c r="C7769" s="100"/>
      <c r="D7769" s="100"/>
      <c r="E7769" s="100"/>
      <c r="F7769" s="102"/>
      <c r="G7769" s="114"/>
    </row>
    <row r="7770" spans="2:7" ht="15.75" customHeight="1" x14ac:dyDescent="0.25">
      <c r="B7770" s="100"/>
      <c r="C7770" s="100"/>
      <c r="D7770" s="100"/>
      <c r="E7770" s="100"/>
      <c r="F7770" s="102"/>
      <c r="G7770" s="114"/>
    </row>
    <row r="7771" spans="2:7" ht="15.75" customHeight="1" x14ac:dyDescent="0.25">
      <c r="B7771" s="100"/>
      <c r="C7771" s="100"/>
      <c r="D7771" s="100"/>
      <c r="E7771" s="100"/>
      <c r="F7771" s="102"/>
      <c r="G7771" s="114"/>
    </row>
    <row r="7772" spans="2:7" ht="15.75" customHeight="1" x14ac:dyDescent="0.25">
      <c r="B7772" s="100"/>
      <c r="C7772" s="100"/>
      <c r="D7772" s="100"/>
      <c r="E7772" s="100"/>
      <c r="F7772" s="102"/>
      <c r="G7772" s="114"/>
    </row>
    <row r="7773" spans="2:7" ht="15.75" customHeight="1" x14ac:dyDescent="0.25">
      <c r="B7773" s="100"/>
      <c r="C7773" s="100"/>
      <c r="D7773" s="100"/>
      <c r="E7773" s="100"/>
      <c r="F7773" s="102"/>
      <c r="G7773" s="114"/>
    </row>
    <row r="7774" spans="2:7" ht="15.75" customHeight="1" x14ac:dyDescent="0.25">
      <c r="B7774" s="100"/>
      <c r="C7774" s="100"/>
      <c r="D7774" s="100"/>
      <c r="E7774" s="100"/>
      <c r="F7774" s="102"/>
      <c r="G7774" s="114"/>
    </row>
    <row r="7775" spans="2:7" ht="15.75" customHeight="1" x14ac:dyDescent="0.25">
      <c r="B7775" s="100"/>
      <c r="C7775" s="100"/>
      <c r="D7775" s="100"/>
      <c r="E7775" s="100"/>
      <c r="F7775" s="102"/>
      <c r="G7775" s="114"/>
    </row>
    <row r="7776" spans="2:7" ht="15.75" customHeight="1" x14ac:dyDescent="0.25">
      <c r="B7776" s="100"/>
      <c r="C7776" s="100"/>
      <c r="D7776" s="100"/>
      <c r="E7776" s="100"/>
      <c r="F7776" s="102"/>
      <c r="G7776" s="114"/>
    </row>
    <row r="7777" spans="2:7" ht="15.75" customHeight="1" x14ac:dyDescent="0.25">
      <c r="B7777" s="100"/>
      <c r="C7777" s="100"/>
      <c r="D7777" s="100"/>
      <c r="E7777" s="100"/>
      <c r="F7777" s="102"/>
      <c r="G7777" s="114"/>
    </row>
    <row r="7778" spans="2:7" ht="15.75" customHeight="1" x14ac:dyDescent="0.25">
      <c r="B7778" s="100"/>
      <c r="C7778" s="100"/>
      <c r="D7778" s="100"/>
      <c r="E7778" s="100"/>
      <c r="F7778" s="102"/>
      <c r="G7778" s="114"/>
    </row>
    <row r="7779" spans="2:7" ht="15.75" customHeight="1" x14ac:dyDescent="0.25">
      <c r="B7779" s="100"/>
      <c r="C7779" s="100"/>
      <c r="D7779" s="100"/>
      <c r="E7779" s="100"/>
      <c r="F7779" s="102"/>
      <c r="G7779" s="114"/>
    </row>
    <row r="7780" spans="2:7" ht="15.75" customHeight="1" x14ac:dyDescent="0.25">
      <c r="B7780" s="100"/>
      <c r="C7780" s="100"/>
      <c r="D7780" s="100"/>
      <c r="E7780" s="100"/>
      <c r="F7780" s="102"/>
      <c r="G7780" s="114"/>
    </row>
    <row r="7781" spans="2:7" ht="15.75" customHeight="1" x14ac:dyDescent="0.25">
      <c r="B7781" s="100"/>
      <c r="C7781" s="100"/>
      <c r="D7781" s="100"/>
      <c r="E7781" s="100"/>
      <c r="F7781" s="102"/>
      <c r="G7781" s="114"/>
    </row>
    <row r="7782" spans="2:7" ht="15.75" customHeight="1" x14ac:dyDescent="0.25">
      <c r="B7782" s="100"/>
      <c r="C7782" s="100"/>
      <c r="D7782" s="100"/>
      <c r="E7782" s="100"/>
      <c r="F7782" s="102"/>
      <c r="G7782" s="114"/>
    </row>
    <row r="7783" spans="2:7" ht="15.75" customHeight="1" x14ac:dyDescent="0.25">
      <c r="B7783" s="100"/>
      <c r="C7783" s="100"/>
      <c r="D7783" s="100"/>
      <c r="E7783" s="100"/>
      <c r="F7783" s="102"/>
      <c r="G7783" s="114"/>
    </row>
    <row r="7784" spans="2:7" ht="15.75" customHeight="1" x14ac:dyDescent="0.25">
      <c r="B7784" s="100"/>
      <c r="C7784" s="100"/>
      <c r="D7784" s="100"/>
      <c r="E7784" s="100"/>
      <c r="F7784" s="102"/>
      <c r="G7784" s="114"/>
    </row>
    <row r="7785" spans="2:7" ht="15.75" customHeight="1" x14ac:dyDescent="0.25">
      <c r="B7785" s="100"/>
      <c r="C7785" s="100"/>
      <c r="D7785" s="100"/>
      <c r="E7785" s="100"/>
      <c r="F7785" s="102"/>
      <c r="G7785" s="114"/>
    </row>
    <row r="7786" spans="2:7" ht="15.75" customHeight="1" x14ac:dyDescent="0.25">
      <c r="B7786" s="100"/>
      <c r="C7786" s="100"/>
      <c r="D7786" s="100"/>
      <c r="E7786" s="100"/>
      <c r="F7786" s="102"/>
      <c r="G7786" s="114"/>
    </row>
    <row r="7787" spans="2:7" ht="15.75" customHeight="1" x14ac:dyDescent="0.25">
      <c r="B7787" s="100"/>
      <c r="C7787" s="100"/>
      <c r="D7787" s="100"/>
      <c r="E7787" s="100"/>
      <c r="F7787" s="102"/>
      <c r="G7787" s="114"/>
    </row>
    <row r="7788" spans="2:7" ht="15.75" customHeight="1" x14ac:dyDescent="0.25">
      <c r="B7788" s="100"/>
      <c r="C7788" s="100"/>
      <c r="D7788" s="100"/>
      <c r="E7788" s="100"/>
      <c r="F7788" s="102"/>
      <c r="G7788" s="114"/>
    </row>
    <row r="7789" spans="2:7" ht="15.75" customHeight="1" x14ac:dyDescent="0.25">
      <c r="B7789" s="100"/>
      <c r="C7789" s="100"/>
      <c r="D7789" s="100"/>
      <c r="E7789" s="100"/>
      <c r="F7789" s="102"/>
      <c r="G7789" s="114"/>
    </row>
    <row r="7790" spans="2:7" ht="15.75" customHeight="1" x14ac:dyDescent="0.25">
      <c r="B7790" s="100"/>
      <c r="C7790" s="100"/>
      <c r="D7790" s="100"/>
      <c r="E7790" s="100"/>
      <c r="F7790" s="102"/>
      <c r="G7790" s="114"/>
    </row>
    <row r="7791" spans="2:7" ht="15.75" customHeight="1" x14ac:dyDescent="0.25">
      <c r="B7791" s="100"/>
      <c r="C7791" s="100"/>
      <c r="D7791" s="100"/>
      <c r="E7791" s="100"/>
      <c r="F7791" s="102"/>
      <c r="G7791" s="114"/>
    </row>
    <row r="7792" spans="2:7" ht="15.75" customHeight="1" x14ac:dyDescent="0.25">
      <c r="B7792" s="100"/>
      <c r="C7792" s="100"/>
      <c r="D7792" s="100"/>
      <c r="E7792" s="100"/>
      <c r="F7792" s="102"/>
      <c r="G7792" s="114"/>
    </row>
    <row r="7793" spans="2:7" ht="15.75" customHeight="1" x14ac:dyDescent="0.25">
      <c r="B7793" s="100"/>
      <c r="C7793" s="100"/>
      <c r="D7793" s="100"/>
      <c r="E7793" s="100"/>
      <c r="F7793" s="102"/>
      <c r="G7793" s="114"/>
    </row>
    <row r="7794" spans="2:7" ht="15.75" customHeight="1" x14ac:dyDescent="0.25">
      <c r="B7794" s="100"/>
      <c r="C7794" s="100"/>
      <c r="D7794" s="100"/>
      <c r="E7794" s="100"/>
      <c r="F7794" s="102"/>
      <c r="G7794" s="114"/>
    </row>
    <row r="7795" spans="2:7" ht="15.75" customHeight="1" x14ac:dyDescent="0.25">
      <c r="B7795" s="100"/>
      <c r="C7795" s="100"/>
      <c r="D7795" s="100"/>
      <c r="E7795" s="100"/>
      <c r="F7795" s="102"/>
      <c r="G7795" s="114"/>
    </row>
    <row r="7796" spans="2:7" ht="15.75" customHeight="1" x14ac:dyDescent="0.25">
      <c r="B7796" s="100"/>
      <c r="C7796" s="100"/>
      <c r="D7796" s="100"/>
      <c r="E7796" s="100"/>
      <c r="F7796" s="102"/>
      <c r="G7796" s="114"/>
    </row>
    <row r="7797" spans="2:7" ht="15.75" customHeight="1" x14ac:dyDescent="0.25">
      <c r="B7797" s="100"/>
      <c r="C7797" s="100"/>
      <c r="D7797" s="100"/>
      <c r="E7797" s="100"/>
      <c r="F7797" s="102"/>
      <c r="G7797" s="114"/>
    </row>
    <row r="7798" spans="2:7" ht="15.75" customHeight="1" x14ac:dyDescent="0.25">
      <c r="B7798" s="100"/>
      <c r="C7798" s="100"/>
      <c r="D7798" s="100"/>
      <c r="E7798" s="100"/>
      <c r="F7798" s="102"/>
      <c r="G7798" s="114"/>
    </row>
    <row r="7799" spans="2:7" ht="15.75" customHeight="1" x14ac:dyDescent="0.25">
      <c r="B7799" s="100"/>
      <c r="C7799" s="100"/>
      <c r="D7799" s="100"/>
      <c r="E7799" s="100"/>
      <c r="F7799" s="102"/>
      <c r="G7799" s="114"/>
    </row>
    <row r="7800" spans="2:7" ht="15.75" customHeight="1" x14ac:dyDescent="0.25">
      <c r="B7800" s="100"/>
      <c r="C7800" s="100"/>
      <c r="D7800" s="100"/>
      <c r="E7800" s="100"/>
      <c r="F7800" s="102"/>
      <c r="G7800" s="114"/>
    </row>
    <row r="7801" spans="2:7" ht="15.75" customHeight="1" x14ac:dyDescent="0.25">
      <c r="B7801" s="100"/>
      <c r="C7801" s="100"/>
      <c r="D7801" s="100"/>
      <c r="E7801" s="100"/>
      <c r="F7801" s="102"/>
      <c r="G7801" s="114"/>
    </row>
    <row r="7802" spans="2:7" ht="15.75" customHeight="1" x14ac:dyDescent="0.25">
      <c r="B7802" s="100"/>
      <c r="C7802" s="100"/>
      <c r="D7802" s="100"/>
      <c r="E7802" s="100"/>
      <c r="F7802" s="102"/>
      <c r="G7802" s="114"/>
    </row>
    <row r="7803" spans="2:7" ht="15.75" customHeight="1" x14ac:dyDescent="0.25">
      <c r="B7803" s="100"/>
      <c r="C7803" s="100"/>
      <c r="D7803" s="100"/>
      <c r="E7803" s="100"/>
      <c r="F7803" s="102"/>
      <c r="G7803" s="114"/>
    </row>
    <row r="7804" spans="2:7" ht="15.75" customHeight="1" x14ac:dyDescent="0.25">
      <c r="B7804" s="100"/>
      <c r="C7804" s="100"/>
      <c r="D7804" s="100"/>
      <c r="E7804" s="100"/>
      <c r="F7804" s="102"/>
      <c r="G7804" s="114"/>
    </row>
    <row r="7805" spans="2:7" ht="15.75" customHeight="1" x14ac:dyDescent="0.25">
      <c r="B7805" s="100"/>
      <c r="C7805" s="100"/>
      <c r="D7805" s="100"/>
      <c r="E7805" s="100"/>
      <c r="F7805" s="102"/>
      <c r="G7805" s="114"/>
    </row>
    <row r="7806" spans="2:7" ht="15.75" customHeight="1" x14ac:dyDescent="0.25">
      <c r="B7806" s="100"/>
      <c r="C7806" s="100"/>
      <c r="D7806" s="100"/>
      <c r="E7806" s="100"/>
      <c r="F7806" s="102"/>
      <c r="G7806" s="114"/>
    </row>
    <row r="7807" spans="2:7" ht="15.75" customHeight="1" x14ac:dyDescent="0.25">
      <c r="B7807" s="100"/>
      <c r="C7807" s="100"/>
      <c r="D7807" s="100"/>
      <c r="E7807" s="100"/>
      <c r="F7807" s="102"/>
      <c r="G7807" s="114"/>
    </row>
    <row r="7808" spans="2:7" ht="15.75" customHeight="1" x14ac:dyDescent="0.25">
      <c r="B7808" s="100"/>
      <c r="C7808" s="100"/>
      <c r="D7808" s="100"/>
      <c r="E7808" s="100"/>
      <c r="F7808" s="102"/>
      <c r="G7808" s="114"/>
    </row>
    <row r="7809" spans="2:7" ht="15.75" customHeight="1" x14ac:dyDescent="0.25">
      <c r="B7809" s="100"/>
      <c r="C7809" s="100"/>
      <c r="D7809" s="100"/>
      <c r="E7809" s="100"/>
      <c r="F7809" s="102"/>
      <c r="G7809" s="114"/>
    </row>
    <row r="7810" spans="2:7" ht="15.75" customHeight="1" x14ac:dyDescent="0.25">
      <c r="B7810" s="100"/>
      <c r="C7810" s="100"/>
      <c r="D7810" s="100"/>
      <c r="E7810" s="100"/>
      <c r="F7810" s="102"/>
      <c r="G7810" s="114"/>
    </row>
    <row r="7811" spans="2:7" ht="15.75" customHeight="1" x14ac:dyDescent="0.25">
      <c r="B7811" s="100"/>
      <c r="C7811" s="100"/>
      <c r="D7811" s="100"/>
      <c r="E7811" s="100"/>
      <c r="F7811" s="102"/>
      <c r="G7811" s="114"/>
    </row>
    <row r="7812" spans="2:7" ht="15.75" customHeight="1" x14ac:dyDescent="0.25">
      <c r="B7812" s="100"/>
      <c r="C7812" s="100"/>
      <c r="D7812" s="100"/>
      <c r="E7812" s="100"/>
      <c r="F7812" s="102"/>
      <c r="G7812" s="114"/>
    </row>
    <row r="7813" spans="2:7" ht="15.75" customHeight="1" x14ac:dyDescent="0.25">
      <c r="B7813" s="100"/>
      <c r="C7813" s="100"/>
      <c r="D7813" s="100"/>
      <c r="E7813" s="100"/>
      <c r="F7813" s="102"/>
      <c r="G7813" s="114"/>
    </row>
    <row r="7814" spans="2:7" ht="15.75" customHeight="1" x14ac:dyDescent="0.25">
      <c r="B7814" s="100"/>
      <c r="C7814" s="100"/>
      <c r="D7814" s="100"/>
      <c r="E7814" s="100"/>
      <c r="F7814" s="102"/>
      <c r="G7814" s="114"/>
    </row>
    <row r="7815" spans="2:7" ht="15.75" customHeight="1" x14ac:dyDescent="0.25">
      <c r="B7815" s="100"/>
      <c r="C7815" s="100"/>
      <c r="D7815" s="100"/>
      <c r="E7815" s="100"/>
      <c r="F7815" s="102"/>
      <c r="G7815" s="114"/>
    </row>
    <row r="7816" spans="2:7" ht="15.75" customHeight="1" x14ac:dyDescent="0.25">
      <c r="B7816" s="100"/>
      <c r="C7816" s="100"/>
      <c r="D7816" s="100"/>
      <c r="E7816" s="100"/>
      <c r="F7816" s="102"/>
      <c r="G7816" s="114"/>
    </row>
    <row r="7817" spans="2:7" ht="15.75" customHeight="1" x14ac:dyDescent="0.25">
      <c r="B7817" s="100"/>
      <c r="C7817" s="100"/>
      <c r="D7817" s="100"/>
      <c r="E7817" s="100"/>
      <c r="F7817" s="102"/>
      <c r="G7817" s="114"/>
    </row>
    <row r="7818" spans="2:7" ht="15.75" customHeight="1" x14ac:dyDescent="0.25">
      <c r="B7818" s="100"/>
      <c r="C7818" s="100"/>
      <c r="D7818" s="100"/>
      <c r="E7818" s="100"/>
      <c r="F7818" s="102"/>
      <c r="G7818" s="114"/>
    </row>
    <row r="7819" spans="2:7" ht="15.75" customHeight="1" x14ac:dyDescent="0.25">
      <c r="B7819" s="100"/>
      <c r="C7819" s="100"/>
      <c r="D7819" s="100"/>
      <c r="E7819" s="100"/>
      <c r="F7819" s="102"/>
      <c r="G7819" s="114"/>
    </row>
    <row r="7820" spans="2:7" ht="15.75" customHeight="1" x14ac:dyDescent="0.25">
      <c r="B7820" s="100"/>
      <c r="C7820" s="100"/>
      <c r="D7820" s="100"/>
      <c r="E7820" s="100"/>
      <c r="F7820" s="102"/>
      <c r="G7820" s="114"/>
    </row>
    <row r="7821" spans="2:7" ht="15.75" customHeight="1" x14ac:dyDescent="0.25">
      <c r="B7821" s="100"/>
      <c r="C7821" s="100"/>
      <c r="D7821" s="100"/>
      <c r="E7821" s="100"/>
      <c r="F7821" s="102"/>
      <c r="G7821" s="114"/>
    </row>
    <row r="7822" spans="2:7" ht="15.75" customHeight="1" x14ac:dyDescent="0.25">
      <c r="B7822" s="100"/>
      <c r="C7822" s="100"/>
      <c r="D7822" s="100"/>
      <c r="E7822" s="100"/>
      <c r="F7822" s="102"/>
      <c r="G7822" s="114"/>
    </row>
    <row r="7823" spans="2:7" ht="15.75" customHeight="1" x14ac:dyDescent="0.25">
      <c r="B7823" s="100"/>
      <c r="C7823" s="100"/>
      <c r="D7823" s="100"/>
      <c r="E7823" s="100"/>
      <c r="F7823" s="102"/>
      <c r="G7823" s="114"/>
    </row>
    <row r="7824" spans="2:7" ht="15.75" customHeight="1" x14ac:dyDescent="0.25">
      <c r="B7824" s="100"/>
      <c r="C7824" s="100"/>
      <c r="D7824" s="100"/>
      <c r="E7824" s="100"/>
      <c r="F7824" s="102"/>
      <c r="G7824" s="114"/>
    </row>
    <row r="7825" spans="2:7" ht="15.75" customHeight="1" x14ac:dyDescent="0.25">
      <c r="B7825" s="100"/>
      <c r="C7825" s="100"/>
      <c r="D7825" s="100"/>
      <c r="E7825" s="100"/>
      <c r="F7825" s="102"/>
      <c r="G7825" s="114"/>
    </row>
    <row r="7826" spans="2:7" ht="15.75" customHeight="1" x14ac:dyDescent="0.25">
      <c r="B7826" s="100"/>
      <c r="C7826" s="100"/>
      <c r="D7826" s="100"/>
      <c r="E7826" s="100"/>
      <c r="F7826" s="102"/>
      <c r="G7826" s="114"/>
    </row>
    <row r="7827" spans="2:7" ht="15.75" customHeight="1" x14ac:dyDescent="0.25">
      <c r="B7827" s="100"/>
      <c r="C7827" s="100"/>
      <c r="D7827" s="100"/>
      <c r="E7827" s="100"/>
      <c r="F7827" s="102"/>
      <c r="G7827" s="114"/>
    </row>
    <row r="7828" spans="2:7" ht="15.75" customHeight="1" x14ac:dyDescent="0.25">
      <c r="B7828" s="100"/>
      <c r="C7828" s="100"/>
      <c r="D7828" s="100"/>
      <c r="E7828" s="100"/>
      <c r="F7828" s="102"/>
      <c r="G7828" s="114"/>
    </row>
    <row r="7829" spans="2:7" ht="15.75" customHeight="1" x14ac:dyDescent="0.25">
      <c r="B7829" s="100"/>
      <c r="C7829" s="100"/>
      <c r="D7829" s="100"/>
      <c r="E7829" s="100"/>
      <c r="F7829" s="102"/>
      <c r="G7829" s="114"/>
    </row>
    <row r="7830" spans="2:7" ht="15.75" customHeight="1" x14ac:dyDescent="0.25">
      <c r="B7830" s="100"/>
      <c r="C7830" s="100"/>
      <c r="D7830" s="100"/>
      <c r="E7830" s="100"/>
      <c r="F7830" s="102"/>
      <c r="G7830" s="114"/>
    </row>
    <row r="7831" spans="2:7" ht="15.75" customHeight="1" x14ac:dyDescent="0.25">
      <c r="B7831" s="100"/>
      <c r="C7831" s="100"/>
      <c r="D7831" s="100"/>
      <c r="E7831" s="100"/>
      <c r="F7831" s="102"/>
      <c r="G7831" s="114"/>
    </row>
    <row r="7832" spans="2:7" ht="15.75" customHeight="1" x14ac:dyDescent="0.25">
      <c r="B7832" s="100"/>
      <c r="C7832" s="100"/>
      <c r="D7832" s="100"/>
      <c r="E7832" s="100"/>
      <c r="F7832" s="102"/>
      <c r="G7832" s="114"/>
    </row>
    <row r="7833" spans="2:7" ht="15.75" customHeight="1" x14ac:dyDescent="0.25">
      <c r="B7833" s="100"/>
      <c r="C7833" s="100"/>
      <c r="D7833" s="100"/>
      <c r="E7833" s="100"/>
      <c r="F7833" s="102"/>
      <c r="G7833" s="114"/>
    </row>
    <row r="7834" spans="2:7" ht="15.75" customHeight="1" x14ac:dyDescent="0.25">
      <c r="B7834" s="100"/>
      <c r="C7834" s="100"/>
      <c r="D7834" s="100"/>
      <c r="E7834" s="100"/>
      <c r="F7834" s="102"/>
      <c r="G7834" s="114"/>
    </row>
    <row r="7835" spans="2:7" ht="15.75" customHeight="1" x14ac:dyDescent="0.25">
      <c r="B7835" s="100"/>
      <c r="C7835" s="100"/>
      <c r="D7835" s="100"/>
      <c r="E7835" s="100"/>
      <c r="F7835" s="102"/>
      <c r="G7835" s="114"/>
    </row>
    <row r="7836" spans="2:7" ht="15.75" customHeight="1" x14ac:dyDescent="0.25">
      <c r="B7836" s="100"/>
      <c r="C7836" s="100"/>
      <c r="D7836" s="100"/>
      <c r="E7836" s="100"/>
      <c r="F7836" s="102"/>
      <c r="G7836" s="114"/>
    </row>
    <row r="7837" spans="2:7" ht="15.75" customHeight="1" x14ac:dyDescent="0.25">
      <c r="B7837" s="100"/>
      <c r="C7837" s="100"/>
      <c r="D7837" s="100"/>
      <c r="E7837" s="100"/>
      <c r="F7837" s="102"/>
      <c r="G7837" s="114"/>
    </row>
    <row r="7838" spans="2:7" ht="15.75" customHeight="1" x14ac:dyDescent="0.25">
      <c r="B7838" s="100"/>
      <c r="C7838" s="100"/>
      <c r="D7838" s="100"/>
      <c r="E7838" s="100"/>
      <c r="F7838" s="102"/>
      <c r="G7838" s="114"/>
    </row>
    <row r="7839" spans="2:7" ht="15.75" customHeight="1" x14ac:dyDescent="0.25">
      <c r="B7839" s="100"/>
      <c r="C7839" s="100"/>
      <c r="D7839" s="100"/>
      <c r="E7839" s="100"/>
      <c r="F7839" s="102"/>
      <c r="G7839" s="114"/>
    </row>
    <row r="7840" spans="2:7" ht="15.75" customHeight="1" x14ac:dyDescent="0.25">
      <c r="B7840" s="100"/>
      <c r="C7840" s="100"/>
      <c r="D7840" s="100"/>
      <c r="E7840" s="100"/>
      <c r="F7840" s="102"/>
      <c r="G7840" s="114"/>
    </row>
    <row r="7841" spans="2:7" ht="15.75" customHeight="1" x14ac:dyDescent="0.25">
      <c r="B7841" s="100"/>
      <c r="C7841" s="100"/>
      <c r="D7841" s="100"/>
      <c r="E7841" s="100"/>
      <c r="F7841" s="102"/>
      <c r="G7841" s="114"/>
    </row>
    <row r="7842" spans="2:7" ht="15.75" customHeight="1" x14ac:dyDescent="0.25">
      <c r="B7842" s="100"/>
      <c r="C7842" s="100"/>
      <c r="D7842" s="100"/>
      <c r="E7842" s="100"/>
      <c r="F7842" s="102"/>
      <c r="G7842" s="114"/>
    </row>
    <row r="7843" spans="2:7" ht="15.75" customHeight="1" x14ac:dyDescent="0.25">
      <c r="B7843" s="100"/>
      <c r="C7843" s="100"/>
      <c r="D7843" s="100"/>
      <c r="E7843" s="100"/>
      <c r="F7843" s="102"/>
      <c r="G7843" s="114"/>
    </row>
    <row r="7844" spans="2:7" ht="15.75" customHeight="1" x14ac:dyDescent="0.25">
      <c r="B7844" s="100"/>
      <c r="C7844" s="100"/>
      <c r="D7844" s="100"/>
      <c r="E7844" s="100"/>
      <c r="F7844" s="102"/>
      <c r="G7844" s="114"/>
    </row>
    <row r="7845" spans="2:7" ht="15.75" customHeight="1" x14ac:dyDescent="0.25">
      <c r="B7845" s="100"/>
      <c r="C7845" s="100"/>
      <c r="D7845" s="100"/>
      <c r="E7845" s="100"/>
      <c r="F7845" s="102"/>
      <c r="G7845" s="114"/>
    </row>
    <row r="7846" spans="2:7" ht="15.75" customHeight="1" x14ac:dyDescent="0.25">
      <c r="B7846" s="100"/>
      <c r="C7846" s="100"/>
      <c r="D7846" s="100"/>
      <c r="E7846" s="100"/>
      <c r="F7846" s="102"/>
      <c r="G7846" s="114"/>
    </row>
    <row r="7847" spans="2:7" ht="15.75" customHeight="1" x14ac:dyDescent="0.25">
      <c r="B7847" s="100"/>
      <c r="C7847" s="100"/>
      <c r="D7847" s="100"/>
      <c r="E7847" s="100"/>
      <c r="F7847" s="102"/>
      <c r="G7847" s="114"/>
    </row>
    <row r="7848" spans="2:7" ht="15.75" customHeight="1" x14ac:dyDescent="0.25">
      <c r="B7848" s="100"/>
      <c r="C7848" s="100"/>
      <c r="D7848" s="100"/>
      <c r="E7848" s="100"/>
      <c r="F7848" s="102"/>
      <c r="G7848" s="114"/>
    </row>
    <row r="7849" spans="2:7" ht="15.75" customHeight="1" x14ac:dyDescent="0.25">
      <c r="B7849" s="100"/>
      <c r="C7849" s="100"/>
      <c r="D7849" s="100"/>
      <c r="E7849" s="100"/>
      <c r="F7849" s="102"/>
      <c r="G7849" s="114"/>
    </row>
    <row r="7850" spans="2:7" ht="15.75" customHeight="1" x14ac:dyDescent="0.25">
      <c r="B7850" s="100"/>
      <c r="C7850" s="100"/>
      <c r="D7850" s="100"/>
      <c r="E7850" s="100"/>
      <c r="F7850" s="102"/>
      <c r="G7850" s="114"/>
    </row>
    <row r="7851" spans="2:7" ht="15.75" customHeight="1" x14ac:dyDescent="0.25">
      <c r="B7851" s="100"/>
      <c r="C7851" s="100"/>
      <c r="D7851" s="100"/>
      <c r="E7851" s="100"/>
      <c r="F7851" s="102"/>
      <c r="G7851" s="114"/>
    </row>
    <row r="7852" spans="2:7" ht="15.75" customHeight="1" x14ac:dyDescent="0.25">
      <c r="B7852" s="100"/>
      <c r="C7852" s="100"/>
      <c r="D7852" s="100"/>
      <c r="E7852" s="100"/>
      <c r="F7852" s="102"/>
      <c r="G7852" s="114"/>
    </row>
    <row r="7853" spans="2:7" ht="15.75" customHeight="1" x14ac:dyDescent="0.25">
      <c r="B7853" s="100"/>
      <c r="C7853" s="100"/>
      <c r="D7853" s="100"/>
      <c r="E7853" s="100"/>
      <c r="F7853" s="102"/>
      <c r="G7853" s="114"/>
    </row>
    <row r="7854" spans="2:7" ht="15.75" customHeight="1" x14ac:dyDescent="0.25">
      <c r="B7854" s="100"/>
      <c r="C7854" s="100"/>
      <c r="D7854" s="100"/>
      <c r="E7854" s="100"/>
      <c r="F7854" s="102"/>
      <c r="G7854" s="114"/>
    </row>
    <row r="7855" spans="2:7" ht="15.75" customHeight="1" x14ac:dyDescent="0.25">
      <c r="B7855" s="100"/>
      <c r="C7855" s="100"/>
      <c r="D7855" s="100"/>
      <c r="E7855" s="100"/>
      <c r="F7855" s="102"/>
      <c r="G7855" s="114"/>
    </row>
    <row r="7856" spans="2:7" ht="15.75" customHeight="1" x14ac:dyDescent="0.25">
      <c r="B7856" s="100"/>
      <c r="C7856" s="100"/>
      <c r="D7856" s="100"/>
      <c r="E7856" s="100"/>
      <c r="F7856" s="102"/>
      <c r="G7856" s="114"/>
    </row>
    <row r="7857" spans="2:7" ht="15.75" customHeight="1" x14ac:dyDescent="0.25">
      <c r="B7857" s="100"/>
      <c r="C7857" s="100"/>
      <c r="D7857" s="100"/>
      <c r="E7857" s="100"/>
      <c r="F7857" s="102"/>
      <c r="G7857" s="114"/>
    </row>
    <row r="7858" spans="2:7" ht="15.75" customHeight="1" x14ac:dyDescent="0.25">
      <c r="B7858" s="100"/>
      <c r="C7858" s="100"/>
      <c r="D7858" s="100"/>
      <c r="E7858" s="100"/>
      <c r="F7858" s="102"/>
      <c r="G7858" s="114"/>
    </row>
    <row r="7859" spans="2:7" ht="15.75" customHeight="1" x14ac:dyDescent="0.25">
      <c r="B7859" s="100"/>
      <c r="C7859" s="100"/>
      <c r="D7859" s="100"/>
      <c r="E7859" s="100"/>
      <c r="F7859" s="102"/>
      <c r="G7859" s="114"/>
    </row>
    <row r="7860" spans="2:7" ht="15.75" customHeight="1" x14ac:dyDescent="0.25">
      <c r="B7860" s="100"/>
      <c r="C7860" s="100"/>
      <c r="D7860" s="100"/>
      <c r="E7860" s="100"/>
      <c r="F7860" s="102"/>
      <c r="G7860" s="114"/>
    </row>
    <row r="7861" spans="2:7" ht="15.75" customHeight="1" x14ac:dyDescent="0.25">
      <c r="B7861" s="100"/>
      <c r="C7861" s="100"/>
      <c r="D7861" s="100"/>
      <c r="E7861" s="100"/>
      <c r="F7861" s="102"/>
      <c r="G7861" s="114"/>
    </row>
    <row r="7862" spans="2:7" ht="15.75" customHeight="1" x14ac:dyDescent="0.25">
      <c r="B7862" s="100"/>
      <c r="C7862" s="100"/>
      <c r="D7862" s="100"/>
      <c r="E7862" s="100"/>
      <c r="F7862" s="102"/>
      <c r="G7862" s="114"/>
    </row>
    <row r="7863" spans="2:7" ht="15.75" customHeight="1" x14ac:dyDescent="0.25">
      <c r="B7863" s="100"/>
      <c r="C7863" s="100"/>
      <c r="D7863" s="100"/>
      <c r="E7863" s="100"/>
      <c r="F7863" s="102"/>
      <c r="G7863" s="114"/>
    </row>
    <row r="7864" spans="2:7" ht="15.75" customHeight="1" x14ac:dyDescent="0.25">
      <c r="B7864" s="100"/>
      <c r="C7864" s="100"/>
      <c r="D7864" s="100"/>
      <c r="E7864" s="100"/>
      <c r="F7864" s="102"/>
      <c r="G7864" s="114"/>
    </row>
    <row r="7865" spans="2:7" ht="15.75" customHeight="1" x14ac:dyDescent="0.25">
      <c r="B7865" s="100"/>
      <c r="C7865" s="100"/>
      <c r="D7865" s="100"/>
      <c r="E7865" s="100"/>
      <c r="F7865" s="102"/>
      <c r="G7865" s="114"/>
    </row>
    <row r="7866" spans="2:7" ht="15.75" customHeight="1" x14ac:dyDescent="0.25">
      <c r="B7866" s="100"/>
      <c r="C7866" s="100"/>
      <c r="D7866" s="100"/>
      <c r="E7866" s="100"/>
      <c r="F7866" s="102"/>
      <c r="G7866" s="114"/>
    </row>
    <row r="7867" spans="2:7" ht="15.75" customHeight="1" x14ac:dyDescent="0.25">
      <c r="B7867" s="100"/>
      <c r="C7867" s="100"/>
      <c r="D7867" s="100"/>
      <c r="E7867" s="100"/>
      <c r="F7867" s="102"/>
      <c r="G7867" s="114"/>
    </row>
    <row r="7868" spans="2:7" ht="15.75" customHeight="1" x14ac:dyDescent="0.25">
      <c r="B7868" s="100"/>
      <c r="C7868" s="100"/>
      <c r="D7868" s="100"/>
      <c r="E7868" s="100"/>
      <c r="F7868" s="102"/>
      <c r="G7868" s="114"/>
    </row>
    <row r="7869" spans="2:7" ht="15.75" customHeight="1" x14ac:dyDescent="0.25">
      <c r="B7869" s="100"/>
      <c r="C7869" s="100"/>
      <c r="D7869" s="100"/>
      <c r="E7869" s="100"/>
      <c r="F7869" s="102"/>
      <c r="G7869" s="114"/>
    </row>
    <row r="7870" spans="2:7" ht="15.75" customHeight="1" x14ac:dyDescent="0.25">
      <c r="B7870" s="100"/>
      <c r="C7870" s="100"/>
      <c r="D7870" s="100"/>
      <c r="E7870" s="100"/>
      <c r="F7870" s="102"/>
      <c r="G7870" s="114"/>
    </row>
    <row r="7871" spans="2:7" ht="15.75" customHeight="1" x14ac:dyDescent="0.25">
      <c r="B7871" s="100"/>
      <c r="C7871" s="100"/>
      <c r="D7871" s="100"/>
      <c r="E7871" s="100"/>
      <c r="F7871" s="102"/>
      <c r="G7871" s="114"/>
    </row>
    <row r="7872" spans="2:7" ht="15.75" customHeight="1" x14ac:dyDescent="0.25">
      <c r="B7872" s="100"/>
      <c r="C7872" s="100"/>
      <c r="D7872" s="100"/>
      <c r="E7872" s="100"/>
      <c r="F7872" s="102"/>
      <c r="G7872" s="114"/>
    </row>
    <row r="7873" spans="2:7" ht="15.75" customHeight="1" x14ac:dyDescent="0.25">
      <c r="B7873" s="100"/>
      <c r="C7873" s="100"/>
      <c r="D7873" s="100"/>
      <c r="E7873" s="100"/>
      <c r="F7873" s="102"/>
      <c r="G7873" s="114"/>
    </row>
    <row r="7874" spans="2:7" ht="15.75" customHeight="1" x14ac:dyDescent="0.25">
      <c r="B7874" s="100"/>
      <c r="C7874" s="100"/>
      <c r="D7874" s="100"/>
      <c r="E7874" s="100"/>
      <c r="F7874" s="102"/>
      <c r="G7874" s="114"/>
    </row>
    <row r="7875" spans="2:7" ht="15.75" customHeight="1" x14ac:dyDescent="0.25">
      <c r="B7875" s="100"/>
      <c r="C7875" s="100"/>
      <c r="D7875" s="100"/>
      <c r="E7875" s="100"/>
      <c r="F7875" s="102"/>
      <c r="G7875" s="114"/>
    </row>
    <row r="7876" spans="2:7" ht="15.75" customHeight="1" x14ac:dyDescent="0.25">
      <c r="B7876" s="100"/>
      <c r="C7876" s="100"/>
      <c r="D7876" s="100"/>
      <c r="E7876" s="100"/>
      <c r="F7876" s="102"/>
      <c r="G7876" s="114"/>
    </row>
    <row r="7877" spans="2:7" ht="15.75" customHeight="1" x14ac:dyDescent="0.25">
      <c r="B7877" s="100"/>
      <c r="C7877" s="100"/>
      <c r="D7877" s="100"/>
      <c r="E7877" s="100"/>
      <c r="F7877" s="102"/>
      <c r="G7877" s="114"/>
    </row>
    <row r="7878" spans="2:7" ht="15.75" customHeight="1" x14ac:dyDescent="0.25">
      <c r="B7878" s="100"/>
      <c r="C7878" s="100"/>
      <c r="D7878" s="100"/>
      <c r="E7878" s="100"/>
      <c r="F7878" s="102"/>
      <c r="G7878" s="114"/>
    </row>
    <row r="7879" spans="2:7" ht="15.75" customHeight="1" x14ac:dyDescent="0.25">
      <c r="B7879" s="100"/>
      <c r="C7879" s="100"/>
      <c r="D7879" s="100"/>
      <c r="E7879" s="100"/>
      <c r="F7879" s="102"/>
      <c r="G7879" s="114"/>
    </row>
    <row r="7880" spans="2:7" ht="15.75" customHeight="1" x14ac:dyDescent="0.25">
      <c r="B7880" s="100"/>
      <c r="C7880" s="100"/>
      <c r="D7880" s="100"/>
      <c r="E7880" s="100"/>
      <c r="F7880" s="102"/>
      <c r="G7880" s="114"/>
    </row>
    <row r="7881" spans="2:7" ht="15.75" customHeight="1" x14ac:dyDescent="0.25">
      <c r="B7881" s="100"/>
      <c r="C7881" s="100"/>
      <c r="D7881" s="100"/>
      <c r="E7881" s="100"/>
      <c r="F7881" s="102"/>
      <c r="G7881" s="114"/>
    </row>
    <row r="7882" spans="2:7" ht="15.75" customHeight="1" x14ac:dyDescent="0.25">
      <c r="B7882" s="100"/>
      <c r="C7882" s="100"/>
      <c r="D7882" s="100"/>
      <c r="E7882" s="100"/>
      <c r="F7882" s="102"/>
      <c r="G7882" s="114"/>
    </row>
    <row r="7883" spans="2:7" ht="15.75" customHeight="1" x14ac:dyDescent="0.25">
      <c r="B7883" s="100"/>
      <c r="C7883" s="100"/>
      <c r="D7883" s="100"/>
      <c r="E7883" s="100"/>
      <c r="F7883" s="102"/>
      <c r="G7883" s="114"/>
    </row>
    <row r="7884" spans="2:7" ht="15.75" customHeight="1" x14ac:dyDescent="0.25">
      <c r="B7884" s="100"/>
      <c r="C7884" s="100"/>
      <c r="D7884" s="100"/>
      <c r="E7884" s="100"/>
      <c r="F7884" s="102"/>
      <c r="G7884" s="114"/>
    </row>
    <row r="7885" spans="2:7" ht="15.75" customHeight="1" x14ac:dyDescent="0.25">
      <c r="B7885" s="100"/>
      <c r="C7885" s="100"/>
      <c r="D7885" s="100"/>
      <c r="E7885" s="100"/>
      <c r="F7885" s="102"/>
      <c r="G7885" s="114"/>
    </row>
    <row r="7886" spans="2:7" ht="15.75" customHeight="1" x14ac:dyDescent="0.25">
      <c r="B7886" s="100"/>
      <c r="C7886" s="100"/>
      <c r="D7886" s="100"/>
      <c r="E7886" s="100"/>
      <c r="F7886" s="102"/>
      <c r="G7886" s="114"/>
    </row>
    <row r="7887" spans="2:7" ht="15.75" customHeight="1" x14ac:dyDescent="0.25">
      <c r="B7887" s="100"/>
      <c r="C7887" s="100"/>
      <c r="D7887" s="100"/>
      <c r="E7887" s="100"/>
      <c r="F7887" s="102"/>
      <c r="G7887" s="114"/>
    </row>
    <row r="7888" spans="2:7" ht="15.75" customHeight="1" x14ac:dyDescent="0.25">
      <c r="B7888" s="100"/>
      <c r="C7888" s="100"/>
      <c r="D7888" s="100"/>
      <c r="E7888" s="100"/>
      <c r="F7888" s="102"/>
      <c r="G7888" s="114"/>
    </row>
    <row r="7889" spans="2:7" ht="15.75" customHeight="1" x14ac:dyDescent="0.25">
      <c r="B7889" s="100"/>
      <c r="C7889" s="100"/>
      <c r="D7889" s="100"/>
      <c r="E7889" s="100"/>
      <c r="F7889" s="102"/>
      <c r="G7889" s="114"/>
    </row>
    <row r="7890" spans="2:7" ht="15.75" customHeight="1" x14ac:dyDescent="0.25">
      <c r="B7890" s="100"/>
      <c r="C7890" s="100"/>
      <c r="D7890" s="100"/>
      <c r="E7890" s="100"/>
      <c r="F7890" s="102"/>
      <c r="G7890" s="114"/>
    </row>
    <row r="7891" spans="2:7" ht="15.75" customHeight="1" x14ac:dyDescent="0.25">
      <c r="B7891" s="100"/>
      <c r="C7891" s="100"/>
      <c r="D7891" s="100"/>
      <c r="E7891" s="100"/>
      <c r="F7891" s="102"/>
      <c r="G7891" s="114"/>
    </row>
    <row r="7892" spans="2:7" ht="15.75" customHeight="1" x14ac:dyDescent="0.25">
      <c r="B7892" s="100"/>
      <c r="C7892" s="100"/>
      <c r="D7892" s="100"/>
      <c r="E7892" s="100"/>
      <c r="F7892" s="102"/>
      <c r="G7892" s="114"/>
    </row>
    <row r="7893" spans="2:7" ht="15.75" customHeight="1" x14ac:dyDescent="0.25">
      <c r="B7893" s="100"/>
      <c r="C7893" s="100"/>
      <c r="D7893" s="100"/>
      <c r="E7893" s="100"/>
      <c r="F7893" s="102"/>
      <c r="G7893" s="114"/>
    </row>
    <row r="7894" spans="2:7" ht="15.75" customHeight="1" x14ac:dyDescent="0.25">
      <c r="B7894" s="100"/>
      <c r="C7894" s="100"/>
      <c r="D7894" s="100"/>
      <c r="E7894" s="100"/>
      <c r="F7894" s="102"/>
      <c r="G7894" s="114"/>
    </row>
    <row r="7895" spans="2:7" ht="15.75" customHeight="1" x14ac:dyDescent="0.25">
      <c r="B7895" s="100"/>
      <c r="C7895" s="100"/>
      <c r="D7895" s="100"/>
      <c r="E7895" s="100"/>
      <c r="F7895" s="102"/>
      <c r="G7895" s="114"/>
    </row>
    <row r="7896" spans="2:7" ht="15.75" customHeight="1" x14ac:dyDescent="0.25">
      <c r="B7896" s="100"/>
      <c r="C7896" s="100"/>
      <c r="D7896" s="100"/>
      <c r="E7896" s="100"/>
      <c r="F7896" s="102"/>
      <c r="G7896" s="114"/>
    </row>
    <row r="7897" spans="2:7" ht="15.75" customHeight="1" x14ac:dyDescent="0.25">
      <c r="B7897" s="100"/>
      <c r="C7897" s="100"/>
      <c r="D7897" s="100"/>
      <c r="E7897" s="100"/>
      <c r="F7897" s="102"/>
      <c r="G7897" s="114"/>
    </row>
    <row r="7898" spans="2:7" ht="15.75" customHeight="1" x14ac:dyDescent="0.25">
      <c r="B7898" s="100"/>
      <c r="C7898" s="100"/>
      <c r="D7898" s="100"/>
      <c r="E7898" s="100"/>
      <c r="F7898" s="102"/>
      <c r="G7898" s="114"/>
    </row>
    <row r="7899" spans="2:7" ht="15.75" customHeight="1" x14ac:dyDescent="0.25">
      <c r="B7899" s="100"/>
      <c r="C7899" s="100"/>
      <c r="D7899" s="100"/>
      <c r="E7899" s="100"/>
      <c r="F7899" s="102"/>
      <c r="G7899" s="114"/>
    </row>
    <row r="7900" spans="2:7" ht="15.75" customHeight="1" x14ac:dyDescent="0.25">
      <c r="B7900" s="100"/>
      <c r="C7900" s="100"/>
      <c r="D7900" s="100"/>
      <c r="E7900" s="100"/>
      <c r="F7900" s="102"/>
      <c r="G7900" s="114"/>
    </row>
    <row r="7901" spans="2:7" ht="15.75" customHeight="1" x14ac:dyDescent="0.25">
      <c r="B7901" s="100"/>
      <c r="C7901" s="100"/>
      <c r="D7901" s="100"/>
      <c r="E7901" s="100"/>
      <c r="F7901" s="102"/>
      <c r="G7901" s="114"/>
    </row>
    <row r="7902" spans="2:7" ht="15.75" customHeight="1" x14ac:dyDescent="0.25">
      <c r="B7902" s="100"/>
      <c r="C7902" s="100"/>
      <c r="D7902" s="100"/>
      <c r="E7902" s="100"/>
      <c r="F7902" s="102"/>
      <c r="G7902" s="114"/>
    </row>
    <row r="7903" spans="2:7" ht="15.75" customHeight="1" x14ac:dyDescent="0.25">
      <c r="B7903" s="100"/>
      <c r="C7903" s="100"/>
      <c r="D7903" s="100"/>
      <c r="E7903" s="100"/>
      <c r="F7903" s="102"/>
      <c r="G7903" s="114"/>
    </row>
    <row r="7904" spans="2:7" ht="15.75" customHeight="1" x14ac:dyDescent="0.25">
      <c r="B7904" s="100"/>
      <c r="C7904" s="100"/>
      <c r="D7904" s="100"/>
      <c r="E7904" s="100"/>
      <c r="F7904" s="102"/>
      <c r="G7904" s="114"/>
    </row>
    <row r="7905" spans="2:7" ht="15.75" customHeight="1" x14ac:dyDescent="0.25">
      <c r="B7905" s="100"/>
      <c r="C7905" s="100"/>
      <c r="D7905" s="100"/>
      <c r="E7905" s="100"/>
      <c r="F7905" s="102"/>
      <c r="G7905" s="114"/>
    </row>
    <row r="7906" spans="2:7" ht="15.75" customHeight="1" x14ac:dyDescent="0.25">
      <c r="B7906" s="100"/>
      <c r="C7906" s="100"/>
      <c r="D7906" s="100"/>
      <c r="E7906" s="100"/>
      <c r="F7906" s="102"/>
      <c r="G7906" s="114"/>
    </row>
    <row r="7907" spans="2:7" ht="15.75" customHeight="1" x14ac:dyDescent="0.25">
      <c r="B7907" s="100"/>
      <c r="C7907" s="100"/>
      <c r="D7907" s="100"/>
      <c r="E7907" s="100"/>
      <c r="F7907" s="102"/>
      <c r="G7907" s="114"/>
    </row>
    <row r="7908" spans="2:7" ht="15.75" customHeight="1" x14ac:dyDescent="0.25">
      <c r="B7908" s="100"/>
      <c r="C7908" s="100"/>
      <c r="D7908" s="100"/>
      <c r="E7908" s="100"/>
      <c r="F7908" s="102"/>
      <c r="G7908" s="114"/>
    </row>
    <row r="7909" spans="2:7" ht="15.75" customHeight="1" x14ac:dyDescent="0.25">
      <c r="B7909" s="100"/>
      <c r="C7909" s="100"/>
      <c r="D7909" s="100"/>
      <c r="E7909" s="100"/>
      <c r="F7909" s="102"/>
      <c r="G7909" s="114"/>
    </row>
    <row r="7910" spans="2:7" ht="15.75" customHeight="1" x14ac:dyDescent="0.25">
      <c r="B7910" s="100"/>
      <c r="C7910" s="100"/>
      <c r="D7910" s="100"/>
      <c r="E7910" s="100"/>
      <c r="F7910" s="102"/>
      <c r="G7910" s="114"/>
    </row>
    <row r="7911" spans="2:7" ht="15.75" customHeight="1" x14ac:dyDescent="0.25">
      <c r="B7911" s="100"/>
      <c r="C7911" s="100"/>
      <c r="D7911" s="100"/>
      <c r="E7911" s="100"/>
      <c r="F7911" s="102"/>
      <c r="G7911" s="114"/>
    </row>
    <row r="7912" spans="2:7" ht="15.75" customHeight="1" x14ac:dyDescent="0.25">
      <c r="B7912" s="100"/>
      <c r="C7912" s="100"/>
      <c r="D7912" s="100"/>
      <c r="E7912" s="100"/>
      <c r="F7912" s="102"/>
      <c r="G7912" s="114"/>
    </row>
    <row r="7913" spans="2:7" ht="15.75" customHeight="1" x14ac:dyDescent="0.25">
      <c r="B7913" s="100"/>
      <c r="C7913" s="100"/>
      <c r="D7913" s="100"/>
      <c r="E7913" s="100"/>
      <c r="F7913" s="102"/>
      <c r="G7913" s="114"/>
    </row>
    <row r="7914" spans="2:7" ht="15.75" customHeight="1" x14ac:dyDescent="0.25">
      <c r="B7914" s="100"/>
      <c r="C7914" s="100"/>
      <c r="D7914" s="100"/>
      <c r="E7914" s="100"/>
      <c r="F7914" s="102"/>
      <c r="G7914" s="114"/>
    </row>
    <row r="7915" spans="2:7" ht="15.75" customHeight="1" x14ac:dyDescent="0.25">
      <c r="B7915" s="100"/>
      <c r="C7915" s="100"/>
      <c r="D7915" s="100"/>
      <c r="E7915" s="100"/>
      <c r="F7915" s="102"/>
      <c r="G7915" s="114"/>
    </row>
    <row r="7916" spans="2:7" ht="15.75" customHeight="1" x14ac:dyDescent="0.25">
      <c r="B7916" s="100"/>
      <c r="C7916" s="100"/>
      <c r="D7916" s="100"/>
      <c r="E7916" s="100"/>
      <c r="F7916" s="102"/>
      <c r="G7916" s="114"/>
    </row>
    <row r="7917" spans="2:7" ht="15.75" customHeight="1" x14ac:dyDescent="0.25">
      <c r="B7917" s="100"/>
      <c r="C7917" s="100"/>
      <c r="D7917" s="100"/>
      <c r="E7917" s="100"/>
      <c r="F7917" s="102"/>
      <c r="G7917" s="114"/>
    </row>
    <row r="7918" spans="2:7" ht="15.75" customHeight="1" x14ac:dyDescent="0.25">
      <c r="B7918" s="100"/>
      <c r="C7918" s="100"/>
      <c r="D7918" s="100"/>
      <c r="E7918" s="100"/>
      <c r="F7918" s="102"/>
      <c r="G7918" s="114"/>
    </row>
    <row r="7919" spans="2:7" ht="15.75" customHeight="1" x14ac:dyDescent="0.25">
      <c r="B7919" s="100"/>
      <c r="C7919" s="100"/>
      <c r="D7919" s="100"/>
      <c r="E7919" s="100"/>
      <c r="F7919" s="102"/>
      <c r="G7919" s="114"/>
    </row>
    <row r="7920" spans="2:7" ht="15.75" customHeight="1" x14ac:dyDescent="0.25">
      <c r="B7920" s="100"/>
      <c r="C7920" s="100"/>
      <c r="D7920" s="100"/>
      <c r="E7920" s="100"/>
      <c r="F7920" s="102"/>
      <c r="G7920" s="114"/>
    </row>
    <row r="7921" spans="2:7" ht="15.75" customHeight="1" x14ac:dyDescent="0.25">
      <c r="B7921" s="100"/>
      <c r="C7921" s="100"/>
      <c r="D7921" s="100"/>
      <c r="E7921" s="100"/>
      <c r="F7921" s="102"/>
      <c r="G7921" s="114"/>
    </row>
    <row r="7922" spans="2:7" ht="15.75" customHeight="1" x14ac:dyDescent="0.25">
      <c r="B7922" s="100"/>
      <c r="C7922" s="100"/>
      <c r="D7922" s="100"/>
      <c r="E7922" s="100"/>
      <c r="F7922" s="102"/>
      <c r="G7922" s="114"/>
    </row>
    <row r="7923" spans="2:7" ht="15.75" customHeight="1" x14ac:dyDescent="0.25">
      <c r="B7923" s="100"/>
      <c r="C7923" s="100"/>
      <c r="D7923" s="100"/>
      <c r="E7923" s="100"/>
      <c r="F7923" s="102"/>
      <c r="G7923" s="114"/>
    </row>
    <row r="7924" spans="2:7" ht="15.75" customHeight="1" x14ac:dyDescent="0.25">
      <c r="B7924" s="100"/>
      <c r="C7924" s="100"/>
      <c r="D7924" s="100"/>
      <c r="E7924" s="100"/>
      <c r="F7924" s="102"/>
      <c r="G7924" s="114"/>
    </row>
    <row r="7925" spans="2:7" ht="15.75" customHeight="1" x14ac:dyDescent="0.25">
      <c r="B7925" s="100"/>
      <c r="C7925" s="100"/>
      <c r="D7925" s="100"/>
      <c r="E7925" s="100"/>
      <c r="F7925" s="102"/>
      <c r="G7925" s="114"/>
    </row>
    <row r="7926" spans="2:7" ht="15.75" customHeight="1" x14ac:dyDescent="0.25">
      <c r="B7926" s="100"/>
      <c r="C7926" s="100"/>
      <c r="D7926" s="100"/>
      <c r="E7926" s="100"/>
      <c r="F7926" s="102"/>
      <c r="G7926" s="114"/>
    </row>
    <row r="7927" spans="2:7" ht="15.75" customHeight="1" x14ac:dyDescent="0.25">
      <c r="B7927" s="100"/>
      <c r="C7927" s="100"/>
      <c r="D7927" s="100"/>
      <c r="E7927" s="100"/>
      <c r="F7927" s="102"/>
      <c r="G7927" s="114"/>
    </row>
    <row r="7928" spans="2:7" ht="15.75" customHeight="1" x14ac:dyDescent="0.25">
      <c r="B7928" s="100"/>
      <c r="C7928" s="100"/>
      <c r="D7928" s="100"/>
      <c r="E7928" s="100"/>
      <c r="F7928" s="102"/>
      <c r="G7928" s="114"/>
    </row>
    <row r="7929" spans="2:7" ht="15.75" customHeight="1" x14ac:dyDescent="0.25">
      <c r="B7929" s="100"/>
      <c r="C7929" s="100"/>
      <c r="D7929" s="100"/>
      <c r="E7929" s="100"/>
      <c r="F7929" s="102"/>
      <c r="G7929" s="114"/>
    </row>
    <row r="7930" spans="2:7" ht="15.75" customHeight="1" x14ac:dyDescent="0.25">
      <c r="B7930" s="100"/>
      <c r="C7930" s="100"/>
      <c r="D7930" s="100"/>
      <c r="E7930" s="100"/>
      <c r="F7930" s="102"/>
      <c r="G7930" s="114"/>
    </row>
    <row r="7931" spans="2:7" ht="15.75" customHeight="1" x14ac:dyDescent="0.25">
      <c r="B7931" s="100"/>
      <c r="C7931" s="100"/>
      <c r="D7931" s="100"/>
      <c r="E7931" s="100"/>
      <c r="F7931" s="102"/>
      <c r="G7931" s="114"/>
    </row>
    <row r="7932" spans="2:7" ht="15.75" customHeight="1" x14ac:dyDescent="0.25">
      <c r="B7932" s="100"/>
      <c r="C7932" s="100"/>
      <c r="D7932" s="100"/>
      <c r="E7932" s="100"/>
      <c r="F7932" s="102"/>
      <c r="G7932" s="114"/>
    </row>
    <row r="7933" spans="2:7" ht="15.75" customHeight="1" x14ac:dyDescent="0.25">
      <c r="B7933" s="100"/>
      <c r="C7933" s="100"/>
      <c r="D7933" s="100"/>
      <c r="E7933" s="100"/>
      <c r="F7933" s="102"/>
      <c r="G7933" s="114"/>
    </row>
    <row r="7934" spans="2:7" ht="15.75" customHeight="1" x14ac:dyDescent="0.25">
      <c r="B7934" s="100"/>
      <c r="C7934" s="100"/>
      <c r="D7934" s="100"/>
      <c r="E7934" s="100"/>
      <c r="F7934" s="102"/>
      <c r="G7934" s="114"/>
    </row>
    <row r="7935" spans="2:7" ht="15.75" customHeight="1" x14ac:dyDescent="0.25">
      <c r="B7935" s="100"/>
      <c r="C7935" s="100"/>
      <c r="D7935" s="100"/>
      <c r="E7935" s="100"/>
      <c r="F7935" s="102"/>
      <c r="G7935" s="114"/>
    </row>
    <row r="7936" spans="2:7" ht="15.75" customHeight="1" x14ac:dyDescent="0.25">
      <c r="B7936" s="100"/>
      <c r="C7936" s="100"/>
      <c r="D7936" s="100"/>
      <c r="E7936" s="100"/>
      <c r="F7936" s="102"/>
      <c r="G7936" s="114"/>
    </row>
    <row r="7937" spans="2:7" ht="15.75" customHeight="1" x14ac:dyDescent="0.25">
      <c r="B7937" s="100"/>
      <c r="C7937" s="100"/>
      <c r="D7937" s="100"/>
      <c r="E7937" s="100"/>
      <c r="F7937" s="102"/>
      <c r="G7937" s="114"/>
    </row>
    <row r="7938" spans="2:7" ht="15.75" customHeight="1" x14ac:dyDescent="0.25">
      <c r="B7938" s="100"/>
      <c r="C7938" s="100"/>
      <c r="D7938" s="100"/>
      <c r="E7938" s="100"/>
      <c r="F7938" s="102"/>
      <c r="G7938" s="114"/>
    </row>
    <row r="7939" spans="2:7" ht="15.75" customHeight="1" x14ac:dyDescent="0.25">
      <c r="B7939" s="100"/>
      <c r="C7939" s="100"/>
      <c r="D7939" s="100"/>
      <c r="E7939" s="100"/>
      <c r="F7939" s="102"/>
      <c r="G7939" s="114"/>
    </row>
    <row r="7940" spans="2:7" ht="15.75" customHeight="1" x14ac:dyDescent="0.25">
      <c r="B7940" s="100"/>
      <c r="C7940" s="100"/>
      <c r="D7940" s="100"/>
      <c r="E7940" s="100"/>
      <c r="F7940" s="102"/>
      <c r="G7940" s="114"/>
    </row>
    <row r="7941" spans="2:7" ht="15.75" customHeight="1" x14ac:dyDescent="0.25">
      <c r="B7941" s="100"/>
      <c r="C7941" s="100"/>
      <c r="D7941" s="100"/>
      <c r="E7941" s="100"/>
      <c r="F7941" s="102"/>
      <c r="G7941" s="114"/>
    </row>
    <row r="7942" spans="2:7" ht="15.75" customHeight="1" x14ac:dyDescent="0.25">
      <c r="B7942" s="100"/>
      <c r="C7942" s="100"/>
      <c r="D7942" s="100"/>
      <c r="E7942" s="100"/>
      <c r="F7942" s="102"/>
      <c r="G7942" s="114"/>
    </row>
    <row r="7943" spans="2:7" ht="15.75" customHeight="1" x14ac:dyDescent="0.25">
      <c r="B7943" s="100"/>
      <c r="C7943" s="100"/>
      <c r="D7943" s="100"/>
      <c r="E7943" s="100"/>
      <c r="F7943" s="102"/>
      <c r="G7943" s="114"/>
    </row>
    <row r="7944" spans="2:7" ht="15.75" customHeight="1" x14ac:dyDescent="0.25">
      <c r="B7944" s="100"/>
      <c r="C7944" s="100"/>
      <c r="D7944" s="100"/>
      <c r="E7944" s="100"/>
      <c r="F7944" s="102"/>
      <c r="G7944" s="114"/>
    </row>
    <row r="7945" spans="2:7" ht="15.75" customHeight="1" x14ac:dyDescent="0.25">
      <c r="B7945" s="100"/>
      <c r="C7945" s="100"/>
      <c r="D7945" s="100"/>
      <c r="E7945" s="100"/>
      <c r="F7945" s="102"/>
      <c r="G7945" s="114"/>
    </row>
    <row r="7946" spans="2:7" ht="15.75" customHeight="1" x14ac:dyDescent="0.25">
      <c r="B7946" s="100"/>
      <c r="C7946" s="100"/>
      <c r="D7946" s="100"/>
      <c r="E7946" s="100"/>
      <c r="F7946" s="102"/>
      <c r="G7946" s="114"/>
    </row>
    <row r="7947" spans="2:7" ht="15.75" customHeight="1" x14ac:dyDescent="0.25">
      <c r="B7947" s="100"/>
      <c r="C7947" s="100"/>
      <c r="D7947" s="100"/>
      <c r="E7947" s="100"/>
      <c r="F7947" s="102"/>
      <c r="G7947" s="114"/>
    </row>
    <row r="7948" spans="2:7" ht="15.75" customHeight="1" x14ac:dyDescent="0.25">
      <c r="B7948" s="100"/>
      <c r="C7948" s="100"/>
      <c r="D7948" s="100"/>
      <c r="E7948" s="100"/>
      <c r="F7948" s="102"/>
      <c r="G7948" s="114"/>
    </row>
    <row r="7949" spans="2:7" ht="15.75" customHeight="1" x14ac:dyDescent="0.25">
      <c r="B7949" s="100"/>
      <c r="C7949" s="100"/>
      <c r="D7949" s="100"/>
      <c r="E7949" s="100"/>
      <c r="F7949" s="102"/>
      <c r="G7949" s="114"/>
    </row>
    <row r="7950" spans="2:7" ht="15.75" customHeight="1" x14ac:dyDescent="0.25">
      <c r="B7950" s="100"/>
      <c r="C7950" s="100"/>
      <c r="D7950" s="100"/>
      <c r="E7950" s="100"/>
      <c r="F7950" s="102"/>
      <c r="G7950" s="114"/>
    </row>
    <row r="7951" spans="2:7" ht="15.75" customHeight="1" x14ac:dyDescent="0.25">
      <c r="B7951" s="100"/>
      <c r="C7951" s="100"/>
      <c r="D7951" s="100"/>
      <c r="E7951" s="100"/>
      <c r="F7951" s="102"/>
      <c r="G7951" s="114"/>
    </row>
    <row r="7952" spans="2:7" ht="15.75" customHeight="1" x14ac:dyDescent="0.25">
      <c r="B7952" s="100"/>
      <c r="C7952" s="100"/>
      <c r="D7952" s="100"/>
      <c r="E7952" s="100"/>
      <c r="F7952" s="102"/>
      <c r="G7952" s="114"/>
    </row>
    <row r="7953" spans="2:7" ht="15.75" customHeight="1" x14ac:dyDescent="0.25">
      <c r="B7953" s="100"/>
      <c r="C7953" s="100"/>
      <c r="D7953" s="100"/>
      <c r="E7953" s="100"/>
      <c r="F7953" s="102"/>
      <c r="G7953" s="114"/>
    </row>
    <row r="7954" spans="2:7" ht="15.75" customHeight="1" x14ac:dyDescent="0.25">
      <c r="B7954" s="100"/>
      <c r="C7954" s="100"/>
      <c r="D7954" s="100"/>
      <c r="E7954" s="100"/>
      <c r="F7954" s="102"/>
      <c r="G7954" s="114"/>
    </row>
    <row r="7955" spans="2:7" ht="15.75" customHeight="1" x14ac:dyDescent="0.25">
      <c r="B7955" s="100"/>
      <c r="C7955" s="100"/>
      <c r="D7955" s="100"/>
      <c r="E7955" s="100"/>
      <c r="F7955" s="102"/>
      <c r="G7955" s="114"/>
    </row>
    <row r="7956" spans="2:7" ht="15.75" customHeight="1" x14ac:dyDescent="0.25">
      <c r="B7956" s="100"/>
      <c r="C7956" s="100"/>
      <c r="D7956" s="100"/>
      <c r="E7956" s="100"/>
      <c r="F7956" s="102"/>
      <c r="G7956" s="114"/>
    </row>
    <row r="7957" spans="2:7" ht="15.75" customHeight="1" x14ac:dyDescent="0.25">
      <c r="B7957" s="100"/>
      <c r="C7957" s="100"/>
      <c r="D7957" s="100"/>
      <c r="E7957" s="100"/>
      <c r="F7957" s="102"/>
      <c r="G7957" s="114"/>
    </row>
    <row r="7958" spans="2:7" ht="15.75" customHeight="1" x14ac:dyDescent="0.25">
      <c r="B7958" s="100"/>
      <c r="C7958" s="100"/>
      <c r="D7958" s="100"/>
      <c r="E7958" s="100"/>
      <c r="F7958" s="102"/>
      <c r="G7958" s="114"/>
    </row>
    <row r="7959" spans="2:7" ht="15.75" customHeight="1" x14ac:dyDescent="0.25">
      <c r="B7959" s="100"/>
      <c r="C7959" s="100"/>
      <c r="D7959" s="100"/>
      <c r="E7959" s="100"/>
      <c r="F7959" s="102"/>
      <c r="G7959" s="114"/>
    </row>
    <row r="7960" spans="2:7" ht="15.75" customHeight="1" x14ac:dyDescent="0.25">
      <c r="B7960" s="100"/>
      <c r="C7960" s="100"/>
      <c r="D7960" s="100"/>
      <c r="E7960" s="100"/>
      <c r="F7960" s="102"/>
      <c r="G7960" s="114"/>
    </row>
    <row r="7961" spans="2:7" ht="15.75" customHeight="1" x14ac:dyDescent="0.25">
      <c r="B7961" s="100"/>
      <c r="C7961" s="100"/>
      <c r="D7961" s="100"/>
      <c r="E7961" s="100"/>
      <c r="F7961" s="102"/>
      <c r="G7961" s="114"/>
    </row>
    <row r="7962" spans="2:7" ht="15.75" customHeight="1" x14ac:dyDescent="0.25">
      <c r="B7962" s="100"/>
      <c r="C7962" s="100"/>
      <c r="D7962" s="100"/>
      <c r="E7962" s="100"/>
      <c r="F7962" s="102"/>
      <c r="G7962" s="114"/>
    </row>
    <row r="7963" spans="2:7" ht="15.75" customHeight="1" x14ac:dyDescent="0.25">
      <c r="B7963" s="100"/>
      <c r="C7963" s="100"/>
      <c r="D7963" s="100"/>
      <c r="E7963" s="100"/>
      <c r="F7963" s="102"/>
      <c r="G7963" s="114"/>
    </row>
    <row r="7964" spans="2:7" ht="15.75" customHeight="1" x14ac:dyDescent="0.25">
      <c r="B7964" s="100"/>
      <c r="C7964" s="100"/>
      <c r="D7964" s="100"/>
      <c r="E7964" s="100"/>
      <c r="F7964" s="102"/>
      <c r="G7964" s="114"/>
    </row>
    <row r="7965" spans="2:7" ht="15.75" customHeight="1" x14ac:dyDescent="0.25">
      <c r="B7965" s="100"/>
      <c r="C7965" s="100"/>
      <c r="D7965" s="100"/>
      <c r="E7965" s="100"/>
      <c r="F7965" s="102"/>
      <c r="G7965" s="114"/>
    </row>
    <row r="7966" spans="2:7" ht="15.75" customHeight="1" x14ac:dyDescent="0.25">
      <c r="B7966" s="100"/>
      <c r="C7966" s="100"/>
      <c r="D7966" s="100"/>
      <c r="E7966" s="100"/>
      <c r="F7966" s="102"/>
      <c r="G7966" s="114"/>
    </row>
    <row r="7967" spans="2:7" ht="15.75" customHeight="1" x14ac:dyDescent="0.25">
      <c r="B7967" s="100"/>
      <c r="C7967" s="100"/>
      <c r="D7967" s="100"/>
      <c r="E7967" s="100"/>
      <c r="F7967" s="102"/>
      <c r="G7967" s="114"/>
    </row>
    <row r="7968" spans="2:7" ht="15.75" customHeight="1" x14ac:dyDescent="0.25">
      <c r="B7968" s="100"/>
      <c r="C7968" s="100"/>
      <c r="D7968" s="100"/>
      <c r="E7968" s="100"/>
      <c r="F7968" s="102"/>
      <c r="G7968" s="114"/>
    </row>
    <row r="7969" spans="2:7" ht="15.75" customHeight="1" x14ac:dyDescent="0.25">
      <c r="B7969" s="100"/>
      <c r="C7969" s="100"/>
      <c r="D7969" s="100"/>
      <c r="E7969" s="100"/>
      <c r="F7969" s="102"/>
      <c r="G7969" s="114"/>
    </row>
    <row r="7970" spans="2:7" ht="15.75" customHeight="1" x14ac:dyDescent="0.25">
      <c r="B7970" s="100"/>
      <c r="C7970" s="100"/>
      <c r="D7970" s="100"/>
      <c r="E7970" s="100"/>
      <c r="F7970" s="102"/>
      <c r="G7970" s="114"/>
    </row>
    <row r="7971" spans="2:7" ht="15.75" customHeight="1" x14ac:dyDescent="0.25">
      <c r="B7971" s="100"/>
      <c r="C7971" s="100"/>
      <c r="D7971" s="100"/>
      <c r="E7971" s="100"/>
      <c r="F7971" s="102"/>
      <c r="G7971" s="114"/>
    </row>
    <row r="7972" spans="2:7" ht="15.75" customHeight="1" x14ac:dyDescent="0.25">
      <c r="B7972" s="100"/>
      <c r="C7972" s="100"/>
      <c r="D7972" s="100"/>
      <c r="E7972" s="100"/>
      <c r="F7972" s="102"/>
      <c r="G7972" s="114"/>
    </row>
    <row r="7973" spans="2:7" ht="15.75" customHeight="1" x14ac:dyDescent="0.25">
      <c r="B7973" s="100"/>
      <c r="C7973" s="100"/>
      <c r="D7973" s="100"/>
      <c r="E7973" s="100"/>
      <c r="F7973" s="102"/>
      <c r="G7973" s="114"/>
    </row>
    <row r="7974" spans="2:7" ht="15.75" customHeight="1" x14ac:dyDescent="0.25">
      <c r="B7974" s="100"/>
      <c r="C7974" s="100"/>
      <c r="D7974" s="100"/>
      <c r="E7974" s="100"/>
      <c r="F7974" s="102"/>
      <c r="G7974" s="114"/>
    </row>
    <row r="7975" spans="2:7" ht="15.75" customHeight="1" x14ac:dyDescent="0.25">
      <c r="B7975" s="100"/>
      <c r="C7975" s="100"/>
      <c r="D7975" s="100"/>
      <c r="E7975" s="100"/>
      <c r="F7975" s="102"/>
      <c r="G7975" s="114"/>
    </row>
    <row r="7976" spans="2:7" ht="15.75" customHeight="1" x14ac:dyDescent="0.25">
      <c r="B7976" s="100"/>
      <c r="C7976" s="100"/>
      <c r="D7976" s="100"/>
      <c r="E7976" s="100"/>
      <c r="F7976" s="102"/>
      <c r="G7976" s="114"/>
    </row>
    <row r="7977" spans="2:7" ht="15.75" customHeight="1" x14ac:dyDescent="0.25">
      <c r="B7977" s="100"/>
      <c r="C7977" s="100"/>
      <c r="D7977" s="100"/>
      <c r="E7977" s="100"/>
      <c r="F7977" s="102"/>
      <c r="G7977" s="114"/>
    </row>
    <row r="7978" spans="2:7" ht="15.75" customHeight="1" x14ac:dyDescent="0.25">
      <c r="B7978" s="100"/>
      <c r="C7978" s="100"/>
      <c r="D7978" s="100"/>
      <c r="E7978" s="100"/>
      <c r="F7978" s="102"/>
      <c r="G7978" s="114"/>
    </row>
    <row r="7979" spans="2:7" ht="15.75" customHeight="1" x14ac:dyDescent="0.25">
      <c r="B7979" s="100"/>
      <c r="C7979" s="100"/>
      <c r="D7979" s="100"/>
      <c r="E7979" s="100"/>
      <c r="F7979" s="102"/>
      <c r="G7979" s="114"/>
    </row>
    <row r="7980" spans="2:7" ht="15.75" customHeight="1" x14ac:dyDescent="0.25">
      <c r="B7980" s="100"/>
      <c r="C7980" s="100"/>
      <c r="D7980" s="100"/>
      <c r="E7980" s="100"/>
      <c r="F7980" s="102"/>
      <c r="G7980" s="114"/>
    </row>
    <row r="7981" spans="2:7" ht="15.75" customHeight="1" x14ac:dyDescent="0.25">
      <c r="B7981" s="100"/>
      <c r="C7981" s="100"/>
      <c r="D7981" s="100"/>
      <c r="E7981" s="100"/>
      <c r="F7981" s="102"/>
      <c r="G7981" s="114"/>
    </row>
    <row r="7982" spans="2:7" ht="15.75" customHeight="1" x14ac:dyDescent="0.25">
      <c r="B7982" s="100"/>
      <c r="C7982" s="100"/>
      <c r="D7982" s="100"/>
      <c r="E7982" s="100"/>
      <c r="F7982" s="102"/>
      <c r="G7982" s="114"/>
    </row>
    <row r="7983" spans="2:7" ht="15.75" customHeight="1" x14ac:dyDescent="0.25">
      <c r="B7983" s="100"/>
      <c r="C7983" s="100"/>
      <c r="D7983" s="100"/>
      <c r="E7983" s="100"/>
      <c r="F7983" s="102"/>
      <c r="G7983" s="114"/>
    </row>
    <row r="7984" spans="2:7" ht="15.75" customHeight="1" x14ac:dyDescent="0.25">
      <c r="B7984" s="100"/>
      <c r="C7984" s="100"/>
      <c r="D7984" s="100"/>
      <c r="E7984" s="100"/>
      <c r="F7984" s="102"/>
      <c r="G7984" s="114"/>
    </row>
    <row r="7985" spans="2:7" ht="15.75" customHeight="1" x14ac:dyDescent="0.25">
      <c r="B7985" s="100"/>
      <c r="C7985" s="100"/>
      <c r="D7985" s="100"/>
      <c r="E7985" s="100"/>
      <c r="F7985" s="102"/>
      <c r="G7985" s="114"/>
    </row>
    <row r="7986" spans="2:7" ht="15.75" customHeight="1" x14ac:dyDescent="0.25">
      <c r="B7986" s="100"/>
      <c r="C7986" s="100"/>
      <c r="D7986" s="100"/>
      <c r="E7986" s="100"/>
      <c r="F7986" s="102"/>
      <c r="G7986" s="114"/>
    </row>
    <row r="7987" spans="2:7" ht="15.75" customHeight="1" x14ac:dyDescent="0.25">
      <c r="B7987" s="100"/>
      <c r="C7987" s="100"/>
      <c r="D7987" s="100"/>
      <c r="E7987" s="100"/>
      <c r="F7987" s="102"/>
      <c r="G7987" s="114"/>
    </row>
    <row r="7988" spans="2:7" ht="15.75" customHeight="1" x14ac:dyDescent="0.25">
      <c r="B7988" s="100"/>
      <c r="C7988" s="100"/>
      <c r="D7988" s="100"/>
      <c r="E7988" s="100"/>
      <c r="F7988" s="102"/>
      <c r="G7988" s="114"/>
    </row>
    <row r="7989" spans="2:7" ht="15.75" customHeight="1" x14ac:dyDescent="0.25">
      <c r="B7989" s="100"/>
      <c r="C7989" s="100"/>
      <c r="D7989" s="100"/>
      <c r="E7989" s="100"/>
      <c r="F7989" s="102"/>
      <c r="G7989" s="114"/>
    </row>
    <row r="7990" spans="2:7" ht="15.75" customHeight="1" x14ac:dyDescent="0.25">
      <c r="B7990" s="100"/>
      <c r="C7990" s="100"/>
      <c r="D7990" s="100"/>
      <c r="E7990" s="100"/>
      <c r="F7990" s="102"/>
      <c r="G7990" s="114"/>
    </row>
    <row r="7991" spans="2:7" ht="15.75" customHeight="1" x14ac:dyDescent="0.25">
      <c r="B7991" s="100"/>
      <c r="C7991" s="100"/>
      <c r="D7991" s="100"/>
      <c r="E7991" s="100"/>
      <c r="F7991" s="102"/>
      <c r="G7991" s="114"/>
    </row>
    <row r="7992" spans="2:7" ht="15.75" customHeight="1" x14ac:dyDescent="0.25">
      <c r="B7992" s="100"/>
      <c r="C7992" s="100"/>
      <c r="D7992" s="100"/>
      <c r="E7992" s="100"/>
      <c r="F7992" s="102"/>
      <c r="G7992" s="114"/>
    </row>
    <row r="7993" spans="2:7" ht="15.75" customHeight="1" x14ac:dyDescent="0.25">
      <c r="B7993" s="100"/>
      <c r="C7993" s="100"/>
      <c r="D7993" s="100"/>
      <c r="E7993" s="100"/>
      <c r="F7993" s="102"/>
      <c r="G7993" s="114"/>
    </row>
    <row r="7994" spans="2:7" ht="15.75" customHeight="1" x14ac:dyDescent="0.25">
      <c r="B7994" s="100"/>
      <c r="C7994" s="100"/>
      <c r="D7994" s="100"/>
      <c r="E7994" s="100"/>
      <c r="F7994" s="102"/>
      <c r="G7994" s="114"/>
    </row>
    <row r="7995" spans="2:7" ht="15.75" customHeight="1" x14ac:dyDescent="0.25">
      <c r="B7995" s="100"/>
      <c r="C7995" s="100"/>
      <c r="D7995" s="100"/>
      <c r="E7995" s="100"/>
      <c r="F7995" s="102"/>
      <c r="G7995" s="114"/>
    </row>
    <row r="7996" spans="2:7" ht="15.75" customHeight="1" x14ac:dyDescent="0.25">
      <c r="B7996" s="100"/>
      <c r="C7996" s="100"/>
      <c r="D7996" s="100"/>
      <c r="E7996" s="100"/>
      <c r="F7996" s="102"/>
      <c r="G7996" s="114"/>
    </row>
    <row r="7997" spans="2:7" ht="15.75" customHeight="1" x14ac:dyDescent="0.25">
      <c r="B7997" s="100"/>
      <c r="C7997" s="100"/>
      <c r="D7997" s="100"/>
      <c r="E7997" s="100"/>
      <c r="F7997" s="102"/>
      <c r="G7997" s="114"/>
    </row>
    <row r="7998" spans="2:7" ht="15.75" customHeight="1" x14ac:dyDescent="0.25">
      <c r="B7998" s="100"/>
      <c r="C7998" s="100"/>
      <c r="D7998" s="100"/>
      <c r="E7998" s="100"/>
      <c r="F7998" s="102"/>
      <c r="G7998" s="114"/>
    </row>
    <row r="7999" spans="2:7" ht="15.75" customHeight="1" x14ac:dyDescent="0.25">
      <c r="B7999" s="100"/>
      <c r="C7999" s="100"/>
      <c r="D7999" s="100"/>
      <c r="E7999" s="100"/>
      <c r="F7999" s="102"/>
      <c r="G7999" s="114"/>
    </row>
    <row r="8000" spans="2:7" ht="15.75" customHeight="1" x14ac:dyDescent="0.25">
      <c r="B8000" s="100"/>
      <c r="C8000" s="100"/>
      <c r="D8000" s="100"/>
      <c r="E8000" s="100"/>
      <c r="F8000" s="102"/>
      <c r="G8000" s="114"/>
    </row>
    <row r="8001" spans="2:7" ht="15.75" customHeight="1" x14ac:dyDescent="0.25">
      <c r="B8001" s="100"/>
      <c r="C8001" s="100"/>
      <c r="D8001" s="100"/>
      <c r="E8001" s="100"/>
      <c r="F8001" s="102"/>
      <c r="G8001" s="114"/>
    </row>
    <row r="8002" spans="2:7" ht="15.75" customHeight="1" x14ac:dyDescent="0.25">
      <c r="B8002" s="100"/>
      <c r="C8002" s="100"/>
      <c r="D8002" s="100"/>
      <c r="E8002" s="100"/>
      <c r="F8002" s="102"/>
      <c r="G8002" s="114"/>
    </row>
    <row r="8003" spans="2:7" ht="15.75" customHeight="1" x14ac:dyDescent="0.25">
      <c r="B8003" s="100"/>
      <c r="C8003" s="100"/>
      <c r="D8003" s="100"/>
      <c r="E8003" s="100"/>
      <c r="F8003" s="102"/>
      <c r="G8003" s="114"/>
    </row>
    <row r="8004" spans="2:7" ht="15.75" customHeight="1" x14ac:dyDescent="0.25">
      <c r="B8004" s="100"/>
      <c r="C8004" s="100"/>
      <c r="D8004" s="100"/>
      <c r="E8004" s="100"/>
      <c r="F8004" s="102"/>
      <c r="G8004" s="114"/>
    </row>
    <row r="8005" spans="2:7" ht="15.75" customHeight="1" x14ac:dyDescent="0.25">
      <c r="B8005" s="100"/>
      <c r="C8005" s="100"/>
      <c r="D8005" s="100"/>
      <c r="E8005" s="100"/>
      <c r="F8005" s="102"/>
      <c r="G8005" s="114"/>
    </row>
    <row r="8006" spans="2:7" ht="15.75" customHeight="1" x14ac:dyDescent="0.25">
      <c r="B8006" s="100"/>
      <c r="C8006" s="100"/>
      <c r="D8006" s="100"/>
      <c r="E8006" s="100"/>
      <c r="F8006" s="102"/>
      <c r="G8006" s="114"/>
    </row>
    <row r="8007" spans="2:7" ht="15.75" customHeight="1" x14ac:dyDescent="0.25">
      <c r="B8007" s="100"/>
      <c r="C8007" s="100"/>
      <c r="D8007" s="100"/>
      <c r="E8007" s="100"/>
      <c r="F8007" s="102"/>
      <c r="G8007" s="114"/>
    </row>
    <row r="8008" spans="2:7" ht="15.75" customHeight="1" x14ac:dyDescent="0.25">
      <c r="B8008" s="100"/>
      <c r="C8008" s="100"/>
      <c r="D8008" s="100"/>
      <c r="E8008" s="100"/>
      <c r="F8008" s="102"/>
      <c r="G8008" s="114"/>
    </row>
    <row r="8009" spans="2:7" ht="15.75" customHeight="1" x14ac:dyDescent="0.25">
      <c r="B8009" s="100"/>
      <c r="C8009" s="100"/>
      <c r="D8009" s="100"/>
      <c r="E8009" s="100"/>
      <c r="F8009" s="102"/>
      <c r="G8009" s="114"/>
    </row>
    <row r="8010" spans="2:7" ht="15.75" customHeight="1" x14ac:dyDescent="0.25">
      <c r="B8010" s="100"/>
      <c r="C8010" s="100"/>
      <c r="D8010" s="100"/>
      <c r="E8010" s="100"/>
      <c r="F8010" s="102"/>
      <c r="G8010" s="114"/>
    </row>
    <row r="8011" spans="2:7" ht="15.75" customHeight="1" x14ac:dyDescent="0.25">
      <c r="B8011" s="100"/>
      <c r="C8011" s="100"/>
      <c r="D8011" s="100"/>
      <c r="E8011" s="100"/>
      <c r="F8011" s="102"/>
      <c r="G8011" s="114"/>
    </row>
    <row r="8012" spans="2:7" ht="15.75" customHeight="1" x14ac:dyDescent="0.25">
      <c r="B8012" s="100"/>
      <c r="C8012" s="100"/>
      <c r="D8012" s="100"/>
      <c r="E8012" s="100"/>
      <c r="F8012" s="102"/>
      <c r="G8012" s="114"/>
    </row>
    <row r="8013" spans="2:7" ht="15.75" customHeight="1" x14ac:dyDescent="0.25">
      <c r="B8013" s="100"/>
      <c r="C8013" s="100"/>
      <c r="D8013" s="100"/>
      <c r="E8013" s="100"/>
      <c r="F8013" s="102"/>
      <c r="G8013" s="114"/>
    </row>
    <row r="8014" spans="2:7" ht="15.75" customHeight="1" x14ac:dyDescent="0.25">
      <c r="B8014" s="100"/>
      <c r="C8014" s="100"/>
      <c r="D8014" s="100"/>
      <c r="E8014" s="100"/>
      <c r="F8014" s="102"/>
      <c r="G8014" s="114"/>
    </row>
    <row r="8015" spans="2:7" ht="15.75" customHeight="1" x14ac:dyDescent="0.25">
      <c r="B8015" s="100"/>
      <c r="C8015" s="100"/>
      <c r="D8015" s="100"/>
      <c r="E8015" s="100"/>
      <c r="F8015" s="102"/>
      <c r="G8015" s="114"/>
    </row>
    <row r="8016" spans="2:7" ht="15.75" customHeight="1" x14ac:dyDescent="0.25">
      <c r="B8016" s="100"/>
      <c r="C8016" s="100"/>
      <c r="D8016" s="100"/>
      <c r="E8016" s="100"/>
      <c r="F8016" s="102"/>
      <c r="G8016" s="114"/>
    </row>
    <row r="8017" spans="2:7" ht="15.75" customHeight="1" x14ac:dyDescent="0.25">
      <c r="B8017" s="100"/>
      <c r="C8017" s="100"/>
      <c r="D8017" s="100"/>
      <c r="E8017" s="100"/>
      <c r="F8017" s="102"/>
      <c r="G8017" s="114"/>
    </row>
    <row r="8018" spans="2:7" ht="15.75" customHeight="1" x14ac:dyDescent="0.25">
      <c r="B8018" s="100"/>
      <c r="C8018" s="100"/>
      <c r="D8018" s="100"/>
      <c r="E8018" s="100"/>
      <c r="F8018" s="102"/>
      <c r="G8018" s="114"/>
    </row>
    <row r="8019" spans="2:7" ht="15.75" customHeight="1" x14ac:dyDescent="0.25">
      <c r="B8019" s="100"/>
      <c r="C8019" s="100"/>
      <c r="D8019" s="100"/>
      <c r="E8019" s="100"/>
      <c r="F8019" s="102"/>
      <c r="G8019" s="114"/>
    </row>
    <row r="8020" spans="2:7" ht="15.75" customHeight="1" x14ac:dyDescent="0.25">
      <c r="B8020" s="100"/>
      <c r="C8020" s="100"/>
      <c r="D8020" s="100"/>
      <c r="E8020" s="100"/>
      <c r="F8020" s="102"/>
      <c r="G8020" s="114"/>
    </row>
    <row r="8021" spans="2:7" ht="15.75" customHeight="1" x14ac:dyDescent="0.25">
      <c r="B8021" s="100"/>
      <c r="C8021" s="100"/>
      <c r="D8021" s="100"/>
      <c r="E8021" s="100"/>
      <c r="F8021" s="102"/>
      <c r="G8021" s="114"/>
    </row>
    <row r="8022" spans="2:7" ht="15.75" customHeight="1" x14ac:dyDescent="0.25">
      <c r="B8022" s="100"/>
      <c r="C8022" s="100"/>
      <c r="D8022" s="100"/>
      <c r="E8022" s="100"/>
      <c r="F8022" s="102"/>
      <c r="G8022" s="114"/>
    </row>
    <row r="8023" spans="2:7" ht="15.75" customHeight="1" x14ac:dyDescent="0.25">
      <c r="B8023" s="100"/>
      <c r="C8023" s="100"/>
      <c r="D8023" s="100"/>
      <c r="E8023" s="100"/>
      <c r="F8023" s="102"/>
      <c r="G8023" s="114"/>
    </row>
    <row r="8024" spans="2:7" ht="15.75" customHeight="1" x14ac:dyDescent="0.25">
      <c r="B8024" s="100"/>
      <c r="C8024" s="100"/>
      <c r="D8024" s="100"/>
      <c r="E8024" s="100"/>
      <c r="F8024" s="102"/>
      <c r="G8024" s="114"/>
    </row>
    <row r="8025" spans="2:7" ht="15.75" customHeight="1" x14ac:dyDescent="0.25">
      <c r="B8025" s="100"/>
      <c r="C8025" s="100"/>
      <c r="D8025" s="100"/>
      <c r="E8025" s="100"/>
      <c r="F8025" s="102"/>
      <c r="G8025" s="114"/>
    </row>
    <row r="8026" spans="2:7" ht="15.75" customHeight="1" x14ac:dyDescent="0.25">
      <c r="B8026" s="100"/>
      <c r="C8026" s="100"/>
      <c r="D8026" s="100"/>
      <c r="E8026" s="100"/>
      <c r="F8026" s="102"/>
      <c r="G8026" s="114"/>
    </row>
    <row r="8027" spans="2:7" ht="15.75" customHeight="1" x14ac:dyDescent="0.25">
      <c r="B8027" s="100"/>
      <c r="C8027" s="100"/>
      <c r="D8027" s="100"/>
      <c r="E8027" s="100"/>
      <c r="F8027" s="102"/>
      <c r="G8027" s="114"/>
    </row>
    <row r="8028" spans="2:7" ht="15.75" customHeight="1" x14ac:dyDescent="0.25">
      <c r="B8028" s="100"/>
      <c r="C8028" s="100"/>
      <c r="D8028" s="100"/>
      <c r="E8028" s="100"/>
      <c r="F8028" s="102"/>
      <c r="G8028" s="114"/>
    </row>
    <row r="8029" spans="2:7" ht="15.75" customHeight="1" x14ac:dyDescent="0.25">
      <c r="B8029" s="100"/>
      <c r="C8029" s="100"/>
      <c r="D8029" s="100"/>
      <c r="E8029" s="100"/>
      <c r="F8029" s="102"/>
      <c r="G8029" s="114"/>
    </row>
    <row r="8030" spans="2:7" ht="15.75" customHeight="1" x14ac:dyDescent="0.25">
      <c r="B8030" s="100"/>
      <c r="C8030" s="100"/>
      <c r="D8030" s="100"/>
      <c r="E8030" s="100"/>
      <c r="F8030" s="102"/>
      <c r="G8030" s="114"/>
    </row>
    <row r="8031" spans="2:7" ht="15.75" customHeight="1" x14ac:dyDescent="0.25">
      <c r="B8031" s="100"/>
      <c r="C8031" s="100"/>
      <c r="D8031" s="100"/>
      <c r="E8031" s="100"/>
      <c r="F8031" s="102"/>
      <c r="G8031" s="114"/>
    </row>
    <row r="8032" spans="2:7" ht="15.75" customHeight="1" x14ac:dyDescent="0.25">
      <c r="B8032" s="100"/>
      <c r="C8032" s="100"/>
      <c r="D8032" s="100"/>
      <c r="E8032" s="100"/>
      <c r="F8032" s="102"/>
      <c r="G8032" s="114"/>
    </row>
    <row r="8033" spans="2:7" ht="15.75" customHeight="1" x14ac:dyDescent="0.25">
      <c r="B8033" s="100"/>
      <c r="C8033" s="100"/>
      <c r="D8033" s="100"/>
      <c r="E8033" s="100"/>
      <c r="F8033" s="102"/>
      <c r="G8033" s="114"/>
    </row>
    <row r="8034" spans="2:7" ht="15.75" customHeight="1" x14ac:dyDescent="0.25">
      <c r="B8034" s="100"/>
      <c r="C8034" s="100"/>
      <c r="D8034" s="100"/>
      <c r="E8034" s="100"/>
      <c r="F8034" s="102"/>
      <c r="G8034" s="114"/>
    </row>
    <row r="8035" spans="2:7" ht="15.75" customHeight="1" x14ac:dyDescent="0.25">
      <c r="B8035" s="100"/>
      <c r="C8035" s="100"/>
      <c r="D8035" s="100"/>
      <c r="E8035" s="100"/>
      <c r="F8035" s="102"/>
      <c r="G8035" s="114"/>
    </row>
    <row r="8036" spans="2:7" ht="15.75" customHeight="1" x14ac:dyDescent="0.25">
      <c r="B8036" s="100"/>
      <c r="C8036" s="100"/>
      <c r="D8036" s="100"/>
      <c r="E8036" s="100"/>
      <c r="F8036" s="102"/>
      <c r="G8036" s="114"/>
    </row>
    <row r="8037" spans="2:7" ht="15.75" customHeight="1" x14ac:dyDescent="0.25">
      <c r="B8037" s="100"/>
      <c r="C8037" s="100"/>
      <c r="D8037" s="100"/>
      <c r="E8037" s="100"/>
      <c r="F8037" s="102"/>
      <c r="G8037" s="114"/>
    </row>
    <row r="8038" spans="2:7" ht="15.75" customHeight="1" x14ac:dyDescent="0.25">
      <c r="B8038" s="100"/>
      <c r="C8038" s="100"/>
      <c r="D8038" s="100"/>
      <c r="E8038" s="100"/>
      <c r="F8038" s="102"/>
      <c r="G8038" s="114"/>
    </row>
    <row r="8039" spans="2:7" ht="15.75" customHeight="1" x14ac:dyDescent="0.25">
      <c r="B8039" s="100"/>
      <c r="C8039" s="100"/>
      <c r="D8039" s="100"/>
      <c r="E8039" s="100"/>
      <c r="F8039" s="102"/>
      <c r="G8039" s="114"/>
    </row>
    <row r="8040" spans="2:7" ht="15.75" customHeight="1" x14ac:dyDescent="0.25">
      <c r="B8040" s="100"/>
      <c r="C8040" s="100"/>
      <c r="D8040" s="100"/>
      <c r="E8040" s="100"/>
      <c r="F8040" s="102"/>
      <c r="G8040" s="114"/>
    </row>
    <row r="8041" spans="2:7" ht="15.75" customHeight="1" x14ac:dyDescent="0.25">
      <c r="B8041" s="100"/>
      <c r="C8041" s="100"/>
      <c r="D8041" s="100"/>
      <c r="E8041" s="100"/>
      <c r="F8041" s="102"/>
      <c r="G8041" s="114"/>
    </row>
    <row r="8042" spans="2:7" ht="15.75" customHeight="1" x14ac:dyDescent="0.25">
      <c r="B8042" s="100"/>
      <c r="C8042" s="100"/>
      <c r="D8042" s="100"/>
      <c r="E8042" s="100"/>
      <c r="F8042" s="102"/>
      <c r="G8042" s="114"/>
    </row>
    <row r="8043" spans="2:7" ht="15.75" customHeight="1" x14ac:dyDescent="0.25">
      <c r="B8043" s="100"/>
      <c r="C8043" s="100"/>
      <c r="D8043" s="100"/>
      <c r="E8043" s="100"/>
      <c r="F8043" s="102"/>
      <c r="G8043" s="114"/>
    </row>
    <row r="8044" spans="2:7" ht="15.75" customHeight="1" x14ac:dyDescent="0.25">
      <c r="B8044" s="100"/>
      <c r="C8044" s="100"/>
      <c r="D8044" s="100"/>
      <c r="E8044" s="100"/>
      <c r="F8044" s="102"/>
      <c r="G8044" s="114"/>
    </row>
    <row r="8045" spans="2:7" ht="15.75" customHeight="1" x14ac:dyDescent="0.25">
      <c r="B8045" s="100"/>
      <c r="C8045" s="100"/>
      <c r="D8045" s="100"/>
      <c r="E8045" s="100"/>
      <c r="F8045" s="102"/>
      <c r="G8045" s="114"/>
    </row>
    <row r="8046" spans="2:7" ht="15.75" customHeight="1" x14ac:dyDescent="0.25">
      <c r="B8046" s="100"/>
      <c r="C8046" s="100"/>
      <c r="D8046" s="100"/>
      <c r="E8046" s="100"/>
      <c r="F8046" s="102"/>
      <c r="G8046" s="114"/>
    </row>
    <row r="8047" spans="2:7" ht="15.75" customHeight="1" x14ac:dyDescent="0.25">
      <c r="B8047" s="100"/>
      <c r="C8047" s="100"/>
      <c r="D8047" s="100"/>
      <c r="E8047" s="100"/>
      <c r="F8047" s="102"/>
      <c r="G8047" s="114"/>
    </row>
    <row r="8048" spans="2:7" ht="15.75" customHeight="1" x14ac:dyDescent="0.25">
      <c r="B8048" s="100"/>
      <c r="C8048" s="100"/>
      <c r="D8048" s="100"/>
      <c r="E8048" s="100"/>
      <c r="F8048" s="102"/>
      <c r="G8048" s="114"/>
    </row>
    <row r="8049" spans="2:7" ht="15.75" customHeight="1" x14ac:dyDescent="0.25">
      <c r="B8049" s="100"/>
      <c r="C8049" s="100"/>
      <c r="D8049" s="100"/>
      <c r="E8049" s="100"/>
      <c r="F8049" s="102"/>
      <c r="G8049" s="114"/>
    </row>
    <row r="8050" spans="2:7" ht="15.75" customHeight="1" x14ac:dyDescent="0.25">
      <c r="B8050" s="100"/>
      <c r="C8050" s="100"/>
      <c r="D8050" s="100"/>
      <c r="E8050" s="100"/>
      <c r="F8050" s="102"/>
      <c r="G8050" s="114"/>
    </row>
    <row r="8051" spans="2:7" ht="15.75" customHeight="1" x14ac:dyDescent="0.25">
      <c r="B8051" s="100"/>
      <c r="C8051" s="100"/>
      <c r="D8051" s="100"/>
      <c r="E8051" s="100"/>
      <c r="F8051" s="102"/>
      <c r="G8051" s="114"/>
    </row>
    <row r="8052" spans="2:7" ht="15.75" customHeight="1" x14ac:dyDescent="0.25">
      <c r="B8052" s="100"/>
      <c r="C8052" s="100"/>
      <c r="D8052" s="100"/>
      <c r="E8052" s="100"/>
      <c r="F8052" s="102"/>
      <c r="G8052" s="114"/>
    </row>
    <row r="8053" spans="2:7" ht="15.75" customHeight="1" x14ac:dyDescent="0.25">
      <c r="B8053" s="100"/>
      <c r="C8053" s="100"/>
      <c r="D8053" s="100"/>
      <c r="E8053" s="100"/>
      <c r="F8053" s="102"/>
      <c r="G8053" s="114"/>
    </row>
    <row r="8054" spans="2:7" ht="15.75" customHeight="1" x14ac:dyDescent="0.25">
      <c r="B8054" s="100"/>
      <c r="C8054" s="100"/>
      <c r="D8054" s="100"/>
      <c r="E8054" s="100"/>
      <c r="F8054" s="102"/>
      <c r="G8054" s="114"/>
    </row>
    <row r="8055" spans="2:7" ht="15.75" customHeight="1" x14ac:dyDescent="0.25">
      <c r="B8055" s="100"/>
      <c r="C8055" s="100"/>
      <c r="D8055" s="100"/>
      <c r="E8055" s="100"/>
      <c r="F8055" s="102"/>
      <c r="G8055" s="114"/>
    </row>
    <row r="8056" spans="2:7" ht="15.75" customHeight="1" x14ac:dyDescent="0.25">
      <c r="B8056" s="100"/>
      <c r="C8056" s="100"/>
      <c r="D8056" s="100"/>
      <c r="E8056" s="100"/>
      <c r="F8056" s="102"/>
      <c r="G8056" s="114"/>
    </row>
    <row r="8057" spans="2:7" ht="15.75" customHeight="1" x14ac:dyDescent="0.25">
      <c r="B8057" s="100"/>
      <c r="C8057" s="100"/>
      <c r="D8057" s="100"/>
      <c r="E8057" s="100"/>
      <c r="F8057" s="102"/>
      <c r="G8057" s="114"/>
    </row>
    <row r="8058" spans="2:7" ht="15.75" customHeight="1" x14ac:dyDescent="0.25">
      <c r="B8058" s="100"/>
      <c r="C8058" s="100"/>
      <c r="D8058" s="100"/>
      <c r="E8058" s="100"/>
      <c r="F8058" s="102"/>
      <c r="G8058" s="114"/>
    </row>
    <row r="8059" spans="2:7" ht="15.75" customHeight="1" x14ac:dyDescent="0.25">
      <c r="B8059" s="100"/>
      <c r="C8059" s="100"/>
      <c r="D8059" s="100"/>
      <c r="E8059" s="100"/>
      <c r="F8059" s="102"/>
      <c r="G8059" s="114"/>
    </row>
    <row r="8060" spans="2:7" ht="15.75" customHeight="1" x14ac:dyDescent="0.25">
      <c r="B8060" s="100"/>
      <c r="C8060" s="100"/>
      <c r="D8060" s="100"/>
      <c r="E8060" s="100"/>
      <c r="F8060" s="102"/>
      <c r="G8060" s="114"/>
    </row>
    <row r="8061" spans="2:7" ht="15.75" customHeight="1" x14ac:dyDescent="0.25">
      <c r="B8061" s="100"/>
      <c r="C8061" s="100"/>
      <c r="D8061" s="100"/>
      <c r="E8061" s="100"/>
      <c r="F8061" s="102"/>
      <c r="G8061" s="114"/>
    </row>
    <row r="8062" spans="2:7" ht="15.75" customHeight="1" x14ac:dyDescent="0.25">
      <c r="B8062" s="100"/>
      <c r="C8062" s="100"/>
      <c r="D8062" s="100"/>
      <c r="E8062" s="100"/>
      <c r="F8062" s="102"/>
      <c r="G8062" s="114"/>
    </row>
    <row r="8063" spans="2:7" ht="15.75" customHeight="1" x14ac:dyDescent="0.25">
      <c r="B8063" s="100"/>
      <c r="C8063" s="100"/>
      <c r="D8063" s="100"/>
      <c r="E8063" s="100"/>
      <c r="F8063" s="102"/>
      <c r="G8063" s="114"/>
    </row>
    <row r="8064" spans="2:7" ht="15.75" customHeight="1" x14ac:dyDescent="0.25">
      <c r="B8064" s="100"/>
      <c r="C8064" s="100"/>
      <c r="D8064" s="100"/>
      <c r="E8064" s="100"/>
      <c r="F8064" s="102"/>
      <c r="G8064" s="114"/>
    </row>
    <row r="8065" spans="2:7" ht="15.75" customHeight="1" x14ac:dyDescent="0.25">
      <c r="B8065" s="100"/>
      <c r="C8065" s="100"/>
      <c r="D8065" s="100"/>
      <c r="E8065" s="100"/>
      <c r="F8065" s="102"/>
      <c r="G8065" s="114"/>
    </row>
    <row r="8066" spans="2:7" ht="15.75" customHeight="1" x14ac:dyDescent="0.25">
      <c r="B8066" s="100"/>
      <c r="C8066" s="100"/>
      <c r="D8066" s="100"/>
      <c r="E8066" s="100"/>
      <c r="F8066" s="102"/>
      <c r="G8066" s="114"/>
    </row>
    <row r="8067" spans="2:7" ht="15.75" customHeight="1" x14ac:dyDescent="0.25">
      <c r="B8067" s="100"/>
      <c r="C8067" s="100"/>
      <c r="D8067" s="100"/>
      <c r="E8067" s="100"/>
      <c r="F8067" s="102"/>
      <c r="G8067" s="114"/>
    </row>
    <row r="8068" spans="2:7" ht="15.75" customHeight="1" x14ac:dyDescent="0.25">
      <c r="B8068" s="100"/>
      <c r="C8068" s="100"/>
      <c r="D8068" s="100"/>
      <c r="E8068" s="100"/>
      <c r="F8068" s="102"/>
      <c r="G8068" s="114"/>
    </row>
    <row r="8069" spans="2:7" ht="15.75" customHeight="1" x14ac:dyDescent="0.25">
      <c r="B8069" s="100"/>
      <c r="C8069" s="100"/>
      <c r="D8069" s="100"/>
      <c r="E8069" s="100"/>
      <c r="F8069" s="102"/>
      <c r="G8069" s="114"/>
    </row>
    <row r="8070" spans="2:7" ht="15.75" customHeight="1" x14ac:dyDescent="0.25">
      <c r="B8070" s="100"/>
      <c r="C8070" s="100"/>
      <c r="D8070" s="100"/>
      <c r="E8070" s="100"/>
      <c r="F8070" s="102"/>
      <c r="G8070" s="114"/>
    </row>
    <row r="8071" spans="2:7" ht="15.75" customHeight="1" x14ac:dyDescent="0.25">
      <c r="B8071" s="100"/>
      <c r="C8071" s="100"/>
      <c r="D8071" s="100"/>
      <c r="E8071" s="100"/>
      <c r="F8071" s="102"/>
      <c r="G8071" s="114"/>
    </row>
    <row r="8072" spans="2:7" ht="15.75" customHeight="1" x14ac:dyDescent="0.25">
      <c r="B8072" s="100"/>
      <c r="C8072" s="100"/>
      <c r="D8072" s="100"/>
      <c r="E8072" s="100"/>
      <c r="F8072" s="102"/>
      <c r="G8072" s="114"/>
    </row>
    <row r="8073" spans="2:7" ht="15.75" customHeight="1" x14ac:dyDescent="0.25">
      <c r="B8073" s="100"/>
      <c r="C8073" s="100"/>
      <c r="D8073" s="100"/>
      <c r="E8073" s="100"/>
      <c r="F8073" s="102"/>
      <c r="G8073" s="114"/>
    </row>
    <row r="8074" spans="2:7" ht="15.75" customHeight="1" x14ac:dyDescent="0.25">
      <c r="B8074" s="100"/>
      <c r="C8074" s="100"/>
      <c r="D8074" s="100"/>
      <c r="E8074" s="100"/>
      <c r="F8074" s="102"/>
      <c r="G8074" s="114"/>
    </row>
    <row r="8075" spans="2:7" ht="15.75" customHeight="1" x14ac:dyDescent="0.25">
      <c r="B8075" s="100"/>
      <c r="C8075" s="100"/>
      <c r="D8075" s="100"/>
      <c r="E8075" s="100"/>
      <c r="F8075" s="102"/>
      <c r="G8075" s="114"/>
    </row>
    <row r="8076" spans="2:7" ht="15.75" customHeight="1" x14ac:dyDescent="0.25">
      <c r="B8076" s="100"/>
      <c r="C8076" s="100"/>
      <c r="D8076" s="100"/>
      <c r="E8076" s="100"/>
      <c r="F8076" s="102"/>
      <c r="G8076" s="114"/>
    </row>
    <row r="8077" spans="2:7" ht="15.75" customHeight="1" x14ac:dyDescent="0.25">
      <c r="B8077" s="100"/>
      <c r="C8077" s="100"/>
      <c r="D8077" s="100"/>
      <c r="E8077" s="100"/>
      <c r="F8077" s="102"/>
      <c r="G8077" s="114"/>
    </row>
    <row r="8078" spans="2:7" ht="15.75" customHeight="1" x14ac:dyDescent="0.25">
      <c r="B8078" s="100"/>
      <c r="C8078" s="100"/>
      <c r="D8078" s="100"/>
      <c r="E8078" s="100"/>
      <c r="F8078" s="102"/>
      <c r="G8078" s="114"/>
    </row>
    <row r="8079" spans="2:7" ht="15.75" customHeight="1" x14ac:dyDescent="0.25">
      <c r="B8079" s="100"/>
      <c r="C8079" s="100"/>
      <c r="D8079" s="100"/>
      <c r="E8079" s="100"/>
      <c r="F8079" s="102"/>
      <c r="G8079" s="114"/>
    </row>
    <row r="8080" spans="2:7" ht="15.75" customHeight="1" x14ac:dyDescent="0.25">
      <c r="B8080" s="100"/>
      <c r="C8080" s="100"/>
      <c r="D8080" s="100"/>
      <c r="E8080" s="100"/>
      <c r="F8080" s="102"/>
      <c r="G8080" s="114"/>
    </row>
    <row r="8081" spans="2:7" ht="15.75" customHeight="1" x14ac:dyDescent="0.25">
      <c r="B8081" s="100"/>
      <c r="C8081" s="100"/>
      <c r="D8081" s="100"/>
      <c r="E8081" s="100"/>
      <c r="F8081" s="102"/>
      <c r="G8081" s="114"/>
    </row>
    <row r="8082" spans="2:7" ht="15.75" customHeight="1" x14ac:dyDescent="0.25">
      <c r="B8082" s="100"/>
      <c r="C8082" s="100"/>
      <c r="D8082" s="100"/>
      <c r="E8082" s="100"/>
      <c r="F8082" s="102"/>
      <c r="G8082" s="114"/>
    </row>
    <row r="8083" spans="2:7" ht="15.75" customHeight="1" x14ac:dyDescent="0.25">
      <c r="B8083" s="100"/>
      <c r="C8083" s="100"/>
      <c r="D8083" s="100"/>
      <c r="E8083" s="100"/>
      <c r="F8083" s="102"/>
      <c r="G8083" s="114"/>
    </row>
    <row r="8084" spans="2:7" ht="15.75" customHeight="1" x14ac:dyDescent="0.25">
      <c r="B8084" s="100"/>
      <c r="C8084" s="100"/>
      <c r="D8084" s="100"/>
      <c r="E8084" s="100"/>
      <c r="F8084" s="102"/>
      <c r="G8084" s="114"/>
    </row>
    <row r="8085" spans="2:7" ht="15.75" customHeight="1" x14ac:dyDescent="0.25">
      <c r="B8085" s="100"/>
      <c r="C8085" s="100"/>
      <c r="D8085" s="100"/>
      <c r="E8085" s="100"/>
      <c r="F8085" s="102"/>
      <c r="G8085" s="114"/>
    </row>
    <row r="8086" spans="2:7" ht="15.75" customHeight="1" x14ac:dyDescent="0.25">
      <c r="B8086" s="100"/>
      <c r="C8086" s="100"/>
      <c r="D8086" s="100"/>
      <c r="E8086" s="100"/>
      <c r="F8086" s="102"/>
      <c r="G8086" s="114"/>
    </row>
    <row r="8087" spans="2:7" ht="15.75" customHeight="1" x14ac:dyDescent="0.25">
      <c r="B8087" s="100"/>
      <c r="C8087" s="100"/>
      <c r="D8087" s="100"/>
      <c r="E8087" s="100"/>
      <c r="F8087" s="102"/>
      <c r="G8087" s="114"/>
    </row>
    <row r="8088" spans="2:7" ht="15.75" customHeight="1" x14ac:dyDescent="0.25">
      <c r="B8088" s="100"/>
      <c r="C8088" s="100"/>
      <c r="D8088" s="100"/>
      <c r="E8088" s="100"/>
      <c r="F8088" s="102"/>
      <c r="G8088" s="114"/>
    </row>
    <row r="8089" spans="2:7" ht="15.75" customHeight="1" x14ac:dyDescent="0.25">
      <c r="B8089" s="100"/>
      <c r="C8089" s="100"/>
      <c r="D8089" s="100"/>
      <c r="E8089" s="100"/>
      <c r="F8089" s="102"/>
      <c r="G8089" s="114"/>
    </row>
    <row r="8090" spans="2:7" ht="15.75" customHeight="1" x14ac:dyDescent="0.25">
      <c r="B8090" s="100"/>
      <c r="C8090" s="100"/>
      <c r="D8090" s="100"/>
      <c r="E8090" s="100"/>
      <c r="F8090" s="102"/>
      <c r="G8090" s="114"/>
    </row>
    <row r="8091" spans="2:7" ht="15.75" customHeight="1" x14ac:dyDescent="0.25">
      <c r="B8091" s="100"/>
      <c r="C8091" s="100"/>
      <c r="D8091" s="100"/>
      <c r="E8091" s="100"/>
      <c r="F8091" s="102"/>
      <c r="G8091" s="114"/>
    </row>
    <row r="8092" spans="2:7" ht="15.75" customHeight="1" x14ac:dyDescent="0.25">
      <c r="B8092" s="100"/>
      <c r="C8092" s="100"/>
      <c r="D8092" s="100"/>
      <c r="E8092" s="100"/>
      <c r="F8092" s="102"/>
      <c r="G8092" s="114"/>
    </row>
    <row r="8093" spans="2:7" ht="15.75" customHeight="1" x14ac:dyDescent="0.25">
      <c r="B8093" s="100"/>
      <c r="C8093" s="100"/>
      <c r="D8093" s="100"/>
      <c r="E8093" s="100"/>
      <c r="F8093" s="102"/>
      <c r="G8093" s="114"/>
    </row>
    <row r="8094" spans="2:7" ht="15.75" customHeight="1" x14ac:dyDescent="0.25">
      <c r="B8094" s="100"/>
      <c r="C8094" s="100"/>
      <c r="D8094" s="100"/>
      <c r="E8094" s="100"/>
      <c r="F8094" s="102"/>
      <c r="G8094" s="114"/>
    </row>
    <row r="8095" spans="2:7" ht="15.75" customHeight="1" x14ac:dyDescent="0.25">
      <c r="B8095" s="100"/>
      <c r="C8095" s="100"/>
      <c r="D8095" s="100"/>
      <c r="E8095" s="100"/>
      <c r="F8095" s="102"/>
      <c r="G8095" s="114"/>
    </row>
    <row r="8096" spans="2:7" ht="15.75" customHeight="1" x14ac:dyDescent="0.25">
      <c r="B8096" s="100"/>
      <c r="C8096" s="100"/>
      <c r="D8096" s="100"/>
      <c r="E8096" s="100"/>
      <c r="F8096" s="102"/>
      <c r="G8096" s="114"/>
    </row>
    <row r="8097" spans="2:7" ht="15.75" customHeight="1" x14ac:dyDescent="0.25">
      <c r="B8097" s="100"/>
      <c r="C8097" s="100"/>
      <c r="D8097" s="100"/>
      <c r="E8097" s="100"/>
      <c r="F8097" s="102"/>
      <c r="G8097" s="114"/>
    </row>
    <row r="8098" spans="2:7" ht="15.75" customHeight="1" x14ac:dyDescent="0.25">
      <c r="B8098" s="100"/>
      <c r="C8098" s="100"/>
      <c r="D8098" s="100"/>
      <c r="E8098" s="100"/>
      <c r="F8098" s="102"/>
      <c r="G8098" s="114"/>
    </row>
    <row r="8099" spans="2:7" ht="15.75" customHeight="1" x14ac:dyDescent="0.25">
      <c r="B8099" s="100"/>
      <c r="C8099" s="100"/>
      <c r="D8099" s="100"/>
      <c r="E8099" s="100"/>
      <c r="F8099" s="102"/>
      <c r="G8099" s="114"/>
    </row>
    <row r="8100" spans="2:7" ht="15.75" customHeight="1" x14ac:dyDescent="0.25">
      <c r="B8100" s="100"/>
      <c r="C8100" s="100"/>
      <c r="D8100" s="100"/>
      <c r="E8100" s="100"/>
      <c r="F8100" s="102"/>
      <c r="G8100" s="114"/>
    </row>
    <row r="8101" spans="2:7" ht="15.75" customHeight="1" x14ac:dyDescent="0.25">
      <c r="B8101" s="100"/>
      <c r="C8101" s="100"/>
      <c r="D8101" s="100"/>
      <c r="E8101" s="100"/>
      <c r="F8101" s="102"/>
      <c r="G8101" s="114"/>
    </row>
    <row r="8102" spans="2:7" ht="15.75" customHeight="1" x14ac:dyDescent="0.25">
      <c r="B8102" s="100"/>
      <c r="C8102" s="100"/>
      <c r="D8102" s="100"/>
      <c r="E8102" s="100"/>
      <c r="F8102" s="102"/>
      <c r="G8102" s="114"/>
    </row>
    <row r="8103" spans="2:7" ht="15.75" customHeight="1" x14ac:dyDescent="0.25">
      <c r="B8103" s="100"/>
      <c r="C8103" s="100"/>
      <c r="D8103" s="100"/>
      <c r="E8103" s="100"/>
      <c r="F8103" s="102"/>
      <c r="G8103" s="114"/>
    </row>
    <row r="8104" spans="2:7" ht="15.75" customHeight="1" x14ac:dyDescent="0.25">
      <c r="B8104" s="100"/>
      <c r="C8104" s="100"/>
      <c r="D8104" s="100"/>
      <c r="E8104" s="100"/>
      <c r="F8104" s="102"/>
      <c r="G8104" s="114"/>
    </row>
    <row r="8105" spans="2:7" ht="15.75" customHeight="1" x14ac:dyDescent="0.25">
      <c r="B8105" s="100"/>
      <c r="C8105" s="100"/>
      <c r="D8105" s="100"/>
      <c r="E8105" s="100"/>
      <c r="F8105" s="102"/>
      <c r="G8105" s="114"/>
    </row>
    <row r="8106" spans="2:7" ht="15.75" customHeight="1" x14ac:dyDescent="0.25">
      <c r="B8106" s="100"/>
      <c r="C8106" s="100"/>
      <c r="D8106" s="100"/>
      <c r="E8106" s="100"/>
      <c r="F8106" s="102"/>
      <c r="G8106" s="114"/>
    </row>
    <row r="8107" spans="2:7" ht="15.75" customHeight="1" x14ac:dyDescent="0.25">
      <c r="B8107" s="100"/>
      <c r="C8107" s="100"/>
      <c r="D8107" s="100"/>
      <c r="E8107" s="100"/>
      <c r="F8107" s="102"/>
      <c r="G8107" s="114"/>
    </row>
    <row r="8108" spans="2:7" ht="15.75" customHeight="1" x14ac:dyDescent="0.25">
      <c r="B8108" s="100"/>
      <c r="C8108" s="100"/>
      <c r="D8108" s="100"/>
      <c r="E8108" s="100"/>
      <c r="F8108" s="102"/>
      <c r="G8108" s="114"/>
    </row>
    <row r="8109" spans="2:7" ht="15.75" customHeight="1" x14ac:dyDescent="0.25">
      <c r="B8109" s="100"/>
      <c r="C8109" s="100"/>
      <c r="D8109" s="100"/>
      <c r="E8109" s="100"/>
      <c r="F8109" s="102"/>
      <c r="G8109" s="114"/>
    </row>
    <row r="8110" spans="2:7" ht="15.75" customHeight="1" x14ac:dyDescent="0.25">
      <c r="B8110" s="100"/>
      <c r="C8110" s="100"/>
      <c r="D8110" s="100"/>
      <c r="E8110" s="100"/>
      <c r="F8110" s="102"/>
      <c r="G8110" s="114"/>
    </row>
    <row r="8111" spans="2:7" ht="15.75" customHeight="1" x14ac:dyDescent="0.25">
      <c r="B8111" s="100"/>
      <c r="C8111" s="100"/>
      <c r="D8111" s="100"/>
      <c r="E8111" s="100"/>
      <c r="F8111" s="102"/>
      <c r="G8111" s="114"/>
    </row>
    <row r="8112" spans="2:7" ht="15.75" customHeight="1" x14ac:dyDescent="0.25">
      <c r="B8112" s="100"/>
      <c r="C8112" s="100"/>
      <c r="D8112" s="100"/>
      <c r="E8112" s="100"/>
      <c r="F8112" s="102"/>
      <c r="G8112" s="114"/>
    </row>
    <row r="8113" spans="2:7" ht="15.75" customHeight="1" x14ac:dyDescent="0.25">
      <c r="B8113" s="100"/>
      <c r="C8113" s="100"/>
      <c r="D8113" s="100"/>
      <c r="E8113" s="100"/>
      <c r="F8113" s="102"/>
      <c r="G8113" s="114"/>
    </row>
    <row r="8114" spans="2:7" ht="15.75" customHeight="1" x14ac:dyDescent="0.25">
      <c r="B8114" s="100"/>
      <c r="C8114" s="100"/>
      <c r="D8114" s="100"/>
      <c r="E8114" s="100"/>
      <c r="F8114" s="102"/>
      <c r="G8114" s="114"/>
    </row>
    <row r="8115" spans="2:7" ht="15.75" customHeight="1" x14ac:dyDescent="0.25">
      <c r="B8115" s="100"/>
      <c r="C8115" s="100"/>
      <c r="D8115" s="100"/>
      <c r="E8115" s="100"/>
      <c r="F8115" s="102"/>
      <c r="G8115" s="114"/>
    </row>
    <row r="8116" spans="2:7" ht="15.75" customHeight="1" x14ac:dyDescent="0.25">
      <c r="B8116" s="100"/>
      <c r="C8116" s="100"/>
      <c r="D8116" s="100"/>
      <c r="E8116" s="100"/>
      <c r="F8116" s="102"/>
      <c r="G8116" s="114"/>
    </row>
    <row r="8117" spans="2:7" ht="15.75" customHeight="1" x14ac:dyDescent="0.25">
      <c r="B8117" s="100"/>
      <c r="C8117" s="100"/>
      <c r="D8117" s="100"/>
      <c r="E8117" s="100"/>
      <c r="F8117" s="102"/>
      <c r="G8117" s="114"/>
    </row>
    <row r="8118" spans="2:7" ht="15.75" customHeight="1" x14ac:dyDescent="0.25">
      <c r="B8118" s="100"/>
      <c r="C8118" s="100"/>
      <c r="D8118" s="100"/>
      <c r="E8118" s="100"/>
      <c r="F8118" s="102"/>
      <c r="G8118" s="114"/>
    </row>
    <row r="8119" spans="2:7" ht="15.75" customHeight="1" x14ac:dyDescent="0.25">
      <c r="B8119" s="100"/>
      <c r="C8119" s="100"/>
      <c r="D8119" s="100"/>
      <c r="E8119" s="100"/>
      <c r="F8119" s="102"/>
      <c r="G8119" s="114"/>
    </row>
    <row r="8120" spans="2:7" ht="15.75" customHeight="1" x14ac:dyDescent="0.25">
      <c r="B8120" s="100"/>
      <c r="C8120" s="100"/>
      <c r="D8120" s="100"/>
      <c r="E8120" s="100"/>
      <c r="F8120" s="102"/>
      <c r="G8120" s="114"/>
    </row>
    <row r="8121" spans="2:7" ht="15.75" customHeight="1" x14ac:dyDescent="0.25">
      <c r="B8121" s="100"/>
      <c r="C8121" s="100"/>
      <c r="D8121" s="100"/>
      <c r="E8121" s="100"/>
      <c r="F8121" s="102"/>
      <c r="G8121" s="114"/>
    </row>
    <row r="8122" spans="2:7" ht="15.75" customHeight="1" x14ac:dyDescent="0.25">
      <c r="B8122" s="100"/>
      <c r="C8122" s="100"/>
      <c r="D8122" s="100"/>
      <c r="E8122" s="100"/>
      <c r="F8122" s="102"/>
      <c r="G8122" s="114"/>
    </row>
    <row r="8123" spans="2:7" ht="15.75" customHeight="1" x14ac:dyDescent="0.25">
      <c r="B8123" s="100"/>
      <c r="C8123" s="100"/>
      <c r="D8123" s="100"/>
      <c r="E8123" s="100"/>
      <c r="F8123" s="102"/>
      <c r="G8123" s="114"/>
    </row>
    <row r="8124" spans="2:7" ht="15.75" customHeight="1" x14ac:dyDescent="0.25">
      <c r="B8124" s="100"/>
      <c r="C8124" s="100"/>
      <c r="D8124" s="100"/>
      <c r="E8124" s="100"/>
      <c r="F8124" s="102"/>
      <c r="G8124" s="114"/>
    </row>
    <row r="8125" spans="2:7" ht="15.75" customHeight="1" x14ac:dyDescent="0.25">
      <c r="B8125" s="100"/>
      <c r="C8125" s="100"/>
      <c r="D8125" s="100"/>
      <c r="E8125" s="100"/>
      <c r="F8125" s="102"/>
      <c r="G8125" s="114"/>
    </row>
    <row r="8126" spans="2:7" ht="15.75" customHeight="1" x14ac:dyDescent="0.25">
      <c r="B8126" s="100"/>
      <c r="C8126" s="100"/>
      <c r="D8126" s="100"/>
      <c r="E8126" s="100"/>
      <c r="F8126" s="102"/>
      <c r="G8126" s="114"/>
    </row>
    <row r="8127" spans="2:7" ht="15.75" customHeight="1" x14ac:dyDescent="0.25">
      <c r="B8127" s="100"/>
      <c r="C8127" s="100"/>
      <c r="D8127" s="100"/>
      <c r="E8127" s="100"/>
      <c r="F8127" s="102"/>
      <c r="G8127" s="114"/>
    </row>
    <row r="8128" spans="2:7" ht="15.75" customHeight="1" x14ac:dyDescent="0.25">
      <c r="B8128" s="100"/>
      <c r="C8128" s="100"/>
      <c r="D8128" s="100"/>
      <c r="E8128" s="100"/>
      <c r="F8128" s="102"/>
      <c r="G8128" s="114"/>
    </row>
    <row r="8129" spans="2:7" ht="15.75" customHeight="1" x14ac:dyDescent="0.25">
      <c r="B8129" s="100"/>
      <c r="C8129" s="100"/>
      <c r="D8129" s="100"/>
      <c r="E8129" s="100"/>
      <c r="F8129" s="102"/>
      <c r="G8129" s="114"/>
    </row>
    <row r="8130" spans="2:7" ht="15.75" customHeight="1" x14ac:dyDescent="0.25">
      <c r="B8130" s="100"/>
      <c r="C8130" s="100"/>
      <c r="D8130" s="100"/>
      <c r="E8130" s="100"/>
      <c r="F8130" s="102"/>
      <c r="G8130" s="114"/>
    </row>
    <row r="8131" spans="2:7" ht="15.75" customHeight="1" x14ac:dyDescent="0.25">
      <c r="B8131" s="100"/>
      <c r="C8131" s="100"/>
      <c r="D8131" s="100"/>
      <c r="E8131" s="100"/>
      <c r="F8131" s="102"/>
      <c r="G8131" s="114"/>
    </row>
    <row r="8132" spans="2:7" ht="15.75" customHeight="1" x14ac:dyDescent="0.25">
      <c r="B8132" s="100"/>
      <c r="C8132" s="100"/>
      <c r="D8132" s="100"/>
      <c r="E8132" s="100"/>
      <c r="F8132" s="102"/>
      <c r="G8132" s="114"/>
    </row>
    <row r="8133" spans="2:7" ht="15.75" customHeight="1" x14ac:dyDescent="0.25">
      <c r="B8133" s="100"/>
      <c r="C8133" s="100"/>
      <c r="D8133" s="100"/>
      <c r="E8133" s="100"/>
      <c r="F8133" s="102"/>
      <c r="G8133" s="114"/>
    </row>
    <row r="8134" spans="2:7" ht="15.75" customHeight="1" x14ac:dyDescent="0.25">
      <c r="B8134" s="100"/>
      <c r="C8134" s="100"/>
      <c r="D8134" s="100"/>
      <c r="E8134" s="100"/>
      <c r="F8134" s="102"/>
      <c r="G8134" s="114"/>
    </row>
    <row r="8135" spans="2:7" ht="15.75" customHeight="1" x14ac:dyDescent="0.25">
      <c r="B8135" s="100"/>
      <c r="C8135" s="100"/>
      <c r="D8135" s="100"/>
      <c r="E8135" s="100"/>
      <c r="F8135" s="102"/>
      <c r="G8135" s="114"/>
    </row>
    <row r="8136" spans="2:7" ht="15.75" customHeight="1" x14ac:dyDescent="0.25">
      <c r="B8136" s="100"/>
      <c r="C8136" s="100"/>
      <c r="D8136" s="100"/>
      <c r="E8136" s="100"/>
      <c r="F8136" s="102"/>
      <c r="G8136" s="114"/>
    </row>
    <row r="8137" spans="2:7" ht="15.75" customHeight="1" x14ac:dyDescent="0.25">
      <c r="B8137" s="100"/>
      <c r="C8137" s="100"/>
      <c r="D8137" s="100"/>
      <c r="E8137" s="100"/>
      <c r="F8137" s="102"/>
      <c r="G8137" s="114"/>
    </row>
    <row r="8138" spans="2:7" ht="15.75" customHeight="1" x14ac:dyDescent="0.25">
      <c r="B8138" s="100"/>
      <c r="C8138" s="100"/>
      <c r="D8138" s="100"/>
      <c r="E8138" s="100"/>
      <c r="F8138" s="102"/>
      <c r="G8138" s="114"/>
    </row>
    <row r="8139" spans="2:7" ht="15.75" customHeight="1" x14ac:dyDescent="0.25">
      <c r="B8139" s="100"/>
      <c r="C8139" s="100"/>
      <c r="D8139" s="100"/>
      <c r="E8139" s="100"/>
      <c r="F8139" s="102"/>
      <c r="G8139" s="114"/>
    </row>
    <row r="8140" spans="2:7" ht="15.75" customHeight="1" x14ac:dyDescent="0.25">
      <c r="B8140" s="100"/>
      <c r="C8140" s="100"/>
      <c r="D8140" s="100"/>
      <c r="E8140" s="100"/>
      <c r="F8140" s="102"/>
      <c r="G8140" s="114"/>
    </row>
    <row r="8141" spans="2:7" ht="15.75" customHeight="1" x14ac:dyDescent="0.25">
      <c r="B8141" s="100"/>
      <c r="C8141" s="100"/>
      <c r="D8141" s="100"/>
      <c r="E8141" s="100"/>
      <c r="F8141" s="102"/>
      <c r="G8141" s="114"/>
    </row>
    <row r="8142" spans="2:7" ht="15.75" customHeight="1" x14ac:dyDescent="0.25">
      <c r="B8142" s="100"/>
      <c r="C8142" s="100"/>
      <c r="D8142" s="100"/>
      <c r="E8142" s="100"/>
      <c r="F8142" s="102"/>
      <c r="G8142" s="114"/>
    </row>
    <row r="8143" spans="2:7" ht="15.75" customHeight="1" x14ac:dyDescent="0.25">
      <c r="B8143" s="100"/>
      <c r="C8143" s="100"/>
      <c r="D8143" s="100"/>
      <c r="E8143" s="100"/>
      <c r="F8143" s="102"/>
      <c r="G8143" s="114"/>
    </row>
    <row r="8144" spans="2:7" ht="15.75" customHeight="1" x14ac:dyDescent="0.25">
      <c r="B8144" s="100"/>
      <c r="C8144" s="100"/>
      <c r="D8144" s="100"/>
      <c r="E8144" s="100"/>
      <c r="F8144" s="102"/>
      <c r="G8144" s="114"/>
    </row>
    <row r="8145" spans="2:7" ht="15.75" customHeight="1" x14ac:dyDescent="0.25">
      <c r="B8145" s="100"/>
      <c r="C8145" s="100"/>
      <c r="D8145" s="100"/>
      <c r="E8145" s="100"/>
      <c r="F8145" s="102"/>
      <c r="G8145" s="114"/>
    </row>
    <row r="8146" spans="2:7" ht="15.75" customHeight="1" x14ac:dyDescent="0.25">
      <c r="B8146" s="100"/>
      <c r="C8146" s="100"/>
      <c r="D8146" s="100"/>
      <c r="E8146" s="100"/>
      <c r="F8146" s="102"/>
      <c r="G8146" s="114"/>
    </row>
    <row r="8147" spans="2:7" ht="15.75" customHeight="1" x14ac:dyDescent="0.25">
      <c r="B8147" s="100"/>
      <c r="C8147" s="100"/>
      <c r="D8147" s="100"/>
      <c r="E8147" s="100"/>
      <c r="F8147" s="102"/>
      <c r="G8147" s="114"/>
    </row>
    <row r="8148" spans="2:7" ht="15.75" customHeight="1" x14ac:dyDescent="0.25">
      <c r="B8148" s="100"/>
      <c r="C8148" s="100"/>
      <c r="D8148" s="100"/>
      <c r="E8148" s="100"/>
      <c r="F8148" s="102"/>
      <c r="G8148" s="114"/>
    </row>
    <row r="8149" spans="2:7" ht="15.75" customHeight="1" x14ac:dyDescent="0.25">
      <c r="B8149" s="100"/>
      <c r="C8149" s="100"/>
      <c r="D8149" s="100"/>
      <c r="E8149" s="100"/>
      <c r="F8149" s="102"/>
      <c r="G8149" s="114"/>
    </row>
    <row r="8150" spans="2:7" ht="15.75" customHeight="1" x14ac:dyDescent="0.25">
      <c r="B8150" s="100"/>
      <c r="C8150" s="100"/>
      <c r="D8150" s="100"/>
      <c r="E8150" s="100"/>
      <c r="F8150" s="102"/>
      <c r="G8150" s="114"/>
    </row>
    <row r="8151" spans="2:7" ht="15.75" customHeight="1" x14ac:dyDescent="0.25">
      <c r="B8151" s="100"/>
      <c r="C8151" s="100"/>
      <c r="D8151" s="100"/>
      <c r="E8151" s="100"/>
      <c r="F8151" s="102"/>
      <c r="G8151" s="114"/>
    </row>
    <row r="8152" spans="2:7" ht="15.75" customHeight="1" x14ac:dyDescent="0.25">
      <c r="B8152" s="100"/>
      <c r="C8152" s="100"/>
      <c r="D8152" s="100"/>
      <c r="E8152" s="100"/>
      <c r="F8152" s="102"/>
      <c r="G8152" s="114"/>
    </row>
    <row r="8153" spans="2:7" ht="15.75" customHeight="1" x14ac:dyDescent="0.25">
      <c r="B8153" s="100"/>
      <c r="C8153" s="100"/>
      <c r="D8153" s="100"/>
      <c r="E8153" s="100"/>
      <c r="F8153" s="102"/>
      <c r="G8153" s="114"/>
    </row>
    <row r="8154" spans="2:7" ht="15.75" customHeight="1" x14ac:dyDescent="0.25">
      <c r="B8154" s="100"/>
      <c r="C8154" s="100"/>
      <c r="D8154" s="100"/>
      <c r="E8154" s="100"/>
      <c r="F8154" s="102"/>
      <c r="G8154" s="114"/>
    </row>
    <row r="8155" spans="2:7" ht="15.75" customHeight="1" x14ac:dyDescent="0.25">
      <c r="B8155" s="100"/>
      <c r="C8155" s="100"/>
      <c r="D8155" s="100"/>
      <c r="E8155" s="100"/>
      <c r="F8155" s="102"/>
      <c r="G8155" s="114"/>
    </row>
    <row r="8156" spans="2:7" ht="15.75" customHeight="1" x14ac:dyDescent="0.25">
      <c r="B8156" s="100"/>
      <c r="C8156" s="100"/>
      <c r="D8156" s="100"/>
      <c r="E8156" s="100"/>
      <c r="F8156" s="102"/>
      <c r="G8156" s="114"/>
    </row>
    <row r="8157" spans="2:7" ht="15.75" customHeight="1" x14ac:dyDescent="0.25">
      <c r="B8157" s="100"/>
      <c r="C8157" s="100"/>
      <c r="D8157" s="100"/>
      <c r="E8157" s="100"/>
      <c r="F8157" s="102"/>
      <c r="G8157" s="114"/>
    </row>
    <row r="8158" spans="2:7" ht="15.75" customHeight="1" x14ac:dyDescent="0.25">
      <c r="B8158" s="100"/>
      <c r="C8158" s="100"/>
      <c r="D8158" s="100"/>
      <c r="E8158" s="100"/>
      <c r="F8158" s="102"/>
      <c r="G8158" s="114"/>
    </row>
    <row r="8159" spans="2:7" ht="15.75" customHeight="1" x14ac:dyDescent="0.25">
      <c r="B8159" s="100"/>
      <c r="C8159" s="100"/>
      <c r="D8159" s="100"/>
      <c r="E8159" s="100"/>
      <c r="F8159" s="102"/>
      <c r="G8159" s="114"/>
    </row>
    <row r="8160" spans="2:7" ht="15.75" customHeight="1" x14ac:dyDescent="0.25">
      <c r="B8160" s="100"/>
      <c r="C8160" s="100"/>
      <c r="D8160" s="100"/>
      <c r="E8160" s="100"/>
      <c r="F8160" s="102"/>
      <c r="G8160" s="114"/>
    </row>
    <row r="8161" spans="2:7" ht="15.75" customHeight="1" x14ac:dyDescent="0.25">
      <c r="B8161" s="100"/>
      <c r="C8161" s="100"/>
      <c r="D8161" s="100"/>
      <c r="E8161" s="100"/>
      <c r="F8161" s="102"/>
      <c r="G8161" s="114"/>
    </row>
    <row r="8162" spans="2:7" ht="15.75" customHeight="1" x14ac:dyDescent="0.25">
      <c r="B8162" s="100"/>
      <c r="C8162" s="100"/>
      <c r="D8162" s="100"/>
      <c r="E8162" s="100"/>
      <c r="F8162" s="102"/>
      <c r="G8162" s="114"/>
    </row>
    <row r="8163" spans="2:7" ht="15.75" customHeight="1" x14ac:dyDescent="0.25">
      <c r="B8163" s="100"/>
      <c r="C8163" s="100"/>
      <c r="D8163" s="100"/>
      <c r="E8163" s="100"/>
      <c r="F8163" s="102"/>
      <c r="G8163" s="114"/>
    </row>
    <row r="8164" spans="2:7" ht="15.75" customHeight="1" x14ac:dyDescent="0.25">
      <c r="B8164" s="100"/>
      <c r="C8164" s="100"/>
      <c r="D8164" s="100"/>
      <c r="E8164" s="100"/>
      <c r="F8164" s="102"/>
      <c r="G8164" s="114"/>
    </row>
    <row r="8165" spans="2:7" ht="15.75" customHeight="1" x14ac:dyDescent="0.25">
      <c r="B8165" s="100"/>
      <c r="C8165" s="100"/>
      <c r="D8165" s="100"/>
      <c r="E8165" s="100"/>
      <c r="F8165" s="102"/>
      <c r="G8165" s="114"/>
    </row>
    <row r="8166" spans="2:7" ht="15.75" customHeight="1" x14ac:dyDescent="0.25">
      <c r="B8166" s="100"/>
      <c r="C8166" s="100"/>
      <c r="D8166" s="100"/>
      <c r="E8166" s="100"/>
      <c r="F8166" s="102"/>
      <c r="G8166" s="114"/>
    </row>
    <row r="8167" spans="2:7" ht="15.75" customHeight="1" x14ac:dyDescent="0.25">
      <c r="B8167" s="100"/>
      <c r="C8167" s="100"/>
      <c r="D8167" s="100"/>
      <c r="E8167" s="100"/>
      <c r="F8167" s="102"/>
      <c r="G8167" s="114"/>
    </row>
    <row r="8168" spans="2:7" ht="15.75" customHeight="1" x14ac:dyDescent="0.25">
      <c r="B8168" s="100"/>
      <c r="C8168" s="100"/>
      <c r="D8168" s="100"/>
      <c r="E8168" s="100"/>
      <c r="F8168" s="102"/>
      <c r="G8168" s="114"/>
    </row>
    <row r="8169" spans="2:7" ht="15.75" customHeight="1" x14ac:dyDescent="0.25">
      <c r="B8169" s="100"/>
      <c r="C8169" s="100"/>
      <c r="D8169" s="100"/>
      <c r="E8169" s="100"/>
      <c r="F8169" s="102"/>
      <c r="G8169" s="114"/>
    </row>
    <row r="8170" spans="2:7" ht="15.75" customHeight="1" x14ac:dyDescent="0.25">
      <c r="B8170" s="100"/>
      <c r="C8170" s="100"/>
      <c r="D8170" s="100"/>
      <c r="E8170" s="100"/>
      <c r="F8170" s="102"/>
      <c r="G8170" s="114"/>
    </row>
    <row r="8171" spans="2:7" ht="15.75" customHeight="1" x14ac:dyDescent="0.25">
      <c r="B8171" s="100"/>
      <c r="C8171" s="100"/>
      <c r="D8171" s="100"/>
      <c r="E8171" s="100"/>
      <c r="F8171" s="102"/>
      <c r="G8171" s="114"/>
    </row>
    <row r="8172" spans="2:7" ht="15.75" customHeight="1" x14ac:dyDescent="0.25">
      <c r="B8172" s="100"/>
      <c r="C8172" s="100"/>
      <c r="D8172" s="100"/>
      <c r="E8172" s="100"/>
      <c r="F8172" s="102"/>
      <c r="G8172" s="114"/>
    </row>
    <row r="8173" spans="2:7" ht="15.75" customHeight="1" x14ac:dyDescent="0.25">
      <c r="B8173" s="100"/>
      <c r="C8173" s="100"/>
      <c r="D8173" s="100"/>
      <c r="E8173" s="100"/>
      <c r="F8173" s="102"/>
      <c r="G8173" s="114"/>
    </row>
    <row r="8174" spans="2:7" ht="15.75" customHeight="1" x14ac:dyDescent="0.25">
      <c r="B8174" s="100"/>
      <c r="C8174" s="100"/>
      <c r="D8174" s="100"/>
      <c r="E8174" s="100"/>
      <c r="F8174" s="102"/>
      <c r="G8174" s="114"/>
    </row>
    <row r="8175" spans="2:7" ht="15.75" customHeight="1" x14ac:dyDescent="0.25">
      <c r="B8175" s="100"/>
      <c r="C8175" s="100"/>
      <c r="D8175" s="100"/>
      <c r="E8175" s="100"/>
      <c r="F8175" s="102"/>
      <c r="G8175" s="114"/>
    </row>
    <row r="8176" spans="2:7" ht="15.75" customHeight="1" x14ac:dyDescent="0.25">
      <c r="B8176" s="100"/>
      <c r="C8176" s="100"/>
      <c r="D8176" s="100"/>
      <c r="E8176" s="100"/>
      <c r="F8176" s="102"/>
      <c r="G8176" s="114"/>
    </row>
    <row r="8177" spans="2:7" ht="15.75" customHeight="1" x14ac:dyDescent="0.25">
      <c r="B8177" s="100"/>
      <c r="C8177" s="100"/>
      <c r="D8177" s="100"/>
      <c r="E8177" s="100"/>
      <c r="F8177" s="102"/>
      <c r="G8177" s="114"/>
    </row>
    <row r="8178" spans="2:7" ht="15.75" customHeight="1" x14ac:dyDescent="0.25">
      <c r="B8178" s="100"/>
      <c r="C8178" s="100"/>
      <c r="D8178" s="100"/>
      <c r="E8178" s="100"/>
      <c r="F8178" s="102"/>
      <c r="G8178" s="114"/>
    </row>
    <row r="8179" spans="2:7" ht="15.75" customHeight="1" x14ac:dyDescent="0.25">
      <c r="B8179" s="100"/>
      <c r="C8179" s="100"/>
      <c r="D8179" s="100"/>
      <c r="E8179" s="100"/>
      <c r="F8179" s="102"/>
      <c r="G8179" s="114"/>
    </row>
    <row r="8180" spans="2:7" ht="15.75" customHeight="1" x14ac:dyDescent="0.25">
      <c r="B8180" s="100"/>
      <c r="C8180" s="100"/>
      <c r="D8180" s="100"/>
      <c r="E8180" s="100"/>
      <c r="F8180" s="102"/>
      <c r="G8180" s="114"/>
    </row>
    <row r="8181" spans="2:7" ht="15.75" customHeight="1" x14ac:dyDescent="0.25">
      <c r="B8181" s="100"/>
      <c r="C8181" s="100"/>
      <c r="D8181" s="100"/>
      <c r="E8181" s="100"/>
      <c r="F8181" s="102"/>
      <c r="G8181" s="114"/>
    </row>
    <row r="8182" spans="2:7" ht="15.75" customHeight="1" x14ac:dyDescent="0.25">
      <c r="B8182" s="100"/>
      <c r="C8182" s="100"/>
      <c r="D8182" s="100"/>
      <c r="E8182" s="100"/>
      <c r="F8182" s="102"/>
      <c r="G8182" s="114"/>
    </row>
    <row r="8183" spans="2:7" ht="15.75" customHeight="1" x14ac:dyDescent="0.25">
      <c r="B8183" s="100"/>
      <c r="C8183" s="100"/>
      <c r="D8183" s="100"/>
      <c r="E8183" s="100"/>
      <c r="F8183" s="102"/>
      <c r="G8183" s="114"/>
    </row>
    <row r="8184" spans="2:7" ht="15.75" customHeight="1" x14ac:dyDescent="0.25">
      <c r="B8184" s="100"/>
      <c r="C8184" s="100"/>
      <c r="D8184" s="100"/>
      <c r="E8184" s="100"/>
      <c r="F8184" s="102"/>
      <c r="G8184" s="114"/>
    </row>
    <row r="8185" spans="2:7" ht="15.75" customHeight="1" x14ac:dyDescent="0.25">
      <c r="B8185" s="100"/>
      <c r="C8185" s="100"/>
      <c r="D8185" s="100"/>
      <c r="E8185" s="100"/>
      <c r="F8185" s="102"/>
      <c r="G8185" s="114"/>
    </row>
    <row r="8186" spans="2:7" ht="15.75" customHeight="1" x14ac:dyDescent="0.25">
      <c r="B8186" s="100"/>
      <c r="C8186" s="100"/>
      <c r="D8186" s="100"/>
      <c r="E8186" s="100"/>
      <c r="F8186" s="102"/>
      <c r="G8186" s="114"/>
    </row>
    <row r="8187" spans="2:7" ht="15.75" customHeight="1" x14ac:dyDescent="0.25">
      <c r="B8187" s="100"/>
      <c r="C8187" s="100"/>
      <c r="D8187" s="100"/>
      <c r="E8187" s="100"/>
      <c r="F8187" s="102"/>
      <c r="G8187" s="114"/>
    </row>
    <row r="8188" spans="2:7" ht="15.75" customHeight="1" x14ac:dyDescent="0.25">
      <c r="B8188" s="100"/>
      <c r="C8188" s="100"/>
      <c r="D8188" s="100"/>
      <c r="E8188" s="100"/>
      <c r="F8188" s="102"/>
      <c r="G8188" s="114"/>
    </row>
    <row r="8189" spans="2:7" ht="15.75" customHeight="1" x14ac:dyDescent="0.25">
      <c r="B8189" s="100"/>
      <c r="C8189" s="100"/>
      <c r="D8189" s="100"/>
      <c r="E8189" s="100"/>
      <c r="F8189" s="102"/>
      <c r="G8189" s="114"/>
    </row>
    <row r="8190" spans="2:7" ht="15.75" customHeight="1" x14ac:dyDescent="0.25">
      <c r="B8190" s="100"/>
      <c r="C8190" s="100"/>
      <c r="D8190" s="100"/>
      <c r="E8190" s="100"/>
      <c r="F8190" s="102"/>
      <c r="G8190" s="114"/>
    </row>
    <row r="8191" spans="2:7" ht="15.75" customHeight="1" x14ac:dyDescent="0.25">
      <c r="B8191" s="100"/>
      <c r="C8191" s="100"/>
      <c r="D8191" s="100"/>
      <c r="E8191" s="100"/>
      <c r="F8191" s="102"/>
      <c r="G8191" s="114"/>
    </row>
    <row r="8192" spans="2:7" ht="15.75" customHeight="1" x14ac:dyDescent="0.25">
      <c r="B8192" s="100"/>
      <c r="C8192" s="100"/>
      <c r="D8192" s="100"/>
      <c r="E8192" s="100"/>
      <c r="F8192" s="102"/>
      <c r="G8192" s="114"/>
    </row>
    <row r="8193" spans="2:7" ht="15.75" customHeight="1" x14ac:dyDescent="0.25">
      <c r="B8193" s="100"/>
      <c r="C8193" s="100"/>
      <c r="D8193" s="100"/>
      <c r="E8193" s="100"/>
      <c r="F8193" s="102"/>
      <c r="G8193" s="114"/>
    </row>
    <row r="8194" spans="2:7" ht="15.75" customHeight="1" x14ac:dyDescent="0.25">
      <c r="B8194" s="100"/>
      <c r="C8194" s="100"/>
      <c r="D8194" s="100"/>
      <c r="E8194" s="100"/>
      <c r="F8194" s="102"/>
      <c r="G8194" s="114"/>
    </row>
    <row r="8195" spans="2:7" ht="15.75" customHeight="1" x14ac:dyDescent="0.25">
      <c r="B8195" s="100"/>
      <c r="C8195" s="100"/>
      <c r="D8195" s="100"/>
      <c r="E8195" s="100"/>
      <c r="F8195" s="102"/>
      <c r="G8195" s="114"/>
    </row>
    <row r="8196" spans="2:7" ht="15.75" customHeight="1" x14ac:dyDescent="0.25">
      <c r="B8196" s="100"/>
      <c r="C8196" s="100"/>
      <c r="D8196" s="100"/>
      <c r="E8196" s="100"/>
      <c r="F8196" s="102"/>
      <c r="G8196" s="114"/>
    </row>
    <row r="8197" spans="2:7" ht="15.75" customHeight="1" x14ac:dyDescent="0.25">
      <c r="B8197" s="100"/>
      <c r="C8197" s="100"/>
      <c r="D8197" s="100"/>
      <c r="E8197" s="100"/>
      <c r="F8197" s="102"/>
      <c r="G8197" s="114"/>
    </row>
    <row r="8198" spans="2:7" ht="15.75" customHeight="1" x14ac:dyDescent="0.25">
      <c r="B8198" s="100"/>
      <c r="C8198" s="100"/>
      <c r="D8198" s="100"/>
      <c r="E8198" s="100"/>
      <c r="F8198" s="102"/>
      <c r="G8198" s="114"/>
    </row>
    <row r="8199" spans="2:7" ht="15.75" customHeight="1" x14ac:dyDescent="0.25">
      <c r="B8199" s="100"/>
      <c r="C8199" s="100"/>
      <c r="D8199" s="100"/>
      <c r="E8199" s="100"/>
      <c r="F8199" s="102"/>
      <c r="G8199" s="114"/>
    </row>
    <row r="8200" spans="2:7" ht="15.75" customHeight="1" x14ac:dyDescent="0.25">
      <c r="B8200" s="100"/>
      <c r="C8200" s="100"/>
      <c r="D8200" s="100"/>
      <c r="E8200" s="100"/>
      <c r="F8200" s="102"/>
      <c r="G8200" s="114"/>
    </row>
    <row r="8201" spans="2:7" ht="15.75" customHeight="1" x14ac:dyDescent="0.25">
      <c r="B8201" s="100"/>
      <c r="C8201" s="100"/>
      <c r="D8201" s="100"/>
      <c r="E8201" s="100"/>
      <c r="F8201" s="102"/>
      <c r="G8201" s="114"/>
    </row>
    <row r="8202" spans="2:7" ht="15.75" customHeight="1" x14ac:dyDescent="0.25">
      <c r="B8202" s="100"/>
      <c r="C8202" s="100"/>
      <c r="D8202" s="100"/>
      <c r="E8202" s="100"/>
      <c r="F8202" s="102"/>
      <c r="G8202" s="114"/>
    </row>
    <row r="8203" spans="2:7" ht="15.75" customHeight="1" x14ac:dyDescent="0.25">
      <c r="B8203" s="100"/>
      <c r="C8203" s="100"/>
      <c r="D8203" s="100"/>
      <c r="E8203" s="100"/>
      <c r="F8203" s="102"/>
      <c r="G8203" s="114"/>
    </row>
    <row r="8204" spans="2:7" ht="15.75" customHeight="1" x14ac:dyDescent="0.25">
      <c r="B8204" s="100"/>
      <c r="C8204" s="100"/>
      <c r="D8204" s="100"/>
      <c r="E8204" s="100"/>
      <c r="F8204" s="102"/>
      <c r="G8204" s="114"/>
    </row>
    <row r="8205" spans="2:7" ht="15.75" customHeight="1" x14ac:dyDescent="0.25">
      <c r="B8205" s="100"/>
      <c r="C8205" s="100"/>
      <c r="D8205" s="100"/>
      <c r="E8205" s="100"/>
      <c r="F8205" s="102"/>
      <c r="G8205" s="114"/>
    </row>
    <row r="8206" spans="2:7" ht="15.75" customHeight="1" x14ac:dyDescent="0.25">
      <c r="B8206" s="100"/>
      <c r="C8206" s="100"/>
      <c r="D8206" s="100"/>
      <c r="E8206" s="100"/>
      <c r="F8206" s="102"/>
      <c r="G8206" s="114"/>
    </row>
    <row r="8207" spans="2:7" ht="15.75" customHeight="1" x14ac:dyDescent="0.25">
      <c r="B8207" s="100"/>
      <c r="C8207" s="100"/>
      <c r="D8207" s="100"/>
      <c r="E8207" s="100"/>
      <c r="F8207" s="102"/>
      <c r="G8207" s="114"/>
    </row>
    <row r="8208" spans="2:7" ht="15.75" customHeight="1" x14ac:dyDescent="0.25">
      <c r="B8208" s="100"/>
      <c r="C8208" s="100"/>
      <c r="D8208" s="100"/>
      <c r="E8208" s="100"/>
      <c r="F8208" s="102"/>
      <c r="G8208" s="114"/>
    </row>
    <row r="8209" spans="2:7" ht="15.75" customHeight="1" x14ac:dyDescent="0.25">
      <c r="B8209" s="100"/>
      <c r="C8209" s="100"/>
      <c r="D8209" s="100"/>
      <c r="E8209" s="100"/>
      <c r="F8209" s="102"/>
      <c r="G8209" s="114"/>
    </row>
    <row r="8210" spans="2:7" ht="15.75" customHeight="1" x14ac:dyDescent="0.25">
      <c r="B8210" s="100"/>
      <c r="C8210" s="100"/>
      <c r="D8210" s="100"/>
      <c r="E8210" s="100"/>
      <c r="F8210" s="102"/>
      <c r="G8210" s="114"/>
    </row>
    <row r="8211" spans="2:7" ht="15.75" customHeight="1" x14ac:dyDescent="0.25">
      <c r="B8211" s="100"/>
      <c r="C8211" s="100"/>
      <c r="D8211" s="100"/>
      <c r="E8211" s="100"/>
      <c r="F8211" s="102"/>
      <c r="G8211" s="114"/>
    </row>
    <row r="8212" spans="2:7" ht="15.75" customHeight="1" x14ac:dyDescent="0.25">
      <c r="B8212" s="100"/>
      <c r="C8212" s="100"/>
      <c r="D8212" s="100"/>
      <c r="E8212" s="100"/>
      <c r="F8212" s="102"/>
      <c r="G8212" s="114"/>
    </row>
    <row r="8213" spans="2:7" ht="15.75" customHeight="1" x14ac:dyDescent="0.25">
      <c r="B8213" s="100"/>
      <c r="C8213" s="100"/>
      <c r="D8213" s="100"/>
      <c r="E8213" s="100"/>
      <c r="F8213" s="102"/>
      <c r="G8213" s="114"/>
    </row>
    <row r="8214" spans="2:7" ht="15.75" customHeight="1" x14ac:dyDescent="0.25">
      <c r="B8214" s="100"/>
      <c r="C8214" s="100"/>
      <c r="D8214" s="100"/>
      <c r="E8214" s="100"/>
      <c r="F8214" s="102"/>
      <c r="G8214" s="114"/>
    </row>
    <row r="8215" spans="2:7" ht="15.75" customHeight="1" x14ac:dyDescent="0.25">
      <c r="B8215" s="100"/>
      <c r="C8215" s="100"/>
      <c r="D8215" s="100"/>
      <c r="E8215" s="100"/>
      <c r="F8215" s="102"/>
      <c r="G8215" s="114"/>
    </row>
    <row r="8216" spans="2:7" ht="15.75" customHeight="1" x14ac:dyDescent="0.25">
      <c r="B8216" s="100"/>
      <c r="C8216" s="100"/>
      <c r="D8216" s="100"/>
      <c r="E8216" s="100"/>
      <c r="F8216" s="102"/>
      <c r="G8216" s="114"/>
    </row>
    <row r="8217" spans="2:7" ht="15.75" customHeight="1" x14ac:dyDescent="0.25">
      <c r="B8217" s="100"/>
      <c r="C8217" s="100"/>
      <c r="D8217" s="100"/>
      <c r="E8217" s="100"/>
      <c r="F8217" s="102"/>
      <c r="G8217" s="114"/>
    </row>
    <row r="8218" spans="2:7" ht="15.75" customHeight="1" x14ac:dyDescent="0.25">
      <c r="B8218" s="100"/>
      <c r="C8218" s="100"/>
      <c r="D8218" s="100"/>
      <c r="E8218" s="100"/>
      <c r="F8218" s="102"/>
      <c r="G8218" s="114"/>
    </row>
    <row r="8219" spans="2:7" ht="15.75" customHeight="1" x14ac:dyDescent="0.25">
      <c r="B8219" s="100"/>
      <c r="C8219" s="100"/>
      <c r="D8219" s="100"/>
      <c r="E8219" s="100"/>
      <c r="F8219" s="102"/>
      <c r="G8219" s="114"/>
    </row>
    <row r="8220" spans="2:7" ht="15.75" customHeight="1" x14ac:dyDescent="0.25">
      <c r="B8220" s="100"/>
      <c r="C8220" s="100"/>
      <c r="D8220" s="100"/>
      <c r="E8220" s="100"/>
      <c r="F8220" s="102"/>
      <c r="G8220" s="114"/>
    </row>
    <row r="8221" spans="2:7" ht="15.75" customHeight="1" x14ac:dyDescent="0.25">
      <c r="B8221" s="100"/>
      <c r="C8221" s="100"/>
      <c r="D8221" s="100"/>
      <c r="E8221" s="100"/>
      <c r="F8221" s="102"/>
      <c r="G8221" s="114"/>
    </row>
    <row r="8222" spans="2:7" ht="15.75" customHeight="1" x14ac:dyDescent="0.25">
      <c r="B8222" s="100"/>
      <c r="C8222" s="100"/>
      <c r="D8222" s="100"/>
      <c r="E8222" s="100"/>
      <c r="F8222" s="102"/>
      <c r="G8222" s="114"/>
    </row>
    <row r="8223" spans="2:7" ht="15.75" customHeight="1" x14ac:dyDescent="0.25">
      <c r="B8223" s="100"/>
      <c r="C8223" s="100"/>
      <c r="D8223" s="100"/>
      <c r="E8223" s="100"/>
      <c r="F8223" s="102"/>
      <c r="G8223" s="114"/>
    </row>
    <row r="8224" spans="2:7" ht="15.75" customHeight="1" x14ac:dyDescent="0.25">
      <c r="B8224" s="100"/>
      <c r="C8224" s="100"/>
      <c r="D8224" s="100"/>
      <c r="E8224" s="100"/>
      <c r="F8224" s="102"/>
      <c r="G8224" s="114"/>
    </row>
    <row r="8225" spans="2:7" ht="15.75" customHeight="1" x14ac:dyDescent="0.25">
      <c r="B8225" s="100"/>
      <c r="C8225" s="100"/>
      <c r="D8225" s="100"/>
      <c r="E8225" s="100"/>
      <c r="F8225" s="102"/>
      <c r="G8225" s="114"/>
    </row>
    <row r="8226" spans="2:7" ht="15.75" customHeight="1" x14ac:dyDescent="0.25">
      <c r="B8226" s="100"/>
      <c r="C8226" s="100"/>
      <c r="D8226" s="100"/>
      <c r="E8226" s="100"/>
      <c r="F8226" s="102"/>
      <c r="G8226" s="114"/>
    </row>
    <row r="8227" spans="2:7" ht="15.75" customHeight="1" x14ac:dyDescent="0.25">
      <c r="B8227" s="100"/>
      <c r="C8227" s="100"/>
      <c r="D8227" s="100"/>
      <c r="E8227" s="100"/>
      <c r="F8227" s="102"/>
      <c r="G8227" s="114"/>
    </row>
    <row r="8228" spans="2:7" ht="15.75" customHeight="1" x14ac:dyDescent="0.25">
      <c r="B8228" s="100"/>
      <c r="C8228" s="100"/>
      <c r="D8228" s="100"/>
      <c r="E8228" s="100"/>
      <c r="F8228" s="102"/>
      <c r="G8228" s="114"/>
    </row>
    <row r="8229" spans="2:7" ht="15.75" customHeight="1" x14ac:dyDescent="0.25">
      <c r="B8229" s="100"/>
      <c r="C8229" s="100"/>
      <c r="D8229" s="100"/>
      <c r="E8229" s="100"/>
      <c r="F8229" s="102"/>
      <c r="G8229" s="114"/>
    </row>
    <row r="8230" spans="2:7" ht="15.75" customHeight="1" x14ac:dyDescent="0.25">
      <c r="B8230" s="100"/>
      <c r="C8230" s="100"/>
      <c r="D8230" s="100"/>
      <c r="E8230" s="100"/>
      <c r="F8230" s="102"/>
      <c r="G8230" s="114"/>
    </row>
    <row r="8231" spans="2:7" ht="15.75" customHeight="1" x14ac:dyDescent="0.25">
      <c r="B8231" s="100"/>
      <c r="C8231" s="100"/>
      <c r="D8231" s="100"/>
      <c r="E8231" s="100"/>
      <c r="F8231" s="102"/>
      <c r="G8231" s="114"/>
    </row>
    <row r="8232" spans="2:7" ht="15.75" customHeight="1" x14ac:dyDescent="0.25">
      <c r="B8232" s="100"/>
      <c r="C8232" s="100"/>
      <c r="D8232" s="100"/>
      <c r="E8232" s="100"/>
      <c r="F8232" s="102"/>
      <c r="G8232" s="114"/>
    </row>
    <row r="8233" spans="2:7" ht="15.75" customHeight="1" x14ac:dyDescent="0.25">
      <c r="B8233" s="100"/>
      <c r="C8233" s="100"/>
      <c r="D8233" s="100"/>
      <c r="E8233" s="100"/>
      <c r="F8233" s="102"/>
      <c r="G8233" s="114"/>
    </row>
    <row r="8234" spans="2:7" ht="15.75" customHeight="1" x14ac:dyDescent="0.25">
      <c r="B8234" s="100"/>
      <c r="C8234" s="100"/>
      <c r="D8234" s="100"/>
      <c r="E8234" s="100"/>
      <c r="F8234" s="102"/>
      <c r="G8234" s="114"/>
    </row>
    <row r="8235" spans="2:7" ht="15.75" customHeight="1" x14ac:dyDescent="0.25">
      <c r="B8235" s="100"/>
      <c r="C8235" s="100"/>
      <c r="D8235" s="100"/>
      <c r="E8235" s="100"/>
      <c r="F8235" s="102"/>
      <c r="G8235" s="114"/>
    </row>
    <row r="8236" spans="2:7" ht="15.75" customHeight="1" x14ac:dyDescent="0.25">
      <c r="B8236" s="100"/>
      <c r="C8236" s="100"/>
      <c r="D8236" s="100"/>
      <c r="E8236" s="100"/>
      <c r="F8236" s="102"/>
      <c r="G8236" s="114"/>
    </row>
    <row r="8237" spans="2:7" ht="15.75" customHeight="1" x14ac:dyDescent="0.25">
      <c r="B8237" s="100"/>
      <c r="C8237" s="100"/>
      <c r="D8237" s="100"/>
      <c r="E8237" s="100"/>
      <c r="F8237" s="102"/>
      <c r="G8237" s="114"/>
    </row>
    <row r="8238" spans="2:7" ht="15.75" customHeight="1" x14ac:dyDescent="0.25">
      <c r="B8238" s="100"/>
      <c r="C8238" s="100"/>
      <c r="D8238" s="100"/>
      <c r="E8238" s="100"/>
      <c r="F8238" s="102"/>
      <c r="G8238" s="114"/>
    </row>
    <row r="8239" spans="2:7" ht="15.75" customHeight="1" x14ac:dyDescent="0.25">
      <c r="B8239" s="100"/>
      <c r="C8239" s="100"/>
      <c r="D8239" s="100"/>
      <c r="E8239" s="100"/>
      <c r="F8239" s="102"/>
      <c r="G8239" s="114"/>
    </row>
    <row r="8240" spans="2:7" ht="15.75" customHeight="1" x14ac:dyDescent="0.25">
      <c r="B8240" s="100"/>
      <c r="C8240" s="100"/>
      <c r="D8240" s="100"/>
      <c r="E8240" s="100"/>
      <c r="F8240" s="102"/>
      <c r="G8240" s="114"/>
    </row>
    <row r="8241" spans="2:7" ht="15.75" customHeight="1" x14ac:dyDescent="0.25">
      <c r="B8241" s="100"/>
      <c r="C8241" s="100"/>
      <c r="D8241" s="100"/>
      <c r="E8241" s="100"/>
      <c r="F8241" s="102"/>
      <c r="G8241" s="114"/>
    </row>
    <row r="8242" spans="2:7" ht="15.75" customHeight="1" x14ac:dyDescent="0.25">
      <c r="B8242" s="100"/>
      <c r="C8242" s="100"/>
      <c r="D8242" s="100"/>
      <c r="E8242" s="100"/>
      <c r="F8242" s="102"/>
      <c r="G8242" s="114"/>
    </row>
    <row r="8243" spans="2:7" ht="15.75" customHeight="1" x14ac:dyDescent="0.25">
      <c r="B8243" s="100"/>
      <c r="C8243" s="100"/>
      <c r="D8243" s="100"/>
      <c r="E8243" s="100"/>
      <c r="F8243" s="102"/>
      <c r="G8243" s="114"/>
    </row>
    <row r="8244" spans="2:7" ht="15.75" customHeight="1" x14ac:dyDescent="0.25">
      <c r="B8244" s="100"/>
      <c r="C8244" s="100"/>
      <c r="D8244" s="100"/>
      <c r="E8244" s="100"/>
      <c r="F8244" s="102"/>
      <c r="G8244" s="114"/>
    </row>
    <row r="8245" spans="2:7" ht="15.75" customHeight="1" x14ac:dyDescent="0.25">
      <c r="B8245" s="100"/>
      <c r="C8245" s="100"/>
      <c r="D8245" s="100"/>
      <c r="E8245" s="100"/>
      <c r="F8245" s="102"/>
      <c r="G8245" s="114"/>
    </row>
    <row r="8246" spans="2:7" ht="15.75" customHeight="1" x14ac:dyDescent="0.25">
      <c r="B8246" s="100"/>
      <c r="C8246" s="100"/>
      <c r="D8246" s="100"/>
      <c r="E8246" s="100"/>
      <c r="F8246" s="102"/>
      <c r="G8246" s="114"/>
    </row>
    <row r="8247" spans="2:7" ht="15.75" customHeight="1" x14ac:dyDescent="0.25">
      <c r="B8247" s="100"/>
      <c r="C8247" s="100"/>
      <c r="D8247" s="100"/>
      <c r="E8247" s="100"/>
      <c r="F8247" s="102"/>
      <c r="G8247" s="114"/>
    </row>
    <row r="8248" spans="2:7" ht="15.75" customHeight="1" x14ac:dyDescent="0.25">
      <c r="B8248" s="100"/>
      <c r="C8248" s="100"/>
      <c r="D8248" s="100"/>
      <c r="E8248" s="100"/>
      <c r="F8248" s="102"/>
      <c r="G8248" s="114"/>
    </row>
    <row r="8249" spans="2:7" ht="15.75" customHeight="1" x14ac:dyDescent="0.25">
      <c r="B8249" s="100"/>
      <c r="C8249" s="100"/>
      <c r="D8249" s="100"/>
      <c r="E8249" s="100"/>
      <c r="F8249" s="102"/>
      <c r="G8249" s="114"/>
    </row>
    <row r="8250" spans="2:7" ht="15.75" customHeight="1" x14ac:dyDescent="0.25">
      <c r="B8250" s="100"/>
      <c r="C8250" s="100"/>
      <c r="D8250" s="100"/>
      <c r="E8250" s="100"/>
      <c r="F8250" s="102"/>
      <c r="G8250" s="114"/>
    </row>
    <row r="8251" spans="2:7" ht="15.75" customHeight="1" x14ac:dyDescent="0.25">
      <c r="B8251" s="100"/>
      <c r="C8251" s="100"/>
      <c r="D8251" s="100"/>
      <c r="E8251" s="100"/>
      <c r="F8251" s="102"/>
      <c r="G8251" s="114"/>
    </row>
    <row r="8252" spans="2:7" ht="15.75" customHeight="1" x14ac:dyDescent="0.25">
      <c r="B8252" s="100"/>
      <c r="C8252" s="100"/>
      <c r="D8252" s="100"/>
      <c r="E8252" s="100"/>
      <c r="F8252" s="102"/>
      <c r="G8252" s="114"/>
    </row>
    <row r="8253" spans="2:7" ht="15.75" customHeight="1" x14ac:dyDescent="0.25">
      <c r="B8253" s="100"/>
      <c r="C8253" s="100"/>
      <c r="D8253" s="100"/>
      <c r="E8253" s="100"/>
      <c r="F8253" s="102"/>
      <c r="G8253" s="114"/>
    </row>
    <row r="8254" spans="2:7" ht="15.75" customHeight="1" x14ac:dyDescent="0.25">
      <c r="B8254" s="100"/>
      <c r="C8254" s="100"/>
      <c r="D8254" s="100"/>
      <c r="E8254" s="100"/>
      <c r="F8254" s="102"/>
      <c r="G8254" s="114"/>
    </row>
    <row r="8255" spans="2:7" ht="15.75" customHeight="1" x14ac:dyDescent="0.25">
      <c r="B8255" s="100"/>
      <c r="C8255" s="100"/>
      <c r="D8255" s="100"/>
      <c r="E8255" s="100"/>
      <c r="F8255" s="102"/>
      <c r="G8255" s="114"/>
    </row>
    <row r="8256" spans="2:7" ht="15.75" customHeight="1" x14ac:dyDescent="0.25">
      <c r="B8256" s="100"/>
      <c r="C8256" s="100"/>
      <c r="D8256" s="100"/>
      <c r="E8256" s="100"/>
      <c r="F8256" s="102"/>
      <c r="G8256" s="114"/>
    </row>
    <row r="8257" spans="2:7" ht="15.75" customHeight="1" x14ac:dyDescent="0.25">
      <c r="B8257" s="100"/>
      <c r="C8257" s="100"/>
      <c r="D8257" s="100"/>
      <c r="E8257" s="100"/>
      <c r="F8257" s="102"/>
      <c r="G8257" s="114"/>
    </row>
    <row r="8258" spans="2:7" ht="15.75" customHeight="1" x14ac:dyDescent="0.25">
      <c r="B8258" s="100"/>
      <c r="C8258" s="100"/>
      <c r="D8258" s="100"/>
      <c r="E8258" s="100"/>
      <c r="F8258" s="102"/>
      <c r="G8258" s="114"/>
    </row>
    <row r="8259" spans="2:7" ht="15.75" customHeight="1" x14ac:dyDescent="0.25">
      <c r="B8259" s="100"/>
      <c r="C8259" s="100"/>
      <c r="D8259" s="100"/>
      <c r="E8259" s="100"/>
      <c r="F8259" s="102"/>
      <c r="G8259" s="114"/>
    </row>
    <row r="8260" spans="2:7" ht="15.75" customHeight="1" x14ac:dyDescent="0.25">
      <c r="B8260" s="100"/>
      <c r="C8260" s="100"/>
      <c r="D8260" s="100"/>
      <c r="E8260" s="100"/>
      <c r="F8260" s="102"/>
      <c r="G8260" s="114"/>
    </row>
    <row r="8261" spans="2:7" ht="15.75" customHeight="1" x14ac:dyDescent="0.25">
      <c r="B8261" s="100"/>
      <c r="C8261" s="100"/>
      <c r="D8261" s="100"/>
      <c r="E8261" s="100"/>
      <c r="F8261" s="102"/>
      <c r="G8261" s="114"/>
    </row>
    <row r="8262" spans="2:7" ht="15.75" customHeight="1" x14ac:dyDescent="0.25">
      <c r="B8262" s="100"/>
      <c r="C8262" s="100"/>
      <c r="D8262" s="100"/>
      <c r="E8262" s="100"/>
      <c r="F8262" s="102"/>
      <c r="G8262" s="114"/>
    </row>
    <row r="8263" spans="2:7" ht="15.75" customHeight="1" x14ac:dyDescent="0.25">
      <c r="B8263" s="100"/>
      <c r="C8263" s="100"/>
      <c r="D8263" s="100"/>
      <c r="E8263" s="100"/>
      <c r="F8263" s="102"/>
      <c r="G8263" s="114"/>
    </row>
    <row r="8264" spans="2:7" ht="15.75" customHeight="1" x14ac:dyDescent="0.25">
      <c r="B8264" s="100"/>
      <c r="C8264" s="100"/>
      <c r="D8264" s="100"/>
      <c r="E8264" s="100"/>
      <c r="F8264" s="102"/>
      <c r="G8264" s="114"/>
    </row>
    <row r="8265" spans="2:7" ht="15.75" customHeight="1" x14ac:dyDescent="0.25">
      <c r="B8265" s="100"/>
      <c r="C8265" s="100"/>
      <c r="D8265" s="100"/>
      <c r="E8265" s="100"/>
      <c r="F8265" s="102"/>
      <c r="G8265" s="114"/>
    </row>
    <row r="8266" spans="2:7" ht="15.75" customHeight="1" x14ac:dyDescent="0.25">
      <c r="B8266" s="100"/>
      <c r="C8266" s="100"/>
      <c r="D8266" s="100"/>
      <c r="E8266" s="100"/>
      <c r="F8266" s="102"/>
      <c r="G8266" s="114"/>
    </row>
    <row r="8267" spans="2:7" ht="15.75" customHeight="1" x14ac:dyDescent="0.25">
      <c r="B8267" s="100"/>
      <c r="C8267" s="100"/>
      <c r="D8267" s="100"/>
      <c r="E8267" s="100"/>
      <c r="F8267" s="102"/>
      <c r="G8267" s="114"/>
    </row>
    <row r="8268" spans="2:7" ht="15.75" customHeight="1" x14ac:dyDescent="0.25">
      <c r="B8268" s="100"/>
      <c r="C8268" s="100"/>
      <c r="D8268" s="100"/>
      <c r="E8268" s="100"/>
      <c r="F8268" s="102"/>
      <c r="G8268" s="114"/>
    </row>
    <row r="8269" spans="2:7" ht="15.75" customHeight="1" x14ac:dyDescent="0.25">
      <c r="B8269" s="100"/>
      <c r="C8269" s="100"/>
      <c r="D8269" s="100"/>
      <c r="E8269" s="100"/>
      <c r="F8269" s="102"/>
      <c r="G8269" s="114"/>
    </row>
    <row r="8270" spans="2:7" ht="15.75" customHeight="1" x14ac:dyDescent="0.25">
      <c r="B8270" s="100"/>
      <c r="C8270" s="100"/>
      <c r="D8270" s="100"/>
      <c r="E8270" s="100"/>
      <c r="F8270" s="102"/>
      <c r="G8270" s="114"/>
    </row>
    <row r="8271" spans="2:7" ht="15.75" customHeight="1" x14ac:dyDescent="0.25">
      <c r="B8271" s="100"/>
      <c r="C8271" s="100"/>
      <c r="D8271" s="100"/>
      <c r="E8271" s="100"/>
      <c r="F8271" s="102"/>
      <c r="G8271" s="114"/>
    </row>
    <row r="8272" spans="2:7" ht="15.75" customHeight="1" x14ac:dyDescent="0.25">
      <c r="B8272" s="100"/>
      <c r="C8272" s="100"/>
      <c r="D8272" s="100"/>
      <c r="E8272" s="100"/>
      <c r="F8272" s="102"/>
      <c r="G8272" s="114"/>
    </row>
    <row r="8273" spans="2:7" ht="15.75" customHeight="1" x14ac:dyDescent="0.25">
      <c r="B8273" s="100"/>
      <c r="C8273" s="100"/>
      <c r="D8273" s="100"/>
      <c r="E8273" s="100"/>
      <c r="F8273" s="102"/>
      <c r="G8273" s="114"/>
    </row>
    <row r="8274" spans="2:7" ht="15.75" customHeight="1" x14ac:dyDescent="0.25">
      <c r="B8274" s="100"/>
      <c r="C8274" s="100"/>
      <c r="D8274" s="100"/>
      <c r="E8274" s="100"/>
      <c r="F8274" s="102"/>
      <c r="G8274" s="114"/>
    </row>
    <row r="8275" spans="2:7" ht="15.75" customHeight="1" x14ac:dyDescent="0.25">
      <c r="B8275" s="100"/>
      <c r="C8275" s="100"/>
      <c r="D8275" s="100"/>
      <c r="E8275" s="100"/>
      <c r="F8275" s="102"/>
      <c r="G8275" s="114"/>
    </row>
    <row r="8276" spans="2:7" ht="15.75" customHeight="1" x14ac:dyDescent="0.25">
      <c r="B8276" s="100"/>
      <c r="C8276" s="100"/>
      <c r="D8276" s="100"/>
      <c r="E8276" s="100"/>
      <c r="F8276" s="102"/>
      <c r="G8276" s="114"/>
    </row>
    <row r="8277" spans="2:7" ht="15.75" customHeight="1" x14ac:dyDescent="0.25">
      <c r="B8277" s="100"/>
      <c r="C8277" s="100"/>
      <c r="D8277" s="100"/>
      <c r="E8277" s="100"/>
      <c r="F8277" s="102"/>
      <c r="G8277" s="114"/>
    </row>
    <row r="8278" spans="2:7" ht="15.75" customHeight="1" x14ac:dyDescent="0.25">
      <c r="B8278" s="100"/>
      <c r="C8278" s="100"/>
      <c r="D8278" s="100"/>
      <c r="E8278" s="100"/>
      <c r="F8278" s="102"/>
      <c r="G8278" s="114"/>
    </row>
    <row r="8279" spans="2:7" ht="15.75" customHeight="1" x14ac:dyDescent="0.25">
      <c r="B8279" s="100"/>
      <c r="C8279" s="100"/>
      <c r="D8279" s="100"/>
      <c r="E8279" s="100"/>
      <c r="F8279" s="102"/>
      <c r="G8279" s="114"/>
    </row>
    <row r="8280" spans="2:7" ht="15.75" customHeight="1" x14ac:dyDescent="0.25">
      <c r="B8280" s="100"/>
      <c r="C8280" s="100"/>
      <c r="D8280" s="100"/>
      <c r="E8280" s="100"/>
      <c r="F8280" s="102"/>
      <c r="G8280" s="114"/>
    </row>
    <row r="8281" spans="2:7" ht="15.75" customHeight="1" x14ac:dyDescent="0.25">
      <c r="B8281" s="100"/>
      <c r="C8281" s="100"/>
      <c r="D8281" s="100"/>
      <c r="E8281" s="100"/>
      <c r="F8281" s="102"/>
      <c r="G8281" s="114"/>
    </row>
    <row r="8282" spans="2:7" ht="15.75" customHeight="1" x14ac:dyDescent="0.25">
      <c r="B8282" s="100"/>
      <c r="C8282" s="100"/>
      <c r="D8282" s="100"/>
      <c r="E8282" s="100"/>
      <c r="F8282" s="102"/>
      <c r="G8282" s="114"/>
    </row>
    <row r="8283" spans="2:7" ht="15.75" customHeight="1" x14ac:dyDescent="0.25">
      <c r="B8283" s="100"/>
      <c r="C8283" s="100"/>
      <c r="D8283" s="100"/>
      <c r="E8283" s="100"/>
      <c r="F8283" s="102"/>
      <c r="G8283" s="114"/>
    </row>
    <row r="8284" spans="2:7" ht="15.75" customHeight="1" x14ac:dyDescent="0.25">
      <c r="B8284" s="100"/>
      <c r="C8284" s="100"/>
      <c r="D8284" s="100"/>
      <c r="E8284" s="100"/>
      <c r="F8284" s="102"/>
      <c r="G8284" s="114"/>
    </row>
    <row r="8285" spans="2:7" ht="15.75" customHeight="1" x14ac:dyDescent="0.25">
      <c r="B8285" s="100"/>
      <c r="C8285" s="100"/>
      <c r="D8285" s="100"/>
      <c r="E8285" s="100"/>
      <c r="F8285" s="102"/>
      <c r="G8285" s="114"/>
    </row>
    <row r="8286" spans="2:7" ht="15.75" customHeight="1" x14ac:dyDescent="0.25">
      <c r="B8286" s="100"/>
      <c r="C8286" s="100"/>
      <c r="D8286" s="100"/>
      <c r="E8286" s="100"/>
      <c r="F8286" s="102"/>
      <c r="G8286" s="114"/>
    </row>
    <row r="8287" spans="2:7" ht="15.75" customHeight="1" x14ac:dyDescent="0.25">
      <c r="B8287" s="100"/>
      <c r="C8287" s="100"/>
      <c r="D8287" s="100"/>
      <c r="E8287" s="100"/>
      <c r="F8287" s="102"/>
      <c r="G8287" s="114"/>
    </row>
    <row r="8288" spans="2:7" ht="15.75" customHeight="1" x14ac:dyDescent="0.25">
      <c r="B8288" s="100"/>
      <c r="C8288" s="100"/>
      <c r="D8288" s="100"/>
      <c r="E8288" s="100"/>
      <c r="F8288" s="102"/>
      <c r="G8288" s="114"/>
    </row>
    <row r="8289" spans="2:7" ht="15.75" customHeight="1" x14ac:dyDescent="0.25">
      <c r="B8289" s="100"/>
      <c r="C8289" s="100"/>
      <c r="D8289" s="100"/>
      <c r="E8289" s="100"/>
      <c r="F8289" s="102"/>
      <c r="G8289" s="114"/>
    </row>
    <row r="8290" spans="2:7" ht="15.75" customHeight="1" x14ac:dyDescent="0.25">
      <c r="B8290" s="100"/>
      <c r="C8290" s="100"/>
      <c r="D8290" s="100"/>
      <c r="E8290" s="100"/>
      <c r="F8290" s="102"/>
      <c r="G8290" s="114"/>
    </row>
    <row r="8291" spans="2:7" ht="15.75" customHeight="1" x14ac:dyDescent="0.25">
      <c r="B8291" s="100"/>
      <c r="C8291" s="100"/>
      <c r="D8291" s="100"/>
      <c r="E8291" s="100"/>
      <c r="F8291" s="102"/>
      <c r="G8291" s="114"/>
    </row>
    <row r="8292" spans="2:7" ht="15.75" customHeight="1" x14ac:dyDescent="0.25">
      <c r="B8292" s="100"/>
      <c r="C8292" s="100"/>
      <c r="D8292" s="100"/>
      <c r="E8292" s="100"/>
      <c r="F8292" s="102"/>
      <c r="G8292" s="114"/>
    </row>
    <row r="8293" spans="2:7" ht="15.75" customHeight="1" x14ac:dyDescent="0.25">
      <c r="B8293" s="100"/>
      <c r="C8293" s="100"/>
      <c r="D8293" s="100"/>
      <c r="E8293" s="100"/>
      <c r="F8293" s="102"/>
      <c r="G8293" s="114"/>
    </row>
    <row r="8294" spans="2:7" ht="15.75" customHeight="1" x14ac:dyDescent="0.25">
      <c r="B8294" s="100"/>
      <c r="C8294" s="100"/>
      <c r="D8294" s="100"/>
      <c r="E8294" s="100"/>
      <c r="F8294" s="102"/>
      <c r="G8294" s="114"/>
    </row>
    <row r="8295" spans="2:7" ht="15.75" customHeight="1" x14ac:dyDescent="0.25">
      <c r="B8295" s="100"/>
      <c r="C8295" s="100"/>
      <c r="D8295" s="100"/>
      <c r="E8295" s="100"/>
      <c r="F8295" s="102"/>
      <c r="G8295" s="114"/>
    </row>
    <row r="8296" spans="2:7" ht="15.75" customHeight="1" x14ac:dyDescent="0.25">
      <c r="B8296" s="100"/>
      <c r="C8296" s="100"/>
      <c r="D8296" s="100"/>
      <c r="E8296" s="100"/>
      <c r="F8296" s="102"/>
      <c r="G8296" s="114"/>
    </row>
    <row r="8297" spans="2:7" ht="15.75" customHeight="1" x14ac:dyDescent="0.25">
      <c r="B8297" s="100"/>
      <c r="C8297" s="100"/>
      <c r="D8297" s="100"/>
      <c r="E8297" s="100"/>
      <c r="F8297" s="102"/>
      <c r="G8297" s="114"/>
    </row>
    <row r="8298" spans="2:7" ht="15.75" customHeight="1" x14ac:dyDescent="0.25">
      <c r="B8298" s="100"/>
      <c r="C8298" s="100"/>
      <c r="D8298" s="100"/>
      <c r="E8298" s="100"/>
      <c r="F8298" s="102"/>
      <c r="G8298" s="114"/>
    </row>
    <row r="8299" spans="2:7" ht="15.75" customHeight="1" x14ac:dyDescent="0.25">
      <c r="B8299" s="100"/>
      <c r="C8299" s="100"/>
      <c r="D8299" s="100"/>
      <c r="E8299" s="100"/>
      <c r="F8299" s="102"/>
      <c r="G8299" s="114"/>
    </row>
    <row r="8300" spans="2:7" ht="15.75" customHeight="1" x14ac:dyDescent="0.25">
      <c r="B8300" s="100"/>
      <c r="C8300" s="100"/>
      <c r="D8300" s="100"/>
      <c r="E8300" s="100"/>
      <c r="F8300" s="102"/>
      <c r="G8300" s="114"/>
    </row>
    <row r="8301" spans="2:7" ht="15.75" customHeight="1" x14ac:dyDescent="0.25">
      <c r="B8301" s="100"/>
      <c r="C8301" s="100"/>
      <c r="D8301" s="100"/>
      <c r="E8301" s="100"/>
      <c r="F8301" s="102"/>
      <c r="G8301" s="114"/>
    </row>
    <row r="8302" spans="2:7" ht="15.75" customHeight="1" x14ac:dyDescent="0.25">
      <c r="B8302" s="100"/>
      <c r="C8302" s="100"/>
      <c r="D8302" s="100"/>
      <c r="E8302" s="100"/>
      <c r="F8302" s="102"/>
      <c r="G8302" s="114"/>
    </row>
    <row r="8303" spans="2:7" ht="15.75" customHeight="1" x14ac:dyDescent="0.25">
      <c r="B8303" s="100"/>
      <c r="C8303" s="100"/>
      <c r="D8303" s="100"/>
      <c r="E8303" s="100"/>
      <c r="F8303" s="102"/>
      <c r="G8303" s="114"/>
    </row>
    <row r="8304" spans="2:7" ht="15.75" customHeight="1" x14ac:dyDescent="0.25">
      <c r="B8304" s="100"/>
      <c r="C8304" s="100"/>
      <c r="D8304" s="100"/>
      <c r="E8304" s="100"/>
      <c r="F8304" s="102"/>
      <c r="G8304" s="114"/>
    </row>
    <row r="8305" spans="2:7" ht="15.75" customHeight="1" x14ac:dyDescent="0.25">
      <c r="B8305" s="100"/>
      <c r="C8305" s="100"/>
      <c r="D8305" s="100"/>
      <c r="E8305" s="100"/>
      <c r="F8305" s="102"/>
      <c r="G8305" s="114"/>
    </row>
    <row r="8306" spans="2:7" ht="15.75" customHeight="1" x14ac:dyDescent="0.25">
      <c r="B8306" s="100"/>
      <c r="C8306" s="100"/>
      <c r="D8306" s="100"/>
      <c r="E8306" s="100"/>
      <c r="F8306" s="102"/>
      <c r="G8306" s="114"/>
    </row>
    <row r="8307" spans="2:7" ht="15.75" customHeight="1" x14ac:dyDescent="0.25">
      <c r="B8307" s="100"/>
      <c r="C8307" s="100"/>
      <c r="D8307" s="100"/>
      <c r="E8307" s="100"/>
      <c r="F8307" s="102"/>
      <c r="G8307" s="114"/>
    </row>
    <row r="8308" spans="2:7" ht="15.75" customHeight="1" x14ac:dyDescent="0.25">
      <c r="B8308" s="100"/>
      <c r="C8308" s="100"/>
      <c r="D8308" s="100"/>
      <c r="E8308" s="100"/>
      <c r="F8308" s="102"/>
      <c r="G8308" s="114"/>
    </row>
    <row r="8309" spans="2:7" ht="15.75" customHeight="1" x14ac:dyDescent="0.25">
      <c r="B8309" s="100"/>
      <c r="C8309" s="100"/>
      <c r="D8309" s="100"/>
      <c r="E8309" s="100"/>
      <c r="F8309" s="102"/>
      <c r="G8309" s="114"/>
    </row>
    <row r="8310" spans="2:7" ht="15.75" customHeight="1" x14ac:dyDescent="0.25">
      <c r="B8310" s="100"/>
      <c r="C8310" s="100"/>
      <c r="D8310" s="100"/>
      <c r="E8310" s="100"/>
      <c r="F8310" s="102"/>
      <c r="G8310" s="114"/>
    </row>
    <row r="8311" spans="2:7" ht="15.75" customHeight="1" x14ac:dyDescent="0.25">
      <c r="B8311" s="100"/>
      <c r="C8311" s="100"/>
      <c r="D8311" s="100"/>
      <c r="E8311" s="100"/>
      <c r="F8311" s="102"/>
      <c r="G8311" s="114"/>
    </row>
    <row r="8312" spans="2:7" ht="15.75" customHeight="1" x14ac:dyDescent="0.25">
      <c r="B8312" s="100"/>
      <c r="C8312" s="100"/>
      <c r="D8312" s="100"/>
      <c r="E8312" s="100"/>
      <c r="F8312" s="102"/>
      <c r="G8312" s="114"/>
    </row>
    <row r="8313" spans="2:7" ht="15.75" customHeight="1" x14ac:dyDescent="0.25">
      <c r="B8313" s="100"/>
      <c r="C8313" s="100"/>
      <c r="D8313" s="100"/>
      <c r="E8313" s="100"/>
      <c r="F8313" s="102"/>
      <c r="G8313" s="114"/>
    </row>
    <row r="8314" spans="2:7" ht="15.75" customHeight="1" x14ac:dyDescent="0.25">
      <c r="B8314" s="100"/>
      <c r="C8314" s="100"/>
      <c r="D8314" s="100"/>
      <c r="E8314" s="100"/>
      <c r="F8314" s="102"/>
      <c r="G8314" s="114"/>
    </row>
    <row r="8315" spans="2:7" ht="15.75" customHeight="1" x14ac:dyDescent="0.25">
      <c r="B8315" s="100"/>
      <c r="C8315" s="100"/>
      <c r="D8315" s="100"/>
      <c r="E8315" s="100"/>
      <c r="F8315" s="102"/>
      <c r="G8315" s="114"/>
    </row>
    <row r="8316" spans="2:7" ht="15.75" customHeight="1" x14ac:dyDescent="0.25">
      <c r="B8316" s="100"/>
      <c r="C8316" s="100"/>
      <c r="D8316" s="100"/>
      <c r="E8316" s="100"/>
      <c r="F8316" s="102"/>
      <c r="G8316" s="114"/>
    </row>
    <row r="8317" spans="2:7" ht="15.75" customHeight="1" x14ac:dyDescent="0.25">
      <c r="B8317" s="100"/>
      <c r="C8317" s="100"/>
      <c r="D8317" s="100"/>
      <c r="E8317" s="100"/>
      <c r="F8317" s="102"/>
      <c r="G8317" s="114"/>
    </row>
    <row r="8318" spans="2:7" ht="15.75" customHeight="1" x14ac:dyDescent="0.25">
      <c r="B8318" s="100"/>
      <c r="C8318" s="100"/>
      <c r="D8318" s="100"/>
      <c r="E8318" s="100"/>
      <c r="F8318" s="102"/>
      <c r="G8318" s="114"/>
    </row>
    <row r="8319" spans="2:7" ht="15.75" customHeight="1" x14ac:dyDescent="0.25">
      <c r="B8319" s="100"/>
      <c r="C8319" s="100"/>
      <c r="D8319" s="100"/>
      <c r="E8319" s="100"/>
      <c r="F8319" s="102"/>
      <c r="G8319" s="114"/>
    </row>
    <row r="8320" spans="2:7" ht="15.75" customHeight="1" x14ac:dyDescent="0.25">
      <c r="B8320" s="100"/>
      <c r="C8320" s="100"/>
      <c r="D8320" s="100"/>
      <c r="E8320" s="100"/>
      <c r="F8320" s="102"/>
      <c r="G8320" s="114"/>
    </row>
    <row r="8321" spans="2:7" ht="15.75" customHeight="1" x14ac:dyDescent="0.25">
      <c r="B8321" s="100"/>
      <c r="C8321" s="100"/>
      <c r="D8321" s="100"/>
      <c r="E8321" s="100"/>
      <c r="F8321" s="102"/>
      <c r="G8321" s="114"/>
    </row>
    <row r="8322" spans="2:7" ht="15.75" customHeight="1" x14ac:dyDescent="0.25">
      <c r="B8322" s="100"/>
      <c r="C8322" s="100"/>
      <c r="D8322" s="100"/>
      <c r="E8322" s="100"/>
      <c r="F8322" s="102"/>
      <c r="G8322" s="114"/>
    </row>
    <row r="8323" spans="2:7" ht="15.75" customHeight="1" x14ac:dyDescent="0.25">
      <c r="B8323" s="100"/>
      <c r="C8323" s="100"/>
      <c r="D8323" s="100"/>
      <c r="E8323" s="100"/>
      <c r="F8323" s="102"/>
      <c r="G8323" s="114"/>
    </row>
    <row r="8324" spans="2:7" ht="15.75" customHeight="1" x14ac:dyDescent="0.25">
      <c r="B8324" s="100"/>
      <c r="C8324" s="100"/>
      <c r="D8324" s="100"/>
      <c r="E8324" s="100"/>
      <c r="F8324" s="102"/>
      <c r="G8324" s="114"/>
    </row>
    <row r="8325" spans="2:7" ht="15.75" customHeight="1" x14ac:dyDescent="0.25">
      <c r="B8325" s="100"/>
      <c r="C8325" s="100"/>
      <c r="D8325" s="100"/>
      <c r="E8325" s="100"/>
      <c r="F8325" s="102"/>
      <c r="G8325" s="114"/>
    </row>
    <row r="8326" spans="2:7" ht="15.75" customHeight="1" x14ac:dyDescent="0.25">
      <c r="B8326" s="100"/>
      <c r="C8326" s="100"/>
      <c r="D8326" s="100"/>
      <c r="E8326" s="100"/>
      <c r="F8326" s="102"/>
      <c r="G8326" s="114"/>
    </row>
    <row r="8327" spans="2:7" ht="15.75" customHeight="1" x14ac:dyDescent="0.25">
      <c r="B8327" s="100"/>
      <c r="C8327" s="100"/>
      <c r="D8327" s="100"/>
      <c r="E8327" s="100"/>
      <c r="F8327" s="102"/>
      <c r="G8327" s="114"/>
    </row>
    <row r="8328" spans="2:7" ht="15.75" customHeight="1" x14ac:dyDescent="0.25">
      <c r="B8328" s="100"/>
      <c r="C8328" s="100"/>
      <c r="D8328" s="100"/>
      <c r="E8328" s="100"/>
      <c r="F8328" s="102"/>
      <c r="G8328" s="114"/>
    </row>
    <row r="8329" spans="2:7" ht="15.75" customHeight="1" x14ac:dyDescent="0.25">
      <c r="B8329" s="100"/>
      <c r="C8329" s="100"/>
      <c r="D8329" s="100"/>
      <c r="E8329" s="100"/>
      <c r="F8329" s="102"/>
      <c r="G8329" s="114"/>
    </row>
    <row r="8330" spans="2:7" ht="15.75" customHeight="1" x14ac:dyDescent="0.25">
      <c r="B8330" s="100"/>
      <c r="C8330" s="100"/>
      <c r="D8330" s="100"/>
      <c r="E8330" s="100"/>
      <c r="F8330" s="102"/>
      <c r="G8330" s="114"/>
    </row>
    <row r="8331" spans="2:7" ht="15.75" customHeight="1" x14ac:dyDescent="0.25">
      <c r="B8331" s="100"/>
      <c r="C8331" s="100"/>
      <c r="D8331" s="100"/>
      <c r="E8331" s="100"/>
      <c r="F8331" s="102"/>
      <c r="G8331" s="114"/>
    </row>
    <row r="8332" spans="2:7" ht="15.75" customHeight="1" x14ac:dyDescent="0.25">
      <c r="B8332" s="100"/>
      <c r="C8332" s="100"/>
      <c r="D8332" s="100"/>
      <c r="E8332" s="100"/>
      <c r="F8332" s="102"/>
      <c r="G8332" s="114"/>
    </row>
    <row r="8333" spans="2:7" ht="15.75" customHeight="1" x14ac:dyDescent="0.25">
      <c r="B8333" s="100"/>
      <c r="C8333" s="100"/>
      <c r="D8333" s="100"/>
      <c r="E8333" s="100"/>
      <c r="F8333" s="102"/>
      <c r="G8333" s="114"/>
    </row>
    <row r="8334" spans="2:7" ht="15.75" customHeight="1" x14ac:dyDescent="0.25">
      <c r="B8334" s="100"/>
      <c r="C8334" s="100"/>
      <c r="D8334" s="100"/>
      <c r="E8334" s="100"/>
      <c r="F8334" s="102"/>
      <c r="G8334" s="114"/>
    </row>
    <row r="8335" spans="2:7" ht="15.75" customHeight="1" x14ac:dyDescent="0.25">
      <c r="B8335" s="100"/>
      <c r="C8335" s="100"/>
      <c r="D8335" s="100"/>
      <c r="E8335" s="100"/>
      <c r="F8335" s="102"/>
      <c r="G8335" s="114"/>
    </row>
    <row r="8336" spans="2:7" ht="15.75" customHeight="1" x14ac:dyDescent="0.25">
      <c r="B8336" s="100"/>
      <c r="C8336" s="100"/>
      <c r="D8336" s="100"/>
      <c r="E8336" s="100"/>
      <c r="F8336" s="102"/>
      <c r="G8336" s="114"/>
    </row>
    <row r="8337" spans="2:7" ht="15.75" customHeight="1" x14ac:dyDescent="0.25">
      <c r="B8337" s="100"/>
      <c r="C8337" s="100"/>
      <c r="D8337" s="100"/>
      <c r="E8337" s="100"/>
      <c r="F8337" s="102"/>
      <c r="G8337" s="114"/>
    </row>
    <row r="8338" spans="2:7" ht="15.75" customHeight="1" x14ac:dyDescent="0.25">
      <c r="B8338" s="100"/>
      <c r="C8338" s="100"/>
      <c r="D8338" s="100"/>
      <c r="E8338" s="100"/>
      <c r="F8338" s="102"/>
      <c r="G8338" s="114"/>
    </row>
    <row r="8339" spans="2:7" ht="15.75" customHeight="1" x14ac:dyDescent="0.25">
      <c r="B8339" s="100"/>
      <c r="C8339" s="100"/>
      <c r="D8339" s="100"/>
      <c r="E8339" s="100"/>
      <c r="F8339" s="102"/>
      <c r="G8339" s="114"/>
    </row>
    <row r="8340" spans="2:7" ht="15.75" customHeight="1" x14ac:dyDescent="0.25">
      <c r="B8340" s="100"/>
      <c r="C8340" s="100"/>
      <c r="D8340" s="100"/>
      <c r="E8340" s="100"/>
      <c r="F8340" s="102"/>
      <c r="G8340" s="114"/>
    </row>
    <row r="8341" spans="2:7" ht="15.75" customHeight="1" x14ac:dyDescent="0.25">
      <c r="B8341" s="100"/>
      <c r="C8341" s="100"/>
      <c r="D8341" s="100"/>
      <c r="E8341" s="100"/>
      <c r="F8341" s="102"/>
      <c r="G8341" s="114"/>
    </row>
    <row r="8342" spans="2:7" ht="15.75" customHeight="1" x14ac:dyDescent="0.25">
      <c r="B8342" s="100"/>
      <c r="C8342" s="100"/>
      <c r="D8342" s="100"/>
      <c r="E8342" s="100"/>
      <c r="F8342" s="102"/>
      <c r="G8342" s="114"/>
    </row>
    <row r="8343" spans="2:7" ht="15.75" customHeight="1" x14ac:dyDescent="0.25">
      <c r="B8343" s="100"/>
      <c r="C8343" s="100"/>
      <c r="D8343" s="100"/>
      <c r="E8343" s="100"/>
      <c r="F8343" s="102"/>
      <c r="G8343" s="114"/>
    </row>
    <row r="8344" spans="2:7" ht="15.75" customHeight="1" x14ac:dyDescent="0.25">
      <c r="B8344" s="100"/>
      <c r="C8344" s="100"/>
      <c r="D8344" s="100"/>
      <c r="E8344" s="100"/>
      <c r="F8344" s="102"/>
      <c r="G8344" s="114"/>
    </row>
    <row r="8345" spans="2:7" ht="15.75" customHeight="1" x14ac:dyDescent="0.25">
      <c r="B8345" s="100"/>
      <c r="C8345" s="100"/>
      <c r="D8345" s="100"/>
      <c r="E8345" s="100"/>
      <c r="F8345" s="102"/>
      <c r="G8345" s="114"/>
    </row>
    <row r="8346" spans="2:7" ht="15.75" customHeight="1" x14ac:dyDescent="0.25">
      <c r="B8346" s="100"/>
      <c r="C8346" s="100"/>
      <c r="D8346" s="100"/>
      <c r="E8346" s="100"/>
      <c r="F8346" s="102"/>
      <c r="G8346" s="114"/>
    </row>
    <row r="8347" spans="2:7" ht="15.75" customHeight="1" x14ac:dyDescent="0.25">
      <c r="B8347" s="100"/>
      <c r="C8347" s="100"/>
      <c r="D8347" s="100"/>
      <c r="E8347" s="100"/>
      <c r="F8347" s="102"/>
      <c r="G8347" s="114"/>
    </row>
    <row r="8348" spans="2:7" ht="15.75" customHeight="1" x14ac:dyDescent="0.25">
      <c r="B8348" s="100"/>
      <c r="C8348" s="100"/>
      <c r="D8348" s="100"/>
      <c r="E8348" s="100"/>
      <c r="F8348" s="102"/>
      <c r="G8348" s="114"/>
    </row>
    <row r="8349" spans="2:7" ht="15.75" customHeight="1" x14ac:dyDescent="0.25">
      <c r="B8349" s="100"/>
      <c r="C8349" s="100"/>
      <c r="D8349" s="100"/>
      <c r="E8349" s="100"/>
      <c r="F8349" s="102"/>
      <c r="G8349" s="114"/>
    </row>
    <row r="8350" spans="2:7" ht="15.75" customHeight="1" x14ac:dyDescent="0.25">
      <c r="B8350" s="100"/>
      <c r="C8350" s="100"/>
      <c r="D8350" s="100"/>
      <c r="E8350" s="100"/>
      <c r="F8350" s="102"/>
      <c r="G8350" s="114"/>
    </row>
    <row r="8351" spans="2:7" ht="15.75" customHeight="1" x14ac:dyDescent="0.25">
      <c r="B8351" s="100"/>
      <c r="C8351" s="100"/>
      <c r="D8351" s="100"/>
      <c r="E8351" s="100"/>
      <c r="F8351" s="102"/>
      <c r="G8351" s="114"/>
    </row>
    <row r="8352" spans="2:7" ht="15.75" customHeight="1" x14ac:dyDescent="0.25">
      <c r="B8352" s="100"/>
      <c r="C8352" s="100"/>
      <c r="D8352" s="100"/>
      <c r="E8352" s="100"/>
      <c r="F8352" s="102"/>
      <c r="G8352" s="114"/>
    </row>
    <row r="8353" spans="2:7" ht="15.75" customHeight="1" x14ac:dyDescent="0.25">
      <c r="B8353" s="100"/>
      <c r="C8353" s="100"/>
      <c r="D8353" s="100"/>
      <c r="E8353" s="100"/>
      <c r="F8353" s="102"/>
      <c r="G8353" s="114"/>
    </row>
    <row r="8354" spans="2:7" ht="15.75" customHeight="1" x14ac:dyDescent="0.25">
      <c r="B8354" s="100"/>
      <c r="C8354" s="100"/>
      <c r="D8354" s="100"/>
      <c r="E8354" s="100"/>
      <c r="F8354" s="102"/>
      <c r="G8354" s="114"/>
    </row>
    <row r="8355" spans="2:7" ht="15.75" customHeight="1" x14ac:dyDescent="0.25">
      <c r="B8355" s="100"/>
      <c r="C8355" s="100"/>
      <c r="D8355" s="100"/>
      <c r="E8355" s="100"/>
      <c r="F8355" s="102"/>
      <c r="G8355" s="114"/>
    </row>
    <row r="8356" spans="2:7" ht="15.75" customHeight="1" x14ac:dyDescent="0.25">
      <c r="B8356" s="100"/>
      <c r="C8356" s="100"/>
      <c r="D8356" s="100"/>
      <c r="E8356" s="100"/>
      <c r="F8356" s="102"/>
      <c r="G8356" s="114"/>
    </row>
    <row r="8357" spans="2:7" ht="15.75" customHeight="1" x14ac:dyDescent="0.25">
      <c r="B8357" s="100"/>
      <c r="C8357" s="100"/>
      <c r="D8357" s="100"/>
      <c r="E8357" s="100"/>
      <c r="F8357" s="102"/>
      <c r="G8357" s="114"/>
    </row>
    <row r="8358" spans="2:7" ht="15.75" customHeight="1" x14ac:dyDescent="0.25">
      <c r="B8358" s="100"/>
      <c r="C8358" s="100"/>
      <c r="D8358" s="100"/>
      <c r="E8358" s="100"/>
      <c r="F8358" s="102"/>
      <c r="G8358" s="114"/>
    </row>
    <row r="8359" spans="2:7" ht="15.75" customHeight="1" x14ac:dyDescent="0.25">
      <c r="B8359" s="100"/>
      <c r="C8359" s="100"/>
      <c r="D8359" s="100"/>
      <c r="E8359" s="100"/>
      <c r="F8359" s="102"/>
      <c r="G8359" s="114"/>
    </row>
    <row r="8360" spans="2:7" ht="15.75" customHeight="1" x14ac:dyDescent="0.25">
      <c r="B8360" s="100"/>
      <c r="C8360" s="100"/>
      <c r="D8360" s="100"/>
      <c r="E8360" s="100"/>
      <c r="F8360" s="102"/>
      <c r="G8360" s="114"/>
    </row>
    <row r="8361" spans="2:7" ht="15.75" customHeight="1" x14ac:dyDescent="0.25">
      <c r="B8361" s="100"/>
      <c r="C8361" s="100"/>
      <c r="D8361" s="100"/>
      <c r="E8361" s="100"/>
      <c r="F8361" s="102"/>
      <c r="G8361" s="114"/>
    </row>
    <row r="8362" spans="2:7" ht="15.75" customHeight="1" x14ac:dyDescent="0.25">
      <c r="B8362" s="100"/>
      <c r="C8362" s="100"/>
      <c r="D8362" s="100"/>
      <c r="E8362" s="100"/>
      <c r="F8362" s="102"/>
      <c r="G8362" s="114"/>
    </row>
    <row r="8363" spans="2:7" ht="15.75" customHeight="1" x14ac:dyDescent="0.25">
      <c r="B8363" s="100"/>
      <c r="C8363" s="100"/>
      <c r="D8363" s="100"/>
      <c r="E8363" s="100"/>
      <c r="F8363" s="102"/>
      <c r="G8363" s="114"/>
    </row>
    <row r="8364" spans="2:7" ht="15.75" customHeight="1" x14ac:dyDescent="0.25">
      <c r="B8364" s="100"/>
      <c r="C8364" s="100"/>
      <c r="D8364" s="100"/>
      <c r="E8364" s="100"/>
      <c r="F8364" s="102"/>
      <c r="G8364" s="114"/>
    </row>
    <row r="8365" spans="2:7" ht="15.75" customHeight="1" x14ac:dyDescent="0.25">
      <c r="B8365" s="100"/>
      <c r="C8365" s="100"/>
      <c r="D8365" s="100"/>
      <c r="E8365" s="100"/>
      <c r="F8365" s="102"/>
      <c r="G8365" s="114"/>
    </row>
    <row r="8366" spans="2:7" ht="15.75" customHeight="1" x14ac:dyDescent="0.25">
      <c r="B8366" s="100"/>
      <c r="C8366" s="100"/>
      <c r="D8366" s="100"/>
      <c r="E8366" s="100"/>
      <c r="F8366" s="102"/>
      <c r="G8366" s="114"/>
    </row>
    <row r="8367" spans="2:7" ht="15.75" customHeight="1" x14ac:dyDescent="0.25">
      <c r="B8367" s="100"/>
      <c r="C8367" s="100"/>
      <c r="D8367" s="100"/>
      <c r="E8367" s="100"/>
      <c r="F8367" s="102"/>
      <c r="G8367" s="114"/>
    </row>
    <row r="8368" spans="2:7" ht="15.75" customHeight="1" x14ac:dyDescent="0.25">
      <c r="B8368" s="100"/>
      <c r="C8368" s="100"/>
      <c r="D8368" s="100"/>
      <c r="E8368" s="100"/>
      <c r="F8368" s="102"/>
      <c r="G8368" s="114"/>
    </row>
    <row r="8369" spans="2:7" ht="15.75" customHeight="1" x14ac:dyDescent="0.25">
      <c r="B8369" s="100"/>
      <c r="C8369" s="100"/>
      <c r="D8369" s="100"/>
      <c r="E8369" s="100"/>
      <c r="F8369" s="102"/>
      <c r="G8369" s="114"/>
    </row>
    <row r="8370" spans="2:7" ht="15.75" customHeight="1" x14ac:dyDescent="0.25">
      <c r="B8370" s="100"/>
      <c r="C8370" s="100"/>
      <c r="D8370" s="100"/>
      <c r="E8370" s="100"/>
      <c r="F8370" s="102"/>
      <c r="G8370" s="114"/>
    </row>
    <row r="8371" spans="2:7" ht="15.75" customHeight="1" x14ac:dyDescent="0.25">
      <c r="B8371" s="100"/>
      <c r="C8371" s="100"/>
      <c r="D8371" s="100"/>
      <c r="E8371" s="100"/>
      <c r="F8371" s="102"/>
      <c r="G8371" s="114"/>
    </row>
    <row r="8372" spans="2:7" ht="15.75" customHeight="1" x14ac:dyDescent="0.25">
      <c r="B8372" s="100"/>
      <c r="C8372" s="100"/>
      <c r="D8372" s="100"/>
      <c r="E8372" s="100"/>
      <c r="F8372" s="102"/>
      <c r="G8372" s="114"/>
    </row>
    <row r="8373" spans="2:7" ht="15.75" customHeight="1" x14ac:dyDescent="0.25">
      <c r="B8373" s="100"/>
      <c r="C8373" s="100"/>
      <c r="D8373" s="100"/>
      <c r="E8373" s="100"/>
      <c r="F8373" s="102"/>
      <c r="G8373" s="114"/>
    </row>
    <row r="8374" spans="2:7" ht="15.75" customHeight="1" x14ac:dyDescent="0.25">
      <c r="B8374" s="100"/>
      <c r="C8374" s="100"/>
      <c r="D8374" s="100"/>
      <c r="E8374" s="100"/>
      <c r="F8374" s="102"/>
      <c r="G8374" s="114"/>
    </row>
    <row r="8375" spans="2:7" ht="15.75" customHeight="1" x14ac:dyDescent="0.25">
      <c r="B8375" s="100"/>
      <c r="C8375" s="100"/>
      <c r="D8375" s="100"/>
      <c r="E8375" s="100"/>
      <c r="F8375" s="102"/>
      <c r="G8375" s="114"/>
    </row>
    <row r="8376" spans="2:7" ht="15.75" customHeight="1" x14ac:dyDescent="0.25">
      <c r="B8376" s="100"/>
      <c r="C8376" s="100"/>
      <c r="D8376" s="100"/>
      <c r="E8376" s="100"/>
      <c r="F8376" s="102"/>
      <c r="G8376" s="114"/>
    </row>
    <row r="8377" spans="2:7" ht="15.75" customHeight="1" x14ac:dyDescent="0.25">
      <c r="B8377" s="100"/>
      <c r="C8377" s="100"/>
      <c r="D8377" s="100"/>
      <c r="E8377" s="100"/>
      <c r="F8377" s="102"/>
      <c r="G8377" s="114"/>
    </row>
    <row r="8378" spans="2:7" ht="15.75" customHeight="1" x14ac:dyDescent="0.25">
      <c r="B8378" s="100"/>
      <c r="C8378" s="100"/>
      <c r="D8378" s="100"/>
      <c r="E8378" s="100"/>
      <c r="F8378" s="102"/>
      <c r="G8378" s="114"/>
    </row>
    <row r="8379" spans="2:7" ht="15.75" customHeight="1" x14ac:dyDescent="0.25">
      <c r="B8379" s="100"/>
      <c r="C8379" s="100"/>
      <c r="D8379" s="100"/>
      <c r="E8379" s="100"/>
      <c r="F8379" s="102"/>
      <c r="G8379" s="114"/>
    </row>
    <row r="8380" spans="2:7" ht="15.75" customHeight="1" x14ac:dyDescent="0.25">
      <c r="B8380" s="100"/>
      <c r="C8380" s="100"/>
      <c r="D8380" s="100"/>
      <c r="E8380" s="100"/>
      <c r="F8380" s="102"/>
      <c r="G8380" s="114"/>
    </row>
    <row r="8381" spans="2:7" ht="15.75" customHeight="1" x14ac:dyDescent="0.25">
      <c r="B8381" s="100"/>
      <c r="C8381" s="100"/>
      <c r="D8381" s="100"/>
      <c r="E8381" s="100"/>
      <c r="F8381" s="102"/>
      <c r="G8381" s="114"/>
    </row>
    <row r="8382" spans="2:7" ht="15.75" hidden="1" customHeight="1" x14ac:dyDescent="0.25">
      <c r="B8382" s="99"/>
      <c r="C8382" s="99"/>
      <c r="D8382" s="99"/>
      <c r="E8382" s="99"/>
    </row>
    <row r="8383" spans="2:7" ht="15.75" customHeight="1" x14ac:dyDescent="0.25"/>
    <row r="8384" spans="2:7" ht="15.75" customHeight="1" x14ac:dyDescent="0.25"/>
    <row r="8385" ht="15.75" customHeight="1" x14ac:dyDescent="0.25"/>
    <row r="8386" ht="15.75" customHeight="1" x14ac:dyDescent="0.25"/>
    <row r="8387" ht="15.75" customHeight="1" x14ac:dyDescent="0.25"/>
    <row r="8388" ht="15.75" customHeight="1" x14ac:dyDescent="0.25"/>
    <row r="8389" ht="15.75" customHeight="1" x14ac:dyDescent="0.25"/>
    <row r="8390" ht="15.75" customHeight="1" x14ac:dyDescent="0.25"/>
    <row r="8391" ht="15.75" customHeight="1" x14ac:dyDescent="0.25"/>
    <row r="8392" ht="15.75" customHeight="1" x14ac:dyDescent="0.25"/>
    <row r="8393" ht="15.75" customHeight="1" x14ac:dyDescent="0.25"/>
    <row r="8394" ht="15.75" customHeight="1" x14ac:dyDescent="0.25"/>
    <row r="8395" ht="15.75" customHeight="1" x14ac:dyDescent="0.25"/>
    <row r="8396" ht="15.75" customHeight="1" x14ac:dyDescent="0.25"/>
    <row r="8397" ht="15.75" customHeight="1" x14ac:dyDescent="0.25"/>
    <row r="8398" ht="15.75" customHeight="1" x14ac:dyDescent="0.25"/>
    <row r="8399" ht="15.75" customHeight="1" x14ac:dyDescent="0.25"/>
    <row r="8400" ht="15.75" customHeight="1" x14ac:dyDescent="0.25"/>
    <row r="8401" ht="15.75" customHeight="1" x14ac:dyDescent="0.25"/>
    <row r="8402" ht="15.75" customHeight="1" x14ac:dyDescent="0.25"/>
    <row r="8403" ht="15.75" customHeight="1" x14ac:dyDescent="0.25"/>
    <row r="8404" ht="15.75" customHeight="1" x14ac:dyDescent="0.25"/>
    <row r="8405" ht="15.75" customHeight="1" x14ac:dyDescent="0.25"/>
    <row r="8406" ht="15.75" customHeight="1" x14ac:dyDescent="0.25"/>
    <row r="8407" ht="15.75" customHeight="1" x14ac:dyDescent="0.25"/>
    <row r="8408" ht="15.75" customHeight="1" x14ac:dyDescent="0.25"/>
    <row r="8409" ht="15.75" customHeight="1" x14ac:dyDescent="0.25"/>
    <row r="8410" ht="15.75" customHeight="1" x14ac:dyDescent="0.25"/>
    <row r="8411" ht="15.75" customHeight="1" x14ac:dyDescent="0.25"/>
    <row r="8412" ht="15.75" customHeight="1" x14ac:dyDescent="0.25"/>
    <row r="8413" ht="15.75" customHeight="1" x14ac:dyDescent="0.25"/>
    <row r="8414" ht="15.75" customHeight="1" x14ac:dyDescent="0.25"/>
    <row r="8415" ht="15.75" customHeight="1" x14ac:dyDescent="0.25"/>
    <row r="8416" ht="15.75" customHeight="1" x14ac:dyDescent="0.25"/>
    <row r="8417" ht="15.75" customHeight="1" x14ac:dyDescent="0.25"/>
    <row r="8418" ht="15.75" customHeight="1" x14ac:dyDescent="0.25"/>
    <row r="8419" ht="15.75" customHeight="1" x14ac:dyDescent="0.25"/>
    <row r="8420" ht="15.75" customHeight="1" x14ac:dyDescent="0.25"/>
    <row r="8421" ht="15.75" customHeight="1" x14ac:dyDescent="0.25"/>
    <row r="8422" ht="15.75" customHeight="1" x14ac:dyDescent="0.25"/>
    <row r="8423" ht="15.75" customHeight="1" x14ac:dyDescent="0.25"/>
    <row r="8424" ht="15.75" customHeight="1" x14ac:dyDescent="0.25"/>
    <row r="8425" ht="15.75" customHeight="1" x14ac:dyDescent="0.25"/>
    <row r="8426" ht="15.75" customHeight="1" x14ac:dyDescent="0.25"/>
    <row r="8427" ht="15.75" customHeight="1" x14ac:dyDescent="0.25"/>
    <row r="8428" ht="15.75" customHeight="1" x14ac:dyDescent="0.25"/>
    <row r="8429" ht="15.75" customHeight="1" x14ac:dyDescent="0.25"/>
    <row r="8430" ht="15.75" customHeight="1" x14ac:dyDescent="0.25"/>
    <row r="8431" ht="15.75" customHeight="1" x14ac:dyDescent="0.25"/>
    <row r="8432" ht="15.75" customHeight="1" x14ac:dyDescent="0.25"/>
    <row r="8433" ht="15.75" customHeight="1" x14ac:dyDescent="0.25"/>
    <row r="8434" ht="15.75" customHeight="1" x14ac:dyDescent="0.25"/>
    <row r="8435" ht="15.75" customHeight="1" x14ac:dyDescent="0.25"/>
    <row r="8436" ht="15.75" customHeight="1" x14ac:dyDescent="0.25"/>
    <row r="8437" ht="15.75" customHeight="1" x14ac:dyDescent="0.25"/>
    <row r="8438" ht="15.75" customHeight="1" x14ac:dyDescent="0.25"/>
    <row r="8439" ht="15.75" customHeight="1" x14ac:dyDescent="0.25"/>
    <row r="8440" ht="15.75" customHeight="1" x14ac:dyDescent="0.25"/>
    <row r="8441" ht="15.75" customHeight="1" x14ac:dyDescent="0.25"/>
    <row r="8442" ht="15.75" customHeight="1" x14ac:dyDescent="0.25"/>
    <row r="8443" ht="15.75" customHeight="1" x14ac:dyDescent="0.25"/>
    <row r="8444" ht="15.75" customHeight="1" x14ac:dyDescent="0.25"/>
    <row r="8445" ht="15.75" customHeight="1" x14ac:dyDescent="0.25"/>
    <row r="8446" ht="15.75" customHeight="1" x14ac:dyDescent="0.25"/>
    <row r="8447" ht="15.75" customHeight="1" x14ac:dyDescent="0.25"/>
    <row r="8448" ht="15.75" customHeight="1" x14ac:dyDescent="0.25"/>
    <row r="8449" ht="15.75" customHeight="1" x14ac:dyDescent="0.25"/>
    <row r="8450" ht="15.75" customHeight="1" x14ac:dyDescent="0.25"/>
    <row r="8451" ht="15.75" customHeight="1" x14ac:dyDescent="0.25"/>
    <row r="8452" ht="15.75" customHeight="1" x14ac:dyDescent="0.25"/>
    <row r="8453" ht="15.75" customHeight="1" x14ac:dyDescent="0.25"/>
    <row r="8454" ht="15.75" customHeight="1" x14ac:dyDescent="0.25"/>
    <row r="8455" ht="15.75" customHeight="1" x14ac:dyDescent="0.25"/>
    <row r="8456" ht="15.75" customHeight="1" x14ac:dyDescent="0.25"/>
    <row r="8457" ht="15.75" customHeight="1" x14ac:dyDescent="0.25"/>
    <row r="8458" ht="15.75" customHeight="1" x14ac:dyDescent="0.25"/>
    <row r="8459" ht="15.75" customHeight="1" x14ac:dyDescent="0.25"/>
    <row r="8460" ht="15.75" customHeight="1" x14ac:dyDescent="0.25"/>
    <row r="8461" ht="15.75" customHeight="1" x14ac:dyDescent="0.25"/>
    <row r="8462" ht="15.75" customHeight="1" x14ac:dyDescent="0.25"/>
    <row r="8463" ht="15.75" customHeight="1" x14ac:dyDescent="0.25"/>
    <row r="8464" ht="15.75" customHeight="1" x14ac:dyDescent="0.25"/>
    <row r="8465" ht="15.75" customHeight="1" x14ac:dyDescent="0.25"/>
    <row r="8466" ht="15.75" customHeight="1" x14ac:dyDescent="0.25"/>
    <row r="8467" ht="15.75" customHeight="1" x14ac:dyDescent="0.25"/>
    <row r="8468" ht="15.75" customHeight="1" x14ac:dyDescent="0.25"/>
    <row r="8469" ht="15.75" customHeight="1" x14ac:dyDescent="0.25"/>
    <row r="8470" ht="15.75" customHeight="1" x14ac:dyDescent="0.25"/>
    <row r="8471" ht="15.75" customHeight="1" x14ac:dyDescent="0.25"/>
    <row r="8472" ht="15.75" customHeight="1" x14ac:dyDescent="0.25"/>
    <row r="8473" ht="15.75" customHeight="1" x14ac:dyDescent="0.25"/>
    <row r="8474" ht="15.75" customHeight="1" x14ac:dyDescent="0.25"/>
    <row r="8475" ht="15.75" customHeight="1" x14ac:dyDescent="0.25"/>
    <row r="8476" ht="15.75" customHeight="1" x14ac:dyDescent="0.25"/>
    <row r="8477" ht="15.75" customHeight="1" x14ac:dyDescent="0.25"/>
    <row r="8478" ht="15.75" customHeight="1" x14ac:dyDescent="0.25"/>
    <row r="8479" ht="15.75" customHeight="1" x14ac:dyDescent="0.25"/>
    <row r="8480" ht="15.75" customHeight="1" x14ac:dyDescent="0.25"/>
    <row r="8481" ht="15.75" customHeight="1" x14ac:dyDescent="0.25"/>
    <row r="8482" ht="15.75" customHeight="1" x14ac:dyDescent="0.25"/>
    <row r="8483" ht="15.75" customHeight="1" x14ac:dyDescent="0.25"/>
    <row r="8484" ht="15.75" customHeight="1" x14ac:dyDescent="0.25"/>
    <row r="8485" ht="15.75" customHeight="1" x14ac:dyDescent="0.25"/>
    <row r="8486" ht="15.75" customHeight="1" x14ac:dyDescent="0.25"/>
    <row r="8487" ht="15.75" customHeight="1" x14ac:dyDescent="0.25"/>
    <row r="8488" ht="15.75" customHeight="1" x14ac:dyDescent="0.25"/>
    <row r="8489" ht="15.75" customHeight="1" x14ac:dyDescent="0.25"/>
    <row r="8490" ht="15.75" customHeight="1" x14ac:dyDescent="0.25"/>
    <row r="8491" ht="15.75" customHeight="1" x14ac:dyDescent="0.25"/>
    <row r="8492" ht="15.75" customHeight="1" x14ac:dyDescent="0.25"/>
    <row r="8493" ht="15.75" customHeight="1" x14ac:dyDescent="0.25"/>
    <row r="8494" ht="15.75" customHeight="1" x14ac:dyDescent="0.25"/>
    <row r="8495" ht="15.75" customHeight="1" x14ac:dyDescent="0.25"/>
    <row r="8496" ht="15.75" customHeight="1" x14ac:dyDescent="0.25"/>
    <row r="8497" ht="15.75" customHeight="1" x14ac:dyDescent="0.25"/>
    <row r="8498" ht="15.75" customHeight="1" x14ac:dyDescent="0.25"/>
    <row r="8499" ht="15.75" customHeight="1" x14ac:dyDescent="0.25"/>
    <row r="8500" ht="15.75" customHeight="1" x14ac:dyDescent="0.25"/>
    <row r="8501" ht="15.75" customHeight="1" x14ac:dyDescent="0.25"/>
    <row r="8502" ht="15.75" customHeight="1" x14ac:dyDescent="0.25"/>
    <row r="8503" ht="15.75" customHeight="1" x14ac:dyDescent="0.25"/>
    <row r="8504" ht="15.75" customHeight="1" x14ac:dyDescent="0.25"/>
    <row r="8505" ht="15.75" customHeight="1" x14ac:dyDescent="0.25"/>
    <row r="8506" ht="15.75" customHeight="1" x14ac:dyDescent="0.25"/>
    <row r="8507" ht="15.75" customHeight="1" x14ac:dyDescent="0.25"/>
    <row r="8508" ht="15.75" customHeight="1" x14ac:dyDescent="0.25"/>
    <row r="8509" ht="15.75" customHeight="1" x14ac:dyDescent="0.25"/>
    <row r="8510" ht="15.75" customHeight="1" x14ac:dyDescent="0.25"/>
    <row r="8511" ht="15.75" customHeight="1" x14ac:dyDescent="0.25"/>
    <row r="8512" ht="15.75" customHeight="1" x14ac:dyDescent="0.25"/>
    <row r="8513" ht="15.75" customHeight="1" x14ac:dyDescent="0.25"/>
    <row r="8514" ht="15.75" customHeight="1" x14ac:dyDescent="0.25"/>
    <row r="8515" ht="15.75" customHeight="1" x14ac:dyDescent="0.25"/>
    <row r="8516" ht="15.75" customHeight="1" x14ac:dyDescent="0.25"/>
    <row r="8517" ht="15.75" customHeight="1" x14ac:dyDescent="0.25"/>
    <row r="8518" ht="15.75" customHeight="1" x14ac:dyDescent="0.25"/>
    <row r="8519" ht="15.75" customHeight="1" x14ac:dyDescent="0.25"/>
    <row r="8520" ht="15.75" customHeight="1" x14ac:dyDescent="0.25"/>
    <row r="8521" ht="15.75" customHeight="1" x14ac:dyDescent="0.25"/>
    <row r="8522" ht="15.75" customHeight="1" x14ac:dyDescent="0.25"/>
    <row r="8523" ht="15.75" customHeight="1" x14ac:dyDescent="0.25"/>
    <row r="8524" ht="15.75" customHeight="1" x14ac:dyDescent="0.25"/>
    <row r="8525" ht="15.75" customHeight="1" x14ac:dyDescent="0.25"/>
    <row r="8526" ht="15.75" customHeight="1" x14ac:dyDescent="0.25"/>
    <row r="8527" ht="15.75" customHeight="1" x14ac:dyDescent="0.25"/>
    <row r="8528" ht="15.75" customHeight="1" x14ac:dyDescent="0.25"/>
    <row r="8529" ht="15.75" customHeight="1" x14ac:dyDescent="0.25"/>
    <row r="8530" ht="15.75" customHeight="1" x14ac:dyDescent="0.25"/>
    <row r="8531" ht="15.75" customHeight="1" x14ac:dyDescent="0.25"/>
    <row r="8532" ht="15.75" customHeight="1" x14ac:dyDescent="0.25"/>
    <row r="8533" ht="15.75" customHeight="1" x14ac:dyDescent="0.25"/>
    <row r="8534" ht="15.75" customHeight="1" x14ac:dyDescent="0.25"/>
    <row r="8535" ht="15.75" customHeight="1" x14ac:dyDescent="0.25"/>
    <row r="8536" ht="15.75" customHeight="1" x14ac:dyDescent="0.25"/>
    <row r="8537" ht="15.75" customHeight="1" x14ac:dyDescent="0.25"/>
    <row r="8538" ht="15.75" customHeight="1" x14ac:dyDescent="0.25"/>
    <row r="8539" ht="15.75" customHeight="1" x14ac:dyDescent="0.25"/>
    <row r="8540" ht="15.75" customHeight="1" x14ac:dyDescent="0.25"/>
    <row r="8541" ht="15.75" customHeight="1" x14ac:dyDescent="0.25"/>
    <row r="8542" ht="15.75" customHeight="1" x14ac:dyDescent="0.25"/>
    <row r="8543" ht="15.75" customHeight="1" x14ac:dyDescent="0.25"/>
    <row r="8544" ht="15.75" customHeight="1" x14ac:dyDescent="0.25"/>
    <row r="8545" ht="15.75" customHeight="1" x14ac:dyDescent="0.25"/>
    <row r="8546" ht="15.75" customHeight="1" x14ac:dyDescent="0.25"/>
    <row r="8547" ht="15.75" customHeight="1" x14ac:dyDescent="0.25"/>
    <row r="8548" ht="15.75" customHeight="1" x14ac:dyDescent="0.25"/>
    <row r="8549" ht="15.75" customHeight="1" x14ac:dyDescent="0.25"/>
    <row r="8550" ht="15.75" customHeight="1" x14ac:dyDescent="0.25"/>
    <row r="8551" ht="15.75" customHeight="1" x14ac:dyDescent="0.25"/>
    <row r="8552" ht="15.75" customHeight="1" x14ac:dyDescent="0.25"/>
    <row r="8553" ht="15.75" customHeight="1" x14ac:dyDescent="0.25"/>
    <row r="8554" ht="15.75" customHeight="1" x14ac:dyDescent="0.25"/>
    <row r="8555" ht="15.75" customHeight="1" x14ac:dyDescent="0.25"/>
    <row r="8556" ht="15.75" customHeight="1" x14ac:dyDescent="0.25"/>
    <row r="8557" ht="15.75" customHeight="1" x14ac:dyDescent="0.25"/>
    <row r="8558" ht="15.75" customHeight="1" x14ac:dyDescent="0.25"/>
    <row r="8559" ht="15.75" customHeight="1" x14ac:dyDescent="0.25"/>
    <row r="8560" ht="15.75" customHeight="1" x14ac:dyDescent="0.25"/>
    <row r="8561" ht="15.75" customHeight="1" x14ac:dyDescent="0.25"/>
    <row r="8562" ht="15.75" customHeight="1" x14ac:dyDescent="0.25"/>
    <row r="8563" ht="15.75" customHeight="1" x14ac:dyDescent="0.25"/>
    <row r="8564" ht="15.75" customHeight="1" x14ac:dyDescent="0.25"/>
    <row r="8565" ht="15.75" customHeight="1" x14ac:dyDescent="0.25"/>
    <row r="8566" ht="15.75" customHeight="1" x14ac:dyDescent="0.25"/>
    <row r="8567" ht="15.75" customHeight="1" x14ac:dyDescent="0.25"/>
    <row r="8568" ht="15.75" customHeight="1" x14ac:dyDescent="0.25"/>
    <row r="8569" ht="15.75" customHeight="1" x14ac:dyDescent="0.25"/>
    <row r="8570" ht="15.75" customHeight="1" x14ac:dyDescent="0.25"/>
    <row r="8571" ht="15.75" customHeight="1" x14ac:dyDescent="0.25"/>
    <row r="8572" ht="15.75" customHeight="1" x14ac:dyDescent="0.25"/>
    <row r="8573" ht="15.75" customHeight="1" x14ac:dyDescent="0.25"/>
    <row r="8574" ht="15.75" customHeight="1" x14ac:dyDescent="0.25"/>
    <row r="8575" ht="15.75" customHeight="1" x14ac:dyDescent="0.25"/>
    <row r="8576" ht="15.75" customHeight="1" x14ac:dyDescent="0.25"/>
    <row r="8577" ht="15.75" customHeight="1" x14ac:dyDescent="0.25"/>
    <row r="8578" ht="15.75" customHeight="1" x14ac:dyDescent="0.25"/>
    <row r="8579" ht="15.75" customHeight="1" x14ac:dyDescent="0.25"/>
    <row r="8580" ht="15.75" customHeight="1" x14ac:dyDescent="0.25"/>
    <row r="8581" ht="15.75" customHeight="1" x14ac:dyDescent="0.25"/>
    <row r="8582" ht="15.75" customHeight="1" x14ac:dyDescent="0.25"/>
    <row r="8583" ht="15.75" customHeight="1" x14ac:dyDescent="0.25"/>
    <row r="8584" ht="15.75" customHeight="1" x14ac:dyDescent="0.25"/>
    <row r="8585" ht="15.75" customHeight="1" x14ac:dyDescent="0.25"/>
    <row r="8586" ht="15.75" customHeight="1" x14ac:dyDescent="0.25"/>
    <row r="8587" ht="15.75" customHeight="1" x14ac:dyDescent="0.25"/>
    <row r="8588" ht="15.75" customHeight="1" x14ac:dyDescent="0.25"/>
    <row r="8589" ht="15.75" customHeight="1" x14ac:dyDescent="0.25"/>
    <row r="8590" ht="15.75" customHeight="1" x14ac:dyDescent="0.25"/>
    <row r="8591" ht="15.75" customHeight="1" x14ac:dyDescent="0.25"/>
    <row r="8592" ht="15.75" customHeight="1" x14ac:dyDescent="0.25"/>
    <row r="8593" ht="15.75" customHeight="1" x14ac:dyDescent="0.25"/>
    <row r="8594" ht="15.75" customHeight="1" x14ac:dyDescent="0.25"/>
    <row r="8595" ht="15.75" customHeight="1" x14ac:dyDescent="0.25"/>
    <row r="8596" ht="15.75" customHeight="1" x14ac:dyDescent="0.25"/>
    <row r="8597" ht="15.75" customHeight="1" x14ac:dyDescent="0.25"/>
    <row r="8598" ht="15.75" customHeight="1" x14ac:dyDescent="0.25"/>
    <row r="8599" ht="15.75" customHeight="1" x14ac:dyDescent="0.25"/>
    <row r="8600" ht="15.75" customHeight="1" x14ac:dyDescent="0.25"/>
    <row r="8601" ht="15.75" customHeight="1" x14ac:dyDescent="0.25"/>
    <row r="8602" ht="15.75" customHeight="1" x14ac:dyDescent="0.25"/>
    <row r="8603" ht="15.75" customHeight="1" x14ac:dyDescent="0.25"/>
    <row r="8604" ht="15.75" customHeight="1" x14ac:dyDescent="0.25"/>
    <row r="8605" ht="15.75" customHeight="1" x14ac:dyDescent="0.25"/>
    <row r="8606" ht="15.75" customHeight="1" x14ac:dyDescent="0.25"/>
    <row r="8607" ht="15.75" customHeight="1" x14ac:dyDescent="0.25"/>
    <row r="8608" ht="15.75" customHeight="1" x14ac:dyDescent="0.25"/>
    <row r="8609" ht="15.75" customHeight="1" x14ac:dyDescent="0.25"/>
    <row r="8610" ht="15.75" customHeight="1" x14ac:dyDescent="0.25"/>
    <row r="8611" ht="15.75" customHeight="1" x14ac:dyDescent="0.25"/>
    <row r="8612" ht="15.75" customHeight="1" x14ac:dyDescent="0.25"/>
    <row r="8613" ht="15.75" customHeight="1" x14ac:dyDescent="0.25"/>
    <row r="8614" ht="15.75" customHeight="1" x14ac:dyDescent="0.25"/>
    <row r="8615" ht="15.75" customHeight="1" x14ac:dyDescent="0.25"/>
    <row r="8616" ht="15.75" customHeight="1" x14ac:dyDescent="0.25"/>
    <row r="8617" ht="15.75" customHeight="1" x14ac:dyDescent="0.25"/>
    <row r="8618" ht="15.75" customHeight="1" x14ac:dyDescent="0.25"/>
    <row r="8619" ht="15.75" customHeight="1" x14ac:dyDescent="0.25"/>
    <row r="8620" ht="15.75" customHeight="1" x14ac:dyDescent="0.25"/>
    <row r="8621" ht="15.75" customHeight="1" x14ac:dyDescent="0.25"/>
    <row r="8622" ht="15.75" customHeight="1" x14ac:dyDescent="0.25"/>
    <row r="8623" ht="15.75" customHeight="1" x14ac:dyDescent="0.25"/>
    <row r="8624" ht="15.75" customHeight="1" x14ac:dyDescent="0.25"/>
    <row r="8625" ht="15.75" customHeight="1" x14ac:dyDescent="0.25"/>
    <row r="8626" ht="15.75" customHeight="1" x14ac:dyDescent="0.25"/>
    <row r="8627" ht="15.75" customHeight="1" x14ac:dyDescent="0.25"/>
    <row r="8628" ht="15.75" customHeight="1" x14ac:dyDescent="0.25"/>
    <row r="8629" ht="15.75" customHeight="1" x14ac:dyDescent="0.25"/>
    <row r="8630" ht="15.75" customHeight="1" x14ac:dyDescent="0.25"/>
    <row r="8631" ht="15.75" customHeight="1" x14ac:dyDescent="0.25"/>
    <row r="8632" ht="15.75" customHeight="1" x14ac:dyDescent="0.25"/>
    <row r="8633" ht="15.75" customHeight="1" x14ac:dyDescent="0.25"/>
    <row r="8634" ht="15.75" customHeight="1" x14ac:dyDescent="0.25"/>
    <row r="8635" ht="15.75" customHeight="1" x14ac:dyDescent="0.25"/>
    <row r="8636" ht="15.75" customHeight="1" x14ac:dyDescent="0.25"/>
    <row r="8637" ht="15.75" customHeight="1" x14ac:dyDescent="0.25"/>
    <row r="8638" ht="15.75" customHeight="1" x14ac:dyDescent="0.25"/>
    <row r="8639" ht="15.75" customHeight="1" x14ac:dyDescent="0.25"/>
    <row r="8640" ht="15.75" customHeight="1" x14ac:dyDescent="0.25"/>
    <row r="8641" ht="15.75" customHeight="1" x14ac:dyDescent="0.25"/>
    <row r="8642" ht="15.75" customHeight="1" x14ac:dyDescent="0.25"/>
    <row r="8643" ht="15.75" customHeight="1" x14ac:dyDescent="0.25"/>
    <row r="8644" ht="15.75" customHeight="1" x14ac:dyDescent="0.25"/>
    <row r="8645" ht="15.75" customHeight="1" x14ac:dyDescent="0.25"/>
    <row r="8646" ht="15.75" customHeight="1" x14ac:dyDescent="0.25"/>
    <row r="8647" ht="15.75" customHeight="1" x14ac:dyDescent="0.25"/>
    <row r="8648" ht="15.75" customHeight="1" x14ac:dyDescent="0.25"/>
    <row r="8649" ht="15.75" customHeight="1" x14ac:dyDescent="0.25"/>
    <row r="8650" ht="15.75" customHeight="1" x14ac:dyDescent="0.25"/>
    <row r="8651" ht="15.75" customHeight="1" x14ac:dyDescent="0.25"/>
    <row r="8652" ht="15.75" customHeight="1" x14ac:dyDescent="0.25"/>
    <row r="8653" ht="15.75" customHeight="1" x14ac:dyDescent="0.25"/>
    <row r="8654" ht="15.75" customHeight="1" x14ac:dyDescent="0.25"/>
    <row r="8655" ht="15.75" customHeight="1" x14ac:dyDescent="0.25"/>
    <row r="8656" ht="15.75" customHeight="1" x14ac:dyDescent="0.25"/>
    <row r="8657" ht="15.75" customHeight="1" x14ac:dyDescent="0.25"/>
    <row r="8658" ht="15.75" customHeight="1" x14ac:dyDescent="0.25"/>
    <row r="8659" ht="15.75" customHeight="1" x14ac:dyDescent="0.25"/>
    <row r="8660" ht="15.75" customHeight="1" x14ac:dyDescent="0.25"/>
    <row r="8661" ht="15.75" customHeight="1" x14ac:dyDescent="0.25"/>
    <row r="8662" ht="15.75" customHeight="1" x14ac:dyDescent="0.25"/>
    <row r="8663" ht="15.75" customHeight="1" x14ac:dyDescent="0.25"/>
    <row r="8664" ht="15.75" customHeight="1" x14ac:dyDescent="0.25"/>
    <row r="8665" ht="15.75" customHeight="1" x14ac:dyDescent="0.25"/>
    <row r="8666" ht="15.75" customHeight="1" x14ac:dyDescent="0.25"/>
    <row r="8667" ht="15.75" customHeight="1" x14ac:dyDescent="0.25"/>
    <row r="8668" ht="15.75" customHeight="1" x14ac:dyDescent="0.25"/>
    <row r="8669" ht="15.75" customHeight="1" x14ac:dyDescent="0.25"/>
    <row r="8670" ht="15.75" customHeight="1" x14ac:dyDescent="0.25"/>
    <row r="8671" ht="15.75" customHeight="1" x14ac:dyDescent="0.25"/>
    <row r="8672" ht="15.75" customHeight="1" x14ac:dyDescent="0.25"/>
    <row r="8673" ht="15.75" customHeight="1" x14ac:dyDescent="0.25"/>
    <row r="8674" ht="15.75" customHeight="1" x14ac:dyDescent="0.25"/>
    <row r="8675" ht="15.75" customHeight="1" x14ac:dyDescent="0.25"/>
    <row r="8676" ht="15.75" customHeight="1" x14ac:dyDescent="0.25"/>
    <row r="8677" ht="15.75" customHeight="1" x14ac:dyDescent="0.25"/>
    <row r="8678" ht="15.75" customHeight="1" x14ac:dyDescent="0.25"/>
    <row r="8679" ht="15.75" customHeight="1" x14ac:dyDescent="0.25"/>
    <row r="8680" ht="15.75" customHeight="1" x14ac:dyDescent="0.25"/>
    <row r="8681" ht="15.75" customHeight="1" x14ac:dyDescent="0.25"/>
    <row r="8682" ht="15.75" customHeight="1" x14ac:dyDescent="0.25"/>
    <row r="8683" ht="15.75" customHeight="1" x14ac:dyDescent="0.25"/>
    <row r="8684" ht="15.75" customHeight="1" x14ac:dyDescent="0.25"/>
    <row r="8685" ht="15.75" customHeight="1" x14ac:dyDescent="0.25"/>
    <row r="8686" ht="15.75" customHeight="1" x14ac:dyDescent="0.25"/>
    <row r="8687" ht="15.75" customHeight="1" x14ac:dyDescent="0.25"/>
    <row r="8688" ht="15.75" customHeight="1" x14ac:dyDescent="0.25"/>
    <row r="8689" ht="15.75" customHeight="1" x14ac:dyDescent="0.25"/>
    <row r="8690" ht="15.75" customHeight="1" x14ac:dyDescent="0.25"/>
    <row r="8691" ht="15.75" customHeight="1" x14ac:dyDescent="0.25"/>
    <row r="8692" ht="15.75" customHeight="1" x14ac:dyDescent="0.25"/>
    <row r="8693" ht="15.75" customHeight="1" x14ac:dyDescent="0.25"/>
    <row r="8694" ht="15.75" customHeight="1" x14ac:dyDescent="0.25"/>
    <row r="8695" ht="15.75" customHeight="1" x14ac:dyDescent="0.25"/>
    <row r="8696" ht="15.75" customHeight="1" x14ac:dyDescent="0.25"/>
    <row r="8697" ht="15.75" customHeight="1" x14ac:dyDescent="0.25"/>
    <row r="8698" ht="15.75" customHeight="1" x14ac:dyDescent="0.25"/>
    <row r="8699" ht="15.75" customHeight="1" x14ac:dyDescent="0.25"/>
    <row r="8700" ht="15.75" customHeight="1" x14ac:dyDescent="0.25"/>
    <row r="8701" ht="15.75" customHeight="1" x14ac:dyDescent="0.25"/>
    <row r="8702" ht="15.75" customHeight="1" x14ac:dyDescent="0.25"/>
    <row r="8703" ht="15.75" customHeight="1" x14ac:dyDescent="0.25"/>
    <row r="8704" ht="15.75" customHeight="1" x14ac:dyDescent="0.25"/>
    <row r="8705" ht="15.75" customHeight="1" x14ac:dyDescent="0.25"/>
    <row r="8706" ht="15.75" customHeight="1" x14ac:dyDescent="0.25"/>
    <row r="8707" ht="15.75" customHeight="1" x14ac:dyDescent="0.25"/>
    <row r="8708" ht="15.75" customHeight="1" x14ac:dyDescent="0.25"/>
    <row r="8709" ht="15.75" customHeight="1" x14ac:dyDescent="0.25"/>
    <row r="8710" ht="15.75" customHeight="1" x14ac:dyDescent="0.25"/>
    <row r="8711" ht="15.75" customHeight="1" x14ac:dyDescent="0.25"/>
    <row r="8712" ht="15.75" customHeight="1" x14ac:dyDescent="0.25"/>
    <row r="8713" ht="15.75" customHeight="1" x14ac:dyDescent="0.25"/>
    <row r="8714" ht="15.75" customHeight="1" x14ac:dyDescent="0.25"/>
    <row r="8715" ht="15.75" customHeight="1" x14ac:dyDescent="0.25"/>
    <row r="8716" ht="15.75" customHeight="1" x14ac:dyDescent="0.25"/>
    <row r="8717" ht="15.75" customHeight="1" x14ac:dyDescent="0.25"/>
    <row r="8718" ht="15.75" customHeight="1" x14ac:dyDescent="0.25"/>
    <row r="8719" ht="15.75" customHeight="1" x14ac:dyDescent="0.25"/>
    <row r="8720" ht="15.75" customHeight="1" x14ac:dyDescent="0.25"/>
    <row r="8721" ht="15.75" customHeight="1" x14ac:dyDescent="0.25"/>
    <row r="8722" ht="15.75" customHeight="1" x14ac:dyDescent="0.25"/>
    <row r="8723" ht="15.75" customHeight="1" x14ac:dyDescent="0.25"/>
    <row r="8724" ht="15.75" customHeight="1" x14ac:dyDescent="0.25"/>
    <row r="8725" ht="15.75" customHeight="1" x14ac:dyDescent="0.25"/>
    <row r="8726" ht="15.75" customHeight="1" x14ac:dyDescent="0.25"/>
    <row r="8727" ht="15.75" customHeight="1" x14ac:dyDescent="0.25"/>
    <row r="8728" ht="15.75" customHeight="1" x14ac:dyDescent="0.25"/>
    <row r="8729" ht="15.75" customHeight="1" x14ac:dyDescent="0.25"/>
    <row r="8730" ht="15.75" customHeight="1" x14ac:dyDescent="0.25"/>
    <row r="8731" ht="15.75" customHeight="1" x14ac:dyDescent="0.25"/>
    <row r="8732" ht="15.75" customHeight="1" x14ac:dyDescent="0.25"/>
    <row r="8733" ht="15.75" customHeight="1" x14ac:dyDescent="0.25"/>
    <row r="8734" ht="15.75" customHeight="1" x14ac:dyDescent="0.25"/>
    <row r="8735" ht="15.75" customHeight="1" x14ac:dyDescent="0.25"/>
    <row r="8736" ht="15.75" customHeight="1" x14ac:dyDescent="0.25"/>
    <row r="8737" ht="15.75" customHeight="1" x14ac:dyDescent="0.25"/>
    <row r="8738" ht="15.75" customHeight="1" x14ac:dyDescent="0.25"/>
    <row r="8739" ht="15.75" customHeight="1" x14ac:dyDescent="0.25"/>
    <row r="8740" ht="15.75" customHeight="1" x14ac:dyDescent="0.25"/>
    <row r="8741" ht="15.75" customHeight="1" x14ac:dyDescent="0.25"/>
    <row r="8742" ht="15.75" customHeight="1" x14ac:dyDescent="0.25"/>
    <row r="8743" ht="15.75" customHeight="1" x14ac:dyDescent="0.25"/>
    <row r="8744" ht="15.75" customHeight="1" x14ac:dyDescent="0.25"/>
    <row r="8745" ht="15.75" customHeight="1" x14ac:dyDescent="0.25"/>
    <row r="8746" ht="15.75" customHeight="1" x14ac:dyDescent="0.25"/>
    <row r="8747" ht="15.75" customHeight="1" x14ac:dyDescent="0.25"/>
    <row r="8748" ht="15.75" customHeight="1" x14ac:dyDescent="0.25"/>
    <row r="8749" ht="15.75" customHeight="1" x14ac:dyDescent="0.25"/>
    <row r="8750" ht="15.75" customHeight="1" x14ac:dyDescent="0.25"/>
    <row r="8751" ht="15.75" customHeight="1" x14ac:dyDescent="0.25"/>
    <row r="8752" ht="15.75" customHeight="1" x14ac:dyDescent="0.25"/>
    <row r="8753" ht="15.75" customHeight="1" x14ac:dyDescent="0.25"/>
    <row r="8754" ht="15.75" customHeight="1" x14ac:dyDescent="0.25"/>
    <row r="8755" ht="15.75" customHeight="1" x14ac:dyDescent="0.25"/>
    <row r="8756" ht="15.75" customHeight="1" x14ac:dyDescent="0.25"/>
    <row r="8757" ht="15.75" customHeight="1" x14ac:dyDescent="0.25"/>
    <row r="8758" ht="15.75" customHeight="1" x14ac:dyDescent="0.25"/>
    <row r="8759" ht="15.75" customHeight="1" x14ac:dyDescent="0.25"/>
    <row r="8760" ht="15.75" customHeight="1" x14ac:dyDescent="0.25"/>
    <row r="8761" ht="15.75" customHeight="1" x14ac:dyDescent="0.25"/>
    <row r="8762" ht="15.75" customHeight="1" x14ac:dyDescent="0.25"/>
    <row r="8763" ht="15.75" customHeight="1" x14ac:dyDescent="0.25"/>
    <row r="8764" ht="15.75" customHeight="1" x14ac:dyDescent="0.25"/>
    <row r="8765" ht="15.75" customHeight="1" x14ac:dyDescent="0.25"/>
    <row r="8766" ht="15.75" customHeight="1" x14ac:dyDescent="0.25"/>
    <row r="8767" ht="15.75" customHeight="1" x14ac:dyDescent="0.25"/>
    <row r="8768" ht="15.75" customHeight="1" x14ac:dyDescent="0.25"/>
    <row r="8769" ht="15.75" customHeight="1" x14ac:dyDescent="0.25"/>
    <row r="8770" ht="15.75" customHeight="1" x14ac:dyDescent="0.25"/>
    <row r="8771" ht="15.75" customHeight="1" x14ac:dyDescent="0.25"/>
    <row r="8772" ht="15.75" customHeight="1" x14ac:dyDescent="0.25"/>
    <row r="8773" ht="15.75" customHeight="1" x14ac:dyDescent="0.25"/>
    <row r="8774" ht="15.75" customHeight="1" x14ac:dyDescent="0.25"/>
    <row r="8775" ht="15.75" customHeight="1" x14ac:dyDescent="0.25"/>
    <row r="8776" ht="15.75" customHeight="1" x14ac:dyDescent="0.25"/>
    <row r="8777" ht="15.75" customHeight="1" x14ac:dyDescent="0.25"/>
    <row r="8778" ht="15.75" customHeight="1" x14ac:dyDescent="0.25"/>
    <row r="8779" ht="15.75" customHeight="1" x14ac:dyDescent="0.25"/>
    <row r="8780" ht="15.75" customHeight="1" x14ac:dyDescent="0.25"/>
    <row r="8781" ht="15.75" customHeight="1" x14ac:dyDescent="0.25"/>
    <row r="8782" ht="15.75" customHeight="1" x14ac:dyDescent="0.25"/>
    <row r="8783" ht="15.75" customHeight="1" x14ac:dyDescent="0.25"/>
    <row r="8784" ht="15.75" customHeight="1" x14ac:dyDescent="0.25"/>
    <row r="8785" ht="15.75" customHeight="1" x14ac:dyDescent="0.25"/>
    <row r="8786" ht="15.75" customHeight="1" x14ac:dyDescent="0.25"/>
    <row r="8787" ht="15.75" customHeight="1" x14ac:dyDescent="0.25"/>
    <row r="8788" ht="15.75" customHeight="1" x14ac:dyDescent="0.25"/>
    <row r="8789" ht="15.75" customHeight="1" x14ac:dyDescent="0.25"/>
    <row r="8790" ht="15.75" customHeight="1" x14ac:dyDescent="0.25"/>
    <row r="8791" ht="15.75" customHeight="1" x14ac:dyDescent="0.25"/>
    <row r="8792" ht="15.75" customHeight="1" x14ac:dyDescent="0.25"/>
    <row r="8793" ht="15.75" customHeight="1" x14ac:dyDescent="0.25"/>
    <row r="8794" ht="15.75" customHeight="1" x14ac:dyDescent="0.25"/>
    <row r="8795" ht="15.75" customHeight="1" x14ac:dyDescent="0.25"/>
    <row r="8796" ht="15.75" customHeight="1" x14ac:dyDescent="0.25"/>
    <row r="8797" ht="15.75" customHeight="1" x14ac:dyDescent="0.25"/>
    <row r="8798" ht="15.75" customHeight="1" x14ac:dyDescent="0.25"/>
    <row r="8799" ht="15.75" customHeight="1" x14ac:dyDescent="0.25"/>
    <row r="8800" ht="15.75" customHeight="1" x14ac:dyDescent="0.25"/>
    <row r="8801" ht="15.75" customHeight="1" x14ac:dyDescent="0.25"/>
    <row r="8802" ht="15.75" customHeight="1" x14ac:dyDescent="0.25"/>
    <row r="8803" ht="15.75" customHeight="1" x14ac:dyDescent="0.25"/>
    <row r="8804" ht="15.75" customHeight="1" x14ac:dyDescent="0.25"/>
    <row r="8805" ht="15.75" customHeight="1" x14ac:dyDescent="0.25"/>
    <row r="8806" ht="15.75" customHeight="1" x14ac:dyDescent="0.25"/>
    <row r="8807" ht="15.75" customHeight="1" x14ac:dyDescent="0.25"/>
    <row r="8808" ht="15.75" customHeight="1" x14ac:dyDescent="0.25"/>
    <row r="8809" ht="15.75" customHeight="1" x14ac:dyDescent="0.25"/>
    <row r="8810" ht="15.75" customHeight="1" x14ac:dyDescent="0.25"/>
    <row r="8811" ht="15.75" customHeight="1" x14ac:dyDescent="0.25"/>
    <row r="8812" ht="15.75" customHeight="1" x14ac:dyDescent="0.25"/>
    <row r="8813" ht="15.75" customHeight="1" x14ac:dyDescent="0.25"/>
    <row r="8814" ht="15.75" customHeight="1" x14ac:dyDescent="0.25"/>
    <row r="8815" ht="15.75" customHeight="1" x14ac:dyDescent="0.25"/>
    <row r="8816" ht="15.75" customHeight="1" x14ac:dyDescent="0.25"/>
    <row r="8817" ht="15.75" customHeight="1" x14ac:dyDescent="0.25"/>
    <row r="8818" ht="15.75" customHeight="1" x14ac:dyDescent="0.25"/>
    <row r="8819" ht="15.75" customHeight="1" x14ac:dyDescent="0.25"/>
    <row r="8820" ht="15.75" customHeight="1" x14ac:dyDescent="0.25"/>
    <row r="8821" ht="15.75" customHeight="1" x14ac:dyDescent="0.25"/>
    <row r="8822" ht="15.75" customHeight="1" x14ac:dyDescent="0.25"/>
    <row r="8823" ht="15.75" customHeight="1" x14ac:dyDescent="0.25"/>
    <row r="8824" ht="15.75" customHeight="1" x14ac:dyDescent="0.25"/>
    <row r="8825" ht="15.75" customHeight="1" x14ac:dyDescent="0.25"/>
    <row r="8826" ht="15.75" customHeight="1" x14ac:dyDescent="0.25"/>
    <row r="8827" ht="15.75" customHeight="1" x14ac:dyDescent="0.25"/>
    <row r="8828" ht="15.75" customHeight="1" x14ac:dyDescent="0.25"/>
    <row r="8829" ht="15.75" customHeight="1" x14ac:dyDescent="0.25"/>
    <row r="8830" ht="15.75" customHeight="1" x14ac:dyDescent="0.25"/>
    <row r="8831" ht="15.75" customHeight="1" x14ac:dyDescent="0.25"/>
    <row r="8832" ht="15.75" customHeight="1" x14ac:dyDescent="0.25"/>
    <row r="8833" ht="15.75" customHeight="1" x14ac:dyDescent="0.25"/>
    <row r="8834" ht="15.75" customHeight="1" x14ac:dyDescent="0.25"/>
    <row r="8835" ht="15.75" customHeight="1" x14ac:dyDescent="0.25"/>
    <row r="8836" ht="15.75" customHeight="1" x14ac:dyDescent="0.25"/>
    <row r="8837" ht="15.75" customHeight="1" x14ac:dyDescent="0.25"/>
    <row r="8838" ht="15.75" customHeight="1" x14ac:dyDescent="0.25"/>
    <row r="8839" ht="15.75" customHeight="1" x14ac:dyDescent="0.25"/>
    <row r="8840" ht="15.75" customHeight="1" x14ac:dyDescent="0.25"/>
    <row r="8841" ht="15.75" customHeight="1" x14ac:dyDescent="0.25"/>
    <row r="8842" ht="15.75" customHeight="1" x14ac:dyDescent="0.25"/>
    <row r="8843" ht="15.75" customHeight="1" x14ac:dyDescent="0.25"/>
    <row r="8844" ht="15.75" customHeight="1" x14ac:dyDescent="0.25"/>
    <row r="8845" ht="15.75" customHeight="1" x14ac:dyDescent="0.25"/>
    <row r="8846" ht="15.75" customHeight="1" x14ac:dyDescent="0.25"/>
    <row r="8847" ht="15.75" customHeight="1" x14ac:dyDescent="0.25"/>
    <row r="8848" ht="15.75" customHeight="1" x14ac:dyDescent="0.25"/>
    <row r="8849" ht="15.75" customHeight="1" x14ac:dyDescent="0.25"/>
    <row r="8850" ht="15.75" customHeight="1" x14ac:dyDescent="0.25"/>
    <row r="8851" ht="15.75" customHeight="1" x14ac:dyDescent="0.25"/>
    <row r="8852" ht="15.75" customHeight="1" x14ac:dyDescent="0.25"/>
    <row r="8853" ht="15.75" customHeight="1" x14ac:dyDescent="0.25"/>
    <row r="8854" ht="15.75" customHeight="1" x14ac:dyDescent="0.25"/>
    <row r="8855" ht="15.75" customHeight="1" x14ac:dyDescent="0.25"/>
    <row r="8856" ht="15.75" customHeight="1" x14ac:dyDescent="0.25"/>
    <row r="8857" ht="15.75" customHeight="1" x14ac:dyDescent="0.25"/>
    <row r="8858" ht="15.75" customHeight="1" x14ac:dyDescent="0.25"/>
    <row r="8859" ht="15.75" customHeight="1" x14ac:dyDescent="0.25"/>
    <row r="8860" ht="15.75" customHeight="1" x14ac:dyDescent="0.25"/>
    <row r="8861" ht="15.75" customHeight="1" x14ac:dyDescent="0.25"/>
    <row r="8862" ht="15.75" customHeight="1" x14ac:dyDescent="0.25"/>
    <row r="8863" ht="15.75" customHeight="1" x14ac:dyDescent="0.25"/>
    <row r="8864" ht="15.75" customHeight="1" x14ac:dyDescent="0.25"/>
    <row r="8865" ht="15.75" customHeight="1" x14ac:dyDescent="0.25"/>
    <row r="8866" ht="15.75" customHeight="1" x14ac:dyDescent="0.25"/>
    <row r="8867" ht="15.75" customHeight="1" x14ac:dyDescent="0.25"/>
    <row r="8868" ht="15.75" customHeight="1" x14ac:dyDescent="0.25"/>
    <row r="8869" ht="15.75" customHeight="1" x14ac:dyDescent="0.25"/>
    <row r="8870" ht="15.75" customHeight="1" x14ac:dyDescent="0.25"/>
    <row r="8871" ht="15.75" customHeight="1" x14ac:dyDescent="0.25"/>
    <row r="8872" ht="15.75" customHeight="1" x14ac:dyDescent="0.25"/>
    <row r="8873" ht="15.75" customHeight="1" x14ac:dyDescent="0.25"/>
    <row r="8874" ht="15.75" customHeight="1" x14ac:dyDescent="0.25"/>
    <row r="8875" ht="15.75" customHeight="1" x14ac:dyDescent="0.25"/>
    <row r="8876" ht="15.75" customHeight="1" x14ac:dyDescent="0.25"/>
    <row r="8877" ht="15.75" customHeight="1" x14ac:dyDescent="0.25"/>
    <row r="8878" ht="15.75" customHeight="1" x14ac:dyDescent="0.25"/>
    <row r="8879" ht="15.75" customHeight="1" x14ac:dyDescent="0.25"/>
    <row r="8880" ht="15.75" customHeight="1" x14ac:dyDescent="0.25"/>
    <row r="8881" ht="15.75" customHeight="1" x14ac:dyDescent="0.25"/>
    <row r="8882" ht="15.75" customHeight="1" x14ac:dyDescent="0.25"/>
    <row r="8883" ht="15.75" customHeight="1" x14ac:dyDescent="0.25"/>
    <row r="8884" ht="15.75" customHeight="1" x14ac:dyDescent="0.25"/>
    <row r="8885" ht="15.75" customHeight="1" x14ac:dyDescent="0.25"/>
    <row r="8886" ht="15.75" customHeight="1" x14ac:dyDescent="0.25"/>
    <row r="8887" ht="15.75" customHeight="1" x14ac:dyDescent="0.25"/>
    <row r="8888" ht="15.75" customHeight="1" x14ac:dyDescent="0.25"/>
    <row r="8889" ht="15.75" customHeight="1" x14ac:dyDescent="0.25"/>
    <row r="8890" ht="15.75" customHeight="1" x14ac:dyDescent="0.25"/>
    <row r="8891" ht="15.75" customHeight="1" x14ac:dyDescent="0.25"/>
    <row r="8892" ht="15.75" customHeight="1" x14ac:dyDescent="0.25"/>
    <row r="8893" ht="15.75" customHeight="1" x14ac:dyDescent="0.25"/>
    <row r="8894" ht="15.75" customHeight="1" x14ac:dyDescent="0.25"/>
    <row r="8895" ht="15.75" customHeight="1" x14ac:dyDescent="0.25"/>
    <row r="8896" ht="15.75" customHeight="1" x14ac:dyDescent="0.25"/>
    <row r="8897" ht="15.75" customHeight="1" x14ac:dyDescent="0.25"/>
    <row r="8898" ht="15.75" customHeight="1" x14ac:dyDescent="0.25"/>
    <row r="8899" ht="15.75" customHeight="1" x14ac:dyDescent="0.25"/>
    <row r="8900" ht="15.75" customHeight="1" x14ac:dyDescent="0.25"/>
    <row r="8901" ht="15.75" customHeight="1" x14ac:dyDescent="0.25"/>
    <row r="8902" ht="15.75" customHeight="1" x14ac:dyDescent="0.25"/>
    <row r="8903" ht="15.75" customHeight="1" x14ac:dyDescent="0.25"/>
    <row r="8904" ht="15.75" customHeight="1" x14ac:dyDescent="0.25"/>
    <row r="8905" ht="15.75" customHeight="1" x14ac:dyDescent="0.25"/>
    <row r="8906" ht="15.75" customHeight="1" x14ac:dyDescent="0.25"/>
    <row r="8907" ht="15.75" customHeight="1" x14ac:dyDescent="0.25"/>
    <row r="8908" ht="15.75" customHeight="1" x14ac:dyDescent="0.25"/>
    <row r="8909" ht="15.75" customHeight="1" x14ac:dyDescent="0.25"/>
    <row r="8910" ht="15.75" customHeight="1" x14ac:dyDescent="0.25"/>
    <row r="8911" ht="15.75" customHeight="1" x14ac:dyDescent="0.25"/>
    <row r="8912" ht="15.75" customHeight="1" x14ac:dyDescent="0.25"/>
    <row r="8913" ht="15.75" customHeight="1" x14ac:dyDescent="0.25"/>
    <row r="8914" ht="15.75" customHeight="1" x14ac:dyDescent="0.25"/>
    <row r="8915" ht="15.75" customHeight="1" x14ac:dyDescent="0.25"/>
    <row r="8916" ht="15.75" customHeight="1" x14ac:dyDescent="0.25"/>
    <row r="8917" ht="15.75" customHeight="1" x14ac:dyDescent="0.25"/>
    <row r="8918" ht="15.75" customHeight="1" x14ac:dyDescent="0.25"/>
    <row r="8919" ht="15.75" customHeight="1" x14ac:dyDescent="0.25"/>
    <row r="8920" ht="15.75" customHeight="1" x14ac:dyDescent="0.25"/>
    <row r="8921" ht="15.75" customHeight="1" x14ac:dyDescent="0.25"/>
    <row r="8922" ht="15.75" customHeight="1" x14ac:dyDescent="0.25"/>
    <row r="8923" ht="15.75" customHeight="1" x14ac:dyDescent="0.25"/>
    <row r="8924" ht="15.75" customHeight="1" x14ac:dyDescent="0.25"/>
    <row r="8925" ht="15.75" customHeight="1" x14ac:dyDescent="0.25"/>
    <row r="8926" ht="15.75" customHeight="1" x14ac:dyDescent="0.25"/>
    <row r="8927" ht="15.75" customHeight="1" x14ac:dyDescent="0.25"/>
    <row r="8928" ht="15.75" customHeight="1" x14ac:dyDescent="0.25"/>
    <row r="8929" ht="15.75" customHeight="1" x14ac:dyDescent="0.25"/>
    <row r="8930" ht="15.75" customHeight="1" x14ac:dyDescent="0.25"/>
    <row r="8931" ht="15.75" customHeight="1" x14ac:dyDescent="0.25"/>
    <row r="8932" ht="15.75" customHeight="1" x14ac:dyDescent="0.25"/>
    <row r="8933" ht="15.75" customHeight="1" x14ac:dyDescent="0.25"/>
    <row r="8934" ht="15.75" customHeight="1" x14ac:dyDescent="0.25"/>
    <row r="8935" ht="15.75" customHeight="1" x14ac:dyDescent="0.25"/>
    <row r="8936" ht="15.75" customHeight="1" x14ac:dyDescent="0.25"/>
    <row r="8937" ht="15.75" customHeight="1" x14ac:dyDescent="0.25"/>
    <row r="8938" ht="15.75" customHeight="1" x14ac:dyDescent="0.25"/>
    <row r="8939" ht="15.75" customHeight="1" x14ac:dyDescent="0.25"/>
    <row r="8940" ht="15.75" customHeight="1" x14ac:dyDescent="0.25"/>
    <row r="8941" ht="15.75" customHeight="1" x14ac:dyDescent="0.25"/>
    <row r="8942" ht="15.75" customHeight="1" x14ac:dyDescent="0.25"/>
    <row r="8943" ht="15.75" customHeight="1" x14ac:dyDescent="0.25"/>
    <row r="8944" ht="15.75" customHeight="1" x14ac:dyDescent="0.25"/>
    <row r="8945" ht="15.75" customHeight="1" x14ac:dyDescent="0.25"/>
    <row r="8946" ht="15.75" customHeight="1" x14ac:dyDescent="0.25"/>
    <row r="8947" ht="15.75" customHeight="1" x14ac:dyDescent="0.25"/>
    <row r="8948" ht="15.75" customHeight="1" x14ac:dyDescent="0.25"/>
    <row r="8949" ht="15.75" customHeight="1" x14ac:dyDescent="0.25"/>
    <row r="8950" ht="15.75" customHeight="1" x14ac:dyDescent="0.25"/>
    <row r="8951" ht="15.75" customHeight="1" x14ac:dyDescent="0.25"/>
    <row r="8952" ht="15.75" customHeight="1" x14ac:dyDescent="0.25"/>
    <row r="8953" ht="15.75" customHeight="1" x14ac:dyDescent="0.25"/>
    <row r="8954" ht="15.75" customHeight="1" x14ac:dyDescent="0.25"/>
    <row r="8955" ht="15.75" customHeight="1" x14ac:dyDescent="0.25"/>
    <row r="8956" ht="15.75" customHeight="1" x14ac:dyDescent="0.25"/>
    <row r="8957" ht="15.75" customHeight="1" x14ac:dyDescent="0.25"/>
    <row r="8958" ht="15.75" customHeight="1" x14ac:dyDescent="0.25"/>
    <row r="8959" ht="15.75" customHeight="1" x14ac:dyDescent="0.25"/>
    <row r="8960" ht="15.75" customHeight="1" x14ac:dyDescent="0.25"/>
    <row r="8961" ht="15.75" customHeight="1" x14ac:dyDescent="0.25"/>
    <row r="8962" ht="15.75" customHeight="1" x14ac:dyDescent="0.25"/>
    <row r="8963" ht="15.75" customHeight="1" x14ac:dyDescent="0.25"/>
    <row r="8964" ht="15.75" customHeight="1" x14ac:dyDescent="0.25"/>
    <row r="8965" ht="15.75" customHeight="1" x14ac:dyDescent="0.25"/>
    <row r="8966" ht="15.75" customHeight="1" x14ac:dyDescent="0.25"/>
    <row r="8967" ht="15.75" customHeight="1" x14ac:dyDescent="0.25"/>
    <row r="8968" ht="15.75" customHeight="1" x14ac:dyDescent="0.25"/>
    <row r="8969" ht="15.75" customHeight="1" x14ac:dyDescent="0.25"/>
    <row r="8970" ht="15.75" customHeight="1" x14ac:dyDescent="0.25"/>
    <row r="8971" ht="15.75" customHeight="1" x14ac:dyDescent="0.25"/>
    <row r="8972" ht="15.75" customHeight="1" x14ac:dyDescent="0.25"/>
    <row r="8973" ht="15.75" customHeight="1" x14ac:dyDescent="0.25"/>
    <row r="8974" ht="15.75" customHeight="1" x14ac:dyDescent="0.25"/>
    <row r="8975" ht="15.75" customHeight="1" x14ac:dyDescent="0.25"/>
    <row r="8976" ht="15.75" customHeight="1" x14ac:dyDescent="0.25"/>
    <row r="8977" ht="15.75" customHeight="1" x14ac:dyDescent="0.25"/>
    <row r="8978" ht="15.75" customHeight="1" x14ac:dyDescent="0.25"/>
    <row r="8979" ht="15.75" customHeight="1" x14ac:dyDescent="0.25"/>
    <row r="8980" ht="15.75" customHeight="1" x14ac:dyDescent="0.25"/>
    <row r="8981" ht="15.75" customHeight="1" x14ac:dyDescent="0.25"/>
    <row r="8982" ht="15.75" customHeight="1" x14ac:dyDescent="0.25"/>
    <row r="8983" ht="15.75" customHeight="1" x14ac:dyDescent="0.25"/>
    <row r="8984" ht="15.75" customHeight="1" x14ac:dyDescent="0.25"/>
    <row r="8985" ht="15.75" customHeight="1" x14ac:dyDescent="0.25"/>
    <row r="8986" ht="15.75" customHeight="1" x14ac:dyDescent="0.25"/>
    <row r="8987" ht="15.75" customHeight="1" x14ac:dyDescent="0.25"/>
    <row r="8988" ht="15.75" customHeight="1" x14ac:dyDescent="0.25"/>
    <row r="8989" ht="15.75" customHeight="1" x14ac:dyDescent="0.25"/>
    <row r="8990" ht="15.75" customHeight="1" x14ac:dyDescent="0.25"/>
    <row r="8991" ht="15.75" customHeight="1" x14ac:dyDescent="0.25"/>
    <row r="8992" ht="15.75" customHeight="1" x14ac:dyDescent="0.25"/>
    <row r="8993" ht="15.75" customHeight="1" x14ac:dyDescent="0.25"/>
    <row r="8994" ht="15.75" customHeight="1" x14ac:dyDescent="0.25"/>
    <row r="8995" ht="15.75" customHeight="1" x14ac:dyDescent="0.25"/>
    <row r="8996" ht="15.75" customHeight="1" x14ac:dyDescent="0.25"/>
    <row r="8997" ht="15.75" customHeight="1" x14ac:dyDescent="0.25"/>
    <row r="8998" ht="15.75" customHeight="1" x14ac:dyDescent="0.25"/>
    <row r="8999" ht="15.75" customHeight="1" x14ac:dyDescent="0.25"/>
    <row r="9000" ht="15.75" customHeight="1" x14ac:dyDescent="0.25"/>
    <row r="9001" ht="15.75" customHeight="1" x14ac:dyDescent="0.25"/>
    <row r="9002" ht="15.75" customHeight="1" x14ac:dyDescent="0.25"/>
    <row r="9003" ht="15.75" customHeight="1" x14ac:dyDescent="0.25"/>
    <row r="9004" ht="15.75" customHeight="1" x14ac:dyDescent="0.25"/>
    <row r="9005" ht="15.75" customHeight="1" x14ac:dyDescent="0.25"/>
    <row r="9006" ht="15.75" customHeight="1" x14ac:dyDescent="0.25"/>
    <row r="9007" ht="15.75" customHeight="1" x14ac:dyDescent="0.25"/>
    <row r="9008" ht="15.75" customHeight="1" x14ac:dyDescent="0.25"/>
    <row r="9009" ht="15.75" customHeight="1" x14ac:dyDescent="0.25"/>
    <row r="9010" ht="15.75" customHeight="1" x14ac:dyDescent="0.25"/>
    <row r="9011" ht="15.75" customHeight="1" x14ac:dyDescent="0.25"/>
    <row r="9012" ht="15.75" customHeight="1" x14ac:dyDescent="0.25"/>
    <row r="9013" ht="15.75" customHeight="1" x14ac:dyDescent="0.25"/>
    <row r="9014" ht="15.75" customHeight="1" x14ac:dyDescent="0.25"/>
    <row r="9015" ht="15.75" customHeight="1" x14ac:dyDescent="0.25"/>
    <row r="9016" ht="15.75" customHeight="1" x14ac:dyDescent="0.25"/>
    <row r="9017" ht="15.75" customHeight="1" x14ac:dyDescent="0.25"/>
    <row r="9018" ht="15.75" customHeight="1" x14ac:dyDescent="0.25"/>
    <row r="9019" ht="15.75" customHeight="1" x14ac:dyDescent="0.25"/>
    <row r="9020" ht="15.75" customHeight="1" x14ac:dyDescent="0.25"/>
    <row r="9021" ht="15.75" customHeight="1" x14ac:dyDescent="0.25"/>
    <row r="9022" ht="15.75" customHeight="1" x14ac:dyDescent="0.25"/>
    <row r="9023" ht="15.75" customHeight="1" x14ac:dyDescent="0.25"/>
    <row r="9024" ht="15.75" customHeight="1" x14ac:dyDescent="0.25"/>
    <row r="9025" ht="15.75" customHeight="1" x14ac:dyDescent="0.25"/>
    <row r="9026" ht="15.75" customHeight="1" x14ac:dyDescent="0.25"/>
    <row r="9027" ht="15.75" customHeight="1" x14ac:dyDescent="0.25"/>
    <row r="9028" ht="15.75" customHeight="1" x14ac:dyDescent="0.25"/>
    <row r="9029" ht="15.75" customHeight="1" x14ac:dyDescent="0.25"/>
    <row r="9030" ht="15.75" customHeight="1" x14ac:dyDescent="0.25"/>
    <row r="9031" ht="15.75" customHeight="1" x14ac:dyDescent="0.25"/>
    <row r="9032" ht="15.75" customHeight="1" x14ac:dyDescent="0.25"/>
    <row r="9033" ht="15.75" customHeight="1" x14ac:dyDescent="0.25"/>
    <row r="9034" ht="15.75" customHeight="1" x14ac:dyDescent="0.25"/>
    <row r="9035" ht="15.75" customHeight="1" x14ac:dyDescent="0.25"/>
    <row r="9036" ht="15.75" customHeight="1" x14ac:dyDescent="0.25"/>
    <row r="9037" ht="15.75" customHeight="1" x14ac:dyDescent="0.25"/>
    <row r="9038" ht="15.75" customHeight="1" x14ac:dyDescent="0.25"/>
    <row r="9039" ht="15.75" customHeight="1" x14ac:dyDescent="0.25"/>
    <row r="9040" ht="15.75" customHeight="1" x14ac:dyDescent="0.25"/>
    <row r="9041" ht="15.75" customHeight="1" x14ac:dyDescent="0.25"/>
    <row r="9042" ht="15.75" customHeight="1" x14ac:dyDescent="0.25"/>
    <row r="9043" ht="15.75" customHeight="1" x14ac:dyDescent="0.25"/>
    <row r="9044" ht="15.75" customHeight="1" x14ac:dyDescent="0.25"/>
    <row r="9045" ht="15.75" customHeight="1" x14ac:dyDescent="0.25"/>
    <row r="9046" ht="15.75" customHeight="1" x14ac:dyDescent="0.25"/>
    <row r="9047" ht="15.75" customHeight="1" x14ac:dyDescent="0.25"/>
    <row r="9048" ht="15.75" customHeight="1" x14ac:dyDescent="0.25"/>
    <row r="9049" ht="15.75" customHeight="1" x14ac:dyDescent="0.25"/>
    <row r="9050" ht="15.75" customHeight="1" x14ac:dyDescent="0.25"/>
    <row r="9051" ht="15.75" customHeight="1" x14ac:dyDescent="0.25"/>
    <row r="9052" ht="15.75" customHeight="1" x14ac:dyDescent="0.25"/>
    <row r="9053" ht="15.75" customHeight="1" x14ac:dyDescent="0.25"/>
    <row r="9054" ht="15.75" customHeight="1" x14ac:dyDescent="0.25"/>
    <row r="9055" ht="15.75" customHeight="1" x14ac:dyDescent="0.25"/>
    <row r="9056" ht="15.75" customHeight="1" x14ac:dyDescent="0.25"/>
    <row r="9057" ht="15.75" customHeight="1" x14ac:dyDescent="0.25"/>
    <row r="9058" ht="15.75" customHeight="1" x14ac:dyDescent="0.25"/>
    <row r="9059" ht="15.75" customHeight="1" x14ac:dyDescent="0.25"/>
    <row r="9060" ht="15.75" customHeight="1" x14ac:dyDescent="0.25"/>
    <row r="9061" ht="15.75" customHeight="1" x14ac:dyDescent="0.25"/>
    <row r="9062" ht="15.75" customHeight="1" x14ac:dyDescent="0.25"/>
    <row r="9063" ht="15.75" customHeight="1" x14ac:dyDescent="0.25"/>
    <row r="9064" ht="15.75" customHeight="1" x14ac:dyDescent="0.25"/>
    <row r="9065" ht="15.75" customHeight="1" x14ac:dyDescent="0.25"/>
    <row r="9066" ht="15.75" customHeight="1" x14ac:dyDescent="0.25"/>
    <row r="9067" ht="15.75" customHeight="1" x14ac:dyDescent="0.25"/>
    <row r="9068" ht="15.75" customHeight="1" x14ac:dyDescent="0.25"/>
    <row r="9069" ht="15.75" customHeight="1" x14ac:dyDescent="0.25"/>
    <row r="9070" ht="15.75" customHeight="1" x14ac:dyDescent="0.25"/>
    <row r="9071" ht="15.75" customHeight="1" x14ac:dyDescent="0.25"/>
    <row r="9072" ht="15.75" customHeight="1" x14ac:dyDescent="0.25"/>
    <row r="9073" ht="15.75" customHeight="1" x14ac:dyDescent="0.25"/>
    <row r="9074" ht="15.75" customHeight="1" x14ac:dyDescent="0.25"/>
    <row r="9075" ht="15.75" customHeight="1" x14ac:dyDescent="0.25"/>
    <row r="9076" ht="15.75" customHeight="1" x14ac:dyDescent="0.25"/>
    <row r="9077" ht="15.75" customHeight="1" x14ac:dyDescent="0.25"/>
    <row r="9078" ht="15.75" customHeight="1" x14ac:dyDescent="0.25"/>
    <row r="9079" ht="15.75" customHeight="1" x14ac:dyDescent="0.25"/>
    <row r="9080" ht="15.75" customHeight="1" x14ac:dyDescent="0.25"/>
    <row r="9081" ht="15.75" customHeight="1" x14ac:dyDescent="0.25"/>
    <row r="9082" ht="15.75" customHeight="1" x14ac:dyDescent="0.25"/>
    <row r="9083" ht="15.75" customHeight="1" x14ac:dyDescent="0.25"/>
    <row r="9084" ht="15.75" customHeight="1" x14ac:dyDescent="0.25"/>
    <row r="9085" ht="15.75" customHeight="1" x14ac:dyDescent="0.25"/>
    <row r="9086" ht="15.75" customHeight="1" x14ac:dyDescent="0.25"/>
    <row r="9087" ht="15.75" customHeight="1" x14ac:dyDescent="0.25"/>
    <row r="9088" ht="15.75" customHeight="1" x14ac:dyDescent="0.25"/>
    <row r="9089" ht="15.75" customHeight="1" x14ac:dyDescent="0.25"/>
    <row r="9090" ht="15.75" customHeight="1" x14ac:dyDescent="0.25"/>
    <row r="9091" ht="15.75" customHeight="1" x14ac:dyDescent="0.25"/>
    <row r="9092" ht="15.75" customHeight="1" x14ac:dyDescent="0.25"/>
    <row r="9093" ht="15.75" customHeight="1" x14ac:dyDescent="0.25"/>
    <row r="9094" ht="15.75" customHeight="1" x14ac:dyDescent="0.25"/>
    <row r="9095" ht="15.75" customHeight="1" x14ac:dyDescent="0.25"/>
    <row r="9096" ht="15.75" customHeight="1" x14ac:dyDescent="0.25"/>
    <row r="9097" ht="15.75" customHeight="1" x14ac:dyDescent="0.25"/>
    <row r="9098" ht="15.75" customHeight="1" x14ac:dyDescent="0.25"/>
    <row r="9099" ht="15.75" customHeight="1" x14ac:dyDescent="0.25"/>
    <row r="9100" ht="15.75" customHeight="1" x14ac:dyDescent="0.25"/>
    <row r="9101" ht="15.75" customHeight="1" x14ac:dyDescent="0.25"/>
    <row r="9102" ht="15.75" customHeight="1" x14ac:dyDescent="0.25"/>
    <row r="9103" ht="15.75" customHeight="1" x14ac:dyDescent="0.25"/>
    <row r="9104" ht="15.75" customHeight="1" x14ac:dyDescent="0.25"/>
    <row r="9105" ht="15.75" customHeight="1" x14ac:dyDescent="0.25"/>
    <row r="9106" ht="15.75" customHeight="1" x14ac:dyDescent="0.25"/>
    <row r="9107" ht="15.75" customHeight="1" x14ac:dyDescent="0.25"/>
    <row r="9108" ht="15.75" customHeight="1" x14ac:dyDescent="0.25"/>
    <row r="9109" ht="15.75" customHeight="1" x14ac:dyDescent="0.25"/>
    <row r="9110" ht="15.75" customHeight="1" x14ac:dyDescent="0.25"/>
    <row r="9111" ht="15.75" customHeight="1" x14ac:dyDescent="0.25"/>
    <row r="9112" ht="15.75" customHeight="1" x14ac:dyDescent="0.25"/>
    <row r="9113" ht="15.75" customHeight="1" x14ac:dyDescent="0.25"/>
    <row r="9114" ht="15.75" customHeight="1" x14ac:dyDescent="0.25"/>
    <row r="9115" ht="15.75" customHeight="1" x14ac:dyDescent="0.25"/>
    <row r="9116" ht="15.75" customHeight="1" x14ac:dyDescent="0.25"/>
    <row r="9117" ht="15.75" customHeight="1" x14ac:dyDescent="0.25"/>
    <row r="9118" ht="15.75" customHeight="1" x14ac:dyDescent="0.25"/>
    <row r="9119" ht="15.75" customHeight="1" x14ac:dyDescent="0.25"/>
    <row r="9120" ht="15.75" customHeight="1" x14ac:dyDescent="0.25"/>
    <row r="9121" ht="15.75" customHeight="1" x14ac:dyDescent="0.25"/>
    <row r="9122" ht="15.75" customHeight="1" x14ac:dyDescent="0.25"/>
    <row r="9123" ht="15.75" customHeight="1" x14ac:dyDescent="0.25"/>
    <row r="9124" ht="15.75" customHeight="1" x14ac:dyDescent="0.25"/>
    <row r="9125" ht="15.75" customHeight="1" x14ac:dyDescent="0.25"/>
    <row r="9126" ht="15.75" customHeight="1" x14ac:dyDescent="0.25"/>
    <row r="9127" ht="15.75" customHeight="1" x14ac:dyDescent="0.25"/>
    <row r="9128" ht="15.75" customHeight="1" x14ac:dyDescent="0.25"/>
    <row r="9129" ht="15.75" customHeight="1" x14ac:dyDescent="0.25"/>
    <row r="9130" ht="15.75" customHeight="1" x14ac:dyDescent="0.25"/>
    <row r="9131" ht="15.75" customHeight="1" x14ac:dyDescent="0.25"/>
    <row r="9132" ht="15.75" customHeight="1" x14ac:dyDescent="0.25"/>
    <row r="9133" ht="15.75" customHeight="1" x14ac:dyDescent="0.25"/>
    <row r="9134" ht="15.75" customHeight="1" x14ac:dyDescent="0.25"/>
    <row r="9135" ht="15.75" customHeight="1" x14ac:dyDescent="0.25"/>
    <row r="9136" ht="15.75" customHeight="1" x14ac:dyDescent="0.25"/>
    <row r="9137" ht="15.75" customHeight="1" x14ac:dyDescent="0.25"/>
    <row r="9138" ht="15.75" customHeight="1" x14ac:dyDescent="0.25"/>
    <row r="9139" ht="15.75" customHeight="1" x14ac:dyDescent="0.25"/>
    <row r="9140" ht="15.75" customHeight="1" x14ac:dyDescent="0.25"/>
    <row r="9141" ht="15.75" customHeight="1" x14ac:dyDescent="0.25"/>
    <row r="9142" ht="15.75" customHeight="1" x14ac:dyDescent="0.25"/>
    <row r="9143" ht="15.75" customHeight="1" x14ac:dyDescent="0.25"/>
    <row r="9144" ht="15.75" customHeight="1" x14ac:dyDescent="0.25"/>
    <row r="9145" ht="15.75" customHeight="1" x14ac:dyDescent="0.25"/>
    <row r="9146" ht="15.75" customHeight="1" x14ac:dyDescent="0.25"/>
    <row r="9147" ht="15.75" customHeight="1" x14ac:dyDescent="0.25"/>
    <row r="9148" ht="15.75" customHeight="1" x14ac:dyDescent="0.25"/>
    <row r="9149" ht="15.75" customHeight="1" x14ac:dyDescent="0.25"/>
    <row r="9150" ht="15.75" customHeight="1" x14ac:dyDescent="0.25"/>
    <row r="9151" ht="15.75" customHeight="1" x14ac:dyDescent="0.25"/>
    <row r="9152" ht="15.75" customHeight="1" x14ac:dyDescent="0.25"/>
    <row r="9153" ht="15.75" customHeight="1" x14ac:dyDescent="0.25"/>
    <row r="9154" ht="15.75" customHeight="1" x14ac:dyDescent="0.25"/>
    <row r="9155" ht="15.75" customHeight="1" x14ac:dyDescent="0.25"/>
    <row r="9156" ht="15.75" customHeight="1" x14ac:dyDescent="0.25"/>
    <row r="9157" ht="15.75" customHeight="1" x14ac:dyDescent="0.25"/>
    <row r="9158" ht="15.75" customHeight="1" x14ac:dyDescent="0.25"/>
    <row r="9159" ht="15.75" customHeight="1" x14ac:dyDescent="0.25"/>
    <row r="9160" ht="15.75" customHeight="1" x14ac:dyDescent="0.25"/>
    <row r="9161" ht="15.75" customHeight="1" x14ac:dyDescent="0.25"/>
    <row r="9162" ht="15.75" customHeight="1" x14ac:dyDescent="0.25"/>
    <row r="9163" ht="15.75" customHeight="1" x14ac:dyDescent="0.25"/>
    <row r="9164" ht="15.75" customHeight="1" x14ac:dyDescent="0.25"/>
    <row r="9165" ht="15.75" customHeight="1" x14ac:dyDescent="0.25"/>
    <row r="9166" ht="15.75" customHeight="1" x14ac:dyDescent="0.25"/>
    <row r="9167" ht="15.75" customHeight="1" x14ac:dyDescent="0.25"/>
    <row r="9168" ht="15.75" customHeight="1" x14ac:dyDescent="0.25"/>
    <row r="9169" ht="15.75" customHeight="1" x14ac:dyDescent="0.25"/>
    <row r="9170" ht="15.75" customHeight="1" x14ac:dyDescent="0.25"/>
    <row r="9171" ht="15.75" customHeight="1" x14ac:dyDescent="0.25"/>
    <row r="9172" ht="15.75" customHeight="1" x14ac:dyDescent="0.25"/>
    <row r="9173" ht="15.75" customHeight="1" x14ac:dyDescent="0.25"/>
    <row r="9174" ht="15.75" customHeight="1" x14ac:dyDescent="0.25"/>
    <row r="9175" ht="15.75" customHeight="1" x14ac:dyDescent="0.25"/>
    <row r="9176" ht="15.75" customHeight="1" x14ac:dyDescent="0.25"/>
    <row r="9177" ht="15.75" customHeight="1" x14ac:dyDescent="0.25"/>
    <row r="9178" ht="15.75" customHeight="1" x14ac:dyDescent="0.25"/>
    <row r="9179" ht="15.75" customHeight="1" x14ac:dyDescent="0.25"/>
    <row r="9180" ht="15.75" customHeight="1" x14ac:dyDescent="0.25"/>
    <row r="9181" ht="15.75" customHeight="1" x14ac:dyDescent="0.25"/>
    <row r="9182" ht="15.75" customHeight="1" x14ac:dyDescent="0.25"/>
    <row r="9183" ht="15.75" customHeight="1" x14ac:dyDescent="0.25"/>
    <row r="9184" ht="15.75" customHeight="1" x14ac:dyDescent="0.25"/>
    <row r="9185" ht="15.75" customHeight="1" x14ac:dyDescent="0.25"/>
    <row r="9186" ht="15.75" customHeight="1" x14ac:dyDescent="0.25"/>
    <row r="9187" ht="15.75" customHeight="1" x14ac:dyDescent="0.25"/>
    <row r="9188" ht="15.75" customHeight="1" x14ac:dyDescent="0.25"/>
    <row r="9189" ht="15.75" customHeight="1" x14ac:dyDescent="0.25"/>
    <row r="9190" ht="15.75" customHeight="1" x14ac:dyDescent="0.25"/>
    <row r="9191" ht="15.75" customHeight="1" x14ac:dyDescent="0.25"/>
    <row r="9192" ht="15.75" customHeight="1" x14ac:dyDescent="0.25"/>
    <row r="9193" ht="15.75" customHeight="1" x14ac:dyDescent="0.25"/>
    <row r="9194" ht="15.75" customHeight="1" x14ac:dyDescent="0.25"/>
    <row r="9195" ht="15.75" customHeight="1" x14ac:dyDescent="0.25"/>
    <row r="9196" ht="15.75" customHeight="1" x14ac:dyDescent="0.25"/>
    <row r="9197" ht="15.75" customHeight="1" x14ac:dyDescent="0.25"/>
    <row r="9198" ht="15.75" customHeight="1" x14ac:dyDescent="0.25"/>
    <row r="9199" ht="15.75" customHeight="1" x14ac:dyDescent="0.25"/>
    <row r="9200" ht="15.75" customHeight="1" x14ac:dyDescent="0.25"/>
    <row r="9201" ht="15.75" customHeight="1" x14ac:dyDescent="0.25"/>
    <row r="9202" ht="15.75" customHeight="1" x14ac:dyDescent="0.25"/>
    <row r="9203" ht="15.75" customHeight="1" x14ac:dyDescent="0.25"/>
    <row r="9204" ht="15.75" customHeight="1" x14ac:dyDescent="0.25"/>
    <row r="9205" ht="15.75" customHeight="1" x14ac:dyDescent="0.25"/>
    <row r="9206" ht="15.75" customHeight="1" x14ac:dyDescent="0.25"/>
    <row r="9207" ht="15.75" customHeight="1" x14ac:dyDescent="0.25"/>
    <row r="9208" ht="15.75" customHeight="1" x14ac:dyDescent="0.25"/>
    <row r="9209" ht="15.75" customHeight="1" x14ac:dyDescent="0.25"/>
    <row r="9210" ht="15.75" customHeight="1" x14ac:dyDescent="0.25"/>
    <row r="9211" ht="15.75" customHeight="1" x14ac:dyDescent="0.25"/>
    <row r="9212" ht="15.75" customHeight="1" x14ac:dyDescent="0.25"/>
    <row r="9213" ht="15.75" customHeight="1" x14ac:dyDescent="0.25"/>
    <row r="9214" ht="15.75" customHeight="1" x14ac:dyDescent="0.25"/>
    <row r="9215" ht="15.75" customHeight="1" x14ac:dyDescent="0.25"/>
    <row r="9216" ht="15.75" customHeight="1" x14ac:dyDescent="0.25"/>
    <row r="9217" ht="15.75" customHeight="1" x14ac:dyDescent="0.25"/>
    <row r="9218" ht="15.75" customHeight="1" x14ac:dyDescent="0.25"/>
    <row r="9219" ht="15.75" customHeight="1" x14ac:dyDescent="0.25"/>
    <row r="9220" ht="15.75" customHeight="1" x14ac:dyDescent="0.25"/>
    <row r="9221" ht="15.75" customHeight="1" x14ac:dyDescent="0.25"/>
    <row r="9222" ht="15.75" customHeight="1" x14ac:dyDescent="0.25"/>
    <row r="9223" ht="15.75" customHeight="1" x14ac:dyDescent="0.25"/>
    <row r="9224" ht="15.75" customHeight="1" x14ac:dyDescent="0.25"/>
    <row r="9225" ht="15.75" customHeight="1" x14ac:dyDescent="0.25"/>
    <row r="9226" ht="15.75" customHeight="1" x14ac:dyDescent="0.25"/>
    <row r="9227" ht="15.75" customHeight="1" x14ac:dyDescent="0.25"/>
    <row r="9228" ht="15.75" customHeight="1" x14ac:dyDescent="0.25"/>
    <row r="9229" ht="15.75" customHeight="1" x14ac:dyDescent="0.25"/>
    <row r="9230" ht="15.75" customHeight="1" x14ac:dyDescent="0.25"/>
    <row r="9231" ht="15.75" customHeight="1" x14ac:dyDescent="0.25"/>
    <row r="9232" ht="15.75" customHeight="1" x14ac:dyDescent="0.25"/>
    <row r="9233" ht="15.75" customHeight="1" x14ac:dyDescent="0.25"/>
    <row r="9234" ht="15.75" customHeight="1" x14ac:dyDescent="0.25"/>
    <row r="9235" ht="15.75" customHeight="1" x14ac:dyDescent="0.25"/>
    <row r="9236" ht="15.75" customHeight="1" x14ac:dyDescent="0.25"/>
    <row r="9237" ht="15.75" customHeight="1" x14ac:dyDescent="0.25"/>
    <row r="9238" ht="15.75" customHeight="1" x14ac:dyDescent="0.25"/>
    <row r="9239" ht="15.75" customHeight="1" x14ac:dyDescent="0.25"/>
    <row r="9240" ht="15.75" customHeight="1" x14ac:dyDescent="0.25"/>
    <row r="9241" ht="15.75" customHeight="1" x14ac:dyDescent="0.25"/>
    <row r="9242" ht="15.75" customHeight="1" x14ac:dyDescent="0.25"/>
    <row r="9243" ht="15.75" customHeight="1" x14ac:dyDescent="0.25"/>
    <row r="9244" ht="15.75" customHeight="1" x14ac:dyDescent="0.25"/>
    <row r="9245" ht="15.75" customHeight="1" x14ac:dyDescent="0.25"/>
    <row r="9246" ht="15.75" customHeight="1" x14ac:dyDescent="0.25"/>
    <row r="9247" ht="15.75" customHeight="1" x14ac:dyDescent="0.25"/>
    <row r="9248" ht="15.75" customHeight="1" x14ac:dyDescent="0.25"/>
    <row r="9249" ht="15.75" customHeight="1" x14ac:dyDescent="0.25"/>
    <row r="9250" ht="15.75" customHeight="1" x14ac:dyDescent="0.25"/>
    <row r="9251" ht="15.75" customHeight="1" x14ac:dyDescent="0.25"/>
    <row r="9252" ht="15.75" customHeight="1" x14ac:dyDescent="0.25"/>
    <row r="9253" ht="15.75" customHeight="1" x14ac:dyDescent="0.25"/>
    <row r="9254" ht="15.75" customHeight="1" x14ac:dyDescent="0.25"/>
    <row r="9255" ht="15.75" customHeight="1" x14ac:dyDescent="0.25"/>
    <row r="9256" ht="15.75" customHeight="1" x14ac:dyDescent="0.25"/>
    <row r="9257" ht="15.75" customHeight="1" x14ac:dyDescent="0.25"/>
    <row r="9258" ht="15.75" customHeight="1" x14ac:dyDescent="0.25"/>
    <row r="9259" ht="15.75" customHeight="1" x14ac:dyDescent="0.25"/>
    <row r="9260" ht="15.75" customHeight="1" x14ac:dyDescent="0.25"/>
    <row r="9261" ht="15.75" customHeight="1" x14ac:dyDescent="0.25"/>
    <row r="9262" ht="15.75" customHeight="1" x14ac:dyDescent="0.25"/>
    <row r="9263" ht="15.75" customHeight="1" x14ac:dyDescent="0.25"/>
    <row r="9264" ht="15.75" customHeight="1" x14ac:dyDescent="0.25"/>
    <row r="9265" ht="15.75" customHeight="1" x14ac:dyDescent="0.25"/>
    <row r="9266" ht="15.75" customHeight="1" x14ac:dyDescent="0.25"/>
    <row r="9267" ht="15.75" customHeight="1" x14ac:dyDescent="0.25"/>
    <row r="9268" ht="15.75" customHeight="1" x14ac:dyDescent="0.25"/>
    <row r="9269" ht="15.75" customHeight="1" x14ac:dyDescent="0.25"/>
    <row r="9270" ht="15.75" customHeight="1" x14ac:dyDescent="0.25"/>
    <row r="9271" ht="15.75" customHeight="1" x14ac:dyDescent="0.25"/>
    <row r="9272" ht="15.75" customHeight="1" x14ac:dyDescent="0.25"/>
    <row r="9273" ht="15.75" customHeight="1" x14ac:dyDescent="0.25"/>
    <row r="9274" ht="15.75" customHeight="1" x14ac:dyDescent="0.25"/>
    <row r="9275" ht="15.75" customHeight="1" x14ac:dyDescent="0.25"/>
    <row r="9276" ht="15.75" customHeight="1" x14ac:dyDescent="0.25"/>
    <row r="9277" ht="15.75" customHeight="1" x14ac:dyDescent="0.25"/>
    <row r="9278" ht="15.75" customHeight="1" x14ac:dyDescent="0.25"/>
    <row r="9279" ht="15.75" customHeight="1" x14ac:dyDescent="0.25"/>
    <row r="9280" ht="15.75" customHeight="1" x14ac:dyDescent="0.25"/>
    <row r="9281" ht="15.75" customHeight="1" x14ac:dyDescent="0.25"/>
    <row r="9282" ht="15.75" customHeight="1" x14ac:dyDescent="0.25"/>
    <row r="9283" ht="15.75" customHeight="1" x14ac:dyDescent="0.25"/>
    <row r="9284" ht="15.75" customHeight="1" x14ac:dyDescent="0.25"/>
    <row r="9285" ht="15.75" customHeight="1" x14ac:dyDescent="0.25"/>
    <row r="9286" ht="15.75" customHeight="1" x14ac:dyDescent="0.25"/>
    <row r="9287" ht="15.75" customHeight="1" x14ac:dyDescent="0.25"/>
    <row r="9288" ht="15.75" customHeight="1" x14ac:dyDescent="0.25"/>
    <row r="9289" ht="15.75" customHeight="1" x14ac:dyDescent="0.25"/>
    <row r="9290" ht="15.75" customHeight="1" x14ac:dyDescent="0.25"/>
    <row r="9291" ht="15.75" customHeight="1" x14ac:dyDescent="0.25"/>
    <row r="9292" ht="15.75" customHeight="1" x14ac:dyDescent="0.25"/>
    <row r="9293" ht="15.75" customHeight="1" x14ac:dyDescent="0.25"/>
    <row r="9294" ht="15.75" customHeight="1" x14ac:dyDescent="0.25"/>
    <row r="9295" ht="15.75" customHeight="1" x14ac:dyDescent="0.25"/>
    <row r="9296" ht="15.75" customHeight="1" x14ac:dyDescent="0.25"/>
    <row r="9297" ht="15.75" customHeight="1" x14ac:dyDescent="0.25"/>
    <row r="9298" ht="15.75" customHeight="1" x14ac:dyDescent="0.25"/>
    <row r="9299" ht="15.75" customHeight="1" x14ac:dyDescent="0.25"/>
    <row r="9300" ht="15.75" customHeight="1" x14ac:dyDescent="0.25"/>
    <row r="9301" ht="15.75" customHeight="1" x14ac:dyDescent="0.25"/>
    <row r="9302" ht="15.75" customHeight="1" x14ac:dyDescent="0.25"/>
    <row r="9303" ht="15.75" customHeight="1" x14ac:dyDescent="0.25"/>
    <row r="9304" ht="15.75" customHeight="1" x14ac:dyDescent="0.25"/>
    <row r="9305" ht="15.75" customHeight="1" x14ac:dyDescent="0.25"/>
    <row r="9306" ht="15.75" customHeight="1" x14ac:dyDescent="0.25"/>
    <row r="9307" ht="15.75" customHeight="1" x14ac:dyDescent="0.25"/>
    <row r="9308" ht="15.75" customHeight="1" x14ac:dyDescent="0.25"/>
    <row r="9309" ht="15.75" customHeight="1" x14ac:dyDescent="0.25"/>
    <row r="9310" ht="15.75" customHeight="1" x14ac:dyDescent="0.25"/>
    <row r="9311" ht="15.75" customHeight="1" x14ac:dyDescent="0.25"/>
    <row r="9312" ht="15.75" customHeight="1" x14ac:dyDescent="0.25"/>
    <row r="9313" ht="15.75" customHeight="1" x14ac:dyDescent="0.25"/>
    <row r="9314" ht="15.75" customHeight="1" x14ac:dyDescent="0.25"/>
    <row r="9315" ht="15.75" customHeight="1" x14ac:dyDescent="0.25"/>
    <row r="9316" ht="15.75" customHeight="1" x14ac:dyDescent="0.25"/>
    <row r="9317" ht="15.75" customHeight="1" x14ac:dyDescent="0.25"/>
    <row r="9318" ht="15.75" customHeight="1" x14ac:dyDescent="0.25"/>
    <row r="9319" ht="15.75" customHeight="1" x14ac:dyDescent="0.25"/>
    <row r="9320" ht="15.75" customHeight="1" x14ac:dyDescent="0.25"/>
    <row r="9321" ht="15.75" customHeight="1" x14ac:dyDescent="0.25"/>
    <row r="9322" ht="15.75" customHeight="1" x14ac:dyDescent="0.25"/>
    <row r="9323" ht="15.75" customHeight="1" x14ac:dyDescent="0.25"/>
    <row r="9324" ht="15.75" customHeight="1" x14ac:dyDescent="0.25"/>
    <row r="9325" ht="15.75" customHeight="1" x14ac:dyDescent="0.25"/>
    <row r="9326" ht="15.75" customHeight="1" x14ac:dyDescent="0.25"/>
    <row r="9327" ht="15.75" customHeight="1" x14ac:dyDescent="0.25"/>
    <row r="9328" ht="15.75" customHeight="1" x14ac:dyDescent="0.25"/>
    <row r="9329" ht="15.75" customHeight="1" x14ac:dyDescent="0.25"/>
    <row r="9330" ht="15.75" customHeight="1" x14ac:dyDescent="0.25"/>
    <row r="9331" ht="15.75" customHeight="1" x14ac:dyDescent="0.25"/>
    <row r="9332" ht="15.75" customHeight="1" x14ac:dyDescent="0.25"/>
    <row r="9333" ht="15.75" customHeight="1" x14ac:dyDescent="0.25"/>
    <row r="9334" ht="15.75" customHeight="1" x14ac:dyDescent="0.25"/>
    <row r="9335" ht="15.75" customHeight="1" x14ac:dyDescent="0.25"/>
    <row r="9336" ht="15.75" customHeight="1" x14ac:dyDescent="0.25"/>
    <row r="9337" ht="15.75" customHeight="1" x14ac:dyDescent="0.25"/>
    <row r="9338" ht="15.75" customHeight="1" x14ac:dyDescent="0.25"/>
    <row r="9339" ht="15.75" customHeight="1" x14ac:dyDescent="0.25"/>
    <row r="9340" ht="15.75" customHeight="1" x14ac:dyDescent="0.25"/>
    <row r="9341" ht="15.75" customHeight="1" x14ac:dyDescent="0.25"/>
    <row r="9342" ht="15.75" customHeight="1" x14ac:dyDescent="0.25"/>
    <row r="9343" ht="15.75" customHeight="1" x14ac:dyDescent="0.25"/>
    <row r="9344" ht="15.75" customHeight="1" x14ac:dyDescent="0.25"/>
    <row r="9345" ht="15.75" customHeight="1" x14ac:dyDescent="0.25"/>
    <row r="9346" ht="15.75" customHeight="1" x14ac:dyDescent="0.25"/>
    <row r="9347" ht="15.75" customHeight="1" x14ac:dyDescent="0.25"/>
    <row r="9348" ht="15.75" customHeight="1" x14ac:dyDescent="0.25"/>
    <row r="9349" ht="15.75" customHeight="1" x14ac:dyDescent="0.25"/>
    <row r="9350" ht="15.75" customHeight="1" x14ac:dyDescent="0.25"/>
    <row r="9351" ht="15.75" customHeight="1" x14ac:dyDescent="0.25"/>
    <row r="9352" ht="15.75" customHeight="1" x14ac:dyDescent="0.25"/>
    <row r="9353" ht="15.75" customHeight="1" x14ac:dyDescent="0.25"/>
    <row r="9354" ht="15.75" customHeight="1" x14ac:dyDescent="0.25"/>
    <row r="9355" ht="15.75" customHeight="1" x14ac:dyDescent="0.25"/>
    <row r="9356" ht="15.75" customHeight="1" x14ac:dyDescent="0.25"/>
    <row r="9357" ht="15.75" customHeight="1" x14ac:dyDescent="0.25"/>
    <row r="9358" ht="15.75" customHeight="1" x14ac:dyDescent="0.25"/>
    <row r="9359" ht="15.75" customHeight="1" x14ac:dyDescent="0.25"/>
    <row r="9360" ht="15.75" customHeight="1" x14ac:dyDescent="0.25"/>
    <row r="9361" ht="15.75" customHeight="1" x14ac:dyDescent="0.25"/>
    <row r="9362" ht="15.75" customHeight="1" x14ac:dyDescent="0.25"/>
    <row r="9363" ht="15.75" customHeight="1" x14ac:dyDescent="0.25"/>
    <row r="9364" ht="15.75" customHeight="1" x14ac:dyDescent="0.25"/>
    <row r="9365" ht="15.75" customHeight="1" x14ac:dyDescent="0.25"/>
    <row r="9366" ht="15.75" customHeight="1" x14ac:dyDescent="0.25"/>
    <row r="9367" ht="15.75" customHeight="1" x14ac:dyDescent="0.25"/>
    <row r="9368" ht="15.75" customHeight="1" x14ac:dyDescent="0.25"/>
    <row r="9369" ht="15.75" customHeight="1" x14ac:dyDescent="0.25"/>
    <row r="9370" ht="15.75" customHeight="1" x14ac:dyDescent="0.25"/>
    <row r="9371" ht="15.75" customHeight="1" x14ac:dyDescent="0.25"/>
    <row r="9372" ht="15.75" customHeight="1" x14ac:dyDescent="0.25"/>
    <row r="9373" ht="15.75" customHeight="1" x14ac:dyDescent="0.25"/>
    <row r="9374" ht="15.75" customHeight="1" x14ac:dyDescent="0.25"/>
    <row r="9375" ht="15.75" customHeight="1" x14ac:dyDescent="0.25"/>
    <row r="9376" ht="15.75" customHeight="1" x14ac:dyDescent="0.25"/>
    <row r="9377" ht="15.75" customHeight="1" x14ac:dyDescent="0.25"/>
    <row r="9378" ht="15.75" customHeight="1" x14ac:dyDescent="0.25"/>
    <row r="9379" ht="15.75" customHeight="1" x14ac:dyDescent="0.25"/>
    <row r="9380" ht="15.75" customHeight="1" x14ac:dyDescent="0.25"/>
    <row r="9381" ht="15.75" customHeight="1" x14ac:dyDescent="0.25"/>
    <row r="9382" ht="15.75" customHeight="1" x14ac:dyDescent="0.25"/>
    <row r="9383" ht="15.75" customHeight="1" x14ac:dyDescent="0.25"/>
    <row r="9384" ht="15.75" customHeight="1" x14ac:dyDescent="0.25"/>
    <row r="9385" ht="15.75" customHeight="1" x14ac:dyDescent="0.25"/>
    <row r="9386" ht="15.75" customHeight="1" x14ac:dyDescent="0.25"/>
    <row r="9387" ht="15.75" customHeight="1" x14ac:dyDescent="0.25"/>
    <row r="9388" ht="15.75" customHeight="1" x14ac:dyDescent="0.25"/>
    <row r="9389" ht="15.75" customHeight="1" x14ac:dyDescent="0.25"/>
    <row r="9390" ht="15.75" customHeight="1" x14ac:dyDescent="0.25"/>
    <row r="9391" ht="15.75" customHeight="1" x14ac:dyDescent="0.25"/>
    <row r="9392" ht="15.75" customHeight="1" x14ac:dyDescent="0.25"/>
    <row r="9393" ht="15.75" customHeight="1" x14ac:dyDescent="0.25"/>
    <row r="9394" ht="15.75" customHeight="1" x14ac:dyDescent="0.25"/>
    <row r="9395" ht="15.75" customHeight="1" x14ac:dyDescent="0.25"/>
    <row r="9396" ht="15.75" customHeight="1" x14ac:dyDescent="0.25"/>
    <row r="9397" ht="15.75" customHeight="1" x14ac:dyDescent="0.25"/>
    <row r="9398" ht="15.75" customHeight="1" x14ac:dyDescent="0.25"/>
    <row r="9399" ht="15.75" customHeight="1" x14ac:dyDescent="0.25"/>
    <row r="9400" ht="15.75" customHeight="1" x14ac:dyDescent="0.25"/>
    <row r="9401" ht="15.75" customHeight="1" x14ac:dyDescent="0.25"/>
    <row r="9402" ht="15.75" customHeight="1" x14ac:dyDescent="0.25"/>
    <row r="9403" ht="15.75" customHeight="1" x14ac:dyDescent="0.25"/>
    <row r="9404" ht="15.75" customHeight="1" x14ac:dyDescent="0.25"/>
    <row r="9405" ht="15.75" customHeight="1" x14ac:dyDescent="0.25"/>
    <row r="9406" ht="15.75" customHeight="1" x14ac:dyDescent="0.25"/>
    <row r="9407" ht="15.75" customHeight="1" x14ac:dyDescent="0.25"/>
    <row r="9408" ht="15.75" customHeight="1" x14ac:dyDescent="0.25"/>
    <row r="9409" ht="15.75" customHeight="1" x14ac:dyDescent="0.25"/>
    <row r="9410" ht="15.75" customHeight="1" x14ac:dyDescent="0.25"/>
    <row r="9411" ht="15.75" customHeight="1" x14ac:dyDescent="0.25"/>
    <row r="9412" ht="15.75" customHeight="1" x14ac:dyDescent="0.25"/>
    <row r="9413" ht="15.75" customHeight="1" x14ac:dyDescent="0.25"/>
    <row r="9414" ht="15.75" customHeight="1" x14ac:dyDescent="0.25"/>
    <row r="9415" ht="15.75" customHeight="1" x14ac:dyDescent="0.25"/>
    <row r="9416" ht="15.75" customHeight="1" x14ac:dyDescent="0.25"/>
    <row r="9417" ht="15.75" customHeight="1" x14ac:dyDescent="0.25"/>
    <row r="9418" ht="15.75" customHeight="1" x14ac:dyDescent="0.25"/>
    <row r="9419" ht="15.75" customHeight="1" x14ac:dyDescent="0.25"/>
    <row r="9420" ht="15.75" customHeight="1" x14ac:dyDescent="0.25"/>
    <row r="9421" ht="15.75" customHeight="1" x14ac:dyDescent="0.25"/>
    <row r="9422" ht="15.75" customHeight="1" x14ac:dyDescent="0.25"/>
    <row r="9423" ht="15.75" customHeight="1" x14ac:dyDescent="0.25"/>
    <row r="9424" ht="15.75" customHeight="1" x14ac:dyDescent="0.25"/>
    <row r="9425" ht="15.75" customHeight="1" x14ac:dyDescent="0.25"/>
    <row r="9426" ht="15.75" customHeight="1" x14ac:dyDescent="0.25"/>
    <row r="9427" ht="15.75" customHeight="1" x14ac:dyDescent="0.25"/>
    <row r="9428" ht="15.75" customHeight="1" x14ac:dyDescent="0.25"/>
    <row r="9429" ht="15.75" customHeight="1" x14ac:dyDescent="0.25"/>
    <row r="9430" ht="15.75" customHeight="1" x14ac:dyDescent="0.25"/>
    <row r="9431" ht="15.75" customHeight="1" x14ac:dyDescent="0.25"/>
    <row r="9432" ht="15.75" customHeight="1" x14ac:dyDescent="0.25"/>
    <row r="9433" ht="15.75" customHeight="1" x14ac:dyDescent="0.25"/>
    <row r="9434" ht="15.75" customHeight="1" x14ac:dyDescent="0.25"/>
    <row r="9435" ht="15.75" customHeight="1" x14ac:dyDescent="0.25"/>
    <row r="9436" ht="15.75" customHeight="1" x14ac:dyDescent="0.25"/>
    <row r="9437" ht="15.75" customHeight="1" x14ac:dyDescent="0.25"/>
    <row r="9438" ht="15.75" customHeight="1" x14ac:dyDescent="0.25"/>
    <row r="9439" ht="15.75" customHeight="1" x14ac:dyDescent="0.25"/>
    <row r="9440" ht="15.75" customHeight="1" x14ac:dyDescent="0.25"/>
    <row r="9441" ht="15.75" customHeight="1" x14ac:dyDescent="0.25"/>
    <row r="9442" ht="15.75" customHeight="1" x14ac:dyDescent="0.25"/>
    <row r="9443" ht="15.75" customHeight="1" x14ac:dyDescent="0.25"/>
    <row r="9444" ht="15.75" customHeight="1" x14ac:dyDescent="0.25"/>
    <row r="9445" ht="15.75" customHeight="1" x14ac:dyDescent="0.25"/>
    <row r="9446" ht="15.75" customHeight="1" x14ac:dyDescent="0.25"/>
    <row r="9447" ht="15.75" customHeight="1" x14ac:dyDescent="0.25"/>
    <row r="9448" ht="15.75" customHeight="1" x14ac:dyDescent="0.25"/>
    <row r="9449" ht="15.75" customHeight="1" x14ac:dyDescent="0.25"/>
    <row r="9450" ht="15.75" customHeight="1" x14ac:dyDescent="0.25"/>
    <row r="9451" ht="15.75" customHeight="1" x14ac:dyDescent="0.25"/>
    <row r="9452" ht="15.75" customHeight="1" x14ac:dyDescent="0.25"/>
    <row r="9453" ht="15.75" customHeight="1" x14ac:dyDescent="0.25"/>
    <row r="9454" ht="15.75" customHeight="1" x14ac:dyDescent="0.25"/>
    <row r="9455" ht="15.75" customHeight="1" x14ac:dyDescent="0.25"/>
    <row r="9456" ht="15.75" customHeight="1" x14ac:dyDescent="0.25"/>
    <row r="9457" ht="15.75" customHeight="1" x14ac:dyDescent="0.25"/>
    <row r="9458" ht="15.75" customHeight="1" x14ac:dyDescent="0.25"/>
    <row r="9459" ht="15.75" customHeight="1" x14ac:dyDescent="0.25"/>
    <row r="9460" ht="15.75" customHeight="1" x14ac:dyDescent="0.25"/>
    <row r="9461" ht="15.75" customHeight="1" x14ac:dyDescent="0.25"/>
    <row r="9462" ht="15.75" customHeight="1" x14ac:dyDescent="0.25"/>
    <row r="9463" ht="15.75" customHeight="1" x14ac:dyDescent="0.25"/>
    <row r="9464" ht="15.75" customHeight="1" x14ac:dyDescent="0.25"/>
    <row r="9465" ht="15.75" customHeight="1" x14ac:dyDescent="0.25"/>
    <row r="9466" ht="15.75" customHeight="1" x14ac:dyDescent="0.25"/>
    <row r="9467" ht="15.75" customHeight="1" x14ac:dyDescent="0.25"/>
    <row r="9468" ht="15.75" customHeight="1" x14ac:dyDescent="0.25"/>
    <row r="9469" ht="15.75" customHeight="1" x14ac:dyDescent="0.25"/>
    <row r="9470" ht="15.75" customHeight="1" x14ac:dyDescent="0.25"/>
    <row r="9471" ht="15.75" customHeight="1" x14ac:dyDescent="0.25"/>
    <row r="9472" ht="15.75" customHeight="1" x14ac:dyDescent="0.25"/>
    <row r="9473" ht="15.75" customHeight="1" x14ac:dyDescent="0.25"/>
    <row r="9474" ht="15.75" customHeight="1" x14ac:dyDescent="0.25"/>
    <row r="9475" ht="15.75" customHeight="1" x14ac:dyDescent="0.25"/>
    <row r="9476" ht="15.75" customHeight="1" x14ac:dyDescent="0.25"/>
    <row r="9477" ht="15.75" customHeight="1" x14ac:dyDescent="0.25"/>
    <row r="9478" ht="15.75" customHeight="1" x14ac:dyDescent="0.25"/>
    <row r="9479" ht="15.75" customHeight="1" x14ac:dyDescent="0.25"/>
    <row r="9480" ht="15.75" customHeight="1" x14ac:dyDescent="0.25"/>
    <row r="9481" ht="15.75" customHeight="1" x14ac:dyDescent="0.25"/>
    <row r="9482" ht="15.75" customHeight="1" x14ac:dyDescent="0.25"/>
    <row r="9483" ht="15.75" customHeight="1" x14ac:dyDescent="0.25"/>
    <row r="9484" ht="15.75" customHeight="1" x14ac:dyDescent="0.25"/>
    <row r="9485" ht="15.75" customHeight="1" x14ac:dyDescent="0.25"/>
    <row r="9486" ht="15.75" customHeight="1" x14ac:dyDescent="0.25"/>
    <row r="9487" ht="15.75" customHeight="1" x14ac:dyDescent="0.25"/>
    <row r="9488" ht="15.75" customHeight="1" x14ac:dyDescent="0.25"/>
    <row r="9489" ht="15.75" customHeight="1" x14ac:dyDescent="0.25"/>
    <row r="9490" ht="15.75" customHeight="1" x14ac:dyDescent="0.25"/>
    <row r="9491" ht="15.75" customHeight="1" x14ac:dyDescent="0.25"/>
    <row r="9492" ht="15.75" customHeight="1" x14ac:dyDescent="0.25"/>
    <row r="9493" ht="15.75" customHeight="1" x14ac:dyDescent="0.25"/>
    <row r="9494" ht="15.75" customHeight="1" x14ac:dyDescent="0.25"/>
    <row r="9495" ht="15.75" customHeight="1" x14ac:dyDescent="0.25"/>
    <row r="9496" ht="15.75" customHeight="1" x14ac:dyDescent="0.25"/>
    <row r="9497" ht="15.75" customHeight="1" x14ac:dyDescent="0.25"/>
    <row r="9498" ht="15.75" customHeight="1" x14ac:dyDescent="0.25"/>
    <row r="9499" ht="15.75" customHeight="1" x14ac:dyDescent="0.25"/>
    <row r="9500" ht="15.75" customHeight="1" x14ac:dyDescent="0.25"/>
    <row r="9501" ht="15.75" customHeight="1" x14ac:dyDescent="0.25"/>
    <row r="9502" ht="15.75" customHeight="1" x14ac:dyDescent="0.25"/>
    <row r="9503" ht="15.75" customHeight="1" x14ac:dyDescent="0.25"/>
    <row r="9504" ht="15.75" customHeight="1" x14ac:dyDescent="0.25"/>
    <row r="9505" ht="15.75" customHeight="1" x14ac:dyDescent="0.25"/>
    <row r="9506" ht="15.75" customHeight="1" x14ac:dyDescent="0.25"/>
    <row r="9507" ht="15.75" customHeight="1" x14ac:dyDescent="0.25"/>
    <row r="9508" ht="15.75" customHeight="1" x14ac:dyDescent="0.25"/>
    <row r="9509" ht="15.75" customHeight="1" x14ac:dyDescent="0.25"/>
    <row r="9510" ht="15.75" customHeight="1" x14ac:dyDescent="0.25"/>
    <row r="9511" ht="15.75" customHeight="1" x14ac:dyDescent="0.25"/>
    <row r="9512" ht="15.75" customHeight="1" x14ac:dyDescent="0.25"/>
    <row r="9513" ht="15.75" customHeight="1" x14ac:dyDescent="0.25"/>
    <row r="9514" ht="15.75" customHeight="1" x14ac:dyDescent="0.25"/>
    <row r="9515" ht="15.75" customHeight="1" x14ac:dyDescent="0.25"/>
    <row r="9516" ht="15.75" customHeight="1" x14ac:dyDescent="0.25"/>
    <row r="9517" ht="15.75" customHeight="1" x14ac:dyDescent="0.25"/>
    <row r="9518" ht="15.75" customHeight="1" x14ac:dyDescent="0.25"/>
    <row r="9519" ht="15.75" customHeight="1" x14ac:dyDescent="0.25"/>
    <row r="9520" ht="15.75" customHeight="1" x14ac:dyDescent="0.25"/>
    <row r="9521" ht="15.75" customHeight="1" x14ac:dyDescent="0.25"/>
    <row r="9522" ht="15.75" customHeight="1" x14ac:dyDescent="0.25"/>
    <row r="9523" ht="15.75" customHeight="1" x14ac:dyDescent="0.25"/>
    <row r="9524" ht="15.75" customHeight="1" x14ac:dyDescent="0.25"/>
    <row r="9525" ht="15.75" customHeight="1" x14ac:dyDescent="0.25"/>
    <row r="9526" ht="15.75" customHeight="1" x14ac:dyDescent="0.25"/>
    <row r="9527" ht="15.75" customHeight="1" x14ac:dyDescent="0.25"/>
    <row r="9528" ht="15.75" customHeight="1" x14ac:dyDescent="0.25"/>
    <row r="9529" ht="15.75" customHeight="1" x14ac:dyDescent="0.25"/>
    <row r="9530" ht="15.75" customHeight="1" x14ac:dyDescent="0.25"/>
    <row r="9531" ht="15.75" customHeight="1" x14ac:dyDescent="0.25"/>
    <row r="9532" ht="15.75" customHeight="1" x14ac:dyDescent="0.25"/>
    <row r="9533" ht="15.75" customHeight="1" x14ac:dyDescent="0.25"/>
    <row r="9534" ht="15.75" customHeight="1" x14ac:dyDescent="0.25"/>
    <row r="9535" ht="15.75" customHeight="1" x14ac:dyDescent="0.25"/>
    <row r="9536" ht="15.75" customHeight="1" x14ac:dyDescent="0.25"/>
    <row r="9537" ht="15.75" customHeight="1" x14ac:dyDescent="0.25"/>
    <row r="9538" ht="15.75" customHeight="1" x14ac:dyDescent="0.25"/>
    <row r="9539" ht="15.75" customHeight="1" x14ac:dyDescent="0.25"/>
    <row r="9540" ht="15.75" customHeight="1" x14ac:dyDescent="0.25"/>
    <row r="9541" ht="15.75" customHeight="1" x14ac:dyDescent="0.25"/>
    <row r="9542" ht="15.75" customHeight="1" x14ac:dyDescent="0.25"/>
    <row r="9543" ht="15.75" customHeight="1" x14ac:dyDescent="0.25"/>
    <row r="9544" ht="15.75" customHeight="1" x14ac:dyDescent="0.25"/>
    <row r="9545" ht="15.75" customHeight="1" x14ac:dyDescent="0.25"/>
    <row r="9546" ht="15.75" customHeight="1" x14ac:dyDescent="0.25"/>
    <row r="9547" ht="15.75" customHeight="1" x14ac:dyDescent="0.25"/>
    <row r="9548" ht="15.75" customHeight="1" x14ac:dyDescent="0.25"/>
    <row r="9549" ht="15.75" customHeight="1" x14ac:dyDescent="0.25"/>
    <row r="9550" ht="15.75" customHeight="1" x14ac:dyDescent="0.25"/>
    <row r="9551" ht="15.75" customHeight="1" x14ac:dyDescent="0.25"/>
    <row r="9552" ht="15.75" customHeight="1" x14ac:dyDescent="0.25"/>
    <row r="9553" ht="15.75" customHeight="1" x14ac:dyDescent="0.25"/>
    <row r="9554" ht="15.75" customHeight="1" x14ac:dyDescent="0.25"/>
    <row r="9555" ht="15.75" customHeight="1" x14ac:dyDescent="0.25"/>
    <row r="9556" ht="15.75" customHeight="1" x14ac:dyDescent="0.25"/>
    <row r="9557" ht="15.75" customHeight="1" x14ac:dyDescent="0.25"/>
    <row r="9558" ht="15.75" customHeight="1" x14ac:dyDescent="0.25"/>
    <row r="9559" ht="15.75" customHeight="1" x14ac:dyDescent="0.25"/>
    <row r="9560" ht="15.75" customHeight="1" x14ac:dyDescent="0.25"/>
    <row r="9561" ht="15.75" customHeight="1" x14ac:dyDescent="0.25"/>
    <row r="9562" ht="15.75" customHeight="1" x14ac:dyDescent="0.25"/>
    <row r="9563" ht="15.75" customHeight="1" x14ac:dyDescent="0.25"/>
    <row r="9564" ht="15.75" customHeight="1" x14ac:dyDescent="0.25"/>
    <row r="9565" ht="15.75" customHeight="1" x14ac:dyDescent="0.25"/>
    <row r="9566" ht="15.75" customHeight="1" x14ac:dyDescent="0.25"/>
    <row r="9567" ht="15.75" customHeight="1" x14ac:dyDescent="0.25"/>
    <row r="9568" ht="15.75" customHeight="1" x14ac:dyDescent="0.25"/>
    <row r="9569" ht="15.75" customHeight="1" x14ac:dyDescent="0.25"/>
    <row r="9570" ht="15.75" customHeight="1" x14ac:dyDescent="0.25"/>
    <row r="9571" ht="15.75" customHeight="1" x14ac:dyDescent="0.25"/>
    <row r="9572" ht="15.75" customHeight="1" x14ac:dyDescent="0.25"/>
    <row r="9573" ht="15.75" customHeight="1" x14ac:dyDescent="0.25"/>
    <row r="9574" ht="15.75" customHeight="1" x14ac:dyDescent="0.25"/>
    <row r="9575" ht="15.75" customHeight="1" x14ac:dyDescent="0.25"/>
    <row r="9576" ht="15.75" customHeight="1" x14ac:dyDescent="0.25"/>
    <row r="9577" ht="15.75" customHeight="1" x14ac:dyDescent="0.25"/>
    <row r="9578" ht="15.75" customHeight="1" x14ac:dyDescent="0.25"/>
    <row r="9579" ht="15.75" customHeight="1" x14ac:dyDescent="0.25"/>
    <row r="9580" ht="15.75" customHeight="1" x14ac:dyDescent="0.25"/>
    <row r="9581" ht="15.75" customHeight="1" x14ac:dyDescent="0.25"/>
    <row r="9582" ht="15.75" customHeight="1" x14ac:dyDescent="0.25"/>
    <row r="9583" ht="15.75" customHeight="1" x14ac:dyDescent="0.25"/>
    <row r="9584" ht="15.75" customHeight="1" x14ac:dyDescent="0.25"/>
    <row r="9585" ht="15.75" customHeight="1" x14ac:dyDescent="0.25"/>
    <row r="9586" ht="15.75" customHeight="1" x14ac:dyDescent="0.25"/>
    <row r="9587" ht="15.75" customHeight="1" x14ac:dyDescent="0.25"/>
    <row r="9588" ht="15.75" customHeight="1" x14ac:dyDescent="0.25"/>
    <row r="9589" ht="15.75" customHeight="1" x14ac:dyDescent="0.25"/>
    <row r="9590" ht="15.75" customHeight="1" x14ac:dyDescent="0.25"/>
    <row r="9591" ht="15.75" customHeight="1" x14ac:dyDescent="0.25"/>
    <row r="9592" ht="15.75" customHeight="1" x14ac:dyDescent="0.25"/>
    <row r="9593" ht="15.75" customHeight="1" x14ac:dyDescent="0.25"/>
    <row r="9594" ht="15.75" customHeight="1" x14ac:dyDescent="0.25"/>
    <row r="9595" ht="15.75" customHeight="1" x14ac:dyDescent="0.25"/>
    <row r="9596" ht="15.75" customHeight="1" x14ac:dyDescent="0.25"/>
    <row r="9597" ht="15.75" customHeight="1" x14ac:dyDescent="0.25"/>
    <row r="9598" ht="15.75" customHeight="1" x14ac:dyDescent="0.25"/>
    <row r="9599" ht="15.75" customHeight="1" x14ac:dyDescent="0.25"/>
    <row r="9600" ht="15.75" customHeight="1" x14ac:dyDescent="0.25"/>
    <row r="9601" ht="15.75" customHeight="1" x14ac:dyDescent="0.25"/>
    <row r="9602" ht="15.75" customHeight="1" x14ac:dyDescent="0.25"/>
    <row r="9603" ht="15.75" customHeight="1" x14ac:dyDescent="0.25"/>
    <row r="9604" ht="15.75" customHeight="1" x14ac:dyDescent="0.25"/>
    <row r="9605" ht="15.75" customHeight="1" x14ac:dyDescent="0.25"/>
    <row r="9606" ht="15.75" customHeight="1" x14ac:dyDescent="0.25"/>
    <row r="9607" ht="15.75" customHeight="1" x14ac:dyDescent="0.25"/>
    <row r="9608" ht="15.75" customHeight="1" x14ac:dyDescent="0.25"/>
    <row r="9609" ht="15.75" customHeight="1" x14ac:dyDescent="0.25"/>
    <row r="9610" ht="15.75" customHeight="1" x14ac:dyDescent="0.25"/>
    <row r="9611" ht="15.75" customHeight="1" x14ac:dyDescent="0.25"/>
    <row r="9612" ht="15.75" customHeight="1" x14ac:dyDescent="0.25"/>
    <row r="9613" ht="15.75" customHeight="1" x14ac:dyDescent="0.25"/>
    <row r="9614" ht="15.75" customHeight="1" x14ac:dyDescent="0.25"/>
    <row r="9615" ht="15.75" customHeight="1" x14ac:dyDescent="0.25"/>
    <row r="9616" ht="15.75" customHeight="1" x14ac:dyDescent="0.25"/>
    <row r="9617" ht="15.75" customHeight="1" x14ac:dyDescent="0.25"/>
    <row r="9618" ht="15.75" customHeight="1" x14ac:dyDescent="0.25"/>
    <row r="9619" ht="15.75" customHeight="1" x14ac:dyDescent="0.25"/>
    <row r="9620" ht="15.75" customHeight="1" x14ac:dyDescent="0.25"/>
    <row r="9621" ht="15.75" customHeight="1" x14ac:dyDescent="0.25"/>
    <row r="9622" ht="15.75" customHeight="1" x14ac:dyDescent="0.25"/>
    <row r="9623" ht="15.75" customHeight="1" x14ac:dyDescent="0.25"/>
    <row r="9624" ht="15.75" customHeight="1" x14ac:dyDescent="0.25"/>
    <row r="9625" ht="15.75" customHeight="1" x14ac:dyDescent="0.25"/>
    <row r="9626" ht="15.75" customHeight="1" x14ac:dyDescent="0.25"/>
    <row r="9627" ht="15.75" customHeight="1" x14ac:dyDescent="0.25"/>
    <row r="9628" ht="15.75" customHeight="1" x14ac:dyDescent="0.25"/>
    <row r="9629" ht="15.75" customHeight="1" x14ac:dyDescent="0.25"/>
    <row r="9630" ht="15.75" customHeight="1" x14ac:dyDescent="0.25"/>
    <row r="9631" ht="15.75" customHeight="1" x14ac:dyDescent="0.25"/>
    <row r="9632" ht="15.75" customHeight="1" x14ac:dyDescent="0.25"/>
    <row r="9633" ht="15.75" customHeight="1" x14ac:dyDescent="0.25"/>
    <row r="9634" ht="15.75" customHeight="1" x14ac:dyDescent="0.25"/>
    <row r="9635" ht="15.75" customHeight="1" x14ac:dyDescent="0.25"/>
    <row r="9636" ht="15.75" customHeight="1" x14ac:dyDescent="0.25"/>
    <row r="9637" ht="15.75" customHeight="1" x14ac:dyDescent="0.25"/>
    <row r="9638" ht="15.75" customHeight="1" x14ac:dyDescent="0.25"/>
    <row r="9639" ht="15.75" customHeight="1" x14ac:dyDescent="0.25"/>
    <row r="9640" ht="15.75" customHeight="1" x14ac:dyDescent="0.25"/>
    <row r="9641" ht="15.75" customHeight="1" x14ac:dyDescent="0.25"/>
    <row r="9642" ht="15.75" customHeight="1" x14ac:dyDescent="0.25"/>
    <row r="9643" ht="15.75" customHeight="1" x14ac:dyDescent="0.25"/>
    <row r="9644" ht="15.75" customHeight="1" x14ac:dyDescent="0.25"/>
    <row r="9645" ht="15.75" customHeight="1" x14ac:dyDescent="0.25"/>
    <row r="9646" ht="15.75" customHeight="1" x14ac:dyDescent="0.25"/>
    <row r="9647" ht="15.75" customHeight="1" x14ac:dyDescent="0.25"/>
    <row r="9648" ht="15.75" customHeight="1" x14ac:dyDescent="0.25"/>
    <row r="9649" ht="15.75" customHeight="1" x14ac:dyDescent="0.25"/>
    <row r="9650" ht="15.75" customHeight="1" x14ac:dyDescent="0.25"/>
    <row r="9651" ht="15.75" customHeight="1" x14ac:dyDescent="0.25"/>
    <row r="9652" ht="15.75" customHeight="1" x14ac:dyDescent="0.25"/>
    <row r="9653" ht="15.75" customHeight="1" x14ac:dyDescent="0.25"/>
    <row r="9654" ht="15.75" customHeight="1" x14ac:dyDescent="0.25"/>
    <row r="9655" ht="15.75" customHeight="1" x14ac:dyDescent="0.25"/>
    <row r="9656" ht="15.75" customHeight="1" x14ac:dyDescent="0.25"/>
    <row r="9657" ht="15.75" customHeight="1" x14ac:dyDescent="0.25"/>
    <row r="9658" ht="15.75" customHeight="1" x14ac:dyDescent="0.25"/>
    <row r="9659" ht="15.75" customHeight="1" x14ac:dyDescent="0.25"/>
    <row r="9660" ht="15.75" customHeight="1" x14ac:dyDescent="0.25"/>
    <row r="9661" ht="15.75" customHeight="1" x14ac:dyDescent="0.25"/>
    <row r="9662" ht="15.75" customHeight="1" x14ac:dyDescent="0.25"/>
    <row r="9663" ht="15.75" customHeight="1" x14ac:dyDescent="0.25"/>
    <row r="9664" ht="15.75" customHeight="1" x14ac:dyDescent="0.25"/>
    <row r="9665" ht="15.75" customHeight="1" x14ac:dyDescent="0.25"/>
    <row r="9666" ht="15.75" customHeight="1" x14ac:dyDescent="0.25"/>
    <row r="9667" ht="15.75" customHeight="1" x14ac:dyDescent="0.25"/>
    <row r="9668" ht="15.75" customHeight="1" x14ac:dyDescent="0.25"/>
    <row r="9669" ht="15.75" customHeight="1" x14ac:dyDescent="0.25"/>
    <row r="9670" ht="15.75" customHeight="1" x14ac:dyDescent="0.25"/>
    <row r="9671" ht="15.75" customHeight="1" x14ac:dyDescent="0.25"/>
    <row r="9672" ht="15.75" customHeight="1" x14ac:dyDescent="0.25"/>
    <row r="9673" ht="15.75" customHeight="1" x14ac:dyDescent="0.25"/>
    <row r="9674" ht="15.75" customHeight="1" x14ac:dyDescent="0.25"/>
    <row r="9675" ht="15.75" customHeight="1" x14ac:dyDescent="0.25"/>
    <row r="9676" ht="15.75" customHeight="1" x14ac:dyDescent="0.25"/>
    <row r="9677" ht="15.75" customHeight="1" x14ac:dyDescent="0.25"/>
    <row r="9678" ht="15.75" customHeight="1" x14ac:dyDescent="0.25"/>
    <row r="9679" ht="15.75" customHeight="1" x14ac:dyDescent="0.25"/>
    <row r="9680" ht="15.75" customHeight="1" x14ac:dyDescent="0.25"/>
    <row r="9681" ht="15.75" customHeight="1" x14ac:dyDescent="0.25"/>
    <row r="9682" ht="15.75" customHeight="1" x14ac:dyDescent="0.25"/>
    <row r="9683" ht="15.75" customHeight="1" x14ac:dyDescent="0.25"/>
    <row r="9684" ht="15.75" customHeight="1" x14ac:dyDescent="0.25"/>
    <row r="9685" ht="15.75" customHeight="1" x14ac:dyDescent="0.25"/>
    <row r="9686" ht="15.75" customHeight="1" x14ac:dyDescent="0.25"/>
    <row r="9687" ht="15.75" customHeight="1" x14ac:dyDescent="0.25"/>
    <row r="9688" ht="15.75" customHeight="1" x14ac:dyDescent="0.25"/>
    <row r="9689" ht="15.75" customHeight="1" x14ac:dyDescent="0.25"/>
    <row r="9690" ht="15.75" customHeight="1" x14ac:dyDescent="0.25"/>
    <row r="9691" ht="15.75" customHeight="1" x14ac:dyDescent="0.25"/>
    <row r="9692" ht="15.75" customHeight="1" x14ac:dyDescent="0.25"/>
    <row r="9693" ht="15.75" customHeight="1" x14ac:dyDescent="0.25"/>
    <row r="9694" ht="15.75" customHeight="1" x14ac:dyDescent="0.25"/>
    <row r="9695" ht="15.75" customHeight="1" x14ac:dyDescent="0.25"/>
    <row r="9696" ht="15.75" customHeight="1" x14ac:dyDescent="0.25"/>
    <row r="9697" ht="15.75" customHeight="1" x14ac:dyDescent="0.25"/>
    <row r="9698" ht="15.75" customHeight="1" x14ac:dyDescent="0.25"/>
    <row r="9699" ht="15.75" customHeight="1" x14ac:dyDescent="0.25"/>
    <row r="9700" ht="15.75" customHeight="1" x14ac:dyDescent="0.25"/>
    <row r="9701" ht="15.75" customHeight="1" x14ac:dyDescent="0.25"/>
    <row r="9702" ht="15.75" customHeight="1" x14ac:dyDescent="0.25"/>
    <row r="9703" ht="15.75" customHeight="1" x14ac:dyDescent="0.25"/>
    <row r="9704" ht="15.75" customHeight="1" x14ac:dyDescent="0.25"/>
    <row r="9705" ht="15.75" customHeight="1" x14ac:dyDescent="0.25"/>
    <row r="9706" ht="15.75" customHeight="1" x14ac:dyDescent="0.25"/>
    <row r="9707" ht="15.75" customHeight="1" x14ac:dyDescent="0.25"/>
    <row r="9708" ht="15.75" customHeight="1" x14ac:dyDescent="0.25"/>
    <row r="9709" ht="15.75" customHeight="1" x14ac:dyDescent="0.25"/>
    <row r="9710" ht="15.75" customHeight="1" x14ac:dyDescent="0.25"/>
    <row r="9711" ht="15.75" customHeight="1" x14ac:dyDescent="0.25"/>
    <row r="9712" ht="15.75" customHeight="1" x14ac:dyDescent="0.25"/>
    <row r="9713" ht="15.75" customHeight="1" x14ac:dyDescent="0.25"/>
    <row r="9714" ht="15.75" customHeight="1" x14ac:dyDescent="0.25"/>
    <row r="9715" ht="15.75" customHeight="1" x14ac:dyDescent="0.25"/>
    <row r="9716" ht="15.75" customHeight="1" x14ac:dyDescent="0.25"/>
    <row r="9717" ht="15.75" customHeight="1" x14ac:dyDescent="0.25"/>
    <row r="9718" ht="15.75" customHeight="1" x14ac:dyDescent="0.25"/>
    <row r="9719" ht="15.75" customHeight="1" x14ac:dyDescent="0.25"/>
    <row r="9720" ht="15.75" customHeight="1" x14ac:dyDescent="0.25"/>
    <row r="9721" ht="15.75" customHeight="1" x14ac:dyDescent="0.25"/>
    <row r="9722" ht="15.75" customHeight="1" x14ac:dyDescent="0.25"/>
    <row r="9723" ht="15.75" customHeight="1" x14ac:dyDescent="0.25"/>
    <row r="9724" ht="15.75" customHeight="1" x14ac:dyDescent="0.25"/>
    <row r="9725" ht="15.75" customHeight="1" x14ac:dyDescent="0.25"/>
    <row r="9726" ht="15.75" customHeight="1" x14ac:dyDescent="0.25"/>
    <row r="9727" ht="15.75" customHeight="1" x14ac:dyDescent="0.25"/>
    <row r="9728" ht="15.75" customHeight="1" x14ac:dyDescent="0.25"/>
    <row r="9729" ht="15.75" customHeight="1" x14ac:dyDescent="0.25"/>
    <row r="9730" ht="15.75" customHeight="1" x14ac:dyDescent="0.25"/>
    <row r="9731" ht="15.75" customHeight="1" x14ac:dyDescent="0.25"/>
    <row r="9732" ht="15.75" customHeight="1" x14ac:dyDescent="0.25"/>
    <row r="9733" ht="15.75" customHeight="1" x14ac:dyDescent="0.25"/>
    <row r="9734" ht="15.75" customHeight="1" x14ac:dyDescent="0.25"/>
    <row r="9735" ht="15.75" customHeight="1" x14ac:dyDescent="0.25"/>
    <row r="9736" ht="15.75" customHeight="1" x14ac:dyDescent="0.25"/>
    <row r="9737" ht="15.75" customHeight="1" x14ac:dyDescent="0.25"/>
    <row r="9738" ht="15.75" customHeight="1" x14ac:dyDescent="0.25"/>
    <row r="9739" ht="15.75" customHeight="1" x14ac:dyDescent="0.25"/>
    <row r="9740" ht="15.75" customHeight="1" x14ac:dyDescent="0.25"/>
    <row r="9741" ht="15.75" customHeight="1" x14ac:dyDescent="0.25"/>
    <row r="9742" ht="15.75" customHeight="1" x14ac:dyDescent="0.25"/>
    <row r="9743" ht="15.75" customHeight="1" x14ac:dyDescent="0.25"/>
    <row r="9744" ht="15.75" customHeight="1" x14ac:dyDescent="0.25"/>
    <row r="9745" ht="15.75" customHeight="1" x14ac:dyDescent="0.25"/>
    <row r="9746" ht="15.75" customHeight="1" x14ac:dyDescent="0.25"/>
    <row r="9747" ht="15.75" customHeight="1" x14ac:dyDescent="0.25"/>
    <row r="9748" ht="15.75" customHeight="1" x14ac:dyDescent="0.25"/>
    <row r="9749" ht="15.75" customHeight="1" x14ac:dyDescent="0.25"/>
    <row r="9750" ht="15.75" customHeight="1" x14ac:dyDescent="0.25"/>
    <row r="9751" ht="15.75" customHeight="1" x14ac:dyDescent="0.25"/>
    <row r="9752" ht="15.75" customHeight="1" x14ac:dyDescent="0.25"/>
    <row r="9753" ht="15.75" customHeight="1" x14ac:dyDescent="0.25"/>
    <row r="9754" ht="15.75" customHeight="1" x14ac:dyDescent="0.25"/>
    <row r="9755" ht="15.75" customHeight="1" x14ac:dyDescent="0.25"/>
    <row r="9756" ht="15.75" customHeight="1" x14ac:dyDescent="0.25"/>
    <row r="9757" ht="15.75" customHeight="1" x14ac:dyDescent="0.25"/>
    <row r="9758" ht="15.75" customHeight="1" x14ac:dyDescent="0.25"/>
    <row r="9759" ht="15.75" customHeight="1" x14ac:dyDescent="0.25"/>
    <row r="9760" ht="15.75" customHeight="1" x14ac:dyDescent="0.25"/>
    <row r="9761" ht="15.75" customHeight="1" x14ac:dyDescent="0.25"/>
    <row r="9762" ht="15.75" customHeight="1" x14ac:dyDescent="0.25"/>
    <row r="9763" ht="15.75" customHeight="1" x14ac:dyDescent="0.25"/>
    <row r="9764" ht="15.75" customHeight="1" x14ac:dyDescent="0.25"/>
    <row r="9765" ht="15.75" customHeight="1" x14ac:dyDescent="0.25"/>
    <row r="9766" ht="15.75" customHeight="1" x14ac:dyDescent="0.25"/>
    <row r="9767" ht="15.75" customHeight="1" x14ac:dyDescent="0.25"/>
    <row r="9768" ht="15.75" customHeight="1" x14ac:dyDescent="0.25"/>
    <row r="9769" ht="15.75" customHeight="1" x14ac:dyDescent="0.25"/>
    <row r="9770" ht="15.75" customHeight="1" x14ac:dyDescent="0.25"/>
    <row r="9771" ht="15.75" customHeight="1" x14ac:dyDescent="0.25"/>
    <row r="9772" ht="15.75" customHeight="1" x14ac:dyDescent="0.25"/>
    <row r="9773" ht="15.75" customHeight="1" x14ac:dyDescent="0.25"/>
    <row r="9774" ht="15.75" customHeight="1" x14ac:dyDescent="0.25"/>
    <row r="9775" ht="15.75" customHeight="1" x14ac:dyDescent="0.25"/>
    <row r="9776" ht="15.75" customHeight="1" x14ac:dyDescent="0.25"/>
    <row r="9777" ht="15.75" customHeight="1" x14ac:dyDescent="0.25"/>
    <row r="9778" ht="15.75" customHeight="1" x14ac:dyDescent="0.25"/>
    <row r="9779" ht="15.75" customHeight="1" x14ac:dyDescent="0.25"/>
    <row r="9780" ht="15.75" customHeight="1" x14ac:dyDescent="0.25"/>
    <row r="9781" ht="15.75" customHeight="1" x14ac:dyDescent="0.25"/>
    <row r="9782" ht="15.75" customHeight="1" x14ac:dyDescent="0.25"/>
    <row r="9783" ht="15.75" customHeight="1" x14ac:dyDescent="0.25"/>
    <row r="9784" ht="15.75" customHeight="1" x14ac:dyDescent="0.25"/>
    <row r="9785" ht="15.75" customHeight="1" x14ac:dyDescent="0.25"/>
    <row r="9786" ht="15.75" customHeight="1" x14ac:dyDescent="0.25"/>
    <row r="9787" ht="15.75" customHeight="1" x14ac:dyDescent="0.25"/>
    <row r="9788" ht="15.75" customHeight="1" x14ac:dyDescent="0.25"/>
    <row r="9789" ht="15.75" customHeight="1" x14ac:dyDescent="0.25"/>
    <row r="9790" ht="15.75" customHeight="1" x14ac:dyDescent="0.25"/>
    <row r="9791" ht="15.75" customHeight="1" x14ac:dyDescent="0.25"/>
    <row r="9792" ht="15.75" customHeight="1" x14ac:dyDescent="0.25"/>
    <row r="9793" ht="15.75" customHeight="1" x14ac:dyDescent="0.25"/>
    <row r="9794" ht="15.75" customHeight="1" x14ac:dyDescent="0.25"/>
    <row r="9795" ht="15.75" customHeight="1" x14ac:dyDescent="0.25"/>
    <row r="9796" ht="15.75" customHeight="1" x14ac:dyDescent="0.25"/>
    <row r="9797" ht="15.75" customHeight="1" x14ac:dyDescent="0.25"/>
    <row r="9798" ht="15.75" customHeight="1" x14ac:dyDescent="0.25"/>
    <row r="9799" ht="15.75" customHeight="1" x14ac:dyDescent="0.25"/>
    <row r="9800" ht="15.75" customHeight="1" x14ac:dyDescent="0.25"/>
    <row r="9801" ht="15.75" customHeight="1" x14ac:dyDescent="0.25"/>
    <row r="9802" ht="15.75" customHeight="1" x14ac:dyDescent="0.25"/>
    <row r="9803" ht="15.75" customHeight="1" x14ac:dyDescent="0.25"/>
    <row r="9804" ht="15.75" customHeight="1" x14ac:dyDescent="0.25"/>
    <row r="9805" ht="15.75" customHeight="1" x14ac:dyDescent="0.25"/>
    <row r="9806" ht="15.75" customHeight="1" x14ac:dyDescent="0.25"/>
    <row r="9807" ht="15.75" customHeight="1" x14ac:dyDescent="0.25"/>
    <row r="9808" ht="15.75" customHeight="1" x14ac:dyDescent="0.25"/>
    <row r="9809" ht="15.75" customHeight="1" x14ac:dyDescent="0.25"/>
    <row r="9810" ht="15.75" customHeight="1" x14ac:dyDescent="0.25"/>
    <row r="9811" ht="15.75" customHeight="1" x14ac:dyDescent="0.25"/>
    <row r="9812" ht="15.75" customHeight="1" x14ac:dyDescent="0.25"/>
    <row r="9813" ht="15.75" customHeight="1" x14ac:dyDescent="0.25"/>
    <row r="9814" ht="15.75" customHeight="1" x14ac:dyDescent="0.25"/>
    <row r="9815" ht="15.75" customHeight="1" x14ac:dyDescent="0.25"/>
    <row r="9816" ht="15.75" customHeight="1" x14ac:dyDescent="0.25"/>
    <row r="9817" ht="15.75" customHeight="1" x14ac:dyDescent="0.25"/>
    <row r="9818" ht="15.75" customHeight="1" x14ac:dyDescent="0.25"/>
    <row r="9819" ht="15.75" customHeight="1" x14ac:dyDescent="0.25"/>
    <row r="9820" ht="15.75" customHeight="1" x14ac:dyDescent="0.25"/>
    <row r="9821" ht="15.75" customHeight="1" x14ac:dyDescent="0.25"/>
    <row r="9822" ht="15.75" customHeight="1" x14ac:dyDescent="0.25"/>
    <row r="9823" ht="15.75" customHeight="1" x14ac:dyDescent="0.25"/>
    <row r="9824" ht="15.75" customHeight="1" x14ac:dyDescent="0.25"/>
    <row r="9825" ht="15.75" customHeight="1" x14ac:dyDescent="0.25"/>
    <row r="9826" ht="15.75" customHeight="1" x14ac:dyDescent="0.25"/>
    <row r="9827" ht="15.75" customHeight="1" x14ac:dyDescent="0.25"/>
    <row r="9828" ht="15.75" customHeight="1" x14ac:dyDescent="0.25"/>
    <row r="9829" ht="15.75" customHeight="1" x14ac:dyDescent="0.25"/>
    <row r="9830" ht="15.75" customHeight="1" x14ac:dyDescent="0.25"/>
    <row r="9831" ht="15.75" customHeight="1" x14ac:dyDescent="0.25"/>
    <row r="9832" ht="15.75" customHeight="1" x14ac:dyDescent="0.25"/>
    <row r="9833" ht="15.75" customHeight="1" x14ac:dyDescent="0.25"/>
    <row r="9834" ht="15.75" customHeight="1" x14ac:dyDescent="0.25"/>
    <row r="9835" ht="15.75" customHeight="1" x14ac:dyDescent="0.25"/>
    <row r="9836" ht="15.75" customHeight="1" x14ac:dyDescent="0.25"/>
    <row r="9837" ht="15.75" customHeight="1" x14ac:dyDescent="0.25"/>
    <row r="9838" ht="15.75" customHeight="1" x14ac:dyDescent="0.25"/>
    <row r="9839" ht="15.75" customHeight="1" x14ac:dyDescent="0.25"/>
    <row r="9840" ht="15.75" customHeight="1" x14ac:dyDescent="0.25"/>
    <row r="9841" ht="15.75" customHeight="1" x14ac:dyDescent="0.25"/>
    <row r="9842" ht="15.75" customHeight="1" x14ac:dyDescent="0.25"/>
    <row r="9843" ht="15.75" customHeight="1" x14ac:dyDescent="0.25"/>
    <row r="9844" ht="15.75" customHeight="1" x14ac:dyDescent="0.25"/>
    <row r="9845" ht="15.75" customHeight="1" x14ac:dyDescent="0.25"/>
    <row r="9846" ht="15.75" customHeight="1" x14ac:dyDescent="0.25"/>
    <row r="9847" ht="15.75" customHeight="1" x14ac:dyDescent="0.25"/>
    <row r="9848" ht="15.75" customHeight="1" x14ac:dyDescent="0.25"/>
    <row r="9849" ht="15.75" customHeight="1" x14ac:dyDescent="0.25"/>
    <row r="9850" ht="15.75" customHeight="1" x14ac:dyDescent="0.25"/>
    <row r="9851" ht="15.75" customHeight="1" x14ac:dyDescent="0.25"/>
    <row r="9852" ht="15.75" customHeight="1" x14ac:dyDescent="0.25"/>
    <row r="9853" ht="15.75" customHeight="1" x14ac:dyDescent="0.25"/>
    <row r="9854" ht="15.75" customHeight="1" x14ac:dyDescent="0.25"/>
    <row r="9855" ht="15.75" customHeight="1" x14ac:dyDescent="0.25"/>
    <row r="9856" ht="15.75" customHeight="1" x14ac:dyDescent="0.25"/>
    <row r="9857" ht="15.75" customHeight="1" x14ac:dyDescent="0.25"/>
    <row r="9858" ht="15.75" customHeight="1" x14ac:dyDescent="0.25"/>
    <row r="9859" ht="15.75" customHeight="1" x14ac:dyDescent="0.25"/>
    <row r="9860" ht="15.75" customHeight="1" x14ac:dyDescent="0.25"/>
    <row r="9861" ht="15.75" customHeight="1" x14ac:dyDescent="0.25"/>
    <row r="9862" ht="15.75" customHeight="1" x14ac:dyDescent="0.25"/>
    <row r="9863" ht="15.75" customHeight="1" x14ac:dyDescent="0.25"/>
    <row r="9864" ht="15.75" customHeight="1" x14ac:dyDescent="0.25"/>
    <row r="9865" ht="15.75" customHeight="1" x14ac:dyDescent="0.25"/>
    <row r="9866" ht="15.75" customHeight="1" x14ac:dyDescent="0.25"/>
    <row r="9867" ht="15.75" customHeight="1" x14ac:dyDescent="0.25"/>
    <row r="9868" ht="15.75" customHeight="1" x14ac:dyDescent="0.25"/>
    <row r="9869" ht="15.75" customHeight="1" x14ac:dyDescent="0.25"/>
    <row r="9870" ht="15.75" customHeight="1" x14ac:dyDescent="0.25"/>
    <row r="9871" ht="15.75" customHeight="1" x14ac:dyDescent="0.25"/>
    <row r="9872" ht="15.75" customHeight="1" x14ac:dyDescent="0.25"/>
    <row r="9873" ht="15.75" customHeight="1" x14ac:dyDescent="0.25"/>
    <row r="9874" ht="15.75" customHeight="1" x14ac:dyDescent="0.25"/>
    <row r="9875" ht="15.75" customHeight="1" x14ac:dyDescent="0.25"/>
    <row r="9876" ht="15.75" customHeight="1" x14ac:dyDescent="0.25"/>
    <row r="9877" ht="15.75" customHeight="1" x14ac:dyDescent="0.25"/>
    <row r="9878" ht="15.75" customHeight="1" x14ac:dyDescent="0.25"/>
    <row r="9879" ht="15.75" customHeight="1" x14ac:dyDescent="0.25"/>
    <row r="9880" ht="15.75" customHeight="1" x14ac:dyDescent="0.25"/>
    <row r="9881" ht="15.75" customHeight="1" x14ac:dyDescent="0.25"/>
    <row r="9882" ht="15.75" customHeight="1" x14ac:dyDescent="0.25"/>
    <row r="9883" ht="15.75" customHeight="1" x14ac:dyDescent="0.25"/>
    <row r="9884" ht="15.75" customHeight="1" x14ac:dyDescent="0.25"/>
    <row r="9885" ht="15.75" customHeight="1" x14ac:dyDescent="0.25"/>
    <row r="9886" ht="15.75" customHeight="1" x14ac:dyDescent="0.25"/>
    <row r="9887" ht="15.75" customHeight="1" x14ac:dyDescent="0.25"/>
    <row r="9888" ht="15.75" customHeight="1" x14ac:dyDescent="0.25"/>
    <row r="9889" ht="15.75" customHeight="1" x14ac:dyDescent="0.25"/>
    <row r="9890" ht="15.75" customHeight="1" x14ac:dyDescent="0.25"/>
    <row r="9891" ht="15.75" customHeight="1" x14ac:dyDescent="0.25"/>
    <row r="9892" ht="15.75" customHeight="1" x14ac:dyDescent="0.25"/>
    <row r="9893" ht="15.75" customHeight="1" x14ac:dyDescent="0.25"/>
    <row r="9894" ht="15.75" customHeight="1" x14ac:dyDescent="0.25"/>
    <row r="9895" ht="15.75" customHeight="1" x14ac:dyDescent="0.25"/>
    <row r="9896" ht="15.75" customHeight="1" x14ac:dyDescent="0.25"/>
    <row r="9897" ht="15.75" customHeight="1" x14ac:dyDescent="0.25"/>
    <row r="9898" ht="15.75" customHeight="1" x14ac:dyDescent="0.25"/>
    <row r="9899" ht="15.75" customHeight="1" x14ac:dyDescent="0.25"/>
    <row r="9900" ht="15.75" customHeight="1" x14ac:dyDescent="0.25"/>
    <row r="9901" ht="15.75" customHeight="1" x14ac:dyDescent="0.25"/>
    <row r="9902" ht="15.75" customHeight="1" x14ac:dyDescent="0.25"/>
    <row r="9903" ht="15.75" customHeight="1" x14ac:dyDescent="0.25"/>
    <row r="9904" ht="15.75" customHeight="1" x14ac:dyDescent="0.25"/>
    <row r="9905" ht="15.75" customHeight="1" x14ac:dyDescent="0.25"/>
    <row r="9906" ht="15.75" customHeight="1" x14ac:dyDescent="0.25"/>
    <row r="9907" ht="15.75" customHeight="1" x14ac:dyDescent="0.25"/>
    <row r="9908" ht="15.75" customHeight="1" x14ac:dyDescent="0.25"/>
    <row r="9909" ht="15.75" customHeight="1" x14ac:dyDescent="0.25"/>
    <row r="9910" ht="15.75" customHeight="1" x14ac:dyDescent="0.25"/>
    <row r="9911" ht="15.75" customHeight="1" x14ac:dyDescent="0.25"/>
    <row r="9912" ht="15.75" customHeight="1" x14ac:dyDescent="0.25"/>
    <row r="9913" ht="15.75" customHeight="1" x14ac:dyDescent="0.25"/>
    <row r="9914" ht="15.75" customHeight="1" x14ac:dyDescent="0.25"/>
    <row r="9915" ht="15.75" customHeight="1" x14ac:dyDescent="0.25"/>
    <row r="9916" ht="15.75" customHeight="1" x14ac:dyDescent="0.25"/>
    <row r="9917" ht="15.75" customHeight="1" x14ac:dyDescent="0.25"/>
    <row r="9918" ht="15.75" customHeight="1" x14ac:dyDescent="0.25"/>
    <row r="9919" ht="15.75" customHeight="1" x14ac:dyDescent="0.25"/>
    <row r="9920" ht="15.75" customHeight="1" x14ac:dyDescent="0.25"/>
    <row r="9921" ht="15.75" customHeight="1" x14ac:dyDescent="0.25"/>
    <row r="9922" ht="15.75" customHeight="1" x14ac:dyDescent="0.25"/>
    <row r="9923" ht="15.75" customHeight="1" x14ac:dyDescent="0.25"/>
    <row r="9924" ht="15.75" customHeight="1" x14ac:dyDescent="0.25"/>
    <row r="9925" ht="15.75" customHeight="1" x14ac:dyDescent="0.25"/>
    <row r="9926" ht="15.75" customHeight="1" x14ac:dyDescent="0.25"/>
    <row r="9927" ht="15.75" customHeight="1" x14ac:dyDescent="0.25"/>
    <row r="9928" ht="15.75" customHeight="1" x14ac:dyDescent="0.25"/>
    <row r="9929" ht="15.75" customHeight="1" x14ac:dyDescent="0.25"/>
    <row r="9930" ht="15.75" customHeight="1" x14ac:dyDescent="0.25"/>
    <row r="9931" ht="15.75" customHeight="1" x14ac:dyDescent="0.25"/>
    <row r="9932" ht="15.75" customHeight="1" x14ac:dyDescent="0.25"/>
    <row r="9933" ht="15.75" customHeight="1" x14ac:dyDescent="0.25"/>
    <row r="9934" ht="15.75" customHeight="1" x14ac:dyDescent="0.25"/>
    <row r="9935" ht="15.75" customHeight="1" x14ac:dyDescent="0.25"/>
    <row r="9936" ht="15.75" customHeight="1" x14ac:dyDescent="0.25"/>
    <row r="9937" ht="15.75" customHeight="1" x14ac:dyDescent="0.25"/>
    <row r="9938" ht="15.75" customHeight="1" x14ac:dyDescent="0.25"/>
    <row r="9939" ht="15.75" customHeight="1" x14ac:dyDescent="0.25"/>
    <row r="9940" ht="15.75" customHeight="1" x14ac:dyDescent="0.25"/>
    <row r="9941" ht="15.75" customHeight="1" x14ac:dyDescent="0.25"/>
    <row r="9942" ht="15.75" customHeight="1" x14ac:dyDescent="0.25"/>
    <row r="9943" ht="15.75" customHeight="1" x14ac:dyDescent="0.25"/>
    <row r="9944" ht="15.75" customHeight="1" x14ac:dyDescent="0.25"/>
    <row r="9945" ht="15.75" customHeight="1" x14ac:dyDescent="0.25"/>
    <row r="9946" ht="15.75" customHeight="1" x14ac:dyDescent="0.25"/>
    <row r="9947" ht="15.75" customHeight="1" x14ac:dyDescent="0.25"/>
    <row r="9948" ht="15.75" customHeight="1" x14ac:dyDescent="0.25"/>
    <row r="9949" ht="15.75" customHeight="1" x14ac:dyDescent="0.25"/>
    <row r="9950" ht="15.75" customHeight="1" x14ac:dyDescent="0.25"/>
    <row r="9951" ht="15.75" customHeight="1" x14ac:dyDescent="0.25"/>
    <row r="9952" ht="15.75" customHeight="1" x14ac:dyDescent="0.25"/>
    <row r="9953" ht="15.75" customHeight="1" x14ac:dyDescent="0.25"/>
    <row r="9954" ht="15.75" customHeight="1" x14ac:dyDescent="0.25"/>
    <row r="9955" ht="15.75" customHeight="1" x14ac:dyDescent="0.25"/>
    <row r="9956" ht="15.75" customHeight="1" x14ac:dyDescent="0.25"/>
    <row r="9957" ht="15.75" customHeight="1" x14ac:dyDescent="0.25"/>
    <row r="9958" ht="15.75" customHeight="1" x14ac:dyDescent="0.25"/>
    <row r="9959" ht="15.75" customHeight="1" x14ac:dyDescent="0.25"/>
    <row r="9960" ht="15.75" customHeight="1" x14ac:dyDescent="0.25"/>
    <row r="9961" ht="15.75" customHeight="1" x14ac:dyDescent="0.25"/>
    <row r="9962" ht="15.75" customHeight="1" x14ac:dyDescent="0.25"/>
    <row r="9963" ht="15.75" customHeight="1" x14ac:dyDescent="0.25"/>
    <row r="9964" ht="15.75" customHeight="1" x14ac:dyDescent="0.25"/>
    <row r="9965" ht="15.75" customHeight="1" x14ac:dyDescent="0.25"/>
    <row r="9966" ht="15.75" customHeight="1" x14ac:dyDescent="0.25"/>
    <row r="9967" ht="15.75" customHeight="1" x14ac:dyDescent="0.25"/>
    <row r="9968" ht="15.75" customHeight="1" x14ac:dyDescent="0.25"/>
    <row r="9969" ht="15.75" customHeight="1" x14ac:dyDescent="0.25"/>
    <row r="9970" ht="15.75" customHeight="1" x14ac:dyDescent="0.25"/>
    <row r="9971" ht="15.75" customHeight="1" x14ac:dyDescent="0.25"/>
    <row r="9972" ht="15.75" customHeight="1" x14ac:dyDescent="0.25"/>
    <row r="9973" ht="15.75" customHeight="1" x14ac:dyDescent="0.25"/>
    <row r="9974" ht="15.75" customHeight="1" x14ac:dyDescent="0.25"/>
    <row r="9975" ht="15.75" customHeight="1" x14ac:dyDescent="0.25"/>
    <row r="9976" ht="15.75" customHeight="1" x14ac:dyDescent="0.25"/>
    <row r="9977" ht="15.75" customHeight="1" x14ac:dyDescent="0.25"/>
    <row r="9978" ht="15.75" customHeight="1" x14ac:dyDescent="0.25"/>
    <row r="9979" ht="15.75" customHeight="1" x14ac:dyDescent="0.25"/>
    <row r="9980" ht="15.75" customHeight="1" x14ac:dyDescent="0.25"/>
    <row r="9981" ht="15.75" customHeight="1" x14ac:dyDescent="0.25"/>
    <row r="9982" ht="15.75" customHeight="1" x14ac:dyDescent="0.25"/>
    <row r="9983" ht="15.75" customHeight="1" x14ac:dyDescent="0.25"/>
    <row r="9984" ht="15.75" customHeight="1" x14ac:dyDescent="0.25"/>
    <row r="9985" ht="15.75" customHeight="1" x14ac:dyDescent="0.25"/>
    <row r="9986" ht="15.75" customHeight="1" x14ac:dyDescent="0.25"/>
    <row r="9987" ht="15.75" customHeight="1" x14ac:dyDescent="0.25"/>
    <row r="9988" ht="15.75" customHeight="1" x14ac:dyDescent="0.25"/>
    <row r="9989" ht="15.75" customHeight="1" x14ac:dyDescent="0.25"/>
    <row r="9990" ht="15.75" customHeight="1" x14ac:dyDescent="0.25"/>
    <row r="9991" ht="15.75" customHeight="1" x14ac:dyDescent="0.25"/>
    <row r="9992" ht="15.75" customHeight="1" x14ac:dyDescent="0.25"/>
    <row r="9993" ht="15.75" customHeight="1" x14ac:dyDescent="0.25"/>
    <row r="9994" ht="15.75" customHeight="1" x14ac:dyDescent="0.25"/>
    <row r="9995" ht="15.75" customHeight="1" x14ac:dyDescent="0.25"/>
    <row r="9996" ht="15.75" customHeight="1" x14ac:dyDescent="0.25"/>
    <row r="9997" ht="15.75" customHeight="1" x14ac:dyDescent="0.25"/>
    <row r="9998" ht="15.75" customHeight="1" x14ac:dyDescent="0.25"/>
    <row r="9999" ht="15.75" customHeight="1" x14ac:dyDescent="0.25"/>
    <row r="10000" ht="15.75" customHeight="1" x14ac:dyDescent="0.25"/>
    <row r="10001" ht="15.75" customHeight="1" x14ac:dyDescent="0.25"/>
    <row r="10002" ht="15.75" customHeight="1" x14ac:dyDescent="0.25"/>
    <row r="10003" ht="15.75" customHeight="1" x14ac:dyDescent="0.25"/>
    <row r="10004" ht="15.75" customHeight="1" x14ac:dyDescent="0.25"/>
    <row r="10005" ht="15.75" customHeight="1" x14ac:dyDescent="0.25"/>
    <row r="10006" ht="15.75" customHeight="1" x14ac:dyDescent="0.25"/>
    <row r="10007" ht="15.75" customHeight="1" x14ac:dyDescent="0.25"/>
    <row r="10008" ht="15.75" customHeight="1" x14ac:dyDescent="0.25"/>
    <row r="10009" ht="15.75" customHeight="1" x14ac:dyDescent="0.25"/>
    <row r="10010" ht="15.75" customHeight="1" x14ac:dyDescent="0.25"/>
    <row r="10011" ht="15.75" customHeight="1" x14ac:dyDescent="0.25"/>
    <row r="10012" ht="15.75" customHeight="1" x14ac:dyDescent="0.25"/>
    <row r="10013" ht="15.75" customHeight="1" x14ac:dyDescent="0.25"/>
    <row r="10014" ht="15.75" customHeight="1" x14ac:dyDescent="0.25"/>
    <row r="10015" ht="15.75" customHeight="1" x14ac:dyDescent="0.25"/>
    <row r="10016" ht="15.75" customHeight="1" x14ac:dyDescent="0.25"/>
    <row r="10017" ht="15.75" customHeight="1" x14ac:dyDescent="0.25"/>
    <row r="10018" ht="15.75" customHeight="1" x14ac:dyDescent="0.25"/>
    <row r="10019" ht="15.75" customHeight="1" x14ac:dyDescent="0.25"/>
    <row r="10020" ht="15.75" customHeight="1" x14ac:dyDescent="0.25"/>
    <row r="10021" ht="15.75" customHeight="1" x14ac:dyDescent="0.25"/>
    <row r="10022" ht="15.75" customHeight="1" x14ac:dyDescent="0.25"/>
    <row r="10023" ht="15.75" customHeight="1" x14ac:dyDescent="0.25"/>
    <row r="10024" ht="15.75" customHeight="1" x14ac:dyDescent="0.25"/>
    <row r="10025" ht="15.75" customHeight="1" x14ac:dyDescent="0.25"/>
    <row r="10026" ht="15.75" customHeight="1" x14ac:dyDescent="0.25"/>
    <row r="10027" ht="15.75" customHeight="1" x14ac:dyDescent="0.25"/>
    <row r="10028" ht="15.75" customHeight="1" x14ac:dyDescent="0.25"/>
    <row r="10029" ht="15.75" customHeight="1" x14ac:dyDescent="0.25"/>
    <row r="10030" ht="15.75" customHeight="1" x14ac:dyDescent="0.25"/>
    <row r="10031" ht="15.75" customHeight="1" x14ac:dyDescent="0.25"/>
    <row r="10032" ht="15.75" customHeight="1" x14ac:dyDescent="0.25"/>
    <row r="10033" ht="15.75" customHeight="1" x14ac:dyDescent="0.25"/>
    <row r="10034" ht="15.75" customHeight="1" x14ac:dyDescent="0.25"/>
    <row r="10035" ht="15.75" customHeight="1" x14ac:dyDescent="0.25"/>
    <row r="10036" ht="15.75" customHeight="1" x14ac:dyDescent="0.25"/>
    <row r="10037" ht="15.75" customHeight="1" x14ac:dyDescent="0.25"/>
    <row r="10038" ht="15.75" customHeight="1" x14ac:dyDescent="0.25"/>
    <row r="10039" ht="15.75" customHeight="1" x14ac:dyDescent="0.25"/>
    <row r="10040" ht="15.75" customHeight="1" x14ac:dyDescent="0.25"/>
    <row r="10041" ht="15.75" customHeight="1" x14ac:dyDescent="0.25"/>
    <row r="10042" ht="15.75" customHeight="1" x14ac:dyDescent="0.25"/>
    <row r="10043" ht="15.75" customHeight="1" x14ac:dyDescent="0.25"/>
    <row r="10044" ht="15.75" customHeight="1" x14ac:dyDescent="0.25"/>
    <row r="10045" ht="15.75" customHeight="1" x14ac:dyDescent="0.25"/>
    <row r="10046" ht="15.75" customHeight="1" x14ac:dyDescent="0.25"/>
    <row r="10047" ht="15.75" customHeight="1" x14ac:dyDescent="0.25"/>
    <row r="10048" ht="15.75" customHeight="1" x14ac:dyDescent="0.25"/>
    <row r="10049" ht="15.75" customHeight="1" x14ac:dyDescent="0.25"/>
    <row r="10050" ht="15.75" customHeight="1" x14ac:dyDescent="0.25"/>
    <row r="10051" ht="15.75" customHeight="1" x14ac:dyDescent="0.25"/>
    <row r="10052" ht="15.75" customHeight="1" x14ac:dyDescent="0.25"/>
    <row r="10053" ht="15.75" customHeight="1" x14ac:dyDescent="0.25"/>
    <row r="10054" ht="15.75" customHeight="1" x14ac:dyDescent="0.25"/>
    <row r="10055" ht="15.75" customHeight="1" x14ac:dyDescent="0.25"/>
    <row r="10056" ht="15.75" customHeight="1" x14ac:dyDescent="0.25"/>
    <row r="10057" ht="15.75" customHeight="1" x14ac:dyDescent="0.25"/>
    <row r="10058" ht="15.75" customHeight="1" x14ac:dyDescent="0.25"/>
    <row r="10059" ht="15.75" customHeight="1" x14ac:dyDescent="0.25"/>
    <row r="10060" ht="15.75" customHeight="1" x14ac:dyDescent="0.25"/>
    <row r="10061" ht="15.75" customHeight="1" x14ac:dyDescent="0.25"/>
    <row r="10062" ht="15.75" customHeight="1" x14ac:dyDescent="0.25"/>
    <row r="10063" ht="15.75" customHeight="1" x14ac:dyDescent="0.25"/>
    <row r="10064" ht="15.75" customHeight="1" x14ac:dyDescent="0.25"/>
    <row r="10065" ht="15.75" customHeight="1" x14ac:dyDescent="0.25"/>
    <row r="10066" ht="15.75" customHeight="1" x14ac:dyDescent="0.25"/>
    <row r="10067" ht="15.75" customHeight="1" x14ac:dyDescent="0.25"/>
    <row r="10068" ht="15.75" customHeight="1" x14ac:dyDescent="0.25"/>
    <row r="10069" ht="15.75" customHeight="1" x14ac:dyDescent="0.25"/>
    <row r="10070" ht="15.75" customHeight="1" x14ac:dyDescent="0.25"/>
    <row r="10071" ht="15.75" customHeight="1" x14ac:dyDescent="0.25"/>
    <row r="10072" ht="15.75" customHeight="1" x14ac:dyDescent="0.25"/>
    <row r="10073" ht="15.75" customHeight="1" x14ac:dyDescent="0.25"/>
    <row r="10074" ht="15.75" customHeight="1" x14ac:dyDescent="0.25"/>
    <row r="10075" ht="15.75" customHeight="1" x14ac:dyDescent="0.25"/>
    <row r="10076" ht="15.75" customHeight="1" x14ac:dyDescent="0.25"/>
    <row r="10077" ht="15.75" customHeight="1" x14ac:dyDescent="0.25"/>
    <row r="10078" ht="15.75" customHeight="1" x14ac:dyDescent="0.25"/>
    <row r="10079" ht="15.75" customHeight="1" x14ac:dyDescent="0.25"/>
    <row r="10080" ht="15.75" customHeight="1" x14ac:dyDescent="0.25"/>
    <row r="10081" ht="15.75" customHeight="1" x14ac:dyDescent="0.25"/>
    <row r="10082" ht="15.75" customHeight="1" x14ac:dyDescent="0.25"/>
    <row r="10083" ht="15.75" customHeight="1" x14ac:dyDescent="0.25"/>
    <row r="10084" ht="15.75" customHeight="1" x14ac:dyDescent="0.25"/>
    <row r="10085" ht="15.75" customHeight="1" x14ac:dyDescent="0.25"/>
    <row r="10086" ht="15.75" customHeight="1" x14ac:dyDescent="0.25"/>
    <row r="10087" ht="15.75" customHeight="1" x14ac:dyDescent="0.25"/>
    <row r="10088" ht="15.75" customHeight="1" x14ac:dyDescent="0.25"/>
    <row r="10089" ht="15.75" customHeight="1" x14ac:dyDescent="0.25"/>
    <row r="10090" ht="15.75" customHeight="1" x14ac:dyDescent="0.25"/>
    <row r="10091" ht="15.75" customHeight="1" x14ac:dyDescent="0.25"/>
    <row r="10092" ht="15.75" customHeight="1" x14ac:dyDescent="0.25"/>
    <row r="10093" ht="15.75" customHeight="1" x14ac:dyDescent="0.25"/>
    <row r="10094" ht="15.75" customHeight="1" x14ac:dyDescent="0.25"/>
    <row r="10095" ht="15.75" customHeight="1" x14ac:dyDescent="0.25"/>
    <row r="10096" ht="15.75" customHeight="1" x14ac:dyDescent="0.25"/>
    <row r="10097" ht="15.75" customHeight="1" x14ac:dyDescent="0.25"/>
    <row r="10098" ht="15.75" customHeight="1" x14ac:dyDescent="0.25"/>
    <row r="10099" ht="15.75" customHeight="1" x14ac:dyDescent="0.25"/>
    <row r="10100" ht="15.75" customHeight="1" x14ac:dyDescent="0.25"/>
    <row r="10101" ht="15.75" customHeight="1" x14ac:dyDescent="0.25"/>
    <row r="10102" ht="15.75" customHeight="1" x14ac:dyDescent="0.25"/>
    <row r="10103" ht="15.75" customHeight="1" x14ac:dyDescent="0.25"/>
    <row r="10104" ht="15.75" customHeight="1" x14ac:dyDescent="0.25"/>
    <row r="10105" ht="15.75" customHeight="1" x14ac:dyDescent="0.25"/>
    <row r="10106" ht="15.75" customHeight="1" x14ac:dyDescent="0.25"/>
    <row r="10107" ht="15.75" customHeight="1" x14ac:dyDescent="0.25"/>
    <row r="10108" ht="15.75" customHeight="1" x14ac:dyDescent="0.25"/>
    <row r="10109" ht="15.75" customHeight="1" x14ac:dyDescent="0.25"/>
    <row r="10110" ht="15.75" customHeight="1" x14ac:dyDescent="0.25"/>
    <row r="10111" ht="15.75" customHeight="1" x14ac:dyDescent="0.25"/>
    <row r="10112" ht="15.75" customHeight="1" x14ac:dyDescent="0.25"/>
    <row r="10113" ht="15.75" customHeight="1" x14ac:dyDescent="0.25"/>
    <row r="10114" ht="15.75" customHeight="1" x14ac:dyDescent="0.25"/>
    <row r="10115" ht="15.75" customHeight="1" x14ac:dyDescent="0.25"/>
    <row r="10116" ht="15.75" customHeight="1" x14ac:dyDescent="0.25"/>
    <row r="10117" ht="15.75" customHeight="1" x14ac:dyDescent="0.25"/>
    <row r="10118" ht="15.75" customHeight="1" x14ac:dyDescent="0.25"/>
    <row r="10119" ht="15.75" customHeight="1" x14ac:dyDescent="0.25"/>
    <row r="10120" ht="15.75" customHeight="1" x14ac:dyDescent="0.25"/>
    <row r="10121" ht="15.75" customHeight="1" x14ac:dyDescent="0.25"/>
    <row r="10122" ht="15.75" customHeight="1" x14ac:dyDescent="0.25"/>
    <row r="10123" ht="15.75" customHeight="1" x14ac:dyDescent="0.25"/>
    <row r="10124" ht="15.75" customHeight="1" x14ac:dyDescent="0.25"/>
    <row r="10125" ht="15.75" customHeight="1" x14ac:dyDescent="0.25"/>
    <row r="10126" ht="15.75" customHeight="1" x14ac:dyDescent="0.25"/>
    <row r="10127" ht="15.75" customHeight="1" x14ac:dyDescent="0.25"/>
    <row r="10128" ht="15.75" customHeight="1" x14ac:dyDescent="0.25"/>
    <row r="10129" ht="15.75" customHeight="1" x14ac:dyDescent="0.25"/>
    <row r="10130" ht="15.75" customHeight="1" x14ac:dyDescent="0.25"/>
    <row r="10131" ht="15.75" customHeight="1" x14ac:dyDescent="0.25"/>
    <row r="10132" ht="15.75" customHeight="1" x14ac:dyDescent="0.25"/>
    <row r="10133" ht="15.75" customHeight="1" x14ac:dyDescent="0.25"/>
    <row r="10134" ht="15.75" customHeight="1" x14ac:dyDescent="0.25"/>
    <row r="10135" ht="15.75" customHeight="1" x14ac:dyDescent="0.25"/>
    <row r="10136" ht="15.75" customHeight="1" x14ac:dyDescent="0.25"/>
    <row r="10137" ht="15.75" customHeight="1" x14ac:dyDescent="0.25"/>
    <row r="10138" ht="15.75" customHeight="1" x14ac:dyDescent="0.25"/>
    <row r="10139" ht="15.75" customHeight="1" x14ac:dyDescent="0.25"/>
    <row r="10140" ht="15.75" customHeight="1" x14ac:dyDescent="0.25"/>
    <row r="10141" ht="15.75" customHeight="1" x14ac:dyDescent="0.25"/>
    <row r="10142" ht="15.75" customHeight="1" x14ac:dyDescent="0.25"/>
    <row r="10143" ht="15.75" customHeight="1" x14ac:dyDescent="0.25"/>
    <row r="10144" ht="15.75" customHeight="1" x14ac:dyDescent="0.25"/>
    <row r="10145" ht="15.75" customHeight="1" x14ac:dyDescent="0.25"/>
    <row r="10146" ht="15.75" customHeight="1" x14ac:dyDescent="0.25"/>
    <row r="10147" ht="15.75" customHeight="1" x14ac:dyDescent="0.25"/>
    <row r="10148" ht="15.75" customHeight="1" x14ac:dyDescent="0.25"/>
    <row r="10149" ht="15.75" customHeight="1" x14ac:dyDescent="0.25"/>
    <row r="10150" ht="15.75" customHeight="1" x14ac:dyDescent="0.25"/>
    <row r="10151" ht="15.75" customHeight="1" x14ac:dyDescent="0.25"/>
    <row r="10152" ht="15.75" customHeight="1" x14ac:dyDescent="0.25"/>
    <row r="10153" ht="15.75" customHeight="1" x14ac:dyDescent="0.25"/>
    <row r="10154" ht="15.75" customHeight="1" x14ac:dyDescent="0.25"/>
    <row r="10155" ht="15.75" customHeight="1" x14ac:dyDescent="0.25"/>
    <row r="10156" ht="15.75" customHeight="1" x14ac:dyDescent="0.25"/>
    <row r="10157" ht="15.75" customHeight="1" x14ac:dyDescent="0.25"/>
    <row r="10158" ht="15.75" customHeight="1" x14ac:dyDescent="0.25"/>
    <row r="10159" ht="15.75" customHeight="1" x14ac:dyDescent="0.25"/>
    <row r="10160" ht="15.75" customHeight="1" x14ac:dyDescent="0.25"/>
    <row r="10161" ht="15.75" customHeight="1" x14ac:dyDescent="0.25"/>
    <row r="10162" ht="15.75" customHeight="1" x14ac:dyDescent="0.25"/>
    <row r="10163" ht="15.75" customHeight="1" x14ac:dyDescent="0.25"/>
    <row r="10164" ht="15.75" customHeight="1" x14ac:dyDescent="0.25"/>
    <row r="10165" ht="15.75" customHeight="1" x14ac:dyDescent="0.25"/>
    <row r="10166" ht="15.75" customHeight="1" x14ac:dyDescent="0.25"/>
    <row r="10167" ht="15.75" customHeight="1" x14ac:dyDescent="0.25"/>
    <row r="10168" ht="15.75" customHeight="1" x14ac:dyDescent="0.25"/>
    <row r="10169" ht="15.75" customHeight="1" x14ac:dyDescent="0.25"/>
    <row r="10170" ht="15.75" customHeight="1" x14ac:dyDescent="0.25"/>
    <row r="10171" ht="15.75" customHeight="1" x14ac:dyDescent="0.25"/>
    <row r="10172" ht="15.75" customHeight="1" x14ac:dyDescent="0.25"/>
    <row r="10173" ht="15.75" customHeight="1" x14ac:dyDescent="0.25"/>
    <row r="10174" ht="15.75" customHeight="1" x14ac:dyDescent="0.25"/>
    <row r="10175" ht="15.75" customHeight="1" x14ac:dyDescent="0.25"/>
    <row r="10176" ht="15.75" customHeight="1" x14ac:dyDescent="0.25"/>
    <row r="10177" ht="15.75" customHeight="1" x14ac:dyDescent="0.25"/>
    <row r="10178" ht="15.75" customHeight="1" x14ac:dyDescent="0.25"/>
    <row r="10179" ht="15.75" customHeight="1" x14ac:dyDescent="0.25"/>
    <row r="10180" ht="15.75" customHeight="1" x14ac:dyDescent="0.25"/>
    <row r="10181" ht="15.75" customHeight="1" x14ac:dyDescent="0.25"/>
    <row r="10182" ht="15.75" customHeight="1" x14ac:dyDescent="0.25"/>
    <row r="10183" ht="15.75" customHeight="1" x14ac:dyDescent="0.25"/>
    <row r="10184" ht="15.75" customHeight="1" x14ac:dyDescent="0.25"/>
    <row r="10185" ht="15.75" customHeight="1" x14ac:dyDescent="0.25"/>
    <row r="10186" ht="15.75" customHeight="1" x14ac:dyDescent="0.25"/>
    <row r="10187" ht="15.75" customHeight="1" x14ac:dyDescent="0.25"/>
    <row r="10188" ht="15.75" customHeight="1" x14ac:dyDescent="0.25"/>
    <row r="10189" ht="15.75" customHeight="1" x14ac:dyDescent="0.25"/>
    <row r="10190" ht="15.75" customHeight="1" x14ac:dyDescent="0.25"/>
    <row r="10191" ht="15.75" customHeight="1" x14ac:dyDescent="0.25"/>
    <row r="10192" ht="15.75" customHeight="1" x14ac:dyDescent="0.25"/>
    <row r="10193" ht="15.75" customHeight="1" x14ac:dyDescent="0.25"/>
    <row r="10194" ht="15.75" customHeight="1" x14ac:dyDescent="0.25"/>
    <row r="10195" ht="15.75" customHeight="1" x14ac:dyDescent="0.25"/>
    <row r="10196" ht="15.75" customHeight="1" x14ac:dyDescent="0.25"/>
    <row r="10197" ht="15.75" customHeight="1" x14ac:dyDescent="0.25"/>
    <row r="10198" ht="15.75" customHeight="1" x14ac:dyDescent="0.25"/>
    <row r="10199" ht="15.75" customHeight="1" x14ac:dyDescent="0.25"/>
    <row r="10200" ht="15.75" customHeight="1" x14ac:dyDescent="0.25"/>
    <row r="10201" ht="15.75" customHeight="1" x14ac:dyDescent="0.25"/>
    <row r="10202" ht="15.75" customHeight="1" x14ac:dyDescent="0.25"/>
    <row r="10203" ht="15.75" customHeight="1" x14ac:dyDescent="0.25"/>
    <row r="10204" ht="15.75" customHeight="1" x14ac:dyDescent="0.25"/>
    <row r="10205" ht="15.75" customHeight="1" x14ac:dyDescent="0.25"/>
    <row r="10206" ht="15.75" customHeight="1" x14ac:dyDescent="0.25"/>
    <row r="10207" ht="15.75" customHeight="1" x14ac:dyDescent="0.25"/>
    <row r="10208" ht="15.75" customHeight="1" x14ac:dyDescent="0.25"/>
    <row r="10209" ht="15.75" customHeight="1" x14ac:dyDescent="0.25"/>
    <row r="10210" ht="15.75" customHeight="1" x14ac:dyDescent="0.25"/>
    <row r="10211" ht="15.75" customHeight="1" x14ac:dyDescent="0.25"/>
    <row r="10212" ht="15.75" customHeight="1" x14ac:dyDescent="0.25"/>
    <row r="10213" ht="15.75" customHeight="1" x14ac:dyDescent="0.25"/>
    <row r="10214" ht="15.75" customHeight="1" x14ac:dyDescent="0.25"/>
    <row r="10215" ht="15.75" customHeight="1" x14ac:dyDescent="0.25"/>
    <row r="10216" ht="15.75" customHeight="1" x14ac:dyDescent="0.25"/>
    <row r="10217" ht="15.75" customHeight="1" x14ac:dyDescent="0.25"/>
    <row r="10218" ht="15.75" customHeight="1" x14ac:dyDescent="0.25"/>
    <row r="10219" ht="15.75" customHeight="1" x14ac:dyDescent="0.25"/>
    <row r="10220" ht="15.75" customHeight="1" x14ac:dyDescent="0.25"/>
    <row r="10221" ht="15.75" customHeight="1" x14ac:dyDescent="0.25"/>
    <row r="10222" ht="15.75" customHeight="1" x14ac:dyDescent="0.25"/>
    <row r="10223" ht="15.75" customHeight="1" x14ac:dyDescent="0.25"/>
    <row r="10224" ht="15.75" customHeight="1" x14ac:dyDescent="0.25"/>
    <row r="10225" ht="15.75" customHeight="1" x14ac:dyDescent="0.25"/>
    <row r="10226" ht="15.75" customHeight="1" x14ac:dyDescent="0.25"/>
    <row r="10227" ht="15.75" customHeight="1" x14ac:dyDescent="0.25"/>
    <row r="10228" ht="15.75" customHeight="1" x14ac:dyDescent="0.25"/>
    <row r="10229" ht="15.75" customHeight="1" x14ac:dyDescent="0.25"/>
    <row r="10230" ht="15.75" customHeight="1" x14ac:dyDescent="0.25"/>
    <row r="10231" ht="15.75" customHeight="1" x14ac:dyDescent="0.25"/>
    <row r="10232" ht="15.75" customHeight="1" x14ac:dyDescent="0.25"/>
    <row r="10233" ht="15.75" customHeight="1" x14ac:dyDescent="0.25"/>
    <row r="10234" ht="15.75" customHeight="1" x14ac:dyDescent="0.25"/>
    <row r="10235" ht="15.75" customHeight="1" x14ac:dyDescent="0.25"/>
    <row r="10236" ht="15.75" customHeight="1" x14ac:dyDescent="0.25"/>
    <row r="10237" ht="15.75" customHeight="1" x14ac:dyDescent="0.25"/>
    <row r="10238" ht="15.75" customHeight="1" x14ac:dyDescent="0.25"/>
    <row r="10239" ht="15.75" customHeight="1" x14ac:dyDescent="0.25"/>
    <row r="10240" ht="15.75" customHeight="1" x14ac:dyDescent="0.25"/>
    <row r="10241" ht="15.75" customHeight="1" x14ac:dyDescent="0.25"/>
    <row r="10242" ht="15.75" customHeight="1" x14ac:dyDescent="0.25"/>
    <row r="10243" ht="15.75" customHeight="1" x14ac:dyDescent="0.25"/>
    <row r="10244" ht="15.75" customHeight="1" x14ac:dyDescent="0.25"/>
    <row r="10245" ht="15.75" customHeight="1" x14ac:dyDescent="0.25"/>
    <row r="10246" ht="15.75" customHeight="1" x14ac:dyDescent="0.25"/>
    <row r="10247" ht="15.75" customHeight="1" x14ac:dyDescent="0.25"/>
    <row r="10248" ht="15.75" customHeight="1" x14ac:dyDescent="0.25"/>
    <row r="10249" ht="15.75" customHeight="1" x14ac:dyDescent="0.25"/>
    <row r="10250" ht="15.75" customHeight="1" x14ac:dyDescent="0.25"/>
    <row r="10251" ht="15.75" customHeight="1" x14ac:dyDescent="0.25"/>
    <row r="10252" ht="15.75" customHeight="1" x14ac:dyDescent="0.25"/>
    <row r="10253" ht="15.75" customHeight="1" x14ac:dyDescent="0.25"/>
    <row r="10254" ht="15.75" customHeight="1" x14ac:dyDescent="0.25"/>
    <row r="10255" ht="15.75" customHeight="1" x14ac:dyDescent="0.25"/>
    <row r="10256" ht="15.75" customHeight="1" x14ac:dyDescent="0.25"/>
    <row r="10257" ht="15.75" customHeight="1" x14ac:dyDescent="0.25"/>
    <row r="10258" ht="15.75" customHeight="1" x14ac:dyDescent="0.25"/>
    <row r="10259" ht="15.75" customHeight="1" x14ac:dyDescent="0.25"/>
    <row r="10260" ht="15.75" customHeight="1" x14ac:dyDescent="0.25"/>
    <row r="10261" ht="15.75" customHeight="1" x14ac:dyDescent="0.25"/>
    <row r="10262" ht="15.75" customHeight="1" x14ac:dyDescent="0.25"/>
    <row r="10263" ht="15.75" customHeight="1" x14ac:dyDescent="0.25"/>
    <row r="10264" ht="15.75" customHeight="1" x14ac:dyDescent="0.25"/>
    <row r="10265" ht="15.75" customHeight="1" x14ac:dyDescent="0.25"/>
    <row r="10266" ht="15.75" customHeight="1" x14ac:dyDescent="0.25"/>
    <row r="10267" ht="15.75" customHeight="1" x14ac:dyDescent="0.25"/>
    <row r="10268" ht="15.75" customHeight="1" x14ac:dyDescent="0.25"/>
    <row r="10269" ht="15.75" customHeight="1" x14ac:dyDescent="0.25"/>
    <row r="10270" ht="15.75" customHeight="1" x14ac:dyDescent="0.25"/>
    <row r="10271" ht="15.75" customHeight="1" x14ac:dyDescent="0.25"/>
    <row r="10272" ht="15.75" customHeight="1" x14ac:dyDescent="0.25"/>
    <row r="10273" ht="15.75" customHeight="1" x14ac:dyDescent="0.25"/>
    <row r="10274" ht="15.75" customHeight="1" x14ac:dyDescent="0.25"/>
    <row r="10275" ht="15.75" customHeight="1" x14ac:dyDescent="0.25"/>
    <row r="10276" ht="15.75" customHeight="1" x14ac:dyDescent="0.25"/>
    <row r="10277" ht="15.75" customHeight="1" x14ac:dyDescent="0.25"/>
    <row r="10278" ht="15.75" customHeight="1" x14ac:dyDescent="0.25"/>
    <row r="10279" ht="15.75" customHeight="1" x14ac:dyDescent="0.25"/>
    <row r="10280" ht="15.75" customHeight="1" x14ac:dyDescent="0.25"/>
    <row r="10281" ht="15.75" customHeight="1" x14ac:dyDescent="0.25"/>
    <row r="10282" ht="15.75" customHeight="1" x14ac:dyDescent="0.25"/>
    <row r="10283" ht="15.75" customHeight="1" x14ac:dyDescent="0.25"/>
    <row r="10284" ht="15.75" customHeight="1" x14ac:dyDescent="0.25"/>
    <row r="10285" ht="15.75" customHeight="1" x14ac:dyDescent="0.25"/>
    <row r="10286" ht="15.75" customHeight="1" x14ac:dyDescent="0.25"/>
    <row r="10287" ht="15.75" customHeight="1" x14ac:dyDescent="0.25"/>
    <row r="10288" ht="15.75" customHeight="1" x14ac:dyDescent="0.25"/>
    <row r="10289" ht="15.75" customHeight="1" x14ac:dyDescent="0.25"/>
    <row r="10290" ht="15.75" customHeight="1" x14ac:dyDescent="0.25"/>
    <row r="10291" ht="15.75" customHeight="1" x14ac:dyDescent="0.25"/>
    <row r="10292" ht="15.75" customHeight="1" x14ac:dyDescent="0.25"/>
    <row r="10293" ht="15.75" customHeight="1" x14ac:dyDescent="0.25"/>
    <row r="10294" ht="15.75" customHeight="1" x14ac:dyDescent="0.25"/>
    <row r="10295" ht="15.75" customHeight="1" x14ac:dyDescent="0.25"/>
    <row r="10296" ht="15.75" customHeight="1" x14ac:dyDescent="0.25"/>
    <row r="10297" ht="15.75" customHeight="1" x14ac:dyDescent="0.25"/>
    <row r="10298" ht="15.75" customHeight="1" x14ac:dyDescent="0.25"/>
    <row r="10299" ht="15.75" customHeight="1" x14ac:dyDescent="0.25"/>
    <row r="10300" ht="15.75" customHeight="1" x14ac:dyDescent="0.25"/>
    <row r="10301" ht="15.75" customHeight="1" x14ac:dyDescent="0.25"/>
    <row r="10302" ht="15.75" customHeight="1" x14ac:dyDescent="0.25"/>
    <row r="10303" ht="15.75" customHeight="1" x14ac:dyDescent="0.25"/>
    <row r="10304" ht="15.75" customHeight="1" x14ac:dyDescent="0.25"/>
    <row r="10305" ht="15.75" customHeight="1" x14ac:dyDescent="0.25"/>
    <row r="10306" ht="15.75" customHeight="1" x14ac:dyDescent="0.25"/>
    <row r="10307" ht="15.75" customHeight="1" x14ac:dyDescent="0.25"/>
    <row r="10308" ht="15.75" customHeight="1" x14ac:dyDescent="0.25"/>
    <row r="10309" ht="15.75" customHeight="1" x14ac:dyDescent="0.25"/>
    <row r="10310" ht="15.75" customHeight="1" x14ac:dyDescent="0.25"/>
    <row r="10311" ht="15.75" customHeight="1" x14ac:dyDescent="0.25"/>
    <row r="10312" ht="15.75" customHeight="1" x14ac:dyDescent="0.25"/>
    <row r="10313" ht="15.75" customHeight="1" x14ac:dyDescent="0.25"/>
    <row r="10314" ht="15.75" customHeight="1" x14ac:dyDescent="0.25"/>
    <row r="10315" ht="15.75" customHeight="1" x14ac:dyDescent="0.25"/>
    <row r="10316" ht="15.75" customHeight="1" x14ac:dyDescent="0.25"/>
    <row r="10317" ht="15.75" customHeight="1" x14ac:dyDescent="0.25"/>
    <row r="10318" ht="15.75" customHeight="1" x14ac:dyDescent="0.25"/>
    <row r="10319" ht="15.75" customHeight="1" x14ac:dyDescent="0.25"/>
    <row r="10320" ht="15.75" customHeight="1" x14ac:dyDescent="0.25"/>
    <row r="10321" ht="15.75" customHeight="1" x14ac:dyDescent="0.25"/>
    <row r="10322" ht="15.75" customHeight="1" x14ac:dyDescent="0.25"/>
    <row r="10323" ht="15.75" customHeight="1" x14ac:dyDescent="0.25"/>
    <row r="10324" ht="15.75" customHeight="1" x14ac:dyDescent="0.25"/>
    <row r="10325" ht="15.75" customHeight="1" x14ac:dyDescent="0.25"/>
    <row r="10326" ht="15.75" customHeight="1" x14ac:dyDescent="0.25"/>
    <row r="10327" ht="15.75" customHeight="1" x14ac:dyDescent="0.25"/>
    <row r="10328" ht="15.75" customHeight="1" x14ac:dyDescent="0.25"/>
    <row r="10329" ht="15.75" customHeight="1" x14ac:dyDescent="0.25"/>
    <row r="10330" ht="15.75" customHeight="1" x14ac:dyDescent="0.25"/>
    <row r="10331" ht="15.75" customHeight="1" x14ac:dyDescent="0.25"/>
    <row r="10332" ht="15.75" customHeight="1" x14ac:dyDescent="0.25"/>
    <row r="10333" ht="15.75" customHeight="1" x14ac:dyDescent="0.25"/>
    <row r="10334" ht="15.75" customHeight="1" x14ac:dyDescent="0.25"/>
    <row r="10335" ht="15.75" customHeight="1" x14ac:dyDescent="0.25"/>
    <row r="10336" ht="15.75" customHeight="1" x14ac:dyDescent="0.25"/>
    <row r="10337" ht="15.75" customHeight="1" x14ac:dyDescent="0.25"/>
    <row r="10338" ht="15.75" customHeight="1" x14ac:dyDescent="0.25"/>
    <row r="10339" ht="15.75" customHeight="1" x14ac:dyDescent="0.25"/>
    <row r="10340" ht="15.75" customHeight="1" x14ac:dyDescent="0.25"/>
    <row r="10341" ht="15.75" customHeight="1" x14ac:dyDescent="0.25"/>
    <row r="10342" ht="15.75" customHeight="1" x14ac:dyDescent="0.25"/>
    <row r="10343" ht="15.75" customHeight="1" x14ac:dyDescent="0.25"/>
    <row r="10344" ht="15.75" customHeight="1" x14ac:dyDescent="0.25"/>
    <row r="10345" ht="15.75" customHeight="1" x14ac:dyDescent="0.25"/>
    <row r="10346" ht="15.75" customHeight="1" x14ac:dyDescent="0.25"/>
    <row r="10347" ht="15.75" customHeight="1" x14ac:dyDescent="0.25"/>
    <row r="10348" ht="15.75" customHeight="1" x14ac:dyDescent="0.25"/>
    <row r="10349" ht="15.75" customHeight="1" x14ac:dyDescent="0.25"/>
    <row r="10350" ht="15.75" customHeight="1" x14ac:dyDescent="0.25"/>
    <row r="10351" ht="15.75" customHeight="1" x14ac:dyDescent="0.25"/>
    <row r="10352" ht="15.75" customHeight="1" x14ac:dyDescent="0.25"/>
    <row r="10353" ht="15.75" customHeight="1" x14ac:dyDescent="0.25"/>
    <row r="10354" ht="15.75" customHeight="1" x14ac:dyDescent="0.25"/>
    <row r="10355" ht="15.75" customHeight="1" x14ac:dyDescent="0.25"/>
    <row r="10356" ht="15.75" customHeight="1" x14ac:dyDescent="0.25"/>
    <row r="10357" ht="15.75" customHeight="1" x14ac:dyDescent="0.25"/>
    <row r="10358" ht="15.75" customHeight="1" x14ac:dyDescent="0.25"/>
    <row r="10359" ht="15.75" customHeight="1" x14ac:dyDescent="0.25"/>
    <row r="10360" ht="15.75" customHeight="1" x14ac:dyDescent="0.25"/>
    <row r="10361" ht="15.75" customHeight="1" x14ac:dyDescent="0.25"/>
    <row r="10362" ht="15.75" customHeight="1" x14ac:dyDescent="0.25"/>
    <row r="10363" ht="15.75" customHeight="1" x14ac:dyDescent="0.25"/>
    <row r="10364" ht="15.75" customHeight="1" x14ac:dyDescent="0.25"/>
    <row r="10365" ht="15.75" customHeight="1" x14ac:dyDescent="0.25"/>
    <row r="10366" ht="15.75" customHeight="1" x14ac:dyDescent="0.25"/>
    <row r="10367" ht="15.75" customHeight="1" x14ac:dyDescent="0.25"/>
    <row r="10368" ht="15.75" customHeight="1" x14ac:dyDescent="0.25"/>
    <row r="10369" ht="15.75" customHeight="1" x14ac:dyDescent="0.25"/>
    <row r="10370" ht="15.75" customHeight="1" x14ac:dyDescent="0.25"/>
    <row r="10371" ht="15.75" customHeight="1" x14ac:dyDescent="0.25"/>
    <row r="10372" ht="15.75" customHeight="1" x14ac:dyDescent="0.25"/>
    <row r="10373" ht="15.75" customHeight="1" x14ac:dyDescent="0.25"/>
    <row r="10374" ht="15.75" customHeight="1" x14ac:dyDescent="0.25"/>
    <row r="10375" ht="15.75" customHeight="1" x14ac:dyDescent="0.25"/>
    <row r="10376" ht="15.75" customHeight="1" x14ac:dyDescent="0.25"/>
    <row r="10377" ht="15.75" customHeight="1" x14ac:dyDescent="0.25"/>
    <row r="10378" ht="15.75" customHeight="1" x14ac:dyDescent="0.25"/>
    <row r="10379" ht="15.75" customHeight="1" x14ac:dyDescent="0.25"/>
    <row r="10380" ht="15.75" customHeight="1" x14ac:dyDescent="0.25"/>
    <row r="10381" ht="15.75" customHeight="1" x14ac:dyDescent="0.25"/>
    <row r="10382" ht="15.75" customHeight="1" x14ac:dyDescent="0.25"/>
    <row r="10383" ht="15.75" customHeight="1" x14ac:dyDescent="0.25"/>
    <row r="10384" ht="15.75" customHeight="1" x14ac:dyDescent="0.25"/>
    <row r="10385" ht="15.75" customHeight="1" x14ac:dyDescent="0.25"/>
    <row r="10386" ht="15.75" customHeight="1" x14ac:dyDescent="0.25"/>
    <row r="10387" ht="15.75" customHeight="1" x14ac:dyDescent="0.25"/>
    <row r="10388" ht="15.75" customHeight="1" x14ac:dyDescent="0.25"/>
    <row r="10389" ht="15.75" customHeight="1" x14ac:dyDescent="0.25"/>
    <row r="10390" ht="15.75" customHeight="1" x14ac:dyDescent="0.25"/>
    <row r="10391" ht="15.75" customHeight="1" x14ac:dyDescent="0.25"/>
    <row r="10392" ht="15.75" customHeight="1" x14ac:dyDescent="0.25"/>
    <row r="10393" ht="15.75" customHeight="1" x14ac:dyDescent="0.25"/>
    <row r="10394" ht="15.75" customHeight="1" x14ac:dyDescent="0.25"/>
    <row r="10395" ht="15.75" customHeight="1" x14ac:dyDescent="0.25"/>
    <row r="10396" ht="15.75" customHeight="1" x14ac:dyDescent="0.25"/>
    <row r="10397" ht="15.75" customHeight="1" x14ac:dyDescent="0.25"/>
    <row r="10398" ht="15.75" customHeight="1" x14ac:dyDescent="0.25"/>
    <row r="10399" ht="15.75" customHeight="1" x14ac:dyDescent="0.25"/>
    <row r="10400" ht="15.75" customHeight="1" x14ac:dyDescent="0.25"/>
    <row r="10401" ht="15.75" customHeight="1" x14ac:dyDescent="0.25"/>
    <row r="10402" ht="15.75" customHeight="1" x14ac:dyDescent="0.25"/>
    <row r="10403" ht="15.75" customHeight="1" x14ac:dyDescent="0.25"/>
    <row r="10404" ht="15.75" customHeight="1" x14ac:dyDescent="0.25"/>
    <row r="10405" ht="15.75" customHeight="1" x14ac:dyDescent="0.25"/>
    <row r="10406" ht="15.75" customHeight="1" x14ac:dyDescent="0.25"/>
    <row r="10407" ht="15.75" customHeight="1" x14ac:dyDescent="0.25"/>
    <row r="10408" ht="15.75" customHeight="1" x14ac:dyDescent="0.25"/>
    <row r="10409" ht="15.75" customHeight="1" x14ac:dyDescent="0.25"/>
    <row r="10410" ht="15.75" customHeight="1" x14ac:dyDescent="0.25"/>
    <row r="10411" ht="15.75" customHeight="1" x14ac:dyDescent="0.25"/>
    <row r="10412" ht="15.75" customHeight="1" x14ac:dyDescent="0.25"/>
    <row r="10413" ht="15.75" customHeight="1" x14ac:dyDescent="0.25"/>
    <row r="10414" ht="15.75" customHeight="1" x14ac:dyDescent="0.25"/>
    <row r="10415" ht="15.75" customHeight="1" x14ac:dyDescent="0.25"/>
    <row r="10416" ht="15.75" customHeight="1" x14ac:dyDescent="0.25"/>
    <row r="10417" ht="15.75" customHeight="1" x14ac:dyDescent="0.25"/>
    <row r="10418" ht="15.75" customHeight="1" x14ac:dyDescent="0.25"/>
    <row r="10419" ht="15.75" customHeight="1" x14ac:dyDescent="0.25"/>
    <row r="10420" ht="15.75" customHeight="1" x14ac:dyDescent="0.25"/>
    <row r="10421" ht="15.75" customHeight="1" x14ac:dyDescent="0.25"/>
    <row r="10422" ht="15.75" customHeight="1" x14ac:dyDescent="0.25"/>
    <row r="10423" ht="15.75" customHeight="1" x14ac:dyDescent="0.25"/>
    <row r="10424" ht="15.75" customHeight="1" x14ac:dyDescent="0.25"/>
    <row r="10425" ht="15.75" customHeight="1" x14ac:dyDescent="0.25"/>
    <row r="10426" ht="15.75" customHeight="1" x14ac:dyDescent="0.25"/>
    <row r="10427" ht="15.75" customHeight="1" x14ac:dyDescent="0.25"/>
    <row r="10428" ht="15.75" customHeight="1" x14ac:dyDescent="0.25"/>
    <row r="10429" ht="15.75" customHeight="1" x14ac:dyDescent="0.25"/>
    <row r="10430" ht="15.75" customHeight="1" x14ac:dyDescent="0.25"/>
    <row r="10431" ht="15.75" customHeight="1" x14ac:dyDescent="0.25"/>
    <row r="10432" ht="15.75" customHeight="1" x14ac:dyDescent="0.25"/>
    <row r="10433" ht="15.75" customHeight="1" x14ac:dyDescent="0.25"/>
    <row r="10434" ht="15.75" customHeight="1" x14ac:dyDescent="0.25"/>
    <row r="10435" ht="15.75" customHeight="1" x14ac:dyDescent="0.25"/>
    <row r="10436" ht="15.75" customHeight="1" x14ac:dyDescent="0.25"/>
    <row r="10437" ht="15.75" customHeight="1" x14ac:dyDescent="0.25"/>
    <row r="10438" ht="15.75" customHeight="1" x14ac:dyDescent="0.25"/>
    <row r="10439" ht="15.75" customHeight="1" x14ac:dyDescent="0.25"/>
    <row r="10440" ht="15.75" customHeight="1" x14ac:dyDescent="0.25"/>
    <row r="10441" ht="15.75" customHeight="1" x14ac:dyDescent="0.25"/>
    <row r="10442" ht="15.75" customHeight="1" x14ac:dyDescent="0.25"/>
    <row r="10443" ht="15.75" customHeight="1" x14ac:dyDescent="0.25"/>
    <row r="10444" ht="15.75" customHeight="1" x14ac:dyDescent="0.25"/>
    <row r="10445" ht="15.75" customHeight="1" x14ac:dyDescent="0.25"/>
    <row r="10446" ht="15.75" customHeight="1" x14ac:dyDescent="0.25"/>
    <row r="10447" ht="15.75" customHeight="1" x14ac:dyDescent="0.25"/>
    <row r="10448" ht="15.75" customHeight="1" x14ac:dyDescent="0.25"/>
    <row r="10449" ht="15.75" customHeight="1" x14ac:dyDescent="0.25"/>
    <row r="10450" ht="15.75" customHeight="1" x14ac:dyDescent="0.25"/>
    <row r="10451" ht="15.75" customHeight="1" x14ac:dyDescent="0.25"/>
    <row r="10452" ht="15.75" customHeight="1" x14ac:dyDescent="0.25"/>
    <row r="10453" ht="15.75" customHeight="1" x14ac:dyDescent="0.25"/>
    <row r="10454" ht="15.75" customHeight="1" x14ac:dyDescent="0.25"/>
    <row r="10455" ht="15.75" customHeight="1" x14ac:dyDescent="0.25"/>
    <row r="10456" ht="15.75" customHeight="1" x14ac:dyDescent="0.25"/>
    <row r="10457" ht="15.75" customHeight="1" x14ac:dyDescent="0.25"/>
    <row r="10458" ht="15.75" customHeight="1" x14ac:dyDescent="0.25"/>
    <row r="10459" ht="15.75" customHeight="1" x14ac:dyDescent="0.25"/>
    <row r="10460" ht="15.75" customHeight="1" x14ac:dyDescent="0.25"/>
    <row r="10461" ht="15.75" customHeight="1" x14ac:dyDescent="0.25"/>
    <row r="10462" ht="15.75" customHeight="1" x14ac:dyDescent="0.25"/>
    <row r="10463" ht="15.75" customHeight="1" x14ac:dyDescent="0.25"/>
    <row r="10464" ht="15.75" customHeight="1" x14ac:dyDescent="0.25"/>
    <row r="10465" ht="15.75" customHeight="1" x14ac:dyDescent="0.25"/>
    <row r="10466" ht="15.75" customHeight="1" x14ac:dyDescent="0.25"/>
    <row r="10467" ht="15.75" customHeight="1" x14ac:dyDescent="0.25"/>
    <row r="10468" ht="15.75" customHeight="1" x14ac:dyDescent="0.25"/>
    <row r="10469" ht="15.75" customHeight="1" x14ac:dyDescent="0.25"/>
    <row r="10470" ht="15.75" customHeight="1" x14ac:dyDescent="0.25"/>
    <row r="10471" ht="15.75" customHeight="1" x14ac:dyDescent="0.25"/>
    <row r="10472" ht="15.75" customHeight="1" x14ac:dyDescent="0.25"/>
    <row r="10473" ht="15.75" customHeight="1" x14ac:dyDescent="0.25"/>
    <row r="10474" ht="15.75" customHeight="1" x14ac:dyDescent="0.25"/>
    <row r="10475" ht="15.75" customHeight="1" x14ac:dyDescent="0.25"/>
    <row r="10476" ht="15.75" customHeight="1" x14ac:dyDescent="0.25"/>
    <row r="10477" ht="15.75" customHeight="1" x14ac:dyDescent="0.25"/>
    <row r="10478" ht="15.75" customHeight="1" x14ac:dyDescent="0.25"/>
    <row r="10479" ht="15.75" customHeight="1" x14ac:dyDescent="0.25"/>
    <row r="10480" ht="15.75" customHeight="1" x14ac:dyDescent="0.25"/>
    <row r="10481" ht="15.75" customHeight="1" x14ac:dyDescent="0.25"/>
    <row r="10482" ht="15.75" customHeight="1" x14ac:dyDescent="0.25"/>
    <row r="10483" ht="15.75" customHeight="1" x14ac:dyDescent="0.25"/>
    <row r="10484" ht="15.75" customHeight="1" x14ac:dyDescent="0.25"/>
    <row r="10485" ht="15.75" customHeight="1" x14ac:dyDescent="0.25"/>
    <row r="10486" ht="15.75" customHeight="1" x14ac:dyDescent="0.25"/>
    <row r="10487" ht="15.75" customHeight="1" x14ac:dyDescent="0.25"/>
    <row r="10488" ht="15.75" customHeight="1" x14ac:dyDescent="0.25"/>
    <row r="10489" ht="15.75" customHeight="1" x14ac:dyDescent="0.25"/>
    <row r="10490" ht="15.75" customHeight="1" x14ac:dyDescent="0.25"/>
    <row r="10491" ht="15.75" customHeight="1" x14ac:dyDescent="0.25"/>
    <row r="10492" ht="15.75" customHeight="1" x14ac:dyDescent="0.25"/>
    <row r="10493" ht="15.75" customHeight="1" x14ac:dyDescent="0.25"/>
    <row r="10494" ht="15.75" customHeight="1" x14ac:dyDescent="0.25"/>
    <row r="10495" ht="15.75" customHeight="1" x14ac:dyDescent="0.25"/>
    <row r="10496" ht="15.75" customHeight="1" x14ac:dyDescent="0.25"/>
    <row r="10497" ht="15.75" customHeight="1" x14ac:dyDescent="0.25"/>
    <row r="10498" ht="15.75" customHeight="1" x14ac:dyDescent="0.25"/>
    <row r="10499" ht="15.75" customHeight="1" x14ac:dyDescent="0.25"/>
    <row r="10500" ht="15.75" customHeight="1" x14ac:dyDescent="0.25"/>
    <row r="10501" ht="15.75" customHeight="1" x14ac:dyDescent="0.25"/>
    <row r="10502" ht="15.75" customHeight="1" x14ac:dyDescent="0.25"/>
    <row r="10503" ht="15.75" customHeight="1" x14ac:dyDescent="0.25"/>
    <row r="10504" ht="15.75" customHeight="1" x14ac:dyDescent="0.25"/>
    <row r="10505" ht="15.75" customHeight="1" x14ac:dyDescent="0.25"/>
    <row r="10506" ht="15.75" customHeight="1" x14ac:dyDescent="0.25"/>
    <row r="10507" ht="15.75" customHeight="1" x14ac:dyDescent="0.25"/>
    <row r="10508" ht="15.75" customHeight="1" x14ac:dyDescent="0.25"/>
    <row r="10509" ht="15.75" customHeight="1" x14ac:dyDescent="0.25"/>
    <row r="10510" ht="15.75" customHeight="1" x14ac:dyDescent="0.25"/>
    <row r="10511" ht="15.75" customHeight="1" x14ac:dyDescent="0.25"/>
    <row r="10512" ht="15.75" customHeight="1" x14ac:dyDescent="0.25"/>
    <row r="10513" ht="15.75" customHeight="1" x14ac:dyDescent="0.25"/>
    <row r="10514" ht="15.75" customHeight="1" x14ac:dyDescent="0.25"/>
    <row r="10515" ht="15.75" customHeight="1" x14ac:dyDescent="0.25"/>
    <row r="10516" ht="15.75" customHeight="1" x14ac:dyDescent="0.25"/>
    <row r="10517" ht="15.75" customHeight="1" x14ac:dyDescent="0.25"/>
    <row r="10518" ht="15.75" customHeight="1" x14ac:dyDescent="0.25"/>
    <row r="10519" ht="15.75" customHeight="1" x14ac:dyDescent="0.25"/>
    <row r="10520" ht="15.75" customHeight="1" x14ac:dyDescent="0.25"/>
    <row r="10521" ht="15.75" customHeight="1" x14ac:dyDescent="0.25"/>
    <row r="10522" ht="15.75" customHeight="1" x14ac:dyDescent="0.25"/>
    <row r="10523" ht="15.75" customHeight="1" x14ac:dyDescent="0.25"/>
    <row r="10524" ht="15.75" customHeight="1" x14ac:dyDescent="0.25"/>
    <row r="10525" ht="15.75" customHeight="1" x14ac:dyDescent="0.25"/>
    <row r="10526" ht="15.75" customHeight="1" x14ac:dyDescent="0.25"/>
    <row r="10527" ht="15.75" customHeight="1" x14ac:dyDescent="0.25"/>
    <row r="10528" ht="15.75" customHeight="1" x14ac:dyDescent="0.25"/>
    <row r="10529" ht="15.75" customHeight="1" x14ac:dyDescent="0.25"/>
    <row r="10530" ht="15.75" customHeight="1" x14ac:dyDescent="0.25"/>
    <row r="10531" ht="15.75" customHeight="1" x14ac:dyDescent="0.25"/>
    <row r="10532" ht="15.75" customHeight="1" x14ac:dyDescent="0.25"/>
    <row r="10533" ht="15.75" customHeight="1" x14ac:dyDescent="0.25"/>
    <row r="10534" ht="15.75" customHeight="1" x14ac:dyDescent="0.25"/>
    <row r="10535" ht="15.75" customHeight="1" x14ac:dyDescent="0.25"/>
    <row r="10536" ht="15.75" customHeight="1" x14ac:dyDescent="0.25"/>
    <row r="10537" ht="15.75" customHeight="1" x14ac:dyDescent="0.25"/>
    <row r="10538" ht="15.75" customHeight="1" x14ac:dyDescent="0.25"/>
    <row r="10539" ht="15.75" customHeight="1" x14ac:dyDescent="0.25"/>
    <row r="10540" ht="15.75" customHeight="1" x14ac:dyDescent="0.25"/>
    <row r="10541" ht="15.75" customHeight="1" x14ac:dyDescent="0.25"/>
    <row r="10542" ht="15.75" customHeight="1" x14ac:dyDescent="0.25"/>
    <row r="10543" ht="15.75" customHeight="1" x14ac:dyDescent="0.25"/>
    <row r="10544" ht="15.75" customHeight="1" x14ac:dyDescent="0.25"/>
    <row r="10545" ht="15.75" customHeight="1" x14ac:dyDescent="0.25"/>
    <row r="10546" ht="15.75" customHeight="1" x14ac:dyDescent="0.25"/>
    <row r="10547" ht="15.75" customHeight="1" x14ac:dyDescent="0.25"/>
    <row r="10548" ht="15.75" customHeight="1" x14ac:dyDescent="0.25"/>
    <row r="10549" ht="15.75" customHeight="1" x14ac:dyDescent="0.25"/>
    <row r="10550" ht="15.75" customHeight="1" x14ac:dyDescent="0.25"/>
    <row r="10551" ht="15.75" customHeight="1" x14ac:dyDescent="0.25"/>
    <row r="10552" ht="15.75" customHeight="1" x14ac:dyDescent="0.25"/>
    <row r="10553" ht="15.75" customHeight="1" x14ac:dyDescent="0.25"/>
    <row r="10554" ht="15.75" customHeight="1" x14ac:dyDescent="0.25"/>
    <row r="10555" ht="15.75" customHeight="1" x14ac:dyDescent="0.25"/>
    <row r="10556" ht="15.75" customHeight="1" x14ac:dyDescent="0.25"/>
    <row r="10557" ht="15.75" customHeight="1" x14ac:dyDescent="0.25"/>
    <row r="10558" ht="15.75" customHeight="1" x14ac:dyDescent="0.25"/>
    <row r="10559" ht="15.75" customHeight="1" x14ac:dyDescent="0.25"/>
    <row r="10560" ht="15.75" customHeight="1" x14ac:dyDescent="0.25"/>
    <row r="10561" ht="15.75" customHeight="1" x14ac:dyDescent="0.25"/>
    <row r="10562" ht="15.75" customHeight="1" x14ac:dyDescent="0.25"/>
    <row r="10563" ht="15.75" customHeight="1" x14ac:dyDescent="0.25"/>
    <row r="10564" ht="15.75" customHeight="1" x14ac:dyDescent="0.25"/>
    <row r="10565" ht="15.75" customHeight="1" x14ac:dyDescent="0.25"/>
    <row r="10566" ht="15.75" customHeight="1" x14ac:dyDescent="0.25"/>
    <row r="10567" ht="15.75" customHeight="1" x14ac:dyDescent="0.25"/>
    <row r="10568" ht="15.75" customHeight="1" x14ac:dyDescent="0.25"/>
    <row r="10569" ht="15.75" customHeight="1" x14ac:dyDescent="0.25"/>
    <row r="10570" ht="15.75" customHeight="1" x14ac:dyDescent="0.25"/>
    <row r="10571" ht="15.75" customHeight="1" x14ac:dyDescent="0.25"/>
    <row r="10572" ht="15.75" customHeight="1" x14ac:dyDescent="0.25"/>
    <row r="10573" ht="15.75" customHeight="1" x14ac:dyDescent="0.25"/>
    <row r="10574" ht="15.75" customHeight="1" x14ac:dyDescent="0.25"/>
    <row r="10575" ht="15.75" customHeight="1" x14ac:dyDescent="0.25"/>
    <row r="10576" ht="15.75" customHeight="1" x14ac:dyDescent="0.25"/>
    <row r="10577" ht="15.75" customHeight="1" x14ac:dyDescent="0.25"/>
    <row r="10578" ht="15.75" customHeight="1" x14ac:dyDescent="0.25"/>
    <row r="10579" ht="15.75" customHeight="1" x14ac:dyDescent="0.25"/>
    <row r="10580" ht="15.75" customHeight="1" x14ac:dyDescent="0.25"/>
    <row r="10581" ht="15.75" customHeight="1" x14ac:dyDescent="0.25"/>
    <row r="10582" ht="15.75" customHeight="1" x14ac:dyDescent="0.25"/>
    <row r="10583" ht="15.75" customHeight="1" x14ac:dyDescent="0.25"/>
    <row r="10584" ht="15.75" customHeight="1" x14ac:dyDescent="0.25"/>
    <row r="10585" ht="15.75" customHeight="1" x14ac:dyDescent="0.25"/>
    <row r="10586" ht="15.75" customHeight="1" x14ac:dyDescent="0.25"/>
    <row r="10587" ht="15.75" customHeight="1" x14ac:dyDescent="0.25"/>
    <row r="10588" ht="15.75" customHeight="1" x14ac:dyDescent="0.25"/>
    <row r="10589" ht="15.75" customHeight="1" x14ac:dyDescent="0.25"/>
    <row r="10590" ht="15.75" customHeight="1" x14ac:dyDescent="0.25"/>
    <row r="10591" ht="15.75" customHeight="1" x14ac:dyDescent="0.25"/>
    <row r="10592" ht="15.75" customHeight="1" x14ac:dyDescent="0.25"/>
    <row r="10593" ht="15.75" customHeight="1" x14ac:dyDescent="0.25"/>
    <row r="10594" ht="15.75" customHeight="1" x14ac:dyDescent="0.25"/>
    <row r="10595" ht="15.75" customHeight="1" x14ac:dyDescent="0.25"/>
    <row r="10596" ht="15.75" customHeight="1" x14ac:dyDescent="0.25"/>
    <row r="10597" ht="15.75" customHeight="1" x14ac:dyDescent="0.25"/>
    <row r="10598" ht="15.75" customHeight="1" x14ac:dyDescent="0.25"/>
    <row r="10599" ht="15.75" customHeight="1" x14ac:dyDescent="0.25"/>
    <row r="10600" ht="15.75" customHeight="1" x14ac:dyDescent="0.25"/>
    <row r="10601" ht="15.75" customHeight="1" x14ac:dyDescent="0.25"/>
    <row r="10602" ht="15.75" customHeight="1" x14ac:dyDescent="0.25"/>
    <row r="10603" ht="15.75" customHeight="1" x14ac:dyDescent="0.25"/>
    <row r="10604" ht="15.75" customHeight="1" x14ac:dyDescent="0.25"/>
    <row r="10605" ht="15.75" customHeight="1" x14ac:dyDescent="0.25"/>
    <row r="10606" ht="15.75" customHeight="1" x14ac:dyDescent="0.25"/>
    <row r="10607" ht="15.75" customHeight="1" x14ac:dyDescent="0.25"/>
    <row r="10608" ht="15.75" customHeight="1" x14ac:dyDescent="0.25"/>
    <row r="10609" ht="15.75" customHeight="1" x14ac:dyDescent="0.25"/>
    <row r="10610" ht="15.75" customHeight="1" x14ac:dyDescent="0.25"/>
    <row r="10611" ht="15.75" customHeight="1" x14ac:dyDescent="0.25"/>
    <row r="10612" ht="15.75" customHeight="1" x14ac:dyDescent="0.25"/>
    <row r="10613" ht="15.75" customHeight="1" x14ac:dyDescent="0.25"/>
    <row r="10614" ht="15.75" customHeight="1" x14ac:dyDescent="0.25"/>
    <row r="10615" ht="15.75" customHeight="1" x14ac:dyDescent="0.25"/>
    <row r="10616" ht="15.75" customHeight="1" x14ac:dyDescent="0.25"/>
    <row r="10617" ht="15.75" customHeight="1" x14ac:dyDescent="0.25"/>
    <row r="10618" ht="15.75" customHeight="1" x14ac:dyDescent="0.25"/>
    <row r="10619" ht="15.75" customHeight="1" x14ac:dyDescent="0.25"/>
    <row r="10620" ht="15.75" customHeight="1" x14ac:dyDescent="0.25"/>
    <row r="10621" ht="15.75" customHeight="1" x14ac:dyDescent="0.25"/>
    <row r="10622" ht="15.75" customHeight="1" x14ac:dyDescent="0.25"/>
    <row r="10623" ht="15.75" customHeight="1" x14ac:dyDescent="0.25"/>
    <row r="10624" ht="15.75" customHeight="1" x14ac:dyDescent="0.25"/>
    <row r="10625" ht="15.75" customHeight="1" x14ac:dyDescent="0.25"/>
    <row r="10626" ht="15.75" customHeight="1" x14ac:dyDescent="0.25"/>
    <row r="10627" ht="15.75" customHeight="1" x14ac:dyDescent="0.25"/>
    <row r="10628" ht="15.75" customHeight="1" x14ac:dyDescent="0.25"/>
    <row r="10629" ht="15.75" customHeight="1" x14ac:dyDescent="0.25"/>
    <row r="10630" ht="15.75" customHeight="1" x14ac:dyDescent="0.25"/>
    <row r="10631" ht="15.75" customHeight="1" x14ac:dyDescent="0.25"/>
    <row r="10632" ht="15.75" customHeight="1" x14ac:dyDescent="0.25"/>
    <row r="10633" ht="15.75" customHeight="1" x14ac:dyDescent="0.25"/>
    <row r="10634" ht="15.75" customHeight="1" x14ac:dyDescent="0.25"/>
    <row r="10635" ht="15.75" customHeight="1" x14ac:dyDescent="0.25"/>
    <row r="10636" ht="15.75" customHeight="1" x14ac:dyDescent="0.25"/>
    <row r="10637" ht="15.75" customHeight="1" x14ac:dyDescent="0.25"/>
    <row r="10638" ht="15.75" customHeight="1" x14ac:dyDescent="0.25"/>
    <row r="10639" ht="15.75" customHeight="1" x14ac:dyDescent="0.25"/>
    <row r="10640" ht="15.75" customHeight="1" x14ac:dyDescent="0.25"/>
    <row r="10641" ht="15.75" customHeight="1" x14ac:dyDescent="0.25"/>
    <row r="10642" ht="15.75" customHeight="1" x14ac:dyDescent="0.25"/>
    <row r="10643" ht="15.75" customHeight="1" x14ac:dyDescent="0.25"/>
    <row r="10644" ht="15.75" customHeight="1" x14ac:dyDescent="0.25"/>
    <row r="10645" ht="15.75" customHeight="1" x14ac:dyDescent="0.25"/>
    <row r="10646" ht="15.75" customHeight="1" x14ac:dyDescent="0.25"/>
    <row r="10647" ht="15.75" customHeight="1" x14ac:dyDescent="0.25"/>
    <row r="10648" ht="15.75" customHeight="1" x14ac:dyDescent="0.25"/>
    <row r="10649" ht="15.75" customHeight="1" x14ac:dyDescent="0.25"/>
    <row r="10650" ht="15.75" customHeight="1" x14ac:dyDescent="0.25"/>
    <row r="10651" ht="15.75" customHeight="1" x14ac:dyDescent="0.25"/>
    <row r="10652" ht="15.75" customHeight="1" x14ac:dyDescent="0.25"/>
    <row r="10653" ht="15.75" customHeight="1" x14ac:dyDescent="0.25"/>
    <row r="10654" ht="15.75" customHeight="1" x14ac:dyDescent="0.25"/>
    <row r="10655" ht="15.75" customHeight="1" x14ac:dyDescent="0.25"/>
    <row r="10656" ht="15.75" customHeight="1" x14ac:dyDescent="0.25"/>
    <row r="10657" ht="15.75" customHeight="1" x14ac:dyDescent="0.25"/>
    <row r="10658" ht="15.75" customHeight="1" x14ac:dyDescent="0.25"/>
    <row r="10659" ht="15.75" customHeight="1" x14ac:dyDescent="0.25"/>
    <row r="10660" ht="15.75" customHeight="1" x14ac:dyDescent="0.25"/>
    <row r="10661" ht="15.75" customHeight="1" x14ac:dyDescent="0.25"/>
    <row r="10662" ht="15.75" customHeight="1" x14ac:dyDescent="0.25"/>
    <row r="10663" ht="15.75" customHeight="1" x14ac:dyDescent="0.25"/>
    <row r="10664" ht="15.75" customHeight="1" x14ac:dyDescent="0.25"/>
    <row r="10665" ht="15.75" customHeight="1" x14ac:dyDescent="0.25"/>
    <row r="10666" ht="15.75" customHeight="1" x14ac:dyDescent="0.25"/>
    <row r="10667" ht="15.75" customHeight="1" x14ac:dyDescent="0.25"/>
    <row r="10668" ht="15.75" customHeight="1" x14ac:dyDescent="0.25"/>
    <row r="10669" ht="15.75" customHeight="1" x14ac:dyDescent="0.25"/>
    <row r="10670" ht="15.75" customHeight="1" x14ac:dyDescent="0.25"/>
    <row r="10671" ht="15.75" customHeight="1" x14ac:dyDescent="0.25"/>
    <row r="10672" ht="15.75" customHeight="1" x14ac:dyDescent="0.25"/>
    <row r="10673" ht="15.75" customHeight="1" x14ac:dyDescent="0.25"/>
    <row r="10674" ht="15.75" customHeight="1" x14ac:dyDescent="0.25"/>
    <row r="10675" ht="15.75" customHeight="1" x14ac:dyDescent="0.25"/>
    <row r="10676" ht="15.75" customHeight="1" x14ac:dyDescent="0.25"/>
    <row r="10677" ht="15.75" customHeight="1" x14ac:dyDescent="0.25"/>
    <row r="10678" ht="15.75" customHeight="1" x14ac:dyDescent="0.25"/>
    <row r="10679" ht="15.75" customHeight="1" x14ac:dyDescent="0.25"/>
    <row r="10680" ht="15.75" customHeight="1" x14ac:dyDescent="0.25"/>
    <row r="10681" ht="15.75" customHeight="1" x14ac:dyDescent="0.25"/>
    <row r="10682" ht="15.75" customHeight="1" x14ac:dyDescent="0.25"/>
    <row r="10683" ht="15.75" customHeight="1" x14ac:dyDescent="0.25"/>
    <row r="10684" ht="15.75" customHeight="1" x14ac:dyDescent="0.25"/>
    <row r="10685" ht="15.75" customHeight="1" x14ac:dyDescent="0.25"/>
    <row r="10686" ht="15.75" customHeight="1" x14ac:dyDescent="0.25"/>
    <row r="10687" ht="15.75" customHeight="1" x14ac:dyDescent="0.25"/>
    <row r="10688" ht="15.75" customHeight="1" x14ac:dyDescent="0.25"/>
    <row r="10689" ht="15.75" customHeight="1" x14ac:dyDescent="0.25"/>
    <row r="10690" ht="15.75" customHeight="1" x14ac:dyDescent="0.25"/>
    <row r="10691" ht="15.75" customHeight="1" x14ac:dyDescent="0.25"/>
    <row r="10692" ht="15.75" customHeight="1" x14ac:dyDescent="0.25"/>
    <row r="10693" ht="15.75" customHeight="1" x14ac:dyDescent="0.25"/>
    <row r="10694" ht="15.75" customHeight="1" x14ac:dyDescent="0.25"/>
    <row r="10695" ht="15.75" customHeight="1" x14ac:dyDescent="0.25"/>
    <row r="10696" ht="15.75" customHeight="1" x14ac:dyDescent="0.25"/>
    <row r="10697" ht="15.75" customHeight="1" x14ac:dyDescent="0.25"/>
    <row r="10698" ht="15.75" customHeight="1" x14ac:dyDescent="0.25"/>
    <row r="10699" ht="15.75" customHeight="1" x14ac:dyDescent="0.25"/>
    <row r="10700" ht="15.75" customHeight="1" x14ac:dyDescent="0.25"/>
    <row r="10701" ht="15.75" customHeight="1" x14ac:dyDescent="0.25"/>
    <row r="10702" ht="15.75" customHeight="1" x14ac:dyDescent="0.25"/>
    <row r="10703" ht="15.75" customHeight="1" x14ac:dyDescent="0.25"/>
    <row r="10704" ht="15.75" customHeight="1" x14ac:dyDescent="0.25"/>
    <row r="10705" ht="15.75" customHeight="1" x14ac:dyDescent="0.25"/>
    <row r="10706" ht="15.75" customHeight="1" x14ac:dyDescent="0.25"/>
    <row r="10707" ht="15.75" customHeight="1" x14ac:dyDescent="0.25"/>
    <row r="10708" ht="15.75" customHeight="1" x14ac:dyDescent="0.25"/>
    <row r="10709" ht="15.75" customHeight="1" x14ac:dyDescent="0.25"/>
    <row r="10710" ht="15.75" customHeight="1" x14ac:dyDescent="0.25"/>
    <row r="10711" ht="15.75" customHeight="1" x14ac:dyDescent="0.25"/>
    <row r="10712" ht="15.75" customHeight="1" x14ac:dyDescent="0.25"/>
    <row r="10713" ht="15.75" customHeight="1" x14ac:dyDescent="0.25"/>
    <row r="10714" ht="15.75" customHeight="1" x14ac:dyDescent="0.25"/>
    <row r="10715" ht="15.75" customHeight="1" x14ac:dyDescent="0.25"/>
    <row r="10716" ht="15.75" customHeight="1" x14ac:dyDescent="0.25"/>
    <row r="10717" ht="15.75" customHeight="1" x14ac:dyDescent="0.25"/>
    <row r="10718" ht="15.75" customHeight="1" x14ac:dyDescent="0.25"/>
    <row r="10719" ht="15.75" customHeight="1" x14ac:dyDescent="0.25"/>
    <row r="10720" ht="15.75" customHeight="1" x14ac:dyDescent="0.25"/>
    <row r="10721" ht="15.75" customHeight="1" x14ac:dyDescent="0.25"/>
    <row r="10722" ht="15.75" customHeight="1" x14ac:dyDescent="0.25"/>
    <row r="10723" ht="15.75" customHeight="1" x14ac:dyDescent="0.25"/>
    <row r="10724" ht="15.75" customHeight="1" x14ac:dyDescent="0.25"/>
    <row r="10725" ht="15.75" customHeight="1" x14ac:dyDescent="0.25"/>
    <row r="10726" ht="15.75" customHeight="1" x14ac:dyDescent="0.25"/>
    <row r="10727" ht="15.75" customHeight="1" x14ac:dyDescent="0.25"/>
    <row r="10728" ht="15.75" customHeight="1" x14ac:dyDescent="0.25"/>
    <row r="10729" ht="15.75" customHeight="1" x14ac:dyDescent="0.25"/>
    <row r="10730" ht="15.75" customHeight="1" x14ac:dyDescent="0.25"/>
    <row r="10731" ht="15.75" customHeight="1" x14ac:dyDescent="0.25"/>
    <row r="10732" ht="15.75" customHeight="1" x14ac:dyDescent="0.25"/>
    <row r="10733" ht="15.75" customHeight="1" x14ac:dyDescent="0.25"/>
    <row r="10734" ht="15.75" customHeight="1" x14ac:dyDescent="0.25"/>
    <row r="10735" ht="15.75" customHeight="1" x14ac:dyDescent="0.25"/>
    <row r="10736" ht="15.75" customHeight="1" x14ac:dyDescent="0.25"/>
    <row r="10737" ht="15.75" customHeight="1" x14ac:dyDescent="0.25"/>
    <row r="10738" ht="15.75" customHeight="1" x14ac:dyDescent="0.25"/>
    <row r="10739" ht="15.75" customHeight="1" x14ac:dyDescent="0.25"/>
    <row r="10740" ht="15.75" customHeight="1" x14ac:dyDescent="0.25"/>
    <row r="10741" ht="15.75" customHeight="1" x14ac:dyDescent="0.25"/>
    <row r="10742" ht="15.75" customHeight="1" x14ac:dyDescent="0.25"/>
    <row r="10743" ht="15.75" customHeight="1" x14ac:dyDescent="0.25"/>
    <row r="10744" ht="15.75" customHeight="1" x14ac:dyDescent="0.25"/>
    <row r="10745" ht="15.75" customHeight="1" x14ac:dyDescent="0.25"/>
    <row r="10746" ht="15.75" customHeight="1" x14ac:dyDescent="0.25"/>
    <row r="10747" ht="15.75" customHeight="1" x14ac:dyDescent="0.25"/>
    <row r="10748" ht="15.75" customHeight="1" x14ac:dyDescent="0.25"/>
    <row r="10749" ht="15.75" customHeight="1" x14ac:dyDescent="0.25"/>
    <row r="10750" ht="15.75" customHeight="1" x14ac:dyDescent="0.25"/>
    <row r="10751" ht="15.75" customHeight="1" x14ac:dyDescent="0.25"/>
    <row r="10752" ht="15.75" customHeight="1" x14ac:dyDescent="0.25"/>
    <row r="10753" ht="15.75" customHeight="1" x14ac:dyDescent="0.25"/>
    <row r="10754" ht="15.75" customHeight="1" x14ac:dyDescent="0.25"/>
    <row r="10755" ht="15.75" customHeight="1" x14ac:dyDescent="0.25"/>
    <row r="10756" ht="15.75" customHeight="1" x14ac:dyDescent="0.25"/>
    <row r="10757" ht="15.75" customHeight="1" x14ac:dyDescent="0.25"/>
    <row r="10758" ht="15.75" customHeight="1" x14ac:dyDescent="0.25"/>
    <row r="10759" ht="15.75" customHeight="1" x14ac:dyDescent="0.25"/>
    <row r="10760" ht="15.75" customHeight="1" x14ac:dyDescent="0.25"/>
    <row r="10761" ht="15.75" customHeight="1" x14ac:dyDescent="0.25"/>
    <row r="10762" ht="15.75" customHeight="1" x14ac:dyDescent="0.25"/>
    <row r="10763" ht="15.75" customHeight="1" x14ac:dyDescent="0.25"/>
    <row r="10764" ht="15.75" customHeight="1" x14ac:dyDescent="0.25"/>
    <row r="10765" ht="15.75" customHeight="1" x14ac:dyDescent="0.25"/>
    <row r="10766" ht="15.75" customHeight="1" x14ac:dyDescent="0.25"/>
    <row r="10767" ht="15.75" customHeight="1" x14ac:dyDescent="0.25"/>
    <row r="10768" ht="15.75" customHeight="1" x14ac:dyDescent="0.25"/>
    <row r="10769" ht="15.75" customHeight="1" x14ac:dyDescent="0.25"/>
    <row r="10770" ht="15.75" customHeight="1" x14ac:dyDescent="0.25"/>
    <row r="10771" ht="15.75" customHeight="1" x14ac:dyDescent="0.25"/>
    <row r="10772" ht="15.75" customHeight="1" x14ac:dyDescent="0.25"/>
    <row r="10773" ht="15.75" customHeight="1" x14ac:dyDescent="0.25"/>
    <row r="10774" ht="15.75" customHeight="1" x14ac:dyDescent="0.25"/>
    <row r="10775" ht="15.75" customHeight="1" x14ac:dyDescent="0.25"/>
    <row r="10776" ht="15.75" customHeight="1" x14ac:dyDescent="0.25"/>
    <row r="10777" ht="15.75" customHeight="1" x14ac:dyDescent="0.25"/>
    <row r="10778" ht="15.75" customHeight="1" x14ac:dyDescent="0.25"/>
    <row r="10779" ht="15.75" customHeight="1" x14ac:dyDescent="0.25"/>
    <row r="10780" ht="15.75" customHeight="1" x14ac:dyDescent="0.25"/>
    <row r="10781" ht="15.75" customHeight="1" x14ac:dyDescent="0.25"/>
    <row r="10782" ht="15.75" customHeight="1" x14ac:dyDescent="0.25"/>
    <row r="10783" ht="15.75" customHeight="1" x14ac:dyDescent="0.25"/>
    <row r="10784" ht="15.75" customHeight="1" x14ac:dyDescent="0.25"/>
    <row r="10785" ht="15.75" customHeight="1" x14ac:dyDescent="0.25"/>
    <row r="10786" ht="15.75" customHeight="1" x14ac:dyDescent="0.25"/>
    <row r="10787" ht="15.75" customHeight="1" x14ac:dyDescent="0.25"/>
    <row r="10788" ht="15.75" customHeight="1" x14ac:dyDescent="0.25"/>
    <row r="10789" ht="15.75" customHeight="1" x14ac:dyDescent="0.25"/>
    <row r="10790" ht="15.75" customHeight="1" x14ac:dyDescent="0.25"/>
    <row r="10791" ht="15.75" customHeight="1" x14ac:dyDescent="0.25"/>
    <row r="10792" ht="15.75" customHeight="1" x14ac:dyDescent="0.25"/>
    <row r="10793" ht="15.75" customHeight="1" x14ac:dyDescent="0.25"/>
    <row r="10794" ht="15.75" customHeight="1" x14ac:dyDescent="0.25"/>
    <row r="10795" ht="15.75" customHeight="1" x14ac:dyDescent="0.25"/>
    <row r="10796" ht="15.75" customHeight="1" x14ac:dyDescent="0.25"/>
    <row r="10797" ht="15.75" customHeight="1" x14ac:dyDescent="0.25"/>
    <row r="10798" ht="15.75" customHeight="1" x14ac:dyDescent="0.25"/>
    <row r="10799" ht="15.75" customHeight="1" x14ac:dyDescent="0.25"/>
    <row r="10800" ht="15.75" customHeight="1" x14ac:dyDescent="0.25"/>
    <row r="10801" ht="15.75" customHeight="1" x14ac:dyDescent="0.25"/>
    <row r="10802" ht="15.75" customHeight="1" x14ac:dyDescent="0.25"/>
    <row r="10803" ht="15.75" customHeight="1" x14ac:dyDescent="0.25"/>
    <row r="10804" ht="15.75" customHeight="1" x14ac:dyDescent="0.25"/>
    <row r="10805" ht="15.75" customHeight="1" x14ac:dyDescent="0.25"/>
    <row r="10806" ht="15.75" customHeight="1" x14ac:dyDescent="0.25"/>
    <row r="10807" ht="15.75" customHeight="1" x14ac:dyDescent="0.25"/>
    <row r="10808" ht="15.75" customHeight="1" x14ac:dyDescent="0.25"/>
    <row r="10809" ht="15.75" customHeight="1" x14ac:dyDescent="0.25"/>
    <row r="10810" ht="15.75" customHeight="1" x14ac:dyDescent="0.25"/>
    <row r="10811" ht="15.75" customHeight="1" x14ac:dyDescent="0.25"/>
    <row r="10812" ht="15.75" customHeight="1" x14ac:dyDescent="0.25"/>
    <row r="10813" ht="15.75" customHeight="1" x14ac:dyDescent="0.25"/>
    <row r="10814" ht="15.75" customHeight="1" x14ac:dyDescent="0.25"/>
    <row r="10815" ht="15.75" customHeight="1" x14ac:dyDescent="0.25"/>
    <row r="10816" ht="15.75" customHeight="1" x14ac:dyDescent="0.25"/>
    <row r="10817" ht="15.75" customHeight="1" x14ac:dyDescent="0.25"/>
    <row r="10818" ht="15.75" customHeight="1" x14ac:dyDescent="0.25"/>
    <row r="10819" ht="15.75" customHeight="1" x14ac:dyDescent="0.25"/>
    <row r="10820" ht="15.75" customHeight="1" x14ac:dyDescent="0.25"/>
    <row r="10821" ht="15.75" customHeight="1" x14ac:dyDescent="0.25"/>
    <row r="10822" ht="15.75" customHeight="1" x14ac:dyDescent="0.25"/>
    <row r="10823" ht="15.75" customHeight="1" x14ac:dyDescent="0.25"/>
    <row r="10824" ht="15.75" customHeight="1" x14ac:dyDescent="0.25"/>
    <row r="10825" ht="15.75" customHeight="1" x14ac:dyDescent="0.25"/>
    <row r="10826" ht="15.75" customHeight="1" x14ac:dyDescent="0.25"/>
    <row r="10827" ht="15.75" customHeight="1" x14ac:dyDescent="0.25"/>
    <row r="10828" ht="15.75" customHeight="1" x14ac:dyDescent="0.25"/>
    <row r="10829" ht="15.75" customHeight="1" x14ac:dyDescent="0.25"/>
    <row r="10830" ht="15.75" customHeight="1" x14ac:dyDescent="0.25"/>
    <row r="10831" ht="15.75" customHeight="1" x14ac:dyDescent="0.25"/>
    <row r="10832" ht="15.75" customHeight="1" x14ac:dyDescent="0.25"/>
    <row r="10833" ht="15.75" customHeight="1" x14ac:dyDescent="0.25"/>
    <row r="10834" ht="15.75" customHeight="1" x14ac:dyDescent="0.25"/>
    <row r="10835" ht="15.75" customHeight="1" x14ac:dyDescent="0.25"/>
    <row r="10836" ht="15.75" customHeight="1" x14ac:dyDescent="0.25"/>
    <row r="10837" ht="15.75" customHeight="1" x14ac:dyDescent="0.25"/>
    <row r="10838" ht="15.75" customHeight="1" x14ac:dyDescent="0.25"/>
    <row r="10839" ht="15.75" customHeight="1" x14ac:dyDescent="0.25"/>
    <row r="10840" ht="15.75" customHeight="1" x14ac:dyDescent="0.25"/>
    <row r="10841" ht="15.75" customHeight="1" x14ac:dyDescent="0.25"/>
    <row r="10842" ht="15.75" customHeight="1" x14ac:dyDescent="0.25"/>
    <row r="10843" ht="15.75" customHeight="1" x14ac:dyDescent="0.25"/>
    <row r="10844" ht="15.75" customHeight="1" x14ac:dyDescent="0.25"/>
    <row r="10845" ht="15.75" customHeight="1" x14ac:dyDescent="0.25"/>
    <row r="10846" ht="15.75" customHeight="1" x14ac:dyDescent="0.25"/>
    <row r="10847" ht="15.75" customHeight="1" x14ac:dyDescent="0.25"/>
    <row r="10848" ht="15.75" customHeight="1" x14ac:dyDescent="0.25"/>
    <row r="10849" ht="15.75" customHeight="1" x14ac:dyDescent="0.25"/>
    <row r="10850" ht="15.75" customHeight="1" x14ac:dyDescent="0.25"/>
    <row r="10851" ht="15.75" customHeight="1" x14ac:dyDescent="0.25"/>
    <row r="10852" ht="15.75" customHeight="1" x14ac:dyDescent="0.25"/>
    <row r="10853" ht="15.75" customHeight="1" x14ac:dyDescent="0.25"/>
    <row r="10854" ht="15.75" customHeight="1" x14ac:dyDescent="0.25"/>
    <row r="10855" ht="15.75" customHeight="1" x14ac:dyDescent="0.25"/>
    <row r="10856" ht="15.75" customHeight="1" x14ac:dyDescent="0.25"/>
    <row r="10857" ht="15.75" customHeight="1" x14ac:dyDescent="0.25"/>
    <row r="10858" ht="15.75" customHeight="1" x14ac:dyDescent="0.25"/>
    <row r="10859" ht="15.75" customHeight="1" x14ac:dyDescent="0.25"/>
    <row r="10860" ht="15.75" customHeight="1" x14ac:dyDescent="0.25"/>
    <row r="10861" ht="15.75" customHeight="1" x14ac:dyDescent="0.25"/>
    <row r="10862" ht="15.75" customHeight="1" x14ac:dyDescent="0.25"/>
    <row r="10863" ht="15.75" customHeight="1" x14ac:dyDescent="0.25"/>
    <row r="10864" ht="15.75" customHeight="1" x14ac:dyDescent="0.25"/>
    <row r="10865" ht="15.75" customHeight="1" x14ac:dyDescent="0.25"/>
    <row r="10866" ht="15.75" customHeight="1" x14ac:dyDescent="0.25"/>
    <row r="10867" ht="15.75" customHeight="1" x14ac:dyDescent="0.25"/>
    <row r="10868" ht="15.75" customHeight="1" x14ac:dyDescent="0.25"/>
    <row r="10869" ht="15.75" customHeight="1" x14ac:dyDescent="0.25"/>
    <row r="10870" ht="15.75" customHeight="1" x14ac:dyDescent="0.25"/>
    <row r="10871" ht="15.75" customHeight="1" x14ac:dyDescent="0.25"/>
    <row r="10872" ht="15.75" customHeight="1" x14ac:dyDescent="0.25"/>
    <row r="10873" ht="15.75" customHeight="1" x14ac:dyDescent="0.25"/>
    <row r="10874" ht="15.75" customHeight="1" x14ac:dyDescent="0.25"/>
    <row r="10875" ht="15.75" customHeight="1" x14ac:dyDescent="0.25"/>
    <row r="10876" ht="15.75" customHeight="1" x14ac:dyDescent="0.25"/>
    <row r="10877" ht="15.75" customHeight="1" x14ac:dyDescent="0.25"/>
    <row r="10878" ht="15.75" customHeight="1" x14ac:dyDescent="0.25"/>
    <row r="10879" ht="15.75" customHeight="1" x14ac:dyDescent="0.25"/>
    <row r="10880" ht="15.75" customHeight="1" x14ac:dyDescent="0.25"/>
    <row r="10881" ht="15.75" customHeight="1" x14ac:dyDescent="0.25"/>
    <row r="10882" ht="15.75" customHeight="1" x14ac:dyDescent="0.25"/>
    <row r="10883" ht="15.75" customHeight="1" x14ac:dyDescent="0.25"/>
    <row r="10884" ht="15.75" customHeight="1" x14ac:dyDescent="0.25"/>
    <row r="10885" ht="15.75" customHeight="1" x14ac:dyDescent="0.25"/>
    <row r="10886" ht="15.75" customHeight="1" x14ac:dyDescent="0.25"/>
    <row r="10887" ht="15.75" customHeight="1" x14ac:dyDescent="0.25"/>
    <row r="10888" ht="15.75" customHeight="1" x14ac:dyDescent="0.25"/>
    <row r="10889" ht="15.75" customHeight="1" x14ac:dyDescent="0.25"/>
    <row r="10890" ht="15.75" customHeight="1" x14ac:dyDescent="0.25"/>
    <row r="10891" ht="15.75" customHeight="1" x14ac:dyDescent="0.25"/>
    <row r="10892" ht="15.75" customHeight="1" x14ac:dyDescent="0.25"/>
    <row r="10893" ht="15.75" customHeight="1" x14ac:dyDescent="0.25"/>
    <row r="10894" ht="15.75" customHeight="1" x14ac:dyDescent="0.25"/>
    <row r="10895" ht="15.75" customHeight="1" x14ac:dyDescent="0.25"/>
    <row r="10896" ht="15.75" customHeight="1" x14ac:dyDescent="0.25"/>
    <row r="10897" ht="15.75" customHeight="1" x14ac:dyDescent="0.25"/>
    <row r="10898" ht="15.75" customHeight="1" x14ac:dyDescent="0.25"/>
    <row r="10899" ht="15.75" customHeight="1" x14ac:dyDescent="0.25"/>
  </sheetData>
  <autoFilter ref="B1:G42" xr:uid="{61FC7F12-0468-4621-8477-76EE3DE7E135}"/>
  <sortState xmlns:xlrd2="http://schemas.microsoft.com/office/spreadsheetml/2017/richdata2" ref="B2:H64">
    <sortCondition ref="G2:G64"/>
  </sortState>
  <conditionalFormatting sqref="C1">
    <cfRule type="duplicateValues" dxfId="15" priority="159"/>
  </conditionalFormatting>
  <conditionalFormatting sqref="H2:H10899">
    <cfRule type="cellIs" dxfId="14" priority="2" operator="notEqual">
      <formula>10</formula>
    </cfRule>
  </conditionalFormatting>
  <conditionalFormatting sqref="C1:C1048576">
    <cfRule type="duplicateValues" dxfId="13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32746-E0AB-408B-BCE9-3A1C765C7C9C}">
  <sheetPr codeName="Planilha13"/>
  <dimension ref="A1:H9"/>
  <sheetViews>
    <sheetView topLeftCell="A2" workbookViewId="0">
      <selection activeCell="I21" sqref="I21"/>
    </sheetView>
  </sheetViews>
  <sheetFormatPr defaultColWidth="18.140625" defaultRowHeight="17.45" customHeight="1" x14ac:dyDescent="0.25"/>
  <cols>
    <col min="1" max="1" width="18.140625" style="75"/>
    <col min="2" max="3" width="18.140625" style="82"/>
    <col min="4" max="4" width="21.7109375" style="82" customWidth="1"/>
    <col min="5" max="5" width="21.140625" style="82" customWidth="1"/>
    <col min="6" max="7" width="18.140625" style="78"/>
    <col min="8" max="8" width="22.85546875" style="82" customWidth="1"/>
    <col min="9" max="16384" width="18.140625" style="78"/>
  </cols>
  <sheetData>
    <row r="1" spans="1:8" ht="38.25" thickBot="1" x14ac:dyDescent="0.3">
      <c r="B1" s="76"/>
      <c r="C1" s="77"/>
      <c r="D1" s="77"/>
      <c r="E1" s="77"/>
      <c r="F1" s="77"/>
      <c r="G1" s="77"/>
      <c r="H1" s="77"/>
    </row>
    <row r="2" spans="1:8" s="82" customFormat="1" ht="39" thickTop="1" thickBot="1" x14ac:dyDescent="0.3">
      <c r="A2" s="75"/>
      <c r="B2" s="132" t="s">
        <v>3309</v>
      </c>
      <c r="C2" s="79" t="s">
        <v>3310</v>
      </c>
      <c r="D2" s="80"/>
      <c r="E2" s="81"/>
      <c r="F2" s="79" t="s">
        <v>3311</v>
      </c>
      <c r="G2" s="80"/>
      <c r="H2" s="81"/>
    </row>
    <row r="3" spans="1:8" s="82" customFormat="1" ht="39" thickTop="1" thickBot="1" x14ac:dyDescent="0.3">
      <c r="A3" s="75"/>
      <c r="B3" s="133"/>
      <c r="C3" s="83" t="s">
        <v>3312</v>
      </c>
      <c r="D3" s="83" t="s">
        <v>3313</v>
      </c>
      <c r="E3" s="83" t="s">
        <v>10</v>
      </c>
      <c r="F3" s="83" t="s">
        <v>3312</v>
      </c>
      <c r="G3" s="83" t="s">
        <v>3313</v>
      </c>
      <c r="H3" s="83" t="s">
        <v>10</v>
      </c>
    </row>
    <row r="4" spans="1:8" ht="38.25" thickTop="1" x14ac:dyDescent="0.25">
      <c r="B4" s="84" t="s">
        <v>3314</v>
      </c>
      <c r="C4" s="85">
        <v>1</v>
      </c>
      <c r="D4" s="86">
        <v>36</v>
      </c>
      <c r="E4" s="86">
        <f>C4*D4</f>
        <v>36</v>
      </c>
      <c r="F4" s="85">
        <f>C4*23</f>
        <v>23</v>
      </c>
      <c r="G4" s="87">
        <v>1</v>
      </c>
      <c r="H4" s="86">
        <f>F4*G4</f>
        <v>23</v>
      </c>
    </row>
    <row r="5" spans="1:8" ht="37.5" x14ac:dyDescent="0.25">
      <c r="B5" s="88" t="s">
        <v>3315</v>
      </c>
      <c r="C5" s="89">
        <v>1</v>
      </c>
      <c r="D5" s="90">
        <v>30.32</v>
      </c>
      <c r="E5" s="90">
        <f>C5*D5</f>
        <v>30.32</v>
      </c>
      <c r="F5" s="89">
        <f>C5*24</f>
        <v>24</v>
      </c>
      <c r="G5" s="91">
        <v>1.5</v>
      </c>
      <c r="H5" s="90">
        <f>F5*G5</f>
        <v>36</v>
      </c>
    </row>
    <row r="6" spans="1:8" ht="38.25" thickBot="1" x14ac:dyDescent="0.3">
      <c r="B6" s="92" t="s">
        <v>3316</v>
      </c>
      <c r="C6" s="93">
        <v>1</v>
      </c>
      <c r="D6" s="94">
        <v>30.32</v>
      </c>
      <c r="E6" s="94">
        <f>C6*D6</f>
        <v>30.32</v>
      </c>
      <c r="F6" s="93">
        <f>C6*12</f>
        <v>12</v>
      </c>
      <c r="G6" s="95">
        <v>2</v>
      </c>
      <c r="H6" s="94">
        <f>F6*G6</f>
        <v>24</v>
      </c>
    </row>
    <row r="7" spans="1:8" ht="39" thickTop="1" thickBot="1" x14ac:dyDescent="0.3"/>
    <row r="8" spans="1:8" ht="39" thickTop="1" thickBot="1" x14ac:dyDescent="0.3">
      <c r="B8" s="83" t="s">
        <v>10</v>
      </c>
      <c r="C8" s="134">
        <f>SUM(E4:E6,H4:H6)</f>
        <v>179.64</v>
      </c>
      <c r="D8" s="135"/>
    </row>
    <row r="9" spans="1:8" ht="38.25" thickTop="1" x14ac:dyDescent="0.25"/>
  </sheetData>
  <mergeCells count="2">
    <mergeCell ref="B2:B3"/>
    <mergeCell ref="C8:D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B9DBE-6F3A-4CC0-945E-ADC96EF72D29}">
  <sheetPr codeName="Planilha6">
    <tabColor rgb="FF0070C0"/>
  </sheetPr>
  <dimension ref="A1:X22"/>
  <sheetViews>
    <sheetView workbookViewId="0">
      <selection activeCell="I21" sqref="I21"/>
    </sheetView>
  </sheetViews>
  <sheetFormatPr defaultColWidth="0" defaultRowHeight="15" customHeight="1" zeroHeight="1" x14ac:dyDescent="0.25"/>
  <cols>
    <col min="1" max="1" width="11.7109375" style="21" customWidth="1"/>
    <col min="2" max="2" width="12.42578125" style="28" customWidth="1"/>
    <col min="3" max="6" width="8.7109375" style="28" customWidth="1"/>
    <col min="7" max="7" width="8.7109375" style="2" customWidth="1"/>
    <col min="8" max="10" width="8.7109375" style="28" customWidth="1"/>
    <col min="11" max="12" width="8.7109375" style="2" customWidth="1"/>
    <col min="13" max="13" width="10.7109375" style="2" customWidth="1"/>
    <col min="14" max="14" width="8.7109375" style="2" customWidth="1"/>
    <col min="15" max="15" width="22.28515625" style="21" customWidth="1"/>
    <col min="16" max="16" width="10.7109375" style="21" customWidth="1"/>
    <col min="17" max="19" width="10.7109375" style="29" customWidth="1"/>
    <col min="20" max="20" width="26.7109375" style="29" customWidth="1"/>
    <col min="21" max="21" width="0" style="29" hidden="1" customWidth="1"/>
    <col min="22" max="24" width="0" style="21" hidden="1" customWidth="1"/>
    <col min="25" max="16384" width="10.7109375" style="21" hidden="1"/>
  </cols>
  <sheetData>
    <row r="1" spans="1:24" ht="18" x14ac:dyDescent="0.25">
      <c r="A1" s="136" t="s">
        <v>3318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8"/>
      <c r="P1" s="29"/>
      <c r="T1" s="21"/>
      <c r="U1" s="21"/>
    </row>
    <row r="2" spans="1:24" ht="18" x14ac:dyDescent="0.25">
      <c r="A2" s="139" t="s">
        <v>3317</v>
      </c>
      <c r="B2" s="142" t="s">
        <v>0</v>
      </c>
      <c r="C2" s="142">
        <v>300</v>
      </c>
      <c r="D2" s="142"/>
      <c r="E2" s="142"/>
      <c r="F2" s="142">
        <v>600</v>
      </c>
      <c r="G2" s="142"/>
      <c r="H2" s="142"/>
      <c r="I2" s="142" t="s">
        <v>15</v>
      </c>
      <c r="J2" s="142"/>
      <c r="K2" s="142"/>
      <c r="L2" s="142">
        <v>51</v>
      </c>
      <c r="M2" s="142"/>
      <c r="N2" s="142"/>
      <c r="O2" s="143" t="s">
        <v>3320</v>
      </c>
      <c r="Q2" s="21"/>
      <c r="V2" s="29"/>
    </row>
    <row r="3" spans="1:24" ht="18" x14ac:dyDescent="0.25">
      <c r="A3" s="139"/>
      <c r="B3" s="142"/>
      <c r="C3" s="104" t="s">
        <v>18</v>
      </c>
      <c r="D3" s="105" t="s">
        <v>16</v>
      </c>
      <c r="E3" s="105" t="s">
        <v>17</v>
      </c>
      <c r="F3" s="104" t="s">
        <v>18</v>
      </c>
      <c r="G3" s="105" t="s">
        <v>16</v>
      </c>
      <c r="H3" s="105" t="s">
        <v>17</v>
      </c>
      <c r="I3" s="104" t="s">
        <v>18</v>
      </c>
      <c r="J3" s="105" t="s">
        <v>16</v>
      </c>
      <c r="K3" s="105" t="s">
        <v>17</v>
      </c>
      <c r="L3" s="104" t="s">
        <v>18</v>
      </c>
      <c r="M3" s="105" t="s">
        <v>16</v>
      </c>
      <c r="N3" s="105" t="s">
        <v>17</v>
      </c>
      <c r="O3" s="143"/>
    </row>
    <row r="4" spans="1:24" ht="15" customHeight="1" thickBot="1" x14ac:dyDescent="0.3">
      <c r="A4" s="97"/>
      <c r="B4" s="106"/>
      <c r="C4" s="31"/>
      <c r="D4" s="31"/>
      <c r="E4" s="31"/>
      <c r="F4" s="31"/>
      <c r="G4" s="31"/>
      <c r="H4" s="31"/>
      <c r="I4" s="31"/>
      <c r="J4" s="31"/>
      <c r="K4" s="96"/>
      <c r="L4" s="31"/>
      <c r="M4" s="31"/>
      <c r="N4" s="31"/>
      <c r="O4" s="107">
        <f>IF(E4&lt;0, (E4 * -1) * (PrecoVasilhame!$D$4+PrecoVasilhame!$D$4), 0) +
IF(H4&lt;0, (H4 * -1) * (PrecoVasilhame!$D$5 + PrecoVasilhame!$H$5), 0) +
IF(K4&lt;0, (K4 * -1) * (PrecoVasilhame!$D$6 +PrecoVasilhame!$H$6), 0)</f>
        <v>0</v>
      </c>
    </row>
    <row r="5" spans="1:24" ht="15" customHeight="1" thickBot="1" x14ac:dyDescent="0.3">
      <c r="A5" s="97"/>
      <c r="B5" s="106"/>
      <c r="C5" s="31"/>
      <c r="D5" s="31"/>
      <c r="E5" s="96"/>
      <c r="F5" s="96"/>
      <c r="G5" s="96"/>
      <c r="H5" s="96"/>
      <c r="I5" s="31"/>
      <c r="J5" s="31"/>
      <c r="K5" s="96"/>
      <c r="L5" s="31"/>
      <c r="M5" s="31"/>
      <c r="N5" s="96"/>
      <c r="O5" s="107">
        <f>IF(E5&lt;0, (E5 * -1) * (PrecoVasilhame!$D$4+PrecoVasilhame!$D$4), 0) +
IF(H5&lt;0, (H5 * -1) * (PrecoVasilhame!$D$5 + PrecoVasilhame!$H$5), 0) +
IF(K5&lt;0, (K5 * -1) * (PrecoVasilhame!$D$6 +PrecoVasilhame!$H$6), 0)</f>
        <v>0</v>
      </c>
      <c r="W5" s="140"/>
      <c r="X5" s="141"/>
    </row>
    <row r="6" spans="1:24" ht="15" customHeight="1" x14ac:dyDescent="0.25">
      <c r="A6" s="97"/>
      <c r="B6" s="106"/>
      <c r="C6" s="31"/>
      <c r="D6" s="31"/>
      <c r="E6" s="96"/>
      <c r="F6" s="96"/>
      <c r="G6" s="96"/>
      <c r="H6" s="96"/>
      <c r="I6" s="31"/>
      <c r="J6" s="31"/>
      <c r="K6" s="96"/>
      <c r="L6" s="31"/>
      <c r="M6" s="31"/>
      <c r="N6" s="96"/>
      <c r="O6" s="107">
        <f>IF(E6&lt;0, (E6 * -1) * (PrecoVasilhame!$D$4+PrecoVasilhame!$D$4), 0) +
IF(H6&lt;0, (H6 * -1) * (PrecoVasilhame!$D$5 + PrecoVasilhame!$H$5), 0) +
IF(K6&lt;0, (K6 * -1) * (PrecoVasilhame!$D$6 +PrecoVasilhame!$H$6), 0)</f>
        <v>0</v>
      </c>
      <c r="W6" s="22"/>
      <c r="X6" s="23"/>
    </row>
    <row r="7" spans="1:24" ht="15" customHeight="1" x14ac:dyDescent="0.25">
      <c r="A7" s="97"/>
      <c r="B7" s="106"/>
      <c r="C7" s="31"/>
      <c r="D7" s="31"/>
      <c r="E7" s="96"/>
      <c r="F7" s="96"/>
      <c r="G7" s="96"/>
      <c r="H7" s="96"/>
      <c r="I7" s="31"/>
      <c r="J7" s="31"/>
      <c r="K7" s="96"/>
      <c r="L7" s="31"/>
      <c r="M7" s="31"/>
      <c r="N7" s="96"/>
      <c r="O7" s="107">
        <f>IF(E7&lt;0, (E7 * -1) * (PrecoVasilhame!$D$4+PrecoVasilhame!$D$4), 0) +
IF(H7&lt;0, (H7 * -1) * (PrecoVasilhame!$D$5 + PrecoVasilhame!$H$5), 0) +
IF(K7&lt;0, (K7 * -1) * (PrecoVasilhame!$D$6 +PrecoVasilhame!$H$6), 0)</f>
        <v>0</v>
      </c>
      <c r="W7" s="24"/>
      <c r="X7" s="25"/>
    </row>
    <row r="8" spans="1:24" ht="15" customHeight="1" x14ac:dyDescent="0.25">
      <c r="A8" s="97"/>
      <c r="B8" s="106"/>
      <c r="C8" s="31"/>
      <c r="D8" s="31"/>
      <c r="E8" s="96"/>
      <c r="F8" s="96"/>
      <c r="G8" s="96"/>
      <c r="H8" s="96"/>
      <c r="I8" s="31"/>
      <c r="J8" s="31"/>
      <c r="K8" s="96"/>
      <c r="L8" s="31"/>
      <c r="M8" s="31"/>
      <c r="N8" s="96"/>
      <c r="O8" s="107">
        <f>IF(E8&lt;0, (E8 * -1) * (PrecoVasilhame!$D$4+PrecoVasilhame!$D$4), 0) +
IF(H8&lt;0, (H8 * -1) * (PrecoVasilhame!$D$5 + PrecoVasilhame!$H$5), 0) +
IF(K8&lt;0, (K8 * -1) * (PrecoVasilhame!$D$6 +PrecoVasilhame!$H$6), 0)</f>
        <v>0</v>
      </c>
      <c r="W8" s="24"/>
      <c r="X8" s="25"/>
    </row>
    <row r="9" spans="1:24" ht="15" customHeight="1" thickBot="1" x14ac:dyDescent="0.3">
      <c r="A9" s="97"/>
      <c r="B9" s="106"/>
      <c r="C9" s="31"/>
      <c r="D9" s="31"/>
      <c r="E9" s="96"/>
      <c r="F9" s="96"/>
      <c r="G9" s="96"/>
      <c r="H9" s="96"/>
      <c r="I9" s="31"/>
      <c r="J9" s="31"/>
      <c r="K9" s="96"/>
      <c r="L9" s="31"/>
      <c r="M9" s="31"/>
      <c r="N9" s="96"/>
      <c r="O9" s="107">
        <f>IF(E9&lt;0, (E9 * -1) * (PrecoVasilhame!$D$4+PrecoVasilhame!$D$4), 0) +
IF(H9&lt;0, (H9 * -1) * (PrecoVasilhame!$D$5 + PrecoVasilhame!$H$5), 0) +
IF(K9&lt;0, (K9 * -1) * (PrecoVasilhame!$D$6 +PrecoVasilhame!$H$6), 0)</f>
        <v>0</v>
      </c>
      <c r="W9" s="26"/>
      <c r="X9" s="27"/>
    </row>
    <row r="10" spans="1:24" ht="15" customHeight="1" x14ac:dyDescent="0.25">
      <c r="A10" s="97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1"/>
      <c r="N10" s="32"/>
      <c r="O10" s="107">
        <f>IF(E10&lt;0, (E10 * -1) * (PrecoVasilhame!$D$4+PrecoVasilhame!$D$4), 0) +
IF(H10&lt;0, (H10 * -1) * (PrecoVasilhame!$D$5 + PrecoVasilhame!$H$5), 0) +
IF(K10&lt;0, (K10 * -1) * (PrecoVasilhame!$D$6 +PrecoVasilhame!$H$6), 0)</f>
        <v>0</v>
      </c>
    </row>
    <row r="11" spans="1:24" ht="15" customHeight="1" x14ac:dyDescent="0.25">
      <c r="A11" s="97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1"/>
      <c r="N11" s="32"/>
      <c r="O11" s="107">
        <f>IF(E11&lt;0, (E11 * -1) * (PrecoVasilhame!$D$4+PrecoVasilhame!$D$4), 0) +
IF(H11&lt;0, (H11 * -1) * (PrecoVasilhame!$D$5 + PrecoVasilhame!$H$5), 0) +
IF(K11&lt;0, (K11 * -1) * (PrecoVasilhame!$D$6 +PrecoVasilhame!$H$6), 0)</f>
        <v>0</v>
      </c>
    </row>
    <row r="12" spans="1:24" ht="15" customHeight="1" x14ac:dyDescent="0.25">
      <c r="A12" s="97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1"/>
      <c r="N12" s="32"/>
      <c r="O12" s="107">
        <f>IF(E12&lt;0, (E12 * -1) * (PrecoVasilhame!$D$4+PrecoVasilhame!$D$4), 0) +
IF(H12&lt;0, (H12 * -1) * (PrecoVasilhame!$D$5 + PrecoVasilhame!$H$5), 0) +
IF(K12&lt;0, (K12 * -1) * (PrecoVasilhame!$D$6 +PrecoVasilhame!$H$6), 0)</f>
        <v>0</v>
      </c>
    </row>
    <row r="13" spans="1:24" ht="15" customHeight="1" x14ac:dyDescent="0.25">
      <c r="A13" s="97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107">
        <f>IF(E13&lt;0, (E13 * -1) * (PrecoVasilhame!$D$4+PrecoVasilhame!$D$4), 0) +
IF(H13&lt;0, (H13 * -1) * (PrecoVasilhame!$D$5 + PrecoVasilhame!$H$5), 0) +
IF(K13&lt;0, (K13 * -1) * (PrecoVasilhame!$D$6 +PrecoVasilhame!$H$6), 0)</f>
        <v>0</v>
      </c>
      <c r="P13" s="29"/>
      <c r="T13" s="21"/>
      <c r="U13" s="21"/>
    </row>
    <row r="14" spans="1:24" ht="15" customHeight="1" x14ac:dyDescent="0.25">
      <c r="A14" s="97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107">
        <f>IF(E14&lt;0, (E14 * -1) * (PrecoVasilhame!$D$4+PrecoVasilhame!$D$4), 0) +
IF(H14&lt;0, (H14 * -1) * (PrecoVasilhame!$D$5 + PrecoVasilhame!$H$5), 0) +
IF(K14&lt;0, (K14 * -1) * (PrecoVasilhame!$D$6 +PrecoVasilhame!$H$6), 0)</f>
        <v>0</v>
      </c>
      <c r="P14" s="29"/>
      <c r="T14" s="21"/>
      <c r="U14" s="21"/>
    </row>
    <row r="15" spans="1:24" ht="15" customHeight="1" x14ac:dyDescent="0.25">
      <c r="A15" s="97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107">
        <f>IF(E15&lt;0, (E15 * -1) * (PrecoVasilhame!$D$4+PrecoVasilhame!$D$4), 0) +
IF(H15&lt;0, (H15 * -1) * (PrecoVasilhame!$D$5 + PrecoVasilhame!$H$5), 0) +
IF(K15&lt;0, (K15 * -1) * (PrecoVasilhame!$D$6 +PrecoVasilhame!$H$6), 0)</f>
        <v>0</v>
      </c>
      <c r="P15" s="29"/>
      <c r="T15" s="21"/>
      <c r="U15" s="21"/>
    </row>
    <row r="16" spans="1:24" ht="15" customHeight="1" x14ac:dyDescent="0.25">
      <c r="A16" s="97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107">
        <f>IF(E16&lt;0, (E16 * -1) * (PrecoVasilhame!$D$4+PrecoVasilhame!$D$4), 0) +
IF(H16&lt;0, (H16 * -1) * (PrecoVasilhame!$D$5 + PrecoVasilhame!$H$5), 0) +
IF(K16&lt;0, (K16 * -1) * (PrecoVasilhame!$D$6 +PrecoVasilhame!$H$6), 0)</f>
        <v>0</v>
      </c>
      <c r="P16" s="29"/>
      <c r="T16" s="21"/>
      <c r="U16" s="21"/>
    </row>
    <row r="17" spans="1:21" ht="15" customHeight="1" x14ac:dyDescent="0.25">
      <c r="A17" s="97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107">
        <f>IF(E17&lt;0, (E17 * -1) * (PrecoVasilhame!$D$4+PrecoVasilhame!$D$4), 0) +
IF(H17&lt;0, (H17 * -1) * (PrecoVasilhame!$D$5 + PrecoVasilhame!$H$5), 0) +
IF(K17&lt;0, (K17 * -1) * (PrecoVasilhame!$D$6 +PrecoVasilhame!$H$6), 0)</f>
        <v>0</v>
      </c>
      <c r="P17" s="29"/>
      <c r="T17" s="21"/>
      <c r="U17" s="21"/>
    </row>
    <row r="18" spans="1:21" ht="15" customHeight="1" x14ac:dyDescent="0.25">
      <c r="A18" s="97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107">
        <f>IF(E18&lt;0, (E18 * -1) * (PrecoVasilhame!$D$4+PrecoVasilhame!$D$4), 0) +
IF(H18&lt;0, (H18 * -1) * (PrecoVasilhame!$D$5 + PrecoVasilhame!$H$5), 0) +
IF(K18&lt;0, (K18 * -1) * (PrecoVasilhame!$D$6 +PrecoVasilhame!$H$6), 0)</f>
        <v>0</v>
      </c>
    </row>
    <row r="19" spans="1:21" ht="15" customHeight="1" x14ac:dyDescent="0.25">
      <c r="A19" s="97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107">
        <f>IF(E19&lt;0, (E19 * -1) * (PrecoVasilhame!$D$4+PrecoVasilhame!$D$4), 0) +
IF(H19&lt;0, (H19 * -1) * (PrecoVasilhame!$D$5 + PrecoVasilhame!$H$5), 0) +
IF(K19&lt;0, (K19 * -1) * (PrecoVasilhame!$D$6 +PrecoVasilhame!$H$6), 0)</f>
        <v>0</v>
      </c>
    </row>
    <row r="20" spans="1:21" ht="15" customHeight="1" thickBot="1" x14ac:dyDescent="0.3">
      <c r="A20" s="98"/>
      <c r="B20" s="108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107">
        <f>IF(E20&lt;0, (E20 * -1) * (PrecoVasilhame!$D$4+PrecoVasilhame!$D$4), 0) +
IF(H20&lt;0, (H20 * -1) * (PrecoVasilhame!$D$5 + PrecoVasilhame!$H$5), 0) +
IF(K20&lt;0, (K20 * -1) * (PrecoVasilhame!$D$6 +PrecoVasilhame!$H$6), 0)</f>
        <v>0</v>
      </c>
    </row>
    <row r="21" spans="1:21" ht="54" customHeight="1" x14ac:dyDescent="0.25">
      <c r="B21" s="34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</row>
    <row r="22" spans="1:21" ht="15" hidden="1" customHeight="1" x14ac:dyDescent="0.25">
      <c r="B22" s="30"/>
      <c r="C22" s="30"/>
      <c r="D22" s="30"/>
      <c r="E22" s="30"/>
      <c r="F22" s="30"/>
      <c r="G22" s="15"/>
      <c r="H22" s="30"/>
      <c r="I22" s="30"/>
      <c r="J22" s="30"/>
      <c r="K22" s="15"/>
      <c r="L22" s="15"/>
      <c r="M22" s="15"/>
      <c r="N22" s="15"/>
    </row>
  </sheetData>
  <mergeCells count="9">
    <mergeCell ref="A1:O1"/>
    <mergeCell ref="A2:A3"/>
    <mergeCell ref="W5:X5"/>
    <mergeCell ref="C2:E2"/>
    <mergeCell ref="B2:B3"/>
    <mergeCell ref="F2:H2"/>
    <mergeCell ref="I2:K2"/>
    <mergeCell ref="L2:N2"/>
    <mergeCell ref="O2:O3"/>
  </mergeCells>
  <conditionalFormatting sqref="E4:E20">
    <cfRule type="cellIs" dxfId="12" priority="9" operator="lessThan">
      <formula>0</formula>
    </cfRule>
    <cfRule type="cellIs" dxfId="11" priority="10" operator="greaterThan">
      <formula>0</formula>
    </cfRule>
  </conditionalFormatting>
  <conditionalFormatting sqref="H4:H20">
    <cfRule type="cellIs" dxfId="10" priority="7" operator="lessThan">
      <formula>0</formula>
    </cfRule>
    <cfRule type="cellIs" dxfId="9" priority="8" operator="greaterThan">
      <formula>0</formula>
    </cfRule>
  </conditionalFormatting>
  <conditionalFormatting sqref="K4:K20">
    <cfRule type="cellIs" dxfId="8" priority="5" operator="lessThan">
      <formula>0</formula>
    </cfRule>
    <cfRule type="cellIs" dxfId="7" priority="6" operator="greaterThan">
      <formula>0</formula>
    </cfRule>
  </conditionalFormatting>
  <conditionalFormatting sqref="N4:N20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O4:O20">
    <cfRule type="cellIs" dxfId="4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BE5A5-AC21-4072-99A3-21A4D17CB3F2}">
  <sheetPr codeName="Planilha10">
    <tabColor theme="0" tint="-0.499984740745262"/>
  </sheetPr>
  <dimension ref="H6:J11"/>
  <sheetViews>
    <sheetView workbookViewId="0">
      <selection activeCell="J8" sqref="J8"/>
    </sheetView>
  </sheetViews>
  <sheetFormatPr defaultColWidth="9.140625" defaultRowHeight="15" customHeight="1" x14ac:dyDescent="0.2"/>
  <cols>
    <col min="1" max="6" width="9.140625" style="43" customWidth="1"/>
    <col min="7" max="7" width="5.42578125" style="43" customWidth="1"/>
    <col min="8" max="8" width="61" style="43" hidden="1" customWidth="1"/>
    <col min="9" max="9" width="17.85546875" style="43" customWidth="1"/>
    <col min="10" max="10" width="26.28515625" style="43" customWidth="1"/>
    <col min="11" max="16383" width="9.140625" style="43" customWidth="1"/>
    <col min="16384" max="16384" width="9.140625" style="43"/>
  </cols>
  <sheetData>
    <row r="6" spans="9:10" ht="15" customHeight="1" thickBot="1" x14ac:dyDescent="0.25"/>
    <row r="7" spans="9:10" ht="15" customHeight="1" x14ac:dyDescent="0.2">
      <c r="I7" s="144" t="s">
        <v>3302</v>
      </c>
      <c r="J7" s="145"/>
    </row>
    <row r="8" spans="9:10" ht="15" customHeight="1" x14ac:dyDescent="0.2">
      <c r="I8" s="68" t="s">
        <v>3301</v>
      </c>
      <c r="J8" s="69" t="str">
        <f>BaseRecolhas!CW1</f>
        <v>NOK</v>
      </c>
    </row>
    <row r="9" spans="9:10" ht="15" customHeight="1" x14ac:dyDescent="0.2">
      <c r="I9" s="68" t="s">
        <v>3303</v>
      </c>
      <c r="J9" s="69" t="str">
        <f>BaseClientes!CW1</f>
        <v>NOK</v>
      </c>
    </row>
    <row r="10" spans="9:10" ht="15" customHeight="1" thickBot="1" x14ac:dyDescent="0.25">
      <c r="I10" s="70" t="s">
        <v>3304</v>
      </c>
      <c r="J10" s="71" t="str">
        <f>Base!CW1</f>
        <v>NOK</v>
      </c>
    </row>
    <row r="11" spans="9:10" ht="15" customHeight="1" thickBot="1" x14ac:dyDescent="0.25">
      <c r="I11" s="70" t="s">
        <v>3307</v>
      </c>
      <c r="J11" s="71" t="str">
        <f>BaseVendedores!CW1</f>
        <v>NOK</v>
      </c>
    </row>
  </sheetData>
  <mergeCells count="1">
    <mergeCell ref="I7:J7"/>
  </mergeCells>
  <conditionalFormatting sqref="J8:J10">
    <cfRule type="cellIs" dxfId="3" priority="3" operator="equal">
      <formula xml:space="preserve"> "OK"</formula>
    </cfRule>
    <cfRule type="cellIs" dxfId="2" priority="4" operator="equal">
      <formula>"NOK"</formula>
    </cfRule>
  </conditionalFormatting>
  <conditionalFormatting sqref="J11">
    <cfRule type="cellIs" dxfId="1" priority="1" operator="equal">
      <formula xml:space="preserve"> "OK"</formula>
    </cfRule>
    <cfRule type="cellIs" dxfId="0" priority="2" operator="equal">
      <formula>"NOK"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A4D83-48B8-43EF-A236-9E57943E4158}">
  <sheetPr codeName="Planilha2"/>
  <dimension ref="F1:CW5176"/>
  <sheetViews>
    <sheetView workbookViewId="0">
      <selection sqref="A1:CQ2847"/>
    </sheetView>
  </sheetViews>
  <sheetFormatPr defaultRowHeight="15" x14ac:dyDescent="0.25"/>
  <sheetData>
    <row r="1" spans="6:101" x14ac:dyDescent="0.25">
      <c r="CW1" t="s">
        <v>3340</v>
      </c>
    </row>
    <row r="2" spans="6:101" x14ac:dyDescent="0.25">
      <c r="F2" s="9"/>
      <c r="G2" s="9"/>
      <c r="AA2" s="10"/>
      <c r="AV2" s="11"/>
      <c r="AW2" s="11"/>
      <c r="BB2" s="9"/>
      <c r="BC2" s="11"/>
      <c r="BF2" s="9"/>
      <c r="CF2" s="12"/>
      <c r="CH2" s="9"/>
    </row>
    <row r="3" spans="6:101" x14ac:dyDescent="0.25">
      <c r="F3" s="9"/>
      <c r="G3" s="9"/>
      <c r="AA3" s="10"/>
      <c r="AV3" s="11"/>
      <c r="AW3" s="11"/>
      <c r="BB3" s="9"/>
      <c r="BC3" s="11"/>
      <c r="BF3" s="9"/>
      <c r="CF3" s="12"/>
      <c r="CH3" s="9"/>
    </row>
    <row r="4" spans="6:101" x14ac:dyDescent="0.25">
      <c r="F4" s="9"/>
      <c r="G4" s="9"/>
      <c r="AA4" s="10"/>
      <c r="AV4" s="11"/>
      <c r="AW4" s="11"/>
      <c r="BB4" s="9"/>
      <c r="BC4" s="11"/>
      <c r="BF4" s="9"/>
      <c r="CF4" s="12"/>
      <c r="CH4" s="9"/>
    </row>
    <row r="5" spans="6:101" x14ac:dyDescent="0.25">
      <c r="F5" s="9"/>
      <c r="G5" s="9"/>
      <c r="AA5" s="10"/>
      <c r="AV5" s="11"/>
      <c r="AW5" s="11"/>
      <c r="BB5" s="9"/>
      <c r="BC5" s="11"/>
      <c r="BF5" s="9"/>
      <c r="CF5" s="12"/>
      <c r="CH5" s="9"/>
    </row>
    <row r="6" spans="6:101" x14ac:dyDescent="0.25">
      <c r="F6" s="9"/>
      <c r="G6" s="9"/>
      <c r="AA6" s="10"/>
      <c r="AV6" s="11"/>
      <c r="AW6" s="11"/>
      <c r="BB6" s="9"/>
      <c r="BC6" s="11"/>
      <c r="BF6" s="9"/>
      <c r="CF6" s="12"/>
      <c r="CH6" s="9"/>
    </row>
    <row r="7" spans="6:101" x14ac:dyDescent="0.25">
      <c r="F7" s="9"/>
      <c r="G7" s="9"/>
      <c r="AA7" s="10"/>
      <c r="AV7" s="11"/>
      <c r="AW7" s="11"/>
      <c r="BB7" s="9"/>
      <c r="BC7" s="11"/>
      <c r="BF7" s="9"/>
      <c r="CF7" s="12"/>
      <c r="CH7" s="9"/>
    </row>
    <row r="8" spans="6:101" x14ac:dyDescent="0.25">
      <c r="F8" s="9"/>
      <c r="G8" s="9"/>
      <c r="AA8" s="10"/>
      <c r="AV8" s="11"/>
      <c r="AW8" s="11"/>
      <c r="BB8" s="9"/>
      <c r="BC8" s="11"/>
      <c r="BF8" s="9"/>
      <c r="CF8" s="12"/>
      <c r="CH8" s="9"/>
    </row>
    <row r="9" spans="6:101" x14ac:dyDescent="0.25">
      <c r="F9" s="9"/>
      <c r="G9" s="9"/>
      <c r="AA9" s="10"/>
      <c r="AV9" s="11"/>
      <c r="AW9" s="11"/>
      <c r="BB9" s="9"/>
      <c r="BC9" s="11"/>
      <c r="BF9" s="9"/>
      <c r="CF9" s="12"/>
      <c r="CH9" s="9"/>
    </row>
    <row r="10" spans="6:101" x14ac:dyDescent="0.25">
      <c r="F10" s="9"/>
      <c r="G10" s="9"/>
      <c r="AA10" s="10"/>
      <c r="AV10" s="11"/>
      <c r="AW10" s="11"/>
      <c r="BB10" s="9"/>
      <c r="BC10" s="11"/>
      <c r="BF10" s="9"/>
      <c r="CF10" s="12"/>
      <c r="CH10" s="9"/>
    </row>
    <row r="11" spans="6:101" x14ac:dyDescent="0.25">
      <c r="F11" s="9"/>
      <c r="G11" s="9"/>
      <c r="AA11" s="10"/>
      <c r="AV11" s="11"/>
      <c r="AW11" s="11"/>
      <c r="BB11" s="9"/>
      <c r="BC11" s="11"/>
      <c r="BF11" s="9"/>
      <c r="CF11" s="12"/>
      <c r="CH11" s="9"/>
    </row>
    <row r="12" spans="6:101" x14ac:dyDescent="0.25">
      <c r="F12" s="9"/>
      <c r="G12" s="9"/>
      <c r="AA12" s="10"/>
      <c r="AV12" s="11"/>
      <c r="AW12" s="11"/>
      <c r="BB12" s="9"/>
      <c r="BC12" s="11"/>
      <c r="BF12" s="9"/>
      <c r="CF12" s="12"/>
      <c r="CH12" s="9"/>
    </row>
    <row r="13" spans="6:101" x14ac:dyDescent="0.25">
      <c r="F13" s="9"/>
      <c r="G13" s="9"/>
      <c r="AA13" s="10"/>
      <c r="AV13" s="11"/>
      <c r="AW13" s="11"/>
      <c r="BB13" s="9"/>
      <c r="BC13" s="11"/>
      <c r="BF13" s="9"/>
      <c r="CF13" s="12"/>
      <c r="CH13" s="9"/>
    </row>
    <row r="14" spans="6:101" x14ac:dyDescent="0.25">
      <c r="F14" s="9"/>
      <c r="G14" s="9"/>
      <c r="AA14" s="10"/>
      <c r="AV14" s="11"/>
      <c r="AW14" s="11"/>
      <c r="BB14" s="9"/>
      <c r="BC14" s="11"/>
      <c r="BF14" s="9"/>
      <c r="CF14" s="12"/>
      <c r="CH14" s="9"/>
    </row>
    <row r="15" spans="6:101" x14ac:dyDescent="0.25">
      <c r="F15" s="9"/>
      <c r="G15" s="9"/>
      <c r="AA15" s="10"/>
      <c r="AV15" s="11"/>
      <c r="AW15" s="11"/>
      <c r="BB15" s="9"/>
      <c r="BC15" s="11"/>
      <c r="BF15" s="9"/>
      <c r="CH15" s="9"/>
    </row>
    <row r="16" spans="6:101" x14ac:dyDescent="0.25">
      <c r="F16" s="9"/>
      <c r="G16" s="9"/>
      <c r="AA16" s="10"/>
      <c r="AV16" s="11"/>
      <c r="AW16" s="11"/>
      <c r="BB16" s="9"/>
      <c r="BC16" s="11"/>
      <c r="BF16" s="9"/>
      <c r="CF16" s="12"/>
      <c r="CH16" s="9"/>
    </row>
    <row r="17" spans="6:86" x14ac:dyDescent="0.25">
      <c r="F17" s="9"/>
      <c r="G17" s="9"/>
      <c r="AA17" s="10"/>
      <c r="AV17" s="11"/>
      <c r="AW17" s="11"/>
      <c r="BB17" s="9"/>
      <c r="BC17" s="11"/>
      <c r="BF17" s="9"/>
      <c r="CH17" s="9"/>
    </row>
    <row r="18" spans="6:86" x14ac:dyDescent="0.25">
      <c r="F18" s="9"/>
      <c r="G18" s="9"/>
      <c r="AA18" s="10"/>
      <c r="AV18" s="11"/>
      <c r="AW18" s="11"/>
      <c r="BB18" s="9"/>
      <c r="BC18" s="11"/>
      <c r="BF18" s="9"/>
      <c r="CF18" s="12"/>
      <c r="CH18" s="9"/>
    </row>
    <row r="19" spans="6:86" x14ac:dyDescent="0.25">
      <c r="F19" s="9"/>
      <c r="G19" s="9"/>
      <c r="AA19" s="10"/>
      <c r="AV19" s="11"/>
      <c r="AW19" s="11"/>
      <c r="BB19" s="9"/>
      <c r="BC19" s="11"/>
      <c r="BF19" s="9"/>
      <c r="CH19" s="9"/>
    </row>
    <row r="20" spans="6:86" x14ac:dyDescent="0.25">
      <c r="F20" s="9"/>
      <c r="G20" s="9"/>
      <c r="AA20" s="10"/>
      <c r="AV20" s="11"/>
      <c r="AW20" s="11"/>
      <c r="BB20" s="9"/>
      <c r="BC20" s="11"/>
      <c r="BF20" s="9"/>
      <c r="CF20" s="12"/>
      <c r="CH20" s="9"/>
    </row>
    <row r="21" spans="6:86" x14ac:dyDescent="0.25">
      <c r="F21" s="9"/>
      <c r="G21" s="9"/>
      <c r="AA21" s="10"/>
      <c r="AV21" s="11"/>
      <c r="AW21" s="11"/>
      <c r="BB21" s="9"/>
      <c r="BC21" s="11"/>
      <c r="BF21" s="9"/>
      <c r="CF21" s="12"/>
      <c r="CH21" s="9"/>
    </row>
    <row r="22" spans="6:86" x14ac:dyDescent="0.25">
      <c r="F22" s="9"/>
      <c r="G22" s="9"/>
      <c r="U22" s="12"/>
      <c r="AA22" s="10"/>
      <c r="AV22" s="11"/>
      <c r="AW22" s="11"/>
      <c r="BB22" s="9"/>
      <c r="BC22" s="11"/>
      <c r="BF22" s="9"/>
      <c r="CF22" s="12"/>
      <c r="CH22" s="9"/>
    </row>
    <row r="23" spans="6:86" x14ac:dyDescent="0.25">
      <c r="F23" s="9"/>
      <c r="G23" s="9"/>
      <c r="AA23" s="10"/>
      <c r="AV23" s="11"/>
      <c r="AW23" s="11"/>
      <c r="BB23" s="9"/>
      <c r="BC23" s="11"/>
      <c r="BF23" s="9"/>
      <c r="CF23" s="12"/>
      <c r="CH23" s="9"/>
    </row>
    <row r="24" spans="6:86" x14ac:dyDescent="0.25">
      <c r="F24" s="9"/>
      <c r="G24" s="9"/>
      <c r="AA24" s="10"/>
      <c r="AV24" s="11"/>
      <c r="AW24" s="11"/>
      <c r="BB24" s="9"/>
      <c r="BC24" s="11"/>
      <c r="BF24" s="9"/>
      <c r="CF24" s="12"/>
      <c r="CH24" s="9"/>
    </row>
    <row r="25" spans="6:86" x14ac:dyDescent="0.25">
      <c r="F25" s="9"/>
      <c r="G25" s="9"/>
      <c r="AA25" s="10"/>
      <c r="AV25" s="11"/>
      <c r="AW25" s="11"/>
      <c r="BB25" s="9"/>
      <c r="BC25" s="11"/>
      <c r="BF25" s="9"/>
      <c r="CH25" s="9"/>
    </row>
    <row r="26" spans="6:86" x14ac:dyDescent="0.25">
      <c r="F26" s="9"/>
      <c r="G26" s="9"/>
      <c r="AA26" s="10"/>
      <c r="AV26" s="11"/>
      <c r="AW26" s="11"/>
      <c r="BB26" s="9"/>
      <c r="BC26" s="11"/>
      <c r="BF26" s="9"/>
      <c r="CH26" s="9"/>
    </row>
    <row r="27" spans="6:86" x14ac:dyDescent="0.25">
      <c r="F27" s="9"/>
      <c r="G27" s="9"/>
      <c r="AA27" s="10"/>
      <c r="AV27" s="11"/>
      <c r="AW27" s="11"/>
      <c r="BB27" s="9"/>
      <c r="BC27" s="11"/>
      <c r="BF27" s="9"/>
      <c r="CF27" s="12"/>
      <c r="CH27" s="9"/>
    </row>
    <row r="28" spans="6:86" x14ac:dyDescent="0.25">
      <c r="F28" s="9"/>
      <c r="G28" s="9"/>
      <c r="AA28" s="10"/>
      <c r="AV28" s="11"/>
      <c r="AW28" s="11"/>
      <c r="BB28" s="9"/>
      <c r="BC28" s="11"/>
      <c r="BF28" s="9"/>
      <c r="CF28" s="12"/>
      <c r="CH28" s="9"/>
    </row>
    <row r="29" spans="6:86" x14ac:dyDescent="0.25">
      <c r="F29" s="9"/>
      <c r="G29" s="9"/>
      <c r="AA29" s="10"/>
      <c r="AV29" s="11"/>
      <c r="AW29" s="11"/>
      <c r="BB29" s="9"/>
      <c r="BC29" s="11"/>
      <c r="BF29" s="9"/>
      <c r="CF29" s="12"/>
      <c r="CH29" s="9"/>
    </row>
    <row r="30" spans="6:86" x14ac:dyDescent="0.25">
      <c r="F30" s="9"/>
      <c r="G30" s="9"/>
      <c r="AA30" s="10"/>
      <c r="AV30" s="11"/>
      <c r="AW30" s="11"/>
      <c r="BB30" s="9"/>
      <c r="BC30" s="11"/>
      <c r="BF30" s="9"/>
      <c r="CF30" s="12"/>
      <c r="CH30" s="9"/>
    </row>
    <row r="31" spans="6:86" x14ac:dyDescent="0.25">
      <c r="F31" s="9"/>
      <c r="G31" s="9"/>
      <c r="AA31" s="10"/>
      <c r="AV31" s="11"/>
      <c r="AW31" s="11"/>
      <c r="BB31" s="9"/>
      <c r="BC31" s="11"/>
      <c r="BF31" s="9"/>
      <c r="CF31" s="12"/>
      <c r="CH31" s="9"/>
    </row>
    <row r="32" spans="6:86" x14ac:dyDescent="0.25">
      <c r="F32" s="9"/>
      <c r="G32" s="9"/>
      <c r="AA32" s="10"/>
      <c r="AV32" s="11"/>
      <c r="AW32" s="11"/>
      <c r="BB32" s="9"/>
      <c r="BC32" s="11"/>
      <c r="BF32" s="9"/>
      <c r="CF32" s="12"/>
      <c r="CH32" s="9"/>
    </row>
    <row r="33" spans="6:92" x14ac:dyDescent="0.25">
      <c r="F33" s="9"/>
      <c r="G33" s="9"/>
      <c r="AA33" s="10"/>
      <c r="AV33" s="11"/>
      <c r="AW33" s="11"/>
      <c r="BB33" s="9"/>
      <c r="BC33" s="11"/>
      <c r="BF33" s="9"/>
      <c r="CF33" s="12"/>
      <c r="CH33" s="9"/>
    </row>
    <row r="34" spans="6:92" x14ac:dyDescent="0.25">
      <c r="F34" s="9"/>
      <c r="G34" s="9"/>
      <c r="AA34" s="10"/>
      <c r="AV34" s="11"/>
      <c r="AW34" s="11"/>
      <c r="BB34" s="9"/>
      <c r="BC34" s="11"/>
      <c r="BF34" s="9"/>
      <c r="CF34" s="12"/>
      <c r="CH34" s="9"/>
    </row>
    <row r="35" spans="6:92" x14ac:dyDescent="0.25">
      <c r="F35" s="9"/>
      <c r="G35" s="9"/>
      <c r="AA35" s="10"/>
      <c r="AV35" s="11"/>
      <c r="AW35" s="11"/>
      <c r="BB35" s="9"/>
      <c r="BC35" s="11"/>
      <c r="BF35" s="9"/>
      <c r="CF35" s="12"/>
      <c r="CH35" s="9"/>
    </row>
    <row r="36" spans="6:92" x14ac:dyDescent="0.25">
      <c r="F36" s="9"/>
      <c r="G36" s="9"/>
      <c r="AA36" s="10"/>
      <c r="AV36" s="11"/>
      <c r="AW36" s="11"/>
      <c r="BB36" s="9"/>
      <c r="BC36" s="11"/>
      <c r="BF36" s="9"/>
      <c r="CF36" s="12"/>
      <c r="CH36" s="9"/>
    </row>
    <row r="37" spans="6:92" x14ac:dyDescent="0.25">
      <c r="F37" s="9"/>
      <c r="G37" s="9"/>
      <c r="AA37" s="10"/>
      <c r="AV37" s="11"/>
      <c r="AW37" s="11"/>
      <c r="BB37" s="9"/>
      <c r="BC37" s="11"/>
      <c r="BF37" s="9"/>
      <c r="CF37" s="12"/>
      <c r="CH37" s="9"/>
    </row>
    <row r="38" spans="6:92" x14ac:dyDescent="0.25">
      <c r="F38" s="9"/>
      <c r="G38" s="9"/>
      <c r="AA38" s="10"/>
      <c r="AV38" s="11"/>
      <c r="AW38" s="11"/>
      <c r="BB38" s="9"/>
      <c r="BC38" s="11"/>
      <c r="BF38" s="9"/>
      <c r="CF38" s="12"/>
      <c r="CH38" s="9"/>
    </row>
    <row r="39" spans="6:92" x14ac:dyDescent="0.25">
      <c r="F39" s="9"/>
      <c r="G39" s="9"/>
      <c r="AA39" s="10"/>
      <c r="AV39" s="11"/>
      <c r="AW39" s="11"/>
      <c r="BB39" s="9"/>
      <c r="BC39" s="11"/>
      <c r="BF39" s="9"/>
      <c r="CF39" s="12"/>
      <c r="CH39" s="9"/>
    </row>
    <row r="40" spans="6:92" x14ac:dyDescent="0.25">
      <c r="F40" s="9"/>
      <c r="G40" s="9"/>
      <c r="AA40" s="10"/>
      <c r="AV40" s="11"/>
      <c r="AW40" s="11"/>
      <c r="BB40" s="9"/>
      <c r="BC40" s="11"/>
      <c r="BF40" s="9"/>
      <c r="CF40" s="12"/>
      <c r="CH40" s="9"/>
    </row>
    <row r="41" spans="6:92" x14ac:dyDescent="0.25">
      <c r="F41" s="9"/>
      <c r="G41" s="9"/>
      <c r="AA41" s="10"/>
      <c r="AV41" s="11"/>
      <c r="AW41" s="11"/>
      <c r="BB41" s="9"/>
      <c r="BC41" s="11"/>
      <c r="BF41" s="9"/>
      <c r="CF41" s="12"/>
      <c r="CH41" s="9"/>
    </row>
    <row r="42" spans="6:92" x14ac:dyDescent="0.25">
      <c r="F42" s="9"/>
      <c r="G42" s="9"/>
      <c r="AA42" s="10"/>
      <c r="AV42" s="11"/>
      <c r="AW42" s="11"/>
      <c r="BB42" s="9"/>
      <c r="BC42" s="11"/>
      <c r="BF42" s="9"/>
      <c r="CF42" s="12"/>
      <c r="CH42" s="9"/>
    </row>
    <row r="43" spans="6:92" x14ac:dyDescent="0.25">
      <c r="F43" s="9"/>
      <c r="G43" s="9"/>
      <c r="AA43" s="10"/>
      <c r="AV43" s="11"/>
      <c r="AW43" s="11"/>
      <c r="BB43" s="9"/>
      <c r="BC43" s="11"/>
      <c r="BF43" s="9"/>
      <c r="CF43" s="12"/>
      <c r="CH43" s="9"/>
      <c r="CN43" s="12"/>
    </row>
    <row r="44" spans="6:92" x14ac:dyDescent="0.25">
      <c r="F44" s="9"/>
      <c r="G44" s="9"/>
      <c r="AA44" s="10"/>
      <c r="AV44" s="11"/>
      <c r="AW44" s="11"/>
      <c r="BB44" s="9"/>
      <c r="BC44" s="11"/>
      <c r="BF44" s="9"/>
      <c r="CF44" s="12"/>
      <c r="CH44" s="9"/>
    </row>
    <row r="45" spans="6:92" x14ac:dyDescent="0.25">
      <c r="F45" s="9"/>
      <c r="G45" s="9"/>
      <c r="AA45" s="10"/>
      <c r="AV45" s="11"/>
      <c r="AW45" s="11"/>
      <c r="BB45" s="9"/>
      <c r="BC45" s="11"/>
      <c r="BF45" s="9"/>
      <c r="CF45" s="12"/>
      <c r="CH45" s="9"/>
    </row>
    <row r="46" spans="6:92" x14ac:dyDescent="0.25">
      <c r="F46" s="9"/>
      <c r="G46" s="9"/>
      <c r="AA46" s="10"/>
      <c r="AV46" s="11"/>
      <c r="AW46" s="11"/>
      <c r="BB46" s="9"/>
      <c r="BC46" s="11"/>
      <c r="BF46" s="9"/>
      <c r="CF46" s="12"/>
      <c r="CH46" s="9"/>
    </row>
    <row r="47" spans="6:92" x14ac:dyDescent="0.25">
      <c r="F47" s="9"/>
      <c r="G47" s="9"/>
      <c r="AA47" s="10"/>
      <c r="AV47" s="11"/>
      <c r="AW47" s="11"/>
      <c r="BB47" s="9"/>
      <c r="BC47" s="11"/>
      <c r="BF47" s="9"/>
      <c r="CF47" s="12"/>
      <c r="CH47" s="9"/>
    </row>
    <row r="48" spans="6:92" x14ac:dyDescent="0.25">
      <c r="F48" s="9"/>
      <c r="G48" s="9"/>
      <c r="AA48" s="10"/>
      <c r="AV48" s="11"/>
      <c r="AW48" s="11"/>
      <c r="BB48" s="9"/>
      <c r="BC48" s="11"/>
      <c r="BF48" s="9"/>
      <c r="CF48" s="12"/>
      <c r="CH48" s="9"/>
    </row>
    <row r="49" spans="6:86" x14ac:dyDescent="0.25">
      <c r="F49" s="9"/>
      <c r="G49" s="9"/>
      <c r="AA49" s="10"/>
      <c r="AV49" s="11"/>
      <c r="AW49" s="11"/>
      <c r="BB49" s="9"/>
      <c r="BC49" s="11"/>
      <c r="BF49" s="9"/>
      <c r="CF49" s="12"/>
      <c r="CH49" s="9"/>
    </row>
    <row r="50" spans="6:86" x14ac:dyDescent="0.25">
      <c r="F50" s="9"/>
      <c r="G50" s="9"/>
      <c r="AA50" s="10"/>
      <c r="AV50" s="11"/>
      <c r="AW50" s="11"/>
      <c r="BB50" s="9"/>
      <c r="BC50" s="11"/>
      <c r="BF50" s="9"/>
      <c r="CF50" s="12"/>
      <c r="CH50" s="9"/>
    </row>
    <row r="51" spans="6:86" x14ac:dyDescent="0.25">
      <c r="F51" s="9"/>
      <c r="G51" s="9"/>
      <c r="AA51" s="10"/>
      <c r="AV51" s="11"/>
      <c r="AW51" s="11"/>
      <c r="BB51" s="9"/>
      <c r="BC51" s="11"/>
      <c r="BF51" s="9"/>
      <c r="CF51" s="12"/>
      <c r="CH51" s="9"/>
    </row>
    <row r="52" spans="6:86" x14ac:dyDescent="0.25">
      <c r="F52" s="9"/>
      <c r="G52" s="9"/>
      <c r="AA52" s="10"/>
      <c r="AV52" s="11"/>
      <c r="AW52" s="11"/>
      <c r="BB52" s="9"/>
      <c r="BC52" s="11"/>
      <c r="BF52" s="9"/>
      <c r="CF52" s="12"/>
      <c r="CH52" s="9"/>
    </row>
    <row r="53" spans="6:86" x14ac:dyDescent="0.25">
      <c r="F53" s="9"/>
      <c r="G53" s="9"/>
      <c r="AA53" s="10"/>
      <c r="AV53" s="11"/>
      <c r="AW53" s="11"/>
      <c r="BB53" s="9"/>
      <c r="BC53" s="11"/>
      <c r="BF53" s="9"/>
      <c r="CF53" s="12"/>
      <c r="CH53" s="9"/>
    </row>
    <row r="54" spans="6:86" x14ac:dyDescent="0.25">
      <c r="F54" s="9"/>
      <c r="G54" s="9"/>
      <c r="AA54" s="10"/>
      <c r="AV54" s="11"/>
      <c r="AW54" s="11"/>
      <c r="BB54" s="9"/>
      <c r="BC54" s="11"/>
      <c r="BF54" s="9"/>
      <c r="CF54" s="12"/>
      <c r="CH54" s="9"/>
    </row>
    <row r="55" spans="6:86" x14ac:dyDescent="0.25">
      <c r="F55" s="9"/>
      <c r="G55" s="9"/>
      <c r="AA55" s="10"/>
      <c r="AV55" s="11"/>
      <c r="AW55" s="11"/>
      <c r="BB55" s="9"/>
      <c r="BC55" s="11"/>
      <c r="BF55" s="9"/>
      <c r="CH55" s="9"/>
    </row>
    <row r="56" spans="6:86" x14ac:dyDescent="0.25">
      <c r="F56" s="9"/>
      <c r="G56" s="9"/>
      <c r="AA56" s="10"/>
      <c r="AV56" s="11"/>
      <c r="AW56" s="11"/>
      <c r="BB56" s="9"/>
      <c r="BC56" s="11"/>
      <c r="BF56" s="9"/>
      <c r="CF56" s="12"/>
      <c r="CH56" s="9"/>
    </row>
    <row r="57" spans="6:86" x14ac:dyDescent="0.25">
      <c r="F57" s="9"/>
      <c r="G57" s="9"/>
      <c r="AA57" s="10"/>
      <c r="AV57" s="11"/>
      <c r="AW57" s="11"/>
      <c r="BB57" s="9"/>
      <c r="BC57" s="11"/>
      <c r="BF57" s="9"/>
      <c r="CF57" s="12"/>
      <c r="CH57" s="9"/>
    </row>
    <row r="58" spans="6:86" x14ac:dyDescent="0.25">
      <c r="F58" s="9"/>
      <c r="G58" s="9"/>
      <c r="AA58" s="10"/>
      <c r="AV58" s="11"/>
      <c r="AW58" s="11"/>
      <c r="BB58" s="9"/>
      <c r="BC58" s="11"/>
      <c r="BF58" s="9"/>
      <c r="CF58" s="12"/>
      <c r="CH58" s="9"/>
    </row>
    <row r="59" spans="6:86" x14ac:dyDescent="0.25">
      <c r="F59" s="9"/>
      <c r="G59" s="9"/>
      <c r="AA59" s="10"/>
      <c r="AV59" s="11"/>
      <c r="AW59" s="11"/>
      <c r="BB59" s="9"/>
      <c r="BC59" s="11"/>
      <c r="BF59" s="9"/>
      <c r="CF59" s="12"/>
      <c r="CH59" s="9"/>
    </row>
    <row r="60" spans="6:86" x14ac:dyDescent="0.25">
      <c r="F60" s="9"/>
      <c r="G60" s="9"/>
      <c r="AA60" s="10"/>
      <c r="AV60" s="11"/>
      <c r="AW60" s="11"/>
      <c r="BB60" s="9"/>
      <c r="BC60" s="11"/>
      <c r="BF60" s="9"/>
      <c r="CF60" s="12"/>
      <c r="CH60" s="9"/>
    </row>
    <row r="61" spans="6:86" x14ac:dyDescent="0.25">
      <c r="F61" s="9"/>
      <c r="G61" s="9"/>
      <c r="U61" s="12"/>
      <c r="AA61" s="10"/>
      <c r="AV61" s="11"/>
      <c r="AW61" s="11"/>
      <c r="BB61" s="9"/>
      <c r="BC61" s="11"/>
      <c r="BF61" s="9"/>
      <c r="CF61" s="12"/>
      <c r="CH61" s="9"/>
    </row>
    <row r="62" spans="6:86" x14ac:dyDescent="0.25">
      <c r="F62" s="9"/>
      <c r="G62" s="9"/>
      <c r="AA62" s="10"/>
      <c r="AV62" s="11"/>
      <c r="AW62" s="11"/>
      <c r="BB62" s="9"/>
      <c r="BC62" s="11"/>
      <c r="BF62" s="9"/>
      <c r="CF62" s="12"/>
      <c r="CH62" s="9"/>
    </row>
    <row r="63" spans="6:86" x14ac:dyDescent="0.25">
      <c r="F63" s="9"/>
      <c r="G63" s="9"/>
      <c r="AA63" s="10"/>
      <c r="AV63" s="11"/>
      <c r="AW63" s="11"/>
      <c r="BB63" s="9"/>
      <c r="BC63" s="11"/>
      <c r="BF63" s="9"/>
      <c r="CF63" s="12"/>
      <c r="CH63" s="9"/>
    </row>
    <row r="64" spans="6:86" x14ac:dyDescent="0.25">
      <c r="F64" s="9"/>
      <c r="G64" s="9"/>
      <c r="AA64" s="10"/>
      <c r="AV64" s="11"/>
      <c r="AW64" s="11"/>
      <c r="BB64" s="9"/>
      <c r="BC64" s="11"/>
      <c r="BF64" s="9"/>
      <c r="CF64" s="12"/>
      <c r="CH64" s="9"/>
    </row>
    <row r="65" spans="6:92" x14ac:dyDescent="0.25">
      <c r="F65" s="9"/>
      <c r="G65" s="9"/>
      <c r="AA65" s="10"/>
      <c r="AV65" s="11"/>
      <c r="AW65" s="11"/>
      <c r="BB65" s="9"/>
      <c r="BC65" s="11"/>
      <c r="BF65" s="9"/>
      <c r="CF65" s="12"/>
      <c r="CH65" s="9"/>
    </row>
    <row r="66" spans="6:92" x14ac:dyDescent="0.25">
      <c r="F66" s="9"/>
      <c r="G66" s="9"/>
      <c r="AA66" s="10"/>
      <c r="AV66" s="11"/>
      <c r="AW66" s="11"/>
      <c r="BB66" s="9"/>
      <c r="BC66" s="11"/>
      <c r="BF66" s="9"/>
      <c r="CH66" s="9"/>
    </row>
    <row r="67" spans="6:92" x14ac:dyDescent="0.25">
      <c r="F67" s="9"/>
      <c r="G67" s="9"/>
      <c r="AA67" s="10"/>
      <c r="AV67" s="11"/>
      <c r="AW67" s="11"/>
      <c r="BB67" s="9"/>
      <c r="BC67" s="11"/>
      <c r="BF67" s="9"/>
      <c r="CF67" s="12"/>
      <c r="CH67" s="9"/>
    </row>
    <row r="68" spans="6:92" x14ac:dyDescent="0.25">
      <c r="F68" s="9"/>
      <c r="G68" s="9"/>
      <c r="U68" s="12"/>
      <c r="Z68" s="12"/>
      <c r="AA68" s="10"/>
      <c r="AV68" s="11"/>
      <c r="AW68" s="11"/>
      <c r="BB68" s="9"/>
      <c r="BC68" s="11"/>
      <c r="BF68" s="9"/>
      <c r="CF68" s="12"/>
      <c r="CH68" s="9"/>
      <c r="CN68" s="12"/>
    </row>
    <row r="69" spans="6:92" x14ac:dyDescent="0.25">
      <c r="F69" s="9"/>
      <c r="G69" s="9"/>
      <c r="AA69" s="10"/>
      <c r="AV69" s="11"/>
      <c r="AW69" s="11"/>
      <c r="BB69" s="9"/>
      <c r="BC69" s="11"/>
      <c r="BF69" s="9"/>
      <c r="CF69" s="12"/>
      <c r="CH69" s="9"/>
    </row>
    <row r="70" spans="6:92" x14ac:dyDescent="0.25">
      <c r="F70" s="9"/>
      <c r="G70" s="9"/>
      <c r="AA70" s="10"/>
      <c r="AV70" s="11"/>
      <c r="AW70" s="11"/>
      <c r="BB70" s="9"/>
      <c r="BC70" s="11"/>
      <c r="BF70" s="9"/>
      <c r="CH70" s="9"/>
    </row>
    <row r="71" spans="6:92" x14ac:dyDescent="0.25">
      <c r="F71" s="9"/>
      <c r="G71" s="9"/>
      <c r="AA71" s="10"/>
      <c r="AV71" s="11"/>
      <c r="AW71" s="11"/>
      <c r="BB71" s="9"/>
      <c r="BC71" s="11"/>
      <c r="BF71" s="9"/>
      <c r="CF71" s="12"/>
      <c r="CH71" s="9"/>
    </row>
    <row r="72" spans="6:92" x14ac:dyDescent="0.25">
      <c r="F72" s="9"/>
      <c r="G72" s="9"/>
      <c r="AA72" s="10"/>
      <c r="AV72" s="11"/>
      <c r="AW72" s="11"/>
      <c r="BB72" s="9"/>
      <c r="BC72" s="11"/>
      <c r="BF72" s="9"/>
      <c r="CF72" s="12"/>
      <c r="CH72" s="9"/>
    </row>
    <row r="73" spans="6:92" x14ac:dyDescent="0.25">
      <c r="F73" s="9"/>
      <c r="G73" s="9"/>
      <c r="AA73" s="10"/>
      <c r="AV73" s="11"/>
      <c r="AW73" s="11"/>
      <c r="BB73" s="9"/>
      <c r="BC73" s="11"/>
      <c r="BF73" s="9"/>
      <c r="CF73" s="12"/>
      <c r="CH73" s="9"/>
    </row>
    <row r="74" spans="6:92" x14ac:dyDescent="0.25">
      <c r="F74" s="9"/>
      <c r="G74" s="9"/>
      <c r="AA74" s="10"/>
      <c r="AV74" s="11"/>
      <c r="AW74" s="11"/>
      <c r="BB74" s="9"/>
      <c r="BC74" s="11"/>
      <c r="BF74" s="9"/>
      <c r="CF74" s="12"/>
      <c r="CH74" s="9"/>
    </row>
    <row r="75" spans="6:92" x14ac:dyDescent="0.25">
      <c r="F75" s="9"/>
      <c r="G75" s="9"/>
      <c r="AA75" s="10"/>
      <c r="AV75" s="11"/>
      <c r="AW75" s="11"/>
      <c r="BB75" s="9"/>
      <c r="BC75" s="11"/>
      <c r="BF75" s="9"/>
      <c r="CF75" s="12"/>
      <c r="CH75" s="9"/>
    </row>
    <row r="76" spans="6:92" x14ac:dyDescent="0.25">
      <c r="F76" s="9"/>
      <c r="G76" s="9"/>
      <c r="AA76" s="10"/>
      <c r="AV76" s="11"/>
      <c r="AW76" s="11"/>
      <c r="BB76" s="9"/>
      <c r="BC76" s="11"/>
      <c r="BF76" s="9"/>
      <c r="CF76" s="12"/>
      <c r="CH76" s="9"/>
    </row>
    <row r="77" spans="6:92" x14ac:dyDescent="0.25">
      <c r="F77" s="9"/>
      <c r="G77" s="9"/>
      <c r="AA77" s="10"/>
      <c r="AV77" s="11"/>
      <c r="AW77" s="11"/>
      <c r="BB77" s="9"/>
      <c r="BC77" s="11"/>
      <c r="BF77" s="9"/>
      <c r="CF77" s="12"/>
      <c r="CH77" s="9"/>
    </row>
    <row r="78" spans="6:92" x14ac:dyDescent="0.25">
      <c r="F78" s="9"/>
      <c r="G78" s="9"/>
      <c r="AA78" s="10"/>
      <c r="AV78" s="11"/>
      <c r="AW78" s="11"/>
      <c r="BB78" s="9"/>
      <c r="BC78" s="11"/>
      <c r="BF78" s="9"/>
      <c r="CF78" s="12"/>
      <c r="CH78" s="9"/>
    </row>
    <row r="79" spans="6:92" x14ac:dyDescent="0.25">
      <c r="F79" s="9"/>
      <c r="G79" s="9"/>
      <c r="AA79" s="10"/>
      <c r="AV79" s="11"/>
      <c r="AW79" s="11"/>
      <c r="BB79" s="9"/>
      <c r="BC79" s="11"/>
      <c r="BF79" s="9"/>
      <c r="CF79" s="12"/>
      <c r="CH79" s="9"/>
    </row>
    <row r="80" spans="6:92" x14ac:dyDescent="0.25">
      <c r="F80" s="9"/>
      <c r="G80" s="9"/>
      <c r="AA80" s="10"/>
      <c r="AV80" s="11"/>
      <c r="AW80" s="11"/>
      <c r="BB80" s="9"/>
      <c r="BC80" s="11"/>
      <c r="BF80" s="9"/>
      <c r="CF80" s="12"/>
      <c r="CH80" s="9"/>
    </row>
    <row r="81" spans="6:86" x14ac:dyDescent="0.25">
      <c r="F81" s="9"/>
      <c r="G81" s="9"/>
      <c r="AA81" s="10"/>
      <c r="AV81" s="11"/>
      <c r="AW81" s="11"/>
      <c r="BB81" s="9"/>
      <c r="BC81" s="11"/>
      <c r="BF81" s="9"/>
      <c r="CF81" s="12"/>
      <c r="CH81" s="9"/>
    </row>
    <row r="82" spans="6:86" x14ac:dyDescent="0.25">
      <c r="F82" s="9"/>
      <c r="G82" s="9"/>
      <c r="AA82" s="10"/>
      <c r="AV82" s="11"/>
      <c r="AW82" s="11"/>
      <c r="BB82" s="9"/>
      <c r="BC82" s="11"/>
      <c r="BF82" s="9"/>
      <c r="CF82" s="12"/>
      <c r="CH82" s="9"/>
    </row>
    <row r="83" spans="6:86" x14ac:dyDescent="0.25">
      <c r="F83" s="9"/>
      <c r="G83" s="9"/>
      <c r="AA83" s="10"/>
      <c r="AV83" s="11"/>
      <c r="AW83" s="11"/>
      <c r="BB83" s="9"/>
      <c r="BC83" s="11"/>
      <c r="BF83" s="9"/>
      <c r="CF83" s="12"/>
      <c r="CH83" s="9"/>
    </row>
    <row r="84" spans="6:86" x14ac:dyDescent="0.25">
      <c r="F84" s="9"/>
      <c r="G84" s="9"/>
      <c r="AA84" s="10"/>
      <c r="AV84" s="11"/>
      <c r="AW84" s="11"/>
      <c r="BB84" s="9"/>
      <c r="BC84" s="11"/>
      <c r="BF84" s="9"/>
      <c r="CF84" s="12"/>
      <c r="CH84" s="9"/>
    </row>
    <row r="85" spans="6:86" x14ac:dyDescent="0.25">
      <c r="F85" s="9"/>
      <c r="G85" s="9"/>
      <c r="AA85" s="10"/>
      <c r="AV85" s="11"/>
      <c r="AW85" s="11"/>
      <c r="BB85" s="9"/>
      <c r="BC85" s="11"/>
      <c r="BF85" s="9"/>
      <c r="CF85" s="12"/>
      <c r="CH85" s="9"/>
    </row>
    <row r="86" spans="6:86" x14ac:dyDescent="0.25">
      <c r="F86" s="9"/>
      <c r="G86" s="9"/>
      <c r="AA86" s="10"/>
      <c r="AV86" s="11"/>
      <c r="AW86" s="11"/>
      <c r="BB86" s="9"/>
      <c r="BC86" s="11"/>
      <c r="BF86" s="9"/>
      <c r="CF86" s="12"/>
      <c r="CH86" s="9"/>
    </row>
    <row r="87" spans="6:86" x14ac:dyDescent="0.25">
      <c r="F87" s="9"/>
      <c r="G87" s="9"/>
      <c r="AA87" s="10"/>
      <c r="AV87" s="11"/>
      <c r="AW87" s="11"/>
      <c r="BB87" s="9"/>
      <c r="BC87" s="11"/>
      <c r="BF87" s="9"/>
      <c r="CH87" s="9"/>
    </row>
    <row r="88" spans="6:86" x14ac:dyDescent="0.25">
      <c r="F88" s="9"/>
      <c r="G88" s="9"/>
      <c r="AA88" s="10"/>
      <c r="AV88" s="11"/>
      <c r="AW88" s="11"/>
      <c r="BB88" s="9"/>
      <c r="BC88" s="11"/>
      <c r="BF88" s="9"/>
      <c r="CH88" s="9"/>
    </row>
    <row r="89" spans="6:86" x14ac:dyDescent="0.25">
      <c r="F89" s="9"/>
      <c r="G89" s="9"/>
      <c r="AA89" s="10"/>
      <c r="AV89" s="11"/>
      <c r="AW89" s="11"/>
      <c r="BB89" s="9"/>
      <c r="BC89" s="11"/>
      <c r="BF89" s="9"/>
      <c r="CH89" s="9"/>
    </row>
    <row r="90" spans="6:86" x14ac:dyDescent="0.25">
      <c r="F90" s="9"/>
      <c r="G90" s="9"/>
      <c r="AA90" s="10"/>
      <c r="AV90" s="11"/>
      <c r="AW90" s="11"/>
      <c r="BB90" s="9"/>
      <c r="BC90" s="11"/>
      <c r="BF90" s="9"/>
      <c r="CF90" s="12"/>
      <c r="CH90" s="9"/>
    </row>
    <row r="91" spans="6:86" x14ac:dyDescent="0.25">
      <c r="F91" s="9"/>
      <c r="G91" s="9"/>
      <c r="AA91" s="10"/>
      <c r="AV91" s="11"/>
      <c r="AW91" s="11"/>
      <c r="BB91" s="9"/>
      <c r="BC91" s="11"/>
      <c r="BF91" s="9"/>
      <c r="CH91" s="9"/>
    </row>
    <row r="92" spans="6:86" x14ac:dyDescent="0.25">
      <c r="F92" s="9"/>
      <c r="G92" s="9"/>
      <c r="AA92" s="10"/>
      <c r="AV92" s="11"/>
      <c r="AW92" s="11"/>
      <c r="BB92" s="9"/>
      <c r="BC92" s="11"/>
      <c r="BF92" s="9"/>
      <c r="CH92" s="9"/>
    </row>
    <row r="93" spans="6:86" x14ac:dyDescent="0.25">
      <c r="F93" s="9"/>
      <c r="G93" s="9"/>
      <c r="AA93" s="10"/>
      <c r="AV93" s="11"/>
      <c r="AW93" s="11"/>
      <c r="BB93" s="9"/>
      <c r="BC93" s="11"/>
      <c r="BF93" s="9"/>
      <c r="CF93" s="12"/>
      <c r="CH93" s="9"/>
    </row>
    <row r="94" spans="6:86" x14ac:dyDescent="0.25">
      <c r="F94" s="9"/>
      <c r="G94" s="9"/>
      <c r="AA94" s="10"/>
      <c r="AV94" s="11"/>
      <c r="AW94" s="11"/>
      <c r="BB94" s="9"/>
      <c r="BC94" s="11"/>
      <c r="BF94" s="9"/>
      <c r="CF94" s="12"/>
      <c r="CH94" s="9"/>
    </row>
    <row r="95" spans="6:86" x14ac:dyDescent="0.25">
      <c r="F95" s="9"/>
      <c r="G95" s="9"/>
      <c r="AA95" s="10"/>
      <c r="AV95" s="11"/>
      <c r="AW95" s="11"/>
      <c r="BB95" s="9"/>
      <c r="BC95" s="11"/>
      <c r="BF95" s="9"/>
      <c r="CF95" s="12"/>
      <c r="CH95" s="9"/>
    </row>
    <row r="96" spans="6:86" x14ac:dyDescent="0.25">
      <c r="F96" s="9"/>
      <c r="G96" s="9"/>
      <c r="AA96" s="10"/>
      <c r="AV96" s="11"/>
      <c r="AW96" s="11"/>
      <c r="BB96" s="9"/>
      <c r="BC96" s="11"/>
      <c r="BF96" s="9"/>
      <c r="CF96" s="12"/>
      <c r="CH96" s="9"/>
    </row>
    <row r="97" spans="6:86" x14ac:dyDescent="0.25">
      <c r="F97" s="9"/>
      <c r="G97" s="9"/>
      <c r="AA97" s="10"/>
      <c r="AV97" s="11"/>
      <c r="AW97" s="11"/>
      <c r="BB97" s="9"/>
      <c r="BC97" s="11"/>
      <c r="BF97" s="9"/>
      <c r="CF97" s="12"/>
      <c r="CH97" s="9"/>
    </row>
    <row r="98" spans="6:86" x14ac:dyDescent="0.25">
      <c r="F98" s="9"/>
      <c r="G98" s="9"/>
      <c r="AA98" s="10"/>
      <c r="AV98" s="11"/>
      <c r="AW98" s="11"/>
      <c r="BB98" s="9"/>
      <c r="BC98" s="11"/>
      <c r="BF98" s="9"/>
      <c r="CF98" s="12"/>
      <c r="CH98" s="9"/>
    </row>
    <row r="99" spans="6:86" x14ac:dyDescent="0.25">
      <c r="F99" s="9"/>
      <c r="G99" s="9"/>
      <c r="AA99" s="10"/>
      <c r="AV99" s="11"/>
      <c r="AW99" s="11"/>
      <c r="BB99" s="9"/>
      <c r="BC99" s="11"/>
      <c r="BF99" s="9"/>
      <c r="CH99" s="9"/>
    </row>
    <row r="100" spans="6:86" x14ac:dyDescent="0.25">
      <c r="F100" s="9"/>
      <c r="G100" s="9"/>
      <c r="AA100" s="10"/>
      <c r="AV100" s="11"/>
      <c r="AW100" s="11"/>
      <c r="BB100" s="9"/>
      <c r="BC100" s="11"/>
      <c r="BF100" s="9"/>
      <c r="CH100" s="9"/>
    </row>
    <row r="101" spans="6:86" x14ac:dyDescent="0.25">
      <c r="F101" s="9"/>
      <c r="G101" s="9"/>
      <c r="AA101" s="10"/>
      <c r="AV101" s="11"/>
      <c r="AW101" s="11"/>
      <c r="BB101" s="9"/>
      <c r="BC101" s="11"/>
      <c r="BF101" s="9"/>
      <c r="CF101" s="12"/>
      <c r="CH101" s="9"/>
    </row>
    <row r="102" spans="6:86" x14ac:dyDescent="0.25">
      <c r="F102" s="9"/>
      <c r="G102" s="9"/>
      <c r="U102" s="12"/>
      <c r="AA102" s="10"/>
      <c r="AV102" s="11"/>
      <c r="AW102" s="11"/>
      <c r="BB102" s="9"/>
      <c r="BC102" s="11"/>
      <c r="BF102" s="9"/>
      <c r="CF102" s="12"/>
      <c r="CH102" s="9"/>
    </row>
    <row r="103" spans="6:86" x14ac:dyDescent="0.25">
      <c r="F103" s="9"/>
      <c r="G103" s="9"/>
      <c r="AA103" s="10"/>
      <c r="AV103" s="11"/>
      <c r="AW103" s="11"/>
      <c r="BB103" s="9"/>
      <c r="BC103" s="11"/>
      <c r="BF103" s="9"/>
      <c r="CF103" s="12"/>
      <c r="CH103" s="9"/>
    </row>
    <row r="104" spans="6:86" x14ac:dyDescent="0.25">
      <c r="F104" s="9"/>
      <c r="G104" s="9"/>
      <c r="AA104" s="10"/>
      <c r="AV104" s="11"/>
      <c r="AW104" s="11"/>
      <c r="BB104" s="9"/>
      <c r="BC104" s="11"/>
      <c r="BF104" s="9"/>
      <c r="CF104" s="12"/>
      <c r="CH104" s="9"/>
    </row>
    <row r="105" spans="6:86" x14ac:dyDescent="0.25">
      <c r="F105" s="9"/>
      <c r="G105" s="9"/>
      <c r="AA105" s="10"/>
      <c r="AV105" s="11"/>
      <c r="AW105" s="11"/>
      <c r="BB105" s="9"/>
      <c r="BC105" s="11"/>
      <c r="BF105" s="9"/>
      <c r="CF105" s="12"/>
      <c r="CH105" s="9"/>
    </row>
    <row r="106" spans="6:86" x14ac:dyDescent="0.25">
      <c r="F106" s="9"/>
      <c r="G106" s="9"/>
      <c r="AA106" s="10"/>
      <c r="AV106" s="11"/>
      <c r="AW106" s="11"/>
      <c r="BB106" s="9"/>
      <c r="BC106" s="11"/>
      <c r="BF106" s="9"/>
      <c r="CF106" s="12"/>
      <c r="CH106" s="9"/>
    </row>
    <row r="107" spans="6:86" x14ac:dyDescent="0.25">
      <c r="F107" s="9"/>
      <c r="G107" s="9"/>
      <c r="AA107" s="10"/>
      <c r="AV107" s="11"/>
      <c r="AW107" s="11"/>
      <c r="BB107" s="9"/>
      <c r="BC107" s="11"/>
      <c r="BF107" s="9"/>
      <c r="CF107" s="12"/>
      <c r="CH107" s="9"/>
    </row>
    <row r="108" spans="6:86" x14ac:dyDescent="0.25">
      <c r="F108" s="9"/>
      <c r="G108" s="9"/>
      <c r="AA108" s="10"/>
      <c r="AV108" s="11"/>
      <c r="AW108" s="11"/>
      <c r="BB108" s="9"/>
      <c r="BC108" s="11"/>
      <c r="BF108" s="9"/>
      <c r="CF108" s="12"/>
      <c r="CH108" s="9"/>
    </row>
    <row r="109" spans="6:86" x14ac:dyDescent="0.25">
      <c r="F109" s="9"/>
      <c r="G109" s="9"/>
      <c r="AA109" s="10"/>
      <c r="AV109" s="11"/>
      <c r="AW109" s="11"/>
      <c r="BB109" s="9"/>
      <c r="BC109" s="11"/>
      <c r="BF109" s="9"/>
      <c r="CF109" s="12"/>
      <c r="CH109" s="9"/>
    </row>
    <row r="110" spans="6:86" x14ac:dyDescent="0.25">
      <c r="F110" s="9"/>
      <c r="G110" s="9"/>
      <c r="AA110" s="10"/>
      <c r="AV110" s="11"/>
      <c r="AW110" s="11"/>
      <c r="BB110" s="9"/>
      <c r="BC110" s="11"/>
      <c r="BF110" s="9"/>
      <c r="CH110" s="9"/>
    </row>
    <row r="111" spans="6:86" x14ac:dyDescent="0.25">
      <c r="F111" s="9"/>
      <c r="G111" s="9"/>
      <c r="AA111" s="10"/>
      <c r="AV111" s="11"/>
      <c r="AW111" s="11"/>
      <c r="BB111" s="9"/>
      <c r="BC111" s="11"/>
      <c r="BF111" s="9"/>
      <c r="CH111" s="9"/>
    </row>
    <row r="112" spans="6:86" x14ac:dyDescent="0.25">
      <c r="F112" s="9"/>
      <c r="G112" s="9"/>
      <c r="AA112" s="10"/>
      <c r="AV112" s="11"/>
      <c r="AW112" s="11"/>
      <c r="BB112" s="9"/>
      <c r="BC112" s="11"/>
      <c r="BF112" s="9"/>
      <c r="CF112" s="12"/>
      <c r="CH112" s="9"/>
    </row>
    <row r="113" spans="6:86" x14ac:dyDescent="0.25">
      <c r="F113" s="9"/>
      <c r="G113" s="9"/>
      <c r="AA113" s="10"/>
      <c r="AV113" s="11"/>
      <c r="AW113" s="11"/>
      <c r="BB113" s="9"/>
      <c r="BC113" s="11"/>
      <c r="BF113" s="9"/>
      <c r="CH113" s="9"/>
    </row>
    <row r="114" spans="6:86" x14ac:dyDescent="0.25">
      <c r="F114" s="9"/>
      <c r="G114" s="9"/>
      <c r="AA114" s="10"/>
      <c r="AV114" s="11"/>
      <c r="AW114" s="11"/>
      <c r="BB114" s="9"/>
      <c r="BC114" s="11"/>
      <c r="BF114" s="9"/>
      <c r="CH114" s="9"/>
    </row>
    <row r="115" spans="6:86" x14ac:dyDescent="0.25">
      <c r="F115" s="9"/>
      <c r="G115" s="9"/>
      <c r="AA115" s="10"/>
      <c r="AV115" s="11"/>
      <c r="AW115" s="11"/>
      <c r="BB115" s="9"/>
      <c r="BC115" s="11"/>
      <c r="BF115" s="9"/>
      <c r="CF115" s="12"/>
      <c r="CH115" s="9"/>
    </row>
    <row r="116" spans="6:86" x14ac:dyDescent="0.25">
      <c r="F116" s="9"/>
      <c r="G116" s="9"/>
      <c r="AA116" s="10"/>
      <c r="AV116" s="11"/>
      <c r="AW116" s="11"/>
      <c r="BB116" s="9"/>
      <c r="BC116" s="11"/>
      <c r="BF116" s="9"/>
      <c r="CF116" s="12"/>
      <c r="CH116" s="9"/>
    </row>
    <row r="117" spans="6:86" x14ac:dyDescent="0.25">
      <c r="F117" s="9"/>
      <c r="G117" s="9"/>
      <c r="AA117" s="10"/>
      <c r="AV117" s="11"/>
      <c r="AW117" s="11"/>
      <c r="BB117" s="9"/>
      <c r="BC117" s="11"/>
      <c r="BF117" s="9"/>
      <c r="CF117" s="12"/>
      <c r="CH117" s="9"/>
    </row>
    <row r="118" spans="6:86" x14ac:dyDescent="0.25">
      <c r="F118" s="9"/>
      <c r="G118" s="9"/>
      <c r="AA118" s="10"/>
      <c r="AV118" s="11"/>
      <c r="AW118" s="11"/>
      <c r="BB118" s="9"/>
      <c r="BC118" s="11"/>
      <c r="BF118" s="9"/>
      <c r="CF118" s="12"/>
      <c r="CH118" s="9"/>
    </row>
    <row r="119" spans="6:86" x14ac:dyDescent="0.25">
      <c r="F119" s="9"/>
      <c r="G119" s="9"/>
      <c r="AA119" s="10"/>
      <c r="AV119" s="11"/>
      <c r="AW119" s="11"/>
      <c r="BB119" s="9"/>
      <c r="BC119" s="11"/>
      <c r="BF119" s="9"/>
      <c r="CF119" s="12"/>
      <c r="CH119" s="9"/>
    </row>
    <row r="120" spans="6:86" x14ac:dyDescent="0.25">
      <c r="F120" s="9"/>
      <c r="G120" s="9"/>
      <c r="AA120" s="10"/>
      <c r="AV120" s="11"/>
      <c r="AW120" s="11"/>
      <c r="BB120" s="9"/>
      <c r="BC120" s="11"/>
      <c r="BF120" s="9"/>
      <c r="CF120" s="12"/>
      <c r="CH120" s="9"/>
    </row>
    <row r="121" spans="6:86" x14ac:dyDescent="0.25">
      <c r="F121" s="9"/>
      <c r="G121" s="9"/>
      <c r="AA121" s="10"/>
      <c r="AV121" s="11"/>
      <c r="AW121" s="11"/>
      <c r="BB121" s="9"/>
      <c r="BC121" s="11"/>
      <c r="BF121" s="9"/>
      <c r="CF121" s="12"/>
      <c r="CH121" s="9"/>
    </row>
    <row r="122" spans="6:86" x14ac:dyDescent="0.25">
      <c r="F122" s="9"/>
      <c r="G122" s="9"/>
      <c r="AA122" s="10"/>
      <c r="AV122" s="11"/>
      <c r="AW122" s="11"/>
      <c r="BB122" s="9"/>
      <c r="BC122" s="11"/>
      <c r="BF122" s="9"/>
      <c r="CF122" s="12"/>
      <c r="CH122" s="9"/>
    </row>
    <row r="123" spans="6:86" x14ac:dyDescent="0.25">
      <c r="F123" s="9"/>
      <c r="G123" s="9"/>
      <c r="AA123" s="10"/>
      <c r="AV123" s="11"/>
      <c r="AW123" s="11"/>
      <c r="BB123" s="9"/>
      <c r="BC123" s="11"/>
      <c r="BF123" s="9"/>
      <c r="CF123" s="12"/>
      <c r="CH123" s="9"/>
    </row>
    <row r="124" spans="6:86" x14ac:dyDescent="0.25">
      <c r="F124" s="9"/>
      <c r="G124" s="9"/>
      <c r="AA124" s="10"/>
      <c r="AV124" s="11"/>
      <c r="AW124" s="11"/>
      <c r="BB124" s="9"/>
      <c r="BC124" s="11"/>
      <c r="BF124" s="9"/>
      <c r="CF124" s="12"/>
      <c r="CH124" s="9"/>
    </row>
    <row r="125" spans="6:86" x14ac:dyDescent="0.25">
      <c r="F125" s="9"/>
      <c r="G125" s="9"/>
      <c r="AA125" s="10"/>
      <c r="AV125" s="11"/>
      <c r="AW125" s="11"/>
      <c r="BB125" s="9"/>
      <c r="BC125" s="11"/>
      <c r="BF125" s="9"/>
      <c r="CF125" s="12"/>
      <c r="CH125" s="9"/>
    </row>
    <row r="126" spans="6:86" x14ac:dyDescent="0.25">
      <c r="F126" s="9"/>
      <c r="G126" s="9"/>
      <c r="AA126" s="10"/>
      <c r="AV126" s="11"/>
      <c r="AW126" s="11"/>
      <c r="BB126" s="9"/>
      <c r="BC126" s="11"/>
      <c r="BF126" s="9"/>
      <c r="CH126" s="9"/>
    </row>
    <row r="127" spans="6:86" x14ac:dyDescent="0.25">
      <c r="F127" s="9"/>
      <c r="G127" s="9"/>
      <c r="AA127" s="10"/>
      <c r="AV127" s="11"/>
      <c r="AW127" s="11"/>
      <c r="BB127" s="9"/>
      <c r="BC127" s="11"/>
      <c r="BF127" s="9"/>
      <c r="CF127" s="12"/>
      <c r="CH127" s="9"/>
    </row>
    <row r="128" spans="6:86" x14ac:dyDescent="0.25">
      <c r="F128" s="9"/>
      <c r="G128" s="9"/>
      <c r="AA128" s="10"/>
      <c r="AV128" s="11"/>
      <c r="AW128" s="11"/>
      <c r="BB128" s="9"/>
      <c r="BC128" s="11"/>
      <c r="BF128" s="9"/>
      <c r="CF128" s="12"/>
      <c r="CH128" s="9"/>
    </row>
    <row r="129" spans="6:86" x14ac:dyDescent="0.25">
      <c r="F129" s="9"/>
      <c r="G129" s="9"/>
      <c r="AA129" s="10"/>
      <c r="AV129" s="11"/>
      <c r="AW129" s="11"/>
      <c r="BB129" s="9"/>
      <c r="BC129" s="11"/>
      <c r="BF129" s="9"/>
      <c r="CF129" s="12"/>
      <c r="CH129" s="9"/>
    </row>
    <row r="130" spans="6:86" x14ac:dyDescent="0.25">
      <c r="F130" s="9"/>
      <c r="G130" s="9"/>
      <c r="AA130" s="10"/>
      <c r="AV130" s="11"/>
      <c r="AW130" s="11"/>
      <c r="BB130" s="9"/>
      <c r="BC130" s="11"/>
      <c r="BF130" s="9"/>
      <c r="CF130" s="12"/>
      <c r="CH130" s="9"/>
    </row>
    <row r="131" spans="6:86" x14ac:dyDescent="0.25">
      <c r="F131" s="9"/>
      <c r="G131" s="9"/>
      <c r="AA131" s="10"/>
      <c r="AV131" s="11"/>
      <c r="AW131" s="11"/>
      <c r="BB131" s="9"/>
      <c r="BC131" s="11"/>
      <c r="BF131" s="9"/>
      <c r="CF131" s="12"/>
      <c r="CH131" s="9"/>
    </row>
    <row r="132" spans="6:86" x14ac:dyDescent="0.25">
      <c r="F132" s="9"/>
      <c r="G132" s="9"/>
      <c r="AA132" s="10"/>
      <c r="AV132" s="11"/>
      <c r="AW132" s="11"/>
      <c r="BB132" s="9"/>
      <c r="BC132" s="11"/>
      <c r="BF132" s="9"/>
      <c r="CF132" s="12"/>
      <c r="CH132" s="9"/>
    </row>
    <row r="133" spans="6:86" x14ac:dyDescent="0.25">
      <c r="F133" s="9"/>
      <c r="G133" s="9"/>
      <c r="AA133" s="10"/>
      <c r="AV133" s="11"/>
      <c r="AW133" s="11"/>
      <c r="BB133" s="9"/>
      <c r="BC133" s="11"/>
      <c r="BF133" s="9"/>
      <c r="CF133" s="12"/>
      <c r="CH133" s="9"/>
    </row>
    <row r="134" spans="6:86" x14ac:dyDescent="0.25">
      <c r="F134" s="9"/>
      <c r="G134" s="9"/>
      <c r="AA134" s="10"/>
      <c r="AV134" s="11"/>
      <c r="AW134" s="11"/>
      <c r="BB134" s="9"/>
      <c r="BC134" s="11"/>
      <c r="BF134" s="9"/>
      <c r="CF134" s="12"/>
      <c r="CH134" s="9"/>
    </row>
    <row r="135" spans="6:86" x14ac:dyDescent="0.25">
      <c r="F135" s="9"/>
      <c r="G135" s="9"/>
      <c r="AA135" s="10"/>
      <c r="AV135" s="11"/>
      <c r="AW135" s="11"/>
      <c r="BB135" s="9"/>
      <c r="BC135" s="11"/>
      <c r="BF135" s="9"/>
      <c r="CF135" s="12"/>
      <c r="CH135" s="9"/>
    </row>
    <row r="136" spans="6:86" x14ac:dyDescent="0.25">
      <c r="F136" s="9"/>
      <c r="G136" s="9"/>
      <c r="AA136" s="10"/>
      <c r="AV136" s="11"/>
      <c r="AW136" s="11"/>
      <c r="BB136" s="9"/>
      <c r="BC136" s="11"/>
      <c r="BF136" s="9"/>
      <c r="CF136" s="12"/>
      <c r="CH136" s="9"/>
    </row>
    <row r="137" spans="6:86" x14ac:dyDescent="0.25">
      <c r="F137" s="9"/>
      <c r="G137" s="9"/>
      <c r="AA137" s="10"/>
      <c r="AV137" s="11"/>
      <c r="AW137" s="11"/>
      <c r="BB137" s="9"/>
      <c r="BC137" s="11"/>
      <c r="BF137" s="9"/>
      <c r="CH137" s="9"/>
    </row>
    <row r="138" spans="6:86" x14ac:dyDescent="0.25">
      <c r="F138" s="9"/>
      <c r="G138" s="9"/>
      <c r="AA138" s="10"/>
      <c r="AV138" s="11"/>
      <c r="AW138" s="11"/>
      <c r="BB138" s="9"/>
      <c r="BC138" s="11"/>
      <c r="BF138" s="9"/>
      <c r="CH138" s="9"/>
    </row>
    <row r="139" spans="6:86" x14ac:dyDescent="0.25">
      <c r="F139" s="9"/>
      <c r="G139" s="9"/>
      <c r="AA139" s="10"/>
      <c r="AV139" s="11"/>
      <c r="AW139" s="11"/>
      <c r="BB139" s="9"/>
      <c r="BC139" s="11"/>
      <c r="BF139" s="9"/>
      <c r="CF139" s="12"/>
      <c r="CH139" s="9"/>
    </row>
    <row r="140" spans="6:86" x14ac:dyDescent="0.25">
      <c r="F140" s="9"/>
      <c r="G140" s="9"/>
      <c r="AA140" s="10"/>
      <c r="AV140" s="11"/>
      <c r="AW140" s="11"/>
      <c r="BB140" s="9"/>
      <c r="BC140" s="11"/>
      <c r="BF140" s="9"/>
      <c r="CF140" s="12"/>
      <c r="CH140" s="9"/>
    </row>
    <row r="141" spans="6:86" x14ac:dyDescent="0.25">
      <c r="F141" s="9"/>
      <c r="G141" s="9"/>
      <c r="AA141" s="10"/>
      <c r="AV141" s="11"/>
      <c r="AW141" s="11"/>
      <c r="BB141" s="9"/>
      <c r="BC141" s="11"/>
      <c r="BF141" s="9"/>
      <c r="CF141" s="12"/>
      <c r="CH141" s="9"/>
    </row>
    <row r="142" spans="6:86" x14ac:dyDescent="0.25">
      <c r="F142" s="9"/>
      <c r="G142" s="9"/>
      <c r="AA142" s="10"/>
      <c r="AV142" s="11"/>
      <c r="AW142" s="11"/>
      <c r="BB142" s="9"/>
      <c r="BC142" s="11"/>
      <c r="BF142" s="9"/>
      <c r="CF142" s="12"/>
      <c r="CH142" s="9"/>
    </row>
    <row r="143" spans="6:86" x14ac:dyDescent="0.25">
      <c r="F143" s="9"/>
      <c r="G143" s="9"/>
      <c r="AA143" s="10"/>
      <c r="AV143" s="11"/>
      <c r="AW143" s="11"/>
      <c r="BB143" s="9"/>
      <c r="BC143" s="11"/>
      <c r="BF143" s="9"/>
      <c r="CF143" s="12"/>
      <c r="CH143" s="9"/>
    </row>
    <row r="144" spans="6:86" x14ac:dyDescent="0.25">
      <c r="F144" s="9"/>
      <c r="G144" s="9"/>
      <c r="AA144" s="10"/>
      <c r="AV144" s="11"/>
      <c r="AW144" s="11"/>
      <c r="BB144" s="9"/>
      <c r="BC144" s="11"/>
      <c r="BF144" s="9"/>
      <c r="CH144" s="9"/>
    </row>
    <row r="145" spans="6:86" x14ac:dyDescent="0.25">
      <c r="F145" s="9"/>
      <c r="G145" s="9"/>
      <c r="AA145" s="10"/>
      <c r="AV145" s="11"/>
      <c r="AW145" s="11"/>
      <c r="BB145" s="9"/>
      <c r="BC145" s="11"/>
      <c r="BF145" s="9"/>
      <c r="CH145" s="9"/>
    </row>
    <row r="146" spans="6:86" x14ac:dyDescent="0.25">
      <c r="F146" s="9"/>
      <c r="G146" s="9"/>
      <c r="AA146" s="10"/>
      <c r="AV146" s="11"/>
      <c r="AW146" s="11"/>
      <c r="BB146" s="9"/>
      <c r="BC146" s="11"/>
      <c r="BF146" s="9"/>
      <c r="CH146" s="9"/>
    </row>
    <row r="147" spans="6:86" x14ac:dyDescent="0.25">
      <c r="F147" s="9"/>
      <c r="G147" s="9"/>
      <c r="AA147" s="10"/>
      <c r="AV147" s="11"/>
      <c r="AW147" s="11"/>
      <c r="BB147" s="9"/>
      <c r="BC147" s="11"/>
      <c r="BF147" s="9"/>
      <c r="CF147" s="12"/>
      <c r="CH147" s="9"/>
    </row>
    <row r="148" spans="6:86" x14ac:dyDescent="0.25">
      <c r="F148" s="9"/>
      <c r="G148" s="9"/>
      <c r="AA148" s="10"/>
      <c r="AV148" s="11"/>
      <c r="AW148" s="11"/>
      <c r="BB148" s="9"/>
      <c r="BC148" s="11"/>
      <c r="BF148" s="9"/>
      <c r="CF148" s="12"/>
      <c r="CH148" s="9"/>
    </row>
    <row r="149" spans="6:86" x14ac:dyDescent="0.25">
      <c r="F149" s="9"/>
      <c r="G149" s="9"/>
      <c r="AA149" s="10"/>
      <c r="AV149" s="11"/>
      <c r="AW149" s="11"/>
      <c r="BB149" s="9"/>
      <c r="BC149" s="11"/>
      <c r="BF149" s="9"/>
      <c r="CF149" s="12"/>
      <c r="CH149" s="9"/>
    </row>
    <row r="150" spans="6:86" x14ac:dyDescent="0.25">
      <c r="F150" s="9"/>
      <c r="G150" s="9"/>
      <c r="AA150" s="10"/>
      <c r="AV150" s="11"/>
      <c r="AW150" s="11"/>
      <c r="BB150" s="9"/>
      <c r="BC150" s="11"/>
      <c r="BF150" s="9"/>
      <c r="CF150" s="12"/>
      <c r="CH150" s="9"/>
    </row>
    <row r="151" spans="6:86" x14ac:dyDescent="0.25">
      <c r="F151" s="9"/>
      <c r="G151" s="9"/>
      <c r="AA151" s="10"/>
      <c r="AV151" s="11"/>
      <c r="AW151" s="11"/>
      <c r="BB151" s="9"/>
      <c r="BC151" s="11"/>
      <c r="BF151" s="9"/>
      <c r="CF151" s="12"/>
      <c r="CH151" s="9"/>
    </row>
    <row r="152" spans="6:86" x14ac:dyDescent="0.25">
      <c r="F152" s="9"/>
      <c r="G152" s="9"/>
      <c r="AA152" s="10"/>
      <c r="AV152" s="11"/>
      <c r="AW152" s="11"/>
      <c r="BB152" s="9"/>
      <c r="BC152" s="11"/>
      <c r="BF152" s="9"/>
      <c r="CF152" s="12"/>
      <c r="CH152" s="9"/>
    </row>
    <row r="153" spans="6:86" x14ac:dyDescent="0.25">
      <c r="F153" s="9"/>
      <c r="G153" s="9"/>
      <c r="AA153" s="10"/>
      <c r="AV153" s="11"/>
      <c r="AW153" s="11"/>
      <c r="BB153" s="9"/>
      <c r="BC153" s="11"/>
      <c r="BF153" s="9"/>
      <c r="CF153" s="12"/>
      <c r="CH153" s="9"/>
    </row>
    <row r="154" spans="6:86" x14ac:dyDescent="0.25">
      <c r="F154" s="9"/>
      <c r="G154" s="9"/>
      <c r="AA154" s="10"/>
      <c r="AV154" s="11"/>
      <c r="AW154" s="11"/>
      <c r="BB154" s="9"/>
      <c r="BC154" s="11"/>
      <c r="BF154" s="9"/>
      <c r="CF154" s="12"/>
      <c r="CH154" s="9"/>
    </row>
    <row r="155" spans="6:86" x14ac:dyDescent="0.25">
      <c r="F155" s="9"/>
      <c r="G155" s="9"/>
      <c r="AA155" s="10"/>
      <c r="AV155" s="11"/>
      <c r="AW155" s="11"/>
      <c r="BB155" s="9"/>
      <c r="BC155" s="11"/>
      <c r="BF155" s="9"/>
      <c r="CF155" s="12"/>
      <c r="CH155" s="9"/>
    </row>
    <row r="156" spans="6:86" x14ac:dyDescent="0.25">
      <c r="F156" s="9"/>
      <c r="G156" s="9"/>
      <c r="AA156" s="10"/>
      <c r="AV156" s="11"/>
      <c r="AW156" s="11"/>
      <c r="BB156" s="9"/>
      <c r="BC156" s="11"/>
      <c r="BF156" s="9"/>
      <c r="CH156" s="9"/>
    </row>
    <row r="157" spans="6:86" x14ac:dyDescent="0.25">
      <c r="F157" s="9"/>
      <c r="G157" s="9"/>
      <c r="AA157" s="10"/>
      <c r="AV157" s="11"/>
      <c r="AW157" s="11"/>
      <c r="BB157" s="9"/>
      <c r="BC157" s="11"/>
      <c r="BF157" s="9"/>
      <c r="CH157" s="9"/>
    </row>
    <row r="158" spans="6:86" x14ac:dyDescent="0.25">
      <c r="F158" s="9"/>
      <c r="G158" s="9"/>
      <c r="AA158" s="10"/>
      <c r="AV158" s="11"/>
      <c r="AW158" s="11"/>
      <c r="BB158" s="9"/>
      <c r="BC158" s="11"/>
      <c r="BF158" s="9"/>
      <c r="CF158" s="12"/>
      <c r="CH158" s="9"/>
    </row>
    <row r="159" spans="6:86" x14ac:dyDescent="0.25">
      <c r="F159" s="9"/>
      <c r="G159" s="9"/>
      <c r="AA159" s="10"/>
      <c r="AV159" s="11"/>
      <c r="AW159" s="11"/>
      <c r="BB159" s="9"/>
      <c r="BC159" s="11"/>
      <c r="BF159" s="9"/>
      <c r="CF159" s="12"/>
      <c r="CH159" s="9"/>
    </row>
    <row r="160" spans="6:86" x14ac:dyDescent="0.25">
      <c r="F160" s="9"/>
      <c r="G160" s="9"/>
      <c r="AA160" s="10"/>
      <c r="AV160" s="11"/>
      <c r="AW160" s="11"/>
      <c r="BB160" s="9"/>
      <c r="BC160" s="11"/>
      <c r="BF160" s="9"/>
      <c r="CF160" s="12"/>
      <c r="CH160" s="9"/>
    </row>
    <row r="161" spans="6:86" x14ac:dyDescent="0.25">
      <c r="F161" s="9"/>
      <c r="G161" s="9"/>
      <c r="AA161" s="10"/>
      <c r="AV161" s="11"/>
      <c r="AW161" s="11"/>
      <c r="BB161" s="9"/>
      <c r="BC161" s="11"/>
      <c r="BF161" s="9"/>
      <c r="CF161" s="12"/>
      <c r="CH161" s="9"/>
    </row>
    <row r="162" spans="6:86" x14ac:dyDescent="0.25">
      <c r="F162" s="9"/>
      <c r="G162" s="9"/>
      <c r="AA162" s="10"/>
      <c r="AV162" s="11"/>
      <c r="AW162" s="11"/>
      <c r="BB162" s="9"/>
      <c r="BC162" s="11"/>
      <c r="BF162" s="9"/>
      <c r="CF162" s="12"/>
      <c r="CH162" s="9"/>
    </row>
    <row r="163" spans="6:86" x14ac:dyDescent="0.25">
      <c r="F163" s="9"/>
      <c r="G163" s="9"/>
      <c r="AA163" s="10"/>
      <c r="AV163" s="11"/>
      <c r="AW163" s="11"/>
      <c r="BB163" s="9"/>
      <c r="BC163" s="11"/>
      <c r="BF163" s="9"/>
      <c r="CF163" s="12"/>
      <c r="CH163" s="9"/>
    </row>
    <row r="164" spans="6:86" x14ac:dyDescent="0.25">
      <c r="F164" s="9"/>
      <c r="G164" s="9"/>
      <c r="AA164" s="10"/>
      <c r="AV164" s="11"/>
      <c r="AW164" s="11"/>
      <c r="BB164" s="9"/>
      <c r="BC164" s="11"/>
      <c r="BF164" s="9"/>
      <c r="CF164" s="12"/>
      <c r="CH164" s="9"/>
    </row>
    <row r="165" spans="6:86" x14ac:dyDescent="0.25">
      <c r="F165" s="9"/>
      <c r="G165" s="9"/>
      <c r="AA165" s="10"/>
      <c r="AV165" s="11"/>
      <c r="AW165" s="11"/>
      <c r="BB165" s="9"/>
      <c r="BC165" s="11"/>
      <c r="BF165" s="9"/>
      <c r="CF165" s="12"/>
      <c r="CH165" s="9"/>
    </row>
    <row r="166" spans="6:86" x14ac:dyDescent="0.25">
      <c r="F166" s="9"/>
      <c r="G166" s="9"/>
      <c r="AA166" s="10"/>
      <c r="AV166" s="11"/>
      <c r="AW166" s="11"/>
      <c r="BB166" s="9"/>
      <c r="BC166" s="11"/>
      <c r="BF166" s="9"/>
      <c r="CF166" s="12"/>
      <c r="CH166" s="9"/>
    </row>
    <row r="167" spans="6:86" x14ac:dyDescent="0.25">
      <c r="F167" s="9"/>
      <c r="G167" s="9"/>
      <c r="AA167" s="10"/>
      <c r="AV167" s="11"/>
      <c r="AW167" s="11"/>
      <c r="BB167" s="9"/>
      <c r="BC167" s="11"/>
      <c r="BF167" s="9"/>
      <c r="CF167" s="12"/>
      <c r="CH167" s="9"/>
    </row>
    <row r="168" spans="6:86" x14ac:dyDescent="0.25">
      <c r="F168" s="9"/>
      <c r="G168" s="9"/>
      <c r="AA168" s="10"/>
      <c r="AV168" s="11"/>
      <c r="AW168" s="11"/>
      <c r="BB168" s="9"/>
      <c r="BC168" s="11"/>
      <c r="BF168" s="9"/>
      <c r="CF168" s="12"/>
      <c r="CH168" s="9"/>
    </row>
    <row r="169" spans="6:86" x14ac:dyDescent="0.25">
      <c r="F169" s="9"/>
      <c r="G169" s="9"/>
      <c r="AA169" s="10"/>
      <c r="AV169" s="11"/>
      <c r="AW169" s="11"/>
      <c r="BB169" s="9"/>
      <c r="BC169" s="11"/>
      <c r="BF169" s="9"/>
      <c r="CF169" s="12"/>
      <c r="CH169" s="9"/>
    </row>
    <row r="170" spans="6:86" x14ac:dyDescent="0.25">
      <c r="F170" s="9"/>
      <c r="G170" s="9"/>
      <c r="AA170" s="10"/>
      <c r="AV170" s="11"/>
      <c r="AW170" s="11"/>
      <c r="BB170" s="9"/>
      <c r="BC170" s="11"/>
      <c r="BF170" s="9"/>
      <c r="CF170" s="12"/>
      <c r="CH170" s="9"/>
    </row>
    <row r="171" spans="6:86" x14ac:dyDescent="0.25">
      <c r="F171" s="9"/>
      <c r="G171" s="9"/>
      <c r="AA171" s="10"/>
      <c r="AV171" s="11"/>
      <c r="AW171" s="11"/>
      <c r="BB171" s="9"/>
      <c r="BC171" s="11"/>
      <c r="BF171" s="9"/>
      <c r="CF171" s="12"/>
      <c r="CH171" s="9"/>
    </row>
    <row r="172" spans="6:86" x14ac:dyDescent="0.25">
      <c r="F172" s="9"/>
      <c r="G172" s="9"/>
      <c r="AA172" s="10"/>
      <c r="AV172" s="11"/>
      <c r="AW172" s="11"/>
      <c r="BB172" s="9"/>
      <c r="BC172" s="11"/>
      <c r="BF172" s="9"/>
      <c r="CH172" s="9"/>
    </row>
    <row r="173" spans="6:86" x14ac:dyDescent="0.25">
      <c r="F173" s="9"/>
      <c r="G173" s="9"/>
      <c r="AA173" s="10"/>
      <c r="AV173" s="11"/>
      <c r="AW173" s="11"/>
      <c r="BB173" s="9"/>
      <c r="BC173" s="11"/>
      <c r="BF173" s="9"/>
      <c r="CH173" s="9"/>
    </row>
    <row r="174" spans="6:86" x14ac:dyDescent="0.25">
      <c r="F174" s="9"/>
      <c r="G174" s="9"/>
      <c r="AA174" s="10"/>
      <c r="AV174" s="11"/>
      <c r="AW174" s="11"/>
      <c r="BB174" s="9"/>
      <c r="BC174" s="11"/>
      <c r="BF174" s="9"/>
      <c r="CF174" s="12"/>
      <c r="CH174" s="9"/>
    </row>
    <row r="175" spans="6:86" x14ac:dyDescent="0.25">
      <c r="F175" s="9"/>
      <c r="G175" s="9"/>
      <c r="AA175" s="10"/>
      <c r="AV175" s="11"/>
      <c r="AW175" s="11"/>
      <c r="BB175" s="9"/>
      <c r="BC175" s="11"/>
      <c r="BF175" s="9"/>
      <c r="CF175" s="12"/>
      <c r="CH175" s="9"/>
    </row>
    <row r="176" spans="6:86" x14ac:dyDescent="0.25">
      <c r="F176" s="9"/>
      <c r="G176" s="9"/>
      <c r="AA176" s="10"/>
      <c r="AV176" s="11"/>
      <c r="AW176" s="11"/>
      <c r="BB176" s="9"/>
      <c r="BC176" s="11"/>
      <c r="BF176" s="9"/>
      <c r="CF176" s="12"/>
      <c r="CH176" s="9"/>
    </row>
    <row r="177" spans="6:86" x14ac:dyDescent="0.25">
      <c r="F177" s="9"/>
      <c r="G177" s="9"/>
      <c r="AA177" s="10"/>
      <c r="AV177" s="11"/>
      <c r="AW177" s="11"/>
      <c r="BB177" s="9"/>
      <c r="BC177" s="11"/>
      <c r="BF177" s="9"/>
      <c r="CF177" s="12"/>
      <c r="CH177" s="9"/>
    </row>
    <row r="178" spans="6:86" x14ac:dyDescent="0.25">
      <c r="F178" s="9"/>
      <c r="G178" s="9"/>
      <c r="AA178" s="10"/>
      <c r="AV178" s="11"/>
      <c r="AW178" s="11"/>
      <c r="BB178" s="9"/>
      <c r="BC178" s="11"/>
      <c r="BF178" s="9"/>
      <c r="CH178" s="9"/>
    </row>
    <row r="179" spans="6:86" x14ac:dyDescent="0.25">
      <c r="F179" s="9"/>
      <c r="G179" s="9"/>
      <c r="AA179" s="10"/>
      <c r="AV179" s="11"/>
      <c r="AW179" s="11"/>
      <c r="BB179" s="9"/>
      <c r="BC179" s="11"/>
      <c r="BF179" s="9"/>
      <c r="CF179" s="12"/>
      <c r="CH179" s="9"/>
    </row>
    <row r="180" spans="6:86" x14ac:dyDescent="0.25">
      <c r="F180" s="9"/>
      <c r="G180" s="9"/>
      <c r="AA180" s="10"/>
      <c r="AV180" s="11"/>
      <c r="AW180" s="11"/>
      <c r="BB180" s="9"/>
      <c r="BC180" s="11"/>
      <c r="BF180" s="9"/>
      <c r="CF180" s="12"/>
      <c r="CH180" s="9"/>
    </row>
    <row r="181" spans="6:86" x14ac:dyDescent="0.25">
      <c r="F181" s="9"/>
      <c r="G181" s="9"/>
      <c r="AA181" s="10"/>
      <c r="AV181" s="11"/>
      <c r="AW181" s="11"/>
      <c r="BB181" s="9"/>
      <c r="BC181" s="11"/>
      <c r="BF181" s="9"/>
      <c r="CF181" s="12"/>
      <c r="CH181" s="9"/>
    </row>
    <row r="182" spans="6:86" x14ac:dyDescent="0.25">
      <c r="F182" s="9"/>
      <c r="G182" s="9"/>
      <c r="AA182" s="10"/>
      <c r="AV182" s="11"/>
      <c r="AW182" s="11"/>
      <c r="BB182" s="9"/>
      <c r="BC182" s="11"/>
      <c r="BF182" s="9"/>
      <c r="CF182" s="12"/>
      <c r="CH182" s="9"/>
    </row>
    <row r="183" spans="6:86" x14ac:dyDescent="0.25">
      <c r="F183" s="9"/>
      <c r="G183" s="9"/>
      <c r="AA183" s="10"/>
      <c r="AV183" s="11"/>
      <c r="AW183" s="11"/>
      <c r="BB183" s="9"/>
      <c r="BC183" s="11"/>
      <c r="BF183" s="9"/>
      <c r="CF183" s="12"/>
      <c r="CH183" s="9"/>
    </row>
    <row r="184" spans="6:86" x14ac:dyDescent="0.25">
      <c r="F184" s="9"/>
      <c r="G184" s="9"/>
      <c r="AA184" s="10"/>
      <c r="AV184" s="11"/>
      <c r="AW184" s="11"/>
      <c r="BB184" s="9"/>
      <c r="BC184" s="11"/>
      <c r="BF184" s="9"/>
      <c r="CF184" s="12"/>
      <c r="CH184" s="9"/>
    </row>
    <row r="185" spans="6:86" x14ac:dyDescent="0.25">
      <c r="F185" s="9"/>
      <c r="G185" s="9"/>
      <c r="AA185" s="10"/>
      <c r="AV185" s="11"/>
      <c r="AW185" s="11"/>
      <c r="BB185" s="9"/>
      <c r="BC185" s="11"/>
      <c r="BF185" s="9"/>
      <c r="CH185" s="9"/>
    </row>
    <row r="186" spans="6:86" x14ac:dyDescent="0.25">
      <c r="F186" s="9"/>
      <c r="G186" s="9"/>
      <c r="AA186" s="10"/>
      <c r="AV186" s="11"/>
      <c r="AW186" s="11"/>
      <c r="BB186" s="9"/>
      <c r="BC186" s="11"/>
      <c r="BF186" s="9"/>
      <c r="CF186" s="12"/>
      <c r="CH186" s="9"/>
    </row>
    <row r="187" spans="6:86" x14ac:dyDescent="0.25">
      <c r="F187" s="9"/>
      <c r="G187" s="9"/>
      <c r="AA187" s="10"/>
      <c r="AV187" s="11"/>
      <c r="AW187" s="11"/>
      <c r="BB187" s="9"/>
      <c r="BC187" s="11"/>
      <c r="BF187" s="9"/>
      <c r="CF187" s="12"/>
      <c r="CH187" s="9"/>
    </row>
    <row r="188" spans="6:86" x14ac:dyDescent="0.25">
      <c r="F188" s="9"/>
      <c r="G188" s="9"/>
      <c r="AA188" s="10"/>
      <c r="AV188" s="11"/>
      <c r="AW188" s="11"/>
      <c r="BB188" s="9"/>
      <c r="BC188" s="11"/>
      <c r="BF188" s="9"/>
      <c r="CF188" s="12"/>
      <c r="CH188" s="9"/>
    </row>
    <row r="189" spans="6:86" x14ac:dyDescent="0.25">
      <c r="F189" s="9"/>
      <c r="G189" s="9"/>
      <c r="AA189" s="10"/>
      <c r="AV189" s="11"/>
      <c r="AW189" s="11"/>
      <c r="BB189" s="9"/>
      <c r="BC189" s="11"/>
      <c r="BF189" s="9"/>
      <c r="CF189" s="12"/>
      <c r="CH189" s="9"/>
    </row>
    <row r="190" spans="6:86" x14ac:dyDescent="0.25">
      <c r="F190" s="9"/>
      <c r="G190" s="9"/>
      <c r="AA190" s="10"/>
      <c r="AV190" s="11"/>
      <c r="AW190" s="11"/>
      <c r="BB190" s="9"/>
      <c r="BC190" s="11"/>
      <c r="BF190" s="9"/>
      <c r="CF190" s="12"/>
      <c r="CH190" s="9"/>
    </row>
    <row r="191" spans="6:86" x14ac:dyDescent="0.25">
      <c r="F191" s="9"/>
      <c r="G191" s="9"/>
      <c r="AA191" s="10"/>
      <c r="AV191" s="11"/>
      <c r="AW191" s="11"/>
      <c r="BB191" s="9"/>
      <c r="BC191" s="11"/>
      <c r="BF191" s="9"/>
      <c r="CH191" s="9"/>
    </row>
    <row r="192" spans="6:86" x14ac:dyDescent="0.25">
      <c r="F192" s="9"/>
      <c r="G192" s="9"/>
      <c r="AA192" s="10"/>
      <c r="AV192" s="11"/>
      <c r="AW192" s="11"/>
      <c r="BB192" s="9"/>
      <c r="BC192" s="11"/>
      <c r="BF192" s="9"/>
      <c r="CF192" s="12"/>
      <c r="CH192" s="9"/>
    </row>
    <row r="193" spans="6:86" x14ac:dyDescent="0.25">
      <c r="F193" s="9"/>
      <c r="G193" s="9"/>
      <c r="AA193" s="10"/>
      <c r="AV193" s="11"/>
      <c r="AW193" s="11"/>
      <c r="BB193" s="9"/>
      <c r="BC193" s="11"/>
      <c r="BF193" s="9"/>
      <c r="CF193" s="12"/>
      <c r="CH193" s="9"/>
    </row>
    <row r="194" spans="6:86" x14ac:dyDescent="0.25">
      <c r="F194" s="9"/>
      <c r="G194" s="9"/>
      <c r="AA194" s="10"/>
      <c r="AV194" s="11"/>
      <c r="AW194" s="11"/>
      <c r="BB194" s="9"/>
      <c r="BC194" s="11"/>
      <c r="BF194" s="9"/>
      <c r="CF194" s="12"/>
      <c r="CH194" s="9"/>
    </row>
    <row r="195" spans="6:86" x14ac:dyDescent="0.25">
      <c r="F195" s="9"/>
      <c r="G195" s="9"/>
      <c r="AA195" s="10"/>
      <c r="AV195" s="11"/>
      <c r="AW195" s="11"/>
      <c r="BB195" s="9"/>
      <c r="BC195" s="11"/>
      <c r="BF195" s="9"/>
      <c r="CF195" s="12"/>
      <c r="CH195" s="9"/>
    </row>
    <row r="196" spans="6:86" x14ac:dyDescent="0.25">
      <c r="F196" s="9"/>
      <c r="G196" s="9"/>
      <c r="AA196" s="10"/>
      <c r="AV196" s="11"/>
      <c r="AW196" s="11"/>
      <c r="BB196" s="9"/>
      <c r="BC196" s="11"/>
      <c r="BF196" s="9"/>
      <c r="CF196" s="12"/>
      <c r="CH196" s="9"/>
    </row>
    <row r="197" spans="6:86" x14ac:dyDescent="0.25">
      <c r="F197" s="9"/>
      <c r="G197" s="9"/>
      <c r="AA197" s="10"/>
      <c r="AV197" s="11"/>
      <c r="AW197" s="11"/>
      <c r="BB197" s="9"/>
      <c r="BC197" s="11"/>
      <c r="BF197" s="9"/>
      <c r="CF197" s="12"/>
      <c r="CH197" s="9"/>
    </row>
    <row r="198" spans="6:86" x14ac:dyDescent="0.25">
      <c r="F198" s="9"/>
      <c r="G198" s="9"/>
      <c r="AA198" s="10"/>
      <c r="AV198" s="11"/>
      <c r="AW198" s="11"/>
      <c r="BB198" s="9"/>
      <c r="BC198" s="11"/>
      <c r="BF198" s="9"/>
      <c r="CF198" s="12"/>
      <c r="CH198" s="9"/>
    </row>
    <row r="199" spans="6:86" x14ac:dyDescent="0.25">
      <c r="F199" s="9"/>
      <c r="G199" s="9"/>
      <c r="AA199" s="10"/>
      <c r="AV199" s="11"/>
      <c r="AW199" s="11"/>
      <c r="BB199" s="9"/>
      <c r="BC199" s="11"/>
      <c r="BF199" s="9"/>
      <c r="CF199" s="12"/>
      <c r="CH199" s="9"/>
    </row>
    <row r="200" spans="6:86" x14ac:dyDescent="0.25">
      <c r="F200" s="9"/>
      <c r="G200" s="9"/>
      <c r="AA200" s="10"/>
      <c r="AV200" s="11"/>
      <c r="AW200" s="11"/>
      <c r="BB200" s="9"/>
      <c r="BC200" s="11"/>
      <c r="BF200" s="9"/>
      <c r="CF200" s="12"/>
      <c r="CH200" s="9"/>
    </row>
    <row r="201" spans="6:86" x14ac:dyDescent="0.25">
      <c r="F201" s="9"/>
      <c r="G201" s="9"/>
      <c r="AA201" s="10"/>
      <c r="AV201" s="11"/>
      <c r="AW201" s="11"/>
      <c r="BB201" s="9"/>
      <c r="BC201" s="11"/>
      <c r="BF201" s="9"/>
      <c r="CF201" s="12"/>
      <c r="CH201" s="9"/>
    </row>
    <row r="202" spans="6:86" x14ac:dyDescent="0.25">
      <c r="F202" s="9"/>
      <c r="G202" s="9"/>
      <c r="AA202" s="10"/>
      <c r="AV202" s="11"/>
      <c r="AW202" s="11"/>
      <c r="BB202" s="9"/>
      <c r="BC202" s="11"/>
      <c r="BF202" s="9"/>
      <c r="CF202" s="12"/>
      <c r="CH202" s="9"/>
    </row>
    <row r="203" spans="6:86" x14ac:dyDescent="0.25">
      <c r="F203" s="9"/>
      <c r="G203" s="9"/>
      <c r="AA203" s="10"/>
      <c r="AV203" s="11"/>
      <c r="AW203" s="11"/>
      <c r="BB203" s="9"/>
      <c r="BC203" s="11"/>
      <c r="BF203" s="9"/>
      <c r="CH203" s="9"/>
    </row>
    <row r="204" spans="6:86" x14ac:dyDescent="0.25">
      <c r="F204" s="9"/>
      <c r="G204" s="9"/>
      <c r="AA204" s="10"/>
      <c r="AV204" s="11"/>
      <c r="AW204" s="11"/>
      <c r="BB204" s="9"/>
      <c r="BC204" s="11"/>
      <c r="BF204" s="9"/>
      <c r="CF204" s="12"/>
      <c r="CH204" s="9"/>
    </row>
    <row r="205" spans="6:86" x14ac:dyDescent="0.25">
      <c r="F205" s="9"/>
      <c r="G205" s="9"/>
      <c r="AA205" s="10"/>
      <c r="AV205" s="11"/>
      <c r="AW205" s="11"/>
      <c r="BB205" s="9"/>
      <c r="BC205" s="11"/>
      <c r="BF205" s="9"/>
      <c r="CF205" s="12"/>
      <c r="CH205" s="9"/>
    </row>
    <row r="206" spans="6:86" x14ac:dyDescent="0.25">
      <c r="F206" s="9"/>
      <c r="G206" s="9"/>
      <c r="AA206" s="10"/>
      <c r="AV206" s="11"/>
      <c r="AW206" s="11"/>
      <c r="BB206" s="9"/>
      <c r="BC206" s="11"/>
      <c r="BF206" s="9"/>
      <c r="CF206" s="12"/>
      <c r="CH206" s="9"/>
    </row>
    <row r="207" spans="6:86" x14ac:dyDescent="0.25">
      <c r="F207" s="9"/>
      <c r="G207" s="9"/>
      <c r="AA207" s="10"/>
      <c r="AV207" s="11"/>
      <c r="AW207" s="11"/>
      <c r="BB207" s="9"/>
      <c r="BC207" s="11"/>
      <c r="BF207" s="9"/>
      <c r="CF207" s="12"/>
      <c r="CH207" s="9"/>
    </row>
    <row r="208" spans="6:86" x14ac:dyDescent="0.25">
      <c r="F208" s="9"/>
      <c r="G208" s="9"/>
      <c r="AA208" s="10"/>
      <c r="AV208" s="11"/>
      <c r="AW208" s="11"/>
      <c r="BB208" s="9"/>
      <c r="BC208" s="11"/>
      <c r="BF208" s="9"/>
      <c r="CF208" s="12"/>
      <c r="CH208" s="9"/>
    </row>
    <row r="209" spans="6:92" x14ac:dyDescent="0.25">
      <c r="F209" s="9"/>
      <c r="G209" s="9"/>
      <c r="AA209" s="10"/>
      <c r="AV209" s="11"/>
      <c r="AW209" s="11"/>
      <c r="BB209" s="9"/>
      <c r="BC209" s="11"/>
      <c r="BF209" s="9"/>
      <c r="CF209" s="12"/>
      <c r="CH209" s="9"/>
    </row>
    <row r="210" spans="6:92" x14ac:dyDescent="0.25">
      <c r="F210" s="9"/>
      <c r="G210" s="9"/>
      <c r="AA210" s="10"/>
      <c r="AV210" s="11"/>
      <c r="AW210" s="11"/>
      <c r="BB210" s="9"/>
      <c r="BC210" s="11"/>
      <c r="BF210" s="9"/>
      <c r="CF210" s="12"/>
      <c r="CH210" s="9"/>
    </row>
    <row r="211" spans="6:92" x14ac:dyDescent="0.25">
      <c r="F211" s="9"/>
      <c r="G211" s="9"/>
      <c r="AA211" s="10"/>
      <c r="AV211" s="11"/>
      <c r="AW211" s="11"/>
      <c r="BB211" s="9"/>
      <c r="BC211" s="11"/>
      <c r="BF211" s="9"/>
      <c r="CF211" s="12"/>
      <c r="CH211" s="9"/>
    </row>
    <row r="212" spans="6:92" x14ac:dyDescent="0.25">
      <c r="F212" s="9"/>
      <c r="G212" s="9"/>
      <c r="AA212" s="10"/>
      <c r="AV212" s="11"/>
      <c r="AW212" s="11"/>
      <c r="BB212" s="9"/>
      <c r="BC212" s="11"/>
      <c r="BF212" s="9"/>
      <c r="CF212" s="12"/>
      <c r="CH212" s="9"/>
    </row>
    <row r="213" spans="6:92" x14ac:dyDescent="0.25">
      <c r="F213" s="9"/>
      <c r="G213" s="9"/>
      <c r="AA213" s="10"/>
      <c r="AV213" s="11"/>
      <c r="AW213" s="11"/>
      <c r="BB213" s="9"/>
      <c r="BC213" s="11"/>
      <c r="BF213" s="9"/>
      <c r="CF213" s="12"/>
      <c r="CH213" s="9"/>
    </row>
    <row r="214" spans="6:92" x14ac:dyDescent="0.25">
      <c r="F214" s="9"/>
      <c r="G214" s="9"/>
      <c r="AA214" s="10"/>
      <c r="AV214" s="11"/>
      <c r="AW214" s="11"/>
      <c r="BB214" s="9"/>
      <c r="BC214" s="11"/>
      <c r="BF214" s="9"/>
      <c r="CF214" s="12"/>
      <c r="CH214" s="9"/>
    </row>
    <row r="215" spans="6:92" x14ac:dyDescent="0.25">
      <c r="F215" s="9"/>
      <c r="G215" s="9"/>
      <c r="AA215" s="10"/>
      <c r="AV215" s="11"/>
      <c r="AW215" s="11"/>
      <c r="BB215" s="9"/>
      <c r="BC215" s="11"/>
      <c r="BF215" s="9"/>
      <c r="CF215" s="12"/>
      <c r="CH215" s="9"/>
    </row>
    <row r="216" spans="6:92" x14ac:dyDescent="0.25">
      <c r="F216" s="9"/>
      <c r="G216" s="9"/>
      <c r="AA216" s="10"/>
      <c r="AV216" s="11"/>
      <c r="AW216" s="11"/>
      <c r="BB216" s="9"/>
      <c r="BC216" s="11"/>
      <c r="BF216" s="9"/>
      <c r="CF216" s="12"/>
      <c r="CH216" s="9"/>
    </row>
    <row r="217" spans="6:92" x14ac:dyDescent="0.25">
      <c r="F217" s="9"/>
      <c r="G217" s="9"/>
      <c r="AA217" s="10"/>
      <c r="AV217" s="11"/>
      <c r="AW217" s="11"/>
      <c r="BB217" s="9"/>
      <c r="BC217" s="11"/>
      <c r="BF217" s="9"/>
      <c r="CF217" s="12"/>
      <c r="CH217" s="9"/>
    </row>
    <row r="218" spans="6:92" x14ac:dyDescent="0.25">
      <c r="F218" s="9"/>
      <c r="G218" s="9"/>
      <c r="AA218" s="10"/>
      <c r="AV218" s="11"/>
      <c r="AW218" s="11"/>
      <c r="BB218" s="9"/>
      <c r="BC218" s="11"/>
      <c r="BF218" s="9"/>
      <c r="CF218" s="12"/>
      <c r="CH218" s="9"/>
    </row>
    <row r="219" spans="6:92" x14ac:dyDescent="0.25">
      <c r="F219" s="9"/>
      <c r="G219" s="9"/>
      <c r="AA219" s="10"/>
      <c r="AV219" s="11"/>
      <c r="AW219" s="11"/>
      <c r="BB219" s="9"/>
      <c r="BC219" s="11"/>
      <c r="BF219" s="9"/>
      <c r="CF219" s="12"/>
      <c r="CH219" s="9"/>
    </row>
    <row r="220" spans="6:92" x14ac:dyDescent="0.25">
      <c r="F220" s="9"/>
      <c r="G220" s="9"/>
      <c r="AA220" s="10"/>
      <c r="AV220" s="11"/>
      <c r="AW220" s="11"/>
      <c r="BB220" s="9"/>
      <c r="BC220" s="11"/>
      <c r="BF220" s="9"/>
      <c r="CF220" s="12"/>
      <c r="CH220" s="9"/>
    </row>
    <row r="221" spans="6:92" x14ac:dyDescent="0.25">
      <c r="F221" s="9"/>
      <c r="G221" s="9"/>
      <c r="AA221" s="10"/>
      <c r="AV221" s="11"/>
      <c r="AW221" s="11"/>
      <c r="BB221" s="9"/>
      <c r="BC221" s="11"/>
      <c r="BF221" s="9"/>
      <c r="CF221" s="12"/>
      <c r="CH221" s="9"/>
    </row>
    <row r="222" spans="6:92" x14ac:dyDescent="0.25">
      <c r="F222" s="9"/>
      <c r="G222" s="9"/>
      <c r="AA222" s="10"/>
      <c r="AV222" s="11"/>
      <c r="AW222" s="11"/>
      <c r="BB222" s="9"/>
      <c r="BC222" s="11"/>
      <c r="BF222" s="9"/>
      <c r="CH222" s="9"/>
    </row>
    <row r="223" spans="6:92" x14ac:dyDescent="0.25">
      <c r="F223" s="9"/>
      <c r="G223" s="9"/>
      <c r="U223" s="12"/>
      <c r="Z223" s="12"/>
      <c r="AA223" s="10"/>
      <c r="AV223" s="11"/>
      <c r="AW223" s="11"/>
      <c r="BB223" s="9"/>
      <c r="BC223" s="11"/>
      <c r="BF223" s="9"/>
      <c r="CF223" s="12"/>
      <c r="CH223" s="9"/>
      <c r="CN223" s="12"/>
    </row>
    <row r="224" spans="6:92" x14ac:dyDescent="0.25">
      <c r="F224" s="9"/>
      <c r="G224" s="9"/>
      <c r="AA224" s="10"/>
      <c r="AV224" s="11"/>
      <c r="AW224" s="11"/>
      <c r="BB224" s="9"/>
      <c r="BC224" s="11"/>
      <c r="BF224" s="9"/>
      <c r="CF224" s="12"/>
      <c r="CH224" s="9"/>
    </row>
    <row r="225" spans="6:86" x14ac:dyDescent="0.25">
      <c r="F225" s="9"/>
      <c r="G225" s="9"/>
      <c r="AA225" s="10"/>
      <c r="AV225" s="11"/>
      <c r="AW225" s="11"/>
      <c r="BB225" s="9"/>
      <c r="BC225" s="11"/>
      <c r="BF225" s="9"/>
      <c r="CF225" s="12"/>
      <c r="CH225" s="9"/>
    </row>
    <row r="226" spans="6:86" x14ac:dyDescent="0.25">
      <c r="F226" s="9"/>
      <c r="G226" s="9"/>
      <c r="AA226" s="10"/>
      <c r="AV226" s="11"/>
      <c r="AW226" s="11"/>
      <c r="BB226" s="9"/>
      <c r="BC226" s="11"/>
      <c r="BF226" s="9"/>
      <c r="CF226" s="12"/>
      <c r="CH226" s="9"/>
    </row>
    <row r="227" spans="6:86" x14ac:dyDescent="0.25">
      <c r="F227" s="9"/>
      <c r="G227" s="9"/>
      <c r="AA227" s="10"/>
      <c r="AV227" s="11"/>
      <c r="AW227" s="11"/>
      <c r="BB227" s="9"/>
      <c r="BC227" s="11"/>
      <c r="BF227" s="9"/>
      <c r="CH227" s="9"/>
    </row>
    <row r="228" spans="6:86" x14ac:dyDescent="0.25">
      <c r="F228" s="9"/>
      <c r="G228" s="9"/>
      <c r="AA228" s="10"/>
      <c r="AV228" s="11"/>
      <c r="AW228" s="11"/>
      <c r="BB228" s="9"/>
      <c r="BC228" s="11"/>
      <c r="BF228" s="9"/>
      <c r="CF228" s="12"/>
      <c r="CH228" s="9"/>
    </row>
    <row r="229" spans="6:86" x14ac:dyDescent="0.25">
      <c r="F229" s="9"/>
      <c r="G229" s="9"/>
      <c r="AA229" s="10"/>
      <c r="AV229" s="11"/>
      <c r="AW229" s="11"/>
      <c r="BB229" s="9"/>
      <c r="BC229" s="11"/>
      <c r="BF229" s="9"/>
      <c r="CF229" s="12"/>
      <c r="CH229" s="9"/>
    </row>
    <row r="230" spans="6:86" x14ac:dyDescent="0.25">
      <c r="F230" s="9"/>
      <c r="G230" s="9"/>
      <c r="AA230" s="10"/>
      <c r="AV230" s="11"/>
      <c r="AW230" s="11"/>
      <c r="BB230" s="9"/>
      <c r="BC230" s="11"/>
      <c r="BF230" s="9"/>
      <c r="CF230" s="12"/>
      <c r="CH230" s="9"/>
    </row>
    <row r="231" spans="6:86" x14ac:dyDescent="0.25">
      <c r="F231" s="9"/>
      <c r="G231" s="9"/>
      <c r="AA231" s="10"/>
      <c r="AV231" s="11"/>
      <c r="AW231" s="11"/>
      <c r="BB231" s="9"/>
      <c r="BC231" s="11"/>
      <c r="BF231" s="9"/>
      <c r="CF231" s="12"/>
      <c r="CH231" s="9"/>
    </row>
    <row r="232" spans="6:86" x14ac:dyDescent="0.25">
      <c r="F232" s="9"/>
      <c r="G232" s="9"/>
      <c r="AA232" s="10"/>
      <c r="AV232" s="11"/>
      <c r="AW232" s="11"/>
      <c r="BB232" s="9"/>
      <c r="BC232" s="11"/>
      <c r="BF232" s="9"/>
      <c r="CF232" s="12"/>
      <c r="CH232" s="9"/>
    </row>
    <row r="233" spans="6:86" x14ac:dyDescent="0.25">
      <c r="F233" s="9"/>
      <c r="G233" s="9"/>
      <c r="AA233" s="10"/>
      <c r="AV233" s="11"/>
      <c r="AW233" s="11"/>
      <c r="BB233" s="9"/>
      <c r="BC233" s="11"/>
      <c r="BF233" s="9"/>
      <c r="CH233" s="9"/>
    </row>
    <row r="234" spans="6:86" x14ac:dyDescent="0.25">
      <c r="F234" s="9"/>
      <c r="G234" s="9"/>
      <c r="AA234" s="10"/>
      <c r="AV234" s="11"/>
      <c r="AW234" s="11"/>
      <c r="BB234" s="9"/>
      <c r="BC234" s="11"/>
      <c r="BF234" s="9"/>
      <c r="CF234" s="12"/>
      <c r="CH234" s="9"/>
    </row>
    <row r="235" spans="6:86" x14ac:dyDescent="0.25">
      <c r="F235" s="9"/>
      <c r="G235" s="9"/>
      <c r="AA235" s="10"/>
      <c r="AV235" s="11"/>
      <c r="AW235" s="11"/>
      <c r="BB235" s="9"/>
      <c r="BC235" s="11"/>
      <c r="BF235" s="9"/>
      <c r="CH235" s="9"/>
    </row>
    <row r="236" spans="6:86" x14ac:dyDescent="0.25">
      <c r="F236" s="9"/>
      <c r="G236" s="9"/>
      <c r="AA236" s="10"/>
      <c r="AV236" s="11"/>
      <c r="AW236" s="11"/>
      <c r="BB236" s="9"/>
      <c r="BC236" s="11"/>
      <c r="BF236" s="9"/>
      <c r="CH236" s="9"/>
    </row>
    <row r="237" spans="6:86" x14ac:dyDescent="0.25">
      <c r="F237" s="9"/>
      <c r="G237" s="9"/>
      <c r="AA237" s="10"/>
      <c r="AV237" s="11"/>
      <c r="AW237" s="11"/>
      <c r="BB237" s="9"/>
      <c r="BC237" s="11"/>
      <c r="BF237" s="9"/>
      <c r="CF237" s="12"/>
      <c r="CH237" s="9"/>
    </row>
    <row r="238" spans="6:86" x14ac:dyDescent="0.25">
      <c r="F238" s="9"/>
      <c r="G238" s="9"/>
      <c r="AA238" s="10"/>
      <c r="AV238" s="11"/>
      <c r="AW238" s="11"/>
      <c r="BB238" s="9"/>
      <c r="BC238" s="11"/>
      <c r="BF238" s="9"/>
      <c r="CF238" s="12"/>
      <c r="CH238" s="9"/>
    </row>
    <row r="239" spans="6:86" x14ac:dyDescent="0.25">
      <c r="F239" s="9"/>
      <c r="G239" s="9"/>
      <c r="U239" s="12"/>
      <c r="AA239" s="10"/>
      <c r="AV239" s="11"/>
      <c r="AW239" s="11"/>
      <c r="BB239" s="9"/>
      <c r="BC239" s="11"/>
      <c r="BF239" s="9"/>
      <c r="CF239" s="12"/>
      <c r="CH239" s="9"/>
    </row>
    <row r="240" spans="6:86" x14ac:dyDescent="0.25">
      <c r="F240" s="9"/>
      <c r="G240" s="9"/>
      <c r="AA240" s="10"/>
      <c r="AV240" s="11"/>
      <c r="AW240" s="11"/>
      <c r="BB240" s="9"/>
      <c r="BC240" s="11"/>
      <c r="BF240" s="9"/>
      <c r="CH240" s="9"/>
    </row>
    <row r="241" spans="6:86" x14ac:dyDescent="0.25">
      <c r="F241" s="9"/>
      <c r="G241" s="9"/>
      <c r="AA241" s="10"/>
      <c r="AV241" s="11"/>
      <c r="AW241" s="11"/>
      <c r="BB241" s="9"/>
      <c r="BC241" s="11"/>
      <c r="BF241" s="9"/>
      <c r="CH241" s="9"/>
    </row>
    <row r="242" spans="6:86" x14ac:dyDescent="0.25">
      <c r="F242" s="9"/>
      <c r="G242" s="9"/>
      <c r="U242" s="12"/>
      <c r="AA242" s="10"/>
      <c r="AV242" s="11"/>
      <c r="AW242" s="11"/>
      <c r="BB242" s="9"/>
      <c r="BC242" s="11"/>
      <c r="BF242" s="9"/>
      <c r="CF242" s="12"/>
      <c r="CH242" s="9"/>
    </row>
    <row r="243" spans="6:86" x14ac:dyDescent="0.25">
      <c r="F243" s="9"/>
      <c r="G243" s="9"/>
      <c r="AA243" s="10"/>
      <c r="AV243" s="11"/>
      <c r="AW243" s="11"/>
      <c r="BB243" s="9"/>
      <c r="BC243" s="11"/>
      <c r="BF243" s="9"/>
      <c r="CF243" s="12"/>
      <c r="CH243" s="9"/>
    </row>
    <row r="244" spans="6:86" x14ac:dyDescent="0.25">
      <c r="F244" s="9"/>
      <c r="G244" s="9"/>
      <c r="AA244" s="10"/>
      <c r="AV244" s="11"/>
      <c r="AW244" s="11"/>
      <c r="BB244" s="9"/>
      <c r="BC244" s="11"/>
      <c r="BF244" s="9"/>
      <c r="CF244" s="12"/>
      <c r="CH244" s="9"/>
    </row>
    <row r="245" spans="6:86" x14ac:dyDescent="0.25">
      <c r="F245" s="9"/>
      <c r="G245" s="9"/>
      <c r="AA245" s="10"/>
      <c r="AV245" s="11"/>
      <c r="AW245" s="11"/>
      <c r="BB245" s="9"/>
      <c r="BC245" s="11"/>
      <c r="BF245" s="9"/>
      <c r="CF245" s="12"/>
      <c r="CH245" s="9"/>
    </row>
    <row r="246" spans="6:86" x14ac:dyDescent="0.25">
      <c r="F246" s="9"/>
      <c r="G246" s="9"/>
      <c r="AA246" s="10"/>
      <c r="AV246" s="11"/>
      <c r="AW246" s="11"/>
      <c r="BB246" s="9"/>
      <c r="BC246" s="11"/>
      <c r="BF246" s="9"/>
      <c r="CH246" s="9"/>
    </row>
    <row r="247" spans="6:86" x14ac:dyDescent="0.25">
      <c r="F247" s="9"/>
      <c r="G247" s="9"/>
      <c r="AA247" s="10"/>
      <c r="AV247" s="11"/>
      <c r="AW247" s="11"/>
      <c r="BB247" s="9"/>
      <c r="BC247" s="11"/>
      <c r="BF247" s="9"/>
      <c r="CH247" s="9"/>
    </row>
    <row r="248" spans="6:86" x14ac:dyDescent="0.25">
      <c r="F248" s="9"/>
      <c r="G248" s="9"/>
      <c r="AA248" s="10"/>
      <c r="AV248" s="11"/>
      <c r="AW248" s="11"/>
      <c r="BB248" s="9"/>
      <c r="BC248" s="11"/>
      <c r="BF248" s="9"/>
      <c r="CF248" s="12"/>
      <c r="CH248" s="9"/>
    </row>
    <row r="249" spans="6:86" x14ac:dyDescent="0.25">
      <c r="F249" s="9"/>
      <c r="G249" s="9"/>
      <c r="AA249" s="10"/>
      <c r="AV249" s="11"/>
      <c r="AW249" s="11"/>
      <c r="BB249" s="9"/>
      <c r="BC249" s="11"/>
      <c r="BF249" s="9"/>
      <c r="CF249" s="12"/>
      <c r="CH249" s="9"/>
    </row>
    <row r="250" spans="6:86" x14ac:dyDescent="0.25">
      <c r="F250" s="9"/>
      <c r="G250" s="9"/>
      <c r="AA250" s="10"/>
      <c r="AV250" s="11"/>
      <c r="AW250" s="11"/>
      <c r="BB250" s="9"/>
      <c r="BC250" s="11"/>
      <c r="BF250" s="9"/>
      <c r="CF250" s="12"/>
      <c r="CH250" s="9"/>
    </row>
    <row r="251" spans="6:86" x14ac:dyDescent="0.25">
      <c r="F251" s="9"/>
      <c r="G251" s="9"/>
      <c r="AA251" s="10"/>
      <c r="AV251" s="11"/>
      <c r="AW251" s="11"/>
      <c r="BB251" s="9"/>
      <c r="BC251" s="11"/>
      <c r="BF251" s="9"/>
      <c r="CF251" s="12"/>
      <c r="CH251" s="9"/>
    </row>
    <row r="252" spans="6:86" x14ac:dyDescent="0.25">
      <c r="F252" s="9"/>
      <c r="G252" s="9"/>
      <c r="AA252" s="10"/>
      <c r="AV252" s="11"/>
      <c r="AW252" s="11"/>
      <c r="BB252" s="9"/>
      <c r="BC252" s="11"/>
      <c r="BF252" s="9"/>
      <c r="CF252" s="12"/>
      <c r="CH252" s="9"/>
    </row>
    <row r="253" spans="6:86" x14ac:dyDescent="0.25">
      <c r="F253" s="9"/>
      <c r="G253" s="9"/>
      <c r="AA253" s="10"/>
      <c r="AV253" s="11"/>
      <c r="AW253" s="11"/>
      <c r="BB253" s="9"/>
      <c r="BC253" s="11"/>
      <c r="BF253" s="9"/>
      <c r="CF253" s="12"/>
      <c r="CH253" s="9"/>
    </row>
    <row r="254" spans="6:86" x14ac:dyDescent="0.25">
      <c r="F254" s="9"/>
      <c r="G254" s="9"/>
      <c r="AA254" s="10"/>
      <c r="AV254" s="11"/>
      <c r="AW254" s="11"/>
      <c r="BB254" s="9"/>
      <c r="BC254" s="11"/>
      <c r="BF254" s="9"/>
      <c r="CH254" s="9"/>
    </row>
    <row r="255" spans="6:86" x14ac:dyDescent="0.25">
      <c r="F255" s="9"/>
      <c r="G255" s="9"/>
      <c r="AA255" s="10"/>
      <c r="AV255" s="11"/>
      <c r="AW255" s="11"/>
      <c r="BB255" s="9"/>
      <c r="BC255" s="11"/>
      <c r="BF255" s="9"/>
      <c r="CF255" s="12"/>
      <c r="CH255" s="9"/>
    </row>
    <row r="256" spans="6:86" x14ac:dyDescent="0.25">
      <c r="F256" s="9"/>
      <c r="G256" s="9"/>
      <c r="AA256" s="10"/>
      <c r="AV256" s="11"/>
      <c r="AW256" s="11"/>
      <c r="BB256" s="9"/>
      <c r="BC256" s="11"/>
      <c r="BF256" s="9"/>
      <c r="CF256" s="12"/>
      <c r="CH256" s="9"/>
    </row>
    <row r="257" spans="6:92" x14ac:dyDescent="0.25">
      <c r="F257" s="9"/>
      <c r="G257" s="9"/>
      <c r="AA257" s="10"/>
      <c r="AV257" s="11"/>
      <c r="AW257" s="11"/>
      <c r="BB257" s="9"/>
      <c r="BC257" s="11"/>
      <c r="BF257" s="9"/>
      <c r="CH257" s="9"/>
    </row>
    <row r="258" spans="6:92" x14ac:dyDescent="0.25">
      <c r="F258" s="9"/>
      <c r="G258" s="9"/>
      <c r="AA258" s="10"/>
      <c r="AV258" s="11"/>
      <c r="AW258" s="11"/>
      <c r="BB258" s="9"/>
      <c r="BC258" s="11"/>
      <c r="BF258" s="9"/>
      <c r="CH258" s="9"/>
    </row>
    <row r="259" spans="6:92" x14ac:dyDescent="0.25">
      <c r="F259" s="9"/>
      <c r="G259" s="9"/>
      <c r="AA259" s="10"/>
      <c r="AV259" s="11"/>
      <c r="AW259" s="11"/>
      <c r="BB259" s="9"/>
      <c r="BC259" s="11"/>
      <c r="BF259" s="9"/>
      <c r="CF259" s="12"/>
      <c r="CH259" s="9"/>
    </row>
    <row r="260" spans="6:92" x14ac:dyDescent="0.25">
      <c r="F260" s="9"/>
      <c r="G260" s="9"/>
      <c r="AA260" s="10"/>
      <c r="AV260" s="11"/>
      <c r="AW260" s="11"/>
      <c r="BB260" s="9"/>
      <c r="BC260" s="11"/>
      <c r="BF260" s="9"/>
      <c r="CF260" s="12"/>
      <c r="CH260" s="9"/>
    </row>
    <row r="261" spans="6:92" x14ac:dyDescent="0.25">
      <c r="F261" s="9"/>
      <c r="G261" s="9"/>
      <c r="U261" s="12"/>
      <c r="Z261" s="12"/>
      <c r="AA261" s="10"/>
      <c r="AV261" s="11"/>
      <c r="AW261" s="11"/>
      <c r="BB261" s="9"/>
      <c r="BC261" s="11"/>
      <c r="BF261" s="9"/>
      <c r="CH261" s="9"/>
      <c r="CN261" s="12"/>
    </row>
    <row r="262" spans="6:92" x14ac:dyDescent="0.25">
      <c r="F262" s="9"/>
      <c r="G262" s="9"/>
      <c r="AA262" s="10"/>
      <c r="AV262" s="11"/>
      <c r="AW262" s="11"/>
      <c r="BB262" s="9"/>
      <c r="BC262" s="11"/>
      <c r="BF262" s="9"/>
      <c r="CH262" s="9"/>
    </row>
    <row r="263" spans="6:92" x14ac:dyDescent="0.25">
      <c r="F263" s="9"/>
      <c r="G263" s="9"/>
      <c r="U263" s="12"/>
      <c r="AA263" s="10"/>
      <c r="AV263" s="11"/>
      <c r="AW263" s="11"/>
      <c r="BB263" s="9"/>
      <c r="BC263" s="11"/>
      <c r="BF263" s="9"/>
      <c r="CF263" s="12"/>
      <c r="CH263" s="9"/>
      <c r="CN263" s="12"/>
    </row>
    <row r="264" spans="6:92" x14ac:dyDescent="0.25">
      <c r="F264" s="9"/>
      <c r="G264" s="9"/>
      <c r="AA264" s="10"/>
      <c r="AV264" s="11"/>
      <c r="AW264" s="11"/>
      <c r="BB264" s="9"/>
      <c r="BC264" s="11"/>
      <c r="BF264" s="9"/>
      <c r="CF264" s="12"/>
      <c r="CH264" s="9"/>
    </row>
    <row r="265" spans="6:92" x14ac:dyDescent="0.25">
      <c r="F265" s="9"/>
      <c r="G265" s="9"/>
      <c r="U265" s="12"/>
      <c r="AA265" s="10"/>
      <c r="AV265" s="11"/>
      <c r="AW265" s="11"/>
      <c r="BB265" s="9"/>
      <c r="BC265" s="11"/>
      <c r="BF265" s="9"/>
      <c r="CF265" s="12"/>
      <c r="CH265" s="9"/>
    </row>
    <row r="266" spans="6:92" x14ac:dyDescent="0.25">
      <c r="F266" s="9"/>
      <c r="G266" s="9"/>
      <c r="AA266" s="10"/>
      <c r="AV266" s="11"/>
      <c r="AW266" s="11"/>
      <c r="BB266" s="9"/>
      <c r="BC266" s="11"/>
      <c r="BF266" s="9"/>
      <c r="CF266" s="12"/>
      <c r="CH266" s="9"/>
    </row>
    <row r="267" spans="6:92" x14ac:dyDescent="0.25">
      <c r="F267" s="9"/>
      <c r="G267" s="9"/>
      <c r="AA267" s="10"/>
      <c r="AV267" s="11"/>
      <c r="AW267" s="11"/>
      <c r="BB267" s="9"/>
      <c r="BC267" s="11"/>
      <c r="BF267" s="9"/>
      <c r="CF267" s="12"/>
      <c r="CH267" s="9"/>
    </row>
    <row r="268" spans="6:92" x14ac:dyDescent="0.25">
      <c r="F268" s="9"/>
      <c r="G268" s="9"/>
      <c r="AA268" s="10"/>
      <c r="AV268" s="11"/>
      <c r="AW268" s="11"/>
      <c r="BB268" s="9"/>
      <c r="BC268" s="11"/>
      <c r="BF268" s="9"/>
      <c r="CF268" s="12"/>
      <c r="CH268" s="9"/>
    </row>
    <row r="269" spans="6:92" x14ac:dyDescent="0.25">
      <c r="F269" s="9"/>
      <c r="G269" s="9"/>
      <c r="AA269" s="10"/>
      <c r="AV269" s="11"/>
      <c r="AW269" s="11"/>
      <c r="BB269" s="9"/>
      <c r="BC269" s="11"/>
      <c r="BF269" s="9"/>
      <c r="CH269" s="9"/>
    </row>
    <row r="270" spans="6:92" x14ac:dyDescent="0.25">
      <c r="F270" s="9"/>
      <c r="G270" s="9"/>
      <c r="AA270" s="10"/>
      <c r="AV270" s="11"/>
      <c r="AW270" s="11"/>
      <c r="BB270" s="9"/>
      <c r="BC270" s="11"/>
      <c r="BF270" s="9"/>
      <c r="CF270" s="12"/>
      <c r="CH270" s="9"/>
    </row>
    <row r="271" spans="6:92" x14ac:dyDescent="0.25">
      <c r="F271" s="9"/>
      <c r="G271" s="9"/>
      <c r="AA271" s="10"/>
      <c r="AV271" s="11"/>
      <c r="AW271" s="11"/>
      <c r="BB271" s="9"/>
      <c r="BC271" s="11"/>
      <c r="BF271" s="9"/>
      <c r="CF271" s="12"/>
      <c r="CH271" s="9"/>
    </row>
    <row r="272" spans="6:92" x14ac:dyDescent="0.25">
      <c r="F272" s="9"/>
      <c r="G272" s="9"/>
      <c r="AA272" s="10"/>
      <c r="AV272" s="11"/>
      <c r="AW272" s="11"/>
      <c r="BB272" s="9"/>
      <c r="BC272" s="11"/>
      <c r="BF272" s="9"/>
      <c r="CF272" s="12"/>
      <c r="CH272" s="9"/>
    </row>
    <row r="273" spans="6:92" x14ac:dyDescent="0.25">
      <c r="F273" s="9"/>
      <c r="G273" s="9"/>
      <c r="AA273" s="10"/>
      <c r="AV273" s="11"/>
      <c r="AW273" s="11"/>
      <c r="BB273" s="9"/>
      <c r="BC273" s="11"/>
      <c r="BF273" s="9"/>
      <c r="CF273" s="12"/>
      <c r="CH273" s="9"/>
    </row>
    <row r="274" spans="6:92" x14ac:dyDescent="0.25">
      <c r="F274" s="9"/>
      <c r="G274" s="9"/>
      <c r="AA274" s="10"/>
      <c r="AV274" s="11"/>
      <c r="AW274" s="11"/>
      <c r="BB274" s="9"/>
      <c r="BC274" s="11"/>
      <c r="BF274" s="9"/>
      <c r="CF274" s="12"/>
      <c r="CH274" s="9"/>
    </row>
    <row r="275" spans="6:92" x14ac:dyDescent="0.25">
      <c r="F275" s="9"/>
      <c r="G275" s="9"/>
      <c r="AA275" s="10"/>
      <c r="AV275" s="11"/>
      <c r="AW275" s="11"/>
      <c r="BB275" s="9"/>
      <c r="BC275" s="11"/>
      <c r="BF275" s="9"/>
      <c r="CF275" s="12"/>
      <c r="CH275" s="9"/>
    </row>
    <row r="276" spans="6:92" x14ac:dyDescent="0.25">
      <c r="F276" s="9"/>
      <c r="G276" s="9"/>
      <c r="AA276" s="10"/>
      <c r="AV276" s="11"/>
      <c r="AW276" s="11"/>
      <c r="BB276" s="9"/>
      <c r="BC276" s="11"/>
      <c r="BF276" s="9"/>
      <c r="CF276" s="12"/>
      <c r="CH276" s="9"/>
    </row>
    <row r="277" spans="6:92" x14ac:dyDescent="0.25">
      <c r="F277" s="9"/>
      <c r="G277" s="9"/>
      <c r="AA277" s="10"/>
      <c r="AV277" s="11"/>
      <c r="AW277" s="11"/>
      <c r="BB277" s="9"/>
      <c r="BC277" s="11"/>
      <c r="BF277" s="9"/>
      <c r="CF277" s="12"/>
      <c r="CH277" s="9"/>
    </row>
    <row r="278" spans="6:92" x14ac:dyDescent="0.25">
      <c r="F278" s="9"/>
      <c r="G278" s="9"/>
      <c r="AA278" s="10"/>
      <c r="AV278" s="11"/>
      <c r="AW278" s="11"/>
      <c r="BB278" s="9"/>
      <c r="BC278" s="11"/>
      <c r="BF278" s="9"/>
      <c r="CF278" s="12"/>
      <c r="CH278" s="9"/>
    </row>
    <row r="279" spans="6:92" x14ac:dyDescent="0.25">
      <c r="F279" s="9"/>
      <c r="G279" s="9"/>
      <c r="AA279" s="10"/>
      <c r="AV279" s="11"/>
      <c r="AW279" s="11"/>
      <c r="BB279" s="9"/>
      <c r="BC279" s="11"/>
      <c r="BF279" s="9"/>
      <c r="CH279" s="9"/>
    </row>
    <row r="280" spans="6:92" x14ac:dyDescent="0.25">
      <c r="F280" s="9"/>
      <c r="G280" s="9"/>
      <c r="AA280" s="10"/>
      <c r="AV280" s="11"/>
      <c r="AW280" s="11"/>
      <c r="BB280" s="9"/>
      <c r="BC280" s="11"/>
      <c r="BF280" s="9"/>
      <c r="CF280" s="12"/>
      <c r="CH280" s="9"/>
    </row>
    <row r="281" spans="6:92" x14ac:dyDescent="0.25">
      <c r="F281" s="9"/>
      <c r="G281" s="9"/>
      <c r="AA281" s="10"/>
      <c r="AV281" s="11"/>
      <c r="AW281" s="11"/>
      <c r="BB281" s="9"/>
      <c r="BC281" s="11"/>
      <c r="BF281" s="9"/>
      <c r="CF281" s="12"/>
      <c r="CH281" s="9"/>
    </row>
    <row r="282" spans="6:92" x14ac:dyDescent="0.25">
      <c r="F282" s="9"/>
      <c r="G282" s="9"/>
      <c r="AA282" s="10"/>
      <c r="AV282" s="11"/>
      <c r="AW282" s="11"/>
      <c r="BB282" s="9"/>
      <c r="BC282" s="11"/>
      <c r="BF282" s="9"/>
      <c r="CF282" s="12"/>
      <c r="CH282" s="9"/>
    </row>
    <row r="283" spans="6:92" x14ac:dyDescent="0.25">
      <c r="F283" s="9"/>
      <c r="G283" s="9"/>
      <c r="AA283" s="10"/>
      <c r="AV283" s="11"/>
      <c r="AW283" s="11"/>
      <c r="BB283" s="9"/>
      <c r="BC283" s="11"/>
      <c r="BF283" s="9"/>
      <c r="CH283" s="9"/>
    </row>
    <row r="284" spans="6:92" x14ac:dyDescent="0.25">
      <c r="F284" s="9"/>
      <c r="G284" s="9"/>
      <c r="AA284" s="10"/>
      <c r="AV284" s="11"/>
      <c r="AW284" s="11"/>
      <c r="BB284" s="9"/>
      <c r="BC284" s="11"/>
      <c r="BF284" s="9"/>
      <c r="CH284" s="9"/>
    </row>
    <row r="285" spans="6:92" x14ac:dyDescent="0.25">
      <c r="F285" s="9"/>
      <c r="G285" s="9"/>
      <c r="AA285" s="10"/>
      <c r="AV285" s="11"/>
      <c r="AW285" s="11"/>
      <c r="BB285" s="9"/>
      <c r="BC285" s="11"/>
      <c r="BF285" s="9"/>
      <c r="CF285" s="12"/>
      <c r="CH285" s="9"/>
    </row>
    <row r="286" spans="6:92" x14ac:dyDescent="0.25">
      <c r="F286" s="9"/>
      <c r="G286" s="9"/>
      <c r="AA286" s="10"/>
      <c r="AV286" s="11"/>
      <c r="AW286" s="11"/>
      <c r="BB286" s="9"/>
      <c r="BC286" s="11"/>
      <c r="BF286" s="9"/>
      <c r="CF286" s="12"/>
      <c r="CH286" s="9"/>
    </row>
    <row r="287" spans="6:92" x14ac:dyDescent="0.25">
      <c r="F287" s="9"/>
      <c r="G287" s="9"/>
      <c r="AA287" s="10"/>
      <c r="AV287" s="11"/>
      <c r="AW287" s="11"/>
      <c r="BB287" s="9"/>
      <c r="BC287" s="11"/>
      <c r="BF287" s="9"/>
      <c r="CH287" s="9"/>
    </row>
    <row r="288" spans="6:92" x14ac:dyDescent="0.25">
      <c r="F288" s="9"/>
      <c r="G288" s="9"/>
      <c r="U288" s="12"/>
      <c r="Y288" s="12"/>
      <c r="Z288" s="12"/>
      <c r="AA288" s="10"/>
      <c r="AV288" s="11"/>
      <c r="AW288" s="11"/>
      <c r="BB288" s="9"/>
      <c r="BC288" s="11"/>
      <c r="BF288" s="9"/>
      <c r="CF288" s="12"/>
      <c r="CH288" s="9"/>
      <c r="CN288" s="12"/>
    </row>
    <row r="289" spans="6:86" x14ac:dyDescent="0.25">
      <c r="F289" s="9"/>
      <c r="G289" s="9"/>
      <c r="AA289" s="10"/>
      <c r="AV289" s="11"/>
      <c r="AW289" s="11"/>
      <c r="BB289" s="9"/>
      <c r="BC289" s="11"/>
      <c r="BF289" s="9"/>
      <c r="CF289" s="12"/>
      <c r="CH289" s="9"/>
    </row>
    <row r="290" spans="6:86" x14ac:dyDescent="0.25">
      <c r="F290" s="9"/>
      <c r="G290" s="9"/>
      <c r="AA290" s="10"/>
      <c r="AV290" s="11"/>
      <c r="AW290" s="11"/>
      <c r="BB290" s="9"/>
      <c r="BC290" s="11"/>
      <c r="BF290" s="9"/>
      <c r="CF290" s="12"/>
      <c r="CH290" s="9"/>
    </row>
    <row r="291" spans="6:86" x14ac:dyDescent="0.25">
      <c r="F291" s="9"/>
      <c r="G291" s="9"/>
      <c r="AA291" s="10"/>
      <c r="AV291" s="11"/>
      <c r="AW291" s="11"/>
      <c r="BB291" s="9"/>
      <c r="BC291" s="11"/>
      <c r="BF291" s="9"/>
      <c r="CF291" s="12"/>
      <c r="CH291" s="9"/>
    </row>
    <row r="292" spans="6:86" x14ac:dyDescent="0.25">
      <c r="F292" s="9"/>
      <c r="G292" s="9"/>
      <c r="AA292" s="10"/>
      <c r="AV292" s="11"/>
      <c r="AW292" s="11"/>
      <c r="BB292" s="9"/>
      <c r="BC292" s="11"/>
      <c r="BF292" s="9"/>
      <c r="CH292" s="9"/>
    </row>
    <row r="293" spans="6:86" x14ac:dyDescent="0.25">
      <c r="F293" s="9"/>
      <c r="G293" s="9"/>
      <c r="AA293" s="10"/>
      <c r="AV293" s="11"/>
      <c r="AW293" s="11"/>
      <c r="BB293" s="9"/>
      <c r="BC293" s="11"/>
      <c r="BF293" s="9"/>
      <c r="CF293" s="12"/>
      <c r="CH293" s="9"/>
    </row>
    <row r="294" spans="6:86" x14ac:dyDescent="0.25">
      <c r="F294" s="9"/>
      <c r="G294" s="9"/>
      <c r="AA294" s="10"/>
      <c r="AV294" s="11"/>
      <c r="AW294" s="11"/>
      <c r="BB294" s="9"/>
      <c r="BC294" s="11"/>
      <c r="BF294" s="9"/>
      <c r="CF294" s="12"/>
      <c r="CH294" s="9"/>
    </row>
    <row r="295" spans="6:86" x14ac:dyDescent="0.25">
      <c r="F295" s="9"/>
      <c r="G295" s="9"/>
      <c r="AA295" s="10"/>
      <c r="AV295" s="11"/>
      <c r="AW295" s="11"/>
      <c r="BB295" s="9"/>
      <c r="BC295" s="11"/>
      <c r="BF295" s="9"/>
      <c r="CF295" s="12"/>
      <c r="CH295" s="9"/>
    </row>
    <row r="296" spans="6:86" x14ac:dyDescent="0.25">
      <c r="F296" s="9"/>
      <c r="G296" s="9"/>
      <c r="AA296" s="10"/>
      <c r="AV296" s="11"/>
      <c r="AW296" s="11"/>
      <c r="BB296" s="9"/>
      <c r="BC296" s="11"/>
      <c r="BF296" s="9"/>
      <c r="CF296" s="12"/>
      <c r="CH296" s="9"/>
    </row>
    <row r="297" spans="6:86" x14ac:dyDescent="0.25">
      <c r="F297" s="9"/>
      <c r="G297" s="9"/>
      <c r="AA297" s="10"/>
      <c r="AV297" s="11"/>
      <c r="AW297" s="11"/>
      <c r="BB297" s="9"/>
      <c r="BC297" s="11"/>
      <c r="BF297" s="9"/>
      <c r="CH297" s="9"/>
    </row>
    <row r="298" spans="6:86" x14ac:dyDescent="0.25">
      <c r="F298" s="9"/>
      <c r="G298" s="9"/>
      <c r="AA298" s="10"/>
      <c r="AV298" s="11"/>
      <c r="AW298" s="11"/>
      <c r="BB298" s="9"/>
      <c r="BC298" s="11"/>
      <c r="BF298" s="9"/>
      <c r="CF298" s="12"/>
      <c r="CH298" s="9"/>
    </row>
    <row r="299" spans="6:86" x14ac:dyDescent="0.25">
      <c r="F299" s="9"/>
      <c r="G299" s="9"/>
      <c r="AA299" s="10"/>
      <c r="AV299" s="11"/>
      <c r="AW299" s="11"/>
      <c r="BB299" s="9"/>
      <c r="BC299" s="11"/>
      <c r="BF299" s="9"/>
      <c r="CH299" s="9"/>
    </row>
    <row r="300" spans="6:86" x14ac:dyDescent="0.25">
      <c r="F300" s="9"/>
      <c r="G300" s="9"/>
      <c r="AA300" s="10"/>
      <c r="AV300" s="11"/>
      <c r="AW300" s="11"/>
      <c r="BB300" s="9"/>
      <c r="BC300" s="11"/>
      <c r="BF300" s="9"/>
      <c r="CF300" s="12"/>
      <c r="CH300" s="9"/>
    </row>
    <row r="301" spans="6:86" x14ac:dyDescent="0.25">
      <c r="F301" s="9"/>
      <c r="G301" s="9"/>
      <c r="AA301" s="10"/>
      <c r="AV301" s="11"/>
      <c r="AW301" s="11"/>
      <c r="BB301" s="9"/>
      <c r="BC301" s="11"/>
      <c r="BF301" s="9"/>
      <c r="CF301" s="12"/>
      <c r="CH301" s="9"/>
    </row>
    <row r="302" spans="6:86" x14ac:dyDescent="0.25">
      <c r="F302" s="9"/>
      <c r="G302" s="9"/>
      <c r="AA302" s="10"/>
      <c r="AV302" s="11"/>
      <c r="AW302" s="11"/>
      <c r="BB302" s="9"/>
      <c r="BC302" s="11"/>
      <c r="BF302" s="9"/>
      <c r="CF302" s="12"/>
      <c r="CH302" s="9"/>
    </row>
    <row r="303" spans="6:86" x14ac:dyDescent="0.25">
      <c r="F303" s="9"/>
      <c r="G303" s="9"/>
      <c r="AA303" s="10"/>
      <c r="AV303" s="11"/>
      <c r="AW303" s="11"/>
      <c r="BB303" s="9"/>
      <c r="BC303" s="11"/>
      <c r="BF303" s="9"/>
      <c r="CF303" s="12"/>
      <c r="CH303" s="9"/>
    </row>
    <row r="304" spans="6:86" x14ac:dyDescent="0.25">
      <c r="F304" s="9"/>
      <c r="G304" s="9"/>
      <c r="AA304" s="10"/>
      <c r="AV304" s="11"/>
      <c r="AW304" s="11"/>
      <c r="BB304" s="9"/>
      <c r="BC304" s="11"/>
      <c r="BF304" s="9"/>
      <c r="CF304" s="12"/>
      <c r="CH304" s="9"/>
    </row>
    <row r="305" spans="6:86" x14ac:dyDescent="0.25">
      <c r="F305" s="9"/>
      <c r="G305" s="9"/>
      <c r="AA305" s="10"/>
      <c r="AV305" s="11"/>
      <c r="AW305" s="11"/>
      <c r="BB305" s="9"/>
      <c r="BC305" s="11"/>
      <c r="BF305" s="9"/>
      <c r="CH305" s="9"/>
    </row>
    <row r="306" spans="6:86" x14ac:dyDescent="0.25">
      <c r="F306" s="9"/>
      <c r="G306" s="9"/>
      <c r="AA306" s="10"/>
      <c r="AV306" s="11"/>
      <c r="AW306" s="11"/>
      <c r="BB306" s="9"/>
      <c r="BC306" s="11"/>
      <c r="BF306" s="9"/>
      <c r="CF306" s="12"/>
      <c r="CH306" s="9"/>
    </row>
    <row r="307" spans="6:86" x14ac:dyDescent="0.25">
      <c r="F307" s="9"/>
      <c r="G307" s="9"/>
      <c r="AA307" s="10"/>
      <c r="AV307" s="11"/>
      <c r="AW307" s="11"/>
      <c r="BB307" s="9"/>
      <c r="BC307" s="11"/>
      <c r="BF307" s="9"/>
      <c r="CF307" s="12"/>
      <c r="CH307" s="9"/>
    </row>
    <row r="308" spans="6:86" x14ac:dyDescent="0.25">
      <c r="F308" s="9"/>
      <c r="G308" s="9"/>
      <c r="AA308" s="10"/>
      <c r="AV308" s="11"/>
      <c r="AW308" s="11"/>
      <c r="BB308" s="9"/>
      <c r="BC308" s="11"/>
      <c r="BF308" s="9"/>
      <c r="CF308" s="12"/>
      <c r="CH308" s="9"/>
    </row>
    <row r="309" spans="6:86" x14ac:dyDescent="0.25">
      <c r="F309" s="9"/>
      <c r="G309" s="9"/>
      <c r="AA309" s="10"/>
      <c r="AV309" s="11"/>
      <c r="AW309" s="11"/>
      <c r="BB309" s="9"/>
      <c r="BC309" s="11"/>
      <c r="BF309" s="9"/>
      <c r="CF309" s="12"/>
      <c r="CH309" s="9"/>
    </row>
    <row r="310" spans="6:86" x14ac:dyDescent="0.25">
      <c r="F310" s="9"/>
      <c r="G310" s="9"/>
      <c r="AA310" s="10"/>
      <c r="AV310" s="11"/>
      <c r="AW310" s="11"/>
      <c r="BB310" s="9"/>
      <c r="BC310" s="11"/>
      <c r="BF310" s="9"/>
      <c r="CF310" s="12"/>
      <c r="CH310" s="9"/>
    </row>
    <row r="311" spans="6:86" x14ac:dyDescent="0.25">
      <c r="F311" s="9"/>
      <c r="G311" s="9"/>
      <c r="AA311" s="10"/>
      <c r="AV311" s="11"/>
      <c r="AW311" s="11"/>
      <c r="BB311" s="9"/>
      <c r="BC311" s="11"/>
      <c r="BF311" s="9"/>
      <c r="CF311" s="12"/>
      <c r="CH311" s="9"/>
    </row>
    <row r="312" spans="6:86" x14ac:dyDescent="0.25">
      <c r="F312" s="9"/>
      <c r="G312" s="9"/>
      <c r="AA312" s="10"/>
      <c r="AV312" s="11"/>
      <c r="AW312" s="11"/>
      <c r="BB312" s="9"/>
      <c r="BC312" s="11"/>
      <c r="BF312" s="9"/>
      <c r="CF312" s="12"/>
      <c r="CH312" s="9"/>
    </row>
    <row r="313" spans="6:86" x14ac:dyDescent="0.25">
      <c r="F313" s="9"/>
      <c r="G313" s="9"/>
      <c r="AA313" s="10"/>
      <c r="AV313" s="11"/>
      <c r="AW313" s="11"/>
      <c r="BB313" s="9"/>
      <c r="BC313" s="11"/>
      <c r="BF313" s="9"/>
      <c r="CF313" s="12"/>
      <c r="CH313" s="9"/>
    </row>
    <row r="314" spans="6:86" x14ac:dyDescent="0.25">
      <c r="F314" s="9"/>
      <c r="G314" s="9"/>
      <c r="AA314" s="10"/>
      <c r="AV314" s="11"/>
      <c r="AW314" s="11"/>
      <c r="BB314" s="9"/>
      <c r="BC314" s="11"/>
      <c r="BF314" s="9"/>
      <c r="CF314" s="12"/>
      <c r="CH314" s="9"/>
    </row>
    <row r="315" spans="6:86" x14ac:dyDescent="0.25">
      <c r="F315" s="9"/>
      <c r="G315" s="9"/>
      <c r="U315" s="12"/>
      <c r="AA315" s="10"/>
      <c r="AV315" s="11"/>
      <c r="AW315" s="11"/>
      <c r="BB315" s="9"/>
      <c r="BC315" s="11"/>
      <c r="BF315" s="9"/>
      <c r="CF315" s="12"/>
      <c r="CH315" s="9"/>
    </row>
    <row r="316" spans="6:86" x14ac:dyDescent="0.25">
      <c r="F316" s="9"/>
      <c r="G316" s="9"/>
      <c r="AA316" s="10"/>
      <c r="AV316" s="11"/>
      <c r="AW316" s="11"/>
      <c r="BB316" s="9"/>
      <c r="BC316" s="11"/>
      <c r="BF316" s="9"/>
      <c r="CF316" s="12"/>
      <c r="CH316" s="9"/>
    </row>
    <row r="317" spans="6:86" x14ac:dyDescent="0.25">
      <c r="F317" s="9"/>
      <c r="G317" s="9"/>
      <c r="AA317" s="10"/>
      <c r="AV317" s="11"/>
      <c r="AW317" s="11"/>
      <c r="BB317" s="9"/>
      <c r="BC317" s="11"/>
      <c r="BF317" s="9"/>
      <c r="CF317" s="12"/>
      <c r="CH317" s="9"/>
    </row>
    <row r="318" spans="6:86" x14ac:dyDescent="0.25">
      <c r="F318" s="9"/>
      <c r="G318" s="9"/>
      <c r="AA318" s="10"/>
      <c r="AV318" s="11"/>
      <c r="AW318" s="11"/>
      <c r="BB318" s="9"/>
      <c r="BC318" s="11"/>
      <c r="BF318" s="9"/>
      <c r="CF318" s="12"/>
      <c r="CH318" s="9"/>
    </row>
    <row r="319" spans="6:86" x14ac:dyDescent="0.25">
      <c r="F319" s="9"/>
      <c r="G319" s="9"/>
      <c r="AA319" s="10"/>
      <c r="AV319" s="11"/>
      <c r="AW319" s="11"/>
      <c r="BB319" s="9"/>
      <c r="BC319" s="11"/>
      <c r="BF319" s="9"/>
      <c r="CF319" s="12"/>
      <c r="CH319" s="9"/>
    </row>
    <row r="320" spans="6:86" x14ac:dyDescent="0.25">
      <c r="F320" s="9"/>
      <c r="G320" s="9"/>
      <c r="AA320" s="10"/>
      <c r="AV320" s="11"/>
      <c r="AW320" s="11"/>
      <c r="BB320" s="9"/>
      <c r="BC320" s="11"/>
      <c r="BF320" s="9"/>
      <c r="CF320" s="12"/>
      <c r="CH320" s="9"/>
    </row>
    <row r="321" spans="6:92" x14ac:dyDescent="0.25">
      <c r="F321" s="9"/>
      <c r="G321" s="9"/>
      <c r="U321" s="12"/>
      <c r="Z321" s="12"/>
      <c r="AA321" s="10"/>
      <c r="AV321" s="11"/>
      <c r="AW321" s="11"/>
      <c r="BB321" s="9"/>
      <c r="BC321" s="11"/>
      <c r="BF321" s="9"/>
      <c r="CF321" s="12"/>
      <c r="CH321" s="9"/>
      <c r="CN321" s="12"/>
    </row>
    <row r="322" spans="6:92" x14ac:dyDescent="0.25">
      <c r="F322" s="9"/>
      <c r="G322" s="9"/>
      <c r="AA322" s="10"/>
      <c r="AV322" s="11"/>
      <c r="AW322" s="11"/>
      <c r="BB322" s="9"/>
      <c r="BC322" s="11"/>
      <c r="BF322" s="9"/>
      <c r="CF322" s="12"/>
      <c r="CH322" s="9"/>
    </row>
    <row r="323" spans="6:92" x14ac:dyDescent="0.25">
      <c r="F323" s="9"/>
      <c r="G323" s="9"/>
      <c r="AA323" s="10"/>
      <c r="AV323" s="11"/>
      <c r="AW323" s="11"/>
      <c r="BB323" s="9"/>
      <c r="BC323" s="11"/>
      <c r="BF323" s="9"/>
      <c r="CF323" s="12"/>
      <c r="CH323" s="9"/>
    </row>
    <row r="324" spans="6:92" x14ac:dyDescent="0.25">
      <c r="F324" s="9"/>
      <c r="G324" s="9"/>
      <c r="AA324" s="10"/>
      <c r="AV324" s="11"/>
      <c r="AW324" s="11"/>
      <c r="BB324" s="9"/>
      <c r="BC324" s="11"/>
      <c r="BF324" s="9"/>
      <c r="CF324" s="12"/>
      <c r="CH324" s="9"/>
    </row>
    <row r="325" spans="6:92" x14ac:dyDescent="0.25">
      <c r="F325" s="9"/>
      <c r="G325" s="9"/>
      <c r="AA325" s="10"/>
      <c r="AV325" s="11"/>
      <c r="AW325" s="11"/>
      <c r="BB325" s="9"/>
      <c r="BC325" s="11"/>
      <c r="BF325" s="9"/>
      <c r="CF325" s="12"/>
      <c r="CH325" s="9"/>
    </row>
    <row r="326" spans="6:92" x14ac:dyDescent="0.25">
      <c r="F326" s="9"/>
      <c r="G326" s="9"/>
      <c r="AA326" s="10"/>
      <c r="AV326" s="11"/>
      <c r="AW326" s="11"/>
      <c r="BB326" s="9"/>
      <c r="BC326" s="11"/>
      <c r="BF326" s="9"/>
      <c r="CH326" s="9"/>
    </row>
    <row r="327" spans="6:92" x14ac:dyDescent="0.25">
      <c r="F327" s="9"/>
      <c r="G327" s="9"/>
      <c r="AA327" s="10"/>
      <c r="AV327" s="11"/>
      <c r="AW327" s="11"/>
      <c r="BB327" s="9"/>
      <c r="BC327" s="11"/>
      <c r="BF327" s="9"/>
      <c r="CF327" s="12"/>
      <c r="CH327" s="9"/>
    </row>
    <row r="328" spans="6:92" x14ac:dyDescent="0.25">
      <c r="F328" s="9"/>
      <c r="G328" s="9"/>
      <c r="AA328" s="10"/>
      <c r="AV328" s="11"/>
      <c r="AW328" s="11"/>
      <c r="BB328" s="9"/>
      <c r="BC328" s="11"/>
      <c r="BF328" s="9"/>
      <c r="CF328" s="12"/>
      <c r="CH328" s="9"/>
    </row>
    <row r="329" spans="6:92" x14ac:dyDescent="0.25">
      <c r="F329" s="9"/>
      <c r="G329" s="9"/>
      <c r="AA329" s="10"/>
      <c r="AV329" s="11"/>
      <c r="AW329" s="11"/>
      <c r="BB329" s="9"/>
      <c r="BC329" s="11"/>
      <c r="BF329" s="9"/>
      <c r="CF329" s="12"/>
      <c r="CH329" s="9"/>
    </row>
    <row r="330" spans="6:92" x14ac:dyDescent="0.25">
      <c r="F330" s="9"/>
      <c r="G330" s="9"/>
      <c r="AA330" s="10"/>
      <c r="AV330" s="11"/>
      <c r="AW330" s="11"/>
      <c r="BB330" s="9"/>
      <c r="BC330" s="11"/>
      <c r="BF330" s="9"/>
      <c r="CH330" s="9"/>
    </row>
    <row r="331" spans="6:92" x14ac:dyDescent="0.25">
      <c r="F331" s="9"/>
      <c r="G331" s="9"/>
      <c r="AA331" s="10"/>
      <c r="AV331" s="11"/>
      <c r="AW331" s="11"/>
      <c r="BB331" s="9"/>
      <c r="BC331" s="11"/>
      <c r="BF331" s="9"/>
      <c r="CF331" s="12"/>
      <c r="CH331" s="9"/>
    </row>
    <row r="332" spans="6:92" x14ac:dyDescent="0.25">
      <c r="F332" s="9"/>
      <c r="G332" s="9"/>
      <c r="AA332" s="10"/>
      <c r="AV332" s="11"/>
      <c r="AW332" s="11"/>
      <c r="BB332" s="9"/>
      <c r="BC332" s="11"/>
      <c r="BF332" s="9"/>
      <c r="CF332" s="12"/>
      <c r="CH332" s="9"/>
    </row>
    <row r="333" spans="6:92" x14ac:dyDescent="0.25">
      <c r="F333" s="9"/>
      <c r="G333" s="9"/>
      <c r="AA333" s="10"/>
      <c r="AV333" s="11"/>
      <c r="AW333" s="11"/>
      <c r="BB333" s="9"/>
      <c r="BC333" s="11"/>
      <c r="BF333" s="9"/>
      <c r="CF333" s="12"/>
      <c r="CH333" s="9"/>
    </row>
    <row r="334" spans="6:92" x14ac:dyDescent="0.25">
      <c r="F334" s="9"/>
      <c r="G334" s="9"/>
      <c r="AA334" s="10"/>
      <c r="AV334" s="11"/>
      <c r="AW334" s="11"/>
      <c r="BB334" s="9"/>
      <c r="BC334" s="11"/>
      <c r="BF334" s="9"/>
      <c r="CH334" s="9"/>
    </row>
    <row r="335" spans="6:92" x14ac:dyDescent="0.25">
      <c r="F335" s="9"/>
      <c r="G335" s="9"/>
      <c r="AA335" s="10"/>
      <c r="AV335" s="11"/>
      <c r="AW335" s="11"/>
      <c r="BB335" s="9"/>
      <c r="BC335" s="11"/>
      <c r="BF335" s="9"/>
      <c r="CF335" s="12"/>
      <c r="CH335" s="9"/>
    </row>
    <row r="336" spans="6:92" x14ac:dyDescent="0.25">
      <c r="F336" s="9"/>
      <c r="G336" s="9"/>
      <c r="AA336" s="10"/>
      <c r="AV336" s="11"/>
      <c r="AW336" s="11"/>
      <c r="BB336" s="9"/>
      <c r="BC336" s="11"/>
      <c r="BF336" s="9"/>
      <c r="CF336" s="12"/>
      <c r="CH336" s="9"/>
    </row>
    <row r="337" spans="6:86" x14ac:dyDescent="0.25">
      <c r="F337" s="9"/>
      <c r="G337" s="9"/>
      <c r="AA337" s="10"/>
      <c r="AV337" s="11"/>
      <c r="AW337" s="11"/>
      <c r="BB337" s="9"/>
      <c r="BC337" s="11"/>
      <c r="BF337" s="9"/>
      <c r="CF337" s="12"/>
      <c r="CH337" s="9"/>
    </row>
    <row r="338" spans="6:86" x14ac:dyDescent="0.25">
      <c r="F338" s="9"/>
      <c r="G338" s="9"/>
      <c r="AA338" s="10"/>
      <c r="AV338" s="11"/>
      <c r="AW338" s="11"/>
      <c r="BB338" s="9"/>
      <c r="BC338" s="11"/>
      <c r="BF338" s="9"/>
      <c r="CF338" s="12"/>
      <c r="CH338" s="9"/>
    </row>
    <row r="339" spans="6:86" x14ac:dyDescent="0.25">
      <c r="F339" s="9"/>
      <c r="G339" s="9"/>
      <c r="AA339" s="10"/>
      <c r="AV339" s="11"/>
      <c r="AW339" s="11"/>
      <c r="BB339" s="9"/>
      <c r="BC339" s="11"/>
      <c r="BF339" s="9"/>
      <c r="CF339" s="12"/>
      <c r="CH339" s="9"/>
    </row>
    <row r="340" spans="6:86" x14ac:dyDescent="0.25">
      <c r="F340" s="9"/>
      <c r="G340" s="9"/>
      <c r="AA340" s="10"/>
      <c r="AV340" s="11"/>
      <c r="AW340" s="11"/>
      <c r="BB340" s="9"/>
      <c r="BC340" s="11"/>
      <c r="BF340" s="9"/>
      <c r="CF340" s="12"/>
      <c r="CH340" s="9"/>
    </row>
    <row r="341" spans="6:86" x14ac:dyDescent="0.25">
      <c r="F341" s="9"/>
      <c r="G341" s="9"/>
      <c r="AA341" s="10"/>
      <c r="AV341" s="11"/>
      <c r="AW341" s="11"/>
      <c r="BB341" s="9"/>
      <c r="BC341" s="11"/>
      <c r="BF341" s="9"/>
      <c r="CF341" s="12"/>
      <c r="CH341" s="9"/>
    </row>
    <row r="342" spans="6:86" x14ac:dyDescent="0.25">
      <c r="F342" s="9"/>
      <c r="G342" s="9"/>
      <c r="AA342" s="10"/>
      <c r="AV342" s="11"/>
      <c r="AW342" s="11"/>
      <c r="BB342" s="9"/>
      <c r="BC342" s="11"/>
      <c r="BF342" s="9"/>
      <c r="CF342" s="12"/>
      <c r="CH342" s="9"/>
    </row>
    <row r="343" spans="6:86" x14ac:dyDescent="0.25">
      <c r="F343" s="9"/>
      <c r="G343" s="9"/>
      <c r="AA343" s="10"/>
      <c r="AV343" s="11"/>
      <c r="AW343" s="11"/>
      <c r="BB343" s="9"/>
      <c r="BC343" s="11"/>
      <c r="BF343" s="9"/>
      <c r="CF343" s="12"/>
      <c r="CH343" s="9"/>
    </row>
    <row r="344" spans="6:86" x14ac:dyDescent="0.25">
      <c r="F344" s="9"/>
      <c r="G344" s="9"/>
      <c r="AA344" s="10"/>
      <c r="AV344" s="11"/>
      <c r="AW344" s="11"/>
      <c r="BB344" s="9"/>
      <c r="BC344" s="11"/>
      <c r="BF344" s="9"/>
      <c r="CF344" s="12"/>
      <c r="CH344" s="9"/>
    </row>
    <row r="345" spans="6:86" x14ac:dyDescent="0.25">
      <c r="F345" s="9"/>
      <c r="G345" s="9"/>
      <c r="AA345" s="10"/>
      <c r="AV345" s="11"/>
      <c r="AW345" s="11"/>
      <c r="BB345" s="9"/>
      <c r="BC345" s="11"/>
      <c r="BF345" s="9"/>
      <c r="CF345" s="12"/>
      <c r="CH345" s="9"/>
    </row>
    <row r="346" spans="6:86" x14ac:dyDescent="0.25">
      <c r="F346" s="9"/>
      <c r="G346" s="9"/>
      <c r="AA346" s="10"/>
      <c r="AV346" s="11"/>
      <c r="AW346" s="11"/>
      <c r="BB346" s="9"/>
      <c r="BC346" s="11"/>
      <c r="BF346" s="9"/>
      <c r="CF346" s="12"/>
      <c r="CH346" s="9"/>
    </row>
    <row r="347" spans="6:86" x14ac:dyDescent="0.25">
      <c r="F347" s="9"/>
      <c r="G347" s="9"/>
      <c r="AA347" s="10"/>
      <c r="AV347" s="11"/>
      <c r="AW347" s="11"/>
      <c r="BB347" s="9"/>
      <c r="BC347" s="11"/>
      <c r="BF347" s="9"/>
      <c r="CH347" s="9"/>
    </row>
    <row r="348" spans="6:86" x14ac:dyDescent="0.25">
      <c r="F348" s="9"/>
      <c r="G348" s="9"/>
      <c r="AA348" s="10"/>
      <c r="AV348" s="11"/>
      <c r="AW348" s="11"/>
      <c r="BB348" s="9"/>
      <c r="BC348" s="11"/>
      <c r="BF348" s="9"/>
      <c r="CF348" s="12"/>
      <c r="CH348" s="9"/>
    </row>
    <row r="349" spans="6:86" x14ac:dyDescent="0.25">
      <c r="F349" s="9"/>
      <c r="G349" s="9"/>
      <c r="AA349" s="10"/>
      <c r="AV349" s="11"/>
      <c r="AW349" s="11"/>
      <c r="BB349" s="9"/>
      <c r="BC349" s="11"/>
      <c r="BF349" s="9"/>
      <c r="CF349" s="12"/>
      <c r="CH349" s="9"/>
    </row>
    <row r="350" spans="6:86" x14ac:dyDescent="0.25">
      <c r="F350" s="9"/>
      <c r="G350" s="9"/>
      <c r="AA350" s="10"/>
      <c r="AV350" s="11"/>
      <c r="AW350" s="11"/>
      <c r="BB350" s="9"/>
      <c r="BC350" s="11"/>
      <c r="BF350" s="9"/>
      <c r="CH350" s="9"/>
    </row>
    <row r="351" spans="6:86" x14ac:dyDescent="0.25">
      <c r="F351" s="9"/>
      <c r="G351" s="9"/>
      <c r="AA351" s="10"/>
      <c r="AV351" s="11"/>
      <c r="AW351" s="11"/>
      <c r="BB351" s="9"/>
      <c r="BC351" s="11"/>
      <c r="BF351" s="9"/>
      <c r="CF351" s="12"/>
      <c r="CH351" s="9"/>
    </row>
    <row r="352" spans="6:86" x14ac:dyDescent="0.25">
      <c r="F352" s="9"/>
      <c r="G352" s="9"/>
      <c r="AA352" s="10"/>
      <c r="AV352" s="11"/>
      <c r="AW352" s="11"/>
      <c r="BB352" s="9"/>
      <c r="BC352" s="11"/>
      <c r="BF352" s="9"/>
      <c r="CF352" s="12"/>
      <c r="CH352" s="9"/>
    </row>
    <row r="353" spans="6:86" x14ac:dyDescent="0.25">
      <c r="F353" s="9"/>
      <c r="G353" s="9"/>
      <c r="AA353" s="10"/>
      <c r="AV353" s="11"/>
      <c r="AW353" s="11"/>
      <c r="BB353" s="9"/>
      <c r="BC353" s="11"/>
      <c r="BF353" s="9"/>
      <c r="CF353" s="12"/>
      <c r="CH353" s="9"/>
    </row>
    <row r="354" spans="6:86" x14ac:dyDescent="0.25">
      <c r="F354" s="9"/>
      <c r="G354" s="9"/>
      <c r="AA354" s="10"/>
      <c r="AV354" s="11"/>
      <c r="AW354" s="11"/>
      <c r="BB354" s="9"/>
      <c r="BC354" s="11"/>
      <c r="BF354" s="9"/>
      <c r="CF354" s="12"/>
      <c r="CH354" s="9"/>
    </row>
    <row r="355" spans="6:86" x14ac:dyDescent="0.25">
      <c r="F355" s="9"/>
      <c r="G355" s="9"/>
      <c r="AA355" s="10"/>
      <c r="AV355" s="11"/>
      <c r="AW355" s="11"/>
      <c r="BB355" s="9"/>
      <c r="BC355" s="11"/>
      <c r="BF355" s="9"/>
      <c r="CF355" s="12"/>
      <c r="CH355" s="9"/>
    </row>
    <row r="356" spans="6:86" x14ac:dyDescent="0.25">
      <c r="F356" s="9"/>
      <c r="G356" s="9"/>
      <c r="AA356" s="10"/>
      <c r="AV356" s="11"/>
      <c r="AW356" s="11"/>
      <c r="BB356" s="9"/>
      <c r="BC356" s="11"/>
      <c r="BF356" s="9"/>
      <c r="CF356" s="12"/>
      <c r="CH356" s="9"/>
    </row>
    <row r="357" spans="6:86" x14ac:dyDescent="0.25">
      <c r="F357" s="9"/>
      <c r="G357" s="9"/>
      <c r="AA357" s="10"/>
      <c r="AV357" s="11"/>
      <c r="AW357" s="11"/>
      <c r="BB357" s="9"/>
      <c r="BC357" s="11"/>
      <c r="BF357" s="9"/>
      <c r="CF357" s="12"/>
      <c r="CH357" s="9"/>
    </row>
    <row r="358" spans="6:86" x14ac:dyDescent="0.25">
      <c r="F358" s="9"/>
      <c r="G358" s="9"/>
      <c r="AA358" s="10"/>
      <c r="AV358" s="11"/>
      <c r="AW358" s="11"/>
      <c r="BB358" s="9"/>
      <c r="BC358" s="11"/>
      <c r="BF358" s="9"/>
      <c r="CF358" s="12"/>
      <c r="CH358" s="9"/>
    </row>
    <row r="359" spans="6:86" x14ac:dyDescent="0.25">
      <c r="F359" s="9"/>
      <c r="G359" s="9"/>
      <c r="AA359" s="10"/>
      <c r="AV359" s="11"/>
      <c r="AW359" s="11"/>
      <c r="BB359" s="9"/>
      <c r="BC359" s="11"/>
      <c r="BF359" s="9"/>
      <c r="CF359" s="12"/>
      <c r="CH359" s="9"/>
    </row>
    <row r="360" spans="6:86" x14ac:dyDescent="0.25">
      <c r="F360" s="9"/>
      <c r="G360" s="9"/>
      <c r="AA360" s="10"/>
      <c r="AV360" s="11"/>
      <c r="AW360" s="11"/>
      <c r="BB360" s="9"/>
      <c r="BC360" s="11"/>
      <c r="BF360" s="9"/>
      <c r="CF360" s="12"/>
      <c r="CH360" s="9"/>
    </row>
    <row r="361" spans="6:86" x14ac:dyDescent="0.25">
      <c r="F361" s="9"/>
      <c r="G361" s="9"/>
      <c r="AA361" s="10"/>
      <c r="AV361" s="11"/>
      <c r="AW361" s="11"/>
      <c r="BB361" s="9"/>
      <c r="BC361" s="11"/>
      <c r="BF361" s="9"/>
      <c r="CH361" s="9"/>
    </row>
    <row r="362" spans="6:86" x14ac:dyDescent="0.25">
      <c r="F362" s="9"/>
      <c r="G362" s="9"/>
      <c r="AA362" s="10"/>
      <c r="AV362" s="11"/>
      <c r="AW362" s="11"/>
      <c r="BB362" s="9"/>
      <c r="BC362" s="11"/>
      <c r="BF362" s="9"/>
      <c r="CF362" s="12"/>
      <c r="CH362" s="9"/>
    </row>
    <row r="363" spans="6:86" x14ac:dyDescent="0.25">
      <c r="F363" s="9"/>
      <c r="G363" s="9"/>
      <c r="AA363" s="10"/>
      <c r="AV363" s="11"/>
      <c r="AW363" s="11"/>
      <c r="BB363" s="9"/>
      <c r="BC363" s="11"/>
      <c r="BF363" s="9"/>
      <c r="CF363" s="12"/>
      <c r="CH363" s="9"/>
    </row>
    <row r="364" spans="6:86" x14ac:dyDescent="0.25">
      <c r="F364" s="9"/>
      <c r="G364" s="9"/>
      <c r="AA364" s="10"/>
      <c r="AV364" s="11"/>
      <c r="AW364" s="11"/>
      <c r="BB364" s="9"/>
      <c r="BC364" s="11"/>
      <c r="BF364" s="9"/>
      <c r="CF364" s="12"/>
      <c r="CH364" s="9"/>
    </row>
    <row r="365" spans="6:86" x14ac:dyDescent="0.25">
      <c r="F365" s="9"/>
      <c r="G365" s="9"/>
      <c r="AA365" s="10"/>
      <c r="AV365" s="11"/>
      <c r="AW365" s="11"/>
      <c r="BB365" s="9"/>
      <c r="BC365" s="11"/>
      <c r="BF365" s="9"/>
      <c r="CF365" s="12"/>
      <c r="CH365" s="9"/>
    </row>
    <row r="366" spans="6:86" x14ac:dyDescent="0.25">
      <c r="F366" s="9"/>
      <c r="G366" s="9"/>
      <c r="AA366" s="10"/>
      <c r="AV366" s="11"/>
      <c r="AW366" s="11"/>
      <c r="BB366" s="9"/>
      <c r="BC366" s="11"/>
      <c r="BF366" s="9"/>
      <c r="CF366" s="12"/>
      <c r="CH366" s="9"/>
    </row>
    <row r="367" spans="6:86" x14ac:dyDescent="0.25">
      <c r="F367" s="9"/>
      <c r="G367" s="9"/>
      <c r="AA367" s="10"/>
      <c r="AV367" s="11"/>
      <c r="AW367" s="11"/>
      <c r="BB367" s="9"/>
      <c r="BC367" s="11"/>
      <c r="BF367" s="9"/>
      <c r="CF367" s="12"/>
      <c r="CH367" s="9"/>
    </row>
    <row r="368" spans="6:86" x14ac:dyDescent="0.25">
      <c r="F368" s="9"/>
      <c r="G368" s="9"/>
      <c r="AA368" s="10"/>
      <c r="AV368" s="11"/>
      <c r="AW368" s="11"/>
      <c r="BB368" s="9"/>
      <c r="BC368" s="11"/>
      <c r="BF368" s="9"/>
      <c r="CF368" s="12"/>
      <c r="CH368" s="9"/>
    </row>
    <row r="369" spans="6:86" x14ac:dyDescent="0.25">
      <c r="F369" s="9"/>
      <c r="G369" s="9"/>
      <c r="AA369" s="10"/>
      <c r="AV369" s="11"/>
      <c r="AW369" s="11"/>
      <c r="BB369" s="9"/>
      <c r="BC369" s="11"/>
      <c r="BF369" s="9"/>
      <c r="CF369" s="12"/>
      <c r="CH369" s="9"/>
    </row>
    <row r="370" spans="6:86" x14ac:dyDescent="0.25">
      <c r="F370" s="9"/>
      <c r="G370" s="9"/>
      <c r="AA370" s="10"/>
      <c r="AV370" s="11"/>
      <c r="AW370" s="11"/>
      <c r="BB370" s="9"/>
      <c r="BC370" s="11"/>
      <c r="BF370" s="9"/>
      <c r="CF370" s="12"/>
      <c r="CH370" s="9"/>
    </row>
    <row r="371" spans="6:86" x14ac:dyDescent="0.25">
      <c r="F371" s="9"/>
      <c r="G371" s="9"/>
      <c r="AA371" s="10"/>
      <c r="AV371" s="11"/>
      <c r="AW371" s="11"/>
      <c r="BB371" s="9"/>
      <c r="BC371" s="11"/>
      <c r="BF371" s="9"/>
      <c r="CF371" s="12"/>
      <c r="CH371" s="9"/>
    </row>
    <row r="372" spans="6:86" x14ac:dyDescent="0.25">
      <c r="F372" s="9"/>
      <c r="G372" s="9"/>
      <c r="AA372" s="10"/>
      <c r="AV372" s="11"/>
      <c r="AW372" s="11"/>
      <c r="BB372" s="9"/>
      <c r="BC372" s="11"/>
      <c r="BF372" s="9"/>
      <c r="CF372" s="12"/>
      <c r="CH372" s="9"/>
    </row>
    <row r="373" spans="6:86" x14ac:dyDescent="0.25">
      <c r="F373" s="9"/>
      <c r="G373" s="9"/>
      <c r="AA373" s="10"/>
      <c r="AV373" s="11"/>
      <c r="AW373" s="11"/>
      <c r="BB373" s="9"/>
      <c r="BC373" s="11"/>
      <c r="BF373" s="9"/>
      <c r="CH373" s="9"/>
    </row>
    <row r="374" spans="6:86" x14ac:dyDescent="0.25">
      <c r="F374" s="9"/>
      <c r="G374" s="9"/>
      <c r="AA374" s="10"/>
      <c r="AV374" s="11"/>
      <c r="AW374" s="11"/>
      <c r="BB374" s="9"/>
      <c r="BC374" s="11"/>
      <c r="BF374" s="9"/>
      <c r="CF374" s="12"/>
      <c r="CH374" s="9"/>
    </row>
    <row r="375" spans="6:86" x14ac:dyDescent="0.25">
      <c r="F375" s="9"/>
      <c r="G375" s="9"/>
      <c r="AA375" s="10"/>
      <c r="AV375" s="11"/>
      <c r="AW375" s="11"/>
      <c r="BB375" s="9"/>
      <c r="BC375" s="11"/>
      <c r="BF375" s="9"/>
      <c r="CF375" s="12"/>
      <c r="CH375" s="9"/>
    </row>
    <row r="376" spans="6:86" x14ac:dyDescent="0.25">
      <c r="F376" s="9"/>
      <c r="G376" s="9"/>
      <c r="AA376" s="10"/>
      <c r="AV376" s="11"/>
      <c r="AW376" s="11"/>
      <c r="BB376" s="9"/>
      <c r="BC376" s="11"/>
      <c r="BF376" s="9"/>
      <c r="CF376" s="12"/>
      <c r="CH376" s="9"/>
    </row>
    <row r="377" spans="6:86" x14ac:dyDescent="0.25">
      <c r="F377" s="9"/>
      <c r="G377" s="9"/>
      <c r="AA377" s="10"/>
      <c r="AV377" s="11"/>
      <c r="AW377" s="11"/>
      <c r="BB377" s="9"/>
      <c r="BC377" s="11"/>
      <c r="BF377" s="9"/>
      <c r="CF377" s="12"/>
      <c r="CH377" s="9"/>
    </row>
    <row r="378" spans="6:86" x14ac:dyDescent="0.25">
      <c r="F378" s="9"/>
      <c r="G378" s="9"/>
      <c r="AA378" s="10"/>
      <c r="AV378" s="11"/>
      <c r="AW378" s="11"/>
      <c r="BB378" s="9"/>
      <c r="BC378" s="11"/>
      <c r="BF378" s="9"/>
      <c r="CF378" s="12"/>
      <c r="CH378" s="9"/>
    </row>
    <row r="379" spans="6:86" x14ac:dyDescent="0.25">
      <c r="F379" s="9"/>
      <c r="G379" s="9"/>
      <c r="AA379" s="10"/>
      <c r="AV379" s="11"/>
      <c r="AW379" s="11"/>
      <c r="BB379" s="9"/>
      <c r="BC379" s="11"/>
      <c r="BF379" s="9"/>
      <c r="CF379" s="12"/>
      <c r="CH379" s="9"/>
    </row>
    <row r="380" spans="6:86" x14ac:dyDescent="0.25">
      <c r="F380" s="9"/>
      <c r="G380" s="9"/>
      <c r="AA380" s="10"/>
      <c r="AV380" s="11"/>
      <c r="AW380" s="11"/>
      <c r="BB380" s="9"/>
      <c r="BC380" s="11"/>
      <c r="BF380" s="9"/>
      <c r="CF380" s="12"/>
      <c r="CH380" s="9"/>
    </row>
    <row r="381" spans="6:86" x14ac:dyDescent="0.25">
      <c r="F381" s="9"/>
      <c r="G381" s="9"/>
      <c r="AA381" s="10"/>
      <c r="AV381" s="11"/>
      <c r="AW381" s="11"/>
      <c r="BB381" s="9"/>
      <c r="BC381" s="11"/>
      <c r="BF381" s="9"/>
      <c r="CH381" s="9"/>
    </row>
    <row r="382" spans="6:86" x14ac:dyDescent="0.25">
      <c r="F382" s="9"/>
      <c r="G382" s="9"/>
      <c r="AA382" s="10"/>
      <c r="AV382" s="11"/>
      <c r="AW382" s="11"/>
      <c r="BB382" s="9"/>
      <c r="BC382" s="11"/>
      <c r="BF382" s="9"/>
      <c r="CF382" s="12"/>
      <c r="CH382" s="9"/>
    </row>
    <row r="383" spans="6:86" x14ac:dyDescent="0.25">
      <c r="F383" s="9"/>
      <c r="G383" s="9"/>
      <c r="AA383" s="10"/>
      <c r="AV383" s="11"/>
      <c r="AW383" s="11"/>
      <c r="BB383" s="9"/>
      <c r="BC383" s="11"/>
      <c r="BF383" s="9"/>
      <c r="CF383" s="12"/>
      <c r="CH383" s="9"/>
    </row>
    <row r="384" spans="6:86" x14ac:dyDescent="0.25">
      <c r="F384" s="9"/>
      <c r="G384" s="9"/>
      <c r="AA384" s="10"/>
      <c r="AV384" s="11"/>
      <c r="AW384" s="11"/>
      <c r="BB384" s="9"/>
      <c r="BC384" s="11"/>
      <c r="BF384" s="9"/>
      <c r="CF384" s="12"/>
      <c r="CH384" s="9"/>
    </row>
    <row r="385" spans="6:86" x14ac:dyDescent="0.25">
      <c r="F385" s="9"/>
      <c r="G385" s="9"/>
      <c r="AA385" s="10"/>
      <c r="AV385" s="11"/>
      <c r="AW385" s="11"/>
      <c r="BB385" s="9"/>
      <c r="BC385" s="11"/>
      <c r="BF385" s="9"/>
      <c r="CF385" s="12"/>
      <c r="CH385" s="9"/>
    </row>
    <row r="386" spans="6:86" x14ac:dyDescent="0.25">
      <c r="F386" s="9"/>
      <c r="G386" s="9"/>
      <c r="AA386" s="10"/>
      <c r="AV386" s="11"/>
      <c r="AW386" s="11"/>
      <c r="BB386" s="9"/>
      <c r="BC386" s="11"/>
      <c r="BF386" s="9"/>
      <c r="CF386" s="12"/>
      <c r="CH386" s="9"/>
    </row>
    <row r="387" spans="6:86" x14ac:dyDescent="0.25">
      <c r="F387" s="9"/>
      <c r="G387" s="9"/>
      <c r="AA387" s="10"/>
      <c r="AV387" s="11"/>
      <c r="AW387" s="11"/>
      <c r="BB387" s="9"/>
      <c r="BC387" s="11"/>
      <c r="BF387" s="9"/>
      <c r="CF387" s="12"/>
      <c r="CH387" s="9"/>
    </row>
    <row r="388" spans="6:86" x14ac:dyDescent="0.25">
      <c r="F388" s="9"/>
      <c r="G388" s="9"/>
      <c r="AA388" s="10"/>
      <c r="AV388" s="11"/>
      <c r="AW388" s="11"/>
      <c r="BB388" s="9"/>
      <c r="BC388" s="11"/>
      <c r="BF388" s="9"/>
      <c r="CF388" s="12"/>
      <c r="CH388" s="9"/>
    </row>
    <row r="389" spans="6:86" x14ac:dyDescent="0.25">
      <c r="F389" s="9"/>
      <c r="G389" s="9"/>
      <c r="AA389" s="10"/>
      <c r="AV389" s="11"/>
      <c r="AW389" s="11"/>
      <c r="BB389" s="9"/>
      <c r="BC389" s="11"/>
      <c r="BF389" s="9"/>
      <c r="CF389" s="12"/>
      <c r="CH389" s="9"/>
    </row>
    <row r="390" spans="6:86" x14ac:dyDescent="0.25">
      <c r="F390" s="9"/>
      <c r="G390" s="9"/>
      <c r="AA390" s="10"/>
      <c r="AV390" s="11"/>
      <c r="AW390" s="11"/>
      <c r="BB390" s="9"/>
      <c r="BC390" s="11"/>
      <c r="BF390" s="9"/>
      <c r="CH390" s="9"/>
    </row>
    <row r="391" spans="6:86" x14ac:dyDescent="0.25">
      <c r="F391" s="9"/>
      <c r="G391" s="9"/>
      <c r="AA391" s="10"/>
      <c r="AV391" s="11"/>
      <c r="AW391" s="11"/>
      <c r="BB391" s="9"/>
      <c r="BC391" s="11"/>
      <c r="BF391" s="9"/>
      <c r="CF391" s="12"/>
      <c r="CH391" s="9"/>
    </row>
    <row r="392" spans="6:86" x14ac:dyDescent="0.25">
      <c r="F392" s="9"/>
      <c r="G392" s="9"/>
      <c r="AA392" s="10"/>
      <c r="AV392" s="11"/>
      <c r="AW392" s="11"/>
      <c r="BB392" s="9"/>
      <c r="BC392" s="11"/>
      <c r="BF392" s="9"/>
      <c r="CF392" s="12"/>
      <c r="CH392" s="9"/>
    </row>
    <row r="393" spans="6:86" x14ac:dyDescent="0.25">
      <c r="F393" s="9"/>
      <c r="G393" s="9"/>
      <c r="AA393" s="10"/>
      <c r="AV393" s="11"/>
      <c r="AW393" s="11"/>
      <c r="BB393" s="9"/>
      <c r="BC393" s="11"/>
      <c r="BF393" s="9"/>
      <c r="CF393" s="12"/>
      <c r="CH393" s="9"/>
    </row>
    <row r="394" spans="6:86" x14ac:dyDescent="0.25">
      <c r="F394" s="9"/>
      <c r="G394" s="9"/>
      <c r="AA394" s="10"/>
      <c r="AV394" s="11"/>
      <c r="AW394" s="11"/>
      <c r="BB394" s="9"/>
      <c r="BC394" s="11"/>
      <c r="BF394" s="9"/>
      <c r="CH394" s="9"/>
    </row>
    <row r="395" spans="6:86" x14ac:dyDescent="0.25">
      <c r="F395" s="9"/>
      <c r="G395" s="9"/>
      <c r="AA395" s="10"/>
      <c r="AV395" s="11"/>
      <c r="AW395" s="11"/>
      <c r="BB395" s="9"/>
      <c r="BC395" s="11"/>
      <c r="BF395" s="9"/>
      <c r="CH395" s="9"/>
    </row>
    <row r="396" spans="6:86" x14ac:dyDescent="0.25">
      <c r="F396" s="9"/>
      <c r="G396" s="9"/>
      <c r="AA396" s="10"/>
      <c r="AV396" s="11"/>
      <c r="AW396" s="11"/>
      <c r="BB396" s="9"/>
      <c r="BC396" s="11"/>
      <c r="BF396" s="9"/>
      <c r="CF396" s="12"/>
      <c r="CH396" s="9"/>
    </row>
    <row r="397" spans="6:86" x14ac:dyDescent="0.25">
      <c r="F397" s="9"/>
      <c r="G397" s="9"/>
      <c r="AA397" s="10"/>
      <c r="AV397" s="11"/>
      <c r="AW397" s="11"/>
      <c r="BB397" s="9"/>
      <c r="BC397" s="11"/>
      <c r="BF397" s="9"/>
      <c r="CF397" s="12"/>
      <c r="CH397" s="9"/>
    </row>
    <row r="398" spans="6:86" x14ac:dyDescent="0.25">
      <c r="F398" s="9"/>
      <c r="G398" s="9"/>
      <c r="AA398" s="10"/>
      <c r="AV398" s="11"/>
      <c r="AW398" s="11"/>
      <c r="BB398" s="9"/>
      <c r="BC398" s="11"/>
      <c r="BF398" s="9"/>
      <c r="CF398" s="12"/>
      <c r="CH398" s="9"/>
    </row>
    <row r="399" spans="6:86" x14ac:dyDescent="0.25">
      <c r="F399" s="9"/>
      <c r="G399" s="9"/>
      <c r="AA399" s="10"/>
      <c r="AV399" s="11"/>
      <c r="AW399" s="11"/>
      <c r="BB399" s="9"/>
      <c r="BC399" s="11"/>
      <c r="BF399" s="9"/>
      <c r="CF399" s="12"/>
      <c r="CH399" s="9"/>
    </row>
    <row r="400" spans="6:86" x14ac:dyDescent="0.25">
      <c r="F400" s="9"/>
      <c r="G400" s="9"/>
      <c r="AA400" s="10"/>
      <c r="AV400" s="11"/>
      <c r="AW400" s="11"/>
      <c r="BB400" s="9"/>
      <c r="BC400" s="11"/>
      <c r="BF400" s="9"/>
      <c r="CF400" s="12"/>
      <c r="CH400" s="9"/>
    </row>
    <row r="401" spans="6:92" x14ac:dyDescent="0.25">
      <c r="F401" s="9"/>
      <c r="G401" s="9"/>
      <c r="AA401" s="10"/>
      <c r="AV401" s="11"/>
      <c r="AW401" s="11"/>
      <c r="BB401" s="9"/>
      <c r="BC401" s="11"/>
      <c r="BF401" s="9"/>
      <c r="CF401" s="12"/>
      <c r="CH401" s="9"/>
    </row>
    <row r="402" spans="6:92" x14ac:dyDescent="0.25">
      <c r="F402" s="9"/>
      <c r="G402" s="9"/>
      <c r="AA402" s="10"/>
      <c r="AV402" s="11"/>
      <c r="AW402" s="11"/>
      <c r="BB402" s="9"/>
      <c r="BC402" s="11"/>
      <c r="BF402" s="9"/>
      <c r="CH402" s="9"/>
    </row>
    <row r="403" spans="6:92" x14ac:dyDescent="0.25">
      <c r="F403" s="9"/>
      <c r="G403" s="9"/>
      <c r="AA403" s="10"/>
      <c r="AV403" s="11"/>
      <c r="AW403" s="11"/>
      <c r="BB403" s="9"/>
      <c r="BC403" s="11"/>
      <c r="BF403" s="9"/>
      <c r="CF403" s="12"/>
      <c r="CH403" s="9"/>
    </row>
    <row r="404" spans="6:92" x14ac:dyDescent="0.25">
      <c r="F404" s="9"/>
      <c r="G404" s="9"/>
      <c r="AA404" s="10"/>
      <c r="AV404" s="11"/>
      <c r="AW404" s="11"/>
      <c r="BB404" s="9"/>
      <c r="BC404" s="11"/>
      <c r="BF404" s="9"/>
      <c r="CH404" s="9"/>
    </row>
    <row r="405" spans="6:92" x14ac:dyDescent="0.25">
      <c r="F405" s="9"/>
      <c r="G405" s="9"/>
      <c r="AA405" s="10"/>
      <c r="AV405" s="11"/>
      <c r="AW405" s="11"/>
      <c r="BB405" s="9"/>
      <c r="BC405" s="11"/>
      <c r="BF405" s="9"/>
      <c r="CF405" s="12"/>
      <c r="CH405" s="9"/>
    </row>
    <row r="406" spans="6:92" x14ac:dyDescent="0.25">
      <c r="F406" s="9"/>
      <c r="G406" s="9"/>
      <c r="U406" s="12"/>
      <c r="Y406" s="12"/>
      <c r="Z406" s="12"/>
      <c r="AA406" s="10"/>
      <c r="AV406" s="11"/>
      <c r="AW406" s="11"/>
      <c r="BB406" s="9"/>
      <c r="BC406" s="11"/>
      <c r="BF406" s="9"/>
      <c r="CF406" s="12"/>
      <c r="CH406" s="9"/>
      <c r="CN406" s="12"/>
    </row>
    <row r="407" spans="6:92" x14ac:dyDescent="0.25">
      <c r="F407" s="9"/>
      <c r="G407" s="9"/>
      <c r="AA407" s="10"/>
      <c r="AV407" s="11"/>
      <c r="AW407" s="11"/>
      <c r="BB407" s="9"/>
      <c r="BC407" s="11"/>
      <c r="BF407" s="9"/>
      <c r="CH407" s="9"/>
    </row>
    <row r="408" spans="6:92" x14ac:dyDescent="0.25">
      <c r="F408" s="9"/>
      <c r="G408" s="9"/>
      <c r="AA408" s="10"/>
      <c r="AV408" s="11"/>
      <c r="AW408" s="11"/>
      <c r="BB408" s="9"/>
      <c r="BC408" s="11"/>
      <c r="BF408" s="9"/>
      <c r="CF408" s="12"/>
      <c r="CH408" s="9"/>
    </row>
    <row r="409" spans="6:92" x14ac:dyDescent="0.25">
      <c r="F409" s="9"/>
      <c r="G409" s="9"/>
      <c r="AA409" s="10"/>
      <c r="AV409" s="11"/>
      <c r="AW409" s="11"/>
      <c r="BB409" s="9"/>
      <c r="BC409" s="11"/>
      <c r="BF409" s="9"/>
      <c r="CF409" s="12"/>
      <c r="CH409" s="9"/>
    </row>
    <row r="410" spans="6:92" x14ac:dyDescent="0.25">
      <c r="F410" s="9"/>
      <c r="G410" s="9"/>
      <c r="AA410" s="10"/>
      <c r="AV410" s="11"/>
      <c r="AW410" s="11"/>
      <c r="BB410" s="9"/>
      <c r="BC410" s="11"/>
      <c r="BF410" s="9"/>
      <c r="CF410" s="12"/>
      <c r="CH410" s="9"/>
    </row>
    <row r="411" spans="6:92" x14ac:dyDescent="0.25">
      <c r="F411" s="9"/>
      <c r="G411" s="9"/>
      <c r="AA411" s="10"/>
      <c r="AV411" s="11"/>
      <c r="AW411" s="11"/>
      <c r="BB411" s="9"/>
      <c r="BC411" s="11"/>
      <c r="BF411" s="9"/>
      <c r="CF411" s="12"/>
      <c r="CH411" s="9"/>
    </row>
    <row r="412" spans="6:92" x14ac:dyDescent="0.25">
      <c r="F412" s="9"/>
      <c r="G412" s="9"/>
      <c r="AA412" s="10"/>
      <c r="AV412" s="11"/>
      <c r="AW412" s="11"/>
      <c r="BB412" s="9"/>
      <c r="BC412" s="11"/>
      <c r="BF412" s="9"/>
      <c r="CF412" s="12"/>
      <c r="CH412" s="9"/>
    </row>
    <row r="413" spans="6:92" x14ac:dyDescent="0.25">
      <c r="F413" s="9"/>
      <c r="G413" s="9"/>
      <c r="AA413" s="10"/>
      <c r="AV413" s="11"/>
      <c r="AW413" s="11"/>
      <c r="BB413" s="9"/>
      <c r="BC413" s="11"/>
      <c r="BF413" s="9"/>
      <c r="CF413" s="12"/>
      <c r="CH413" s="9"/>
    </row>
    <row r="414" spans="6:92" x14ac:dyDescent="0.25">
      <c r="F414" s="9"/>
      <c r="G414" s="9"/>
      <c r="AA414" s="10"/>
      <c r="AV414" s="11"/>
      <c r="AW414" s="11"/>
      <c r="BB414" s="9"/>
      <c r="BC414" s="11"/>
      <c r="BF414" s="9"/>
      <c r="CF414" s="12"/>
      <c r="CH414" s="9"/>
    </row>
    <row r="415" spans="6:92" x14ac:dyDescent="0.25">
      <c r="F415" s="9"/>
      <c r="G415" s="9"/>
      <c r="AA415" s="10"/>
      <c r="AV415" s="11"/>
      <c r="AW415" s="11"/>
      <c r="BB415" s="9"/>
      <c r="BC415" s="11"/>
      <c r="BF415" s="9"/>
      <c r="CF415" s="12"/>
      <c r="CH415" s="9"/>
    </row>
    <row r="416" spans="6:92" x14ac:dyDescent="0.25">
      <c r="F416" s="9"/>
      <c r="G416" s="9"/>
      <c r="AA416" s="10"/>
      <c r="AV416" s="11"/>
      <c r="AW416" s="11"/>
      <c r="BB416" s="9"/>
      <c r="BC416" s="11"/>
      <c r="BF416" s="9"/>
      <c r="CF416" s="12"/>
      <c r="CH416" s="9"/>
    </row>
    <row r="417" spans="6:92" x14ac:dyDescent="0.25">
      <c r="F417" s="9"/>
      <c r="G417" s="9"/>
      <c r="AA417" s="10"/>
      <c r="AV417" s="11"/>
      <c r="AW417" s="11"/>
      <c r="BB417" s="9"/>
      <c r="BC417" s="11"/>
      <c r="BF417" s="9"/>
      <c r="CH417" s="9"/>
    </row>
    <row r="418" spans="6:92" x14ac:dyDescent="0.25">
      <c r="F418" s="9"/>
      <c r="G418" s="9"/>
      <c r="AA418" s="10"/>
      <c r="AV418" s="11"/>
      <c r="AW418" s="11"/>
      <c r="BB418" s="9"/>
      <c r="BC418" s="11"/>
      <c r="BF418" s="9"/>
      <c r="CH418" s="9"/>
    </row>
    <row r="419" spans="6:92" x14ac:dyDescent="0.25">
      <c r="F419" s="9"/>
      <c r="G419" s="9"/>
      <c r="U419" s="12"/>
      <c r="Z419" s="12"/>
      <c r="AA419" s="10"/>
      <c r="AV419" s="11"/>
      <c r="AW419" s="11"/>
      <c r="BB419" s="9"/>
      <c r="BC419" s="11"/>
      <c r="BF419" s="9"/>
      <c r="CF419" s="12"/>
      <c r="CH419" s="9"/>
      <c r="CN419" s="12"/>
    </row>
    <row r="420" spans="6:92" x14ac:dyDescent="0.25">
      <c r="F420" s="9"/>
      <c r="G420" s="9"/>
      <c r="AA420" s="10"/>
      <c r="AV420" s="11"/>
      <c r="AW420" s="11"/>
      <c r="BB420" s="9"/>
      <c r="BC420" s="11"/>
      <c r="BF420" s="9"/>
      <c r="CF420" s="12"/>
      <c r="CH420" s="9"/>
    </row>
    <row r="421" spans="6:92" x14ac:dyDescent="0.25">
      <c r="F421" s="9"/>
      <c r="G421" s="9"/>
      <c r="AA421" s="10"/>
      <c r="AV421" s="11"/>
      <c r="AW421" s="11"/>
      <c r="BB421" s="9"/>
      <c r="BC421" s="11"/>
      <c r="BF421" s="9"/>
      <c r="CF421" s="12"/>
      <c r="CH421" s="9"/>
    </row>
    <row r="422" spans="6:92" x14ac:dyDescent="0.25">
      <c r="F422" s="9"/>
      <c r="G422" s="9"/>
      <c r="AA422" s="10"/>
      <c r="AV422" s="11"/>
      <c r="AW422" s="11"/>
      <c r="BB422" s="9"/>
      <c r="BC422" s="11"/>
      <c r="BF422" s="9"/>
      <c r="CF422" s="12"/>
      <c r="CH422" s="9"/>
    </row>
    <row r="423" spans="6:92" x14ac:dyDescent="0.25">
      <c r="F423" s="9"/>
      <c r="G423" s="9"/>
      <c r="AA423" s="10"/>
      <c r="AV423" s="11"/>
      <c r="AW423" s="11"/>
      <c r="BB423" s="9"/>
      <c r="BC423" s="11"/>
      <c r="BF423" s="9"/>
      <c r="CF423" s="12"/>
      <c r="CH423" s="9"/>
    </row>
    <row r="424" spans="6:92" x14ac:dyDescent="0.25">
      <c r="F424" s="9"/>
      <c r="G424" s="9"/>
      <c r="AA424" s="10"/>
      <c r="AV424" s="11"/>
      <c r="AW424" s="11"/>
      <c r="BB424" s="9"/>
      <c r="BC424" s="11"/>
      <c r="BF424" s="9"/>
      <c r="CF424" s="12"/>
      <c r="CH424" s="9"/>
    </row>
    <row r="425" spans="6:92" x14ac:dyDescent="0.25">
      <c r="F425" s="9"/>
      <c r="G425" s="9"/>
      <c r="AA425" s="10"/>
      <c r="AV425" s="11"/>
      <c r="AW425" s="11"/>
      <c r="BB425" s="9"/>
      <c r="BC425" s="11"/>
      <c r="BF425" s="9"/>
      <c r="CF425" s="12"/>
      <c r="CH425" s="9"/>
    </row>
    <row r="426" spans="6:92" x14ac:dyDescent="0.25">
      <c r="F426" s="9"/>
      <c r="G426" s="9"/>
      <c r="AA426" s="10"/>
      <c r="AV426" s="11"/>
      <c r="AW426" s="11"/>
      <c r="BB426" s="9"/>
      <c r="BC426" s="11"/>
      <c r="BF426" s="9"/>
      <c r="CF426" s="12"/>
      <c r="CH426" s="9"/>
    </row>
    <row r="427" spans="6:92" x14ac:dyDescent="0.25">
      <c r="F427" s="9"/>
      <c r="G427" s="9"/>
      <c r="AA427" s="10"/>
      <c r="AV427" s="11"/>
      <c r="AW427" s="11"/>
      <c r="BB427" s="9"/>
      <c r="BC427" s="11"/>
      <c r="BF427" s="9"/>
      <c r="CH427" s="9"/>
    </row>
    <row r="428" spans="6:92" x14ac:dyDescent="0.25">
      <c r="F428" s="9"/>
      <c r="G428" s="9"/>
      <c r="AA428" s="10"/>
      <c r="AV428" s="11"/>
      <c r="AW428" s="11"/>
      <c r="BB428" s="9"/>
      <c r="BC428" s="11"/>
      <c r="BF428" s="9"/>
      <c r="CF428" s="12"/>
      <c r="CH428" s="9"/>
    </row>
    <row r="429" spans="6:92" x14ac:dyDescent="0.25">
      <c r="F429" s="9"/>
      <c r="G429" s="9"/>
      <c r="AA429" s="10"/>
      <c r="AV429" s="11"/>
      <c r="AW429" s="11"/>
      <c r="BB429" s="9"/>
      <c r="BC429" s="11"/>
      <c r="BF429" s="9"/>
      <c r="CF429" s="12"/>
      <c r="CH429" s="9"/>
    </row>
    <row r="430" spans="6:92" x14ac:dyDescent="0.25">
      <c r="F430" s="9"/>
      <c r="G430" s="9"/>
      <c r="AA430" s="10"/>
      <c r="AV430" s="11"/>
      <c r="AW430" s="11"/>
      <c r="BB430" s="9"/>
      <c r="BC430" s="11"/>
      <c r="BF430" s="9"/>
      <c r="CF430" s="12"/>
      <c r="CH430" s="9"/>
    </row>
    <row r="431" spans="6:92" x14ac:dyDescent="0.25">
      <c r="F431" s="9"/>
      <c r="G431" s="9"/>
      <c r="AA431" s="10"/>
      <c r="AV431" s="11"/>
      <c r="AW431" s="11"/>
      <c r="BB431" s="9"/>
      <c r="BC431" s="11"/>
      <c r="BF431" s="9"/>
      <c r="CF431" s="12"/>
      <c r="CH431" s="9"/>
    </row>
    <row r="432" spans="6:92" x14ac:dyDescent="0.25">
      <c r="F432" s="9"/>
      <c r="G432" s="9"/>
      <c r="AA432" s="10"/>
      <c r="AV432" s="11"/>
      <c r="AW432" s="11"/>
      <c r="BB432" s="9"/>
      <c r="BC432" s="11"/>
      <c r="BF432" s="9"/>
      <c r="CF432" s="12"/>
      <c r="CH432" s="9"/>
    </row>
    <row r="433" spans="6:92" x14ac:dyDescent="0.25">
      <c r="F433" s="9"/>
      <c r="G433" s="9"/>
      <c r="AA433" s="10"/>
      <c r="AV433" s="11"/>
      <c r="AW433" s="11"/>
      <c r="BB433" s="9"/>
      <c r="BC433" s="11"/>
      <c r="BF433" s="9"/>
      <c r="CF433" s="12"/>
      <c r="CH433" s="9"/>
    </row>
    <row r="434" spans="6:92" x14ac:dyDescent="0.25">
      <c r="F434" s="9"/>
      <c r="G434" s="9"/>
      <c r="AA434" s="10"/>
      <c r="AV434" s="11"/>
      <c r="AW434" s="11"/>
      <c r="BB434" s="9"/>
      <c r="BC434" s="11"/>
      <c r="BF434" s="9"/>
      <c r="CF434" s="12"/>
      <c r="CH434" s="9"/>
    </row>
    <row r="435" spans="6:92" x14ac:dyDescent="0.25">
      <c r="F435" s="9"/>
      <c r="G435" s="9"/>
      <c r="AA435" s="10"/>
      <c r="AV435" s="11"/>
      <c r="AW435" s="11"/>
      <c r="BB435" s="9"/>
      <c r="BC435" s="11"/>
      <c r="BF435" s="9"/>
      <c r="CF435" s="12"/>
      <c r="CH435" s="9"/>
    </row>
    <row r="436" spans="6:92" x14ac:dyDescent="0.25">
      <c r="F436" s="9"/>
      <c r="G436" s="9"/>
      <c r="AA436" s="10"/>
      <c r="AV436" s="11"/>
      <c r="AW436" s="11"/>
      <c r="BB436" s="9"/>
      <c r="BC436" s="11"/>
      <c r="BF436" s="9"/>
      <c r="CF436" s="12"/>
      <c r="CH436" s="9"/>
    </row>
    <row r="437" spans="6:92" x14ac:dyDescent="0.25">
      <c r="F437" s="9"/>
      <c r="G437" s="9"/>
      <c r="AA437" s="10"/>
      <c r="AV437" s="11"/>
      <c r="AW437" s="11"/>
      <c r="BB437" s="9"/>
      <c r="BC437" s="11"/>
      <c r="BF437" s="9"/>
      <c r="CF437" s="12"/>
      <c r="CH437" s="9"/>
    </row>
    <row r="438" spans="6:92" x14ac:dyDescent="0.25">
      <c r="F438" s="9"/>
      <c r="G438" s="9"/>
      <c r="AA438" s="10"/>
      <c r="AV438" s="11"/>
      <c r="AW438" s="11"/>
      <c r="BB438" s="9"/>
      <c r="BC438" s="11"/>
      <c r="BF438" s="9"/>
      <c r="CF438" s="12"/>
      <c r="CH438" s="9"/>
    </row>
    <row r="439" spans="6:92" x14ac:dyDescent="0.25">
      <c r="F439" s="9"/>
      <c r="G439" s="9"/>
      <c r="AA439" s="10"/>
      <c r="AV439" s="11"/>
      <c r="AW439" s="11"/>
      <c r="BB439" s="9"/>
      <c r="BC439" s="11"/>
      <c r="BF439" s="9"/>
      <c r="CF439" s="12"/>
      <c r="CH439" s="9"/>
    </row>
    <row r="440" spans="6:92" x14ac:dyDescent="0.25">
      <c r="F440" s="9"/>
      <c r="G440" s="9"/>
      <c r="U440" s="12"/>
      <c r="Y440" s="12"/>
      <c r="Z440" s="12"/>
      <c r="AA440" s="10"/>
      <c r="AV440" s="11"/>
      <c r="AW440" s="11"/>
      <c r="BB440" s="9"/>
      <c r="BC440" s="11"/>
      <c r="BF440" s="9"/>
      <c r="CF440" s="12"/>
      <c r="CH440" s="9"/>
      <c r="CN440" s="12"/>
    </row>
    <row r="441" spans="6:92" x14ac:dyDescent="0.25">
      <c r="F441" s="9"/>
      <c r="G441" s="9"/>
      <c r="U441" s="12"/>
      <c r="AA441" s="10"/>
      <c r="AV441" s="11"/>
      <c r="AW441" s="11"/>
      <c r="BB441" s="9"/>
      <c r="BC441" s="11"/>
      <c r="BF441" s="9"/>
      <c r="CH441" s="9"/>
    </row>
    <row r="442" spans="6:92" x14ac:dyDescent="0.25">
      <c r="F442" s="9"/>
      <c r="G442" s="9"/>
      <c r="AA442" s="10"/>
      <c r="AV442" s="11"/>
      <c r="AW442" s="11"/>
      <c r="BB442" s="9"/>
      <c r="BC442" s="11"/>
      <c r="BF442" s="9"/>
      <c r="CF442" s="12"/>
      <c r="CH442" s="9"/>
    </row>
    <row r="443" spans="6:92" x14ac:dyDescent="0.25">
      <c r="F443" s="9"/>
      <c r="G443" s="9"/>
      <c r="AA443" s="10"/>
      <c r="AV443" s="11"/>
      <c r="AW443" s="11"/>
      <c r="BB443" s="9"/>
      <c r="BC443" s="11"/>
      <c r="BF443" s="9"/>
      <c r="CF443" s="12"/>
      <c r="CH443" s="9"/>
    </row>
    <row r="444" spans="6:92" x14ac:dyDescent="0.25">
      <c r="F444" s="9"/>
      <c r="G444" s="9"/>
      <c r="AA444" s="10"/>
      <c r="AV444" s="11"/>
      <c r="AW444" s="11"/>
      <c r="BB444" s="9"/>
      <c r="BC444" s="11"/>
      <c r="BF444" s="9"/>
      <c r="CF444" s="12"/>
      <c r="CH444" s="9"/>
    </row>
    <row r="445" spans="6:92" x14ac:dyDescent="0.25">
      <c r="F445" s="9"/>
      <c r="G445" s="9"/>
      <c r="AA445" s="10"/>
      <c r="AV445" s="11"/>
      <c r="AW445" s="11"/>
      <c r="BB445" s="9"/>
      <c r="BC445" s="11"/>
      <c r="BF445" s="9"/>
      <c r="CF445" s="12"/>
      <c r="CH445" s="9"/>
    </row>
    <row r="446" spans="6:92" x14ac:dyDescent="0.25">
      <c r="F446" s="9"/>
      <c r="G446" s="9"/>
      <c r="AA446" s="10"/>
      <c r="AV446" s="11"/>
      <c r="AW446" s="11"/>
      <c r="BB446" s="9"/>
      <c r="BC446" s="11"/>
      <c r="BF446" s="9"/>
      <c r="CF446" s="12"/>
      <c r="CH446" s="9"/>
    </row>
    <row r="447" spans="6:92" x14ac:dyDescent="0.25">
      <c r="F447" s="9"/>
      <c r="G447" s="9"/>
      <c r="AA447" s="10"/>
      <c r="AV447" s="11"/>
      <c r="AW447" s="11"/>
      <c r="BB447" s="9"/>
      <c r="BC447" s="11"/>
      <c r="BF447" s="9"/>
      <c r="CF447" s="12"/>
      <c r="CH447" s="9"/>
    </row>
    <row r="448" spans="6:92" x14ac:dyDescent="0.25">
      <c r="F448" s="9"/>
      <c r="G448" s="9"/>
      <c r="AA448" s="10"/>
      <c r="AV448" s="11"/>
      <c r="AW448" s="11"/>
      <c r="BB448" s="9"/>
      <c r="BC448" s="11"/>
      <c r="BF448" s="9"/>
      <c r="CF448" s="12"/>
      <c r="CH448" s="9"/>
    </row>
    <row r="449" spans="6:86" x14ac:dyDescent="0.25">
      <c r="F449" s="9"/>
      <c r="G449" s="9"/>
      <c r="AA449" s="10"/>
      <c r="AV449" s="11"/>
      <c r="AW449" s="11"/>
      <c r="BB449" s="9"/>
      <c r="BC449" s="11"/>
      <c r="BF449" s="9"/>
      <c r="CF449" s="12"/>
      <c r="CH449" s="9"/>
    </row>
    <row r="450" spans="6:86" x14ac:dyDescent="0.25">
      <c r="F450" s="9"/>
      <c r="G450" s="9"/>
      <c r="AA450" s="10"/>
      <c r="AV450" s="11"/>
      <c r="AW450" s="11"/>
      <c r="BB450" s="9"/>
      <c r="BC450" s="11"/>
      <c r="BF450" s="9"/>
      <c r="CF450" s="12"/>
      <c r="CH450" s="9"/>
    </row>
    <row r="451" spans="6:86" x14ac:dyDescent="0.25">
      <c r="F451" s="9"/>
      <c r="G451" s="9"/>
      <c r="AA451" s="10"/>
      <c r="AV451" s="11"/>
      <c r="AW451" s="11"/>
      <c r="BB451" s="9"/>
      <c r="BC451" s="11"/>
      <c r="BF451" s="9"/>
      <c r="CF451" s="12"/>
      <c r="CH451" s="9"/>
    </row>
    <row r="452" spans="6:86" x14ac:dyDescent="0.25">
      <c r="F452" s="9"/>
      <c r="G452" s="9"/>
      <c r="AA452" s="10"/>
      <c r="AV452" s="11"/>
      <c r="AW452" s="11"/>
      <c r="BB452" s="9"/>
      <c r="BC452" s="11"/>
      <c r="BF452" s="9"/>
      <c r="CF452" s="12"/>
      <c r="CH452" s="9"/>
    </row>
    <row r="453" spans="6:86" x14ac:dyDescent="0.25">
      <c r="F453" s="9"/>
      <c r="G453" s="9"/>
      <c r="AA453" s="10"/>
      <c r="AV453" s="11"/>
      <c r="AW453" s="11"/>
      <c r="BB453" s="9"/>
      <c r="BC453" s="11"/>
      <c r="BF453" s="9"/>
      <c r="CF453" s="12"/>
      <c r="CH453" s="9"/>
    </row>
    <row r="454" spans="6:86" x14ac:dyDescent="0.25">
      <c r="F454" s="9"/>
      <c r="G454" s="9"/>
      <c r="AA454" s="10"/>
      <c r="AV454" s="11"/>
      <c r="AW454" s="11"/>
      <c r="BB454" s="9"/>
      <c r="BC454" s="11"/>
      <c r="BF454" s="9"/>
      <c r="CF454" s="12"/>
      <c r="CH454" s="9"/>
    </row>
    <row r="455" spans="6:86" x14ac:dyDescent="0.25">
      <c r="F455" s="9"/>
      <c r="G455" s="9"/>
      <c r="AA455" s="10"/>
      <c r="AV455" s="11"/>
      <c r="AW455" s="11"/>
      <c r="BB455" s="9"/>
      <c r="BC455" s="11"/>
      <c r="BF455" s="9"/>
      <c r="CF455" s="12"/>
      <c r="CH455" s="9"/>
    </row>
    <row r="456" spans="6:86" x14ac:dyDescent="0.25">
      <c r="F456" s="9"/>
      <c r="G456" s="9"/>
      <c r="AA456" s="10"/>
      <c r="AV456" s="11"/>
      <c r="AW456" s="11"/>
      <c r="BB456" s="9"/>
      <c r="BC456" s="11"/>
      <c r="BF456" s="9"/>
      <c r="CF456" s="12"/>
      <c r="CH456" s="9"/>
    </row>
    <row r="457" spans="6:86" x14ac:dyDescent="0.25">
      <c r="F457" s="9"/>
      <c r="G457" s="9"/>
      <c r="AA457" s="10"/>
      <c r="AV457" s="11"/>
      <c r="AW457" s="11"/>
      <c r="BB457" s="9"/>
      <c r="BC457" s="11"/>
      <c r="BF457" s="9"/>
      <c r="CF457" s="12"/>
      <c r="CH457" s="9"/>
    </row>
    <row r="458" spans="6:86" x14ac:dyDescent="0.25">
      <c r="F458" s="9"/>
      <c r="G458" s="9"/>
      <c r="AA458" s="10"/>
      <c r="AV458" s="11"/>
      <c r="AW458" s="11"/>
      <c r="BB458" s="9"/>
      <c r="BC458" s="11"/>
      <c r="BF458" s="9"/>
      <c r="CF458" s="12"/>
      <c r="CH458" s="9"/>
    </row>
    <row r="459" spans="6:86" x14ac:dyDescent="0.25">
      <c r="F459" s="9"/>
      <c r="G459" s="9"/>
      <c r="AA459" s="10"/>
      <c r="AV459" s="11"/>
      <c r="AW459" s="11"/>
      <c r="BB459" s="9"/>
      <c r="BC459" s="11"/>
      <c r="BF459" s="9"/>
      <c r="CF459" s="12"/>
      <c r="CH459" s="9"/>
    </row>
    <row r="460" spans="6:86" x14ac:dyDescent="0.25">
      <c r="F460" s="9"/>
      <c r="G460" s="9"/>
      <c r="AA460" s="10"/>
      <c r="AV460" s="11"/>
      <c r="AW460" s="11"/>
      <c r="BB460" s="9"/>
      <c r="BC460" s="11"/>
      <c r="BF460" s="9"/>
      <c r="CF460" s="12"/>
      <c r="CH460" s="9"/>
    </row>
    <row r="461" spans="6:86" x14ac:dyDescent="0.25">
      <c r="F461" s="9"/>
      <c r="G461" s="9"/>
      <c r="AA461" s="10"/>
      <c r="AV461" s="11"/>
      <c r="AW461" s="11"/>
      <c r="BB461" s="9"/>
      <c r="BC461" s="11"/>
      <c r="BF461" s="9"/>
      <c r="CF461" s="12"/>
      <c r="CH461" s="9"/>
    </row>
    <row r="462" spans="6:86" x14ac:dyDescent="0.25">
      <c r="F462" s="9"/>
      <c r="G462" s="9"/>
      <c r="AA462" s="10"/>
      <c r="AV462" s="11"/>
      <c r="AW462" s="11"/>
      <c r="BB462" s="9"/>
      <c r="BC462" s="11"/>
      <c r="BF462" s="9"/>
      <c r="CF462" s="12"/>
      <c r="CH462" s="9"/>
    </row>
    <row r="463" spans="6:86" x14ac:dyDescent="0.25">
      <c r="F463" s="9"/>
      <c r="G463" s="9"/>
      <c r="AA463" s="10"/>
      <c r="AV463" s="11"/>
      <c r="AW463" s="11"/>
      <c r="BB463" s="9"/>
      <c r="BC463" s="11"/>
      <c r="BF463" s="9"/>
      <c r="CF463" s="12"/>
      <c r="CH463" s="9"/>
    </row>
    <row r="464" spans="6:86" x14ac:dyDescent="0.25">
      <c r="F464" s="9"/>
      <c r="G464" s="9"/>
      <c r="AA464" s="10"/>
      <c r="AV464" s="11"/>
      <c r="AW464" s="11"/>
      <c r="BB464" s="9"/>
      <c r="BC464" s="11"/>
      <c r="BF464" s="9"/>
      <c r="CF464" s="12"/>
      <c r="CH464" s="9"/>
    </row>
    <row r="465" spans="6:92" x14ac:dyDescent="0.25">
      <c r="F465" s="9"/>
      <c r="G465" s="9"/>
      <c r="AA465" s="10"/>
      <c r="AV465" s="11"/>
      <c r="AW465" s="11"/>
      <c r="BB465" s="9"/>
      <c r="BC465" s="11"/>
      <c r="BF465" s="9"/>
      <c r="CF465" s="12"/>
      <c r="CH465" s="9"/>
    </row>
    <row r="466" spans="6:92" x14ac:dyDescent="0.25">
      <c r="F466" s="9"/>
      <c r="G466" s="9"/>
      <c r="AA466" s="10"/>
      <c r="AV466" s="11"/>
      <c r="AW466" s="11"/>
      <c r="BB466" s="9"/>
      <c r="BC466" s="11"/>
      <c r="BF466" s="9"/>
      <c r="CF466" s="12"/>
      <c r="CH466" s="9"/>
    </row>
    <row r="467" spans="6:92" x14ac:dyDescent="0.25">
      <c r="F467" s="9"/>
      <c r="G467" s="9"/>
      <c r="AA467" s="10"/>
      <c r="AV467" s="11"/>
      <c r="AW467" s="11"/>
      <c r="BB467" s="9"/>
      <c r="BC467" s="11"/>
      <c r="BF467" s="9"/>
      <c r="CF467" s="12"/>
      <c r="CH467" s="9"/>
    </row>
    <row r="468" spans="6:92" x14ac:dyDescent="0.25">
      <c r="F468" s="9"/>
      <c r="G468" s="9"/>
      <c r="AA468" s="10"/>
      <c r="AV468" s="11"/>
      <c r="AW468" s="11"/>
      <c r="BB468" s="9"/>
      <c r="BC468" s="11"/>
      <c r="BF468" s="9"/>
      <c r="CF468" s="12"/>
      <c r="CH468" s="9"/>
    </row>
    <row r="469" spans="6:92" x14ac:dyDescent="0.25">
      <c r="F469" s="9"/>
      <c r="G469" s="9"/>
      <c r="AA469" s="10"/>
      <c r="AV469" s="11"/>
      <c r="AW469" s="11"/>
      <c r="BB469" s="9"/>
      <c r="BC469" s="11"/>
      <c r="BF469" s="9"/>
      <c r="CF469" s="12"/>
      <c r="CH469" s="9"/>
    </row>
    <row r="470" spans="6:92" x14ac:dyDescent="0.25">
      <c r="F470" s="9"/>
      <c r="G470" s="9"/>
      <c r="AA470" s="10"/>
      <c r="AV470" s="11"/>
      <c r="AW470" s="11"/>
      <c r="BB470" s="9"/>
      <c r="BC470" s="11"/>
      <c r="BF470" s="9"/>
      <c r="CH470" s="9"/>
    </row>
    <row r="471" spans="6:92" x14ac:dyDescent="0.25">
      <c r="F471" s="9"/>
      <c r="G471" s="9"/>
      <c r="AA471" s="10"/>
      <c r="AV471" s="11"/>
      <c r="AW471" s="11"/>
      <c r="BB471" s="9"/>
      <c r="BC471" s="11"/>
      <c r="BF471" s="9"/>
      <c r="CF471" s="12"/>
      <c r="CH471" s="9"/>
    </row>
    <row r="472" spans="6:92" x14ac:dyDescent="0.25">
      <c r="F472" s="9"/>
      <c r="G472" s="9"/>
      <c r="AA472" s="10"/>
      <c r="AV472" s="11"/>
      <c r="AW472" s="11"/>
      <c r="BB472" s="9"/>
      <c r="BC472" s="11"/>
      <c r="BF472" s="9"/>
      <c r="CF472" s="12"/>
      <c r="CH472" s="9"/>
    </row>
    <row r="473" spans="6:92" x14ac:dyDescent="0.25">
      <c r="F473" s="9"/>
      <c r="G473" s="9"/>
      <c r="AA473" s="10"/>
      <c r="AV473" s="11"/>
      <c r="AW473" s="11"/>
      <c r="BB473" s="9"/>
      <c r="BC473" s="11"/>
      <c r="BF473" s="9"/>
      <c r="CF473" s="12"/>
      <c r="CH473" s="9"/>
    </row>
    <row r="474" spans="6:92" x14ac:dyDescent="0.25">
      <c r="F474" s="9"/>
      <c r="G474" s="9"/>
      <c r="AA474" s="10"/>
      <c r="AV474" s="11"/>
      <c r="AW474" s="11"/>
      <c r="BB474" s="9"/>
      <c r="BC474" s="11"/>
      <c r="BF474" s="9"/>
      <c r="CF474" s="12"/>
      <c r="CH474" s="9"/>
    </row>
    <row r="475" spans="6:92" x14ac:dyDescent="0.25">
      <c r="F475" s="9"/>
      <c r="G475" s="9"/>
      <c r="AA475" s="10"/>
      <c r="AV475" s="11"/>
      <c r="AW475" s="11"/>
      <c r="BB475" s="9"/>
      <c r="BC475" s="11"/>
      <c r="BF475" s="9"/>
      <c r="CF475" s="12"/>
      <c r="CH475" s="9"/>
    </row>
    <row r="476" spans="6:92" x14ac:dyDescent="0.25">
      <c r="F476" s="9"/>
      <c r="G476" s="9"/>
      <c r="AA476" s="10"/>
      <c r="AV476" s="11"/>
      <c r="AW476" s="11"/>
      <c r="BB476" s="9"/>
      <c r="BC476" s="11"/>
      <c r="BF476" s="9"/>
      <c r="CF476" s="12"/>
      <c r="CH476" s="9"/>
    </row>
    <row r="477" spans="6:92" x14ac:dyDescent="0.25">
      <c r="F477" s="9"/>
      <c r="G477" s="9"/>
      <c r="AA477" s="10"/>
      <c r="AV477" s="11"/>
      <c r="AW477" s="11"/>
      <c r="BB477" s="9"/>
      <c r="BC477" s="11"/>
      <c r="BF477" s="9"/>
      <c r="CF477" s="12"/>
      <c r="CH477" s="9"/>
    </row>
    <row r="478" spans="6:92" x14ac:dyDescent="0.25">
      <c r="F478" s="9"/>
      <c r="G478" s="9"/>
      <c r="AA478" s="10"/>
      <c r="AV478" s="11"/>
      <c r="AW478" s="11"/>
      <c r="BB478" s="9"/>
      <c r="BC478" s="11"/>
      <c r="BF478" s="9"/>
      <c r="CF478" s="12"/>
      <c r="CH478" s="9"/>
    </row>
    <row r="479" spans="6:92" x14ac:dyDescent="0.25">
      <c r="F479" s="9"/>
      <c r="G479" s="9"/>
      <c r="U479" s="12"/>
      <c r="Y479" s="12"/>
      <c r="Z479" s="12"/>
      <c r="AA479" s="10"/>
      <c r="AV479" s="11"/>
      <c r="AW479" s="11"/>
      <c r="BB479" s="9"/>
      <c r="BC479" s="11"/>
      <c r="BF479" s="9"/>
      <c r="CF479" s="12"/>
      <c r="CH479" s="9"/>
      <c r="CN479" s="12"/>
    </row>
    <row r="480" spans="6:92" x14ac:dyDescent="0.25">
      <c r="F480" s="9"/>
      <c r="G480" s="9"/>
      <c r="U480" s="12"/>
      <c r="Z480" s="12"/>
      <c r="AA480" s="10"/>
      <c r="AV480" s="11"/>
      <c r="AW480" s="11"/>
      <c r="BB480" s="9"/>
      <c r="BC480" s="11"/>
      <c r="BF480" s="9"/>
      <c r="CF480" s="12"/>
      <c r="CH480" s="9"/>
      <c r="CN480" s="12"/>
    </row>
    <row r="481" spans="6:92" x14ac:dyDescent="0.25">
      <c r="F481" s="9"/>
      <c r="G481" s="9"/>
      <c r="AA481" s="10"/>
      <c r="AV481" s="11"/>
      <c r="AW481" s="11"/>
      <c r="BB481" s="9"/>
      <c r="BC481" s="11"/>
      <c r="BF481" s="9"/>
      <c r="CF481" s="12"/>
      <c r="CH481" s="9"/>
    </row>
    <row r="482" spans="6:92" x14ac:dyDescent="0.25">
      <c r="F482" s="9"/>
      <c r="G482" s="9"/>
      <c r="AA482" s="10"/>
      <c r="AV482" s="11"/>
      <c r="AW482" s="11"/>
      <c r="BB482" s="9"/>
      <c r="BC482" s="11"/>
      <c r="BF482" s="9"/>
      <c r="CH482" s="9"/>
    </row>
    <row r="483" spans="6:92" x14ac:dyDescent="0.25">
      <c r="F483" s="9"/>
      <c r="G483" s="9"/>
      <c r="AA483" s="10"/>
      <c r="AV483" s="11"/>
      <c r="AW483" s="11"/>
      <c r="BB483" s="9"/>
      <c r="BC483" s="11"/>
      <c r="BF483" s="9"/>
      <c r="CH483" s="9"/>
    </row>
    <row r="484" spans="6:92" x14ac:dyDescent="0.25">
      <c r="F484" s="9"/>
      <c r="G484" s="9"/>
      <c r="U484" s="12"/>
      <c r="Y484" s="12"/>
      <c r="Z484" s="12"/>
      <c r="AA484" s="10"/>
      <c r="AV484" s="11"/>
      <c r="AW484" s="11"/>
      <c r="BB484" s="9"/>
      <c r="BC484" s="11"/>
      <c r="BF484" s="9"/>
      <c r="CF484" s="12"/>
      <c r="CH484" s="9"/>
      <c r="CN484" s="12"/>
    </row>
    <row r="485" spans="6:92" x14ac:dyDescent="0.25">
      <c r="F485" s="9"/>
      <c r="G485" s="9"/>
      <c r="U485" s="12"/>
      <c r="Y485" s="12"/>
      <c r="Z485" s="12"/>
      <c r="AA485" s="10"/>
      <c r="AV485" s="11"/>
      <c r="AW485" s="11"/>
      <c r="BB485" s="9"/>
      <c r="BC485" s="11"/>
      <c r="BF485" s="9"/>
      <c r="CF485" s="12"/>
      <c r="CH485" s="9"/>
      <c r="CN485" s="12"/>
    </row>
    <row r="486" spans="6:92" x14ac:dyDescent="0.25">
      <c r="F486" s="9"/>
      <c r="G486" s="9"/>
      <c r="AA486" s="10"/>
      <c r="AV486" s="11"/>
      <c r="AW486" s="11"/>
      <c r="BB486" s="9"/>
      <c r="BC486" s="11"/>
      <c r="BF486" s="9"/>
      <c r="CH486" s="9"/>
    </row>
    <row r="487" spans="6:92" x14ac:dyDescent="0.25">
      <c r="F487" s="9"/>
      <c r="G487" s="9"/>
      <c r="AA487" s="10"/>
      <c r="AV487" s="11"/>
      <c r="AW487" s="11"/>
      <c r="BB487" s="9"/>
      <c r="BC487" s="11"/>
      <c r="BF487" s="9"/>
      <c r="CH487" s="9"/>
    </row>
    <row r="488" spans="6:92" x14ac:dyDescent="0.25">
      <c r="F488" s="9"/>
      <c r="G488" s="9"/>
      <c r="AA488" s="10"/>
      <c r="AV488" s="11"/>
      <c r="AW488" s="11"/>
      <c r="BB488" s="9"/>
      <c r="BC488" s="11"/>
      <c r="BF488" s="9"/>
      <c r="CF488" s="12"/>
      <c r="CH488" s="9"/>
    </row>
    <row r="489" spans="6:92" x14ac:dyDescent="0.25">
      <c r="F489" s="9"/>
      <c r="G489" s="9"/>
      <c r="AA489" s="10"/>
      <c r="AV489" s="11"/>
      <c r="AW489" s="11"/>
      <c r="BB489" s="9"/>
      <c r="BC489" s="11"/>
      <c r="BF489" s="9"/>
      <c r="CF489" s="12"/>
      <c r="CH489" s="9"/>
    </row>
    <row r="490" spans="6:92" x14ac:dyDescent="0.25">
      <c r="F490" s="9"/>
      <c r="G490" s="9"/>
      <c r="AA490" s="10"/>
      <c r="AV490" s="11"/>
      <c r="AW490" s="11"/>
      <c r="BB490" s="9"/>
      <c r="BC490" s="11"/>
      <c r="BF490" s="9"/>
      <c r="CF490" s="12"/>
      <c r="CH490" s="9"/>
    </row>
    <row r="491" spans="6:92" x14ac:dyDescent="0.25">
      <c r="F491" s="9"/>
      <c r="G491" s="9"/>
      <c r="AA491" s="10"/>
      <c r="AV491" s="11"/>
      <c r="AW491" s="11"/>
      <c r="BB491" s="9"/>
      <c r="BC491" s="11"/>
      <c r="BF491" s="9"/>
      <c r="CF491" s="12"/>
      <c r="CH491" s="9"/>
    </row>
    <row r="492" spans="6:92" x14ac:dyDescent="0.25">
      <c r="F492" s="9"/>
      <c r="G492" s="9"/>
      <c r="AA492" s="10"/>
      <c r="AV492" s="11"/>
      <c r="AW492" s="11"/>
      <c r="BB492" s="9"/>
      <c r="BC492" s="11"/>
      <c r="BF492" s="9"/>
      <c r="CF492" s="12"/>
      <c r="CH492" s="9"/>
    </row>
    <row r="493" spans="6:92" x14ac:dyDescent="0.25">
      <c r="F493" s="9"/>
      <c r="G493" s="9"/>
      <c r="AA493" s="10"/>
      <c r="AV493" s="11"/>
      <c r="AW493" s="11"/>
      <c r="BB493" s="9"/>
      <c r="BC493" s="11"/>
      <c r="BF493" s="9"/>
      <c r="CH493" s="9"/>
    </row>
    <row r="494" spans="6:92" x14ac:dyDescent="0.25">
      <c r="F494" s="9"/>
      <c r="G494" s="9"/>
      <c r="AA494" s="10"/>
      <c r="AV494" s="11"/>
      <c r="AW494" s="11"/>
      <c r="BB494" s="9"/>
      <c r="BC494" s="11"/>
      <c r="BF494" s="9"/>
      <c r="CF494" s="12"/>
      <c r="CH494" s="9"/>
    </row>
    <row r="495" spans="6:92" x14ac:dyDescent="0.25">
      <c r="F495" s="9"/>
      <c r="G495" s="9"/>
      <c r="AA495" s="10"/>
      <c r="AV495" s="11"/>
      <c r="AW495" s="11"/>
      <c r="BB495" s="9"/>
      <c r="BC495" s="11"/>
      <c r="BF495" s="9"/>
      <c r="CF495" s="12"/>
      <c r="CH495" s="9"/>
    </row>
    <row r="496" spans="6:92" x14ac:dyDescent="0.25">
      <c r="F496" s="9"/>
      <c r="G496" s="9"/>
      <c r="AA496" s="10"/>
      <c r="AV496" s="11"/>
      <c r="AW496" s="11"/>
      <c r="BB496" s="9"/>
      <c r="BC496" s="11"/>
      <c r="BF496" s="9"/>
      <c r="CF496" s="12"/>
      <c r="CH496" s="9"/>
    </row>
    <row r="497" spans="6:92" x14ac:dyDescent="0.25">
      <c r="F497" s="9"/>
      <c r="G497" s="9"/>
      <c r="AA497" s="10"/>
      <c r="AV497" s="11"/>
      <c r="AW497" s="11"/>
      <c r="BB497" s="9"/>
      <c r="BC497" s="11"/>
      <c r="BF497" s="9"/>
      <c r="CF497" s="12"/>
      <c r="CH497" s="9"/>
    </row>
    <row r="498" spans="6:92" x14ac:dyDescent="0.25">
      <c r="F498" s="9"/>
      <c r="G498" s="9"/>
      <c r="AA498" s="10"/>
      <c r="AV498" s="11"/>
      <c r="AW498" s="11"/>
      <c r="BB498" s="9"/>
      <c r="BC498" s="11"/>
      <c r="BF498" s="9"/>
      <c r="CF498" s="12"/>
      <c r="CH498" s="9"/>
    </row>
    <row r="499" spans="6:92" x14ac:dyDescent="0.25">
      <c r="F499" s="9"/>
      <c r="G499" s="9"/>
      <c r="AA499" s="10"/>
      <c r="AV499" s="11"/>
      <c r="AW499" s="11"/>
      <c r="BB499" s="9"/>
      <c r="BC499" s="11"/>
      <c r="BF499" s="9"/>
      <c r="CF499" s="12"/>
      <c r="CH499" s="9"/>
    </row>
    <row r="500" spans="6:92" x14ac:dyDescent="0.25">
      <c r="F500" s="9"/>
      <c r="G500" s="9"/>
      <c r="AA500" s="10"/>
      <c r="AV500" s="11"/>
      <c r="AW500" s="11"/>
      <c r="BB500" s="9"/>
      <c r="BC500" s="11"/>
      <c r="BF500" s="9"/>
      <c r="CF500" s="12"/>
      <c r="CH500" s="9"/>
    </row>
    <row r="501" spans="6:92" x14ac:dyDescent="0.25">
      <c r="F501" s="9"/>
      <c r="G501" s="9"/>
      <c r="AA501" s="10"/>
      <c r="AV501" s="11"/>
      <c r="AW501" s="11"/>
      <c r="BB501" s="9"/>
      <c r="BC501" s="11"/>
      <c r="BF501" s="9"/>
      <c r="CF501" s="12"/>
      <c r="CH501" s="9"/>
    </row>
    <row r="502" spans="6:92" x14ac:dyDescent="0.25">
      <c r="F502" s="9"/>
      <c r="G502" s="9"/>
      <c r="AA502" s="10"/>
      <c r="AV502" s="11"/>
      <c r="AW502" s="11"/>
      <c r="BB502" s="9"/>
      <c r="BC502" s="11"/>
      <c r="BF502" s="9"/>
      <c r="CF502" s="12"/>
      <c r="CH502" s="9"/>
    </row>
    <row r="503" spans="6:92" x14ac:dyDescent="0.25">
      <c r="F503" s="9"/>
      <c r="G503" s="9"/>
      <c r="AA503" s="10"/>
      <c r="AV503" s="11"/>
      <c r="AW503" s="11"/>
      <c r="BB503" s="9"/>
      <c r="BC503" s="11"/>
      <c r="BF503" s="9"/>
      <c r="CF503" s="12"/>
      <c r="CH503" s="9"/>
    </row>
    <row r="504" spans="6:92" x14ac:dyDescent="0.25">
      <c r="F504" s="9"/>
      <c r="G504" s="9"/>
      <c r="AA504" s="10"/>
      <c r="AV504" s="11"/>
      <c r="AW504" s="11"/>
      <c r="BB504" s="9"/>
      <c r="BC504" s="11"/>
      <c r="BF504" s="9"/>
      <c r="CF504" s="12"/>
      <c r="CH504" s="9"/>
    </row>
    <row r="505" spans="6:92" x14ac:dyDescent="0.25">
      <c r="F505" s="9"/>
      <c r="G505" s="9"/>
      <c r="AA505" s="10"/>
      <c r="AV505" s="11"/>
      <c r="AW505" s="11"/>
      <c r="BB505" s="9"/>
      <c r="BC505" s="11"/>
      <c r="BF505" s="9"/>
      <c r="CF505" s="12"/>
      <c r="CH505" s="9"/>
    </row>
    <row r="506" spans="6:92" x14ac:dyDescent="0.25">
      <c r="F506" s="9"/>
      <c r="G506" s="9"/>
      <c r="AA506" s="10"/>
      <c r="AV506" s="11"/>
      <c r="AW506" s="11"/>
      <c r="BB506" s="9"/>
      <c r="BC506" s="11"/>
      <c r="BF506" s="9"/>
      <c r="CF506" s="12"/>
      <c r="CH506" s="9"/>
    </row>
    <row r="507" spans="6:92" x14ac:dyDescent="0.25">
      <c r="F507" s="9"/>
      <c r="G507" s="9"/>
      <c r="AA507" s="10"/>
      <c r="AV507" s="11"/>
      <c r="AW507" s="11"/>
      <c r="BB507" s="9"/>
      <c r="BC507" s="11"/>
      <c r="BF507" s="9"/>
      <c r="CF507" s="12"/>
      <c r="CH507" s="9"/>
    </row>
    <row r="508" spans="6:92" x14ac:dyDescent="0.25">
      <c r="F508" s="9"/>
      <c r="G508" s="9"/>
      <c r="AA508" s="10"/>
      <c r="AV508" s="11"/>
      <c r="AW508" s="11"/>
      <c r="BB508" s="9"/>
      <c r="BC508" s="11"/>
      <c r="BF508" s="9"/>
      <c r="CF508" s="12"/>
      <c r="CH508" s="9"/>
    </row>
    <row r="509" spans="6:92" x14ac:dyDescent="0.25">
      <c r="F509" s="9"/>
      <c r="G509" s="9"/>
      <c r="AA509" s="10"/>
      <c r="AV509" s="11"/>
      <c r="AW509" s="11"/>
      <c r="BB509" s="9"/>
      <c r="BC509" s="11"/>
      <c r="BF509" s="9"/>
      <c r="CF509" s="12"/>
      <c r="CH509" s="9"/>
    </row>
    <row r="510" spans="6:92" x14ac:dyDescent="0.25">
      <c r="F510" s="9"/>
      <c r="G510" s="9"/>
      <c r="U510" s="12"/>
      <c r="Z510" s="12"/>
      <c r="AA510" s="10"/>
      <c r="AV510" s="11"/>
      <c r="AW510" s="11"/>
      <c r="BB510" s="9"/>
      <c r="BC510" s="11"/>
      <c r="BF510" s="9"/>
      <c r="CF510" s="12"/>
      <c r="CH510" s="9"/>
      <c r="CN510" s="12"/>
    </row>
    <row r="511" spans="6:92" x14ac:dyDescent="0.25">
      <c r="F511" s="9"/>
      <c r="G511" s="9"/>
      <c r="AA511" s="10"/>
      <c r="AV511" s="11"/>
      <c r="AW511" s="11"/>
      <c r="BB511" s="9"/>
      <c r="BC511" s="11"/>
      <c r="BF511" s="9"/>
      <c r="CF511" s="12"/>
      <c r="CH511" s="9"/>
    </row>
    <row r="512" spans="6:92" x14ac:dyDescent="0.25">
      <c r="F512" s="9"/>
      <c r="G512" s="9"/>
      <c r="AA512" s="10"/>
      <c r="AV512" s="11"/>
      <c r="AW512" s="11"/>
      <c r="BB512" s="9"/>
      <c r="BC512" s="11"/>
      <c r="BF512" s="9"/>
      <c r="CF512" s="12"/>
      <c r="CH512" s="9"/>
    </row>
    <row r="513" spans="6:86" x14ac:dyDescent="0.25">
      <c r="F513" s="9"/>
      <c r="G513" s="9"/>
      <c r="AA513" s="10"/>
      <c r="AV513" s="11"/>
      <c r="AW513" s="11"/>
      <c r="BB513" s="9"/>
      <c r="BC513" s="11"/>
      <c r="BF513" s="9"/>
      <c r="CF513" s="12"/>
      <c r="CH513" s="9"/>
    </row>
    <row r="514" spans="6:86" x14ac:dyDescent="0.25">
      <c r="F514" s="9"/>
      <c r="G514" s="9"/>
      <c r="AA514" s="10"/>
      <c r="AV514" s="11"/>
      <c r="AW514" s="11"/>
      <c r="BB514" s="9"/>
      <c r="BC514" s="11"/>
      <c r="BF514" s="9"/>
      <c r="CF514" s="12"/>
      <c r="CH514" s="9"/>
    </row>
    <row r="515" spans="6:86" x14ac:dyDescent="0.25">
      <c r="F515" s="9"/>
      <c r="G515" s="9"/>
      <c r="AA515" s="10"/>
      <c r="AV515" s="11"/>
      <c r="AW515" s="11"/>
      <c r="BB515" s="9"/>
      <c r="BC515" s="11"/>
      <c r="BF515" s="9"/>
      <c r="CF515" s="12"/>
      <c r="CH515" s="9"/>
    </row>
    <row r="516" spans="6:86" x14ac:dyDescent="0.25">
      <c r="F516" s="9"/>
      <c r="G516" s="9"/>
      <c r="AA516" s="10"/>
      <c r="AV516" s="11"/>
      <c r="AW516" s="11"/>
      <c r="BB516" s="9"/>
      <c r="BC516" s="11"/>
      <c r="BF516" s="9"/>
      <c r="CF516" s="12"/>
      <c r="CH516" s="9"/>
    </row>
    <row r="517" spans="6:86" x14ac:dyDescent="0.25">
      <c r="F517" s="9"/>
      <c r="G517" s="9"/>
      <c r="AA517" s="10"/>
      <c r="AV517" s="11"/>
      <c r="AW517" s="11"/>
      <c r="BB517" s="9"/>
      <c r="BC517" s="11"/>
      <c r="BF517" s="9"/>
      <c r="CF517" s="12"/>
      <c r="CH517" s="9"/>
    </row>
    <row r="518" spans="6:86" x14ac:dyDescent="0.25">
      <c r="F518" s="9"/>
      <c r="G518" s="9"/>
      <c r="AA518" s="10"/>
      <c r="AV518" s="11"/>
      <c r="AW518" s="11"/>
      <c r="BB518" s="9"/>
      <c r="BC518" s="11"/>
      <c r="BF518" s="9"/>
      <c r="CF518" s="12"/>
      <c r="CH518" s="9"/>
    </row>
    <row r="519" spans="6:86" x14ac:dyDescent="0.25">
      <c r="F519" s="9"/>
      <c r="G519" s="9"/>
      <c r="AA519" s="10"/>
      <c r="AV519" s="11"/>
      <c r="AW519" s="11"/>
      <c r="BB519" s="9"/>
      <c r="BC519" s="11"/>
      <c r="BF519" s="9"/>
      <c r="CF519" s="12"/>
      <c r="CH519" s="9"/>
    </row>
    <row r="520" spans="6:86" x14ac:dyDescent="0.25">
      <c r="F520" s="9"/>
      <c r="G520" s="9"/>
      <c r="AA520" s="10"/>
      <c r="AV520" s="11"/>
      <c r="AW520" s="11"/>
      <c r="BB520" s="9"/>
      <c r="BC520" s="11"/>
      <c r="BF520" s="9"/>
      <c r="CF520" s="12"/>
      <c r="CH520" s="9"/>
    </row>
    <row r="521" spans="6:86" x14ac:dyDescent="0.25">
      <c r="F521" s="9"/>
      <c r="G521" s="9"/>
      <c r="AA521" s="10"/>
      <c r="AV521" s="11"/>
      <c r="AW521" s="11"/>
      <c r="BB521" s="9"/>
      <c r="BC521" s="11"/>
      <c r="BF521" s="9"/>
      <c r="CF521" s="12"/>
      <c r="CH521" s="9"/>
    </row>
    <row r="522" spans="6:86" x14ac:dyDescent="0.25">
      <c r="F522" s="9"/>
      <c r="G522" s="9"/>
      <c r="AA522" s="10"/>
      <c r="AV522" s="11"/>
      <c r="AW522" s="11"/>
      <c r="BB522" s="9"/>
      <c r="BC522" s="11"/>
      <c r="BF522" s="9"/>
      <c r="CF522" s="12"/>
      <c r="CH522" s="9"/>
    </row>
    <row r="523" spans="6:86" x14ac:dyDescent="0.25">
      <c r="F523" s="9"/>
      <c r="G523" s="9"/>
      <c r="AA523" s="10"/>
      <c r="AV523" s="11"/>
      <c r="AW523" s="11"/>
      <c r="BB523" s="9"/>
      <c r="BC523" s="11"/>
      <c r="BF523" s="9"/>
      <c r="CF523" s="12"/>
      <c r="CH523" s="9"/>
    </row>
    <row r="524" spans="6:86" x14ac:dyDescent="0.25">
      <c r="F524" s="9"/>
      <c r="G524" s="9"/>
      <c r="AA524" s="10"/>
      <c r="AV524" s="11"/>
      <c r="AW524" s="11"/>
      <c r="BB524" s="9"/>
      <c r="BC524" s="11"/>
      <c r="BF524" s="9"/>
      <c r="CF524" s="12"/>
      <c r="CH524" s="9"/>
    </row>
    <row r="525" spans="6:86" x14ac:dyDescent="0.25">
      <c r="F525" s="9"/>
      <c r="G525" s="9"/>
      <c r="AA525" s="10"/>
      <c r="AV525" s="11"/>
      <c r="AW525" s="11"/>
      <c r="BB525" s="9"/>
      <c r="BC525" s="11"/>
      <c r="BF525" s="9"/>
      <c r="CF525" s="12"/>
      <c r="CH525" s="9"/>
    </row>
    <row r="526" spans="6:86" x14ac:dyDescent="0.25">
      <c r="F526" s="9"/>
      <c r="G526" s="9"/>
      <c r="AA526" s="10"/>
      <c r="AV526" s="11"/>
      <c r="AW526" s="11"/>
      <c r="BB526" s="9"/>
      <c r="BC526" s="11"/>
      <c r="BF526" s="9"/>
      <c r="CF526" s="12"/>
      <c r="CH526" s="9"/>
    </row>
    <row r="527" spans="6:86" x14ac:dyDescent="0.25">
      <c r="F527" s="9"/>
      <c r="G527" s="9"/>
      <c r="AA527" s="10"/>
      <c r="AV527" s="11"/>
      <c r="AW527" s="11"/>
      <c r="BB527" s="9"/>
      <c r="BC527" s="11"/>
      <c r="BF527" s="9"/>
      <c r="CF527" s="12"/>
      <c r="CH527" s="9"/>
    </row>
    <row r="528" spans="6:86" x14ac:dyDescent="0.25">
      <c r="F528" s="9"/>
      <c r="G528" s="9"/>
      <c r="AA528" s="10"/>
      <c r="AV528" s="11"/>
      <c r="AW528" s="11"/>
      <c r="BB528" s="9"/>
      <c r="BC528" s="11"/>
      <c r="BF528" s="9"/>
      <c r="CF528" s="12"/>
      <c r="CH528" s="9"/>
    </row>
    <row r="529" spans="6:92" x14ac:dyDescent="0.25">
      <c r="F529" s="9"/>
      <c r="G529" s="9"/>
      <c r="AA529" s="10"/>
      <c r="AV529" s="11"/>
      <c r="AW529" s="11"/>
      <c r="BB529" s="9"/>
      <c r="BC529" s="11"/>
      <c r="BF529" s="9"/>
      <c r="CF529" s="12"/>
      <c r="CH529" s="9"/>
    </row>
    <row r="530" spans="6:92" x14ac:dyDescent="0.25">
      <c r="F530" s="9"/>
      <c r="G530" s="9"/>
      <c r="AA530" s="10"/>
      <c r="AV530" s="11"/>
      <c r="AW530" s="11"/>
      <c r="BB530" s="9"/>
      <c r="BC530" s="11"/>
      <c r="BF530" s="9"/>
      <c r="CF530" s="12"/>
      <c r="CH530" s="9"/>
    </row>
    <row r="531" spans="6:92" x14ac:dyDescent="0.25">
      <c r="F531" s="9"/>
      <c r="G531" s="9"/>
      <c r="AA531" s="10"/>
      <c r="AV531" s="11"/>
      <c r="AW531" s="11"/>
      <c r="BB531" s="9"/>
      <c r="BC531" s="11"/>
      <c r="BF531" s="9"/>
      <c r="CF531" s="12"/>
      <c r="CH531" s="9"/>
    </row>
    <row r="532" spans="6:92" x14ac:dyDescent="0.25">
      <c r="F532" s="9"/>
      <c r="G532" s="9"/>
      <c r="U532" s="12"/>
      <c r="Z532" s="12"/>
      <c r="AA532" s="10"/>
      <c r="AV532" s="11"/>
      <c r="AW532" s="11"/>
      <c r="BB532" s="9"/>
      <c r="BC532" s="11"/>
      <c r="BF532" s="9"/>
      <c r="CH532" s="9"/>
      <c r="CN532" s="12"/>
    </row>
    <row r="533" spans="6:92" x14ac:dyDescent="0.25">
      <c r="F533" s="9"/>
      <c r="G533" s="9"/>
      <c r="AA533" s="10"/>
      <c r="AV533" s="11"/>
      <c r="AW533" s="11"/>
      <c r="BB533" s="9"/>
      <c r="BC533" s="11"/>
      <c r="BF533" s="9"/>
      <c r="CF533" s="12"/>
      <c r="CH533" s="9"/>
    </row>
    <row r="534" spans="6:92" x14ac:dyDescent="0.25">
      <c r="F534" s="9"/>
      <c r="G534" s="9"/>
      <c r="AA534" s="10"/>
      <c r="AV534" s="11"/>
      <c r="AW534" s="11"/>
      <c r="BB534" s="9"/>
      <c r="BC534" s="11"/>
      <c r="BF534" s="9"/>
      <c r="CF534" s="12"/>
      <c r="CH534" s="9"/>
    </row>
    <row r="535" spans="6:92" x14ac:dyDescent="0.25">
      <c r="F535" s="9"/>
      <c r="G535" s="9"/>
      <c r="AA535" s="10"/>
      <c r="AV535" s="11"/>
      <c r="AW535" s="11"/>
      <c r="BB535" s="9"/>
      <c r="BC535" s="11"/>
      <c r="BF535" s="9"/>
      <c r="CF535" s="12"/>
      <c r="CH535" s="9"/>
    </row>
    <row r="536" spans="6:92" x14ac:dyDescent="0.25">
      <c r="F536" s="9"/>
      <c r="G536" s="9"/>
      <c r="AA536" s="10"/>
      <c r="AV536" s="11"/>
      <c r="AW536" s="11"/>
      <c r="BB536" s="9"/>
      <c r="BC536" s="11"/>
      <c r="BF536" s="9"/>
      <c r="CF536" s="12"/>
      <c r="CH536" s="9"/>
    </row>
    <row r="537" spans="6:92" x14ac:dyDescent="0.25">
      <c r="F537" s="9"/>
      <c r="G537" s="9"/>
      <c r="AA537" s="10"/>
      <c r="AV537" s="11"/>
      <c r="AW537" s="11"/>
      <c r="BB537" s="9"/>
      <c r="BC537" s="11"/>
      <c r="BF537" s="9"/>
      <c r="CF537" s="12"/>
      <c r="CH537" s="9"/>
    </row>
    <row r="538" spans="6:92" x14ac:dyDescent="0.25">
      <c r="F538" s="9"/>
      <c r="G538" s="9"/>
      <c r="AA538" s="10"/>
      <c r="AV538" s="11"/>
      <c r="AW538" s="11"/>
      <c r="BB538" s="9"/>
      <c r="BC538" s="11"/>
      <c r="BF538" s="9"/>
      <c r="CF538" s="12"/>
      <c r="CH538" s="9"/>
    </row>
    <row r="539" spans="6:92" x14ac:dyDescent="0.25">
      <c r="F539" s="9"/>
      <c r="G539" s="9"/>
      <c r="AA539" s="10"/>
      <c r="AV539" s="11"/>
      <c r="AW539" s="11"/>
      <c r="BB539" s="9"/>
      <c r="BC539" s="11"/>
      <c r="BF539" s="9"/>
      <c r="CF539" s="12"/>
      <c r="CH539" s="9"/>
    </row>
    <row r="540" spans="6:92" x14ac:dyDescent="0.25">
      <c r="F540" s="9"/>
      <c r="G540" s="9"/>
      <c r="AA540" s="10"/>
      <c r="AV540" s="11"/>
      <c r="AW540" s="11"/>
      <c r="BB540" s="9"/>
      <c r="BC540" s="11"/>
      <c r="BF540" s="9"/>
      <c r="CF540" s="12"/>
      <c r="CH540" s="9"/>
    </row>
    <row r="541" spans="6:92" x14ac:dyDescent="0.25">
      <c r="F541" s="9"/>
      <c r="G541" s="9"/>
      <c r="AA541" s="10"/>
      <c r="AV541" s="11"/>
      <c r="AW541" s="11"/>
      <c r="BB541" s="9"/>
      <c r="BC541" s="11"/>
      <c r="BF541" s="9"/>
      <c r="CF541" s="12"/>
      <c r="CH541" s="9"/>
    </row>
    <row r="542" spans="6:92" x14ac:dyDescent="0.25">
      <c r="F542" s="9"/>
      <c r="G542" s="9"/>
      <c r="AA542" s="10"/>
      <c r="AV542" s="11"/>
      <c r="AW542" s="11"/>
      <c r="BB542" s="9"/>
      <c r="BC542" s="11"/>
      <c r="BF542" s="9"/>
      <c r="CF542" s="12"/>
      <c r="CH542" s="9"/>
    </row>
    <row r="543" spans="6:92" x14ac:dyDescent="0.25">
      <c r="F543" s="9"/>
      <c r="G543" s="9"/>
      <c r="AA543" s="10"/>
      <c r="AV543" s="11"/>
      <c r="AW543" s="11"/>
      <c r="BB543" s="9"/>
      <c r="BC543" s="11"/>
      <c r="BF543" s="9"/>
      <c r="CF543" s="12"/>
      <c r="CH543" s="9"/>
    </row>
    <row r="544" spans="6:92" x14ac:dyDescent="0.25">
      <c r="F544" s="9"/>
      <c r="G544" s="9"/>
      <c r="AA544" s="10"/>
      <c r="AV544" s="11"/>
      <c r="AW544" s="11"/>
      <c r="BB544" s="9"/>
      <c r="BC544" s="11"/>
      <c r="BF544" s="9"/>
      <c r="CF544" s="12"/>
      <c r="CH544" s="9"/>
    </row>
    <row r="545" spans="6:86" x14ac:dyDescent="0.25">
      <c r="F545" s="9"/>
      <c r="G545" s="9"/>
      <c r="AA545" s="10"/>
      <c r="AV545" s="11"/>
      <c r="AW545" s="11"/>
      <c r="BB545" s="9"/>
      <c r="BC545" s="11"/>
      <c r="BF545" s="9"/>
      <c r="CF545" s="12"/>
      <c r="CH545" s="9"/>
    </row>
    <row r="546" spans="6:86" x14ac:dyDescent="0.25">
      <c r="F546" s="9"/>
      <c r="G546" s="9"/>
      <c r="AA546" s="10"/>
      <c r="AV546" s="11"/>
      <c r="AW546" s="11"/>
      <c r="BB546" s="9"/>
      <c r="BC546" s="11"/>
      <c r="BF546" s="9"/>
      <c r="CH546" s="9"/>
    </row>
    <row r="547" spans="6:86" x14ac:dyDescent="0.25">
      <c r="F547" s="9"/>
      <c r="G547" s="9"/>
      <c r="AA547" s="10"/>
      <c r="AV547" s="11"/>
      <c r="AW547" s="11"/>
      <c r="BB547" s="9"/>
      <c r="BC547" s="11"/>
      <c r="BF547" s="9"/>
      <c r="CF547" s="12"/>
      <c r="CH547" s="9"/>
    </row>
    <row r="548" spans="6:86" x14ac:dyDescent="0.25">
      <c r="F548" s="9"/>
      <c r="G548" s="9"/>
      <c r="AA548" s="10"/>
      <c r="AV548" s="11"/>
      <c r="AW548" s="11"/>
      <c r="BB548" s="9"/>
      <c r="BC548" s="11"/>
      <c r="BF548" s="9"/>
      <c r="CF548" s="12"/>
      <c r="CH548" s="9"/>
    </row>
    <row r="549" spans="6:86" x14ac:dyDescent="0.25">
      <c r="F549" s="9"/>
      <c r="G549" s="9"/>
      <c r="AA549" s="10"/>
      <c r="AV549" s="11"/>
      <c r="AW549" s="11"/>
      <c r="BB549" s="9"/>
      <c r="BC549" s="11"/>
      <c r="BF549" s="9"/>
      <c r="CF549" s="12"/>
      <c r="CH549" s="9"/>
    </row>
    <row r="550" spans="6:86" x14ac:dyDescent="0.25">
      <c r="F550" s="9"/>
      <c r="G550" s="9"/>
      <c r="AA550" s="10"/>
      <c r="AV550" s="11"/>
      <c r="AW550" s="11"/>
      <c r="BB550" s="9"/>
      <c r="BC550" s="11"/>
      <c r="BF550" s="9"/>
      <c r="CF550" s="12"/>
      <c r="CH550" s="9"/>
    </row>
    <row r="551" spans="6:86" x14ac:dyDescent="0.25">
      <c r="F551" s="9"/>
      <c r="G551" s="9"/>
      <c r="AA551" s="10"/>
      <c r="AV551" s="11"/>
      <c r="AW551" s="11"/>
      <c r="BB551" s="9"/>
      <c r="BC551" s="11"/>
      <c r="BF551" s="9"/>
      <c r="CH551" s="9"/>
    </row>
    <row r="552" spans="6:86" x14ac:dyDescent="0.25">
      <c r="F552" s="9"/>
      <c r="G552" s="9"/>
      <c r="AA552" s="10"/>
      <c r="AV552" s="11"/>
      <c r="AW552" s="11"/>
      <c r="BB552" s="9"/>
      <c r="BC552" s="11"/>
      <c r="BF552" s="9"/>
      <c r="CF552" s="12"/>
      <c r="CH552" s="9"/>
    </row>
    <row r="553" spans="6:86" x14ac:dyDescent="0.25">
      <c r="F553" s="9"/>
      <c r="G553" s="9"/>
      <c r="AA553" s="10"/>
      <c r="AV553" s="11"/>
      <c r="AW553" s="11"/>
      <c r="BB553" s="9"/>
      <c r="BC553" s="11"/>
      <c r="BF553" s="9"/>
      <c r="CF553" s="12"/>
      <c r="CH553" s="9"/>
    </row>
    <row r="554" spans="6:86" x14ac:dyDescent="0.25">
      <c r="F554" s="9"/>
      <c r="G554" s="9"/>
      <c r="AA554" s="10"/>
      <c r="AV554" s="11"/>
      <c r="AW554" s="11"/>
      <c r="BB554" s="9"/>
      <c r="BC554" s="11"/>
      <c r="BF554" s="9"/>
      <c r="CF554" s="12"/>
      <c r="CH554" s="9"/>
    </row>
    <row r="555" spans="6:86" x14ac:dyDescent="0.25">
      <c r="F555" s="9"/>
      <c r="G555" s="9"/>
      <c r="AA555" s="10"/>
      <c r="AV555" s="11"/>
      <c r="AW555" s="11"/>
      <c r="BB555" s="9"/>
      <c r="BC555" s="11"/>
      <c r="BF555" s="9"/>
      <c r="CF555" s="12"/>
      <c r="CH555" s="9"/>
    </row>
    <row r="556" spans="6:86" x14ac:dyDescent="0.25">
      <c r="F556" s="9"/>
      <c r="G556" s="9"/>
      <c r="AA556" s="10"/>
      <c r="AV556" s="11"/>
      <c r="AW556" s="11"/>
      <c r="BB556" s="9"/>
      <c r="BC556" s="11"/>
      <c r="BF556" s="9"/>
      <c r="CF556" s="12"/>
      <c r="CH556" s="9"/>
    </row>
    <row r="557" spans="6:86" x14ac:dyDescent="0.25">
      <c r="F557" s="9"/>
      <c r="G557" s="9"/>
      <c r="AA557" s="10"/>
      <c r="AV557" s="11"/>
      <c r="AW557" s="11"/>
      <c r="BB557" s="9"/>
      <c r="BC557" s="11"/>
      <c r="BF557" s="9"/>
      <c r="CF557" s="12"/>
      <c r="CH557" s="9"/>
    </row>
    <row r="558" spans="6:86" x14ac:dyDescent="0.25">
      <c r="F558" s="9"/>
      <c r="G558" s="9"/>
      <c r="AA558" s="10"/>
      <c r="AV558" s="11"/>
      <c r="AW558" s="11"/>
      <c r="BB558" s="9"/>
      <c r="BC558" s="11"/>
      <c r="BF558" s="9"/>
      <c r="CF558" s="12"/>
      <c r="CH558" s="9"/>
    </row>
    <row r="559" spans="6:86" x14ac:dyDescent="0.25">
      <c r="F559" s="9"/>
      <c r="G559" s="9"/>
      <c r="AA559" s="10"/>
      <c r="AV559" s="11"/>
      <c r="AW559" s="11"/>
      <c r="BB559" s="9"/>
      <c r="BC559" s="11"/>
      <c r="BF559" s="9"/>
      <c r="CF559" s="12"/>
      <c r="CH559" s="9"/>
    </row>
    <row r="560" spans="6:86" x14ac:dyDescent="0.25">
      <c r="F560" s="9"/>
      <c r="G560" s="9"/>
      <c r="AA560" s="10"/>
      <c r="AV560" s="11"/>
      <c r="AW560" s="11"/>
      <c r="BB560" s="9"/>
      <c r="BC560" s="11"/>
      <c r="BF560" s="9"/>
      <c r="CF560" s="12"/>
      <c r="CH560" s="9"/>
    </row>
    <row r="561" spans="6:86" x14ac:dyDescent="0.25">
      <c r="F561" s="9"/>
      <c r="G561" s="9"/>
      <c r="AA561" s="10"/>
      <c r="AV561" s="11"/>
      <c r="AW561" s="11"/>
      <c r="BB561" s="9"/>
      <c r="BC561" s="11"/>
      <c r="BF561" s="9"/>
      <c r="CF561" s="12"/>
      <c r="CH561" s="9"/>
    </row>
    <row r="562" spans="6:86" x14ac:dyDescent="0.25">
      <c r="F562" s="9"/>
      <c r="G562" s="9"/>
      <c r="AA562" s="10"/>
      <c r="AV562" s="11"/>
      <c r="AW562" s="11"/>
      <c r="BB562" s="9"/>
      <c r="BC562" s="11"/>
      <c r="BF562" s="9"/>
      <c r="CF562" s="12"/>
      <c r="CH562" s="9"/>
    </row>
    <row r="563" spans="6:86" x14ac:dyDescent="0.25">
      <c r="F563" s="9"/>
      <c r="G563" s="9"/>
      <c r="AA563" s="10"/>
      <c r="AV563" s="11"/>
      <c r="AW563" s="11"/>
      <c r="BB563" s="9"/>
      <c r="BC563" s="11"/>
      <c r="BF563" s="9"/>
      <c r="CF563" s="12"/>
      <c r="CH563" s="9"/>
    </row>
    <row r="564" spans="6:86" x14ac:dyDescent="0.25">
      <c r="F564" s="9"/>
      <c r="G564" s="9"/>
      <c r="AA564" s="10"/>
      <c r="AV564" s="11"/>
      <c r="AW564" s="11"/>
      <c r="BB564" s="9"/>
      <c r="BC564" s="11"/>
      <c r="BF564" s="9"/>
      <c r="CF564" s="12"/>
      <c r="CH564" s="9"/>
    </row>
    <row r="565" spans="6:86" x14ac:dyDescent="0.25">
      <c r="F565" s="9"/>
      <c r="G565" s="9"/>
      <c r="AA565" s="10"/>
      <c r="AV565" s="11"/>
      <c r="AW565" s="11"/>
      <c r="BB565" s="9"/>
      <c r="BC565" s="11"/>
      <c r="BF565" s="9"/>
      <c r="CF565" s="12"/>
      <c r="CH565" s="9"/>
    </row>
    <row r="566" spans="6:86" x14ac:dyDescent="0.25">
      <c r="F566" s="9"/>
      <c r="G566" s="9"/>
      <c r="AA566" s="10"/>
      <c r="AV566" s="11"/>
      <c r="AW566" s="11"/>
      <c r="BB566" s="9"/>
      <c r="BC566" s="11"/>
      <c r="BF566" s="9"/>
      <c r="CF566" s="12"/>
      <c r="CH566" s="9"/>
    </row>
    <row r="567" spans="6:86" x14ac:dyDescent="0.25">
      <c r="F567" s="9"/>
      <c r="G567" s="9"/>
      <c r="AA567" s="10"/>
      <c r="AV567" s="11"/>
      <c r="AW567" s="11"/>
      <c r="BB567" s="9"/>
      <c r="BC567" s="11"/>
      <c r="BF567" s="9"/>
      <c r="CF567" s="12"/>
      <c r="CH567" s="9"/>
    </row>
    <row r="568" spans="6:86" x14ac:dyDescent="0.25">
      <c r="F568" s="9"/>
      <c r="G568" s="9"/>
      <c r="AA568" s="10"/>
      <c r="AV568" s="11"/>
      <c r="AW568" s="11"/>
      <c r="BB568" s="9"/>
      <c r="BC568" s="11"/>
      <c r="BF568" s="9"/>
      <c r="CF568" s="12"/>
      <c r="CH568" s="9"/>
    </row>
    <row r="569" spans="6:86" x14ac:dyDescent="0.25">
      <c r="F569" s="9"/>
      <c r="G569" s="9"/>
      <c r="AA569" s="10"/>
      <c r="AV569" s="11"/>
      <c r="AW569" s="11"/>
      <c r="BB569" s="9"/>
      <c r="BC569" s="11"/>
      <c r="BF569" s="9"/>
      <c r="CF569" s="12"/>
      <c r="CH569" s="9"/>
    </row>
    <row r="570" spans="6:86" x14ac:dyDescent="0.25">
      <c r="F570" s="9"/>
      <c r="G570" s="9"/>
      <c r="AA570" s="10"/>
      <c r="AV570" s="11"/>
      <c r="AW570" s="11"/>
      <c r="BB570" s="9"/>
      <c r="BC570" s="11"/>
      <c r="BF570" s="9"/>
      <c r="CF570" s="12"/>
      <c r="CH570" s="9"/>
    </row>
    <row r="571" spans="6:86" x14ac:dyDescent="0.25">
      <c r="F571" s="9"/>
      <c r="G571" s="9"/>
      <c r="AA571" s="10"/>
      <c r="AV571" s="11"/>
      <c r="AW571" s="11"/>
      <c r="BB571" s="9"/>
      <c r="BC571" s="11"/>
      <c r="BF571" s="9"/>
      <c r="CF571" s="12"/>
      <c r="CH571" s="9"/>
    </row>
    <row r="572" spans="6:86" x14ac:dyDescent="0.25">
      <c r="F572" s="9"/>
      <c r="G572" s="9"/>
      <c r="AA572" s="10"/>
      <c r="AV572" s="11"/>
      <c r="AW572" s="11"/>
      <c r="BB572" s="9"/>
      <c r="BC572" s="11"/>
      <c r="BF572" s="9"/>
      <c r="CF572" s="12"/>
      <c r="CH572" s="9"/>
    </row>
    <row r="573" spans="6:86" x14ac:dyDescent="0.25">
      <c r="F573" s="9"/>
      <c r="G573" s="9"/>
      <c r="AA573" s="10"/>
      <c r="AV573" s="11"/>
      <c r="AW573" s="11"/>
      <c r="BB573" s="9"/>
      <c r="BC573" s="11"/>
      <c r="BF573" s="9"/>
      <c r="CF573" s="12"/>
      <c r="CH573" s="9"/>
    </row>
    <row r="574" spans="6:86" x14ac:dyDescent="0.25">
      <c r="F574" s="9"/>
      <c r="G574" s="9"/>
      <c r="AA574" s="10"/>
      <c r="AV574" s="11"/>
      <c r="AW574" s="11"/>
      <c r="BB574" s="9"/>
      <c r="BC574" s="11"/>
      <c r="BF574" s="9"/>
      <c r="CF574" s="12"/>
      <c r="CH574" s="9"/>
    </row>
    <row r="575" spans="6:86" x14ac:dyDescent="0.25">
      <c r="F575" s="9"/>
      <c r="G575" s="9"/>
      <c r="AA575" s="10"/>
      <c r="AV575" s="11"/>
      <c r="AW575" s="11"/>
      <c r="BB575" s="9"/>
      <c r="BC575" s="11"/>
      <c r="BF575" s="9"/>
      <c r="CF575" s="12"/>
      <c r="CH575" s="9"/>
    </row>
    <row r="576" spans="6:86" x14ac:dyDescent="0.25">
      <c r="F576" s="9"/>
      <c r="G576" s="9"/>
      <c r="AA576" s="10"/>
      <c r="AV576" s="11"/>
      <c r="AW576" s="11"/>
      <c r="BB576" s="9"/>
      <c r="BC576" s="11"/>
      <c r="BF576" s="9"/>
      <c r="CF576" s="12"/>
      <c r="CH576" s="9"/>
    </row>
    <row r="577" spans="6:92" x14ac:dyDescent="0.25">
      <c r="F577" s="9"/>
      <c r="G577" s="9"/>
      <c r="AA577" s="10"/>
      <c r="AV577" s="11"/>
      <c r="AW577" s="11"/>
      <c r="BB577" s="9"/>
      <c r="BC577" s="11"/>
      <c r="BF577" s="9"/>
      <c r="CF577" s="12"/>
      <c r="CH577" s="9"/>
    </row>
    <row r="578" spans="6:92" x14ac:dyDescent="0.25">
      <c r="F578" s="9"/>
      <c r="G578" s="9"/>
      <c r="AA578" s="10"/>
      <c r="AV578" s="11"/>
      <c r="AW578" s="11"/>
      <c r="BB578" s="9"/>
      <c r="BC578" s="11"/>
      <c r="BF578" s="9"/>
      <c r="CF578" s="12"/>
      <c r="CH578" s="9"/>
    </row>
    <row r="579" spans="6:92" x14ac:dyDescent="0.25">
      <c r="F579" s="9"/>
      <c r="G579" s="9"/>
      <c r="AA579" s="10"/>
      <c r="AV579" s="11"/>
      <c r="AW579" s="11"/>
      <c r="BB579" s="9"/>
      <c r="BC579" s="11"/>
      <c r="BF579" s="9"/>
      <c r="CF579" s="12"/>
      <c r="CH579" s="9"/>
    </row>
    <row r="580" spans="6:92" x14ac:dyDescent="0.25">
      <c r="F580" s="9"/>
      <c r="G580" s="9"/>
      <c r="AA580" s="10"/>
      <c r="AV580" s="11"/>
      <c r="AW580" s="11"/>
      <c r="BB580" s="9"/>
      <c r="BC580" s="11"/>
      <c r="BF580" s="9"/>
      <c r="CF580" s="12"/>
      <c r="CH580" s="9"/>
    </row>
    <row r="581" spans="6:92" x14ac:dyDescent="0.25">
      <c r="F581" s="9"/>
      <c r="G581" s="9"/>
      <c r="AA581" s="10"/>
      <c r="AV581" s="11"/>
      <c r="AW581" s="11"/>
      <c r="BB581" s="9"/>
      <c r="BC581" s="11"/>
      <c r="BF581" s="9"/>
      <c r="CF581" s="12"/>
      <c r="CH581" s="9"/>
    </row>
    <row r="582" spans="6:92" x14ac:dyDescent="0.25">
      <c r="F582" s="9"/>
      <c r="G582" s="9"/>
      <c r="AA582" s="10"/>
      <c r="AV582" s="11"/>
      <c r="AW582" s="11"/>
      <c r="BB582" s="9"/>
      <c r="BC582" s="11"/>
      <c r="BF582" s="9"/>
      <c r="CF582" s="12"/>
      <c r="CH582" s="9"/>
    </row>
    <row r="583" spans="6:92" x14ac:dyDescent="0.25">
      <c r="F583" s="9"/>
      <c r="G583" s="9"/>
      <c r="AA583" s="10"/>
      <c r="AV583" s="11"/>
      <c r="AW583" s="11"/>
      <c r="BB583" s="9"/>
      <c r="BC583" s="11"/>
      <c r="BF583" s="9"/>
      <c r="CF583" s="12"/>
      <c r="CH583" s="9"/>
    </row>
    <row r="584" spans="6:92" x14ac:dyDescent="0.25">
      <c r="F584" s="9"/>
      <c r="G584" s="9"/>
      <c r="AA584" s="10"/>
      <c r="AV584" s="11"/>
      <c r="AW584" s="11"/>
      <c r="BB584" s="9"/>
      <c r="BC584" s="11"/>
      <c r="BF584" s="9"/>
      <c r="CF584" s="12"/>
      <c r="CH584" s="9"/>
    </row>
    <row r="585" spans="6:92" x14ac:dyDescent="0.25">
      <c r="F585" s="9"/>
      <c r="G585" s="9"/>
      <c r="AA585" s="10"/>
      <c r="AV585" s="11"/>
      <c r="AW585" s="11"/>
      <c r="BB585" s="9"/>
      <c r="BC585" s="11"/>
      <c r="BF585" s="9"/>
      <c r="CF585" s="12"/>
      <c r="CH585" s="9"/>
    </row>
    <row r="586" spans="6:92" x14ac:dyDescent="0.25">
      <c r="F586" s="9"/>
      <c r="G586" s="9"/>
      <c r="U586" s="12"/>
      <c r="Z586" s="12"/>
      <c r="AA586" s="10"/>
      <c r="AV586" s="11"/>
      <c r="AW586" s="11"/>
      <c r="BB586" s="9"/>
      <c r="BC586" s="11"/>
      <c r="BF586" s="9"/>
      <c r="CF586" s="12"/>
      <c r="CH586" s="9"/>
      <c r="CN586" s="12"/>
    </row>
    <row r="587" spans="6:92" x14ac:dyDescent="0.25">
      <c r="F587" s="9"/>
      <c r="G587" s="9"/>
      <c r="AA587" s="10"/>
      <c r="AV587" s="11"/>
      <c r="AW587" s="11"/>
      <c r="BB587" s="9"/>
      <c r="BC587" s="11"/>
      <c r="BF587" s="9"/>
      <c r="CF587" s="12"/>
      <c r="CH587" s="9"/>
    </row>
    <row r="588" spans="6:92" x14ac:dyDescent="0.25">
      <c r="F588" s="9"/>
      <c r="G588" s="9"/>
      <c r="AA588" s="10"/>
      <c r="AV588" s="11"/>
      <c r="AW588" s="11"/>
      <c r="BB588" s="9"/>
      <c r="BC588" s="11"/>
      <c r="BF588" s="9"/>
      <c r="CF588" s="12"/>
      <c r="CH588" s="9"/>
    </row>
    <row r="589" spans="6:92" x14ac:dyDescent="0.25">
      <c r="F589" s="9"/>
      <c r="G589" s="9"/>
      <c r="AA589" s="10"/>
      <c r="AV589" s="11"/>
      <c r="AW589" s="11"/>
      <c r="BB589" s="9"/>
      <c r="BC589" s="11"/>
      <c r="BF589" s="9"/>
      <c r="CF589" s="12"/>
      <c r="CH589" s="9"/>
    </row>
    <row r="590" spans="6:92" x14ac:dyDescent="0.25">
      <c r="F590" s="9"/>
      <c r="G590" s="9"/>
      <c r="AA590" s="10"/>
      <c r="AV590" s="11"/>
      <c r="AW590" s="11"/>
      <c r="BB590" s="9"/>
      <c r="BC590" s="11"/>
      <c r="BF590" s="9"/>
      <c r="CF590" s="12"/>
      <c r="CH590" s="9"/>
    </row>
    <row r="591" spans="6:92" x14ac:dyDescent="0.25">
      <c r="F591" s="9"/>
      <c r="G591" s="9"/>
      <c r="AA591" s="10"/>
      <c r="AV591" s="11"/>
      <c r="AW591" s="11"/>
      <c r="BB591" s="9"/>
      <c r="BC591" s="11"/>
      <c r="BF591" s="9"/>
      <c r="CF591" s="12"/>
      <c r="CH591" s="9"/>
    </row>
    <row r="592" spans="6:92" x14ac:dyDescent="0.25">
      <c r="F592" s="9"/>
      <c r="G592" s="9"/>
      <c r="AA592" s="10"/>
      <c r="AV592" s="11"/>
      <c r="AW592" s="11"/>
      <c r="BB592" s="9"/>
      <c r="BC592" s="11"/>
      <c r="BF592" s="9"/>
      <c r="CF592" s="12"/>
      <c r="CH592" s="9"/>
    </row>
    <row r="593" spans="6:86" x14ac:dyDescent="0.25">
      <c r="F593" s="9"/>
      <c r="G593" s="9"/>
      <c r="AA593" s="10"/>
      <c r="AV593" s="11"/>
      <c r="AW593" s="11"/>
      <c r="BB593" s="9"/>
      <c r="BC593" s="11"/>
      <c r="BF593" s="9"/>
      <c r="CF593" s="12"/>
      <c r="CH593" s="9"/>
    </row>
    <row r="594" spans="6:86" x14ac:dyDescent="0.25">
      <c r="F594" s="9"/>
      <c r="G594" s="9"/>
      <c r="AA594" s="10"/>
      <c r="AV594" s="11"/>
      <c r="AW594" s="11"/>
      <c r="BB594" s="9"/>
      <c r="BC594" s="11"/>
      <c r="BF594" s="9"/>
      <c r="CF594" s="12"/>
      <c r="CH594" s="9"/>
    </row>
    <row r="595" spans="6:86" x14ac:dyDescent="0.25">
      <c r="F595" s="9"/>
      <c r="G595" s="9"/>
      <c r="AA595" s="10"/>
      <c r="AV595" s="11"/>
      <c r="AW595" s="11"/>
      <c r="BB595" s="9"/>
      <c r="BC595" s="11"/>
      <c r="BF595" s="9"/>
      <c r="CF595" s="12"/>
      <c r="CH595" s="9"/>
    </row>
    <row r="596" spans="6:86" x14ac:dyDescent="0.25">
      <c r="F596" s="9"/>
      <c r="G596" s="9"/>
      <c r="AA596" s="10"/>
      <c r="AV596" s="11"/>
      <c r="AW596" s="11"/>
      <c r="BB596" s="9"/>
      <c r="BC596" s="11"/>
      <c r="BF596" s="9"/>
      <c r="CF596" s="12"/>
      <c r="CH596" s="9"/>
    </row>
    <row r="597" spans="6:86" x14ac:dyDescent="0.25">
      <c r="F597" s="9"/>
      <c r="G597" s="9"/>
      <c r="AA597" s="10"/>
      <c r="AV597" s="11"/>
      <c r="AW597" s="11"/>
      <c r="BB597" s="9"/>
      <c r="BC597" s="11"/>
      <c r="BF597" s="9"/>
      <c r="CF597" s="12"/>
      <c r="CH597" s="9"/>
    </row>
    <row r="598" spans="6:86" x14ac:dyDescent="0.25">
      <c r="F598" s="9"/>
      <c r="G598" s="9"/>
      <c r="AA598" s="10"/>
      <c r="AV598" s="11"/>
      <c r="AW598" s="11"/>
      <c r="BB598" s="9"/>
      <c r="BC598" s="11"/>
      <c r="BF598" s="9"/>
      <c r="CF598" s="12"/>
      <c r="CH598" s="9"/>
    </row>
    <row r="599" spans="6:86" x14ac:dyDescent="0.25">
      <c r="F599" s="9"/>
      <c r="G599" s="9"/>
      <c r="AA599" s="10"/>
      <c r="AV599" s="11"/>
      <c r="AW599" s="11"/>
      <c r="BB599" s="9"/>
      <c r="BC599" s="11"/>
      <c r="BF599" s="9"/>
      <c r="CF599" s="12"/>
      <c r="CH599" s="9"/>
    </row>
    <row r="600" spans="6:86" x14ac:dyDescent="0.25">
      <c r="F600" s="9"/>
      <c r="G600" s="9"/>
      <c r="AA600" s="10"/>
      <c r="AV600" s="11"/>
      <c r="AW600" s="11"/>
      <c r="BB600" s="9"/>
      <c r="BC600" s="11"/>
      <c r="BF600" s="9"/>
      <c r="CF600" s="12"/>
      <c r="CH600" s="9"/>
    </row>
    <row r="601" spans="6:86" x14ac:dyDescent="0.25">
      <c r="F601" s="9"/>
      <c r="G601" s="9"/>
      <c r="AA601" s="10"/>
      <c r="AV601" s="11"/>
      <c r="AW601" s="11"/>
      <c r="BB601" s="9"/>
      <c r="BC601" s="11"/>
      <c r="BF601" s="9"/>
      <c r="CF601" s="12"/>
      <c r="CH601" s="9"/>
    </row>
    <row r="602" spans="6:86" x14ac:dyDescent="0.25">
      <c r="F602" s="9"/>
      <c r="G602" s="9"/>
      <c r="AA602" s="10"/>
      <c r="AV602" s="11"/>
      <c r="AW602" s="11"/>
      <c r="BB602" s="9"/>
      <c r="BC602" s="11"/>
      <c r="BF602" s="9"/>
      <c r="CF602" s="12"/>
      <c r="CH602" s="9"/>
    </row>
    <row r="603" spans="6:86" x14ac:dyDescent="0.25">
      <c r="F603" s="9"/>
      <c r="G603" s="9"/>
      <c r="AA603" s="10"/>
      <c r="AV603" s="11"/>
      <c r="AW603" s="11"/>
      <c r="BB603" s="9"/>
      <c r="BC603" s="11"/>
      <c r="BF603" s="9"/>
      <c r="CF603" s="12"/>
      <c r="CH603" s="9"/>
    </row>
    <row r="604" spans="6:86" x14ac:dyDescent="0.25">
      <c r="F604" s="9"/>
      <c r="G604" s="9"/>
      <c r="AA604" s="10"/>
      <c r="AV604" s="11"/>
      <c r="AW604" s="11"/>
      <c r="BB604" s="9"/>
      <c r="BC604" s="11"/>
      <c r="BF604" s="9"/>
      <c r="CF604" s="12"/>
      <c r="CH604" s="9"/>
    </row>
    <row r="605" spans="6:86" x14ac:dyDescent="0.25">
      <c r="F605" s="9"/>
      <c r="G605" s="9"/>
      <c r="AA605" s="10"/>
      <c r="AV605" s="11"/>
      <c r="AW605" s="11"/>
      <c r="BB605" s="9"/>
      <c r="BC605" s="11"/>
      <c r="BF605" s="9"/>
      <c r="CF605" s="12"/>
      <c r="CH605" s="9"/>
    </row>
    <row r="606" spans="6:86" x14ac:dyDescent="0.25">
      <c r="F606" s="9"/>
      <c r="G606" s="9"/>
      <c r="AA606" s="10"/>
      <c r="AV606" s="11"/>
      <c r="AW606" s="11"/>
      <c r="BB606" s="9"/>
      <c r="BC606" s="11"/>
      <c r="BF606" s="9"/>
      <c r="CF606" s="12"/>
      <c r="CH606" s="9"/>
    </row>
    <row r="607" spans="6:86" x14ac:dyDescent="0.25">
      <c r="F607" s="9"/>
      <c r="G607" s="9"/>
      <c r="AA607" s="10"/>
      <c r="AV607" s="11"/>
      <c r="AW607" s="11"/>
      <c r="BB607" s="9"/>
      <c r="BC607" s="11"/>
      <c r="BF607" s="9"/>
      <c r="CF607" s="12"/>
      <c r="CH607" s="9"/>
    </row>
    <row r="608" spans="6:86" x14ac:dyDescent="0.25">
      <c r="F608" s="9"/>
      <c r="G608" s="9"/>
      <c r="AA608" s="10"/>
      <c r="AV608" s="11"/>
      <c r="AW608" s="11"/>
      <c r="BB608" s="9"/>
      <c r="BC608" s="11"/>
      <c r="BF608" s="9"/>
      <c r="CF608" s="12"/>
      <c r="CH608" s="9"/>
    </row>
    <row r="609" spans="6:86" x14ac:dyDescent="0.25">
      <c r="F609" s="9"/>
      <c r="G609" s="9"/>
      <c r="AA609" s="10"/>
      <c r="AV609" s="11"/>
      <c r="AW609" s="11"/>
      <c r="BB609" s="9"/>
      <c r="BC609" s="11"/>
      <c r="BF609" s="9"/>
      <c r="CF609" s="12"/>
      <c r="CH609" s="9"/>
    </row>
    <row r="610" spans="6:86" x14ac:dyDescent="0.25">
      <c r="F610" s="9"/>
      <c r="G610" s="9"/>
      <c r="AA610" s="10"/>
      <c r="AV610" s="11"/>
      <c r="AW610" s="11"/>
      <c r="BB610" s="9"/>
      <c r="BC610" s="11"/>
      <c r="BF610" s="9"/>
      <c r="CF610" s="12"/>
      <c r="CH610" s="9"/>
    </row>
    <row r="611" spans="6:86" x14ac:dyDescent="0.25">
      <c r="F611" s="9"/>
      <c r="G611" s="9"/>
      <c r="AA611" s="10"/>
      <c r="AV611" s="11"/>
      <c r="AW611" s="11"/>
      <c r="BB611" s="9"/>
      <c r="BC611" s="11"/>
      <c r="BF611" s="9"/>
      <c r="CF611" s="12"/>
      <c r="CH611" s="9"/>
    </row>
    <row r="612" spans="6:86" x14ac:dyDescent="0.25">
      <c r="F612" s="9"/>
      <c r="G612" s="9"/>
      <c r="AA612" s="10"/>
      <c r="AV612" s="11"/>
      <c r="AW612" s="11"/>
      <c r="BB612" s="9"/>
      <c r="BC612" s="11"/>
      <c r="BF612" s="9"/>
      <c r="CF612" s="12"/>
      <c r="CH612" s="9"/>
    </row>
    <row r="613" spans="6:86" x14ac:dyDescent="0.25">
      <c r="F613" s="9"/>
      <c r="G613" s="9"/>
      <c r="AA613" s="10"/>
      <c r="AV613" s="11"/>
      <c r="AW613" s="11"/>
      <c r="BB613" s="9"/>
      <c r="BC613" s="11"/>
      <c r="BF613" s="9"/>
      <c r="CF613" s="12"/>
      <c r="CH613" s="9"/>
    </row>
    <row r="614" spans="6:86" x14ac:dyDescent="0.25">
      <c r="F614" s="9"/>
      <c r="G614" s="9"/>
      <c r="AA614" s="10"/>
      <c r="AV614" s="11"/>
      <c r="AW614" s="11"/>
      <c r="BB614" s="9"/>
      <c r="BC614" s="11"/>
      <c r="BF614" s="9"/>
      <c r="CH614" s="9"/>
    </row>
    <row r="615" spans="6:86" x14ac:dyDescent="0.25">
      <c r="F615" s="9"/>
      <c r="G615" s="9"/>
      <c r="AA615" s="10"/>
      <c r="AV615" s="11"/>
      <c r="AW615" s="11"/>
      <c r="BB615" s="9"/>
      <c r="BC615" s="11"/>
      <c r="BF615" s="9"/>
      <c r="CF615" s="12"/>
      <c r="CH615" s="9"/>
    </row>
    <row r="616" spans="6:86" x14ac:dyDescent="0.25">
      <c r="F616" s="9"/>
      <c r="G616" s="9"/>
      <c r="AA616" s="10"/>
      <c r="AV616" s="11"/>
      <c r="AW616" s="11"/>
      <c r="BB616" s="9"/>
      <c r="BC616" s="11"/>
      <c r="BF616" s="9"/>
      <c r="CF616" s="12"/>
      <c r="CH616" s="9"/>
    </row>
    <row r="617" spans="6:86" x14ac:dyDescent="0.25">
      <c r="F617" s="9"/>
      <c r="G617" s="9"/>
      <c r="AA617" s="10"/>
      <c r="AV617" s="11"/>
      <c r="AW617" s="11"/>
      <c r="BB617" s="9"/>
      <c r="BC617" s="11"/>
      <c r="BF617" s="9"/>
      <c r="CH617" s="9"/>
    </row>
    <row r="618" spans="6:86" x14ac:dyDescent="0.25">
      <c r="F618" s="9"/>
      <c r="G618" s="9"/>
      <c r="AA618" s="10"/>
      <c r="AV618" s="11"/>
      <c r="AW618" s="11"/>
      <c r="BB618" s="9"/>
      <c r="BC618" s="11"/>
      <c r="BF618" s="9"/>
      <c r="CF618" s="12"/>
      <c r="CH618" s="9"/>
    </row>
    <row r="619" spans="6:86" x14ac:dyDescent="0.25">
      <c r="F619" s="9"/>
      <c r="G619" s="9"/>
      <c r="AA619" s="10"/>
      <c r="AV619" s="11"/>
      <c r="AW619" s="11"/>
      <c r="BB619" s="9"/>
      <c r="BC619" s="11"/>
      <c r="BF619" s="9"/>
      <c r="CH619" s="9"/>
    </row>
    <row r="620" spans="6:86" x14ac:dyDescent="0.25">
      <c r="F620" s="9"/>
      <c r="G620" s="9"/>
      <c r="AA620" s="10"/>
      <c r="AV620" s="11"/>
      <c r="AW620" s="11"/>
      <c r="BB620" s="9"/>
      <c r="BC620" s="11"/>
      <c r="BF620" s="9"/>
      <c r="CF620" s="12"/>
      <c r="CH620" s="9"/>
    </row>
    <row r="621" spans="6:86" x14ac:dyDescent="0.25">
      <c r="F621" s="9"/>
      <c r="G621" s="9"/>
      <c r="AA621" s="10"/>
      <c r="AV621" s="11"/>
      <c r="AW621" s="11"/>
      <c r="BB621" s="9"/>
      <c r="BC621" s="11"/>
      <c r="BF621" s="9"/>
      <c r="CF621" s="12"/>
      <c r="CH621" s="9"/>
    </row>
    <row r="622" spans="6:86" x14ac:dyDescent="0.25">
      <c r="F622" s="9"/>
      <c r="G622" s="9"/>
      <c r="AA622" s="10"/>
      <c r="AV622" s="11"/>
      <c r="AW622" s="11"/>
      <c r="BB622" s="9"/>
      <c r="BC622" s="11"/>
      <c r="BF622" s="9"/>
      <c r="CF622" s="12"/>
      <c r="CH622" s="9"/>
    </row>
    <row r="623" spans="6:86" x14ac:dyDescent="0.25">
      <c r="F623" s="9"/>
      <c r="G623" s="9"/>
      <c r="AA623" s="10"/>
      <c r="AV623" s="11"/>
      <c r="AW623" s="11"/>
      <c r="BB623" s="9"/>
      <c r="BC623" s="11"/>
      <c r="BF623" s="9"/>
      <c r="CF623" s="12"/>
      <c r="CH623" s="9"/>
    </row>
    <row r="624" spans="6:86" x14ac:dyDescent="0.25">
      <c r="F624" s="9"/>
      <c r="G624" s="9"/>
      <c r="AA624" s="10"/>
      <c r="AV624" s="11"/>
      <c r="AW624" s="11"/>
      <c r="BB624" s="9"/>
      <c r="BC624" s="11"/>
      <c r="BF624" s="9"/>
      <c r="CF624" s="12"/>
      <c r="CH624" s="9"/>
    </row>
    <row r="625" spans="6:92" x14ac:dyDescent="0.25">
      <c r="F625" s="9"/>
      <c r="G625" s="9"/>
      <c r="AA625" s="10"/>
      <c r="AV625" s="11"/>
      <c r="AW625" s="11"/>
      <c r="BB625" s="9"/>
      <c r="BC625" s="11"/>
      <c r="BF625" s="9"/>
      <c r="CF625" s="12"/>
      <c r="CH625" s="9"/>
    </row>
    <row r="626" spans="6:92" x14ac:dyDescent="0.25">
      <c r="F626" s="9"/>
      <c r="G626" s="9"/>
      <c r="AA626" s="10"/>
      <c r="AV626" s="11"/>
      <c r="AW626" s="11"/>
      <c r="BB626" s="9"/>
      <c r="BC626" s="11"/>
      <c r="BF626" s="9"/>
      <c r="CF626" s="12"/>
      <c r="CH626" s="9"/>
    </row>
    <row r="627" spans="6:92" x14ac:dyDescent="0.25">
      <c r="F627" s="9"/>
      <c r="G627" s="9"/>
      <c r="AA627" s="10"/>
      <c r="AV627" s="11"/>
      <c r="AW627" s="11"/>
      <c r="BB627" s="9"/>
      <c r="BC627" s="11"/>
      <c r="BF627" s="9"/>
      <c r="CF627" s="12"/>
      <c r="CH627" s="9"/>
      <c r="CN627" s="12"/>
    </row>
    <row r="628" spans="6:92" x14ac:dyDescent="0.25">
      <c r="F628" s="9"/>
      <c r="G628" s="9"/>
      <c r="AA628" s="10"/>
      <c r="AV628" s="11"/>
      <c r="AW628" s="11"/>
      <c r="BB628" s="9"/>
      <c r="BC628" s="11"/>
      <c r="BF628" s="9"/>
      <c r="CF628" s="12"/>
      <c r="CH628" s="9"/>
    </row>
    <row r="629" spans="6:92" x14ac:dyDescent="0.25">
      <c r="F629" s="9"/>
      <c r="G629" s="9"/>
      <c r="AA629" s="10"/>
      <c r="AV629" s="11"/>
      <c r="AW629" s="11"/>
      <c r="BB629" s="9"/>
      <c r="BC629" s="11"/>
      <c r="BF629" s="9"/>
      <c r="CF629" s="12"/>
      <c r="CH629" s="9"/>
    </row>
    <row r="630" spans="6:92" x14ac:dyDescent="0.25">
      <c r="F630" s="9"/>
      <c r="G630" s="9"/>
      <c r="AA630" s="10"/>
      <c r="AV630" s="11"/>
      <c r="AW630" s="11"/>
      <c r="BB630" s="9"/>
      <c r="BC630" s="11"/>
      <c r="BF630" s="9"/>
      <c r="CF630" s="12"/>
      <c r="CH630" s="9"/>
    </row>
    <row r="631" spans="6:92" x14ac:dyDescent="0.25">
      <c r="F631" s="9"/>
      <c r="G631" s="9"/>
      <c r="AA631" s="10"/>
      <c r="AV631" s="11"/>
      <c r="AW631" s="11"/>
      <c r="BB631" s="9"/>
      <c r="BC631" s="11"/>
      <c r="BF631" s="9"/>
      <c r="CF631" s="12"/>
      <c r="CH631" s="9"/>
    </row>
    <row r="632" spans="6:92" x14ac:dyDescent="0.25">
      <c r="F632" s="9"/>
      <c r="G632" s="9"/>
      <c r="AA632" s="10"/>
      <c r="AV632" s="11"/>
      <c r="AW632" s="11"/>
      <c r="BB632" s="9"/>
      <c r="BC632" s="11"/>
      <c r="BF632" s="9"/>
      <c r="CF632" s="12"/>
      <c r="CH632" s="9"/>
    </row>
    <row r="633" spans="6:92" x14ac:dyDescent="0.25">
      <c r="F633" s="9"/>
      <c r="G633" s="9"/>
      <c r="AA633" s="10"/>
      <c r="AV633" s="11"/>
      <c r="AW633" s="11"/>
      <c r="BB633" s="9"/>
      <c r="BC633" s="11"/>
      <c r="BF633" s="9"/>
      <c r="CF633" s="12"/>
      <c r="CH633" s="9"/>
    </row>
    <row r="634" spans="6:92" x14ac:dyDescent="0.25">
      <c r="F634" s="9"/>
      <c r="G634" s="9"/>
      <c r="AA634" s="10"/>
      <c r="AV634" s="11"/>
      <c r="AW634" s="11"/>
      <c r="BB634" s="9"/>
      <c r="BC634" s="11"/>
      <c r="BF634" s="9"/>
      <c r="CH634" s="9"/>
    </row>
    <row r="635" spans="6:92" x14ac:dyDescent="0.25">
      <c r="F635" s="9"/>
      <c r="G635" s="9"/>
      <c r="AA635" s="10"/>
      <c r="AV635" s="11"/>
      <c r="AW635" s="11"/>
      <c r="BB635" s="9"/>
      <c r="BC635" s="11"/>
      <c r="BF635" s="9"/>
      <c r="CF635" s="12"/>
      <c r="CH635" s="9"/>
    </row>
    <row r="636" spans="6:92" x14ac:dyDescent="0.25">
      <c r="F636" s="9"/>
      <c r="G636" s="9"/>
      <c r="AA636" s="10"/>
      <c r="AV636" s="11"/>
      <c r="AW636" s="11"/>
      <c r="BB636" s="9"/>
      <c r="BC636" s="11"/>
      <c r="BF636" s="9"/>
      <c r="CF636" s="12"/>
      <c r="CH636" s="9"/>
    </row>
    <row r="637" spans="6:92" x14ac:dyDescent="0.25">
      <c r="F637" s="9"/>
      <c r="G637" s="9"/>
      <c r="AA637" s="10"/>
      <c r="AV637" s="11"/>
      <c r="AW637" s="11"/>
      <c r="BB637" s="9"/>
      <c r="BC637" s="11"/>
      <c r="BF637" s="9"/>
      <c r="CF637" s="12"/>
      <c r="CH637" s="9"/>
    </row>
    <row r="638" spans="6:92" x14ac:dyDescent="0.25">
      <c r="F638" s="9"/>
      <c r="G638" s="9"/>
      <c r="AA638" s="10"/>
      <c r="AV638" s="11"/>
      <c r="AW638" s="11"/>
      <c r="BB638" s="9"/>
      <c r="BC638" s="11"/>
      <c r="BF638" s="9"/>
      <c r="CF638" s="12"/>
      <c r="CH638" s="9"/>
    </row>
    <row r="639" spans="6:92" x14ac:dyDescent="0.25">
      <c r="F639" s="9"/>
      <c r="G639" s="9"/>
      <c r="AA639" s="10"/>
      <c r="AV639" s="11"/>
      <c r="AW639" s="11"/>
      <c r="BB639" s="9"/>
      <c r="BC639" s="11"/>
      <c r="BF639" s="9"/>
      <c r="CF639" s="12"/>
      <c r="CH639" s="9"/>
    </row>
    <row r="640" spans="6:92" x14ac:dyDescent="0.25">
      <c r="F640" s="9"/>
      <c r="G640" s="9"/>
      <c r="AA640" s="10"/>
      <c r="AV640" s="11"/>
      <c r="AW640" s="11"/>
      <c r="BB640" s="9"/>
      <c r="BC640" s="11"/>
      <c r="BF640" s="9"/>
      <c r="CF640" s="12"/>
      <c r="CH640" s="9"/>
    </row>
    <row r="641" spans="6:86" x14ac:dyDescent="0.25">
      <c r="F641" s="9"/>
      <c r="G641" s="9"/>
      <c r="AA641" s="10"/>
      <c r="AV641" s="11"/>
      <c r="AW641" s="11"/>
      <c r="BB641" s="9"/>
      <c r="BC641" s="11"/>
      <c r="BF641" s="9"/>
      <c r="CH641" s="9"/>
    </row>
    <row r="642" spans="6:86" x14ac:dyDescent="0.25">
      <c r="F642" s="9"/>
      <c r="G642" s="9"/>
      <c r="AA642" s="10"/>
      <c r="AV642" s="11"/>
      <c r="AW642" s="11"/>
      <c r="BB642" s="9"/>
      <c r="BC642" s="11"/>
      <c r="BF642" s="9"/>
      <c r="CF642" s="12"/>
      <c r="CH642" s="9"/>
    </row>
    <row r="643" spans="6:86" x14ac:dyDescent="0.25">
      <c r="F643" s="9"/>
      <c r="G643" s="9"/>
      <c r="AA643" s="10"/>
      <c r="AV643" s="11"/>
      <c r="AW643" s="11"/>
      <c r="BB643" s="9"/>
      <c r="BC643" s="11"/>
      <c r="BF643" s="9"/>
      <c r="CF643" s="12"/>
      <c r="CH643" s="9"/>
    </row>
    <row r="644" spans="6:86" x14ac:dyDescent="0.25">
      <c r="F644" s="9"/>
      <c r="G644" s="9"/>
      <c r="AA644" s="10"/>
      <c r="AV644" s="11"/>
      <c r="AW644" s="11"/>
      <c r="BB644" s="9"/>
      <c r="BC644" s="11"/>
      <c r="BF644" s="9"/>
      <c r="CF644" s="12"/>
      <c r="CH644" s="9"/>
    </row>
    <row r="645" spans="6:86" x14ac:dyDescent="0.25">
      <c r="F645" s="9"/>
      <c r="G645" s="9"/>
      <c r="AA645" s="10"/>
      <c r="AV645" s="11"/>
      <c r="AW645" s="11"/>
      <c r="BB645" s="9"/>
      <c r="BC645" s="11"/>
      <c r="BF645" s="9"/>
      <c r="CF645" s="12"/>
      <c r="CH645" s="9"/>
    </row>
    <row r="646" spans="6:86" x14ac:dyDescent="0.25">
      <c r="F646" s="9"/>
      <c r="G646" s="9"/>
      <c r="AA646" s="10"/>
      <c r="AV646" s="11"/>
      <c r="AW646" s="11"/>
      <c r="BB646" s="9"/>
      <c r="BC646" s="11"/>
      <c r="BF646" s="9"/>
      <c r="CF646" s="12"/>
      <c r="CH646" s="9"/>
    </row>
    <row r="647" spans="6:86" x14ac:dyDescent="0.25">
      <c r="F647" s="9"/>
      <c r="G647" s="9"/>
      <c r="AA647" s="10"/>
      <c r="AV647" s="11"/>
      <c r="AW647" s="11"/>
      <c r="BB647" s="9"/>
      <c r="BC647" s="11"/>
      <c r="BF647" s="9"/>
      <c r="CF647" s="12"/>
      <c r="CH647" s="9"/>
    </row>
    <row r="648" spans="6:86" x14ac:dyDescent="0.25">
      <c r="F648" s="9"/>
      <c r="G648" s="9"/>
      <c r="AA648" s="10"/>
      <c r="AV648" s="11"/>
      <c r="AW648" s="11"/>
      <c r="BB648" s="9"/>
      <c r="BC648" s="11"/>
      <c r="BF648" s="9"/>
      <c r="CF648" s="12"/>
      <c r="CH648" s="9"/>
    </row>
    <row r="649" spans="6:86" x14ac:dyDescent="0.25">
      <c r="F649" s="9"/>
      <c r="G649" s="9"/>
      <c r="AA649" s="10"/>
      <c r="AV649" s="11"/>
      <c r="AW649" s="11"/>
      <c r="BB649" s="9"/>
      <c r="BC649" s="11"/>
      <c r="BF649" s="9"/>
      <c r="CF649" s="12"/>
      <c r="CH649" s="9"/>
    </row>
    <row r="650" spans="6:86" x14ac:dyDescent="0.25">
      <c r="F650" s="9"/>
      <c r="G650" s="9"/>
      <c r="AA650" s="10"/>
      <c r="AV650" s="11"/>
      <c r="AW650" s="11"/>
      <c r="BB650" s="9"/>
      <c r="BC650" s="11"/>
      <c r="BF650" s="9"/>
      <c r="CF650" s="12"/>
      <c r="CH650" s="9"/>
    </row>
    <row r="651" spans="6:86" x14ac:dyDescent="0.25">
      <c r="F651" s="9"/>
      <c r="G651" s="9"/>
      <c r="AA651" s="10"/>
      <c r="AV651" s="11"/>
      <c r="AW651" s="11"/>
      <c r="BB651" s="9"/>
      <c r="BC651" s="11"/>
      <c r="BF651" s="9"/>
      <c r="CF651" s="12"/>
      <c r="CH651" s="9"/>
    </row>
    <row r="652" spans="6:86" x14ac:dyDescent="0.25">
      <c r="F652" s="9"/>
      <c r="G652" s="9"/>
      <c r="AA652" s="10"/>
      <c r="AV652" s="11"/>
      <c r="AW652" s="11"/>
      <c r="BB652" s="9"/>
      <c r="BC652" s="11"/>
      <c r="BF652" s="9"/>
      <c r="CF652" s="12"/>
      <c r="CH652" s="9"/>
    </row>
    <row r="653" spans="6:86" x14ac:dyDescent="0.25">
      <c r="F653" s="9"/>
      <c r="G653" s="9"/>
      <c r="AA653" s="10"/>
      <c r="AV653" s="11"/>
      <c r="AW653" s="11"/>
      <c r="BB653" s="9"/>
      <c r="BC653" s="11"/>
      <c r="BF653" s="9"/>
      <c r="CF653" s="12"/>
      <c r="CH653" s="9"/>
    </row>
    <row r="654" spans="6:86" x14ac:dyDescent="0.25">
      <c r="F654" s="9"/>
      <c r="G654" s="9"/>
      <c r="AA654" s="10"/>
      <c r="AV654" s="11"/>
      <c r="AW654" s="11"/>
      <c r="BB654" s="9"/>
      <c r="BC654" s="11"/>
      <c r="BF654" s="9"/>
      <c r="CF654" s="12"/>
      <c r="CH654" s="9"/>
    </row>
    <row r="655" spans="6:86" x14ac:dyDescent="0.25">
      <c r="F655" s="9"/>
      <c r="G655" s="9"/>
      <c r="AA655" s="10"/>
      <c r="AV655" s="11"/>
      <c r="AW655" s="11"/>
      <c r="BB655" s="9"/>
      <c r="BC655" s="11"/>
      <c r="BF655" s="9"/>
      <c r="CF655" s="12"/>
      <c r="CH655" s="9"/>
    </row>
    <row r="656" spans="6:86" x14ac:dyDescent="0.25">
      <c r="F656" s="9"/>
      <c r="G656" s="9"/>
      <c r="AA656" s="10"/>
      <c r="AV656" s="11"/>
      <c r="AW656" s="11"/>
      <c r="BB656" s="9"/>
      <c r="BC656" s="11"/>
      <c r="BF656" s="9"/>
      <c r="CF656" s="12"/>
      <c r="CH656" s="9"/>
    </row>
    <row r="657" spans="6:86" x14ac:dyDescent="0.25">
      <c r="F657" s="9"/>
      <c r="G657" s="9"/>
      <c r="AA657" s="10"/>
      <c r="AV657" s="11"/>
      <c r="AW657" s="11"/>
      <c r="BB657" s="9"/>
      <c r="BC657" s="11"/>
      <c r="BF657" s="9"/>
      <c r="CF657" s="12"/>
      <c r="CH657" s="9"/>
    </row>
    <row r="658" spans="6:86" x14ac:dyDescent="0.25">
      <c r="F658" s="9"/>
      <c r="G658" s="9"/>
      <c r="AA658" s="10"/>
      <c r="AV658" s="11"/>
      <c r="AW658" s="11"/>
      <c r="BB658" s="9"/>
      <c r="BC658" s="11"/>
      <c r="BF658" s="9"/>
      <c r="CF658" s="12"/>
      <c r="CH658" s="9"/>
    </row>
    <row r="659" spans="6:86" x14ac:dyDescent="0.25">
      <c r="F659" s="9"/>
      <c r="G659" s="9"/>
      <c r="AA659" s="10"/>
      <c r="AV659" s="11"/>
      <c r="AW659" s="11"/>
      <c r="BB659" s="9"/>
      <c r="BC659" s="11"/>
      <c r="BF659" s="9"/>
      <c r="CF659" s="12"/>
      <c r="CH659" s="9"/>
    </row>
    <row r="660" spans="6:86" x14ac:dyDescent="0.25">
      <c r="F660" s="9"/>
      <c r="G660" s="9"/>
      <c r="AA660" s="10"/>
      <c r="AV660" s="11"/>
      <c r="AW660" s="11"/>
      <c r="BB660" s="9"/>
      <c r="BC660" s="11"/>
      <c r="BF660" s="9"/>
      <c r="CH660" s="9"/>
    </row>
    <row r="661" spans="6:86" x14ac:dyDescent="0.25">
      <c r="F661" s="9"/>
      <c r="G661" s="9"/>
      <c r="AA661" s="10"/>
      <c r="AV661" s="11"/>
      <c r="AW661" s="11"/>
      <c r="BB661" s="9"/>
      <c r="BC661" s="11"/>
      <c r="BF661" s="9"/>
      <c r="CF661" s="12"/>
      <c r="CH661" s="9"/>
    </row>
    <row r="662" spans="6:86" x14ac:dyDescent="0.25">
      <c r="F662" s="9"/>
      <c r="G662" s="9"/>
      <c r="AA662" s="10"/>
      <c r="AV662" s="11"/>
      <c r="AW662" s="11"/>
      <c r="BB662" s="9"/>
      <c r="BC662" s="11"/>
      <c r="BF662" s="9"/>
      <c r="CF662" s="12"/>
      <c r="CH662" s="9"/>
    </row>
    <row r="663" spans="6:86" x14ac:dyDescent="0.25">
      <c r="F663" s="9"/>
      <c r="G663" s="9"/>
      <c r="AA663" s="10"/>
      <c r="AV663" s="11"/>
      <c r="AW663" s="11"/>
      <c r="BB663" s="9"/>
      <c r="BC663" s="11"/>
      <c r="BF663" s="9"/>
      <c r="CF663" s="12"/>
      <c r="CH663" s="9"/>
    </row>
    <row r="664" spans="6:86" x14ac:dyDescent="0.25">
      <c r="F664" s="9"/>
      <c r="G664" s="9"/>
      <c r="AA664" s="10"/>
      <c r="AV664" s="11"/>
      <c r="AW664" s="11"/>
      <c r="BB664" s="9"/>
      <c r="BC664" s="11"/>
      <c r="BF664" s="9"/>
      <c r="CF664" s="12"/>
      <c r="CH664" s="9"/>
    </row>
    <row r="665" spans="6:86" x14ac:dyDescent="0.25">
      <c r="F665" s="9"/>
      <c r="G665" s="9"/>
      <c r="AA665" s="10"/>
      <c r="AV665" s="11"/>
      <c r="AW665" s="11"/>
      <c r="BB665" s="9"/>
      <c r="BC665" s="11"/>
      <c r="BF665" s="9"/>
      <c r="CF665" s="12"/>
      <c r="CH665" s="9"/>
    </row>
    <row r="666" spans="6:86" x14ac:dyDescent="0.25">
      <c r="F666" s="9"/>
      <c r="G666" s="9"/>
      <c r="AA666" s="10"/>
      <c r="AV666" s="11"/>
      <c r="AW666" s="11"/>
      <c r="BB666" s="9"/>
      <c r="BC666" s="11"/>
      <c r="BF666" s="9"/>
      <c r="CF666" s="12"/>
      <c r="CH666" s="9"/>
    </row>
    <row r="667" spans="6:86" x14ac:dyDescent="0.25">
      <c r="F667" s="9"/>
      <c r="G667" s="9"/>
      <c r="AA667" s="10"/>
      <c r="AV667" s="11"/>
      <c r="AW667" s="11"/>
      <c r="BB667" s="9"/>
      <c r="BC667" s="11"/>
      <c r="BF667" s="9"/>
      <c r="CF667" s="12"/>
      <c r="CH667" s="9"/>
    </row>
    <row r="668" spans="6:86" x14ac:dyDescent="0.25">
      <c r="F668" s="9"/>
      <c r="G668" s="9"/>
      <c r="AA668" s="10"/>
      <c r="AV668" s="11"/>
      <c r="AW668" s="11"/>
      <c r="BB668" s="9"/>
      <c r="BC668" s="11"/>
      <c r="BF668" s="9"/>
      <c r="CF668" s="12"/>
      <c r="CH668" s="9"/>
    </row>
    <row r="669" spans="6:86" x14ac:dyDescent="0.25">
      <c r="F669" s="9"/>
      <c r="G669" s="9"/>
      <c r="AA669" s="10"/>
      <c r="AV669" s="11"/>
      <c r="AW669" s="11"/>
      <c r="BB669" s="9"/>
      <c r="BC669" s="11"/>
      <c r="BF669" s="9"/>
      <c r="CH669" s="9"/>
    </row>
    <row r="670" spans="6:86" x14ac:dyDescent="0.25">
      <c r="F670" s="9"/>
      <c r="G670" s="9"/>
      <c r="AA670" s="10"/>
      <c r="AV670" s="11"/>
      <c r="AW670" s="11"/>
      <c r="BB670" s="9"/>
      <c r="BC670" s="11"/>
      <c r="BF670" s="9"/>
      <c r="CF670" s="12"/>
      <c r="CH670" s="9"/>
    </row>
    <row r="671" spans="6:86" x14ac:dyDescent="0.25">
      <c r="F671" s="9"/>
      <c r="G671" s="9"/>
      <c r="AA671" s="10"/>
      <c r="AV671" s="11"/>
      <c r="AW671" s="11"/>
      <c r="BB671" s="9"/>
      <c r="BC671" s="11"/>
      <c r="BF671" s="9"/>
      <c r="CH671" s="9"/>
    </row>
    <row r="672" spans="6:86" x14ac:dyDescent="0.25">
      <c r="F672" s="9"/>
      <c r="G672" s="9"/>
      <c r="AA672" s="10"/>
      <c r="AV672" s="11"/>
      <c r="AW672" s="11"/>
      <c r="BB672" s="9"/>
      <c r="BC672" s="11"/>
      <c r="BF672" s="9"/>
      <c r="CF672" s="12"/>
      <c r="CH672" s="9"/>
    </row>
    <row r="673" spans="6:86" x14ac:dyDescent="0.25">
      <c r="F673" s="9"/>
      <c r="G673" s="9"/>
      <c r="AA673" s="10"/>
      <c r="AV673" s="11"/>
      <c r="AW673" s="11"/>
      <c r="BB673" s="9"/>
      <c r="BC673" s="11"/>
      <c r="BF673" s="9"/>
      <c r="CH673" s="9"/>
    </row>
    <row r="674" spans="6:86" x14ac:dyDescent="0.25">
      <c r="F674" s="9"/>
      <c r="G674" s="9"/>
      <c r="AA674" s="10"/>
      <c r="AV674" s="11"/>
      <c r="AW674" s="11"/>
      <c r="BB674" s="9"/>
      <c r="BC674" s="11"/>
      <c r="BF674" s="9"/>
      <c r="CF674" s="12"/>
      <c r="CH674" s="9"/>
    </row>
    <row r="675" spans="6:86" x14ac:dyDescent="0.25">
      <c r="F675" s="9"/>
      <c r="G675" s="9"/>
      <c r="AA675" s="10"/>
      <c r="AV675" s="11"/>
      <c r="AW675" s="11"/>
      <c r="BB675" s="9"/>
      <c r="BC675" s="11"/>
      <c r="BF675" s="9"/>
      <c r="CF675" s="12"/>
      <c r="CH675" s="9"/>
    </row>
    <row r="676" spans="6:86" x14ac:dyDescent="0.25">
      <c r="F676" s="9"/>
      <c r="G676" s="9"/>
      <c r="AA676" s="10"/>
      <c r="AV676" s="11"/>
      <c r="AW676" s="11"/>
      <c r="BB676" s="9"/>
      <c r="BC676" s="11"/>
      <c r="BF676" s="9"/>
      <c r="CF676" s="12"/>
      <c r="CH676" s="9"/>
    </row>
    <row r="677" spans="6:86" x14ac:dyDescent="0.25">
      <c r="F677" s="9"/>
      <c r="G677" s="9"/>
      <c r="AA677" s="10"/>
      <c r="AV677" s="11"/>
      <c r="AW677" s="11"/>
      <c r="BB677" s="9"/>
      <c r="BC677" s="11"/>
      <c r="BF677" s="9"/>
      <c r="CF677" s="12"/>
      <c r="CH677" s="9"/>
    </row>
    <row r="678" spans="6:86" x14ac:dyDescent="0.25">
      <c r="F678" s="9"/>
      <c r="G678" s="9"/>
      <c r="AA678" s="10"/>
      <c r="AV678" s="11"/>
      <c r="AW678" s="11"/>
      <c r="BB678" s="9"/>
      <c r="BC678" s="11"/>
      <c r="BF678" s="9"/>
      <c r="CF678" s="12"/>
      <c r="CH678" s="9"/>
    </row>
    <row r="679" spans="6:86" x14ac:dyDescent="0.25">
      <c r="F679" s="9"/>
      <c r="G679" s="9"/>
      <c r="AA679" s="10"/>
      <c r="AV679" s="11"/>
      <c r="AW679" s="11"/>
      <c r="BB679" s="9"/>
      <c r="BC679" s="11"/>
      <c r="BF679" s="9"/>
      <c r="CF679" s="12"/>
      <c r="CH679" s="9"/>
    </row>
    <row r="680" spans="6:86" x14ac:dyDescent="0.25">
      <c r="F680" s="9"/>
      <c r="G680" s="9"/>
      <c r="AA680" s="10"/>
      <c r="AV680" s="11"/>
      <c r="AW680" s="11"/>
      <c r="BB680" s="9"/>
      <c r="BC680" s="11"/>
      <c r="BF680" s="9"/>
      <c r="CF680" s="12"/>
      <c r="CH680" s="9"/>
    </row>
    <row r="681" spans="6:86" x14ac:dyDescent="0.25">
      <c r="F681" s="9"/>
      <c r="G681" s="9"/>
      <c r="AA681" s="10"/>
      <c r="AV681" s="11"/>
      <c r="AW681" s="11"/>
      <c r="BB681" s="9"/>
      <c r="BC681" s="11"/>
      <c r="BF681" s="9"/>
      <c r="CF681" s="12"/>
      <c r="CH681" s="9"/>
    </row>
    <row r="682" spans="6:86" x14ac:dyDescent="0.25">
      <c r="F682" s="9"/>
      <c r="G682" s="9"/>
      <c r="AA682" s="10"/>
      <c r="AV682" s="11"/>
      <c r="AW682" s="11"/>
      <c r="BB682" s="9"/>
      <c r="BC682" s="11"/>
      <c r="BF682" s="9"/>
      <c r="CF682" s="12"/>
      <c r="CH682" s="9"/>
    </row>
    <row r="683" spans="6:86" x14ac:dyDescent="0.25">
      <c r="F683" s="9"/>
      <c r="G683" s="9"/>
      <c r="AA683" s="10"/>
      <c r="AV683" s="11"/>
      <c r="AW683" s="11"/>
      <c r="BB683" s="9"/>
      <c r="BC683" s="11"/>
      <c r="BF683" s="9"/>
      <c r="CF683" s="12"/>
      <c r="CH683" s="9"/>
    </row>
    <row r="684" spans="6:86" x14ac:dyDescent="0.25">
      <c r="F684" s="9"/>
      <c r="G684" s="9"/>
      <c r="AA684" s="10"/>
      <c r="AV684" s="11"/>
      <c r="AW684" s="11"/>
      <c r="BB684" s="9"/>
      <c r="BC684" s="11"/>
      <c r="BF684" s="9"/>
      <c r="CF684" s="12"/>
      <c r="CH684" s="9"/>
    </row>
    <row r="685" spans="6:86" x14ac:dyDescent="0.25">
      <c r="F685" s="9"/>
      <c r="G685" s="9"/>
      <c r="AA685" s="10"/>
      <c r="AV685" s="11"/>
      <c r="AW685" s="11"/>
      <c r="BB685" s="9"/>
      <c r="BC685" s="11"/>
      <c r="BF685" s="9"/>
      <c r="CH685" s="9"/>
    </row>
    <row r="686" spans="6:86" x14ac:dyDescent="0.25">
      <c r="F686" s="9"/>
      <c r="G686" s="9"/>
      <c r="AA686" s="10"/>
      <c r="AV686" s="11"/>
      <c r="AW686" s="11"/>
      <c r="BB686" s="9"/>
      <c r="BC686" s="11"/>
      <c r="BF686" s="9"/>
      <c r="CF686" s="12"/>
      <c r="CH686" s="9"/>
    </row>
    <row r="687" spans="6:86" x14ac:dyDescent="0.25">
      <c r="F687" s="9"/>
      <c r="G687" s="9"/>
      <c r="AA687" s="10"/>
      <c r="AV687" s="11"/>
      <c r="AW687" s="11"/>
      <c r="BB687" s="9"/>
      <c r="BC687" s="11"/>
      <c r="BF687" s="9"/>
      <c r="CF687" s="12"/>
      <c r="CH687" s="9"/>
    </row>
    <row r="688" spans="6:86" x14ac:dyDescent="0.25">
      <c r="F688" s="9"/>
      <c r="G688" s="9"/>
      <c r="AA688" s="10"/>
      <c r="AV688" s="11"/>
      <c r="AW688" s="11"/>
      <c r="BB688" s="9"/>
      <c r="BC688" s="11"/>
      <c r="BF688" s="9"/>
      <c r="CF688" s="12"/>
      <c r="CH688" s="9"/>
    </row>
    <row r="689" spans="6:86" x14ac:dyDescent="0.25">
      <c r="F689" s="9"/>
      <c r="G689" s="9"/>
      <c r="AA689" s="10"/>
      <c r="AV689" s="11"/>
      <c r="AW689" s="11"/>
      <c r="BB689" s="9"/>
      <c r="BC689" s="11"/>
      <c r="BF689" s="9"/>
      <c r="CF689" s="12"/>
      <c r="CH689" s="9"/>
    </row>
    <row r="690" spans="6:86" x14ac:dyDescent="0.25">
      <c r="F690" s="9"/>
      <c r="G690" s="9"/>
      <c r="AA690" s="10"/>
      <c r="AV690" s="11"/>
      <c r="AW690" s="11"/>
      <c r="BB690" s="9"/>
      <c r="BC690" s="11"/>
      <c r="BF690" s="9"/>
      <c r="CF690" s="12"/>
      <c r="CH690" s="9"/>
    </row>
    <row r="691" spans="6:86" x14ac:dyDescent="0.25">
      <c r="F691" s="9"/>
      <c r="G691" s="9"/>
      <c r="AA691" s="10"/>
      <c r="AV691" s="11"/>
      <c r="AW691" s="11"/>
      <c r="BB691" s="9"/>
      <c r="BC691" s="11"/>
      <c r="BF691" s="9"/>
      <c r="CF691" s="12"/>
      <c r="CH691" s="9"/>
    </row>
    <row r="692" spans="6:86" x14ac:dyDescent="0.25">
      <c r="F692" s="9"/>
      <c r="G692" s="9"/>
      <c r="AA692" s="10"/>
      <c r="AV692" s="11"/>
      <c r="AW692" s="11"/>
      <c r="BB692" s="9"/>
      <c r="BC692" s="11"/>
      <c r="BF692" s="9"/>
      <c r="CF692" s="12"/>
      <c r="CH692" s="9"/>
    </row>
    <row r="693" spans="6:86" x14ac:dyDescent="0.25">
      <c r="F693" s="9"/>
      <c r="G693" s="9"/>
      <c r="AA693" s="10"/>
      <c r="AV693" s="11"/>
      <c r="AW693" s="11"/>
      <c r="BB693" s="9"/>
      <c r="BC693" s="11"/>
      <c r="BF693" s="9"/>
      <c r="CF693" s="12"/>
      <c r="CH693" s="9"/>
    </row>
    <row r="694" spans="6:86" x14ac:dyDescent="0.25">
      <c r="F694" s="9"/>
      <c r="G694" s="9"/>
      <c r="AA694" s="10"/>
      <c r="AV694" s="11"/>
      <c r="AW694" s="11"/>
      <c r="BB694" s="9"/>
      <c r="BC694" s="11"/>
      <c r="BF694" s="9"/>
      <c r="CF694" s="12"/>
      <c r="CH694" s="9"/>
    </row>
    <row r="695" spans="6:86" x14ac:dyDescent="0.25">
      <c r="F695" s="9"/>
      <c r="G695" s="9"/>
      <c r="AA695" s="10"/>
      <c r="AV695" s="11"/>
      <c r="AW695" s="11"/>
      <c r="BB695" s="9"/>
      <c r="BC695" s="11"/>
      <c r="BF695" s="9"/>
      <c r="CF695" s="12"/>
      <c r="CH695" s="9"/>
    </row>
    <row r="696" spans="6:86" x14ac:dyDescent="0.25">
      <c r="F696" s="9"/>
      <c r="G696" s="9"/>
      <c r="AA696" s="10"/>
      <c r="AV696" s="11"/>
      <c r="AW696" s="11"/>
      <c r="BB696" s="9"/>
      <c r="BC696" s="11"/>
      <c r="BF696" s="9"/>
      <c r="CF696" s="12"/>
      <c r="CH696" s="9"/>
    </row>
    <row r="697" spans="6:86" x14ac:dyDescent="0.25">
      <c r="F697" s="9"/>
      <c r="G697" s="9"/>
      <c r="AA697" s="10"/>
      <c r="AV697" s="11"/>
      <c r="AW697" s="11"/>
      <c r="BB697" s="9"/>
      <c r="BC697" s="11"/>
      <c r="BF697" s="9"/>
      <c r="CF697" s="12"/>
      <c r="CH697" s="9"/>
    </row>
    <row r="698" spans="6:86" x14ac:dyDescent="0.25">
      <c r="F698" s="9"/>
      <c r="G698" s="9"/>
      <c r="AA698" s="10"/>
      <c r="AV698" s="11"/>
      <c r="AW698" s="11"/>
      <c r="BB698" s="9"/>
      <c r="BC698" s="11"/>
      <c r="BF698" s="9"/>
      <c r="CF698" s="12"/>
      <c r="CH698" s="9"/>
    </row>
    <row r="699" spans="6:86" x14ac:dyDescent="0.25">
      <c r="F699" s="9"/>
      <c r="G699" s="9"/>
      <c r="AA699" s="10"/>
      <c r="AV699" s="11"/>
      <c r="AW699" s="11"/>
      <c r="BB699" s="9"/>
      <c r="BC699" s="11"/>
      <c r="BF699" s="9"/>
      <c r="CF699" s="12"/>
      <c r="CH699" s="9"/>
    </row>
    <row r="700" spans="6:86" x14ac:dyDescent="0.25">
      <c r="F700" s="9"/>
      <c r="G700" s="9"/>
      <c r="AA700" s="10"/>
      <c r="AV700" s="11"/>
      <c r="AW700" s="11"/>
      <c r="BB700" s="9"/>
      <c r="BC700" s="11"/>
      <c r="BF700" s="9"/>
      <c r="CF700" s="12"/>
      <c r="CH700" s="9"/>
    </row>
    <row r="701" spans="6:86" x14ac:dyDescent="0.25">
      <c r="F701" s="9"/>
      <c r="G701" s="9"/>
      <c r="AA701" s="10"/>
      <c r="AV701" s="11"/>
      <c r="AW701" s="11"/>
      <c r="BB701" s="9"/>
      <c r="BC701" s="11"/>
      <c r="BF701" s="9"/>
      <c r="CF701" s="12"/>
      <c r="CH701" s="9"/>
    </row>
    <row r="702" spans="6:86" x14ac:dyDescent="0.25">
      <c r="F702" s="9"/>
      <c r="G702" s="9"/>
      <c r="AA702" s="10"/>
      <c r="AV702" s="11"/>
      <c r="AW702" s="11"/>
      <c r="BB702" s="9"/>
      <c r="BC702" s="11"/>
      <c r="BF702" s="9"/>
      <c r="CF702" s="12"/>
      <c r="CH702" s="9"/>
    </row>
    <row r="703" spans="6:86" x14ac:dyDescent="0.25">
      <c r="F703" s="9"/>
      <c r="G703" s="9"/>
      <c r="AA703" s="10"/>
      <c r="AV703" s="11"/>
      <c r="AW703" s="11"/>
      <c r="BB703" s="9"/>
      <c r="BC703" s="11"/>
      <c r="BF703" s="9"/>
      <c r="CF703" s="12"/>
      <c r="CH703" s="9"/>
    </row>
    <row r="704" spans="6:86" x14ac:dyDescent="0.25">
      <c r="F704" s="9"/>
      <c r="G704" s="9"/>
      <c r="AA704" s="10"/>
      <c r="AV704" s="11"/>
      <c r="AW704" s="11"/>
      <c r="BB704" s="9"/>
      <c r="BC704" s="11"/>
      <c r="BF704" s="9"/>
      <c r="CF704" s="12"/>
      <c r="CH704" s="9"/>
    </row>
    <row r="705" spans="6:92" x14ac:dyDescent="0.25">
      <c r="F705" s="9"/>
      <c r="G705" s="9"/>
      <c r="AA705" s="10"/>
      <c r="AV705" s="11"/>
      <c r="AW705" s="11"/>
      <c r="BB705" s="9"/>
      <c r="BC705" s="11"/>
      <c r="BF705" s="9"/>
      <c r="CF705" s="12"/>
      <c r="CH705" s="9"/>
    </row>
    <row r="706" spans="6:92" x14ac:dyDescent="0.25">
      <c r="F706" s="9"/>
      <c r="G706" s="9"/>
      <c r="AA706" s="10"/>
      <c r="AV706" s="11"/>
      <c r="AW706" s="11"/>
      <c r="BB706" s="9"/>
      <c r="BC706" s="11"/>
      <c r="BF706" s="9"/>
      <c r="CH706" s="9"/>
    </row>
    <row r="707" spans="6:92" x14ac:dyDescent="0.25">
      <c r="F707" s="9"/>
      <c r="G707" s="9"/>
      <c r="AA707" s="10"/>
      <c r="AV707" s="11"/>
      <c r="AW707" s="11"/>
      <c r="BB707" s="9"/>
      <c r="BC707" s="11"/>
      <c r="BF707" s="9"/>
      <c r="CF707" s="12"/>
      <c r="CH707" s="9"/>
    </row>
    <row r="708" spans="6:92" x14ac:dyDescent="0.25">
      <c r="F708" s="9"/>
      <c r="G708" s="9"/>
      <c r="AA708" s="10"/>
      <c r="AV708" s="11"/>
      <c r="AW708" s="11"/>
      <c r="BB708" s="9"/>
      <c r="BC708" s="11"/>
      <c r="BF708" s="9"/>
      <c r="CF708" s="12"/>
      <c r="CH708" s="9"/>
    </row>
    <row r="709" spans="6:92" x14ac:dyDescent="0.25">
      <c r="F709" s="9"/>
      <c r="G709" s="9"/>
      <c r="AA709" s="10"/>
      <c r="AV709" s="11"/>
      <c r="AW709" s="11"/>
      <c r="BB709" s="9"/>
      <c r="BC709" s="11"/>
      <c r="BF709" s="9"/>
      <c r="CF709" s="12"/>
      <c r="CH709" s="9"/>
    </row>
    <row r="710" spans="6:92" x14ac:dyDescent="0.25">
      <c r="F710" s="9"/>
      <c r="G710" s="9"/>
      <c r="AA710" s="10"/>
      <c r="AV710" s="11"/>
      <c r="AW710" s="11"/>
      <c r="BB710" s="9"/>
      <c r="BC710" s="11"/>
      <c r="BF710" s="9"/>
      <c r="CF710" s="12"/>
      <c r="CH710" s="9"/>
    </row>
    <row r="711" spans="6:92" x14ac:dyDescent="0.25">
      <c r="F711" s="9"/>
      <c r="G711" s="9"/>
      <c r="AA711" s="10"/>
      <c r="AV711" s="11"/>
      <c r="AW711" s="11"/>
      <c r="BB711" s="9"/>
      <c r="BC711" s="11"/>
      <c r="BF711" s="9"/>
      <c r="CF711" s="12"/>
      <c r="CH711" s="9"/>
    </row>
    <row r="712" spans="6:92" x14ac:dyDescent="0.25">
      <c r="F712" s="9"/>
      <c r="G712" s="9"/>
      <c r="U712" s="12"/>
      <c r="Z712" s="12"/>
      <c r="AA712" s="10"/>
      <c r="AV712" s="11"/>
      <c r="AW712" s="11"/>
      <c r="BB712" s="9"/>
      <c r="BC712" s="11"/>
      <c r="BF712" s="9"/>
      <c r="CF712" s="12"/>
      <c r="CH712" s="9"/>
      <c r="CN712" s="12"/>
    </row>
    <row r="713" spans="6:92" x14ac:dyDescent="0.25">
      <c r="F713" s="9"/>
      <c r="G713" s="9"/>
      <c r="AA713" s="10"/>
      <c r="AV713" s="11"/>
      <c r="AW713" s="11"/>
      <c r="BB713" s="9"/>
      <c r="BC713" s="11"/>
      <c r="BF713" s="9"/>
      <c r="CF713" s="12"/>
      <c r="CH713" s="9"/>
    </row>
    <row r="714" spans="6:92" x14ac:dyDescent="0.25">
      <c r="F714" s="9"/>
      <c r="G714" s="9"/>
      <c r="AA714" s="10"/>
      <c r="AV714" s="11"/>
      <c r="AW714" s="11"/>
      <c r="BB714" s="9"/>
      <c r="BC714" s="11"/>
      <c r="BF714" s="9"/>
      <c r="CF714" s="12"/>
      <c r="CH714" s="9"/>
    </row>
    <row r="715" spans="6:92" x14ac:dyDescent="0.25">
      <c r="F715" s="9"/>
      <c r="G715" s="9"/>
      <c r="AA715" s="10"/>
      <c r="AV715" s="11"/>
      <c r="AW715" s="11"/>
      <c r="BB715" s="9"/>
      <c r="BC715" s="11"/>
      <c r="BF715" s="9"/>
      <c r="CF715" s="12"/>
      <c r="CH715" s="9"/>
    </row>
    <row r="716" spans="6:92" x14ac:dyDescent="0.25">
      <c r="F716" s="9"/>
      <c r="G716" s="9"/>
      <c r="AA716" s="10"/>
      <c r="AV716" s="11"/>
      <c r="AW716" s="11"/>
      <c r="BB716" s="9"/>
      <c r="BC716" s="11"/>
      <c r="BF716" s="9"/>
      <c r="CF716" s="12"/>
      <c r="CH716" s="9"/>
    </row>
    <row r="717" spans="6:92" x14ac:dyDescent="0.25">
      <c r="F717" s="9"/>
      <c r="G717" s="9"/>
      <c r="AA717" s="10"/>
      <c r="AV717" s="11"/>
      <c r="AW717" s="11"/>
      <c r="BB717" s="9"/>
      <c r="BC717" s="11"/>
      <c r="BF717" s="9"/>
      <c r="CH717" s="9"/>
    </row>
    <row r="718" spans="6:92" x14ac:dyDescent="0.25">
      <c r="F718" s="9"/>
      <c r="G718" s="9"/>
      <c r="AA718" s="10"/>
      <c r="AV718" s="11"/>
      <c r="AW718" s="11"/>
      <c r="BB718" s="9"/>
      <c r="BC718" s="11"/>
      <c r="BF718" s="9"/>
      <c r="CF718" s="12"/>
      <c r="CH718" s="9"/>
    </row>
    <row r="719" spans="6:92" x14ac:dyDescent="0.25">
      <c r="F719" s="9"/>
      <c r="G719" s="9"/>
      <c r="AA719" s="10"/>
      <c r="AV719" s="11"/>
      <c r="AW719" s="11"/>
      <c r="BB719" s="9"/>
      <c r="BC719" s="11"/>
      <c r="BF719" s="9"/>
      <c r="CF719" s="12"/>
      <c r="CH719" s="9"/>
    </row>
    <row r="720" spans="6:92" x14ac:dyDescent="0.25">
      <c r="F720" s="9"/>
      <c r="G720" s="9"/>
      <c r="AA720" s="10"/>
      <c r="AV720" s="11"/>
      <c r="AW720" s="11"/>
      <c r="BB720" s="9"/>
      <c r="BC720" s="11"/>
      <c r="BF720" s="9"/>
      <c r="CF720" s="12"/>
      <c r="CH720" s="9"/>
    </row>
    <row r="721" spans="6:86" x14ac:dyDescent="0.25">
      <c r="F721" s="9"/>
      <c r="G721" s="9"/>
      <c r="AA721" s="10"/>
      <c r="AV721" s="11"/>
      <c r="AW721" s="11"/>
      <c r="BB721" s="9"/>
      <c r="BC721" s="11"/>
      <c r="BF721" s="9"/>
      <c r="CF721" s="12"/>
      <c r="CH721" s="9"/>
    </row>
    <row r="722" spans="6:86" x14ac:dyDescent="0.25">
      <c r="F722" s="9"/>
      <c r="G722" s="9"/>
      <c r="AA722" s="10"/>
      <c r="AV722" s="11"/>
      <c r="AW722" s="11"/>
      <c r="BB722" s="9"/>
      <c r="BC722" s="11"/>
      <c r="BF722" s="9"/>
      <c r="CF722" s="12"/>
      <c r="CH722" s="9"/>
    </row>
    <row r="723" spans="6:86" x14ac:dyDescent="0.25">
      <c r="F723" s="9"/>
      <c r="G723" s="9"/>
      <c r="AA723" s="10"/>
      <c r="AV723" s="11"/>
      <c r="AW723" s="11"/>
      <c r="BB723" s="9"/>
      <c r="BC723" s="11"/>
      <c r="BF723" s="9"/>
      <c r="CF723" s="12"/>
      <c r="CH723" s="9"/>
    </row>
    <row r="724" spans="6:86" x14ac:dyDescent="0.25">
      <c r="F724" s="9"/>
      <c r="G724" s="9"/>
      <c r="AA724" s="10"/>
      <c r="AV724" s="11"/>
      <c r="AW724" s="11"/>
      <c r="BB724" s="9"/>
      <c r="BC724" s="11"/>
      <c r="BF724" s="9"/>
      <c r="CF724" s="12"/>
      <c r="CH724" s="9"/>
    </row>
    <row r="725" spans="6:86" x14ac:dyDescent="0.25">
      <c r="F725" s="9"/>
      <c r="G725" s="9"/>
      <c r="AA725" s="10"/>
      <c r="AV725" s="11"/>
      <c r="AW725" s="11"/>
      <c r="BB725" s="9"/>
      <c r="BC725" s="11"/>
      <c r="BF725" s="9"/>
      <c r="CF725" s="12"/>
      <c r="CH725" s="9"/>
    </row>
    <row r="726" spans="6:86" x14ac:dyDescent="0.25">
      <c r="F726" s="9"/>
      <c r="G726" s="9"/>
      <c r="AA726" s="10"/>
      <c r="AV726" s="11"/>
      <c r="AW726" s="11"/>
      <c r="BB726" s="9"/>
      <c r="BC726" s="11"/>
      <c r="BF726" s="9"/>
      <c r="CF726" s="12"/>
      <c r="CH726" s="9"/>
    </row>
    <row r="727" spans="6:86" x14ac:dyDescent="0.25">
      <c r="F727" s="9"/>
      <c r="G727" s="9"/>
      <c r="AA727" s="10"/>
      <c r="AV727" s="11"/>
      <c r="AW727" s="11"/>
      <c r="BB727" s="9"/>
      <c r="BC727" s="11"/>
      <c r="BF727" s="9"/>
      <c r="CF727" s="12"/>
      <c r="CH727" s="9"/>
    </row>
    <row r="728" spans="6:86" x14ac:dyDescent="0.25">
      <c r="F728" s="9"/>
      <c r="G728" s="9"/>
      <c r="AA728" s="10"/>
      <c r="AV728" s="11"/>
      <c r="AW728" s="11"/>
      <c r="BB728" s="9"/>
      <c r="BC728" s="11"/>
      <c r="BF728" s="9"/>
      <c r="CF728" s="12"/>
      <c r="CH728" s="9"/>
    </row>
    <row r="729" spans="6:86" x14ac:dyDescent="0.25">
      <c r="F729" s="9"/>
      <c r="G729" s="9"/>
      <c r="AA729" s="10"/>
      <c r="AV729" s="11"/>
      <c r="AW729" s="11"/>
      <c r="BB729" s="9"/>
      <c r="BC729" s="11"/>
      <c r="BF729" s="9"/>
      <c r="CF729" s="12"/>
      <c r="CH729" s="9"/>
    </row>
    <row r="730" spans="6:86" x14ac:dyDescent="0.25">
      <c r="F730" s="9"/>
      <c r="G730" s="9"/>
      <c r="AA730" s="10"/>
      <c r="AV730" s="11"/>
      <c r="AW730" s="11"/>
      <c r="BB730" s="9"/>
      <c r="BC730" s="11"/>
      <c r="BF730" s="9"/>
      <c r="CF730" s="12"/>
      <c r="CH730" s="9"/>
    </row>
    <row r="731" spans="6:86" x14ac:dyDescent="0.25">
      <c r="F731" s="9"/>
      <c r="G731" s="9"/>
      <c r="AA731" s="10"/>
      <c r="AV731" s="11"/>
      <c r="AW731" s="11"/>
      <c r="BB731" s="9"/>
      <c r="BC731" s="11"/>
      <c r="BF731" s="9"/>
      <c r="CH731" s="9"/>
    </row>
    <row r="732" spans="6:86" x14ac:dyDescent="0.25">
      <c r="F732" s="9"/>
      <c r="G732" s="9"/>
      <c r="AA732" s="10"/>
      <c r="AV732" s="11"/>
      <c r="AW732" s="11"/>
      <c r="BB732" s="9"/>
      <c r="BC732" s="11"/>
      <c r="BF732" s="9"/>
      <c r="CF732" s="12"/>
      <c r="CH732" s="9"/>
    </row>
    <row r="733" spans="6:86" x14ac:dyDescent="0.25">
      <c r="F733" s="9"/>
      <c r="G733" s="9"/>
      <c r="AA733" s="10"/>
      <c r="AV733" s="11"/>
      <c r="AW733" s="11"/>
      <c r="BB733" s="9"/>
      <c r="BC733" s="11"/>
      <c r="BF733" s="9"/>
      <c r="CF733" s="12"/>
      <c r="CH733" s="9"/>
    </row>
    <row r="734" spans="6:86" x14ac:dyDescent="0.25">
      <c r="F734" s="9"/>
      <c r="G734" s="9"/>
      <c r="AA734" s="10"/>
      <c r="AV734" s="11"/>
      <c r="AW734" s="11"/>
      <c r="BB734" s="9"/>
      <c r="BC734" s="11"/>
      <c r="BF734" s="9"/>
      <c r="CF734" s="12"/>
      <c r="CH734" s="9"/>
    </row>
    <row r="735" spans="6:86" x14ac:dyDescent="0.25">
      <c r="F735" s="9"/>
      <c r="G735" s="9"/>
      <c r="AA735" s="10"/>
      <c r="AV735" s="11"/>
      <c r="AW735" s="11"/>
      <c r="BB735" s="9"/>
      <c r="BC735" s="11"/>
      <c r="BF735" s="9"/>
      <c r="CF735" s="12"/>
      <c r="CH735" s="9"/>
    </row>
    <row r="736" spans="6:86" x14ac:dyDescent="0.25">
      <c r="F736" s="9"/>
      <c r="G736" s="9"/>
      <c r="AA736" s="10"/>
      <c r="AV736" s="11"/>
      <c r="AW736" s="11"/>
      <c r="BB736" s="9"/>
      <c r="BC736" s="11"/>
      <c r="BF736" s="9"/>
      <c r="CH736" s="9"/>
    </row>
    <row r="737" spans="6:86" x14ac:dyDescent="0.25">
      <c r="F737" s="9"/>
      <c r="G737" s="9"/>
      <c r="AA737" s="10"/>
      <c r="AV737" s="11"/>
      <c r="AW737" s="11"/>
      <c r="BB737" s="9"/>
      <c r="BC737" s="11"/>
      <c r="BF737" s="9"/>
      <c r="CF737" s="12"/>
      <c r="CH737" s="9"/>
    </row>
    <row r="738" spans="6:86" x14ac:dyDescent="0.25">
      <c r="F738" s="9"/>
      <c r="G738" s="9"/>
      <c r="AA738" s="10"/>
      <c r="AV738" s="11"/>
      <c r="AW738" s="11"/>
      <c r="BB738" s="9"/>
      <c r="BC738" s="11"/>
      <c r="BF738" s="9"/>
      <c r="CF738" s="12"/>
      <c r="CH738" s="9"/>
    </row>
    <row r="739" spans="6:86" x14ac:dyDescent="0.25">
      <c r="F739" s="9"/>
      <c r="G739" s="9"/>
      <c r="AA739" s="10"/>
      <c r="AV739" s="11"/>
      <c r="AW739" s="11"/>
      <c r="BB739" s="9"/>
      <c r="BC739" s="11"/>
      <c r="BF739" s="9"/>
      <c r="CF739" s="12"/>
      <c r="CH739" s="9"/>
    </row>
    <row r="740" spans="6:86" x14ac:dyDescent="0.25">
      <c r="F740" s="9"/>
      <c r="G740" s="9"/>
      <c r="AA740" s="10"/>
      <c r="AV740" s="11"/>
      <c r="AW740" s="11"/>
      <c r="BB740" s="9"/>
      <c r="BC740" s="11"/>
      <c r="BF740" s="9"/>
      <c r="CF740" s="12"/>
      <c r="CH740" s="9"/>
    </row>
    <row r="741" spans="6:86" x14ac:dyDescent="0.25">
      <c r="F741" s="9"/>
      <c r="G741" s="9"/>
      <c r="AA741" s="10"/>
      <c r="AV741" s="11"/>
      <c r="AW741" s="11"/>
      <c r="BB741" s="9"/>
      <c r="BC741" s="11"/>
      <c r="BF741" s="9"/>
      <c r="CF741" s="12"/>
      <c r="CH741" s="9"/>
    </row>
    <row r="742" spans="6:86" x14ac:dyDescent="0.25">
      <c r="F742" s="9"/>
      <c r="G742" s="9"/>
      <c r="AA742" s="10"/>
      <c r="AV742" s="11"/>
      <c r="AW742" s="11"/>
      <c r="BB742" s="9"/>
      <c r="BC742" s="11"/>
      <c r="BF742" s="9"/>
      <c r="CF742" s="12"/>
      <c r="CH742" s="9"/>
    </row>
    <row r="743" spans="6:86" x14ac:dyDescent="0.25">
      <c r="F743" s="9"/>
      <c r="G743" s="9"/>
      <c r="AA743" s="10"/>
      <c r="AV743" s="11"/>
      <c r="AW743" s="11"/>
      <c r="BB743" s="9"/>
      <c r="BC743" s="11"/>
      <c r="BF743" s="9"/>
      <c r="CF743" s="12"/>
      <c r="CH743" s="9"/>
    </row>
    <row r="744" spans="6:86" x14ac:dyDescent="0.25">
      <c r="F744" s="9"/>
      <c r="G744" s="9"/>
      <c r="AA744" s="10"/>
      <c r="AV744" s="11"/>
      <c r="AW744" s="11"/>
      <c r="BB744" s="9"/>
      <c r="BC744" s="11"/>
      <c r="BF744" s="9"/>
      <c r="CH744" s="9"/>
    </row>
    <row r="745" spans="6:86" x14ac:dyDescent="0.25">
      <c r="F745" s="9"/>
      <c r="G745" s="9"/>
      <c r="AA745" s="10"/>
      <c r="AV745" s="11"/>
      <c r="AW745" s="11"/>
      <c r="BB745" s="9"/>
      <c r="BC745" s="11"/>
      <c r="BF745" s="9"/>
      <c r="CF745" s="12"/>
      <c r="CH745" s="9"/>
    </row>
    <row r="746" spans="6:86" x14ac:dyDescent="0.25">
      <c r="F746" s="9"/>
      <c r="G746" s="9"/>
      <c r="AA746" s="10"/>
      <c r="AV746" s="11"/>
      <c r="AW746" s="11"/>
      <c r="BB746" s="9"/>
      <c r="BC746" s="11"/>
      <c r="BF746" s="9"/>
      <c r="CF746" s="12"/>
      <c r="CH746" s="9"/>
    </row>
    <row r="747" spans="6:86" x14ac:dyDescent="0.25">
      <c r="F747" s="9"/>
      <c r="G747" s="9"/>
      <c r="AA747" s="10"/>
      <c r="AV747" s="11"/>
      <c r="AW747" s="11"/>
      <c r="BB747" s="9"/>
      <c r="BC747" s="11"/>
      <c r="BF747" s="9"/>
      <c r="CF747" s="12"/>
      <c r="CH747" s="9"/>
    </row>
    <row r="748" spans="6:86" x14ac:dyDescent="0.25">
      <c r="F748" s="9"/>
      <c r="G748" s="9"/>
      <c r="AA748" s="10"/>
      <c r="AV748" s="11"/>
      <c r="AW748" s="11"/>
      <c r="BB748" s="9"/>
      <c r="BC748" s="11"/>
      <c r="BF748" s="9"/>
      <c r="CF748" s="12"/>
      <c r="CH748" s="9"/>
    </row>
    <row r="749" spans="6:86" x14ac:dyDescent="0.25">
      <c r="F749" s="9"/>
      <c r="G749" s="9"/>
      <c r="AA749" s="10"/>
      <c r="AV749" s="11"/>
      <c r="AW749" s="11"/>
      <c r="BB749" s="9"/>
      <c r="BC749" s="11"/>
      <c r="BF749" s="9"/>
      <c r="CF749" s="12"/>
      <c r="CH749" s="9"/>
    </row>
    <row r="750" spans="6:86" x14ac:dyDescent="0.25">
      <c r="F750" s="9"/>
      <c r="G750" s="9"/>
      <c r="AA750" s="10"/>
      <c r="AV750" s="11"/>
      <c r="AW750" s="11"/>
      <c r="BB750" s="9"/>
      <c r="BC750" s="11"/>
      <c r="BF750" s="9"/>
      <c r="CF750" s="12"/>
      <c r="CH750" s="9"/>
    </row>
    <row r="751" spans="6:86" x14ac:dyDescent="0.25">
      <c r="F751" s="9"/>
      <c r="G751" s="9"/>
      <c r="AA751" s="10"/>
      <c r="AV751" s="11"/>
      <c r="AW751" s="11"/>
      <c r="BB751" s="9"/>
      <c r="BC751" s="11"/>
      <c r="BF751" s="9"/>
      <c r="CF751" s="12"/>
      <c r="CH751" s="9"/>
    </row>
    <row r="752" spans="6:86" x14ac:dyDescent="0.25">
      <c r="F752" s="9"/>
      <c r="G752" s="9"/>
      <c r="AA752" s="10"/>
      <c r="AV752" s="11"/>
      <c r="AW752" s="11"/>
      <c r="BB752" s="9"/>
      <c r="BC752" s="11"/>
      <c r="BF752" s="9"/>
      <c r="CF752" s="12"/>
      <c r="CH752" s="9"/>
    </row>
    <row r="753" spans="6:86" x14ac:dyDescent="0.25">
      <c r="F753" s="9"/>
      <c r="G753" s="9"/>
      <c r="AA753" s="10"/>
      <c r="AV753" s="11"/>
      <c r="AW753" s="11"/>
      <c r="BB753" s="9"/>
      <c r="BC753" s="11"/>
      <c r="BF753" s="9"/>
      <c r="CF753" s="12"/>
      <c r="CH753" s="9"/>
    </row>
    <row r="754" spans="6:86" x14ac:dyDescent="0.25">
      <c r="F754" s="9"/>
      <c r="G754" s="9"/>
      <c r="AA754" s="10"/>
      <c r="AV754" s="11"/>
      <c r="AW754" s="11"/>
      <c r="BB754" s="9"/>
      <c r="BC754" s="11"/>
      <c r="BF754" s="9"/>
      <c r="CF754" s="12"/>
      <c r="CH754" s="9"/>
    </row>
    <row r="755" spans="6:86" x14ac:dyDescent="0.25">
      <c r="F755" s="9"/>
      <c r="G755" s="9"/>
      <c r="AA755" s="10"/>
      <c r="AV755" s="11"/>
      <c r="AW755" s="11"/>
      <c r="BB755" s="9"/>
      <c r="BC755" s="11"/>
      <c r="BF755" s="9"/>
      <c r="CF755" s="12"/>
      <c r="CH755" s="9"/>
    </row>
    <row r="756" spans="6:86" x14ac:dyDescent="0.25">
      <c r="F756" s="9"/>
      <c r="G756" s="9"/>
      <c r="AA756" s="10"/>
      <c r="AV756" s="11"/>
      <c r="AW756" s="11"/>
      <c r="BB756" s="9"/>
      <c r="BC756" s="11"/>
      <c r="BF756" s="9"/>
      <c r="CF756" s="12"/>
      <c r="CH756" s="9"/>
    </row>
    <row r="757" spans="6:86" x14ac:dyDescent="0.25">
      <c r="F757" s="9"/>
      <c r="G757" s="9"/>
      <c r="AA757" s="10"/>
      <c r="AV757" s="11"/>
      <c r="AW757" s="11"/>
      <c r="BB757" s="9"/>
      <c r="BC757" s="11"/>
      <c r="BF757" s="9"/>
      <c r="CF757" s="12"/>
      <c r="CH757" s="9"/>
    </row>
    <row r="758" spans="6:86" x14ac:dyDescent="0.25">
      <c r="F758" s="9"/>
      <c r="G758" s="9"/>
      <c r="AA758" s="10"/>
      <c r="AV758" s="11"/>
      <c r="AW758" s="11"/>
      <c r="BB758" s="9"/>
      <c r="BC758" s="11"/>
      <c r="BF758" s="9"/>
      <c r="CF758" s="12"/>
      <c r="CH758" s="9"/>
    </row>
    <row r="759" spans="6:86" x14ac:dyDescent="0.25">
      <c r="F759" s="9"/>
      <c r="G759" s="9"/>
      <c r="AA759" s="10"/>
      <c r="AV759" s="11"/>
      <c r="AW759" s="11"/>
      <c r="BB759" s="9"/>
      <c r="BC759" s="11"/>
      <c r="BF759" s="9"/>
      <c r="CF759" s="12"/>
      <c r="CH759" s="9"/>
    </row>
    <row r="760" spans="6:86" x14ac:dyDescent="0.25">
      <c r="F760" s="9"/>
      <c r="G760" s="9"/>
      <c r="AA760" s="10"/>
      <c r="AV760" s="11"/>
      <c r="AW760" s="11"/>
      <c r="BB760" s="9"/>
      <c r="BC760" s="11"/>
      <c r="BF760" s="9"/>
      <c r="CF760" s="12"/>
      <c r="CH760" s="9"/>
    </row>
    <row r="761" spans="6:86" x14ac:dyDescent="0.25">
      <c r="F761" s="9"/>
      <c r="G761" s="9"/>
      <c r="AA761" s="10"/>
      <c r="AV761" s="11"/>
      <c r="AW761" s="11"/>
      <c r="BB761" s="9"/>
      <c r="BC761" s="11"/>
      <c r="BF761" s="9"/>
      <c r="CF761" s="12"/>
      <c r="CH761" s="9"/>
    </row>
    <row r="762" spans="6:86" x14ac:dyDescent="0.25">
      <c r="F762" s="9"/>
      <c r="G762" s="9"/>
      <c r="AA762" s="10"/>
      <c r="AV762" s="11"/>
      <c r="AW762" s="11"/>
      <c r="BB762" s="9"/>
      <c r="BC762" s="11"/>
      <c r="BF762" s="9"/>
      <c r="CF762" s="12"/>
      <c r="CH762" s="9"/>
    </row>
    <row r="763" spans="6:86" x14ac:dyDescent="0.25">
      <c r="F763" s="9"/>
      <c r="G763" s="9"/>
      <c r="AA763" s="10"/>
      <c r="AV763" s="11"/>
      <c r="AW763" s="11"/>
      <c r="BB763" s="9"/>
      <c r="BC763" s="11"/>
      <c r="BF763" s="9"/>
      <c r="CF763" s="12"/>
      <c r="CH763" s="9"/>
    </row>
    <row r="764" spans="6:86" x14ac:dyDescent="0.25">
      <c r="F764" s="9"/>
      <c r="G764" s="9"/>
      <c r="AA764" s="10"/>
      <c r="AV764" s="11"/>
      <c r="AW764" s="11"/>
      <c r="BB764" s="9"/>
      <c r="BC764" s="11"/>
      <c r="BF764" s="9"/>
      <c r="CF764" s="12"/>
      <c r="CH764" s="9"/>
    </row>
    <row r="765" spans="6:86" x14ac:dyDescent="0.25">
      <c r="F765" s="9"/>
      <c r="G765" s="9"/>
      <c r="AA765" s="10"/>
      <c r="AV765" s="11"/>
      <c r="AW765" s="11"/>
      <c r="BB765" s="9"/>
      <c r="BC765" s="11"/>
      <c r="BF765" s="9"/>
      <c r="CF765" s="12"/>
      <c r="CH765" s="9"/>
    </row>
    <row r="766" spans="6:86" x14ac:dyDescent="0.25">
      <c r="F766" s="9"/>
      <c r="G766" s="9"/>
      <c r="AA766" s="10"/>
      <c r="AV766" s="11"/>
      <c r="AW766" s="11"/>
      <c r="BB766" s="9"/>
      <c r="BC766" s="11"/>
      <c r="BF766" s="9"/>
      <c r="CF766" s="12"/>
      <c r="CH766" s="9"/>
    </row>
    <row r="767" spans="6:86" x14ac:dyDescent="0.25">
      <c r="F767" s="9"/>
      <c r="G767" s="9"/>
      <c r="AA767" s="10"/>
      <c r="AV767" s="11"/>
      <c r="AW767" s="11"/>
      <c r="BB767" s="9"/>
      <c r="BC767" s="11"/>
      <c r="BF767" s="9"/>
      <c r="CF767" s="12"/>
      <c r="CH767" s="9"/>
    </row>
    <row r="768" spans="6:86" x14ac:dyDescent="0.25">
      <c r="F768" s="9"/>
      <c r="G768" s="9"/>
      <c r="AA768" s="10"/>
      <c r="AV768" s="11"/>
      <c r="AW768" s="11"/>
      <c r="BB768" s="9"/>
      <c r="BC768" s="11"/>
      <c r="BF768" s="9"/>
      <c r="CF768" s="12"/>
      <c r="CH768" s="9"/>
    </row>
    <row r="769" spans="6:86" x14ac:dyDescent="0.25">
      <c r="F769" s="9"/>
      <c r="G769" s="9"/>
      <c r="AA769" s="10"/>
      <c r="AV769" s="11"/>
      <c r="AW769" s="11"/>
      <c r="BB769" s="9"/>
      <c r="BC769" s="11"/>
      <c r="BF769" s="9"/>
      <c r="CF769" s="12"/>
      <c r="CH769" s="9"/>
    </row>
    <row r="770" spans="6:86" x14ac:dyDescent="0.25">
      <c r="F770" s="9"/>
      <c r="G770" s="9"/>
      <c r="AA770" s="10"/>
      <c r="AV770" s="11"/>
      <c r="AW770" s="11"/>
      <c r="BB770" s="9"/>
      <c r="BC770" s="11"/>
      <c r="BF770" s="9"/>
      <c r="CF770" s="12"/>
      <c r="CH770" s="9"/>
    </row>
    <row r="771" spans="6:86" x14ac:dyDescent="0.25">
      <c r="F771" s="9"/>
      <c r="G771" s="9"/>
      <c r="AA771" s="10"/>
      <c r="AV771" s="11"/>
      <c r="AW771" s="11"/>
      <c r="BB771" s="9"/>
      <c r="BC771" s="11"/>
      <c r="BF771" s="9"/>
      <c r="CF771" s="12"/>
      <c r="CH771" s="9"/>
    </row>
    <row r="772" spans="6:86" x14ac:dyDescent="0.25">
      <c r="F772" s="9"/>
      <c r="G772" s="9"/>
      <c r="AA772" s="10"/>
      <c r="AV772" s="11"/>
      <c r="AW772" s="11"/>
      <c r="BB772" s="9"/>
      <c r="BC772" s="11"/>
      <c r="BF772" s="9"/>
      <c r="CF772" s="12"/>
      <c r="CH772" s="9"/>
    </row>
    <row r="773" spans="6:86" x14ac:dyDescent="0.25">
      <c r="F773" s="9"/>
      <c r="G773" s="9"/>
      <c r="AA773" s="10"/>
      <c r="AV773" s="11"/>
      <c r="AW773" s="11"/>
      <c r="BB773" s="9"/>
      <c r="BC773" s="11"/>
      <c r="BF773" s="9"/>
      <c r="CH773" s="9"/>
    </row>
    <row r="774" spans="6:86" x14ac:dyDescent="0.25">
      <c r="F774" s="9"/>
      <c r="G774" s="9"/>
      <c r="AA774" s="10"/>
      <c r="AV774" s="11"/>
      <c r="AW774" s="11"/>
      <c r="BB774" s="9"/>
      <c r="BC774" s="11"/>
      <c r="BF774" s="9"/>
      <c r="CF774" s="12"/>
      <c r="CH774" s="9"/>
    </row>
    <row r="775" spans="6:86" x14ac:dyDescent="0.25">
      <c r="F775" s="9"/>
      <c r="G775" s="9"/>
      <c r="AA775" s="10"/>
      <c r="AV775" s="11"/>
      <c r="AW775" s="11"/>
      <c r="BB775" s="9"/>
      <c r="BC775" s="11"/>
      <c r="BF775" s="9"/>
      <c r="CF775" s="12"/>
      <c r="CH775" s="9"/>
    </row>
    <row r="776" spans="6:86" x14ac:dyDescent="0.25">
      <c r="F776" s="9"/>
      <c r="G776" s="9"/>
      <c r="AA776" s="10"/>
      <c r="AV776" s="11"/>
      <c r="AW776" s="11"/>
      <c r="BB776" s="9"/>
      <c r="BC776" s="11"/>
      <c r="BF776" s="9"/>
      <c r="CH776" s="9"/>
    </row>
    <row r="777" spans="6:86" x14ac:dyDescent="0.25">
      <c r="F777" s="9"/>
      <c r="G777" s="9"/>
      <c r="AA777" s="10"/>
      <c r="AV777" s="11"/>
      <c r="AW777" s="11"/>
      <c r="BB777" s="9"/>
      <c r="BC777" s="11"/>
      <c r="BF777" s="9"/>
      <c r="CF777" s="12"/>
      <c r="CH777" s="9"/>
    </row>
    <row r="778" spans="6:86" x14ac:dyDescent="0.25">
      <c r="F778" s="9"/>
      <c r="G778" s="9"/>
      <c r="AA778" s="10"/>
      <c r="AV778" s="11"/>
      <c r="AW778" s="11"/>
      <c r="BB778" s="9"/>
      <c r="BC778" s="11"/>
      <c r="BF778" s="9"/>
      <c r="CF778" s="12"/>
      <c r="CH778" s="9"/>
    </row>
    <row r="779" spans="6:86" x14ac:dyDescent="0.25">
      <c r="F779" s="9"/>
      <c r="G779" s="9"/>
      <c r="AA779" s="10"/>
      <c r="AV779" s="11"/>
      <c r="AW779" s="11"/>
      <c r="BB779" s="9"/>
      <c r="BC779" s="11"/>
      <c r="BF779" s="9"/>
      <c r="CF779" s="12"/>
      <c r="CH779" s="9"/>
    </row>
    <row r="780" spans="6:86" x14ac:dyDescent="0.25">
      <c r="F780" s="9"/>
      <c r="G780" s="9"/>
      <c r="AA780" s="10"/>
      <c r="AV780" s="11"/>
      <c r="AW780" s="11"/>
      <c r="BB780" s="9"/>
      <c r="BC780" s="11"/>
      <c r="BF780" s="9"/>
      <c r="CF780" s="12"/>
      <c r="CH780" s="9"/>
    </row>
    <row r="781" spans="6:86" x14ac:dyDescent="0.25">
      <c r="F781" s="9"/>
      <c r="G781" s="9"/>
      <c r="AA781" s="10"/>
      <c r="AV781" s="11"/>
      <c r="AW781" s="11"/>
      <c r="BB781" s="9"/>
      <c r="BC781" s="11"/>
      <c r="BF781" s="9"/>
      <c r="CF781" s="12"/>
      <c r="CH781" s="9"/>
    </row>
    <row r="782" spans="6:86" x14ac:dyDescent="0.25">
      <c r="F782" s="9"/>
      <c r="G782" s="9"/>
      <c r="AA782" s="10"/>
      <c r="AV782" s="11"/>
      <c r="AW782" s="11"/>
      <c r="BB782" s="9"/>
      <c r="BC782" s="11"/>
      <c r="BF782" s="9"/>
      <c r="CF782" s="12"/>
      <c r="CH782" s="9"/>
    </row>
    <row r="783" spans="6:86" x14ac:dyDescent="0.25">
      <c r="F783" s="9"/>
      <c r="G783" s="9"/>
      <c r="AA783" s="10"/>
      <c r="AV783" s="11"/>
      <c r="AW783" s="11"/>
      <c r="BB783" s="9"/>
      <c r="BC783" s="11"/>
      <c r="BF783" s="9"/>
      <c r="CH783" s="9"/>
    </row>
    <row r="784" spans="6:86" x14ac:dyDescent="0.25">
      <c r="F784" s="9"/>
      <c r="G784" s="9"/>
      <c r="AA784" s="10"/>
      <c r="AV784" s="11"/>
      <c r="AW784" s="11"/>
      <c r="BB784" s="9"/>
      <c r="BC784" s="11"/>
      <c r="BF784" s="9"/>
      <c r="CF784" s="12"/>
      <c r="CH784" s="9"/>
    </row>
    <row r="785" spans="6:86" x14ac:dyDescent="0.25">
      <c r="F785" s="9"/>
      <c r="G785" s="9"/>
      <c r="AA785" s="10"/>
      <c r="AV785" s="11"/>
      <c r="AW785" s="11"/>
      <c r="BB785" s="9"/>
      <c r="BC785" s="11"/>
      <c r="BF785" s="9"/>
      <c r="CF785" s="12"/>
      <c r="CH785" s="9"/>
    </row>
    <row r="786" spans="6:86" x14ac:dyDescent="0.25">
      <c r="F786" s="9"/>
      <c r="G786" s="9"/>
      <c r="AA786" s="10"/>
      <c r="AV786" s="11"/>
      <c r="AW786" s="11"/>
      <c r="BB786" s="9"/>
      <c r="BC786" s="11"/>
      <c r="BF786" s="9"/>
      <c r="CF786" s="12"/>
      <c r="CH786" s="9"/>
    </row>
    <row r="787" spans="6:86" x14ac:dyDescent="0.25">
      <c r="F787" s="9"/>
      <c r="G787" s="9"/>
      <c r="AA787" s="10"/>
      <c r="AV787" s="11"/>
      <c r="AW787" s="11"/>
      <c r="BB787" s="9"/>
      <c r="BC787" s="11"/>
      <c r="BF787" s="9"/>
      <c r="CF787" s="12"/>
      <c r="CH787" s="9"/>
    </row>
    <row r="788" spans="6:86" x14ac:dyDescent="0.25">
      <c r="F788" s="9"/>
      <c r="G788" s="9"/>
      <c r="AA788" s="10"/>
      <c r="AV788" s="11"/>
      <c r="AW788" s="11"/>
      <c r="BB788" s="9"/>
      <c r="BC788" s="11"/>
      <c r="BF788" s="9"/>
      <c r="CF788" s="12"/>
      <c r="CH788" s="9"/>
    </row>
    <row r="789" spans="6:86" x14ac:dyDescent="0.25">
      <c r="F789" s="9"/>
      <c r="G789" s="9"/>
      <c r="AA789" s="10"/>
      <c r="AV789" s="11"/>
      <c r="AW789" s="11"/>
      <c r="BB789" s="9"/>
      <c r="BC789" s="11"/>
      <c r="BF789" s="9"/>
      <c r="CF789" s="12"/>
      <c r="CH789" s="9"/>
    </row>
    <row r="790" spans="6:86" x14ac:dyDescent="0.25">
      <c r="F790" s="9"/>
      <c r="G790" s="9"/>
      <c r="AA790" s="10"/>
      <c r="AV790" s="11"/>
      <c r="AW790" s="11"/>
      <c r="BB790" s="9"/>
      <c r="BC790" s="11"/>
      <c r="BF790" s="9"/>
      <c r="CF790" s="12"/>
      <c r="CH790" s="9"/>
    </row>
    <row r="791" spans="6:86" x14ac:dyDescent="0.25">
      <c r="F791" s="9"/>
      <c r="G791" s="9"/>
      <c r="AA791" s="10"/>
      <c r="AV791" s="11"/>
      <c r="AW791" s="11"/>
      <c r="BB791" s="9"/>
      <c r="BC791" s="11"/>
      <c r="BF791" s="9"/>
      <c r="CF791" s="12"/>
      <c r="CH791" s="9"/>
    </row>
    <row r="792" spans="6:86" x14ac:dyDescent="0.25">
      <c r="F792" s="9"/>
      <c r="G792" s="9"/>
      <c r="AA792" s="10"/>
      <c r="AV792" s="11"/>
      <c r="AW792" s="11"/>
      <c r="BB792" s="9"/>
      <c r="BC792" s="11"/>
      <c r="BF792" s="9"/>
      <c r="CF792" s="12"/>
      <c r="CH792" s="9"/>
    </row>
    <row r="793" spans="6:86" x14ac:dyDescent="0.25">
      <c r="F793" s="9"/>
      <c r="G793" s="9"/>
      <c r="AA793" s="10"/>
      <c r="AV793" s="11"/>
      <c r="AW793" s="11"/>
      <c r="BB793" s="9"/>
      <c r="BC793" s="11"/>
      <c r="BF793" s="9"/>
      <c r="CF793" s="12"/>
      <c r="CH793" s="9"/>
    </row>
    <row r="794" spans="6:86" x14ac:dyDescent="0.25">
      <c r="F794" s="9"/>
      <c r="G794" s="9"/>
      <c r="AA794" s="10"/>
      <c r="AV794" s="11"/>
      <c r="AW794" s="11"/>
      <c r="BB794" s="9"/>
      <c r="BC794" s="11"/>
      <c r="BF794" s="9"/>
      <c r="CF794" s="12"/>
      <c r="CH794" s="9"/>
    </row>
    <row r="795" spans="6:86" x14ac:dyDescent="0.25">
      <c r="F795" s="9"/>
      <c r="G795" s="9"/>
      <c r="AA795" s="10"/>
      <c r="AV795" s="11"/>
      <c r="AW795" s="11"/>
      <c r="BB795" s="9"/>
      <c r="BC795" s="11"/>
      <c r="BF795" s="9"/>
      <c r="CF795" s="12"/>
      <c r="CH795" s="9"/>
    </row>
    <row r="796" spans="6:86" x14ac:dyDescent="0.25">
      <c r="F796" s="9"/>
      <c r="G796" s="9"/>
      <c r="AA796" s="10"/>
      <c r="AV796" s="11"/>
      <c r="AW796" s="11"/>
      <c r="BB796" s="9"/>
      <c r="BC796" s="11"/>
      <c r="BF796" s="9"/>
      <c r="CF796" s="12"/>
      <c r="CH796" s="9"/>
    </row>
    <row r="797" spans="6:86" x14ac:dyDescent="0.25">
      <c r="F797" s="9"/>
      <c r="G797" s="9"/>
      <c r="AA797" s="10"/>
      <c r="AV797" s="11"/>
      <c r="AW797" s="11"/>
      <c r="BB797" s="9"/>
      <c r="BC797" s="11"/>
      <c r="BF797" s="9"/>
      <c r="CF797" s="12"/>
      <c r="CH797" s="9"/>
    </row>
    <row r="798" spans="6:86" x14ac:dyDescent="0.25">
      <c r="F798" s="9"/>
      <c r="G798" s="9"/>
      <c r="AA798" s="10"/>
      <c r="AV798" s="11"/>
      <c r="AW798" s="11"/>
      <c r="BB798" s="9"/>
      <c r="BC798" s="11"/>
      <c r="BF798" s="9"/>
      <c r="CF798" s="12"/>
      <c r="CH798" s="9"/>
    </row>
    <row r="799" spans="6:86" x14ac:dyDescent="0.25">
      <c r="F799" s="9"/>
      <c r="G799" s="9"/>
      <c r="AA799" s="10"/>
      <c r="AV799" s="11"/>
      <c r="AW799" s="11"/>
      <c r="BB799" s="9"/>
      <c r="BC799" s="11"/>
      <c r="BF799" s="9"/>
      <c r="CF799" s="12"/>
      <c r="CH799" s="9"/>
    </row>
    <row r="800" spans="6:86" x14ac:dyDescent="0.25">
      <c r="F800" s="9"/>
      <c r="G800" s="9"/>
      <c r="AA800" s="10"/>
      <c r="AV800" s="11"/>
      <c r="AW800" s="11"/>
      <c r="BB800" s="9"/>
      <c r="BC800" s="11"/>
      <c r="BF800" s="9"/>
      <c r="CF800" s="12"/>
      <c r="CH800" s="9"/>
    </row>
    <row r="801" spans="6:92" x14ac:dyDescent="0.25">
      <c r="F801" s="9"/>
      <c r="G801" s="9"/>
      <c r="AA801" s="10"/>
      <c r="AV801" s="11"/>
      <c r="AW801" s="11"/>
      <c r="BB801" s="9"/>
      <c r="BC801" s="11"/>
      <c r="BF801" s="9"/>
      <c r="CF801" s="12"/>
      <c r="CH801" s="9"/>
    </row>
    <row r="802" spans="6:92" x14ac:dyDescent="0.25">
      <c r="F802" s="9"/>
      <c r="G802" s="9"/>
      <c r="AA802" s="10"/>
      <c r="AV802" s="11"/>
      <c r="AW802" s="11"/>
      <c r="BB802" s="9"/>
      <c r="BC802" s="11"/>
      <c r="BF802" s="9"/>
      <c r="CF802" s="12"/>
      <c r="CH802" s="9"/>
    </row>
    <row r="803" spans="6:92" x14ac:dyDescent="0.25">
      <c r="F803" s="9"/>
      <c r="G803" s="9"/>
      <c r="AA803" s="10"/>
      <c r="AV803" s="11"/>
      <c r="AW803" s="11"/>
      <c r="BB803" s="9"/>
      <c r="BC803" s="11"/>
      <c r="BF803" s="9"/>
      <c r="CF803" s="12"/>
      <c r="CH803" s="9"/>
    </row>
    <row r="804" spans="6:92" x14ac:dyDescent="0.25">
      <c r="F804" s="9"/>
      <c r="G804" s="9"/>
      <c r="AA804" s="10"/>
      <c r="AV804" s="11"/>
      <c r="AW804" s="11"/>
      <c r="BB804" s="9"/>
      <c r="BC804" s="11"/>
      <c r="BF804" s="9"/>
      <c r="CH804" s="9"/>
    </row>
    <row r="805" spans="6:92" x14ac:dyDescent="0.25">
      <c r="F805" s="9"/>
      <c r="G805" s="9"/>
      <c r="AA805" s="10"/>
      <c r="AV805" s="11"/>
      <c r="AW805" s="11"/>
      <c r="BB805" s="9"/>
      <c r="BC805" s="11"/>
      <c r="BF805" s="9"/>
      <c r="CF805" s="12"/>
      <c r="CH805" s="9"/>
    </row>
    <row r="806" spans="6:92" x14ac:dyDescent="0.25">
      <c r="F806" s="9"/>
      <c r="G806" s="9"/>
      <c r="AA806" s="10"/>
      <c r="AV806" s="11"/>
      <c r="AW806" s="11"/>
      <c r="BB806" s="9"/>
      <c r="BC806" s="11"/>
      <c r="BF806" s="9"/>
      <c r="CF806" s="12"/>
      <c r="CH806" s="9"/>
    </row>
    <row r="807" spans="6:92" x14ac:dyDescent="0.25">
      <c r="F807" s="9"/>
      <c r="G807" s="9"/>
      <c r="AA807" s="10"/>
      <c r="AV807" s="11"/>
      <c r="AW807" s="11"/>
      <c r="BB807" s="9"/>
      <c r="BC807" s="11"/>
      <c r="BF807" s="9"/>
      <c r="CF807" s="12"/>
      <c r="CH807" s="9"/>
    </row>
    <row r="808" spans="6:92" x14ac:dyDescent="0.25">
      <c r="F808" s="9"/>
      <c r="G808" s="9"/>
      <c r="U808" s="12"/>
      <c r="Z808" s="12"/>
      <c r="AA808" s="10"/>
      <c r="AV808" s="11"/>
      <c r="AW808" s="11"/>
      <c r="BB808" s="9"/>
      <c r="BC808" s="11"/>
      <c r="BF808" s="9"/>
      <c r="CF808" s="12"/>
      <c r="CH808" s="9"/>
      <c r="CN808" s="12"/>
    </row>
    <row r="809" spans="6:92" x14ac:dyDescent="0.25">
      <c r="F809" s="9"/>
      <c r="G809" s="9"/>
      <c r="AA809" s="10"/>
      <c r="AV809" s="11"/>
      <c r="AW809" s="11"/>
      <c r="BB809" s="9"/>
      <c r="BC809" s="11"/>
      <c r="BF809" s="9"/>
      <c r="CF809" s="12"/>
      <c r="CH809" s="9"/>
    </row>
    <row r="810" spans="6:92" x14ac:dyDescent="0.25">
      <c r="F810" s="9"/>
      <c r="G810" s="9"/>
      <c r="AA810" s="10"/>
      <c r="AV810" s="11"/>
      <c r="AW810" s="11"/>
      <c r="BB810" s="9"/>
      <c r="BC810" s="11"/>
      <c r="BF810" s="9"/>
      <c r="CF810" s="12"/>
      <c r="CH810" s="9"/>
    </row>
    <row r="811" spans="6:92" x14ac:dyDescent="0.25">
      <c r="F811" s="9"/>
      <c r="G811" s="9"/>
      <c r="AA811" s="10"/>
      <c r="AV811" s="11"/>
      <c r="AW811" s="11"/>
      <c r="BB811" s="9"/>
      <c r="BC811" s="11"/>
      <c r="BF811" s="9"/>
      <c r="CF811" s="12"/>
      <c r="CH811" s="9"/>
    </row>
    <row r="812" spans="6:92" x14ac:dyDescent="0.25">
      <c r="F812" s="9"/>
      <c r="G812" s="9"/>
      <c r="AA812" s="10"/>
      <c r="AV812" s="11"/>
      <c r="AW812" s="11"/>
      <c r="BB812" s="9"/>
      <c r="BC812" s="11"/>
      <c r="BF812" s="9"/>
      <c r="CF812" s="12"/>
      <c r="CH812" s="9"/>
    </row>
    <row r="813" spans="6:92" x14ac:dyDescent="0.25">
      <c r="F813" s="9"/>
      <c r="G813" s="9"/>
      <c r="AA813" s="10"/>
      <c r="AV813" s="11"/>
      <c r="AW813" s="11"/>
      <c r="BB813" s="9"/>
      <c r="BC813" s="11"/>
      <c r="BF813" s="9"/>
      <c r="CF813" s="12"/>
      <c r="CH813" s="9"/>
    </row>
    <row r="814" spans="6:92" x14ac:dyDescent="0.25">
      <c r="F814" s="9"/>
      <c r="G814" s="9"/>
      <c r="AA814" s="10"/>
      <c r="AV814" s="11"/>
      <c r="AW814" s="11"/>
      <c r="BB814" s="9"/>
      <c r="BC814" s="11"/>
      <c r="BF814" s="9"/>
      <c r="CF814" s="12"/>
      <c r="CH814" s="9"/>
    </row>
    <row r="815" spans="6:92" x14ac:dyDescent="0.25">
      <c r="F815" s="9"/>
      <c r="G815" s="9"/>
      <c r="AA815" s="10"/>
      <c r="AV815" s="11"/>
      <c r="AW815" s="11"/>
      <c r="BB815" s="9"/>
      <c r="BC815" s="11"/>
      <c r="BF815" s="9"/>
      <c r="CF815" s="12"/>
      <c r="CH815" s="9"/>
    </row>
    <row r="816" spans="6:92" x14ac:dyDescent="0.25">
      <c r="F816" s="9"/>
      <c r="G816" s="9"/>
      <c r="AA816" s="10"/>
      <c r="AV816" s="11"/>
      <c r="AW816" s="11"/>
      <c r="BB816" s="9"/>
      <c r="BC816" s="11"/>
      <c r="BF816" s="9"/>
      <c r="CF816" s="12"/>
      <c r="CH816" s="9"/>
      <c r="CN816" s="12"/>
    </row>
    <row r="817" spans="6:92" x14ac:dyDescent="0.25">
      <c r="F817" s="9"/>
      <c r="G817" s="9"/>
      <c r="AA817" s="10"/>
      <c r="AV817" s="11"/>
      <c r="AW817" s="11"/>
      <c r="BB817" s="9"/>
      <c r="BC817" s="11"/>
      <c r="BF817" s="9"/>
      <c r="CF817" s="12"/>
      <c r="CH817" s="9"/>
    </row>
    <row r="818" spans="6:92" x14ac:dyDescent="0.25">
      <c r="F818" s="9"/>
      <c r="G818" s="9"/>
      <c r="AA818" s="10"/>
      <c r="AV818" s="11"/>
      <c r="AW818" s="11"/>
      <c r="BB818" s="9"/>
      <c r="BC818" s="11"/>
      <c r="BF818" s="9"/>
      <c r="CF818" s="12"/>
      <c r="CH818" s="9"/>
    </row>
    <row r="819" spans="6:92" x14ac:dyDescent="0.25">
      <c r="F819" s="9"/>
      <c r="G819" s="9"/>
      <c r="AA819" s="10"/>
      <c r="AV819" s="11"/>
      <c r="AW819" s="11"/>
      <c r="BB819" s="9"/>
      <c r="BC819" s="11"/>
      <c r="BF819" s="9"/>
      <c r="CF819" s="12"/>
      <c r="CH819" s="9"/>
    </row>
    <row r="820" spans="6:92" x14ac:dyDescent="0.25">
      <c r="F820" s="9"/>
      <c r="G820" s="9"/>
      <c r="AA820" s="10"/>
      <c r="AV820" s="11"/>
      <c r="AW820" s="11"/>
      <c r="BB820" s="9"/>
      <c r="BC820" s="11"/>
      <c r="BF820" s="9"/>
      <c r="CH820" s="9"/>
    </row>
    <row r="821" spans="6:92" x14ac:dyDescent="0.25">
      <c r="F821" s="9"/>
      <c r="G821" s="9"/>
      <c r="AA821" s="10"/>
      <c r="AV821" s="11"/>
      <c r="AW821" s="11"/>
      <c r="BB821" s="9"/>
      <c r="BC821" s="11"/>
      <c r="BF821" s="9"/>
      <c r="CF821" s="12"/>
      <c r="CH821" s="9"/>
    </row>
    <row r="822" spans="6:92" x14ac:dyDescent="0.25">
      <c r="F822" s="9"/>
      <c r="G822" s="9"/>
      <c r="AA822" s="10"/>
      <c r="AV822" s="11"/>
      <c r="AW822" s="11"/>
      <c r="BB822" s="9"/>
      <c r="BC822" s="11"/>
      <c r="BF822" s="9"/>
      <c r="CF822" s="12"/>
      <c r="CH822" s="9"/>
    </row>
    <row r="823" spans="6:92" x14ac:dyDescent="0.25">
      <c r="F823" s="9"/>
      <c r="G823" s="9"/>
      <c r="U823" s="12"/>
      <c r="Z823" s="12"/>
      <c r="AA823" s="10"/>
      <c r="AV823" s="11"/>
      <c r="AW823" s="11"/>
      <c r="BB823" s="9"/>
      <c r="BC823" s="11"/>
      <c r="BF823" s="9"/>
      <c r="CF823" s="12"/>
      <c r="CH823" s="9"/>
      <c r="CN823" s="12"/>
    </row>
    <row r="824" spans="6:92" x14ac:dyDescent="0.25">
      <c r="F824" s="9"/>
      <c r="G824" s="9"/>
      <c r="AA824" s="10"/>
      <c r="AV824" s="11"/>
      <c r="AW824" s="11"/>
      <c r="BB824" s="9"/>
      <c r="BC824" s="11"/>
      <c r="BF824" s="9"/>
      <c r="CF824" s="12"/>
      <c r="CH824" s="9"/>
    </row>
    <row r="825" spans="6:92" x14ac:dyDescent="0.25">
      <c r="F825" s="9"/>
      <c r="G825" s="9"/>
      <c r="U825" s="12"/>
      <c r="AA825" s="10"/>
      <c r="AV825" s="11"/>
      <c r="AW825" s="11"/>
      <c r="BB825" s="9"/>
      <c r="BC825" s="11"/>
      <c r="BF825" s="9"/>
      <c r="CF825" s="12"/>
      <c r="CH825" s="9"/>
    </row>
    <row r="826" spans="6:92" x14ac:dyDescent="0.25">
      <c r="F826" s="9"/>
      <c r="G826" s="9"/>
      <c r="AA826" s="10"/>
      <c r="AV826" s="11"/>
      <c r="AW826" s="11"/>
      <c r="BB826" s="9"/>
      <c r="BC826" s="11"/>
      <c r="BF826" s="9"/>
      <c r="CF826" s="12"/>
      <c r="CH826" s="9"/>
    </row>
    <row r="827" spans="6:92" x14ac:dyDescent="0.25">
      <c r="F827" s="9"/>
      <c r="G827" s="9"/>
      <c r="AA827" s="10"/>
      <c r="AV827" s="11"/>
      <c r="AW827" s="11"/>
      <c r="BB827" s="9"/>
      <c r="BC827" s="11"/>
      <c r="BF827" s="9"/>
      <c r="CF827" s="12"/>
      <c r="CH827" s="9"/>
    </row>
    <row r="828" spans="6:92" x14ac:dyDescent="0.25">
      <c r="F828" s="9"/>
      <c r="G828" s="9"/>
      <c r="AA828" s="10"/>
      <c r="AV828" s="11"/>
      <c r="AW828" s="11"/>
      <c r="BB828" s="9"/>
      <c r="BC828" s="11"/>
      <c r="BF828" s="9"/>
      <c r="CF828" s="12"/>
      <c r="CH828" s="9"/>
    </row>
    <row r="829" spans="6:92" x14ac:dyDescent="0.25">
      <c r="F829" s="9"/>
      <c r="G829" s="9"/>
      <c r="AA829" s="10"/>
      <c r="AV829" s="11"/>
      <c r="AW829" s="11"/>
      <c r="BB829" s="9"/>
      <c r="BC829" s="11"/>
      <c r="BF829" s="9"/>
      <c r="CF829" s="12"/>
      <c r="CH829" s="9"/>
    </row>
    <row r="830" spans="6:92" x14ac:dyDescent="0.25">
      <c r="F830" s="9"/>
      <c r="G830" s="9"/>
      <c r="AA830" s="10"/>
      <c r="AV830" s="11"/>
      <c r="AW830" s="11"/>
      <c r="BB830" s="9"/>
      <c r="BC830" s="11"/>
      <c r="BF830" s="9"/>
      <c r="CF830" s="12"/>
      <c r="CH830" s="9"/>
    </row>
    <row r="831" spans="6:92" x14ac:dyDescent="0.25">
      <c r="F831" s="9"/>
      <c r="G831" s="9"/>
      <c r="AA831" s="10"/>
      <c r="AV831" s="11"/>
      <c r="AW831" s="11"/>
      <c r="BB831" s="9"/>
      <c r="BC831" s="11"/>
      <c r="BF831" s="9"/>
      <c r="CF831" s="12"/>
      <c r="CH831" s="9"/>
    </row>
    <row r="832" spans="6:92" x14ac:dyDescent="0.25">
      <c r="F832" s="9"/>
      <c r="G832" s="9"/>
      <c r="AA832" s="10"/>
      <c r="AV832" s="11"/>
      <c r="AW832" s="11"/>
      <c r="BB832" s="9"/>
      <c r="BC832" s="11"/>
      <c r="BF832" s="9"/>
      <c r="CF832" s="12"/>
      <c r="CH832" s="9"/>
    </row>
    <row r="833" spans="6:86" x14ac:dyDescent="0.25">
      <c r="F833" s="9"/>
      <c r="G833" s="9"/>
      <c r="AA833" s="10"/>
      <c r="AV833" s="11"/>
      <c r="AW833" s="11"/>
      <c r="BB833" s="9"/>
      <c r="BC833" s="11"/>
      <c r="BF833" s="9"/>
      <c r="CF833" s="12"/>
      <c r="CH833" s="9"/>
    </row>
    <row r="834" spans="6:86" x14ac:dyDescent="0.25">
      <c r="F834" s="9"/>
      <c r="G834" s="9"/>
      <c r="AA834" s="10"/>
      <c r="AV834" s="11"/>
      <c r="AW834" s="11"/>
      <c r="BB834" s="9"/>
      <c r="BC834" s="11"/>
      <c r="BF834" s="9"/>
      <c r="CH834" s="9"/>
    </row>
    <row r="835" spans="6:86" x14ac:dyDescent="0.25">
      <c r="F835" s="9"/>
      <c r="G835" s="9"/>
      <c r="AA835" s="10"/>
      <c r="AV835" s="11"/>
      <c r="AW835" s="11"/>
      <c r="BB835" s="9"/>
      <c r="BC835" s="11"/>
      <c r="BF835" s="9"/>
      <c r="CF835" s="12"/>
      <c r="CH835" s="9"/>
    </row>
    <row r="836" spans="6:86" x14ac:dyDescent="0.25">
      <c r="F836" s="9"/>
      <c r="G836" s="9"/>
      <c r="AA836" s="10"/>
      <c r="AV836" s="11"/>
      <c r="AW836" s="11"/>
      <c r="BB836" s="9"/>
      <c r="BC836" s="11"/>
      <c r="BF836" s="9"/>
      <c r="CF836" s="12"/>
      <c r="CH836" s="9"/>
    </row>
    <row r="837" spans="6:86" x14ac:dyDescent="0.25">
      <c r="F837" s="9"/>
      <c r="G837" s="9"/>
      <c r="AA837" s="10"/>
      <c r="AV837" s="11"/>
      <c r="AW837" s="11"/>
      <c r="BB837" s="9"/>
      <c r="BC837" s="11"/>
      <c r="BF837" s="9"/>
      <c r="CF837" s="12"/>
      <c r="CH837" s="9"/>
    </row>
    <row r="838" spans="6:86" x14ac:dyDescent="0.25">
      <c r="F838" s="9"/>
      <c r="G838" s="9"/>
      <c r="AA838" s="10"/>
      <c r="AV838" s="11"/>
      <c r="AW838" s="11"/>
      <c r="BB838" s="9"/>
      <c r="BC838" s="11"/>
      <c r="BF838" s="9"/>
      <c r="CF838" s="12"/>
      <c r="CH838" s="9"/>
    </row>
    <row r="839" spans="6:86" x14ac:dyDescent="0.25">
      <c r="F839" s="9"/>
      <c r="G839" s="9"/>
      <c r="AA839" s="10"/>
      <c r="AV839" s="11"/>
      <c r="AW839" s="11"/>
      <c r="BB839" s="9"/>
      <c r="BC839" s="11"/>
      <c r="BF839" s="9"/>
      <c r="CF839" s="12"/>
      <c r="CH839" s="9"/>
    </row>
    <row r="840" spans="6:86" x14ac:dyDescent="0.25">
      <c r="F840" s="9"/>
      <c r="G840" s="9"/>
      <c r="AA840" s="10"/>
      <c r="AV840" s="11"/>
      <c r="AW840" s="11"/>
      <c r="BB840" s="9"/>
      <c r="BC840" s="11"/>
      <c r="BF840" s="9"/>
      <c r="CF840" s="12"/>
      <c r="CH840" s="9"/>
    </row>
    <row r="841" spans="6:86" x14ac:dyDescent="0.25">
      <c r="F841" s="9"/>
      <c r="G841" s="9"/>
      <c r="AA841" s="10"/>
      <c r="AV841" s="11"/>
      <c r="AW841" s="11"/>
      <c r="BB841" s="9"/>
      <c r="BC841" s="11"/>
      <c r="BF841" s="9"/>
      <c r="CF841" s="12"/>
      <c r="CH841" s="9"/>
    </row>
    <row r="842" spans="6:86" x14ac:dyDescent="0.25">
      <c r="F842" s="9"/>
      <c r="G842" s="9"/>
      <c r="AA842" s="10"/>
      <c r="AV842" s="11"/>
      <c r="AW842" s="11"/>
      <c r="BB842" s="9"/>
      <c r="BC842" s="11"/>
      <c r="BF842" s="9"/>
      <c r="CF842" s="12"/>
      <c r="CH842" s="9"/>
    </row>
    <row r="843" spans="6:86" x14ac:dyDescent="0.25">
      <c r="F843" s="9"/>
      <c r="G843" s="9"/>
      <c r="AA843" s="10"/>
      <c r="AV843" s="11"/>
      <c r="AW843" s="11"/>
      <c r="BB843" s="9"/>
      <c r="BC843" s="11"/>
      <c r="BF843" s="9"/>
      <c r="CF843" s="12"/>
      <c r="CH843" s="9"/>
    </row>
    <row r="844" spans="6:86" x14ac:dyDescent="0.25">
      <c r="F844" s="9"/>
      <c r="G844" s="9"/>
      <c r="AA844" s="10"/>
      <c r="AV844" s="11"/>
      <c r="AW844" s="11"/>
      <c r="BB844" s="9"/>
      <c r="BC844" s="11"/>
      <c r="BF844" s="9"/>
      <c r="CF844" s="12"/>
      <c r="CH844" s="9"/>
    </row>
    <row r="845" spans="6:86" x14ac:dyDescent="0.25">
      <c r="F845" s="9"/>
      <c r="G845" s="9"/>
      <c r="AA845" s="10"/>
      <c r="AV845" s="11"/>
      <c r="AW845" s="11"/>
      <c r="BB845" s="9"/>
      <c r="BC845" s="11"/>
      <c r="BF845" s="9"/>
      <c r="CF845" s="12"/>
      <c r="CH845" s="9"/>
    </row>
    <row r="846" spans="6:86" x14ac:dyDescent="0.25">
      <c r="F846" s="9"/>
      <c r="G846" s="9"/>
      <c r="AA846" s="10"/>
      <c r="AV846" s="11"/>
      <c r="AW846" s="11"/>
      <c r="BB846" s="9"/>
      <c r="BC846" s="11"/>
      <c r="BF846" s="9"/>
      <c r="CF846" s="12"/>
      <c r="CH846" s="9"/>
    </row>
    <row r="847" spans="6:86" x14ac:dyDescent="0.25">
      <c r="F847" s="9"/>
      <c r="G847" s="9"/>
      <c r="AA847" s="10"/>
      <c r="AV847" s="11"/>
      <c r="AW847" s="11"/>
      <c r="BB847" s="9"/>
      <c r="BC847" s="11"/>
      <c r="BF847" s="9"/>
      <c r="CF847" s="12"/>
      <c r="CH847" s="9"/>
    </row>
    <row r="848" spans="6:86" x14ac:dyDescent="0.25">
      <c r="F848" s="9"/>
      <c r="G848" s="9"/>
      <c r="AA848" s="10"/>
      <c r="AV848" s="11"/>
      <c r="AW848" s="11"/>
      <c r="BB848" s="9"/>
      <c r="BC848" s="11"/>
      <c r="BF848" s="9"/>
      <c r="CF848" s="12"/>
      <c r="CH848" s="9"/>
    </row>
    <row r="849" spans="6:86" x14ac:dyDescent="0.25">
      <c r="F849" s="9"/>
      <c r="G849" s="9"/>
      <c r="AA849" s="10"/>
      <c r="AV849" s="11"/>
      <c r="AW849" s="11"/>
      <c r="BB849" s="9"/>
      <c r="BC849" s="11"/>
      <c r="BF849" s="9"/>
      <c r="CF849" s="12"/>
      <c r="CH849" s="9"/>
    </row>
    <row r="850" spans="6:86" x14ac:dyDescent="0.25">
      <c r="F850" s="9"/>
      <c r="G850" s="9"/>
      <c r="AA850" s="10"/>
      <c r="AV850" s="11"/>
      <c r="AW850" s="11"/>
      <c r="BB850" s="9"/>
      <c r="BC850" s="11"/>
      <c r="BF850" s="9"/>
      <c r="CH850" s="9"/>
    </row>
    <row r="851" spans="6:86" x14ac:dyDescent="0.25">
      <c r="F851" s="9"/>
      <c r="G851" s="9"/>
      <c r="AA851" s="10"/>
      <c r="AV851" s="11"/>
      <c r="AW851" s="11"/>
      <c r="BB851" s="9"/>
      <c r="BC851" s="11"/>
      <c r="BF851" s="9"/>
      <c r="CH851" s="9"/>
    </row>
    <row r="852" spans="6:86" x14ac:dyDescent="0.25">
      <c r="F852" s="9"/>
      <c r="G852" s="9"/>
      <c r="AA852" s="10"/>
      <c r="AV852" s="11"/>
      <c r="AW852" s="11"/>
      <c r="BB852" s="9"/>
      <c r="BC852" s="11"/>
      <c r="BF852" s="9"/>
      <c r="CF852" s="12"/>
      <c r="CH852" s="9"/>
    </row>
    <row r="853" spans="6:86" x14ac:dyDescent="0.25">
      <c r="F853" s="9"/>
      <c r="G853" s="9"/>
      <c r="AA853" s="10"/>
      <c r="AV853" s="11"/>
      <c r="AW853" s="11"/>
      <c r="BB853" s="9"/>
      <c r="BC853" s="11"/>
      <c r="BF853" s="9"/>
      <c r="CH853" s="9"/>
    </row>
    <row r="854" spans="6:86" x14ac:dyDescent="0.25">
      <c r="F854" s="9"/>
      <c r="G854" s="9"/>
      <c r="AA854" s="10"/>
      <c r="AV854" s="11"/>
      <c r="AW854" s="11"/>
      <c r="BB854" s="9"/>
      <c r="BC854" s="11"/>
      <c r="BF854" s="9"/>
      <c r="CF854" s="12"/>
      <c r="CH854" s="9"/>
    </row>
    <row r="855" spans="6:86" x14ac:dyDescent="0.25">
      <c r="F855" s="9"/>
      <c r="G855" s="9"/>
      <c r="AA855" s="10"/>
      <c r="AV855" s="11"/>
      <c r="AW855" s="11"/>
      <c r="BB855" s="9"/>
      <c r="BC855" s="11"/>
      <c r="BF855" s="9"/>
      <c r="CF855" s="12"/>
      <c r="CH855" s="9"/>
    </row>
    <row r="856" spans="6:86" x14ac:dyDescent="0.25">
      <c r="F856" s="9"/>
      <c r="G856" s="9"/>
      <c r="AA856" s="10"/>
      <c r="AV856" s="11"/>
      <c r="AW856" s="11"/>
      <c r="BB856" s="9"/>
      <c r="BC856" s="11"/>
      <c r="BF856" s="9"/>
      <c r="CF856" s="12"/>
      <c r="CH856" s="9"/>
    </row>
    <row r="857" spans="6:86" x14ac:dyDescent="0.25">
      <c r="F857" s="9"/>
      <c r="G857" s="9"/>
      <c r="AA857" s="10"/>
      <c r="AV857" s="11"/>
      <c r="AW857" s="11"/>
      <c r="BB857" s="9"/>
      <c r="BC857" s="11"/>
      <c r="BF857" s="9"/>
      <c r="CH857" s="9"/>
    </row>
    <row r="858" spans="6:86" x14ac:dyDescent="0.25">
      <c r="F858" s="9"/>
      <c r="G858" s="9"/>
      <c r="AA858" s="10"/>
      <c r="AV858" s="11"/>
      <c r="AW858" s="11"/>
      <c r="BB858" s="9"/>
      <c r="BC858" s="11"/>
      <c r="BF858" s="9"/>
      <c r="CH858" s="9"/>
    </row>
    <row r="859" spans="6:86" x14ac:dyDescent="0.25">
      <c r="F859" s="9"/>
      <c r="G859" s="9"/>
      <c r="AA859" s="10"/>
      <c r="AV859" s="11"/>
      <c r="AW859" s="11"/>
      <c r="BB859" s="9"/>
      <c r="BC859" s="11"/>
      <c r="BF859" s="9"/>
      <c r="CH859" s="9"/>
    </row>
    <row r="860" spans="6:86" x14ac:dyDescent="0.25">
      <c r="F860" s="9"/>
      <c r="G860" s="9"/>
      <c r="AA860" s="10"/>
      <c r="AV860" s="11"/>
      <c r="AW860" s="11"/>
      <c r="BB860" s="9"/>
      <c r="BC860" s="11"/>
      <c r="BF860" s="9"/>
      <c r="CH860" s="9"/>
    </row>
    <row r="861" spans="6:86" x14ac:dyDescent="0.25">
      <c r="F861" s="9"/>
      <c r="G861" s="9"/>
      <c r="AA861" s="10"/>
      <c r="AV861" s="11"/>
      <c r="AW861" s="11"/>
      <c r="BB861" s="9"/>
      <c r="BC861" s="11"/>
      <c r="BF861" s="9"/>
      <c r="CH861" s="9"/>
    </row>
    <row r="862" spans="6:86" x14ac:dyDescent="0.25">
      <c r="F862" s="9"/>
      <c r="G862" s="9"/>
      <c r="AA862" s="10"/>
      <c r="AV862" s="11"/>
      <c r="AW862" s="11"/>
      <c r="BB862" s="9"/>
      <c r="BC862" s="11"/>
      <c r="BF862" s="9"/>
      <c r="CH862" s="9"/>
    </row>
    <row r="863" spans="6:86" x14ac:dyDescent="0.25">
      <c r="F863" s="9"/>
      <c r="G863" s="9"/>
      <c r="AA863" s="10"/>
      <c r="AV863" s="11"/>
      <c r="AW863" s="11"/>
      <c r="BB863" s="9"/>
      <c r="BC863" s="11"/>
      <c r="BF863" s="9"/>
      <c r="CH863" s="9"/>
    </row>
    <row r="864" spans="6:86" x14ac:dyDescent="0.25">
      <c r="F864" s="9"/>
      <c r="G864" s="9"/>
      <c r="AA864" s="10"/>
      <c r="AV864" s="11"/>
      <c r="AW864" s="11"/>
      <c r="BB864" s="9"/>
      <c r="BC864" s="11"/>
      <c r="BF864" s="9"/>
      <c r="CF864" s="12"/>
      <c r="CH864" s="9"/>
    </row>
    <row r="865" spans="6:86" x14ac:dyDescent="0.25">
      <c r="F865" s="9"/>
      <c r="G865" s="9"/>
      <c r="AA865" s="10"/>
      <c r="AV865" s="11"/>
      <c r="AW865" s="11"/>
      <c r="BB865" s="9"/>
      <c r="BC865" s="11"/>
      <c r="BF865" s="9"/>
      <c r="CF865" s="12"/>
      <c r="CH865" s="9"/>
    </row>
    <row r="866" spans="6:86" x14ac:dyDescent="0.25">
      <c r="F866" s="9"/>
      <c r="G866" s="9"/>
      <c r="AA866" s="10"/>
      <c r="AV866" s="11"/>
      <c r="AW866" s="11"/>
      <c r="BB866" s="9"/>
      <c r="BC866" s="11"/>
      <c r="BF866" s="9"/>
      <c r="CF866" s="12"/>
      <c r="CH866" s="9"/>
    </row>
    <row r="867" spans="6:86" x14ac:dyDescent="0.25">
      <c r="F867" s="9"/>
      <c r="G867" s="9"/>
      <c r="AA867" s="10"/>
      <c r="AV867" s="11"/>
      <c r="AW867" s="11"/>
      <c r="BB867" s="9"/>
      <c r="BC867" s="11"/>
      <c r="BF867" s="9"/>
      <c r="CF867" s="12"/>
      <c r="CH867" s="9"/>
    </row>
    <row r="868" spans="6:86" x14ac:dyDescent="0.25">
      <c r="F868" s="9"/>
      <c r="G868" s="9"/>
      <c r="AA868" s="10"/>
      <c r="AV868" s="11"/>
      <c r="AW868" s="11"/>
      <c r="BB868" s="9"/>
      <c r="BC868" s="11"/>
      <c r="BF868" s="9"/>
      <c r="CH868" s="9"/>
    </row>
    <row r="869" spans="6:86" x14ac:dyDescent="0.25">
      <c r="F869" s="9"/>
      <c r="G869" s="9"/>
      <c r="AA869" s="10"/>
      <c r="AV869" s="11"/>
      <c r="AW869" s="11"/>
      <c r="BB869" s="9"/>
      <c r="BC869" s="11"/>
      <c r="BF869" s="9"/>
      <c r="CH869" s="9"/>
    </row>
    <row r="870" spans="6:86" x14ac:dyDescent="0.25">
      <c r="F870" s="9"/>
      <c r="G870" s="9"/>
      <c r="AA870" s="10"/>
      <c r="AV870" s="11"/>
      <c r="AW870" s="11"/>
      <c r="BB870" s="9"/>
      <c r="BC870" s="11"/>
      <c r="BF870" s="9"/>
      <c r="CF870" s="12"/>
      <c r="CH870" s="9"/>
    </row>
    <row r="871" spans="6:86" x14ac:dyDescent="0.25">
      <c r="F871" s="9"/>
      <c r="G871" s="9"/>
      <c r="AA871" s="10"/>
      <c r="AV871" s="11"/>
      <c r="AW871" s="11"/>
      <c r="BB871" s="9"/>
      <c r="BC871" s="11"/>
      <c r="BF871" s="9"/>
      <c r="CH871" s="9"/>
    </row>
    <row r="872" spans="6:86" x14ac:dyDescent="0.25">
      <c r="F872" s="9"/>
      <c r="G872" s="9"/>
      <c r="AA872" s="10"/>
      <c r="AV872" s="11"/>
      <c r="AW872" s="11"/>
      <c r="BB872" s="9"/>
      <c r="BC872" s="11"/>
      <c r="BF872" s="9"/>
      <c r="CF872" s="12"/>
      <c r="CH872" s="9"/>
    </row>
    <row r="873" spans="6:86" x14ac:dyDescent="0.25">
      <c r="F873" s="9"/>
      <c r="G873" s="9"/>
      <c r="AA873" s="10"/>
      <c r="AV873" s="11"/>
      <c r="AW873" s="11"/>
      <c r="BB873" s="9"/>
      <c r="BC873" s="11"/>
      <c r="BF873" s="9"/>
      <c r="CF873" s="12"/>
      <c r="CH873" s="9"/>
    </row>
    <row r="874" spans="6:86" x14ac:dyDescent="0.25">
      <c r="F874" s="9"/>
      <c r="G874" s="9"/>
      <c r="AA874" s="10"/>
      <c r="AV874" s="11"/>
      <c r="AW874" s="11"/>
      <c r="BB874" s="9"/>
      <c r="BC874" s="11"/>
      <c r="BF874" s="9"/>
      <c r="CH874" s="9"/>
    </row>
    <row r="875" spans="6:86" x14ac:dyDescent="0.25">
      <c r="F875" s="9"/>
      <c r="G875" s="9"/>
      <c r="AA875" s="10"/>
      <c r="AV875" s="11"/>
      <c r="AW875" s="11"/>
      <c r="BB875" s="9"/>
      <c r="BC875" s="11"/>
      <c r="BF875" s="9"/>
      <c r="CH875" s="9"/>
    </row>
    <row r="876" spans="6:86" x14ac:dyDescent="0.25">
      <c r="F876" s="9"/>
      <c r="G876" s="9"/>
      <c r="AA876" s="10"/>
      <c r="AV876" s="11"/>
      <c r="AW876" s="11"/>
      <c r="BB876" s="9"/>
      <c r="BC876" s="11"/>
      <c r="BF876" s="9"/>
      <c r="CF876" s="12"/>
      <c r="CH876" s="9"/>
    </row>
    <row r="877" spans="6:86" x14ac:dyDescent="0.25">
      <c r="F877" s="9"/>
      <c r="G877" s="9"/>
      <c r="AA877" s="10"/>
      <c r="AV877" s="11"/>
      <c r="AW877" s="11"/>
      <c r="BB877" s="9"/>
      <c r="BC877" s="11"/>
      <c r="BF877" s="9"/>
      <c r="CF877" s="12"/>
      <c r="CH877" s="9"/>
    </row>
    <row r="878" spans="6:86" x14ac:dyDescent="0.25">
      <c r="F878" s="9"/>
      <c r="G878" s="9"/>
      <c r="AA878" s="10"/>
      <c r="AV878" s="11"/>
      <c r="AW878" s="11"/>
      <c r="BB878" s="9"/>
      <c r="BC878" s="11"/>
      <c r="BF878" s="9"/>
      <c r="CF878" s="12"/>
      <c r="CH878" s="9"/>
    </row>
    <row r="879" spans="6:86" x14ac:dyDescent="0.25">
      <c r="F879" s="9"/>
      <c r="G879" s="9"/>
      <c r="AA879" s="10"/>
      <c r="AV879" s="11"/>
      <c r="AW879" s="11"/>
      <c r="BB879" s="9"/>
      <c r="BC879" s="11"/>
      <c r="BF879" s="9"/>
      <c r="CF879" s="12"/>
      <c r="CH879" s="9"/>
    </row>
    <row r="880" spans="6:86" x14ac:dyDescent="0.25">
      <c r="F880" s="9"/>
      <c r="G880" s="9"/>
      <c r="AA880" s="10"/>
      <c r="AV880" s="11"/>
      <c r="AW880" s="11"/>
      <c r="BB880" s="9"/>
      <c r="BC880" s="11"/>
      <c r="BF880" s="9"/>
      <c r="CH880" s="9"/>
    </row>
    <row r="881" spans="6:86" x14ac:dyDescent="0.25">
      <c r="F881" s="9"/>
      <c r="G881" s="9"/>
      <c r="AA881" s="10"/>
      <c r="AV881" s="11"/>
      <c r="AW881" s="11"/>
      <c r="BB881" s="9"/>
      <c r="BC881" s="11"/>
      <c r="BF881" s="9"/>
      <c r="CH881" s="9"/>
    </row>
    <row r="882" spans="6:86" x14ac:dyDescent="0.25">
      <c r="F882" s="9"/>
      <c r="G882" s="9"/>
      <c r="AA882" s="10"/>
      <c r="AV882" s="11"/>
      <c r="AW882" s="11"/>
      <c r="BB882" s="9"/>
      <c r="BC882" s="11"/>
      <c r="BF882" s="9"/>
      <c r="CF882" s="12"/>
      <c r="CH882" s="9"/>
    </row>
    <row r="883" spans="6:86" x14ac:dyDescent="0.25">
      <c r="F883" s="9"/>
      <c r="G883" s="9"/>
      <c r="AA883" s="10"/>
      <c r="AV883" s="11"/>
      <c r="AW883" s="11"/>
      <c r="BB883" s="9"/>
      <c r="BC883" s="11"/>
      <c r="BF883" s="9"/>
      <c r="CF883" s="12"/>
      <c r="CH883" s="9"/>
    </row>
    <row r="884" spans="6:86" x14ac:dyDescent="0.25">
      <c r="F884" s="9"/>
      <c r="G884" s="9"/>
      <c r="AA884" s="10"/>
      <c r="AV884" s="11"/>
      <c r="AW884" s="11"/>
      <c r="BB884" s="9"/>
      <c r="BC884" s="11"/>
      <c r="BF884" s="9"/>
      <c r="CF884" s="12"/>
      <c r="CH884" s="9"/>
    </row>
    <row r="885" spans="6:86" x14ac:dyDescent="0.25">
      <c r="F885" s="9"/>
      <c r="G885" s="9"/>
      <c r="AA885" s="10"/>
      <c r="AV885" s="11"/>
      <c r="AW885" s="11"/>
      <c r="BB885" s="9"/>
      <c r="BC885" s="11"/>
      <c r="BF885" s="9"/>
      <c r="CF885" s="12"/>
      <c r="CH885" s="9"/>
    </row>
    <row r="886" spans="6:86" x14ac:dyDescent="0.25">
      <c r="F886" s="9"/>
      <c r="G886" s="9"/>
      <c r="AA886" s="10"/>
      <c r="AV886" s="11"/>
      <c r="AW886" s="11"/>
      <c r="BB886" s="9"/>
      <c r="BC886" s="11"/>
      <c r="BF886" s="9"/>
      <c r="CF886" s="12"/>
      <c r="CH886" s="9"/>
    </row>
    <row r="887" spans="6:86" x14ac:dyDescent="0.25">
      <c r="F887" s="9"/>
      <c r="G887" s="9"/>
      <c r="AA887" s="10"/>
      <c r="AV887" s="11"/>
      <c r="AW887" s="11"/>
      <c r="BB887" s="9"/>
      <c r="BC887" s="11"/>
      <c r="BF887" s="9"/>
      <c r="CF887" s="12"/>
      <c r="CH887" s="9"/>
    </row>
    <row r="888" spans="6:86" x14ac:dyDescent="0.25">
      <c r="F888" s="9"/>
      <c r="G888" s="9"/>
      <c r="AA888" s="10"/>
      <c r="AV888" s="11"/>
      <c r="AW888" s="11"/>
      <c r="BB888" s="9"/>
      <c r="BC888" s="11"/>
      <c r="BF888" s="9"/>
      <c r="CF888" s="12"/>
      <c r="CH888" s="9"/>
    </row>
    <row r="889" spans="6:86" x14ac:dyDescent="0.25">
      <c r="F889" s="9"/>
      <c r="G889" s="9"/>
      <c r="AA889" s="10"/>
      <c r="AV889" s="11"/>
      <c r="AW889" s="11"/>
      <c r="BB889" s="9"/>
      <c r="BC889" s="11"/>
      <c r="BF889" s="9"/>
      <c r="CF889" s="12"/>
      <c r="CH889" s="9"/>
    </row>
    <row r="890" spans="6:86" x14ac:dyDescent="0.25">
      <c r="F890" s="9"/>
      <c r="G890" s="9"/>
      <c r="AA890" s="10"/>
      <c r="AV890" s="11"/>
      <c r="AW890" s="11"/>
      <c r="BB890" s="9"/>
      <c r="BC890" s="11"/>
      <c r="BF890" s="9"/>
      <c r="CF890" s="12"/>
      <c r="CH890" s="9"/>
    </row>
    <row r="891" spans="6:86" x14ac:dyDescent="0.25">
      <c r="F891" s="9"/>
      <c r="G891" s="9"/>
      <c r="AA891" s="10"/>
      <c r="AV891" s="11"/>
      <c r="AW891" s="11"/>
      <c r="BB891" s="9"/>
      <c r="BC891" s="11"/>
      <c r="BF891" s="9"/>
      <c r="CF891" s="12"/>
      <c r="CH891" s="9"/>
    </row>
    <row r="892" spans="6:86" x14ac:dyDescent="0.25">
      <c r="F892" s="9"/>
      <c r="G892" s="9"/>
      <c r="AA892" s="10"/>
      <c r="AV892" s="11"/>
      <c r="AW892" s="11"/>
      <c r="BB892" s="9"/>
      <c r="BC892" s="11"/>
      <c r="BF892" s="9"/>
      <c r="CF892" s="12"/>
      <c r="CH892" s="9"/>
    </row>
    <row r="893" spans="6:86" x14ac:dyDescent="0.25">
      <c r="F893" s="9"/>
      <c r="G893" s="9"/>
      <c r="AA893" s="10"/>
      <c r="AV893" s="11"/>
      <c r="AW893" s="11"/>
      <c r="BB893" s="9"/>
      <c r="BC893" s="11"/>
      <c r="BF893" s="9"/>
      <c r="CH893" s="9"/>
    </row>
    <row r="894" spans="6:86" x14ac:dyDescent="0.25">
      <c r="F894" s="9"/>
      <c r="G894" s="9"/>
      <c r="AA894" s="10"/>
      <c r="AV894" s="11"/>
      <c r="AW894" s="11"/>
      <c r="BB894" s="9"/>
      <c r="BC894" s="11"/>
      <c r="BF894" s="9"/>
      <c r="CF894" s="12"/>
      <c r="CH894" s="9"/>
    </row>
    <row r="895" spans="6:86" x14ac:dyDescent="0.25">
      <c r="F895" s="9"/>
      <c r="G895" s="9"/>
      <c r="AA895" s="10"/>
      <c r="AV895" s="11"/>
      <c r="AW895" s="11"/>
      <c r="BB895" s="9"/>
      <c r="BC895" s="11"/>
      <c r="BF895" s="9"/>
      <c r="CF895" s="12"/>
      <c r="CH895" s="9"/>
    </row>
    <row r="896" spans="6:86" x14ac:dyDescent="0.25">
      <c r="F896" s="9"/>
      <c r="G896" s="9"/>
      <c r="AA896" s="10"/>
      <c r="AV896" s="11"/>
      <c r="AW896" s="11"/>
      <c r="BB896" s="9"/>
      <c r="BC896" s="11"/>
      <c r="BF896" s="9"/>
      <c r="CF896" s="12"/>
      <c r="CH896" s="9"/>
    </row>
    <row r="897" spans="6:86" x14ac:dyDescent="0.25">
      <c r="F897" s="9"/>
      <c r="G897" s="9"/>
      <c r="AA897" s="10"/>
      <c r="AV897" s="11"/>
      <c r="AW897" s="11"/>
      <c r="BB897" s="9"/>
      <c r="BC897" s="11"/>
      <c r="BF897" s="9"/>
      <c r="CF897" s="12"/>
      <c r="CH897" s="9"/>
    </row>
    <row r="898" spans="6:86" x14ac:dyDescent="0.25">
      <c r="F898" s="9"/>
      <c r="G898" s="9"/>
      <c r="AA898" s="10"/>
      <c r="AV898" s="11"/>
      <c r="AW898" s="11"/>
      <c r="BB898" s="9"/>
      <c r="BC898" s="11"/>
      <c r="BF898" s="9"/>
      <c r="CF898" s="12"/>
      <c r="CH898" s="9"/>
    </row>
    <row r="899" spans="6:86" x14ac:dyDescent="0.25">
      <c r="F899" s="9"/>
      <c r="G899" s="9"/>
      <c r="AA899" s="10"/>
      <c r="AV899" s="11"/>
      <c r="AW899" s="11"/>
      <c r="BB899" s="9"/>
      <c r="BC899" s="11"/>
      <c r="BF899" s="9"/>
      <c r="CF899" s="12"/>
      <c r="CH899" s="9"/>
    </row>
    <row r="900" spans="6:86" x14ac:dyDescent="0.25">
      <c r="F900" s="9"/>
      <c r="G900" s="9"/>
      <c r="AA900" s="10"/>
      <c r="AV900" s="11"/>
      <c r="AW900" s="11"/>
      <c r="BB900" s="9"/>
      <c r="BC900" s="11"/>
      <c r="BF900" s="9"/>
      <c r="CF900" s="12"/>
      <c r="CH900" s="9"/>
    </row>
    <row r="901" spans="6:86" x14ac:dyDescent="0.25">
      <c r="F901" s="9"/>
      <c r="G901" s="9"/>
      <c r="AA901" s="10"/>
      <c r="AV901" s="11"/>
      <c r="AW901" s="11"/>
      <c r="BB901" s="9"/>
      <c r="BC901" s="11"/>
      <c r="BF901" s="9"/>
      <c r="CF901" s="12"/>
      <c r="CH901" s="9"/>
    </row>
    <row r="902" spans="6:86" x14ac:dyDescent="0.25">
      <c r="F902" s="9"/>
      <c r="G902" s="9"/>
      <c r="AA902" s="10"/>
      <c r="AV902" s="11"/>
      <c r="AW902" s="11"/>
      <c r="BB902" s="9"/>
      <c r="BC902" s="11"/>
      <c r="BF902" s="9"/>
      <c r="CF902" s="12"/>
      <c r="CH902" s="9"/>
    </row>
    <row r="903" spans="6:86" x14ac:dyDescent="0.25">
      <c r="F903" s="9"/>
      <c r="G903" s="9"/>
      <c r="AA903" s="10"/>
      <c r="AV903" s="11"/>
      <c r="AW903" s="11"/>
      <c r="BB903" s="9"/>
      <c r="BC903" s="11"/>
      <c r="BF903" s="9"/>
      <c r="CF903" s="12"/>
      <c r="CH903" s="9"/>
    </row>
    <row r="904" spans="6:86" x14ac:dyDescent="0.25">
      <c r="F904" s="9"/>
      <c r="G904" s="9"/>
      <c r="AA904" s="10"/>
      <c r="AV904" s="11"/>
      <c r="AW904" s="11"/>
      <c r="BB904" s="9"/>
      <c r="BC904" s="11"/>
      <c r="BF904" s="9"/>
      <c r="CF904" s="12"/>
      <c r="CH904" s="9"/>
    </row>
    <row r="905" spans="6:86" x14ac:dyDescent="0.25">
      <c r="F905" s="9"/>
      <c r="G905" s="9"/>
      <c r="AA905" s="10"/>
      <c r="AV905" s="11"/>
      <c r="AW905" s="11"/>
      <c r="BB905" s="9"/>
      <c r="BC905" s="11"/>
      <c r="BF905" s="9"/>
      <c r="CF905" s="12"/>
      <c r="CH905" s="9"/>
    </row>
    <row r="906" spans="6:86" x14ac:dyDescent="0.25">
      <c r="F906" s="9"/>
      <c r="G906" s="9"/>
      <c r="AA906" s="10"/>
      <c r="AV906" s="11"/>
      <c r="AW906" s="11"/>
      <c r="BB906" s="9"/>
      <c r="BC906" s="11"/>
      <c r="BF906" s="9"/>
      <c r="CF906" s="12"/>
      <c r="CH906" s="9"/>
    </row>
    <row r="907" spans="6:86" x14ac:dyDescent="0.25">
      <c r="F907" s="9"/>
      <c r="G907" s="9"/>
      <c r="AA907" s="10"/>
      <c r="AV907" s="11"/>
      <c r="AW907" s="11"/>
      <c r="BB907" s="9"/>
      <c r="BC907" s="11"/>
      <c r="BF907" s="9"/>
      <c r="CF907" s="12"/>
      <c r="CH907" s="9"/>
    </row>
    <row r="908" spans="6:86" x14ac:dyDescent="0.25">
      <c r="F908" s="9"/>
      <c r="G908" s="9"/>
      <c r="AA908" s="10"/>
      <c r="AV908" s="11"/>
      <c r="AW908" s="11"/>
      <c r="BB908" s="9"/>
      <c r="BC908" s="11"/>
      <c r="BF908" s="9"/>
      <c r="CF908" s="12"/>
      <c r="CH908" s="9"/>
    </row>
    <row r="909" spans="6:86" x14ac:dyDescent="0.25">
      <c r="F909" s="9"/>
      <c r="G909" s="9"/>
      <c r="AA909" s="10"/>
      <c r="AV909" s="11"/>
      <c r="AW909" s="11"/>
      <c r="BB909" s="9"/>
      <c r="BC909" s="11"/>
      <c r="BF909" s="9"/>
      <c r="CF909" s="12"/>
      <c r="CH909" s="9"/>
    </row>
    <row r="910" spans="6:86" x14ac:dyDescent="0.25">
      <c r="F910" s="9"/>
      <c r="G910" s="9"/>
      <c r="AA910" s="10"/>
      <c r="AV910" s="11"/>
      <c r="AW910" s="11"/>
      <c r="BB910" s="9"/>
      <c r="BC910" s="11"/>
      <c r="BF910" s="9"/>
      <c r="CF910" s="12"/>
      <c r="CH910" s="9"/>
    </row>
    <row r="911" spans="6:86" x14ac:dyDescent="0.25">
      <c r="F911" s="9"/>
      <c r="G911" s="9"/>
      <c r="AA911" s="10"/>
      <c r="AV911" s="11"/>
      <c r="AW911" s="11"/>
      <c r="BB911" s="9"/>
      <c r="BC911" s="11"/>
      <c r="BF911" s="9"/>
      <c r="CF911" s="12"/>
      <c r="CH911" s="9"/>
    </row>
    <row r="912" spans="6:86" x14ac:dyDescent="0.25">
      <c r="F912" s="9"/>
      <c r="G912" s="9"/>
      <c r="AA912" s="10"/>
      <c r="AV912" s="11"/>
      <c r="AW912" s="11"/>
      <c r="BB912" s="9"/>
      <c r="BC912" s="11"/>
      <c r="BF912" s="9"/>
      <c r="CF912" s="12"/>
      <c r="CH912" s="9"/>
    </row>
    <row r="913" spans="6:86" x14ac:dyDescent="0.25">
      <c r="F913" s="9"/>
      <c r="G913" s="9"/>
      <c r="AA913" s="10"/>
      <c r="AV913" s="11"/>
      <c r="AW913" s="11"/>
      <c r="BB913" s="9"/>
      <c r="BC913" s="11"/>
      <c r="BF913" s="9"/>
      <c r="CF913" s="12"/>
      <c r="CH913" s="9"/>
    </row>
    <row r="914" spans="6:86" x14ac:dyDescent="0.25">
      <c r="F914" s="9"/>
      <c r="G914" s="9"/>
      <c r="AA914" s="10"/>
      <c r="AV914" s="11"/>
      <c r="AW914" s="11"/>
      <c r="BB914" s="9"/>
      <c r="BC914" s="11"/>
      <c r="BF914" s="9"/>
      <c r="CF914" s="12"/>
      <c r="CH914" s="9"/>
    </row>
    <row r="915" spans="6:86" x14ac:dyDescent="0.25">
      <c r="F915" s="9"/>
      <c r="G915" s="9"/>
      <c r="AA915" s="10"/>
      <c r="AV915" s="11"/>
      <c r="AW915" s="11"/>
      <c r="BB915" s="9"/>
      <c r="BC915" s="11"/>
      <c r="BF915" s="9"/>
      <c r="CF915" s="12"/>
      <c r="CH915" s="9"/>
    </row>
    <row r="916" spans="6:86" x14ac:dyDescent="0.25">
      <c r="F916" s="9"/>
      <c r="G916" s="9"/>
      <c r="AA916" s="10"/>
      <c r="AV916" s="11"/>
      <c r="AW916" s="11"/>
      <c r="BB916" s="9"/>
      <c r="BC916" s="11"/>
      <c r="BF916" s="9"/>
      <c r="CF916" s="12"/>
      <c r="CH916" s="9"/>
    </row>
    <row r="917" spans="6:86" x14ac:dyDescent="0.25">
      <c r="F917" s="9"/>
      <c r="G917" s="9"/>
      <c r="AA917" s="10"/>
      <c r="AV917" s="11"/>
      <c r="AW917" s="11"/>
      <c r="BB917" s="9"/>
      <c r="BC917" s="11"/>
      <c r="BF917" s="9"/>
      <c r="CF917" s="12"/>
      <c r="CH917" s="9"/>
    </row>
    <row r="918" spans="6:86" x14ac:dyDescent="0.25">
      <c r="F918" s="9"/>
      <c r="G918" s="9"/>
      <c r="AA918" s="10"/>
      <c r="AV918" s="11"/>
      <c r="AW918" s="11"/>
      <c r="BB918" s="9"/>
      <c r="BC918" s="11"/>
      <c r="BF918" s="9"/>
      <c r="CH918" s="9"/>
    </row>
    <row r="919" spans="6:86" x14ac:dyDescent="0.25">
      <c r="F919" s="9"/>
      <c r="G919" s="9"/>
      <c r="AA919" s="10"/>
      <c r="AV919" s="11"/>
      <c r="AW919" s="11"/>
      <c r="BB919" s="9"/>
      <c r="BC919" s="11"/>
      <c r="BF919" s="9"/>
      <c r="CF919" s="12"/>
      <c r="CH919" s="9"/>
    </row>
    <row r="920" spans="6:86" x14ac:dyDescent="0.25">
      <c r="F920" s="9"/>
      <c r="G920" s="9"/>
      <c r="AA920" s="10"/>
      <c r="AV920" s="11"/>
      <c r="AW920" s="11"/>
      <c r="BB920" s="9"/>
      <c r="BC920" s="11"/>
      <c r="BF920" s="9"/>
      <c r="CF920" s="12"/>
      <c r="CH920" s="9"/>
    </row>
    <row r="921" spans="6:86" x14ac:dyDescent="0.25">
      <c r="F921" s="9"/>
      <c r="G921" s="9"/>
      <c r="AA921" s="10"/>
      <c r="AV921" s="11"/>
      <c r="AW921" s="11"/>
      <c r="BB921" s="9"/>
      <c r="BC921" s="11"/>
      <c r="BF921" s="9"/>
      <c r="CF921" s="12"/>
      <c r="CH921" s="9"/>
    </row>
    <row r="922" spans="6:86" x14ac:dyDescent="0.25">
      <c r="F922" s="9"/>
      <c r="G922" s="9"/>
      <c r="AA922" s="10"/>
      <c r="AV922" s="11"/>
      <c r="AW922" s="11"/>
      <c r="BB922" s="9"/>
      <c r="BC922" s="11"/>
      <c r="BF922" s="9"/>
      <c r="CF922" s="12"/>
      <c r="CH922" s="9"/>
    </row>
    <row r="923" spans="6:86" x14ac:dyDescent="0.25">
      <c r="F923" s="9"/>
      <c r="G923" s="9"/>
      <c r="AA923" s="10"/>
      <c r="AV923" s="11"/>
      <c r="AW923" s="11"/>
      <c r="BB923" s="9"/>
      <c r="BC923" s="11"/>
      <c r="BF923" s="9"/>
      <c r="CF923" s="12"/>
      <c r="CH923" s="9"/>
    </row>
    <row r="924" spans="6:86" x14ac:dyDescent="0.25">
      <c r="F924" s="9"/>
      <c r="G924" s="9"/>
      <c r="AA924" s="10"/>
      <c r="AV924" s="11"/>
      <c r="AW924" s="11"/>
      <c r="BB924" s="9"/>
      <c r="BC924" s="11"/>
      <c r="BF924" s="9"/>
      <c r="CF924" s="12"/>
      <c r="CH924" s="9"/>
    </row>
    <row r="925" spans="6:86" x14ac:dyDescent="0.25">
      <c r="F925" s="9"/>
      <c r="G925" s="9"/>
      <c r="AA925" s="10"/>
      <c r="AV925" s="11"/>
      <c r="AW925" s="11"/>
      <c r="BB925" s="9"/>
      <c r="BC925" s="11"/>
      <c r="BF925" s="9"/>
      <c r="CF925" s="12"/>
      <c r="CH925" s="9"/>
    </row>
    <row r="926" spans="6:86" x14ac:dyDescent="0.25">
      <c r="F926" s="9"/>
      <c r="G926" s="9"/>
      <c r="AA926" s="10"/>
      <c r="AV926" s="11"/>
      <c r="AW926" s="11"/>
      <c r="BB926" s="9"/>
      <c r="BC926" s="11"/>
      <c r="BF926" s="9"/>
      <c r="CF926" s="12"/>
      <c r="CH926" s="9"/>
    </row>
    <row r="927" spans="6:86" x14ac:dyDescent="0.25">
      <c r="F927" s="9"/>
      <c r="G927" s="9"/>
      <c r="AA927" s="10"/>
      <c r="AV927" s="11"/>
      <c r="AW927" s="11"/>
      <c r="BB927" s="9"/>
      <c r="BC927" s="11"/>
      <c r="BF927" s="9"/>
      <c r="CF927" s="12"/>
      <c r="CH927" s="9"/>
    </row>
    <row r="928" spans="6:86" x14ac:dyDescent="0.25">
      <c r="F928" s="9"/>
      <c r="G928" s="9"/>
      <c r="AA928" s="10"/>
      <c r="AV928" s="11"/>
      <c r="AW928" s="11"/>
      <c r="BB928" s="9"/>
      <c r="BC928" s="11"/>
      <c r="BF928" s="9"/>
      <c r="CF928" s="12"/>
      <c r="CH928" s="9"/>
    </row>
    <row r="929" spans="6:86" x14ac:dyDescent="0.25">
      <c r="F929" s="9"/>
      <c r="G929" s="9"/>
      <c r="AA929" s="10"/>
      <c r="AV929" s="11"/>
      <c r="AW929" s="11"/>
      <c r="BB929" s="9"/>
      <c r="BC929" s="11"/>
      <c r="BF929" s="9"/>
      <c r="CH929" s="9"/>
    </row>
    <row r="930" spans="6:86" x14ac:dyDescent="0.25">
      <c r="F930" s="9"/>
      <c r="G930" s="9"/>
      <c r="AA930" s="10"/>
      <c r="AV930" s="11"/>
      <c r="AW930" s="11"/>
      <c r="BB930" s="9"/>
      <c r="BC930" s="11"/>
      <c r="BF930" s="9"/>
      <c r="CF930" s="12"/>
      <c r="CH930" s="9"/>
    </row>
    <row r="931" spans="6:86" x14ac:dyDescent="0.25">
      <c r="F931" s="9"/>
      <c r="G931" s="9"/>
      <c r="AA931" s="10"/>
      <c r="AV931" s="11"/>
      <c r="AW931" s="11"/>
      <c r="BB931" s="9"/>
      <c r="BC931" s="11"/>
      <c r="BF931" s="9"/>
      <c r="CF931" s="12"/>
      <c r="CH931" s="9"/>
    </row>
    <row r="932" spans="6:86" x14ac:dyDescent="0.25">
      <c r="F932" s="9"/>
      <c r="G932" s="9"/>
      <c r="AA932" s="10"/>
      <c r="AV932" s="11"/>
      <c r="AW932" s="11"/>
      <c r="BB932" s="9"/>
      <c r="BC932" s="11"/>
      <c r="BF932" s="9"/>
      <c r="CF932" s="12"/>
      <c r="CH932" s="9"/>
    </row>
    <row r="933" spans="6:86" x14ac:dyDescent="0.25">
      <c r="F933" s="9"/>
      <c r="G933" s="9"/>
      <c r="AA933" s="10"/>
      <c r="AV933" s="11"/>
      <c r="AW933" s="11"/>
      <c r="BB933" s="9"/>
      <c r="BC933" s="11"/>
      <c r="BF933" s="9"/>
      <c r="CF933" s="12"/>
      <c r="CH933" s="9"/>
    </row>
    <row r="934" spans="6:86" x14ac:dyDescent="0.25">
      <c r="F934" s="9"/>
      <c r="G934" s="9"/>
      <c r="AA934" s="10"/>
      <c r="AV934" s="11"/>
      <c r="AW934" s="11"/>
      <c r="BB934" s="9"/>
      <c r="BC934" s="11"/>
      <c r="BF934" s="9"/>
      <c r="CF934" s="12"/>
      <c r="CH934" s="9"/>
    </row>
    <row r="935" spans="6:86" x14ac:dyDescent="0.25">
      <c r="F935" s="9"/>
      <c r="G935" s="9"/>
      <c r="AA935" s="10"/>
      <c r="AV935" s="11"/>
      <c r="AW935" s="11"/>
      <c r="BB935" s="9"/>
      <c r="BC935" s="11"/>
      <c r="BF935" s="9"/>
      <c r="CF935" s="12"/>
      <c r="CH935" s="9"/>
    </row>
    <row r="936" spans="6:86" x14ac:dyDescent="0.25">
      <c r="F936" s="9"/>
      <c r="G936" s="9"/>
      <c r="AA936" s="10"/>
      <c r="AV936" s="11"/>
      <c r="AW936" s="11"/>
      <c r="BB936" s="9"/>
      <c r="BC936" s="11"/>
      <c r="BF936" s="9"/>
      <c r="CF936" s="12"/>
      <c r="CH936" s="9"/>
    </row>
    <row r="937" spans="6:86" x14ac:dyDescent="0.25">
      <c r="F937" s="9"/>
      <c r="G937" s="9"/>
      <c r="AA937" s="10"/>
      <c r="AV937" s="11"/>
      <c r="AW937" s="11"/>
      <c r="BB937" s="9"/>
      <c r="BC937" s="11"/>
      <c r="BF937" s="9"/>
      <c r="CF937" s="12"/>
      <c r="CH937" s="9"/>
    </row>
    <row r="938" spans="6:86" x14ac:dyDescent="0.25">
      <c r="F938" s="9"/>
      <c r="G938" s="9"/>
      <c r="AA938" s="10"/>
      <c r="AV938" s="11"/>
      <c r="AW938" s="11"/>
      <c r="BB938" s="9"/>
      <c r="BC938" s="11"/>
      <c r="BF938" s="9"/>
      <c r="CF938" s="12"/>
      <c r="CH938" s="9"/>
    </row>
    <row r="939" spans="6:86" x14ac:dyDescent="0.25">
      <c r="F939" s="9"/>
      <c r="G939" s="9"/>
      <c r="AA939" s="10"/>
      <c r="AV939" s="11"/>
      <c r="AW939" s="11"/>
      <c r="BB939" s="9"/>
      <c r="BC939" s="11"/>
      <c r="BF939" s="9"/>
      <c r="CF939" s="12"/>
      <c r="CH939" s="9"/>
    </row>
    <row r="940" spans="6:86" x14ac:dyDescent="0.25">
      <c r="F940" s="9"/>
      <c r="G940" s="9"/>
      <c r="AA940" s="10"/>
      <c r="AV940" s="11"/>
      <c r="AW940" s="11"/>
      <c r="BB940" s="9"/>
      <c r="BC940" s="11"/>
      <c r="BF940" s="9"/>
      <c r="CF940" s="12"/>
      <c r="CH940" s="9"/>
    </row>
    <row r="941" spans="6:86" x14ac:dyDescent="0.25">
      <c r="F941" s="9"/>
      <c r="G941" s="9"/>
      <c r="AA941" s="10"/>
      <c r="AV941" s="11"/>
      <c r="AW941" s="11"/>
      <c r="BB941" s="9"/>
      <c r="BC941" s="11"/>
      <c r="BF941" s="9"/>
      <c r="CF941" s="12"/>
      <c r="CH941" s="9"/>
    </row>
    <row r="942" spans="6:86" x14ac:dyDescent="0.25">
      <c r="F942" s="9"/>
      <c r="G942" s="9"/>
      <c r="AA942" s="10"/>
      <c r="AV942" s="11"/>
      <c r="AW942" s="11"/>
      <c r="BB942" s="9"/>
      <c r="BC942" s="11"/>
      <c r="BF942" s="9"/>
      <c r="CF942" s="12"/>
      <c r="CH942" s="9"/>
    </row>
    <row r="943" spans="6:86" x14ac:dyDescent="0.25">
      <c r="F943" s="9"/>
      <c r="G943" s="9"/>
      <c r="AA943" s="10"/>
      <c r="AV943" s="11"/>
      <c r="AW943" s="11"/>
      <c r="BB943" s="9"/>
      <c r="BC943" s="11"/>
      <c r="BF943" s="9"/>
      <c r="CF943" s="12"/>
      <c r="CH943" s="9"/>
    </row>
    <row r="944" spans="6:86" x14ac:dyDescent="0.25">
      <c r="F944" s="9"/>
      <c r="G944" s="9"/>
      <c r="AA944" s="10"/>
      <c r="AV944" s="11"/>
      <c r="AW944" s="11"/>
      <c r="BB944" s="9"/>
      <c r="BC944" s="11"/>
      <c r="BF944" s="9"/>
      <c r="CF944" s="12"/>
      <c r="CH944" s="9"/>
    </row>
    <row r="945" spans="6:86" x14ac:dyDescent="0.25">
      <c r="F945" s="9"/>
      <c r="G945" s="9"/>
      <c r="AA945" s="10"/>
      <c r="AV945" s="11"/>
      <c r="AW945" s="11"/>
      <c r="BB945" s="9"/>
      <c r="BC945" s="11"/>
      <c r="BF945" s="9"/>
      <c r="CF945" s="12"/>
      <c r="CH945" s="9"/>
    </row>
    <row r="946" spans="6:86" x14ac:dyDescent="0.25">
      <c r="F946" s="9"/>
      <c r="G946" s="9"/>
      <c r="AA946" s="10"/>
      <c r="AV946" s="11"/>
      <c r="AW946" s="11"/>
      <c r="BB946" s="9"/>
      <c r="BC946" s="11"/>
      <c r="BF946" s="9"/>
      <c r="CF946" s="12"/>
      <c r="CH946" s="9"/>
    </row>
    <row r="947" spans="6:86" x14ac:dyDescent="0.25">
      <c r="F947" s="9"/>
      <c r="G947" s="9"/>
      <c r="AA947" s="10"/>
      <c r="AV947" s="11"/>
      <c r="AW947" s="11"/>
      <c r="BB947" s="9"/>
      <c r="BC947" s="11"/>
      <c r="BF947" s="9"/>
      <c r="CF947" s="12"/>
      <c r="CH947" s="9"/>
    </row>
    <row r="948" spans="6:86" x14ac:dyDescent="0.25">
      <c r="F948" s="9"/>
      <c r="G948" s="9"/>
      <c r="AA948" s="10"/>
      <c r="AV948" s="11"/>
      <c r="AW948" s="11"/>
      <c r="BB948" s="9"/>
      <c r="BC948" s="11"/>
      <c r="BF948" s="9"/>
      <c r="CF948" s="12"/>
      <c r="CH948" s="9"/>
    </row>
    <row r="949" spans="6:86" x14ac:dyDescent="0.25">
      <c r="F949" s="9"/>
      <c r="G949" s="9"/>
      <c r="AA949" s="10"/>
      <c r="AV949" s="11"/>
      <c r="AW949" s="11"/>
      <c r="BB949" s="9"/>
      <c r="BC949" s="11"/>
      <c r="BF949" s="9"/>
      <c r="CF949" s="12"/>
      <c r="CH949" s="9"/>
    </row>
    <row r="950" spans="6:86" x14ac:dyDescent="0.25">
      <c r="F950" s="9"/>
      <c r="G950" s="9"/>
      <c r="AA950" s="10"/>
      <c r="AV950" s="11"/>
      <c r="AW950" s="11"/>
      <c r="BB950" s="9"/>
      <c r="BC950" s="11"/>
      <c r="BF950" s="9"/>
    </row>
    <row r="951" spans="6:86" x14ac:dyDescent="0.25">
      <c r="F951" s="9"/>
      <c r="G951" s="9"/>
      <c r="AA951" s="10"/>
      <c r="AV951" s="11"/>
      <c r="AW951" s="11"/>
      <c r="BB951" s="9"/>
      <c r="BC951" s="11"/>
      <c r="BF951" s="9"/>
      <c r="CF951" s="12"/>
      <c r="CH951" s="9"/>
    </row>
    <row r="952" spans="6:86" x14ac:dyDescent="0.25">
      <c r="F952" s="9"/>
      <c r="G952" s="9"/>
      <c r="AA952" s="10"/>
      <c r="AV952" s="11"/>
      <c r="AW952" s="11"/>
      <c r="BB952" s="9"/>
      <c r="BC952" s="11"/>
      <c r="BF952" s="9"/>
      <c r="CF952" s="12"/>
      <c r="CH952" s="9"/>
    </row>
    <row r="953" spans="6:86" x14ac:dyDescent="0.25">
      <c r="F953" s="9"/>
      <c r="G953" s="9"/>
      <c r="AA953" s="10"/>
      <c r="AV953" s="11"/>
      <c r="AW953" s="11"/>
      <c r="BB953" s="9"/>
      <c r="BC953" s="11"/>
      <c r="BF953" s="9"/>
      <c r="CF953" s="12"/>
      <c r="CH953" s="9"/>
    </row>
    <row r="954" spans="6:86" x14ac:dyDescent="0.25">
      <c r="F954" s="9"/>
      <c r="G954" s="9"/>
      <c r="AA954" s="10"/>
      <c r="AV954" s="11"/>
      <c r="AW954" s="11"/>
      <c r="BB954" s="9"/>
      <c r="BC954" s="11"/>
      <c r="BF954" s="9"/>
      <c r="CF954" s="12"/>
      <c r="CH954" s="9"/>
    </row>
    <row r="955" spans="6:86" x14ac:dyDescent="0.25">
      <c r="F955" s="9"/>
      <c r="G955" s="9"/>
      <c r="AA955" s="10"/>
      <c r="AV955" s="11"/>
      <c r="AW955" s="11"/>
      <c r="BB955" s="9"/>
      <c r="BC955" s="11"/>
      <c r="BF955" s="9"/>
      <c r="CF955" s="12"/>
      <c r="CH955" s="9"/>
    </row>
    <row r="956" spans="6:86" x14ac:dyDescent="0.25">
      <c r="F956" s="9"/>
      <c r="G956" s="9"/>
      <c r="AA956" s="10"/>
      <c r="AV956" s="11"/>
      <c r="AW956" s="11"/>
      <c r="BB956" s="9"/>
      <c r="BC956" s="11"/>
      <c r="BF956" s="9"/>
      <c r="CF956" s="12"/>
      <c r="CH956" s="9"/>
    </row>
    <row r="957" spans="6:86" x14ac:dyDescent="0.25">
      <c r="F957" s="9"/>
      <c r="G957" s="9"/>
      <c r="AA957" s="10"/>
      <c r="AV957" s="11"/>
      <c r="AW957" s="11"/>
      <c r="BB957" s="9"/>
      <c r="BC957" s="11"/>
      <c r="BF957" s="9"/>
      <c r="CF957" s="12"/>
      <c r="CH957" s="9"/>
    </row>
    <row r="958" spans="6:86" x14ac:dyDescent="0.25">
      <c r="F958" s="9"/>
      <c r="G958" s="9"/>
      <c r="AA958" s="10"/>
      <c r="AV958" s="11"/>
      <c r="AW958" s="11"/>
      <c r="BB958" s="9"/>
      <c r="BC958" s="11"/>
      <c r="BF958" s="9"/>
      <c r="CH958" s="9"/>
    </row>
    <row r="959" spans="6:86" x14ac:dyDescent="0.25">
      <c r="F959" s="9"/>
      <c r="G959" s="9"/>
      <c r="AA959" s="10"/>
      <c r="AV959" s="11"/>
      <c r="AW959" s="11"/>
      <c r="BB959" s="9"/>
      <c r="BC959" s="11"/>
      <c r="BF959" s="9"/>
      <c r="CF959" s="12"/>
      <c r="CH959" s="9"/>
    </row>
    <row r="960" spans="6:86" x14ac:dyDescent="0.25">
      <c r="F960" s="9"/>
      <c r="G960" s="9"/>
      <c r="AA960" s="10"/>
      <c r="AV960" s="11"/>
      <c r="AW960" s="11"/>
      <c r="BB960" s="9"/>
      <c r="BC960" s="11"/>
      <c r="BF960" s="9"/>
      <c r="CF960" s="12"/>
      <c r="CH960" s="9"/>
    </row>
    <row r="961" spans="6:86" x14ac:dyDescent="0.25">
      <c r="F961" s="9"/>
      <c r="G961" s="9"/>
      <c r="AA961" s="10"/>
      <c r="AV961" s="11"/>
      <c r="AW961" s="11"/>
      <c r="BB961" s="9"/>
      <c r="BC961" s="11"/>
      <c r="BF961" s="9"/>
      <c r="CF961" s="12"/>
      <c r="CH961" s="9"/>
    </row>
    <row r="962" spans="6:86" x14ac:dyDescent="0.25">
      <c r="F962" s="9"/>
      <c r="G962" s="9"/>
      <c r="AA962" s="10"/>
      <c r="AV962" s="11"/>
      <c r="AW962" s="11"/>
      <c r="BB962" s="9"/>
      <c r="BC962" s="11"/>
      <c r="BF962" s="9"/>
      <c r="CF962" s="12"/>
      <c r="CH962" s="9"/>
    </row>
    <row r="963" spans="6:86" x14ac:dyDescent="0.25">
      <c r="F963" s="9"/>
      <c r="G963" s="9"/>
      <c r="AA963" s="10"/>
      <c r="AV963" s="11"/>
      <c r="AW963" s="11"/>
      <c r="BB963" s="9"/>
      <c r="BC963" s="11"/>
      <c r="BF963" s="9"/>
      <c r="CF963" s="12"/>
      <c r="CH963" s="9"/>
    </row>
    <row r="964" spans="6:86" x14ac:dyDescent="0.25">
      <c r="F964" s="9"/>
      <c r="G964" s="9"/>
      <c r="AA964" s="10"/>
      <c r="AV964" s="11"/>
      <c r="AW964" s="11"/>
      <c r="BB964" s="9"/>
      <c r="BC964" s="11"/>
      <c r="BF964" s="9"/>
      <c r="CF964" s="12"/>
      <c r="CH964" s="9"/>
    </row>
    <row r="965" spans="6:86" x14ac:dyDescent="0.25">
      <c r="F965" s="9"/>
      <c r="G965" s="9"/>
      <c r="AA965" s="10"/>
      <c r="AV965" s="11"/>
      <c r="AW965" s="11"/>
      <c r="BB965" s="9"/>
      <c r="BC965" s="11"/>
      <c r="BF965" s="9"/>
      <c r="CF965" s="12"/>
      <c r="CH965" s="9"/>
    </row>
    <row r="966" spans="6:86" x14ac:dyDescent="0.25">
      <c r="F966" s="9"/>
      <c r="G966" s="9"/>
      <c r="AA966" s="10"/>
      <c r="AV966" s="11"/>
      <c r="AW966" s="11"/>
      <c r="BB966" s="9"/>
      <c r="BC966" s="11"/>
      <c r="BF966" s="9"/>
      <c r="CF966" s="12"/>
      <c r="CH966" s="9"/>
    </row>
    <row r="967" spans="6:86" x14ac:dyDescent="0.25">
      <c r="F967" s="9"/>
      <c r="G967" s="9"/>
      <c r="AA967" s="10"/>
      <c r="AV967" s="11"/>
      <c r="AW967" s="11"/>
      <c r="BB967" s="9"/>
      <c r="BC967" s="11"/>
      <c r="BF967" s="9"/>
      <c r="CF967" s="12"/>
      <c r="CH967" s="9"/>
    </row>
    <row r="968" spans="6:86" x14ac:dyDescent="0.25">
      <c r="F968" s="9"/>
      <c r="G968" s="9"/>
      <c r="AA968" s="10"/>
      <c r="AV968" s="11"/>
      <c r="AW968" s="11"/>
      <c r="BB968" s="9"/>
      <c r="BC968" s="11"/>
      <c r="BF968" s="9"/>
      <c r="CF968" s="12"/>
      <c r="CH968" s="9"/>
    </row>
    <row r="969" spans="6:86" x14ac:dyDescent="0.25">
      <c r="F969" s="9"/>
      <c r="G969" s="9"/>
      <c r="AA969" s="10"/>
      <c r="AV969" s="11"/>
      <c r="AW969" s="11"/>
      <c r="BB969" s="9"/>
      <c r="BC969" s="11"/>
      <c r="BF969" s="9"/>
      <c r="CF969" s="12"/>
      <c r="CH969" s="9"/>
    </row>
    <row r="970" spans="6:86" x14ac:dyDescent="0.25">
      <c r="F970" s="9"/>
      <c r="G970" s="9"/>
      <c r="AA970" s="10"/>
      <c r="AV970" s="11"/>
      <c r="AW970" s="11"/>
      <c r="BB970" s="9"/>
      <c r="BC970" s="11"/>
      <c r="BF970" s="9"/>
      <c r="CH970" s="9"/>
    </row>
    <row r="971" spans="6:86" x14ac:dyDescent="0.25">
      <c r="F971" s="9"/>
      <c r="G971" s="9"/>
      <c r="AA971" s="10"/>
      <c r="AV971" s="11"/>
      <c r="AW971" s="11"/>
      <c r="BB971" s="9"/>
      <c r="BC971" s="11"/>
      <c r="BF971" s="9"/>
      <c r="CF971" s="12"/>
      <c r="CH971" s="9"/>
    </row>
    <row r="972" spans="6:86" x14ac:dyDescent="0.25">
      <c r="F972" s="9"/>
      <c r="G972" s="9"/>
      <c r="AA972" s="10"/>
      <c r="AV972" s="11"/>
      <c r="AW972" s="11"/>
      <c r="BB972" s="9"/>
      <c r="BC972" s="11"/>
      <c r="BF972" s="9"/>
      <c r="CF972" s="12"/>
      <c r="CH972" s="9"/>
    </row>
    <row r="973" spans="6:86" x14ac:dyDescent="0.25">
      <c r="F973" s="9"/>
      <c r="G973" s="9"/>
      <c r="AA973" s="10"/>
      <c r="AV973" s="11"/>
      <c r="AW973" s="11"/>
      <c r="BB973" s="9"/>
      <c r="BC973" s="11"/>
      <c r="BF973" s="9"/>
      <c r="CF973" s="12"/>
      <c r="CH973" s="9"/>
    </row>
    <row r="974" spans="6:86" x14ac:dyDescent="0.25">
      <c r="F974" s="9"/>
      <c r="G974" s="9"/>
      <c r="AA974" s="10"/>
      <c r="AV974" s="11"/>
      <c r="AW974" s="11"/>
      <c r="BB974" s="9"/>
      <c r="BC974" s="11"/>
      <c r="BF974" s="9"/>
      <c r="CF974" s="12"/>
      <c r="CH974" s="9"/>
    </row>
    <row r="975" spans="6:86" x14ac:dyDescent="0.25">
      <c r="F975" s="9"/>
      <c r="G975" s="9"/>
      <c r="AA975" s="10"/>
      <c r="AV975" s="11"/>
      <c r="AW975" s="11"/>
      <c r="BB975" s="9"/>
      <c r="BC975" s="11"/>
      <c r="BF975" s="9"/>
      <c r="CF975" s="12"/>
      <c r="CH975" s="9"/>
    </row>
    <row r="976" spans="6:86" x14ac:dyDescent="0.25">
      <c r="F976" s="9"/>
      <c r="G976" s="9"/>
      <c r="AA976" s="10"/>
      <c r="AV976" s="11"/>
      <c r="AW976" s="11"/>
      <c r="BB976" s="9"/>
      <c r="BC976" s="11"/>
      <c r="BF976" s="9"/>
      <c r="CF976" s="12"/>
      <c r="CH976" s="9"/>
    </row>
    <row r="977" spans="6:86" x14ac:dyDescent="0.25">
      <c r="F977" s="9"/>
      <c r="G977" s="9"/>
      <c r="AA977" s="10"/>
      <c r="AV977" s="11"/>
      <c r="AW977" s="11"/>
      <c r="BB977" s="9"/>
      <c r="BC977" s="11"/>
      <c r="BF977" s="9"/>
      <c r="CF977" s="12"/>
      <c r="CH977" s="9"/>
    </row>
    <row r="978" spans="6:86" x14ac:dyDescent="0.25">
      <c r="F978" s="9"/>
      <c r="G978" s="9"/>
      <c r="AA978" s="10"/>
      <c r="AV978" s="11"/>
      <c r="AW978" s="11"/>
      <c r="BB978" s="9"/>
      <c r="BC978" s="11"/>
      <c r="BF978" s="9"/>
      <c r="CF978" s="12"/>
      <c r="CH978" s="9"/>
    </row>
    <row r="979" spans="6:86" x14ac:dyDescent="0.25">
      <c r="F979" s="9"/>
      <c r="G979" s="9"/>
      <c r="AA979" s="10"/>
      <c r="AV979" s="11"/>
      <c r="AW979" s="11"/>
      <c r="BB979" s="9"/>
      <c r="BC979" s="11"/>
      <c r="BF979" s="9"/>
      <c r="CF979" s="12"/>
      <c r="CH979" s="9"/>
    </row>
    <row r="980" spans="6:86" x14ac:dyDescent="0.25">
      <c r="F980" s="9"/>
      <c r="G980" s="9"/>
      <c r="AA980" s="10"/>
      <c r="AV980" s="11"/>
      <c r="AW980" s="11"/>
      <c r="BB980" s="9"/>
      <c r="BC980" s="11"/>
      <c r="BF980" s="9"/>
      <c r="CF980" s="12"/>
      <c r="CH980" s="9"/>
    </row>
    <row r="981" spans="6:86" x14ac:dyDescent="0.25">
      <c r="F981" s="9"/>
      <c r="G981" s="9"/>
      <c r="AA981" s="10"/>
      <c r="AV981" s="11"/>
      <c r="AW981" s="11"/>
      <c r="BB981" s="9"/>
      <c r="BC981" s="11"/>
      <c r="BF981" s="9"/>
      <c r="CF981" s="12"/>
      <c r="CH981" s="9"/>
    </row>
    <row r="982" spans="6:86" x14ac:dyDescent="0.25">
      <c r="F982" s="9"/>
      <c r="G982" s="9"/>
      <c r="AA982" s="10"/>
      <c r="AV982" s="11"/>
      <c r="AW982" s="11"/>
      <c r="BB982" s="9"/>
      <c r="BC982" s="11"/>
      <c r="BF982" s="9"/>
      <c r="CH982" s="9"/>
    </row>
    <row r="983" spans="6:86" x14ac:dyDescent="0.25">
      <c r="F983" s="9"/>
      <c r="G983" s="9"/>
      <c r="AA983" s="10"/>
      <c r="AV983" s="11"/>
      <c r="AW983" s="11"/>
      <c r="BB983" s="9"/>
      <c r="BC983" s="11"/>
      <c r="BF983" s="9"/>
      <c r="CH983" s="9"/>
    </row>
    <row r="984" spans="6:86" x14ac:dyDescent="0.25">
      <c r="F984" s="9"/>
      <c r="G984" s="9"/>
      <c r="AA984" s="10"/>
      <c r="AV984" s="11"/>
      <c r="AW984" s="11"/>
      <c r="BB984" s="9"/>
      <c r="BC984" s="11"/>
      <c r="BF984" s="9"/>
      <c r="CF984" s="12"/>
      <c r="CH984" s="9"/>
    </row>
    <row r="985" spans="6:86" x14ac:dyDescent="0.25">
      <c r="F985" s="9"/>
      <c r="G985" s="9"/>
      <c r="AA985" s="10"/>
      <c r="AV985" s="11"/>
      <c r="AW985" s="11"/>
      <c r="BB985" s="9"/>
      <c r="BC985" s="11"/>
      <c r="BF985" s="9"/>
      <c r="CH985" s="9"/>
    </row>
    <row r="986" spans="6:86" x14ac:dyDescent="0.25">
      <c r="F986" s="9"/>
      <c r="G986" s="9"/>
      <c r="AA986" s="10"/>
      <c r="AV986" s="11"/>
      <c r="AW986" s="11"/>
      <c r="BB986" s="9"/>
      <c r="BC986" s="11"/>
      <c r="BF986" s="9"/>
      <c r="CF986" s="12"/>
      <c r="CH986" s="9"/>
    </row>
    <row r="987" spans="6:86" x14ac:dyDescent="0.25">
      <c r="F987" s="9"/>
      <c r="G987" s="9"/>
      <c r="AA987" s="10"/>
      <c r="AV987" s="11"/>
      <c r="AW987" s="11"/>
      <c r="BB987" s="9"/>
      <c r="BC987" s="11"/>
      <c r="BF987" s="9"/>
      <c r="CF987" s="12"/>
      <c r="CH987" s="9"/>
    </row>
    <row r="988" spans="6:86" x14ac:dyDescent="0.25">
      <c r="F988" s="9"/>
      <c r="G988" s="9"/>
      <c r="AA988" s="10"/>
      <c r="AV988" s="11"/>
      <c r="AW988" s="11"/>
      <c r="BB988" s="9"/>
      <c r="BC988" s="11"/>
      <c r="BF988" s="9"/>
      <c r="CH988" s="9"/>
    </row>
    <row r="989" spans="6:86" x14ac:dyDescent="0.25">
      <c r="F989" s="9"/>
      <c r="G989" s="9"/>
      <c r="AA989" s="10"/>
      <c r="AV989" s="11"/>
      <c r="AW989" s="11"/>
      <c r="BB989" s="9"/>
      <c r="BC989" s="11"/>
      <c r="BF989" s="9"/>
      <c r="CF989" s="12"/>
      <c r="CH989" s="9"/>
    </row>
    <row r="990" spans="6:86" x14ac:dyDescent="0.25">
      <c r="F990" s="9"/>
      <c r="G990" s="9"/>
      <c r="AA990" s="10"/>
      <c r="AV990" s="11"/>
      <c r="AW990" s="11"/>
      <c r="BB990" s="9"/>
      <c r="BC990" s="11"/>
      <c r="BF990" s="9"/>
      <c r="CH990" s="9"/>
    </row>
    <row r="991" spans="6:86" x14ac:dyDescent="0.25">
      <c r="F991" s="9"/>
      <c r="G991" s="9"/>
      <c r="AA991" s="10"/>
      <c r="AV991" s="11"/>
      <c r="AW991" s="11"/>
      <c r="BB991" s="9"/>
      <c r="BC991" s="11"/>
      <c r="BF991" s="9"/>
      <c r="CF991" s="12"/>
      <c r="CH991" s="9"/>
    </row>
    <row r="992" spans="6:86" x14ac:dyDescent="0.25">
      <c r="F992" s="9"/>
      <c r="G992" s="9"/>
      <c r="AA992" s="10"/>
      <c r="AV992" s="11"/>
      <c r="AW992" s="11"/>
      <c r="BB992" s="9"/>
      <c r="BC992" s="11"/>
      <c r="BF992" s="9"/>
      <c r="CF992" s="12"/>
      <c r="CH992" s="9"/>
    </row>
    <row r="993" spans="6:86" x14ac:dyDescent="0.25">
      <c r="F993" s="9"/>
      <c r="G993" s="9"/>
      <c r="AA993" s="10"/>
      <c r="AV993" s="11"/>
      <c r="AW993" s="11"/>
      <c r="BB993" s="9"/>
      <c r="BC993" s="11"/>
      <c r="BF993" s="9"/>
      <c r="CF993" s="12"/>
      <c r="CH993" s="9"/>
    </row>
    <row r="994" spans="6:86" x14ac:dyDescent="0.25">
      <c r="F994" s="9"/>
      <c r="G994" s="9"/>
      <c r="U994" s="12"/>
      <c r="AA994" s="10"/>
      <c r="AV994" s="11"/>
      <c r="AW994" s="11"/>
      <c r="BB994" s="9"/>
      <c r="BC994" s="11"/>
      <c r="BF994" s="9"/>
      <c r="CF994" s="12"/>
      <c r="CH994" s="9"/>
    </row>
    <row r="995" spans="6:86" x14ac:dyDescent="0.25">
      <c r="F995" s="9"/>
      <c r="G995" s="9"/>
      <c r="AA995" s="10"/>
      <c r="AV995" s="11"/>
      <c r="AW995" s="11"/>
      <c r="BB995" s="9"/>
      <c r="BC995" s="11"/>
      <c r="BF995" s="9"/>
      <c r="CF995" s="12"/>
      <c r="CH995" s="9"/>
    </row>
    <row r="996" spans="6:86" x14ac:dyDescent="0.25">
      <c r="F996" s="9"/>
      <c r="G996" s="9"/>
      <c r="AA996" s="10"/>
      <c r="AV996" s="11"/>
      <c r="AW996" s="11"/>
      <c r="BB996" s="9"/>
      <c r="BC996" s="11"/>
      <c r="BF996" s="9"/>
      <c r="CF996" s="12"/>
      <c r="CH996" s="9"/>
    </row>
    <row r="997" spans="6:86" x14ac:dyDescent="0.25">
      <c r="F997" s="9"/>
      <c r="G997" s="9"/>
      <c r="AA997" s="10"/>
      <c r="AV997" s="11"/>
      <c r="AW997" s="11"/>
      <c r="BB997" s="9"/>
      <c r="BC997" s="11"/>
      <c r="BF997" s="9"/>
      <c r="CF997" s="12"/>
      <c r="CH997" s="9"/>
    </row>
    <row r="998" spans="6:86" x14ac:dyDescent="0.25">
      <c r="F998" s="9"/>
      <c r="G998" s="9"/>
      <c r="AA998" s="10"/>
      <c r="AV998" s="11"/>
      <c r="AW998" s="11"/>
      <c r="BB998" s="9"/>
      <c r="BC998" s="11"/>
      <c r="BF998" s="9"/>
      <c r="CH998" s="9"/>
    </row>
    <row r="999" spans="6:86" x14ac:dyDescent="0.25">
      <c r="F999" s="9"/>
      <c r="G999" s="9"/>
      <c r="AA999" s="10"/>
      <c r="AV999" s="11"/>
      <c r="AW999" s="11"/>
      <c r="BB999" s="9"/>
      <c r="BC999" s="11"/>
      <c r="BF999" s="9"/>
      <c r="CF999" s="12"/>
      <c r="CH999" s="9"/>
    </row>
    <row r="1000" spans="6:86" x14ac:dyDescent="0.25">
      <c r="F1000" s="9"/>
      <c r="G1000" s="9"/>
      <c r="AA1000" s="10"/>
      <c r="AV1000" s="11"/>
      <c r="AW1000" s="11"/>
      <c r="BB1000" s="9"/>
      <c r="BC1000" s="11"/>
      <c r="BF1000" s="9"/>
      <c r="CF1000" s="12"/>
      <c r="CH1000" s="9"/>
    </row>
    <row r="1001" spans="6:86" x14ac:dyDescent="0.25">
      <c r="F1001" s="9"/>
      <c r="G1001" s="9"/>
      <c r="AA1001" s="10"/>
      <c r="AV1001" s="11"/>
      <c r="AW1001" s="11"/>
      <c r="BB1001" s="9"/>
      <c r="BC1001" s="11"/>
      <c r="BF1001" s="9"/>
      <c r="CF1001" s="12"/>
      <c r="CH1001" s="9"/>
    </row>
    <row r="1002" spans="6:86" x14ac:dyDescent="0.25">
      <c r="F1002" s="9"/>
      <c r="G1002" s="9"/>
      <c r="AA1002" s="10"/>
      <c r="AV1002" s="11"/>
      <c r="AW1002" s="11"/>
      <c r="BB1002" s="9"/>
      <c r="BC1002" s="11"/>
      <c r="BF1002" s="9"/>
      <c r="CF1002" s="12"/>
      <c r="CH1002" s="9"/>
    </row>
    <row r="1003" spans="6:86" x14ac:dyDescent="0.25">
      <c r="F1003" s="9"/>
      <c r="G1003" s="9"/>
      <c r="AA1003" s="10"/>
      <c r="AV1003" s="11"/>
      <c r="AW1003" s="11"/>
      <c r="BB1003" s="9"/>
      <c r="BC1003" s="11"/>
      <c r="BF1003" s="9"/>
      <c r="CF1003" s="12"/>
      <c r="CH1003" s="9"/>
    </row>
    <row r="1004" spans="6:86" x14ac:dyDescent="0.25">
      <c r="F1004" s="9"/>
      <c r="G1004" s="9"/>
      <c r="AA1004" s="10"/>
      <c r="AV1004" s="11"/>
      <c r="AW1004" s="11"/>
      <c r="BB1004" s="9"/>
      <c r="BC1004" s="11"/>
      <c r="BF1004" s="9"/>
      <c r="CH1004" s="9"/>
    </row>
    <row r="1005" spans="6:86" x14ac:dyDescent="0.25">
      <c r="F1005" s="9"/>
      <c r="G1005" s="9"/>
      <c r="AA1005" s="10"/>
      <c r="AV1005" s="11"/>
      <c r="AW1005" s="11"/>
      <c r="BB1005" s="9"/>
      <c r="BC1005" s="11"/>
      <c r="BF1005" s="9"/>
      <c r="CF1005" s="12"/>
      <c r="CH1005" s="9"/>
    </row>
    <row r="1006" spans="6:86" x14ac:dyDescent="0.25">
      <c r="F1006" s="9"/>
      <c r="G1006" s="9"/>
      <c r="AA1006" s="10"/>
      <c r="AV1006" s="11"/>
      <c r="AW1006" s="11"/>
      <c r="BB1006" s="9"/>
      <c r="BC1006" s="11"/>
      <c r="BF1006" s="9"/>
      <c r="CF1006" s="12"/>
      <c r="CH1006" s="9"/>
    </row>
    <row r="1007" spans="6:86" x14ac:dyDescent="0.25">
      <c r="F1007" s="9"/>
      <c r="G1007" s="9"/>
      <c r="AA1007" s="10"/>
      <c r="AV1007" s="11"/>
      <c r="AW1007" s="11"/>
      <c r="BB1007" s="9"/>
      <c r="BC1007" s="11"/>
      <c r="BF1007" s="9"/>
      <c r="CF1007" s="12"/>
      <c r="CH1007" s="9"/>
    </row>
    <row r="1008" spans="6:86" x14ac:dyDescent="0.25">
      <c r="F1008" s="9"/>
      <c r="G1008" s="9"/>
      <c r="AA1008" s="10"/>
      <c r="AV1008" s="11"/>
      <c r="AW1008" s="11"/>
      <c r="BB1008" s="9"/>
      <c r="BC1008" s="11"/>
      <c r="BF1008" s="9"/>
      <c r="CF1008" s="12"/>
      <c r="CH1008" s="9"/>
    </row>
    <row r="1009" spans="6:86" x14ac:dyDescent="0.25">
      <c r="F1009" s="9"/>
      <c r="G1009" s="9"/>
      <c r="AA1009" s="10"/>
      <c r="AV1009" s="11"/>
      <c r="AW1009" s="11"/>
      <c r="BB1009" s="9"/>
      <c r="BC1009" s="11"/>
      <c r="BF1009" s="9"/>
      <c r="CF1009" s="12"/>
      <c r="CH1009" s="9"/>
    </row>
    <row r="1010" spans="6:86" x14ac:dyDescent="0.25">
      <c r="F1010" s="9"/>
      <c r="G1010" s="9"/>
      <c r="AA1010" s="10"/>
      <c r="AV1010" s="11"/>
      <c r="AW1010" s="11"/>
      <c r="BB1010" s="9"/>
      <c r="BC1010" s="11"/>
      <c r="BF1010" s="9"/>
      <c r="CH1010" s="9"/>
    </row>
    <row r="1011" spans="6:86" x14ac:dyDescent="0.25">
      <c r="F1011" s="9"/>
      <c r="G1011" s="9"/>
      <c r="AA1011" s="10"/>
      <c r="AV1011" s="11"/>
      <c r="AW1011" s="11"/>
      <c r="BB1011" s="9"/>
      <c r="BC1011" s="11"/>
      <c r="BF1011" s="9"/>
      <c r="CF1011" s="12"/>
      <c r="CH1011" s="9"/>
    </row>
    <row r="1012" spans="6:86" x14ac:dyDescent="0.25">
      <c r="F1012" s="9"/>
      <c r="G1012" s="9"/>
      <c r="AA1012" s="10"/>
      <c r="AV1012" s="11"/>
      <c r="AW1012" s="11"/>
      <c r="BB1012" s="9"/>
      <c r="BC1012" s="11"/>
      <c r="BF1012" s="9"/>
      <c r="CF1012" s="12"/>
      <c r="CH1012" s="9"/>
    </row>
    <row r="1013" spans="6:86" x14ac:dyDescent="0.25">
      <c r="F1013" s="9"/>
      <c r="G1013" s="9"/>
      <c r="AA1013" s="10"/>
      <c r="AV1013" s="11"/>
      <c r="AW1013" s="11"/>
      <c r="BB1013" s="9"/>
      <c r="BC1013" s="11"/>
      <c r="BF1013" s="9"/>
      <c r="CF1013" s="12"/>
      <c r="CH1013" s="9"/>
    </row>
    <row r="1014" spans="6:86" x14ac:dyDescent="0.25">
      <c r="F1014" s="9"/>
      <c r="G1014" s="9"/>
      <c r="AA1014" s="10"/>
      <c r="AV1014" s="11"/>
      <c r="AW1014" s="11"/>
      <c r="BB1014" s="9"/>
      <c r="BC1014" s="11"/>
      <c r="BF1014" s="9"/>
      <c r="CF1014" s="12"/>
      <c r="CH1014" s="9"/>
    </row>
    <row r="1015" spans="6:86" x14ac:dyDescent="0.25">
      <c r="F1015" s="9"/>
      <c r="G1015" s="9"/>
      <c r="AA1015" s="10"/>
      <c r="AV1015" s="11"/>
      <c r="AW1015" s="11"/>
      <c r="BB1015" s="9"/>
      <c r="BC1015" s="11"/>
      <c r="BF1015" s="9"/>
      <c r="CF1015" s="12"/>
      <c r="CH1015" s="9"/>
    </row>
    <row r="1016" spans="6:86" x14ac:dyDescent="0.25">
      <c r="F1016" s="9"/>
      <c r="G1016" s="9"/>
      <c r="AA1016" s="10"/>
      <c r="AV1016" s="11"/>
      <c r="AW1016" s="11"/>
      <c r="BB1016" s="9"/>
      <c r="BC1016" s="11"/>
      <c r="BF1016" s="9"/>
      <c r="CF1016" s="12"/>
      <c r="CH1016" s="9"/>
    </row>
    <row r="1017" spans="6:86" x14ac:dyDescent="0.25">
      <c r="F1017" s="9"/>
      <c r="G1017" s="9"/>
      <c r="AA1017" s="10"/>
      <c r="AV1017" s="11"/>
      <c r="AW1017" s="11"/>
      <c r="BB1017" s="9"/>
      <c r="BC1017" s="11"/>
      <c r="BF1017" s="9"/>
      <c r="CF1017" s="12"/>
      <c r="CH1017" s="9"/>
    </row>
    <row r="1018" spans="6:86" x14ac:dyDescent="0.25">
      <c r="F1018" s="9"/>
      <c r="G1018" s="9"/>
      <c r="AA1018" s="10"/>
      <c r="AV1018" s="11"/>
      <c r="AW1018" s="11"/>
      <c r="BB1018" s="9"/>
      <c r="BC1018" s="11"/>
      <c r="BF1018" s="9"/>
      <c r="CH1018" s="9"/>
    </row>
    <row r="1019" spans="6:86" x14ac:dyDescent="0.25">
      <c r="F1019" s="9"/>
      <c r="G1019" s="9"/>
      <c r="AA1019" s="10"/>
      <c r="AV1019" s="11"/>
      <c r="AW1019" s="11"/>
      <c r="BB1019" s="9"/>
      <c r="BC1019" s="11"/>
      <c r="BF1019" s="9"/>
      <c r="CF1019" s="12"/>
      <c r="CH1019" s="9"/>
    </row>
    <row r="1020" spans="6:86" x14ac:dyDescent="0.25">
      <c r="F1020" s="9"/>
      <c r="G1020" s="9"/>
      <c r="AA1020" s="10"/>
      <c r="AV1020" s="11"/>
      <c r="AW1020" s="11"/>
      <c r="BB1020" s="9"/>
      <c r="BC1020" s="11"/>
      <c r="BF1020" s="9"/>
      <c r="CF1020" s="12"/>
      <c r="CH1020" s="9"/>
    </row>
    <row r="1021" spans="6:86" x14ac:dyDescent="0.25">
      <c r="F1021" s="9"/>
      <c r="G1021" s="9"/>
      <c r="AA1021" s="10"/>
      <c r="AV1021" s="11"/>
      <c r="AW1021" s="11"/>
      <c r="BB1021" s="9"/>
      <c r="BC1021" s="11"/>
      <c r="BF1021" s="9"/>
      <c r="CF1021" s="12"/>
      <c r="CH1021" s="9"/>
    </row>
    <row r="1022" spans="6:86" x14ac:dyDescent="0.25">
      <c r="F1022" s="9"/>
      <c r="G1022" s="9"/>
      <c r="AA1022" s="10"/>
      <c r="AV1022" s="11"/>
      <c r="AW1022" s="11"/>
      <c r="BB1022" s="9"/>
      <c r="BC1022" s="11"/>
      <c r="BF1022" s="9"/>
      <c r="CF1022" s="12"/>
      <c r="CH1022" s="9"/>
    </row>
    <row r="1023" spans="6:86" x14ac:dyDescent="0.25">
      <c r="F1023" s="9"/>
      <c r="G1023" s="9"/>
      <c r="AA1023" s="10"/>
      <c r="AV1023" s="11"/>
      <c r="AW1023" s="11"/>
      <c r="BB1023" s="9"/>
      <c r="BC1023" s="11"/>
      <c r="BF1023" s="9"/>
      <c r="CF1023" s="12"/>
      <c r="CH1023" s="9"/>
    </row>
    <row r="1024" spans="6:86" x14ac:dyDescent="0.25">
      <c r="F1024" s="9"/>
      <c r="G1024" s="9"/>
      <c r="AA1024" s="10"/>
      <c r="AV1024" s="11"/>
      <c r="AW1024" s="11"/>
      <c r="BB1024" s="9"/>
      <c r="BC1024" s="11"/>
      <c r="BF1024" s="9"/>
      <c r="CF1024" s="12"/>
      <c r="CH1024" s="9"/>
    </row>
    <row r="1025" spans="6:86" x14ac:dyDescent="0.25">
      <c r="F1025" s="9"/>
      <c r="G1025" s="9"/>
      <c r="AA1025" s="10"/>
      <c r="AV1025" s="11"/>
      <c r="AW1025" s="11"/>
      <c r="BB1025" s="9"/>
      <c r="BC1025" s="11"/>
      <c r="BF1025" s="9"/>
      <c r="CF1025" s="12"/>
      <c r="CH1025" s="9"/>
    </row>
    <row r="1026" spans="6:86" x14ac:dyDescent="0.25">
      <c r="F1026" s="9"/>
      <c r="G1026" s="9"/>
      <c r="AA1026" s="10"/>
      <c r="AV1026" s="11"/>
      <c r="AW1026" s="11"/>
      <c r="BB1026" s="9"/>
      <c r="BC1026" s="11"/>
      <c r="BF1026" s="9"/>
      <c r="CF1026" s="12"/>
      <c r="CH1026" s="9"/>
    </row>
    <row r="1027" spans="6:86" x14ac:dyDescent="0.25">
      <c r="F1027" s="9"/>
      <c r="G1027" s="9"/>
      <c r="AA1027" s="10"/>
      <c r="AV1027" s="11"/>
      <c r="AW1027" s="11"/>
      <c r="BB1027" s="9"/>
      <c r="BC1027" s="11"/>
      <c r="BF1027" s="9"/>
      <c r="CH1027" s="9"/>
    </row>
    <row r="1028" spans="6:86" x14ac:dyDescent="0.25">
      <c r="F1028" s="9"/>
      <c r="G1028" s="9"/>
      <c r="AA1028" s="10"/>
      <c r="AV1028" s="11"/>
      <c r="AW1028" s="11"/>
      <c r="BB1028" s="9"/>
      <c r="BC1028" s="11"/>
      <c r="BF1028" s="9"/>
      <c r="CF1028" s="12"/>
      <c r="CH1028" s="9"/>
    </row>
    <row r="1029" spans="6:86" x14ac:dyDescent="0.25">
      <c r="F1029" s="9"/>
      <c r="G1029" s="9"/>
      <c r="AA1029" s="10"/>
      <c r="AV1029" s="11"/>
      <c r="AW1029" s="11"/>
      <c r="BB1029" s="9"/>
      <c r="BC1029" s="11"/>
      <c r="BF1029" s="9"/>
      <c r="CF1029" s="12"/>
      <c r="CH1029" s="9"/>
    </row>
    <row r="1030" spans="6:86" x14ac:dyDescent="0.25">
      <c r="F1030" s="9"/>
      <c r="G1030" s="9"/>
      <c r="AA1030" s="10"/>
      <c r="AV1030" s="11"/>
      <c r="AW1030" s="11"/>
      <c r="BB1030" s="9"/>
      <c r="BC1030" s="11"/>
      <c r="BF1030" s="9"/>
      <c r="CF1030" s="12"/>
      <c r="CH1030" s="9"/>
    </row>
    <row r="1031" spans="6:86" x14ac:dyDescent="0.25">
      <c r="F1031" s="9"/>
      <c r="G1031" s="9"/>
      <c r="AA1031" s="10"/>
      <c r="AV1031" s="11"/>
      <c r="AW1031" s="11"/>
      <c r="BB1031" s="9"/>
      <c r="BC1031" s="11"/>
      <c r="BF1031" s="9"/>
      <c r="CF1031" s="12"/>
      <c r="CH1031" s="9"/>
    </row>
    <row r="1032" spans="6:86" x14ac:dyDescent="0.25">
      <c r="F1032" s="9"/>
      <c r="G1032" s="9"/>
      <c r="AA1032" s="10"/>
      <c r="AV1032" s="11"/>
      <c r="AW1032" s="11"/>
      <c r="BB1032" s="9"/>
      <c r="BC1032" s="11"/>
      <c r="BF1032" s="9"/>
      <c r="CF1032" s="12"/>
      <c r="CH1032" s="9"/>
    </row>
    <row r="1033" spans="6:86" x14ac:dyDescent="0.25">
      <c r="F1033" s="9"/>
      <c r="G1033" s="9"/>
      <c r="AA1033" s="10"/>
      <c r="AV1033" s="11"/>
      <c r="AW1033" s="11"/>
      <c r="BB1033" s="9"/>
      <c r="BC1033" s="11"/>
      <c r="BF1033" s="9"/>
      <c r="CH1033" s="9"/>
    </row>
    <row r="1034" spans="6:86" x14ac:dyDescent="0.25">
      <c r="F1034" s="9"/>
      <c r="G1034" s="9"/>
      <c r="AA1034" s="10"/>
      <c r="AV1034" s="11"/>
      <c r="AW1034" s="11"/>
      <c r="BB1034" s="9"/>
      <c r="BC1034" s="11"/>
      <c r="BF1034" s="9"/>
      <c r="CF1034" s="12"/>
      <c r="CH1034" s="9"/>
    </row>
    <row r="1035" spans="6:86" x14ac:dyDescent="0.25">
      <c r="F1035" s="9"/>
      <c r="G1035" s="9"/>
      <c r="AA1035" s="10"/>
      <c r="AV1035" s="11"/>
      <c r="AW1035" s="11"/>
      <c r="BB1035" s="9"/>
      <c r="BC1035" s="11"/>
      <c r="BF1035" s="9"/>
      <c r="CF1035" s="12"/>
      <c r="CH1035" s="9"/>
    </row>
    <row r="1036" spans="6:86" x14ac:dyDescent="0.25">
      <c r="F1036" s="9"/>
      <c r="G1036" s="9"/>
      <c r="AA1036" s="10"/>
      <c r="AV1036" s="11"/>
      <c r="AW1036" s="11"/>
      <c r="BB1036" s="9"/>
      <c r="BC1036" s="11"/>
      <c r="BF1036" s="9"/>
      <c r="CF1036" s="12"/>
      <c r="CH1036" s="9"/>
    </row>
    <row r="1037" spans="6:86" x14ac:dyDescent="0.25">
      <c r="F1037" s="9"/>
      <c r="G1037" s="9"/>
      <c r="AA1037" s="10"/>
      <c r="AV1037" s="11"/>
      <c r="AW1037" s="11"/>
      <c r="BB1037" s="9"/>
      <c r="BC1037" s="11"/>
      <c r="BF1037" s="9"/>
      <c r="CF1037" s="12"/>
      <c r="CH1037" s="9"/>
    </row>
    <row r="1038" spans="6:86" x14ac:dyDescent="0.25">
      <c r="F1038" s="9"/>
      <c r="G1038" s="9"/>
      <c r="AA1038" s="10"/>
      <c r="AV1038" s="11"/>
      <c r="AW1038" s="11"/>
      <c r="BB1038" s="9"/>
      <c r="BC1038" s="11"/>
      <c r="BF1038" s="9"/>
      <c r="CF1038" s="12"/>
      <c r="CH1038" s="9"/>
    </row>
    <row r="1039" spans="6:86" x14ac:dyDescent="0.25">
      <c r="F1039" s="9"/>
      <c r="G1039" s="9"/>
      <c r="AA1039" s="10"/>
      <c r="AV1039" s="11"/>
      <c r="AW1039" s="11"/>
      <c r="BB1039" s="9"/>
      <c r="BC1039" s="11"/>
      <c r="BF1039" s="9"/>
      <c r="CF1039" s="12"/>
      <c r="CH1039" s="9"/>
    </row>
    <row r="1040" spans="6:86" x14ac:dyDescent="0.25">
      <c r="F1040" s="9"/>
      <c r="G1040" s="9"/>
      <c r="AA1040" s="10"/>
      <c r="AV1040" s="11"/>
      <c r="AW1040" s="11"/>
      <c r="BB1040" s="9"/>
      <c r="BC1040" s="11"/>
      <c r="BF1040" s="9"/>
      <c r="CF1040" s="12"/>
      <c r="CH1040" s="9"/>
    </row>
    <row r="1041" spans="6:86" x14ac:dyDescent="0.25">
      <c r="F1041" s="9"/>
      <c r="G1041" s="9"/>
      <c r="AA1041" s="10"/>
      <c r="AV1041" s="11"/>
      <c r="AW1041" s="11"/>
      <c r="BB1041" s="9"/>
      <c r="BC1041" s="11"/>
      <c r="BF1041" s="9"/>
      <c r="CF1041" s="12"/>
      <c r="CH1041" s="9"/>
    </row>
    <row r="1042" spans="6:86" x14ac:dyDescent="0.25">
      <c r="F1042" s="9"/>
      <c r="G1042" s="9"/>
      <c r="AA1042" s="10"/>
      <c r="AV1042" s="11"/>
      <c r="AW1042" s="11"/>
      <c r="BB1042" s="9"/>
      <c r="BC1042" s="11"/>
      <c r="BF1042" s="9"/>
      <c r="CF1042" s="12"/>
      <c r="CH1042" s="9"/>
    </row>
    <row r="1043" spans="6:86" x14ac:dyDescent="0.25">
      <c r="F1043" s="9"/>
      <c r="G1043" s="9"/>
      <c r="AA1043" s="10"/>
      <c r="AV1043" s="11"/>
      <c r="AW1043" s="11"/>
      <c r="BB1043" s="9"/>
      <c r="BC1043" s="11"/>
      <c r="BF1043" s="9"/>
      <c r="CF1043" s="12"/>
      <c r="CH1043" s="9"/>
    </row>
    <row r="1044" spans="6:86" x14ac:dyDescent="0.25">
      <c r="F1044" s="9"/>
      <c r="G1044" s="9"/>
      <c r="AA1044" s="10"/>
      <c r="AV1044" s="11"/>
      <c r="AW1044" s="11"/>
      <c r="BB1044" s="9"/>
      <c r="BC1044" s="11"/>
      <c r="BF1044" s="9"/>
      <c r="CF1044" s="12"/>
      <c r="CH1044" s="9"/>
    </row>
    <row r="1045" spans="6:86" x14ac:dyDescent="0.25">
      <c r="F1045" s="9"/>
      <c r="G1045" s="9"/>
      <c r="AA1045" s="10"/>
      <c r="AV1045" s="11"/>
      <c r="AW1045" s="11"/>
      <c r="BB1045" s="9"/>
      <c r="BC1045" s="11"/>
      <c r="BF1045" s="9"/>
      <c r="CF1045" s="12"/>
      <c r="CH1045" s="9"/>
    </row>
    <row r="1046" spans="6:86" x14ac:dyDescent="0.25">
      <c r="F1046" s="9"/>
      <c r="G1046" s="9"/>
      <c r="AA1046" s="10"/>
      <c r="AV1046" s="11"/>
      <c r="AW1046" s="11"/>
      <c r="BB1046" s="9"/>
      <c r="BC1046" s="11"/>
      <c r="BF1046" s="9"/>
      <c r="CF1046" s="12"/>
      <c r="CH1046" s="9"/>
    </row>
    <row r="1047" spans="6:86" x14ac:dyDescent="0.25">
      <c r="F1047" s="9"/>
      <c r="G1047" s="9"/>
      <c r="AA1047" s="10"/>
      <c r="AV1047" s="11"/>
      <c r="AW1047" s="11"/>
      <c r="BB1047" s="9"/>
      <c r="BC1047" s="11"/>
      <c r="BF1047" s="9"/>
      <c r="CF1047" s="12"/>
      <c r="CH1047" s="9"/>
    </row>
    <row r="1048" spans="6:86" x14ac:dyDescent="0.25">
      <c r="F1048" s="9"/>
      <c r="G1048" s="9"/>
      <c r="AA1048" s="10"/>
      <c r="AV1048" s="11"/>
      <c r="AW1048" s="11"/>
      <c r="BB1048" s="9"/>
      <c r="BC1048" s="11"/>
      <c r="BF1048" s="9"/>
      <c r="CF1048" s="12"/>
      <c r="CH1048" s="9"/>
    </row>
    <row r="1049" spans="6:86" x14ac:dyDescent="0.25">
      <c r="F1049" s="9"/>
      <c r="G1049" s="9"/>
      <c r="AA1049" s="10"/>
      <c r="AV1049" s="11"/>
      <c r="AW1049" s="11"/>
      <c r="BB1049" s="9"/>
      <c r="BC1049" s="11"/>
      <c r="BF1049" s="9"/>
      <c r="CF1049" s="12"/>
      <c r="CH1049" s="9"/>
    </row>
    <row r="1050" spans="6:86" x14ac:dyDescent="0.25">
      <c r="F1050" s="9"/>
      <c r="G1050" s="9"/>
      <c r="AA1050" s="10"/>
      <c r="AV1050" s="11"/>
      <c r="AW1050" s="11"/>
      <c r="BB1050" s="9"/>
      <c r="BC1050" s="11"/>
      <c r="BF1050" s="9"/>
      <c r="CF1050" s="12"/>
      <c r="CH1050" s="9"/>
    </row>
    <row r="1051" spans="6:86" x14ac:dyDescent="0.25">
      <c r="F1051" s="9"/>
      <c r="G1051" s="9"/>
      <c r="AA1051" s="10"/>
      <c r="AV1051" s="11"/>
      <c r="AW1051" s="11"/>
      <c r="BB1051" s="9"/>
      <c r="BC1051" s="11"/>
      <c r="BF1051" s="9"/>
      <c r="CF1051" s="12"/>
      <c r="CH1051" s="9"/>
    </row>
    <row r="1052" spans="6:86" x14ac:dyDescent="0.25">
      <c r="F1052" s="9"/>
      <c r="G1052" s="9"/>
      <c r="AA1052" s="10"/>
      <c r="AV1052" s="11"/>
      <c r="AW1052" s="11"/>
      <c r="BB1052" s="9"/>
      <c r="BC1052" s="11"/>
      <c r="BF1052" s="9"/>
      <c r="CH1052" s="9"/>
    </row>
    <row r="1053" spans="6:86" x14ac:dyDescent="0.25">
      <c r="F1053" s="9"/>
      <c r="G1053" s="9"/>
      <c r="AA1053" s="10"/>
      <c r="AV1053" s="11"/>
      <c r="AW1053" s="11"/>
      <c r="BB1053" s="9"/>
      <c r="BC1053" s="11"/>
      <c r="BF1053" s="9"/>
      <c r="CF1053" s="12"/>
      <c r="CH1053" s="9"/>
    </row>
    <row r="1054" spans="6:86" x14ac:dyDescent="0.25">
      <c r="F1054" s="9"/>
      <c r="G1054" s="9"/>
      <c r="AA1054" s="10"/>
      <c r="AV1054" s="11"/>
      <c r="AW1054" s="11"/>
      <c r="BB1054" s="9"/>
      <c r="BC1054" s="11"/>
      <c r="BF1054" s="9"/>
      <c r="CF1054" s="12"/>
      <c r="CH1054" s="9"/>
    </row>
    <row r="1055" spans="6:86" x14ac:dyDescent="0.25">
      <c r="F1055" s="9"/>
      <c r="G1055" s="9"/>
      <c r="AA1055" s="10"/>
      <c r="AV1055" s="11"/>
      <c r="AW1055" s="11"/>
      <c r="BB1055" s="9"/>
      <c r="BC1055" s="11"/>
      <c r="BF1055" s="9"/>
      <c r="CF1055" s="12"/>
      <c r="CH1055" s="9"/>
    </row>
    <row r="1056" spans="6:86" x14ac:dyDescent="0.25">
      <c r="F1056" s="9"/>
      <c r="G1056" s="9"/>
      <c r="AA1056" s="10"/>
      <c r="AV1056" s="11"/>
      <c r="AW1056" s="11"/>
      <c r="BB1056" s="9"/>
      <c r="BC1056" s="11"/>
      <c r="BF1056" s="9"/>
      <c r="CF1056" s="12"/>
      <c r="CH1056" s="9"/>
    </row>
    <row r="1057" spans="6:92" x14ac:dyDescent="0.25">
      <c r="F1057" s="9"/>
      <c r="G1057" s="9"/>
      <c r="AA1057" s="10"/>
      <c r="AV1057" s="11"/>
      <c r="AW1057" s="11"/>
      <c r="BB1057" s="9"/>
      <c r="BC1057" s="11"/>
      <c r="BF1057" s="9"/>
      <c r="CF1057" s="12"/>
      <c r="CH1057" s="9"/>
    </row>
    <row r="1058" spans="6:92" x14ac:dyDescent="0.25">
      <c r="F1058" s="9"/>
      <c r="G1058" s="9"/>
      <c r="AA1058" s="10"/>
      <c r="AV1058" s="11"/>
      <c r="AW1058" s="11"/>
      <c r="BB1058" s="9"/>
      <c r="BC1058" s="11"/>
      <c r="BF1058" s="9"/>
      <c r="CF1058" s="12"/>
      <c r="CH1058" s="9"/>
    </row>
    <row r="1059" spans="6:92" x14ac:dyDescent="0.25">
      <c r="F1059" s="9"/>
      <c r="G1059" s="9"/>
      <c r="AA1059" s="10"/>
      <c r="AV1059" s="11"/>
      <c r="AW1059" s="11"/>
      <c r="BB1059" s="9"/>
      <c r="BC1059" s="11"/>
      <c r="BF1059" s="9"/>
      <c r="CF1059" s="12"/>
      <c r="CH1059" s="9"/>
    </row>
    <row r="1060" spans="6:92" x14ac:dyDescent="0.25">
      <c r="F1060" s="9"/>
      <c r="G1060" s="9"/>
      <c r="AA1060" s="10"/>
      <c r="AV1060" s="11"/>
      <c r="AW1060" s="11"/>
      <c r="BB1060" s="9"/>
      <c r="BC1060" s="11"/>
      <c r="BF1060" s="9"/>
      <c r="CF1060" s="12"/>
      <c r="CH1060" s="9"/>
    </row>
    <row r="1061" spans="6:92" x14ac:dyDescent="0.25">
      <c r="F1061" s="9"/>
      <c r="G1061" s="9"/>
      <c r="AA1061" s="10"/>
      <c r="AV1061" s="11"/>
      <c r="AW1061" s="11"/>
      <c r="BB1061" s="9"/>
      <c r="BC1061" s="11"/>
      <c r="BF1061" s="9"/>
      <c r="CF1061" s="12"/>
      <c r="CH1061" s="9"/>
    </row>
    <row r="1062" spans="6:92" x14ac:dyDescent="0.25">
      <c r="F1062" s="9"/>
      <c r="G1062" s="9"/>
      <c r="AA1062" s="10"/>
      <c r="AV1062" s="11"/>
      <c r="AW1062" s="11"/>
      <c r="BB1062" s="9"/>
      <c r="BC1062" s="11"/>
      <c r="BF1062" s="9"/>
      <c r="CF1062" s="12"/>
      <c r="CH1062" s="9"/>
    </row>
    <row r="1063" spans="6:92" x14ac:dyDescent="0.25">
      <c r="F1063" s="9"/>
      <c r="G1063" s="9"/>
      <c r="AA1063" s="10"/>
      <c r="AV1063" s="11"/>
      <c r="AW1063" s="11"/>
      <c r="BB1063" s="9"/>
      <c r="BC1063" s="11"/>
      <c r="BF1063" s="9"/>
      <c r="CF1063" s="12"/>
      <c r="CH1063" s="9"/>
    </row>
    <row r="1064" spans="6:92" x14ac:dyDescent="0.25">
      <c r="F1064" s="9"/>
      <c r="G1064" s="9"/>
      <c r="AA1064" s="10"/>
      <c r="AV1064" s="11"/>
      <c r="AW1064" s="11"/>
      <c r="BB1064" s="9"/>
      <c r="BC1064" s="11"/>
      <c r="BF1064" s="9"/>
      <c r="CF1064" s="12"/>
      <c r="CH1064" s="9"/>
    </row>
    <row r="1065" spans="6:92" x14ac:dyDescent="0.25">
      <c r="F1065" s="9"/>
      <c r="G1065" s="9"/>
      <c r="AA1065" s="10"/>
      <c r="AV1065" s="11"/>
      <c r="AW1065" s="11"/>
      <c r="BB1065" s="9"/>
      <c r="BC1065" s="11"/>
      <c r="BF1065" s="9"/>
      <c r="CF1065" s="12"/>
      <c r="CH1065" s="9"/>
    </row>
    <row r="1066" spans="6:92" x14ac:dyDescent="0.25">
      <c r="F1066" s="9"/>
      <c r="G1066" s="9"/>
      <c r="U1066" s="12"/>
      <c r="Z1066" s="12"/>
      <c r="AA1066" s="10"/>
      <c r="AV1066" s="11"/>
      <c r="AW1066" s="11"/>
      <c r="BB1066" s="9"/>
      <c r="BC1066" s="11"/>
      <c r="BF1066" s="9"/>
      <c r="CF1066" s="12"/>
      <c r="CH1066" s="9"/>
      <c r="CN1066" s="12"/>
    </row>
    <row r="1067" spans="6:92" x14ac:dyDescent="0.25">
      <c r="F1067" s="9"/>
      <c r="G1067" s="9"/>
      <c r="AA1067" s="10"/>
      <c r="AV1067" s="11"/>
      <c r="AW1067" s="11"/>
      <c r="BB1067" s="9"/>
      <c r="BC1067" s="11"/>
      <c r="BF1067" s="9"/>
      <c r="CF1067" s="12"/>
      <c r="CH1067" s="9"/>
    </row>
    <row r="1068" spans="6:92" x14ac:dyDescent="0.25">
      <c r="F1068" s="9"/>
      <c r="G1068" s="9"/>
      <c r="AA1068" s="10"/>
      <c r="AV1068" s="11"/>
      <c r="AW1068" s="11"/>
      <c r="BB1068" s="9"/>
      <c r="BC1068" s="11"/>
      <c r="BF1068" s="9"/>
      <c r="CF1068" s="12"/>
      <c r="CH1068" s="9"/>
    </row>
    <row r="1069" spans="6:92" x14ac:dyDescent="0.25">
      <c r="F1069" s="9"/>
      <c r="G1069" s="9"/>
      <c r="AA1069" s="10"/>
      <c r="AV1069" s="11"/>
      <c r="AW1069" s="11"/>
      <c r="BB1069" s="9"/>
      <c r="BC1069" s="11"/>
      <c r="BF1069" s="9"/>
      <c r="CF1069" s="12"/>
      <c r="CH1069" s="9"/>
    </row>
    <row r="1070" spans="6:92" x14ac:dyDescent="0.25">
      <c r="F1070" s="9"/>
      <c r="G1070" s="9"/>
      <c r="AA1070" s="10"/>
      <c r="AV1070" s="11"/>
      <c r="AW1070" s="11"/>
      <c r="BB1070" s="9"/>
      <c r="BC1070" s="11"/>
      <c r="BF1070" s="9"/>
      <c r="CF1070" s="12"/>
      <c r="CH1070" s="9"/>
    </row>
    <row r="1071" spans="6:92" x14ac:dyDescent="0.25">
      <c r="F1071" s="9"/>
      <c r="G1071" s="9"/>
      <c r="AA1071" s="10"/>
      <c r="AV1071" s="11"/>
      <c r="AW1071" s="11"/>
      <c r="BB1071" s="9"/>
      <c r="BC1071" s="11"/>
      <c r="BF1071" s="9"/>
      <c r="CF1071" s="12"/>
      <c r="CH1071" s="9"/>
    </row>
    <row r="1072" spans="6:92" x14ac:dyDescent="0.25">
      <c r="F1072" s="9"/>
      <c r="G1072" s="9"/>
      <c r="AA1072" s="10"/>
      <c r="AV1072" s="11"/>
      <c r="AW1072" s="11"/>
      <c r="BB1072" s="9"/>
      <c r="BC1072" s="11"/>
      <c r="BF1072" s="9"/>
      <c r="CF1072" s="12"/>
      <c r="CH1072" s="9"/>
    </row>
    <row r="1073" spans="6:86" x14ac:dyDescent="0.25">
      <c r="F1073" s="9"/>
      <c r="G1073" s="9"/>
      <c r="AA1073" s="10"/>
      <c r="AV1073" s="11"/>
      <c r="AW1073" s="11"/>
      <c r="BB1073" s="9"/>
      <c r="BC1073" s="11"/>
      <c r="BF1073" s="9"/>
      <c r="CF1073" s="12"/>
      <c r="CH1073" s="9"/>
    </row>
    <row r="1074" spans="6:86" x14ac:dyDescent="0.25">
      <c r="F1074" s="9"/>
      <c r="G1074" s="9"/>
      <c r="AA1074" s="10"/>
      <c r="AV1074" s="11"/>
      <c r="AW1074" s="11"/>
      <c r="BB1074" s="9"/>
      <c r="BC1074" s="11"/>
      <c r="BF1074" s="9"/>
      <c r="CF1074" s="12"/>
      <c r="CH1074" s="9"/>
    </row>
    <row r="1075" spans="6:86" x14ac:dyDescent="0.25">
      <c r="F1075" s="9"/>
      <c r="G1075" s="9"/>
      <c r="AA1075" s="10"/>
      <c r="AV1075" s="11"/>
      <c r="AW1075" s="11"/>
      <c r="BB1075" s="9"/>
      <c r="BC1075" s="11"/>
      <c r="BF1075" s="9"/>
      <c r="CF1075" s="12"/>
      <c r="CH1075" s="9"/>
    </row>
    <row r="1076" spans="6:86" x14ac:dyDescent="0.25">
      <c r="F1076" s="9"/>
      <c r="G1076" s="9"/>
      <c r="AA1076" s="10"/>
      <c r="AV1076" s="11"/>
      <c r="AW1076" s="11"/>
      <c r="BB1076" s="9"/>
      <c r="BC1076" s="11"/>
      <c r="BF1076" s="9"/>
      <c r="CF1076" s="12"/>
      <c r="CH1076" s="9"/>
    </row>
    <row r="1077" spans="6:86" x14ac:dyDescent="0.25">
      <c r="F1077" s="9"/>
      <c r="G1077" s="9"/>
      <c r="AA1077" s="10"/>
      <c r="AV1077" s="11"/>
      <c r="AW1077" s="11"/>
      <c r="BB1077" s="9"/>
      <c r="BC1077" s="11"/>
      <c r="BF1077" s="9"/>
      <c r="CF1077" s="12"/>
      <c r="CH1077" s="9"/>
    </row>
    <row r="1078" spans="6:86" x14ac:dyDescent="0.25">
      <c r="F1078" s="9"/>
      <c r="G1078" s="9"/>
      <c r="AA1078" s="10"/>
      <c r="AV1078" s="11"/>
      <c r="AW1078" s="11"/>
      <c r="BB1078" s="9"/>
      <c r="BC1078" s="11"/>
      <c r="BF1078" s="9"/>
      <c r="CF1078" s="12"/>
      <c r="CH1078" s="9"/>
    </row>
    <row r="1079" spans="6:86" x14ac:dyDescent="0.25">
      <c r="F1079" s="9"/>
      <c r="G1079" s="9"/>
      <c r="AA1079" s="10"/>
      <c r="AV1079" s="11"/>
      <c r="AW1079" s="11"/>
      <c r="BB1079" s="9"/>
      <c r="BC1079" s="11"/>
      <c r="BF1079" s="9"/>
      <c r="CF1079" s="12"/>
      <c r="CH1079" s="9"/>
    </row>
    <row r="1080" spans="6:86" x14ac:dyDescent="0.25">
      <c r="F1080" s="9"/>
      <c r="G1080" s="9"/>
      <c r="AA1080" s="10"/>
      <c r="AV1080" s="11"/>
      <c r="AW1080" s="11"/>
      <c r="BB1080" s="9"/>
      <c r="BC1080" s="11"/>
      <c r="BF1080" s="9"/>
      <c r="CF1080" s="12"/>
      <c r="CH1080" s="9"/>
    </row>
    <row r="1081" spans="6:86" x14ac:dyDescent="0.25">
      <c r="F1081" s="9"/>
      <c r="G1081" s="9"/>
      <c r="AA1081" s="10"/>
      <c r="AV1081" s="11"/>
      <c r="AW1081" s="11"/>
      <c r="BB1081" s="9"/>
      <c r="BC1081" s="11"/>
      <c r="BF1081" s="9"/>
      <c r="CF1081" s="12"/>
      <c r="CH1081" s="9"/>
    </row>
    <row r="1082" spans="6:86" x14ac:dyDescent="0.25">
      <c r="F1082" s="9"/>
      <c r="G1082" s="9"/>
      <c r="AA1082" s="10"/>
      <c r="AV1082" s="11"/>
      <c r="AW1082" s="11"/>
      <c r="BB1082" s="9"/>
      <c r="BC1082" s="11"/>
      <c r="BF1082" s="9"/>
      <c r="CF1082" s="12"/>
      <c r="CH1082" s="9"/>
    </row>
    <row r="1083" spans="6:86" x14ac:dyDescent="0.25">
      <c r="F1083" s="9"/>
      <c r="G1083" s="9"/>
      <c r="AA1083" s="10"/>
      <c r="AV1083" s="11"/>
      <c r="AW1083" s="11"/>
      <c r="BB1083" s="9"/>
      <c r="BC1083" s="11"/>
      <c r="BF1083" s="9"/>
      <c r="CF1083" s="12"/>
      <c r="CH1083" s="9"/>
    </row>
    <row r="1084" spans="6:86" x14ac:dyDescent="0.25">
      <c r="F1084" s="9"/>
      <c r="G1084" s="9"/>
      <c r="AA1084" s="10"/>
      <c r="AV1084" s="11"/>
      <c r="AW1084" s="11"/>
      <c r="BB1084" s="9"/>
      <c r="BC1084" s="11"/>
      <c r="BF1084" s="9"/>
      <c r="CF1084" s="12"/>
      <c r="CH1084" s="9"/>
    </row>
    <row r="1085" spans="6:86" x14ac:dyDescent="0.25">
      <c r="F1085" s="9"/>
      <c r="G1085" s="9"/>
      <c r="AA1085" s="10"/>
      <c r="AV1085" s="11"/>
      <c r="AW1085" s="11"/>
      <c r="BB1085" s="9"/>
      <c r="BC1085" s="11"/>
      <c r="BF1085" s="9"/>
      <c r="CF1085" s="12"/>
      <c r="CH1085" s="9"/>
    </row>
    <row r="1086" spans="6:86" x14ac:dyDescent="0.25">
      <c r="F1086" s="9"/>
      <c r="G1086" s="9"/>
      <c r="AA1086" s="10"/>
      <c r="AV1086" s="11"/>
      <c r="AW1086" s="11"/>
      <c r="BB1086" s="9"/>
      <c r="BC1086" s="11"/>
      <c r="BF1086" s="9"/>
      <c r="CF1086" s="12"/>
      <c r="CH1086" s="9"/>
    </row>
    <row r="1087" spans="6:86" x14ac:dyDescent="0.25">
      <c r="F1087" s="9"/>
      <c r="G1087" s="9"/>
      <c r="AA1087" s="10"/>
      <c r="AV1087" s="11"/>
      <c r="AW1087" s="11"/>
      <c r="BB1087" s="9"/>
      <c r="BC1087" s="11"/>
      <c r="BF1087" s="9"/>
      <c r="CF1087" s="12"/>
      <c r="CH1087" s="9"/>
    </row>
    <row r="1088" spans="6:86" x14ac:dyDescent="0.25">
      <c r="F1088" s="9"/>
      <c r="G1088" s="9"/>
      <c r="AA1088" s="10"/>
      <c r="AV1088" s="11"/>
      <c r="AW1088" s="11"/>
      <c r="BB1088" s="9"/>
      <c r="BC1088" s="11"/>
      <c r="BF1088" s="9"/>
      <c r="CF1088" s="12"/>
      <c r="CH1088" s="9"/>
    </row>
    <row r="1089" spans="6:86" x14ac:dyDescent="0.25">
      <c r="F1089" s="9"/>
      <c r="G1089" s="9"/>
      <c r="AA1089" s="10"/>
      <c r="AV1089" s="11"/>
      <c r="AW1089" s="11"/>
      <c r="BB1089" s="9"/>
      <c r="BC1089" s="11"/>
      <c r="BF1089" s="9"/>
      <c r="CF1089" s="12"/>
      <c r="CH1089" s="9"/>
    </row>
    <row r="1090" spans="6:86" x14ac:dyDescent="0.25">
      <c r="F1090" s="9"/>
      <c r="G1090" s="9"/>
      <c r="AA1090" s="10"/>
      <c r="AV1090" s="11"/>
      <c r="AW1090" s="11"/>
      <c r="BB1090" s="9"/>
      <c r="BC1090" s="11"/>
      <c r="BF1090" s="9"/>
      <c r="CF1090" s="12"/>
      <c r="CH1090" s="9"/>
    </row>
    <row r="1091" spans="6:86" x14ac:dyDescent="0.25">
      <c r="F1091" s="9"/>
      <c r="G1091" s="9"/>
      <c r="AA1091" s="10"/>
      <c r="AV1091" s="11"/>
      <c r="AW1091" s="11"/>
      <c r="BB1091" s="9"/>
      <c r="BC1091" s="11"/>
      <c r="BF1091" s="9"/>
      <c r="CF1091" s="12"/>
      <c r="CH1091" s="9"/>
    </row>
    <row r="1092" spans="6:86" x14ac:dyDescent="0.25">
      <c r="F1092" s="9"/>
      <c r="G1092" s="9"/>
      <c r="AA1092" s="10"/>
      <c r="AV1092" s="11"/>
      <c r="AW1092" s="11"/>
      <c r="BB1092" s="9"/>
      <c r="BC1092" s="11"/>
      <c r="BF1092" s="9"/>
      <c r="CF1092" s="12"/>
      <c r="CH1092" s="9"/>
    </row>
    <row r="1093" spans="6:86" x14ac:dyDescent="0.25">
      <c r="F1093" s="9"/>
      <c r="G1093" s="9"/>
      <c r="AA1093" s="10"/>
      <c r="AV1093" s="11"/>
      <c r="AW1093" s="11"/>
      <c r="BB1093" s="9"/>
      <c r="BC1093" s="11"/>
      <c r="BF1093" s="9"/>
      <c r="CF1093" s="12"/>
      <c r="CH1093" s="9"/>
    </row>
    <row r="1094" spans="6:86" x14ac:dyDescent="0.25">
      <c r="F1094" s="9"/>
      <c r="G1094" s="9"/>
      <c r="AA1094" s="10"/>
      <c r="AV1094" s="11"/>
      <c r="AW1094" s="11"/>
      <c r="BB1094" s="9"/>
      <c r="BC1094" s="11"/>
      <c r="BF1094" s="9"/>
      <c r="CF1094" s="12"/>
      <c r="CH1094" s="9"/>
    </row>
    <row r="1095" spans="6:86" x14ac:dyDescent="0.25">
      <c r="F1095" s="9"/>
      <c r="G1095" s="9"/>
      <c r="AA1095" s="10"/>
      <c r="AV1095" s="11"/>
      <c r="AW1095" s="11"/>
      <c r="BB1095" s="9"/>
      <c r="BC1095" s="11"/>
      <c r="BF1095" s="9"/>
      <c r="CF1095" s="12"/>
      <c r="CH1095" s="9"/>
    </row>
    <row r="1096" spans="6:86" x14ac:dyDescent="0.25">
      <c r="F1096" s="9"/>
      <c r="G1096" s="9"/>
      <c r="AA1096" s="10"/>
      <c r="AV1096" s="11"/>
      <c r="AW1096" s="11"/>
      <c r="BB1096" s="9"/>
      <c r="BC1096" s="11"/>
      <c r="BF1096" s="9"/>
      <c r="CF1096" s="12"/>
      <c r="CH1096" s="9"/>
    </row>
    <row r="1097" spans="6:86" x14ac:dyDescent="0.25">
      <c r="F1097" s="9"/>
      <c r="G1097" s="9"/>
      <c r="AA1097" s="10"/>
      <c r="AV1097" s="11"/>
      <c r="AW1097" s="11"/>
      <c r="BB1097" s="9"/>
      <c r="BC1097" s="11"/>
      <c r="BF1097" s="9"/>
      <c r="CF1097" s="12"/>
      <c r="CH1097" s="9"/>
    </row>
    <row r="1098" spans="6:86" x14ac:dyDescent="0.25">
      <c r="F1098" s="9"/>
      <c r="G1098" s="9"/>
      <c r="AA1098" s="10"/>
      <c r="AV1098" s="11"/>
      <c r="AW1098" s="11"/>
      <c r="BB1098" s="9"/>
      <c r="BC1098" s="11"/>
      <c r="BF1098" s="9"/>
      <c r="CF1098" s="12"/>
      <c r="CH1098" s="9"/>
    </row>
    <row r="1099" spans="6:86" x14ac:dyDescent="0.25">
      <c r="F1099" s="9"/>
      <c r="G1099" s="9"/>
      <c r="AA1099" s="10"/>
      <c r="AV1099" s="11"/>
      <c r="AW1099" s="11"/>
      <c r="BB1099" s="9"/>
      <c r="BC1099" s="11"/>
      <c r="BF1099" s="9"/>
      <c r="CF1099" s="12"/>
      <c r="CH1099" s="9"/>
    </row>
    <row r="1100" spans="6:86" x14ac:dyDescent="0.25">
      <c r="F1100" s="9"/>
      <c r="G1100" s="9"/>
      <c r="AA1100" s="10"/>
      <c r="AV1100" s="11"/>
      <c r="AW1100" s="11"/>
      <c r="BB1100" s="9"/>
      <c r="BC1100" s="11"/>
      <c r="BF1100" s="9"/>
      <c r="CF1100" s="12"/>
      <c r="CH1100" s="9"/>
    </row>
    <row r="1101" spans="6:86" x14ac:dyDescent="0.25">
      <c r="F1101" s="9"/>
      <c r="G1101" s="9"/>
      <c r="AA1101" s="10"/>
      <c r="AV1101" s="11"/>
      <c r="AW1101" s="11"/>
      <c r="BB1101" s="9"/>
      <c r="BC1101" s="11"/>
      <c r="BF1101" s="9"/>
      <c r="CF1101" s="12"/>
      <c r="CH1101" s="9"/>
    </row>
    <row r="1102" spans="6:86" x14ac:dyDescent="0.25">
      <c r="F1102" s="9"/>
      <c r="G1102" s="9"/>
      <c r="AA1102" s="10"/>
      <c r="AV1102" s="11"/>
      <c r="AW1102" s="11"/>
      <c r="BB1102" s="9"/>
      <c r="BC1102" s="11"/>
      <c r="BF1102" s="9"/>
      <c r="CF1102" s="12"/>
      <c r="CH1102" s="9"/>
    </row>
    <row r="1103" spans="6:86" x14ac:dyDescent="0.25">
      <c r="F1103" s="9"/>
      <c r="G1103" s="9"/>
      <c r="AA1103" s="10"/>
      <c r="AV1103" s="11"/>
      <c r="AW1103" s="11"/>
      <c r="BB1103" s="9"/>
      <c r="BC1103" s="11"/>
      <c r="BF1103" s="9"/>
      <c r="CF1103" s="12"/>
      <c r="CH1103" s="9"/>
    </row>
    <row r="1104" spans="6:86" x14ac:dyDescent="0.25">
      <c r="F1104" s="9"/>
      <c r="G1104" s="9"/>
      <c r="AA1104" s="10"/>
      <c r="AV1104" s="11"/>
      <c r="AW1104" s="11"/>
      <c r="BB1104" s="9"/>
      <c r="BC1104" s="11"/>
      <c r="BF1104" s="9"/>
      <c r="CF1104" s="12"/>
      <c r="CH1104" s="9"/>
    </row>
    <row r="1105" spans="6:92" x14ac:dyDescent="0.25">
      <c r="F1105" s="9"/>
      <c r="G1105" s="9"/>
      <c r="AA1105" s="10"/>
      <c r="AV1105" s="11"/>
      <c r="AW1105" s="11"/>
      <c r="BB1105" s="9"/>
      <c r="BC1105" s="11"/>
      <c r="BF1105" s="9"/>
      <c r="CF1105" s="12"/>
      <c r="CH1105" s="9"/>
    </row>
    <row r="1106" spans="6:92" x14ac:dyDescent="0.25">
      <c r="F1106" s="9"/>
      <c r="G1106" s="9"/>
      <c r="AA1106" s="10"/>
      <c r="AV1106" s="11"/>
      <c r="AW1106" s="11"/>
      <c r="BB1106" s="9"/>
      <c r="BC1106" s="11"/>
      <c r="BF1106" s="9"/>
      <c r="CF1106" s="12"/>
      <c r="CH1106" s="9"/>
    </row>
    <row r="1107" spans="6:92" x14ac:dyDescent="0.25">
      <c r="F1107" s="9"/>
      <c r="G1107" s="9"/>
      <c r="AA1107" s="10"/>
      <c r="AV1107" s="11"/>
      <c r="AW1107" s="11"/>
      <c r="BB1107" s="9"/>
      <c r="BC1107" s="11"/>
      <c r="BF1107" s="9"/>
      <c r="CF1107" s="12"/>
      <c r="CH1107" s="9"/>
    </row>
    <row r="1108" spans="6:92" x14ac:dyDescent="0.25">
      <c r="F1108" s="9"/>
      <c r="G1108" s="9"/>
      <c r="AA1108" s="10"/>
      <c r="AV1108" s="11"/>
      <c r="AW1108" s="11"/>
      <c r="BB1108" s="9"/>
      <c r="BC1108" s="11"/>
      <c r="BF1108" s="9"/>
      <c r="CF1108" s="12"/>
      <c r="CH1108" s="9"/>
    </row>
    <row r="1109" spans="6:92" x14ac:dyDescent="0.25">
      <c r="F1109" s="9"/>
      <c r="G1109" s="9"/>
      <c r="AA1109" s="10"/>
      <c r="AV1109" s="11"/>
      <c r="AW1109" s="11"/>
      <c r="BB1109" s="9"/>
      <c r="BC1109" s="11"/>
      <c r="BF1109" s="9"/>
      <c r="CF1109" s="12"/>
      <c r="CH1109" s="9"/>
      <c r="CN1109" s="12"/>
    </row>
    <row r="1110" spans="6:92" x14ac:dyDescent="0.25">
      <c r="F1110" s="9"/>
      <c r="G1110" s="9"/>
      <c r="AA1110" s="10"/>
      <c r="AV1110" s="11"/>
      <c r="AW1110" s="11"/>
      <c r="BB1110" s="9"/>
      <c r="BC1110" s="11"/>
      <c r="BF1110" s="9"/>
      <c r="CF1110" s="12"/>
      <c r="CH1110" s="9"/>
    </row>
    <row r="1111" spans="6:92" x14ac:dyDescent="0.25">
      <c r="F1111" s="9"/>
      <c r="G1111" s="9"/>
      <c r="AA1111" s="10"/>
      <c r="AV1111" s="11"/>
      <c r="AW1111" s="11"/>
      <c r="BB1111" s="9"/>
      <c r="BC1111" s="11"/>
      <c r="BF1111" s="9"/>
      <c r="CF1111" s="12"/>
      <c r="CH1111" s="9"/>
    </row>
    <row r="1112" spans="6:92" x14ac:dyDescent="0.25">
      <c r="F1112" s="9"/>
      <c r="G1112" s="9"/>
      <c r="AA1112" s="10"/>
      <c r="AV1112" s="11"/>
      <c r="AW1112" s="11"/>
      <c r="BB1112" s="9"/>
      <c r="BC1112" s="11"/>
      <c r="BF1112" s="9"/>
      <c r="CF1112" s="12"/>
      <c r="CH1112" s="9"/>
    </row>
    <row r="1113" spans="6:92" x14ac:dyDescent="0.25">
      <c r="F1113" s="9"/>
      <c r="G1113" s="9"/>
      <c r="U1113" s="12"/>
      <c r="Z1113" s="12"/>
      <c r="AA1113" s="10"/>
      <c r="AV1113" s="11"/>
      <c r="AW1113" s="11"/>
      <c r="BB1113" s="9"/>
      <c r="BC1113" s="11"/>
      <c r="BF1113" s="9"/>
      <c r="CH1113" s="9"/>
      <c r="CN1113" s="12"/>
    </row>
    <row r="1114" spans="6:92" x14ac:dyDescent="0.25">
      <c r="F1114" s="9"/>
      <c r="G1114" s="9"/>
      <c r="AA1114" s="10"/>
      <c r="AV1114" s="11"/>
      <c r="AW1114" s="11"/>
      <c r="BB1114" s="9"/>
      <c r="BC1114" s="11"/>
      <c r="BF1114" s="9"/>
      <c r="CH1114" s="9"/>
    </row>
    <row r="1115" spans="6:92" x14ac:dyDescent="0.25">
      <c r="F1115" s="9"/>
      <c r="G1115" s="9"/>
      <c r="AA1115" s="10"/>
      <c r="AV1115" s="11"/>
      <c r="AW1115" s="11"/>
      <c r="BB1115" s="9"/>
      <c r="BC1115" s="11"/>
      <c r="BF1115" s="9"/>
      <c r="CF1115" s="12"/>
      <c r="CH1115" s="9"/>
    </row>
    <row r="1116" spans="6:92" x14ac:dyDescent="0.25">
      <c r="F1116" s="9"/>
      <c r="G1116" s="9"/>
      <c r="AA1116" s="10"/>
      <c r="AV1116" s="11"/>
      <c r="AW1116" s="11"/>
      <c r="BB1116" s="9"/>
      <c r="BC1116" s="11"/>
      <c r="BF1116" s="9"/>
      <c r="CF1116" s="12"/>
      <c r="CH1116" s="9"/>
    </row>
    <row r="1117" spans="6:92" x14ac:dyDescent="0.25">
      <c r="F1117" s="9"/>
      <c r="G1117" s="9"/>
      <c r="AA1117" s="10"/>
      <c r="AV1117" s="11"/>
      <c r="AW1117" s="11"/>
      <c r="BB1117" s="9"/>
      <c r="BC1117" s="11"/>
      <c r="BF1117" s="9"/>
      <c r="CF1117" s="12"/>
      <c r="CH1117" s="9"/>
    </row>
    <row r="1118" spans="6:92" x14ac:dyDescent="0.25">
      <c r="F1118" s="9"/>
      <c r="G1118" s="9"/>
      <c r="AA1118" s="10"/>
      <c r="AV1118" s="11"/>
      <c r="AW1118" s="11"/>
      <c r="BB1118" s="9"/>
      <c r="BC1118" s="11"/>
      <c r="BF1118" s="9"/>
      <c r="CF1118" s="12"/>
      <c r="CH1118" s="9"/>
    </row>
    <row r="1119" spans="6:92" x14ac:dyDescent="0.25">
      <c r="F1119" s="9"/>
      <c r="G1119" s="9"/>
      <c r="AA1119" s="10"/>
      <c r="AV1119" s="11"/>
      <c r="AW1119" s="11"/>
      <c r="BB1119" s="9"/>
      <c r="BC1119" s="11"/>
      <c r="BF1119" s="9"/>
      <c r="CF1119" s="12"/>
      <c r="CH1119" s="9"/>
    </row>
    <row r="1120" spans="6:92" x14ac:dyDescent="0.25">
      <c r="F1120" s="9"/>
      <c r="G1120" s="9"/>
      <c r="AA1120" s="10"/>
      <c r="AV1120" s="11"/>
      <c r="AW1120" s="11"/>
      <c r="BB1120" s="9"/>
      <c r="BC1120" s="11"/>
      <c r="BF1120" s="9"/>
      <c r="CF1120" s="12"/>
      <c r="CH1120" s="9"/>
    </row>
    <row r="1121" spans="6:86" x14ac:dyDescent="0.25">
      <c r="F1121" s="9"/>
      <c r="G1121" s="9"/>
      <c r="AA1121" s="10"/>
      <c r="AV1121" s="11"/>
      <c r="AW1121" s="11"/>
      <c r="BB1121" s="9"/>
      <c r="BC1121" s="11"/>
      <c r="BF1121" s="9"/>
      <c r="CF1121" s="12"/>
      <c r="CH1121" s="9"/>
    </row>
    <row r="1122" spans="6:86" x14ac:dyDescent="0.25">
      <c r="F1122" s="9"/>
      <c r="G1122" s="9"/>
      <c r="AA1122" s="10"/>
      <c r="AV1122" s="11"/>
      <c r="AW1122" s="11"/>
      <c r="BB1122" s="9"/>
      <c r="BC1122" s="11"/>
      <c r="BF1122" s="9"/>
      <c r="CF1122" s="12"/>
      <c r="CH1122" s="9"/>
    </row>
    <row r="1123" spans="6:86" x14ac:dyDescent="0.25">
      <c r="F1123" s="9"/>
      <c r="G1123" s="9"/>
      <c r="AA1123" s="10"/>
      <c r="AV1123" s="11"/>
      <c r="AW1123" s="11"/>
      <c r="BB1123" s="9"/>
      <c r="BC1123" s="11"/>
      <c r="BF1123" s="9"/>
      <c r="CF1123" s="12"/>
      <c r="CH1123" s="9"/>
    </row>
    <row r="1124" spans="6:86" x14ac:dyDescent="0.25">
      <c r="F1124" s="9"/>
      <c r="G1124" s="9"/>
      <c r="AA1124" s="10"/>
      <c r="AV1124" s="11"/>
      <c r="AW1124" s="11"/>
      <c r="BB1124" s="9"/>
      <c r="BC1124" s="11"/>
      <c r="BF1124" s="9"/>
      <c r="CF1124" s="12"/>
      <c r="CH1124" s="9"/>
    </row>
    <row r="1125" spans="6:86" x14ac:dyDescent="0.25">
      <c r="F1125" s="9"/>
      <c r="G1125" s="9"/>
      <c r="AA1125" s="10"/>
      <c r="AV1125" s="11"/>
      <c r="AW1125" s="11"/>
      <c r="BB1125" s="9"/>
      <c r="BC1125" s="11"/>
      <c r="BF1125" s="9"/>
      <c r="CF1125" s="12"/>
      <c r="CH1125" s="9"/>
    </row>
    <row r="1126" spans="6:86" x14ac:dyDescent="0.25">
      <c r="F1126" s="9"/>
      <c r="G1126" s="9"/>
      <c r="AA1126" s="10"/>
      <c r="AV1126" s="11"/>
      <c r="AW1126" s="11"/>
      <c r="BB1126" s="9"/>
      <c r="BC1126" s="11"/>
      <c r="BF1126" s="9"/>
      <c r="CF1126" s="12"/>
      <c r="CH1126" s="9"/>
    </row>
    <row r="1127" spans="6:86" x14ac:dyDescent="0.25">
      <c r="F1127" s="9"/>
      <c r="G1127" s="9"/>
      <c r="AA1127" s="10"/>
      <c r="AV1127" s="11"/>
      <c r="AW1127" s="11"/>
      <c r="BB1127" s="9"/>
      <c r="BC1127" s="11"/>
      <c r="BF1127" s="9"/>
    </row>
    <row r="1128" spans="6:86" x14ac:dyDescent="0.25">
      <c r="F1128" s="9"/>
      <c r="G1128" s="9"/>
      <c r="AA1128" s="10"/>
      <c r="AV1128" s="11"/>
      <c r="AW1128" s="11"/>
      <c r="BB1128" s="9"/>
      <c r="BC1128" s="11"/>
      <c r="BF1128" s="9"/>
    </row>
    <row r="1129" spans="6:86" x14ac:dyDescent="0.25">
      <c r="F1129" s="9"/>
      <c r="G1129" s="9"/>
      <c r="AA1129" s="10"/>
      <c r="AV1129" s="11"/>
      <c r="AW1129" s="11"/>
      <c r="BB1129" s="9"/>
      <c r="BC1129" s="11"/>
      <c r="BF1129" s="9"/>
      <c r="CF1129" s="12"/>
      <c r="CH1129" s="9"/>
    </row>
    <row r="1130" spans="6:86" x14ac:dyDescent="0.25">
      <c r="F1130" s="9"/>
      <c r="G1130" s="9"/>
      <c r="AA1130" s="10"/>
      <c r="AV1130" s="11"/>
      <c r="AW1130" s="11"/>
      <c r="BB1130" s="9"/>
      <c r="BC1130" s="11"/>
      <c r="BF1130" s="9"/>
      <c r="CF1130" s="12"/>
      <c r="CH1130" s="9"/>
    </row>
    <row r="1131" spans="6:86" x14ac:dyDescent="0.25">
      <c r="F1131" s="9"/>
      <c r="G1131" s="9"/>
      <c r="AA1131" s="10"/>
      <c r="AV1131" s="11"/>
      <c r="AW1131" s="11"/>
      <c r="BB1131" s="9"/>
      <c r="BC1131" s="11"/>
      <c r="BF1131" s="9"/>
      <c r="CF1131" s="12"/>
      <c r="CH1131" s="9"/>
    </row>
    <row r="1132" spans="6:86" x14ac:dyDescent="0.25">
      <c r="F1132" s="9"/>
      <c r="G1132" s="9"/>
      <c r="AA1132" s="10"/>
      <c r="AV1132" s="11"/>
      <c r="AW1132" s="11"/>
      <c r="BB1132" s="9"/>
      <c r="BC1132" s="11"/>
      <c r="BF1132" s="9"/>
      <c r="CF1132" s="12"/>
      <c r="CH1132" s="9"/>
    </row>
    <row r="1133" spans="6:86" x14ac:dyDescent="0.25">
      <c r="F1133" s="9"/>
      <c r="G1133" s="9"/>
      <c r="AA1133" s="10"/>
      <c r="AV1133" s="11"/>
      <c r="AW1133" s="11"/>
      <c r="BB1133" s="9"/>
      <c r="BC1133" s="11"/>
      <c r="BF1133" s="9"/>
      <c r="CF1133" s="12"/>
      <c r="CH1133" s="9"/>
    </row>
    <row r="1134" spans="6:86" x14ac:dyDescent="0.25">
      <c r="F1134" s="9"/>
      <c r="G1134" s="9"/>
      <c r="AA1134" s="10"/>
      <c r="AV1134" s="11"/>
      <c r="AW1134" s="11"/>
      <c r="BB1134" s="9"/>
      <c r="BC1134" s="11"/>
      <c r="BF1134" s="9"/>
      <c r="CH1134" s="9"/>
    </row>
    <row r="1135" spans="6:86" x14ac:dyDescent="0.25">
      <c r="F1135" s="9"/>
      <c r="G1135" s="9"/>
      <c r="AA1135" s="10"/>
      <c r="AV1135" s="11"/>
      <c r="AW1135" s="11"/>
      <c r="BB1135" s="9"/>
      <c r="BC1135" s="11"/>
      <c r="BF1135" s="9"/>
      <c r="CF1135" s="12"/>
      <c r="CH1135" s="9"/>
    </row>
    <row r="1136" spans="6:86" x14ac:dyDescent="0.25">
      <c r="F1136" s="9"/>
      <c r="G1136" s="9"/>
      <c r="AA1136" s="10"/>
      <c r="AV1136" s="11"/>
      <c r="AW1136" s="11"/>
      <c r="BB1136" s="9"/>
      <c r="BC1136" s="11"/>
      <c r="BF1136" s="9"/>
      <c r="CF1136" s="12"/>
      <c r="CH1136" s="9"/>
    </row>
    <row r="1137" spans="6:86" x14ac:dyDescent="0.25">
      <c r="F1137" s="9"/>
      <c r="G1137" s="9"/>
      <c r="AA1137" s="10"/>
      <c r="AV1137" s="11"/>
      <c r="AW1137" s="11"/>
      <c r="BB1137" s="9"/>
      <c r="BC1137" s="11"/>
      <c r="BF1137" s="9"/>
      <c r="CF1137" s="12"/>
      <c r="CH1137" s="9"/>
    </row>
    <row r="1138" spans="6:86" x14ac:dyDescent="0.25">
      <c r="F1138" s="9"/>
      <c r="G1138" s="9"/>
      <c r="AA1138" s="10"/>
      <c r="AV1138" s="11"/>
      <c r="AW1138" s="11"/>
      <c r="BB1138" s="9"/>
      <c r="BC1138" s="11"/>
      <c r="BF1138" s="9"/>
      <c r="CF1138" s="12"/>
      <c r="CH1138" s="9"/>
    </row>
    <row r="1139" spans="6:86" x14ac:dyDescent="0.25">
      <c r="F1139" s="9"/>
      <c r="G1139" s="9"/>
      <c r="AA1139" s="10"/>
      <c r="AV1139" s="11"/>
      <c r="AW1139" s="11"/>
      <c r="BB1139" s="9"/>
      <c r="BC1139" s="11"/>
      <c r="BF1139" s="9"/>
      <c r="CF1139" s="12"/>
      <c r="CH1139" s="9"/>
    </row>
    <row r="1140" spans="6:86" x14ac:dyDescent="0.25">
      <c r="F1140" s="9"/>
      <c r="G1140" s="9"/>
      <c r="AA1140" s="10"/>
      <c r="AV1140" s="11"/>
      <c r="AW1140" s="11"/>
      <c r="BB1140" s="9"/>
      <c r="BC1140" s="11"/>
      <c r="BF1140" s="9"/>
      <c r="CF1140" s="12"/>
      <c r="CH1140" s="9"/>
    </row>
    <row r="1141" spans="6:86" x14ac:dyDescent="0.25">
      <c r="F1141" s="9"/>
      <c r="G1141" s="9"/>
      <c r="AA1141" s="10"/>
      <c r="AV1141" s="11"/>
      <c r="AW1141" s="11"/>
      <c r="BB1141" s="9"/>
      <c r="BC1141" s="11"/>
      <c r="BF1141" s="9"/>
      <c r="CF1141" s="12"/>
      <c r="CH1141" s="9"/>
    </row>
    <row r="1142" spans="6:86" x14ac:dyDescent="0.25">
      <c r="F1142" s="9"/>
      <c r="G1142" s="9"/>
      <c r="AA1142" s="10"/>
      <c r="AV1142" s="11"/>
      <c r="AW1142" s="11"/>
      <c r="BB1142" s="9"/>
      <c r="BC1142" s="11"/>
      <c r="BF1142" s="9"/>
      <c r="CF1142" s="12"/>
      <c r="CH1142" s="9"/>
    </row>
    <row r="1143" spans="6:86" x14ac:dyDescent="0.25">
      <c r="F1143" s="9"/>
      <c r="G1143" s="9"/>
      <c r="AA1143" s="10"/>
      <c r="AV1143" s="11"/>
      <c r="AW1143" s="11"/>
      <c r="BB1143" s="9"/>
      <c r="BC1143" s="11"/>
      <c r="BF1143" s="9"/>
      <c r="CF1143" s="12"/>
      <c r="CH1143" s="9"/>
    </row>
    <row r="1144" spans="6:86" x14ac:dyDescent="0.25">
      <c r="F1144" s="9"/>
      <c r="G1144" s="9"/>
      <c r="AA1144" s="10"/>
      <c r="AV1144" s="11"/>
      <c r="AW1144" s="11"/>
      <c r="BB1144" s="9"/>
      <c r="BC1144" s="11"/>
      <c r="BF1144" s="9"/>
      <c r="CF1144" s="12"/>
      <c r="CH1144" s="9"/>
    </row>
    <row r="1145" spans="6:86" x14ac:dyDescent="0.25">
      <c r="F1145" s="9"/>
      <c r="G1145" s="9"/>
      <c r="AA1145" s="10"/>
      <c r="AV1145" s="11"/>
      <c r="AW1145" s="11"/>
      <c r="BB1145" s="9"/>
      <c r="BC1145" s="11"/>
      <c r="BF1145" s="9"/>
      <c r="CF1145" s="12"/>
      <c r="CH1145" s="9"/>
    </row>
    <row r="1146" spans="6:86" x14ac:dyDescent="0.25">
      <c r="F1146" s="9"/>
      <c r="G1146" s="9"/>
      <c r="AA1146" s="10"/>
      <c r="AV1146" s="11"/>
      <c r="AW1146" s="11"/>
      <c r="BB1146" s="9"/>
      <c r="BC1146" s="11"/>
      <c r="BF1146" s="9"/>
      <c r="CF1146" s="12"/>
      <c r="CH1146" s="9"/>
    </row>
    <row r="1147" spans="6:86" x14ac:dyDescent="0.25">
      <c r="F1147" s="9"/>
      <c r="G1147" s="9"/>
      <c r="AA1147" s="10"/>
      <c r="AV1147" s="11"/>
      <c r="AW1147" s="11"/>
      <c r="BB1147" s="9"/>
      <c r="BC1147" s="11"/>
      <c r="BF1147" s="9"/>
      <c r="CF1147" s="12"/>
      <c r="CH1147" s="9"/>
    </row>
    <row r="1148" spans="6:86" x14ac:dyDescent="0.25">
      <c r="F1148" s="9"/>
      <c r="G1148" s="9"/>
      <c r="AA1148" s="10"/>
      <c r="AV1148" s="11"/>
      <c r="AW1148" s="11"/>
      <c r="BB1148" s="9"/>
      <c r="BC1148" s="11"/>
      <c r="BF1148" s="9"/>
      <c r="CF1148" s="12"/>
      <c r="CH1148" s="9"/>
    </row>
    <row r="1149" spans="6:86" x14ac:dyDescent="0.25">
      <c r="F1149" s="9"/>
      <c r="G1149" s="9"/>
      <c r="AA1149" s="10"/>
      <c r="AV1149" s="11"/>
      <c r="AW1149" s="11"/>
      <c r="BB1149" s="9"/>
      <c r="BC1149" s="11"/>
      <c r="BF1149" s="9"/>
      <c r="CF1149" s="12"/>
      <c r="CH1149" s="9"/>
    </row>
    <row r="1150" spans="6:86" x14ac:dyDescent="0.25">
      <c r="F1150" s="9"/>
      <c r="G1150" s="9"/>
      <c r="AA1150" s="10"/>
      <c r="AV1150" s="11"/>
      <c r="AW1150" s="11"/>
      <c r="BB1150" s="9"/>
      <c r="BC1150" s="11"/>
      <c r="BF1150" s="9"/>
      <c r="CF1150" s="12"/>
      <c r="CH1150" s="9"/>
    </row>
    <row r="1151" spans="6:86" x14ac:dyDescent="0.25">
      <c r="F1151" s="9"/>
      <c r="G1151" s="9"/>
      <c r="AA1151" s="10"/>
      <c r="AV1151" s="11"/>
      <c r="AW1151" s="11"/>
      <c r="BB1151" s="9"/>
      <c r="BC1151" s="11"/>
      <c r="BF1151" s="9"/>
      <c r="CF1151" s="12"/>
      <c r="CH1151" s="9"/>
    </row>
    <row r="1152" spans="6:86" x14ac:dyDescent="0.25">
      <c r="F1152" s="9"/>
      <c r="G1152" s="9"/>
      <c r="AA1152" s="10"/>
      <c r="AV1152" s="11"/>
      <c r="AW1152" s="11"/>
      <c r="BB1152" s="9"/>
      <c r="BC1152" s="11"/>
      <c r="BF1152" s="9"/>
      <c r="CF1152" s="12"/>
      <c r="CH1152" s="9"/>
    </row>
    <row r="1153" spans="6:86" x14ac:dyDescent="0.25">
      <c r="F1153" s="9"/>
      <c r="G1153" s="9"/>
      <c r="AA1153" s="10"/>
      <c r="AV1153" s="11"/>
      <c r="AW1153" s="11"/>
      <c r="BB1153" s="9"/>
      <c r="BC1153" s="11"/>
      <c r="BF1153" s="9"/>
      <c r="CF1153" s="12"/>
      <c r="CH1153" s="9"/>
    </row>
    <row r="1154" spans="6:86" x14ac:dyDescent="0.25">
      <c r="F1154" s="9"/>
      <c r="G1154" s="9"/>
      <c r="AA1154" s="10"/>
      <c r="AV1154" s="11"/>
      <c r="AW1154" s="11"/>
      <c r="BB1154" s="9"/>
      <c r="BC1154" s="11"/>
      <c r="BF1154" s="9"/>
      <c r="CH1154" s="9"/>
    </row>
    <row r="1155" spans="6:86" x14ac:dyDescent="0.25">
      <c r="F1155" s="9"/>
      <c r="G1155" s="9"/>
      <c r="AA1155" s="10"/>
      <c r="AV1155" s="11"/>
      <c r="AW1155" s="11"/>
      <c r="BB1155" s="9"/>
      <c r="BC1155" s="11"/>
      <c r="BF1155" s="9"/>
      <c r="CF1155" s="12"/>
      <c r="CH1155" s="9"/>
    </row>
    <row r="1156" spans="6:86" x14ac:dyDescent="0.25">
      <c r="F1156" s="9"/>
      <c r="G1156" s="9"/>
      <c r="AA1156" s="10"/>
      <c r="AV1156" s="11"/>
      <c r="AW1156" s="11"/>
      <c r="BB1156" s="9"/>
      <c r="BC1156" s="11"/>
      <c r="BF1156" s="9"/>
      <c r="CH1156" s="9"/>
    </row>
    <row r="1157" spans="6:86" x14ac:dyDescent="0.25">
      <c r="F1157" s="9"/>
      <c r="G1157" s="9"/>
      <c r="AA1157" s="10"/>
      <c r="AV1157" s="11"/>
      <c r="AW1157" s="11"/>
      <c r="BB1157" s="9"/>
      <c r="BC1157" s="11"/>
      <c r="BF1157" s="9"/>
      <c r="CF1157" s="12"/>
      <c r="CH1157" s="9"/>
    </row>
    <row r="1158" spans="6:86" x14ac:dyDescent="0.25">
      <c r="F1158" s="9"/>
      <c r="G1158" s="9"/>
      <c r="AA1158" s="10"/>
      <c r="AV1158" s="11"/>
      <c r="AW1158" s="11"/>
      <c r="BB1158" s="9"/>
      <c r="BC1158" s="11"/>
      <c r="BF1158" s="9"/>
      <c r="CF1158" s="12"/>
      <c r="CH1158" s="9"/>
    </row>
    <row r="1159" spans="6:86" x14ac:dyDescent="0.25">
      <c r="F1159" s="9"/>
      <c r="G1159" s="9"/>
      <c r="AA1159" s="10"/>
      <c r="AV1159" s="11"/>
      <c r="AW1159" s="11"/>
      <c r="BB1159" s="9"/>
      <c r="BC1159" s="11"/>
      <c r="BF1159" s="9"/>
      <c r="CF1159" s="12"/>
      <c r="CH1159" s="9"/>
    </row>
    <row r="1160" spans="6:86" x14ac:dyDescent="0.25">
      <c r="F1160" s="9"/>
      <c r="G1160" s="9"/>
      <c r="AA1160" s="10"/>
      <c r="AV1160" s="11"/>
      <c r="AW1160" s="11"/>
      <c r="BB1160" s="9"/>
      <c r="BC1160" s="11"/>
      <c r="BF1160" s="9"/>
      <c r="CF1160" s="12"/>
      <c r="CH1160" s="9"/>
    </row>
    <row r="1161" spans="6:86" x14ac:dyDescent="0.25">
      <c r="F1161" s="9"/>
      <c r="G1161" s="9"/>
      <c r="AA1161" s="10"/>
      <c r="AV1161" s="11"/>
      <c r="AW1161" s="11"/>
      <c r="BB1161" s="9"/>
      <c r="BC1161" s="11"/>
      <c r="BF1161" s="9"/>
      <c r="CF1161" s="12"/>
      <c r="CH1161" s="9"/>
    </row>
    <row r="1162" spans="6:86" x14ac:dyDescent="0.25">
      <c r="F1162" s="9"/>
      <c r="G1162" s="9"/>
      <c r="AA1162" s="10"/>
      <c r="AV1162" s="11"/>
      <c r="AW1162" s="11"/>
      <c r="BB1162" s="9"/>
      <c r="BC1162" s="11"/>
      <c r="BF1162" s="9"/>
      <c r="CF1162" s="12"/>
      <c r="CH1162" s="9"/>
    </row>
    <row r="1163" spans="6:86" x14ac:dyDescent="0.25">
      <c r="F1163" s="9"/>
      <c r="G1163" s="9"/>
      <c r="AA1163" s="10"/>
      <c r="AV1163" s="11"/>
      <c r="AW1163" s="11"/>
      <c r="BB1163" s="9"/>
      <c r="BC1163" s="11"/>
      <c r="BF1163" s="9"/>
      <c r="CF1163" s="12"/>
      <c r="CH1163" s="9"/>
    </row>
    <row r="1164" spans="6:86" x14ac:dyDescent="0.25">
      <c r="F1164" s="9"/>
      <c r="G1164" s="9"/>
      <c r="AA1164" s="10"/>
      <c r="AV1164" s="11"/>
      <c r="AW1164" s="11"/>
      <c r="BB1164" s="9"/>
      <c r="BC1164" s="11"/>
      <c r="BF1164" s="9"/>
      <c r="CF1164" s="12"/>
      <c r="CH1164" s="9"/>
    </row>
    <row r="1165" spans="6:86" x14ac:dyDescent="0.25">
      <c r="F1165" s="9"/>
      <c r="G1165" s="9"/>
      <c r="AA1165" s="10"/>
      <c r="AV1165" s="11"/>
      <c r="AW1165" s="11"/>
      <c r="BB1165" s="9"/>
      <c r="BC1165" s="11"/>
      <c r="BF1165" s="9"/>
      <c r="CF1165" s="12"/>
      <c r="CH1165" s="9"/>
    </row>
    <row r="1166" spans="6:86" x14ac:dyDescent="0.25">
      <c r="F1166" s="9"/>
      <c r="G1166" s="9"/>
      <c r="AA1166" s="10"/>
      <c r="AV1166" s="11"/>
      <c r="AW1166" s="11"/>
      <c r="BB1166" s="9"/>
      <c r="BC1166" s="11"/>
      <c r="BF1166" s="9"/>
      <c r="CF1166" s="12"/>
      <c r="CH1166" s="9"/>
    </row>
    <row r="1167" spans="6:86" x14ac:dyDescent="0.25">
      <c r="F1167" s="9"/>
      <c r="G1167" s="9"/>
      <c r="AA1167" s="10"/>
      <c r="AV1167" s="11"/>
      <c r="AW1167" s="11"/>
      <c r="BB1167" s="9"/>
      <c r="BC1167" s="11"/>
      <c r="BF1167" s="9"/>
      <c r="CF1167" s="12"/>
      <c r="CH1167" s="9"/>
    </row>
    <row r="1168" spans="6:86" x14ac:dyDescent="0.25">
      <c r="F1168" s="9"/>
      <c r="G1168" s="9"/>
      <c r="AA1168" s="10"/>
      <c r="AV1168" s="11"/>
      <c r="AW1168" s="11"/>
      <c r="BB1168" s="9"/>
      <c r="BC1168" s="11"/>
      <c r="BF1168" s="9"/>
      <c r="CF1168" s="12"/>
      <c r="CH1168" s="9"/>
    </row>
    <row r="1169" spans="6:92" x14ac:dyDescent="0.25">
      <c r="F1169" s="9"/>
      <c r="G1169" s="9"/>
      <c r="AA1169" s="10"/>
      <c r="AV1169" s="11"/>
      <c r="AW1169" s="11"/>
      <c r="BB1169" s="9"/>
      <c r="BC1169" s="11"/>
      <c r="BF1169" s="9"/>
      <c r="CF1169" s="12"/>
      <c r="CH1169" s="9"/>
    </row>
    <row r="1170" spans="6:92" x14ac:dyDescent="0.25">
      <c r="F1170" s="9"/>
      <c r="G1170" s="9"/>
      <c r="AA1170" s="10"/>
      <c r="AV1170" s="11"/>
      <c r="AW1170" s="11"/>
      <c r="BB1170" s="9"/>
      <c r="BC1170" s="11"/>
      <c r="BF1170" s="9"/>
      <c r="CF1170" s="12"/>
      <c r="CH1170" s="9"/>
    </row>
    <row r="1171" spans="6:92" x14ac:dyDescent="0.25">
      <c r="F1171" s="9"/>
      <c r="G1171" s="9"/>
      <c r="AA1171" s="10"/>
      <c r="AV1171" s="11"/>
      <c r="AW1171" s="11"/>
      <c r="BB1171" s="9"/>
      <c r="BC1171" s="11"/>
      <c r="BF1171" s="9"/>
      <c r="CF1171" s="12"/>
      <c r="CH1171" s="9"/>
    </row>
    <row r="1172" spans="6:92" x14ac:dyDescent="0.25">
      <c r="F1172" s="9"/>
      <c r="G1172" s="9"/>
      <c r="AA1172" s="10"/>
      <c r="AV1172" s="11"/>
      <c r="AW1172" s="11"/>
      <c r="BB1172" s="9"/>
      <c r="BC1172" s="11"/>
      <c r="BF1172" s="9"/>
      <c r="CF1172" s="12"/>
      <c r="CH1172" s="9"/>
    </row>
    <row r="1173" spans="6:92" x14ac:dyDescent="0.25">
      <c r="F1173" s="9"/>
      <c r="G1173" s="9"/>
      <c r="AA1173" s="10"/>
      <c r="AV1173" s="11"/>
      <c r="AW1173" s="11"/>
      <c r="BB1173" s="9"/>
      <c r="BC1173" s="11"/>
      <c r="BF1173" s="9"/>
      <c r="CF1173" s="12"/>
      <c r="CH1173" s="9"/>
      <c r="CN1173" s="12"/>
    </row>
    <row r="1174" spans="6:92" x14ac:dyDescent="0.25">
      <c r="F1174" s="9"/>
      <c r="G1174" s="9"/>
      <c r="AA1174" s="10"/>
      <c r="AV1174" s="11"/>
      <c r="AW1174" s="11"/>
      <c r="BB1174" s="9"/>
      <c r="BC1174" s="11"/>
      <c r="BF1174" s="9"/>
      <c r="CF1174" s="12"/>
      <c r="CH1174" s="9"/>
    </row>
    <row r="1175" spans="6:92" x14ac:dyDescent="0.25">
      <c r="F1175" s="9"/>
      <c r="G1175" s="9"/>
      <c r="AA1175" s="10"/>
      <c r="AV1175" s="11"/>
      <c r="AW1175" s="11"/>
      <c r="BB1175" s="9"/>
      <c r="BC1175" s="11"/>
      <c r="BF1175" s="9"/>
      <c r="CF1175" s="12"/>
      <c r="CH1175" s="9"/>
    </row>
    <row r="1176" spans="6:92" x14ac:dyDescent="0.25">
      <c r="F1176" s="9"/>
      <c r="G1176" s="9"/>
      <c r="AA1176" s="10"/>
      <c r="AV1176" s="11"/>
      <c r="AW1176" s="11"/>
      <c r="BB1176" s="9"/>
      <c r="BC1176" s="11"/>
      <c r="BF1176" s="9"/>
      <c r="CF1176" s="12"/>
      <c r="CH1176" s="9"/>
    </row>
    <row r="1177" spans="6:92" x14ac:dyDescent="0.25">
      <c r="F1177" s="9"/>
      <c r="G1177" s="9"/>
      <c r="AA1177" s="10"/>
      <c r="AV1177" s="11"/>
      <c r="AW1177" s="11"/>
      <c r="BB1177" s="9"/>
      <c r="BC1177" s="11"/>
      <c r="BF1177" s="9"/>
      <c r="CF1177" s="12"/>
      <c r="CH1177" s="9"/>
    </row>
    <row r="1178" spans="6:92" x14ac:dyDescent="0.25">
      <c r="F1178" s="9"/>
      <c r="G1178" s="9"/>
      <c r="AA1178" s="10"/>
      <c r="AV1178" s="11"/>
      <c r="AW1178" s="11"/>
      <c r="BB1178" s="9"/>
      <c r="BC1178" s="11"/>
      <c r="BF1178" s="9"/>
      <c r="CF1178" s="12"/>
      <c r="CH1178" s="9"/>
    </row>
    <row r="1179" spans="6:92" x14ac:dyDescent="0.25">
      <c r="F1179" s="9"/>
      <c r="G1179" s="9"/>
      <c r="AA1179" s="10"/>
      <c r="AV1179" s="11"/>
      <c r="AW1179" s="11"/>
      <c r="BB1179" s="9"/>
      <c r="BC1179" s="11"/>
      <c r="BF1179" s="9"/>
      <c r="CF1179" s="12"/>
      <c r="CH1179" s="9"/>
    </row>
    <row r="1180" spans="6:92" x14ac:dyDescent="0.25">
      <c r="F1180" s="9"/>
      <c r="G1180" s="9"/>
      <c r="AA1180" s="10"/>
      <c r="AV1180" s="11"/>
      <c r="AW1180" s="11"/>
      <c r="BB1180" s="9"/>
      <c r="BC1180" s="11"/>
      <c r="BF1180" s="9"/>
      <c r="CF1180" s="12"/>
      <c r="CH1180" s="9"/>
    </row>
    <row r="1181" spans="6:92" x14ac:dyDescent="0.25">
      <c r="F1181" s="9"/>
      <c r="G1181" s="9"/>
      <c r="AA1181" s="10"/>
      <c r="AV1181" s="11"/>
      <c r="AW1181" s="11"/>
      <c r="BB1181" s="9"/>
      <c r="BC1181" s="11"/>
      <c r="BF1181" s="9"/>
      <c r="CH1181" s="9"/>
    </row>
    <row r="1182" spans="6:92" x14ac:dyDescent="0.25">
      <c r="F1182" s="9"/>
      <c r="G1182" s="9"/>
      <c r="AA1182" s="10"/>
      <c r="AV1182" s="11"/>
      <c r="AW1182" s="11"/>
      <c r="BB1182" s="9"/>
      <c r="BC1182" s="11"/>
      <c r="BF1182" s="9"/>
      <c r="CH1182" s="9"/>
    </row>
    <row r="1183" spans="6:92" x14ac:dyDescent="0.25">
      <c r="F1183" s="9"/>
      <c r="G1183" s="9"/>
      <c r="AA1183" s="10"/>
      <c r="AV1183" s="11"/>
      <c r="AW1183" s="11"/>
      <c r="BB1183" s="9"/>
      <c r="BC1183" s="11"/>
      <c r="BF1183" s="9"/>
      <c r="CF1183" s="12"/>
      <c r="CH1183" s="9"/>
    </row>
    <row r="1184" spans="6:92" x14ac:dyDescent="0.25">
      <c r="F1184" s="9"/>
      <c r="G1184" s="9"/>
      <c r="AA1184" s="10"/>
      <c r="AV1184" s="11"/>
      <c r="AW1184" s="11"/>
      <c r="BB1184" s="9"/>
      <c r="BC1184" s="11"/>
      <c r="BF1184" s="9"/>
      <c r="CF1184" s="12"/>
      <c r="CH1184" s="9"/>
    </row>
    <row r="1185" spans="6:86" x14ac:dyDescent="0.25">
      <c r="F1185" s="9"/>
      <c r="G1185" s="9"/>
      <c r="AA1185" s="10"/>
      <c r="AV1185" s="11"/>
      <c r="AW1185" s="11"/>
      <c r="BB1185" s="9"/>
      <c r="BC1185" s="11"/>
      <c r="BF1185" s="9"/>
      <c r="CF1185" s="12"/>
      <c r="CH1185" s="9"/>
    </row>
    <row r="1186" spans="6:86" x14ac:dyDescent="0.25">
      <c r="F1186" s="9"/>
      <c r="G1186" s="9"/>
      <c r="AA1186" s="10"/>
      <c r="AV1186" s="11"/>
      <c r="AW1186" s="11"/>
      <c r="BB1186" s="9"/>
      <c r="BC1186" s="11"/>
      <c r="BF1186" s="9"/>
      <c r="CF1186" s="12"/>
      <c r="CH1186" s="9"/>
    </row>
    <row r="1187" spans="6:86" x14ac:dyDescent="0.25">
      <c r="F1187" s="9"/>
      <c r="G1187" s="9"/>
      <c r="AA1187" s="10"/>
      <c r="AV1187" s="11"/>
      <c r="AW1187" s="11"/>
      <c r="BB1187" s="9"/>
      <c r="BC1187" s="11"/>
      <c r="BF1187" s="9"/>
      <c r="CF1187" s="12"/>
      <c r="CH1187" s="9"/>
    </row>
    <row r="1188" spans="6:86" x14ac:dyDescent="0.25">
      <c r="F1188" s="9"/>
      <c r="G1188" s="9"/>
      <c r="AA1188" s="10"/>
      <c r="AV1188" s="11"/>
      <c r="AW1188" s="11"/>
      <c r="BB1188" s="9"/>
      <c r="BC1188" s="11"/>
      <c r="BF1188" s="9"/>
      <c r="CF1188" s="12"/>
      <c r="CH1188" s="9"/>
    </row>
    <row r="1189" spans="6:86" x14ac:dyDescent="0.25">
      <c r="F1189" s="9"/>
      <c r="G1189" s="9"/>
      <c r="AA1189" s="10"/>
      <c r="AV1189" s="11"/>
      <c r="AW1189" s="11"/>
      <c r="BB1189" s="9"/>
      <c r="BC1189" s="11"/>
      <c r="BF1189" s="9"/>
      <c r="CF1189" s="12"/>
      <c r="CH1189" s="9"/>
    </row>
    <row r="1190" spans="6:86" x14ac:dyDescent="0.25">
      <c r="F1190" s="9"/>
      <c r="G1190" s="9"/>
      <c r="AA1190" s="10"/>
      <c r="AV1190" s="11"/>
      <c r="AW1190" s="11"/>
      <c r="BB1190" s="9"/>
      <c r="BC1190" s="11"/>
      <c r="BF1190" s="9"/>
      <c r="CF1190" s="12"/>
      <c r="CH1190" s="9"/>
    </row>
    <row r="1191" spans="6:86" x14ac:dyDescent="0.25">
      <c r="F1191" s="9"/>
      <c r="G1191" s="9"/>
      <c r="AA1191" s="10"/>
      <c r="AV1191" s="11"/>
      <c r="AW1191" s="11"/>
      <c r="BB1191" s="9"/>
      <c r="BC1191" s="11"/>
      <c r="BF1191" s="9"/>
      <c r="CF1191" s="12"/>
      <c r="CH1191" s="9"/>
    </row>
    <row r="1192" spans="6:86" x14ac:dyDescent="0.25">
      <c r="F1192" s="9"/>
      <c r="G1192" s="9"/>
      <c r="AA1192" s="10"/>
      <c r="AV1192" s="11"/>
      <c r="AW1192" s="11"/>
      <c r="BB1192" s="9"/>
      <c r="BC1192" s="11"/>
      <c r="BF1192" s="9"/>
      <c r="CF1192" s="12"/>
      <c r="CH1192" s="9"/>
    </row>
    <row r="1193" spans="6:86" x14ac:dyDescent="0.25">
      <c r="F1193" s="9"/>
      <c r="G1193" s="9"/>
      <c r="AA1193" s="10"/>
      <c r="AV1193" s="11"/>
      <c r="AW1193" s="11"/>
      <c r="BB1193" s="9"/>
      <c r="BC1193" s="11"/>
      <c r="BF1193" s="9"/>
      <c r="CF1193" s="12"/>
      <c r="CH1193" s="9"/>
    </row>
    <row r="1194" spans="6:86" x14ac:dyDescent="0.25">
      <c r="F1194" s="9"/>
      <c r="G1194" s="9"/>
      <c r="AA1194" s="10"/>
      <c r="AV1194" s="11"/>
      <c r="AW1194" s="11"/>
      <c r="BB1194" s="9"/>
      <c r="BC1194" s="11"/>
      <c r="BF1194" s="9"/>
      <c r="CF1194" s="12"/>
      <c r="CH1194" s="9"/>
    </row>
    <row r="1195" spans="6:86" x14ac:dyDescent="0.25">
      <c r="F1195" s="9"/>
      <c r="G1195" s="9"/>
      <c r="AA1195" s="10"/>
      <c r="AV1195" s="11"/>
      <c r="AW1195" s="11"/>
      <c r="BB1195" s="9"/>
      <c r="BC1195" s="11"/>
      <c r="BF1195" s="9"/>
      <c r="CF1195" s="12"/>
      <c r="CH1195" s="9"/>
    </row>
    <row r="1196" spans="6:86" x14ac:dyDescent="0.25">
      <c r="F1196" s="9"/>
      <c r="G1196" s="9"/>
      <c r="AA1196" s="10"/>
      <c r="AV1196" s="11"/>
      <c r="AW1196" s="11"/>
      <c r="BB1196" s="9"/>
      <c r="BC1196" s="11"/>
      <c r="BF1196" s="9"/>
      <c r="CH1196" s="9"/>
    </row>
    <row r="1197" spans="6:86" x14ac:dyDescent="0.25">
      <c r="F1197" s="9"/>
      <c r="G1197" s="9"/>
      <c r="AA1197" s="10"/>
      <c r="AV1197" s="11"/>
      <c r="AW1197" s="11"/>
      <c r="BB1197" s="9"/>
      <c r="BC1197" s="11"/>
      <c r="BF1197" s="9"/>
      <c r="CF1197" s="12"/>
      <c r="CH1197" s="9"/>
    </row>
    <row r="1198" spans="6:86" x14ac:dyDescent="0.25">
      <c r="F1198" s="9"/>
      <c r="G1198" s="9"/>
      <c r="AA1198" s="10"/>
      <c r="AV1198" s="11"/>
      <c r="AW1198" s="11"/>
      <c r="BB1198" s="9"/>
      <c r="BC1198" s="11"/>
      <c r="BF1198" s="9"/>
      <c r="CF1198" s="12"/>
      <c r="CH1198" s="9"/>
    </row>
    <row r="1199" spans="6:86" x14ac:dyDescent="0.25">
      <c r="F1199" s="9"/>
      <c r="G1199" s="9"/>
      <c r="AA1199" s="10"/>
      <c r="AV1199" s="11"/>
      <c r="AW1199" s="11"/>
      <c r="BB1199" s="9"/>
      <c r="BC1199" s="11"/>
      <c r="BF1199" s="9"/>
      <c r="CF1199" s="12"/>
      <c r="CH1199" s="9"/>
    </row>
    <row r="1200" spans="6:86" x14ac:dyDescent="0.25">
      <c r="F1200" s="9"/>
      <c r="G1200" s="9"/>
      <c r="AA1200" s="10"/>
      <c r="AV1200" s="11"/>
      <c r="AW1200" s="11"/>
      <c r="BB1200" s="9"/>
      <c r="BC1200" s="11"/>
      <c r="BF1200" s="9"/>
      <c r="CF1200" s="12"/>
      <c r="CH1200" s="9"/>
    </row>
    <row r="1201" spans="6:92" x14ac:dyDescent="0.25">
      <c r="F1201" s="9"/>
      <c r="G1201" s="9"/>
      <c r="AA1201" s="10"/>
      <c r="AV1201" s="11"/>
      <c r="AW1201" s="11"/>
      <c r="BB1201" s="9"/>
      <c r="BC1201" s="11"/>
      <c r="BF1201" s="9"/>
      <c r="CH1201" s="9"/>
    </row>
    <row r="1202" spans="6:92" x14ac:dyDescent="0.25">
      <c r="F1202" s="9"/>
      <c r="G1202" s="9"/>
      <c r="AA1202" s="10"/>
      <c r="AV1202" s="11"/>
      <c r="AW1202" s="11"/>
      <c r="BB1202" s="9"/>
      <c r="BC1202" s="11"/>
      <c r="BF1202" s="9"/>
      <c r="CF1202" s="12"/>
      <c r="CH1202" s="9"/>
    </row>
    <row r="1203" spans="6:92" x14ac:dyDescent="0.25">
      <c r="F1203" s="9"/>
      <c r="G1203" s="9"/>
      <c r="AA1203" s="10"/>
      <c r="AV1203" s="11"/>
      <c r="AW1203" s="11"/>
      <c r="BB1203" s="9"/>
      <c r="BC1203" s="11"/>
      <c r="BF1203" s="9"/>
      <c r="CF1203" s="12"/>
      <c r="CH1203" s="9"/>
    </row>
    <row r="1204" spans="6:92" x14ac:dyDescent="0.25">
      <c r="F1204" s="9"/>
      <c r="G1204" s="9"/>
      <c r="U1204" s="12"/>
      <c r="Z1204" s="12"/>
      <c r="AA1204" s="10"/>
      <c r="AV1204" s="11"/>
      <c r="AW1204" s="11"/>
      <c r="BB1204" s="9"/>
      <c r="BC1204" s="11"/>
      <c r="BF1204" s="9"/>
      <c r="CF1204" s="12"/>
      <c r="CH1204" s="9"/>
      <c r="CN1204" s="12"/>
    </row>
    <row r="1205" spans="6:92" x14ac:dyDescent="0.25">
      <c r="F1205" s="9"/>
      <c r="G1205" s="9"/>
      <c r="AA1205" s="10"/>
      <c r="AV1205" s="11"/>
      <c r="AW1205" s="11"/>
      <c r="BB1205" s="9"/>
      <c r="BC1205" s="11"/>
      <c r="BF1205" s="9"/>
      <c r="CH1205" s="9"/>
    </row>
    <row r="1206" spans="6:92" x14ac:dyDescent="0.25">
      <c r="F1206" s="9"/>
      <c r="G1206" s="9"/>
      <c r="AA1206" s="10"/>
      <c r="AV1206" s="11"/>
      <c r="AW1206" s="11"/>
      <c r="BB1206" s="9"/>
      <c r="BC1206" s="11"/>
      <c r="BF1206" s="9"/>
      <c r="CF1206" s="12"/>
      <c r="CH1206" s="9"/>
    </row>
    <row r="1207" spans="6:92" x14ac:dyDescent="0.25">
      <c r="F1207" s="9"/>
      <c r="G1207" s="9"/>
      <c r="AA1207" s="10"/>
      <c r="AV1207" s="11"/>
      <c r="AW1207" s="11"/>
      <c r="BB1207" s="9"/>
      <c r="BC1207" s="11"/>
      <c r="BF1207" s="9"/>
      <c r="CF1207" s="12"/>
      <c r="CH1207" s="9"/>
    </row>
    <row r="1208" spans="6:92" x14ac:dyDescent="0.25">
      <c r="F1208" s="9"/>
      <c r="G1208" s="9"/>
      <c r="AA1208" s="10"/>
      <c r="AV1208" s="11"/>
      <c r="AW1208" s="11"/>
      <c r="BB1208" s="9"/>
      <c r="BC1208" s="11"/>
      <c r="BF1208" s="9"/>
      <c r="CF1208" s="12"/>
      <c r="CH1208" s="9"/>
    </row>
    <row r="1209" spans="6:92" x14ac:dyDescent="0.25">
      <c r="F1209" s="9"/>
      <c r="G1209" s="9"/>
      <c r="AA1209" s="10"/>
      <c r="AV1209" s="11"/>
      <c r="AW1209" s="11"/>
      <c r="BB1209" s="9"/>
      <c r="BC1209" s="11"/>
      <c r="BF1209" s="9"/>
      <c r="CF1209" s="12"/>
      <c r="CH1209" s="9"/>
    </row>
    <row r="1210" spans="6:92" x14ac:dyDescent="0.25">
      <c r="F1210" s="9"/>
      <c r="G1210" s="9"/>
      <c r="AA1210" s="10"/>
      <c r="AV1210" s="11"/>
      <c r="AW1210" s="11"/>
      <c r="BB1210" s="9"/>
      <c r="BC1210" s="11"/>
      <c r="BF1210" s="9"/>
      <c r="CF1210" s="12"/>
      <c r="CH1210" s="9"/>
    </row>
    <row r="1211" spans="6:92" x14ac:dyDescent="0.25">
      <c r="F1211" s="9"/>
      <c r="G1211" s="9"/>
      <c r="AA1211" s="10"/>
      <c r="AV1211" s="11"/>
      <c r="AW1211" s="11"/>
      <c r="BB1211" s="9"/>
      <c r="BC1211" s="11"/>
      <c r="BF1211" s="9"/>
      <c r="CF1211" s="12"/>
      <c r="CH1211" s="9"/>
    </row>
    <row r="1212" spans="6:92" x14ac:dyDescent="0.25">
      <c r="F1212" s="9"/>
      <c r="G1212" s="9"/>
      <c r="AA1212" s="10"/>
      <c r="AV1212" s="11"/>
      <c r="AW1212" s="11"/>
      <c r="BB1212" s="9"/>
      <c r="BC1212" s="11"/>
      <c r="BF1212" s="9"/>
      <c r="CF1212" s="12"/>
      <c r="CH1212" s="9"/>
    </row>
    <row r="1213" spans="6:92" x14ac:dyDescent="0.25">
      <c r="F1213" s="9"/>
      <c r="G1213" s="9"/>
      <c r="AA1213" s="10"/>
      <c r="AV1213" s="11"/>
      <c r="AW1213" s="11"/>
      <c r="BB1213" s="9"/>
      <c r="BC1213" s="11"/>
      <c r="BF1213" s="9"/>
      <c r="CF1213" s="12"/>
      <c r="CH1213" s="9"/>
    </row>
    <row r="1214" spans="6:92" x14ac:dyDescent="0.25">
      <c r="F1214" s="9"/>
      <c r="G1214" s="9"/>
      <c r="AA1214" s="10"/>
      <c r="AV1214" s="11"/>
      <c r="AW1214" s="11"/>
      <c r="BB1214" s="9"/>
      <c r="BC1214" s="11"/>
      <c r="BF1214" s="9"/>
      <c r="CF1214" s="12"/>
      <c r="CH1214" s="9"/>
    </row>
    <row r="1215" spans="6:92" x14ac:dyDescent="0.25">
      <c r="F1215" s="9"/>
      <c r="G1215" s="9"/>
      <c r="AA1215" s="10"/>
      <c r="AV1215" s="11"/>
      <c r="AW1215" s="11"/>
      <c r="BB1215" s="9"/>
      <c r="BC1215" s="11"/>
      <c r="BF1215" s="9"/>
      <c r="CF1215" s="12"/>
      <c r="CH1215" s="9"/>
    </row>
    <row r="1216" spans="6:92" x14ac:dyDescent="0.25">
      <c r="F1216" s="9"/>
      <c r="G1216" s="9"/>
      <c r="AA1216" s="10"/>
      <c r="AV1216" s="11"/>
      <c r="AW1216" s="11"/>
      <c r="BB1216" s="9"/>
      <c r="BC1216" s="11"/>
      <c r="BF1216" s="9"/>
      <c r="CF1216" s="12"/>
      <c r="CH1216" s="9"/>
    </row>
    <row r="1217" spans="6:92" x14ac:dyDescent="0.25">
      <c r="F1217" s="9"/>
      <c r="G1217" s="9"/>
      <c r="AA1217" s="10"/>
      <c r="AV1217" s="11"/>
      <c r="AW1217" s="11"/>
      <c r="BB1217" s="9"/>
      <c r="BC1217" s="11"/>
      <c r="BF1217" s="9"/>
      <c r="CF1217" s="12"/>
      <c r="CH1217" s="9"/>
    </row>
    <row r="1218" spans="6:92" x14ac:dyDescent="0.25">
      <c r="F1218" s="9"/>
      <c r="G1218" s="9"/>
      <c r="U1218" s="12"/>
      <c r="AA1218" s="10"/>
      <c r="AV1218" s="11"/>
      <c r="AW1218" s="11"/>
      <c r="BB1218" s="9"/>
      <c r="BC1218" s="11"/>
      <c r="BF1218" s="9"/>
      <c r="CF1218" s="12"/>
      <c r="CH1218" s="9"/>
      <c r="CN1218" s="12"/>
    </row>
    <row r="1219" spans="6:92" x14ac:dyDescent="0.25">
      <c r="F1219" s="9"/>
      <c r="G1219" s="9"/>
      <c r="AA1219" s="10"/>
      <c r="AV1219" s="11"/>
      <c r="AW1219" s="11"/>
      <c r="BB1219" s="9"/>
      <c r="BC1219" s="11"/>
      <c r="BF1219" s="9"/>
      <c r="CF1219" s="12"/>
      <c r="CH1219" s="9"/>
    </row>
    <row r="1220" spans="6:92" x14ac:dyDescent="0.25">
      <c r="F1220" s="9"/>
      <c r="G1220" s="9"/>
      <c r="AA1220" s="10"/>
      <c r="AV1220" s="11"/>
      <c r="AW1220" s="11"/>
      <c r="BB1220" s="9"/>
      <c r="BC1220" s="11"/>
      <c r="BF1220" s="9"/>
      <c r="CF1220" s="12"/>
      <c r="CH1220" s="9"/>
    </row>
    <row r="1221" spans="6:92" x14ac:dyDescent="0.25">
      <c r="F1221" s="9"/>
      <c r="G1221" s="9"/>
      <c r="AA1221" s="10"/>
      <c r="AV1221" s="11"/>
      <c r="AW1221" s="11"/>
      <c r="BB1221" s="9"/>
      <c r="BC1221" s="11"/>
      <c r="BF1221" s="9"/>
      <c r="CF1221" s="12"/>
      <c r="CH1221" s="9"/>
    </row>
    <row r="1222" spans="6:92" x14ac:dyDescent="0.25">
      <c r="F1222" s="9"/>
      <c r="G1222" s="9"/>
      <c r="AA1222" s="10"/>
      <c r="AV1222" s="11"/>
      <c r="AW1222" s="11"/>
      <c r="BB1222" s="9"/>
      <c r="BC1222" s="11"/>
      <c r="BF1222" s="9"/>
      <c r="CF1222" s="12"/>
      <c r="CH1222" s="9"/>
    </row>
    <row r="1223" spans="6:92" x14ac:dyDescent="0.25">
      <c r="F1223" s="9"/>
      <c r="G1223" s="9"/>
      <c r="AA1223" s="10"/>
      <c r="AV1223" s="11"/>
      <c r="AW1223" s="11"/>
      <c r="BB1223" s="9"/>
      <c r="BC1223" s="11"/>
      <c r="BF1223" s="9"/>
      <c r="CF1223" s="12"/>
      <c r="CH1223" s="9"/>
    </row>
    <row r="1224" spans="6:92" x14ac:dyDescent="0.25">
      <c r="F1224" s="9"/>
      <c r="G1224" s="9"/>
      <c r="AA1224" s="10"/>
      <c r="AV1224" s="11"/>
      <c r="AW1224" s="11"/>
      <c r="BB1224" s="9"/>
      <c r="BC1224" s="11"/>
      <c r="BF1224" s="9"/>
      <c r="CF1224" s="12"/>
      <c r="CH1224" s="9"/>
    </row>
    <row r="1225" spans="6:92" x14ac:dyDescent="0.25">
      <c r="F1225" s="9"/>
      <c r="G1225" s="9"/>
      <c r="U1225" s="12"/>
      <c r="AA1225" s="10"/>
      <c r="AV1225" s="11"/>
      <c r="AW1225" s="11"/>
      <c r="BB1225" s="9"/>
      <c r="BC1225" s="11"/>
      <c r="BF1225" s="9"/>
      <c r="CF1225" s="12"/>
      <c r="CH1225" s="9"/>
    </row>
    <row r="1226" spans="6:92" x14ac:dyDescent="0.25">
      <c r="F1226" s="9"/>
      <c r="G1226" s="9"/>
      <c r="AA1226" s="10"/>
      <c r="AV1226" s="11"/>
      <c r="AW1226" s="11"/>
      <c r="BB1226" s="9"/>
      <c r="BC1226" s="11"/>
      <c r="BF1226" s="9"/>
      <c r="CF1226" s="12"/>
      <c r="CH1226" s="9"/>
      <c r="CN1226" s="12"/>
    </row>
    <row r="1227" spans="6:92" x14ac:dyDescent="0.25">
      <c r="F1227" s="9"/>
      <c r="G1227" s="9"/>
      <c r="AA1227" s="10"/>
      <c r="AV1227" s="11"/>
      <c r="AW1227" s="11"/>
      <c r="BB1227" s="9"/>
      <c r="BC1227" s="11"/>
      <c r="BF1227" s="9"/>
      <c r="CF1227" s="12"/>
      <c r="CH1227" s="9"/>
    </row>
    <row r="1228" spans="6:92" x14ac:dyDescent="0.25">
      <c r="F1228" s="9"/>
      <c r="G1228" s="9"/>
      <c r="AA1228" s="10"/>
      <c r="AV1228" s="11"/>
      <c r="AW1228" s="11"/>
      <c r="BB1228" s="9"/>
      <c r="BC1228" s="11"/>
      <c r="BF1228" s="9"/>
      <c r="CH1228" s="9"/>
    </row>
    <row r="1229" spans="6:92" x14ac:dyDescent="0.25">
      <c r="F1229" s="9"/>
      <c r="G1229" s="9"/>
      <c r="AA1229" s="10"/>
      <c r="AV1229" s="11"/>
      <c r="AW1229" s="11"/>
      <c r="BB1229" s="9"/>
      <c r="BC1229" s="11"/>
      <c r="BF1229" s="9"/>
      <c r="CF1229" s="12"/>
      <c r="CH1229" s="9"/>
    </row>
    <row r="1230" spans="6:92" x14ac:dyDescent="0.25">
      <c r="F1230" s="9"/>
      <c r="G1230" s="9"/>
      <c r="AA1230" s="10"/>
      <c r="AV1230" s="11"/>
      <c r="AW1230" s="11"/>
      <c r="BB1230" s="9"/>
      <c r="BC1230" s="11"/>
      <c r="BF1230" s="9"/>
      <c r="CF1230" s="12"/>
      <c r="CH1230" s="9"/>
    </row>
    <row r="1231" spans="6:92" x14ac:dyDescent="0.25">
      <c r="F1231" s="9"/>
      <c r="G1231" s="9"/>
      <c r="AA1231" s="10"/>
      <c r="AV1231" s="11"/>
      <c r="AW1231" s="11"/>
      <c r="BB1231" s="9"/>
      <c r="BC1231" s="11"/>
      <c r="BF1231" s="9"/>
      <c r="CF1231" s="12"/>
      <c r="CH1231" s="9"/>
    </row>
    <row r="1232" spans="6:92" x14ac:dyDescent="0.25">
      <c r="F1232" s="9"/>
      <c r="G1232" s="9"/>
      <c r="AA1232" s="10"/>
      <c r="AV1232" s="11"/>
      <c r="AW1232" s="11"/>
      <c r="BB1232" s="9"/>
      <c r="BC1232" s="11"/>
      <c r="BF1232" s="9"/>
      <c r="CF1232" s="12"/>
      <c r="CH1232" s="9"/>
    </row>
    <row r="1233" spans="6:86" x14ac:dyDescent="0.25">
      <c r="F1233" s="9"/>
      <c r="G1233" s="9"/>
      <c r="AA1233" s="10"/>
      <c r="AV1233" s="11"/>
      <c r="AW1233" s="11"/>
      <c r="BB1233" s="9"/>
      <c r="BC1233" s="11"/>
      <c r="BF1233" s="9"/>
      <c r="CF1233" s="12"/>
      <c r="CH1233" s="9"/>
    </row>
    <row r="1234" spans="6:86" x14ac:dyDescent="0.25">
      <c r="F1234" s="9"/>
      <c r="G1234" s="9"/>
      <c r="AA1234" s="10"/>
      <c r="AV1234" s="11"/>
      <c r="AW1234" s="11"/>
      <c r="BB1234" s="9"/>
      <c r="BC1234" s="11"/>
      <c r="BF1234" s="9"/>
      <c r="CF1234" s="12"/>
      <c r="CH1234" s="9"/>
    </row>
    <row r="1235" spans="6:86" x14ac:dyDescent="0.25">
      <c r="F1235" s="9"/>
      <c r="G1235" s="9"/>
      <c r="AA1235" s="10"/>
      <c r="AV1235" s="11"/>
      <c r="AW1235" s="11"/>
      <c r="BB1235" s="9"/>
      <c r="BC1235" s="11"/>
      <c r="BF1235" s="9"/>
      <c r="CF1235" s="12"/>
      <c r="CH1235" s="9"/>
    </row>
    <row r="1236" spans="6:86" x14ac:dyDescent="0.25">
      <c r="F1236" s="9"/>
      <c r="G1236" s="9"/>
      <c r="AA1236" s="10"/>
      <c r="AV1236" s="11"/>
      <c r="AW1236" s="11"/>
      <c r="BB1236" s="9"/>
      <c r="BC1236" s="11"/>
      <c r="BF1236" s="9"/>
      <c r="CF1236" s="12"/>
      <c r="CH1236" s="9"/>
    </row>
    <row r="1237" spans="6:86" x14ac:dyDescent="0.25">
      <c r="F1237" s="9"/>
      <c r="G1237" s="9"/>
      <c r="AA1237" s="10"/>
      <c r="AV1237" s="11"/>
      <c r="AW1237" s="11"/>
      <c r="BB1237" s="9"/>
      <c r="BC1237" s="11"/>
      <c r="BF1237" s="9"/>
      <c r="CF1237" s="12"/>
      <c r="CH1237" s="9"/>
    </row>
    <row r="1238" spans="6:86" x14ac:dyDescent="0.25">
      <c r="F1238" s="9"/>
      <c r="G1238" s="9"/>
      <c r="AA1238" s="10"/>
      <c r="AV1238" s="11"/>
      <c r="AW1238" s="11"/>
      <c r="BB1238" s="9"/>
      <c r="BC1238" s="11"/>
      <c r="BF1238" s="9"/>
      <c r="CH1238" s="9"/>
    </row>
    <row r="1239" spans="6:86" x14ac:dyDescent="0.25">
      <c r="F1239" s="9"/>
      <c r="G1239" s="9"/>
      <c r="AA1239" s="10"/>
      <c r="AV1239" s="11"/>
      <c r="AW1239" s="11"/>
      <c r="BB1239" s="9"/>
      <c r="BC1239" s="11"/>
      <c r="BF1239" s="9"/>
      <c r="CH1239" s="9"/>
    </row>
    <row r="1240" spans="6:86" x14ac:dyDescent="0.25">
      <c r="F1240" s="9"/>
      <c r="G1240" s="9"/>
      <c r="AA1240" s="10"/>
      <c r="AV1240" s="11"/>
      <c r="AW1240" s="11"/>
      <c r="BB1240" s="9"/>
      <c r="BC1240" s="11"/>
      <c r="BF1240" s="9"/>
      <c r="CF1240" s="12"/>
      <c r="CH1240" s="9"/>
    </row>
    <row r="1241" spans="6:86" x14ac:dyDescent="0.25">
      <c r="F1241" s="9"/>
      <c r="G1241" s="9"/>
      <c r="AA1241" s="10"/>
      <c r="AV1241" s="11"/>
      <c r="AW1241" s="11"/>
      <c r="BB1241" s="9"/>
      <c r="BC1241" s="11"/>
      <c r="BF1241" s="9"/>
      <c r="CF1241" s="12"/>
      <c r="CH1241" s="9"/>
    </row>
    <row r="1242" spans="6:86" x14ac:dyDescent="0.25">
      <c r="F1242" s="9"/>
      <c r="G1242" s="9"/>
      <c r="AA1242" s="10"/>
      <c r="AV1242" s="11"/>
      <c r="AW1242" s="11"/>
      <c r="BB1242" s="9"/>
      <c r="BC1242" s="11"/>
      <c r="BF1242" s="9"/>
      <c r="CF1242" s="12"/>
      <c r="CH1242" s="9"/>
    </row>
    <row r="1243" spans="6:86" x14ac:dyDescent="0.25">
      <c r="F1243" s="9"/>
      <c r="G1243" s="9"/>
      <c r="AA1243" s="10"/>
      <c r="AV1243" s="11"/>
      <c r="AW1243" s="11"/>
      <c r="BB1243" s="9"/>
      <c r="BC1243" s="11"/>
      <c r="BF1243" s="9"/>
      <c r="CH1243" s="9"/>
    </row>
    <row r="1244" spans="6:86" x14ac:dyDescent="0.25">
      <c r="F1244" s="9"/>
      <c r="G1244" s="9"/>
      <c r="AA1244" s="10"/>
      <c r="AV1244" s="11"/>
      <c r="AW1244" s="11"/>
      <c r="BB1244" s="9"/>
      <c r="BC1244" s="11"/>
      <c r="BF1244" s="9"/>
      <c r="CF1244" s="12"/>
      <c r="CH1244" s="9"/>
    </row>
    <row r="1245" spans="6:86" x14ac:dyDescent="0.25">
      <c r="F1245" s="9"/>
      <c r="G1245" s="9"/>
      <c r="AA1245" s="10"/>
      <c r="AV1245" s="11"/>
      <c r="AW1245" s="11"/>
      <c r="BB1245" s="9"/>
      <c r="BC1245" s="11"/>
      <c r="BF1245" s="9"/>
      <c r="CF1245" s="12"/>
      <c r="CH1245" s="9"/>
    </row>
    <row r="1246" spans="6:86" x14ac:dyDescent="0.25">
      <c r="F1246" s="9"/>
      <c r="G1246" s="9"/>
      <c r="AA1246" s="10"/>
      <c r="AV1246" s="11"/>
      <c r="AW1246" s="11"/>
      <c r="BB1246" s="9"/>
      <c r="BC1246" s="11"/>
      <c r="BF1246" s="9"/>
      <c r="CF1246" s="12"/>
      <c r="CH1246" s="9"/>
    </row>
    <row r="1247" spans="6:86" x14ac:dyDescent="0.25">
      <c r="F1247" s="9"/>
      <c r="G1247" s="9"/>
      <c r="AA1247" s="10"/>
      <c r="AV1247" s="11"/>
      <c r="AW1247" s="11"/>
      <c r="BB1247" s="9"/>
      <c r="BC1247" s="11"/>
      <c r="BF1247" s="9"/>
      <c r="CH1247" s="9"/>
    </row>
    <row r="1248" spans="6:86" x14ac:dyDescent="0.25">
      <c r="F1248" s="9"/>
      <c r="G1248" s="9"/>
      <c r="U1248" s="12"/>
      <c r="Z1248" s="12"/>
      <c r="AA1248" s="10"/>
      <c r="AV1248" s="11"/>
      <c r="AW1248" s="11"/>
      <c r="BB1248" s="9"/>
      <c r="BC1248" s="11"/>
      <c r="BF1248" s="9"/>
    </row>
    <row r="1249" spans="6:92" x14ac:dyDescent="0.25">
      <c r="F1249" s="9"/>
      <c r="G1249" s="9"/>
      <c r="U1249" s="12"/>
      <c r="Z1249" s="12"/>
      <c r="AA1249" s="10"/>
      <c r="AV1249" s="11"/>
      <c r="AW1249" s="11"/>
      <c r="BB1249" s="9"/>
      <c r="BC1249" s="11"/>
      <c r="BF1249" s="9"/>
    </row>
    <row r="1250" spans="6:92" x14ac:dyDescent="0.25">
      <c r="F1250" s="9"/>
      <c r="G1250" s="9"/>
      <c r="U1250" s="12"/>
      <c r="Z1250" s="12"/>
      <c r="AA1250" s="10"/>
      <c r="AV1250" s="11"/>
      <c r="AW1250" s="11"/>
      <c r="BB1250" s="9"/>
      <c r="BC1250" s="11"/>
      <c r="BF1250" s="9"/>
    </row>
    <row r="1251" spans="6:92" x14ac:dyDescent="0.25">
      <c r="F1251" s="9"/>
      <c r="G1251" s="9"/>
      <c r="AA1251" s="10"/>
      <c r="AV1251" s="11"/>
      <c r="AW1251" s="11"/>
      <c r="BB1251" s="9"/>
      <c r="BC1251" s="11"/>
      <c r="BF1251" s="9"/>
      <c r="CF1251" s="12"/>
      <c r="CH1251" s="9"/>
    </row>
    <row r="1252" spans="6:92" x14ac:dyDescent="0.25">
      <c r="F1252" s="9"/>
      <c r="G1252" s="9"/>
      <c r="AA1252" s="10"/>
      <c r="AV1252" s="11"/>
      <c r="AW1252" s="11"/>
      <c r="BB1252" s="9"/>
      <c r="BC1252" s="11"/>
      <c r="BF1252" s="9"/>
      <c r="CF1252" s="12"/>
      <c r="CH1252" s="9"/>
    </row>
    <row r="1253" spans="6:92" x14ac:dyDescent="0.25">
      <c r="F1253" s="9"/>
      <c r="G1253" s="9"/>
      <c r="U1253" s="12"/>
      <c r="Z1253" s="12"/>
      <c r="AA1253" s="10"/>
      <c r="AV1253" s="11"/>
      <c r="AW1253" s="11"/>
      <c r="BB1253" s="9"/>
      <c r="BC1253" s="11"/>
      <c r="BF1253" s="9"/>
      <c r="CF1253" s="12"/>
      <c r="CH1253" s="9"/>
      <c r="CN1253" s="12"/>
    </row>
    <row r="1254" spans="6:92" x14ac:dyDescent="0.25">
      <c r="F1254" s="9"/>
      <c r="G1254" s="9"/>
      <c r="AA1254" s="10"/>
      <c r="AV1254" s="11"/>
      <c r="AW1254" s="11"/>
      <c r="BB1254" s="9"/>
      <c r="BC1254" s="11"/>
      <c r="BF1254" s="9"/>
      <c r="CF1254" s="12"/>
      <c r="CH1254" s="9"/>
    </row>
    <row r="1255" spans="6:92" x14ac:dyDescent="0.25">
      <c r="F1255" s="9"/>
      <c r="G1255" s="9"/>
      <c r="AA1255" s="10"/>
      <c r="AV1255" s="11"/>
      <c r="AW1255" s="11"/>
      <c r="BB1255" s="9"/>
      <c r="BC1255" s="11"/>
      <c r="BF1255" s="9"/>
      <c r="CF1255" s="12"/>
      <c r="CH1255" s="9"/>
    </row>
    <row r="1256" spans="6:92" x14ac:dyDescent="0.25">
      <c r="F1256" s="9"/>
      <c r="G1256" s="9"/>
      <c r="AA1256" s="10"/>
      <c r="AV1256" s="11"/>
      <c r="AW1256" s="11"/>
      <c r="BB1256" s="9"/>
      <c r="BC1256" s="11"/>
      <c r="BF1256" s="9"/>
      <c r="CF1256" s="12"/>
      <c r="CH1256" s="9"/>
    </row>
    <row r="1257" spans="6:92" x14ac:dyDescent="0.25">
      <c r="F1257" s="9"/>
      <c r="G1257" s="9"/>
      <c r="U1257" s="12"/>
      <c r="Y1257" s="12"/>
      <c r="Z1257" s="12"/>
      <c r="AA1257" s="10"/>
      <c r="AV1257" s="11"/>
      <c r="AW1257" s="11"/>
      <c r="BB1257" s="9"/>
      <c r="BC1257" s="11"/>
      <c r="BF1257" s="9"/>
      <c r="CF1257" s="12"/>
      <c r="CH1257" s="9"/>
      <c r="CN1257" s="12"/>
    </row>
    <row r="1258" spans="6:92" x14ac:dyDescent="0.25">
      <c r="F1258" s="9"/>
      <c r="G1258" s="9"/>
      <c r="AA1258" s="10"/>
      <c r="AV1258" s="11"/>
      <c r="AW1258" s="11"/>
      <c r="BB1258" s="9"/>
      <c r="BC1258" s="11"/>
      <c r="BF1258" s="9"/>
      <c r="CF1258" s="12"/>
      <c r="CH1258" s="9"/>
    </row>
    <row r="1259" spans="6:92" x14ac:dyDescent="0.25">
      <c r="F1259" s="9"/>
      <c r="G1259" s="9"/>
      <c r="U1259" s="12"/>
      <c r="Y1259" s="12"/>
      <c r="Z1259" s="12"/>
      <c r="AA1259" s="10"/>
      <c r="AV1259" s="11"/>
      <c r="AW1259" s="11"/>
      <c r="BB1259" s="9"/>
      <c r="BC1259" s="11"/>
      <c r="BF1259" s="9"/>
      <c r="CF1259" s="12"/>
      <c r="CH1259" s="9"/>
      <c r="CN1259" s="12"/>
    </row>
    <row r="1260" spans="6:92" x14ac:dyDescent="0.25">
      <c r="F1260" s="9"/>
      <c r="G1260" s="9"/>
      <c r="U1260" s="12"/>
      <c r="Y1260" s="12"/>
      <c r="Z1260" s="12"/>
      <c r="AA1260" s="10"/>
      <c r="AV1260" s="11"/>
      <c r="AW1260" s="11"/>
      <c r="BB1260" s="9"/>
      <c r="BC1260" s="11"/>
      <c r="BF1260" s="9"/>
      <c r="CF1260" s="12"/>
      <c r="CH1260" s="9"/>
      <c r="CN1260" s="12"/>
    </row>
    <row r="1261" spans="6:92" x14ac:dyDescent="0.25">
      <c r="F1261" s="9"/>
      <c r="G1261" s="9"/>
      <c r="AA1261" s="10"/>
      <c r="AV1261" s="11"/>
      <c r="AW1261" s="11"/>
      <c r="BB1261" s="9"/>
      <c r="BC1261" s="11"/>
      <c r="BF1261" s="9"/>
      <c r="CH1261" s="9"/>
    </row>
    <row r="1262" spans="6:92" x14ac:dyDescent="0.25">
      <c r="F1262" s="9"/>
      <c r="G1262" s="9"/>
      <c r="AA1262" s="10"/>
      <c r="AV1262" s="11"/>
      <c r="AW1262" s="11"/>
      <c r="BB1262" s="9"/>
      <c r="BC1262" s="11"/>
      <c r="BF1262" s="9"/>
      <c r="CF1262" s="12"/>
      <c r="CH1262" s="9"/>
    </row>
    <row r="1263" spans="6:92" x14ac:dyDescent="0.25">
      <c r="F1263" s="9"/>
      <c r="G1263" s="9"/>
      <c r="AA1263" s="10"/>
      <c r="AV1263" s="11"/>
      <c r="AW1263" s="11"/>
      <c r="BB1263" s="9"/>
      <c r="BC1263" s="11"/>
      <c r="BF1263" s="9"/>
      <c r="CF1263" s="12"/>
      <c r="CH1263" s="9"/>
    </row>
    <row r="1264" spans="6:92" x14ac:dyDescent="0.25">
      <c r="F1264" s="9"/>
      <c r="G1264" s="9"/>
      <c r="AA1264" s="10"/>
      <c r="AV1264" s="11"/>
      <c r="AW1264" s="11"/>
      <c r="BB1264" s="9"/>
      <c r="BC1264" s="11"/>
      <c r="BF1264" s="9"/>
      <c r="CF1264" s="12"/>
      <c r="CH1264" s="9"/>
    </row>
    <row r="1265" spans="6:86" x14ac:dyDescent="0.25">
      <c r="F1265" s="9"/>
      <c r="G1265" s="9"/>
      <c r="AA1265" s="10"/>
      <c r="AV1265" s="11"/>
      <c r="AW1265" s="11"/>
      <c r="BB1265" s="9"/>
      <c r="BC1265" s="11"/>
      <c r="BF1265" s="9"/>
      <c r="CF1265" s="12"/>
      <c r="CH1265" s="9"/>
    </row>
    <row r="1266" spans="6:86" x14ac:dyDescent="0.25">
      <c r="F1266" s="9"/>
      <c r="G1266" s="9"/>
      <c r="AA1266" s="10"/>
      <c r="AV1266" s="11"/>
      <c r="AW1266" s="11"/>
      <c r="BB1266" s="9"/>
      <c r="BC1266" s="11"/>
      <c r="BF1266" s="9"/>
      <c r="CF1266" s="12"/>
      <c r="CH1266" s="9"/>
    </row>
    <row r="1267" spans="6:86" x14ac:dyDescent="0.25">
      <c r="F1267" s="9"/>
      <c r="G1267" s="9"/>
      <c r="AA1267" s="10"/>
      <c r="AV1267" s="11"/>
      <c r="AW1267" s="11"/>
      <c r="BB1267" s="9"/>
      <c r="BC1267" s="11"/>
      <c r="BF1267" s="9"/>
      <c r="CF1267" s="12"/>
      <c r="CH1267" s="9"/>
    </row>
    <row r="1268" spans="6:86" x14ac:dyDescent="0.25">
      <c r="F1268" s="9"/>
      <c r="G1268" s="9"/>
      <c r="AA1268" s="10"/>
      <c r="AV1268" s="11"/>
      <c r="AW1268" s="11"/>
      <c r="BB1268" s="9"/>
      <c r="BC1268" s="11"/>
      <c r="BF1268" s="9"/>
      <c r="CF1268" s="12"/>
      <c r="CH1268" s="9"/>
    </row>
    <row r="1269" spans="6:86" x14ac:dyDescent="0.25">
      <c r="F1269" s="9"/>
      <c r="G1269" s="9"/>
      <c r="AA1269" s="10"/>
      <c r="AV1269" s="11"/>
      <c r="AW1269" s="11"/>
      <c r="BB1269" s="9"/>
      <c r="BC1269" s="11"/>
      <c r="BF1269" s="9"/>
      <c r="CF1269" s="12"/>
      <c r="CH1269" s="9"/>
    </row>
    <row r="1270" spans="6:86" x14ac:dyDescent="0.25">
      <c r="F1270" s="9"/>
      <c r="G1270" s="9"/>
      <c r="U1270" s="12"/>
      <c r="Z1270" s="12"/>
      <c r="AA1270" s="10"/>
      <c r="AV1270" s="11"/>
      <c r="AW1270" s="11"/>
      <c r="BB1270" s="9"/>
      <c r="BC1270" s="11"/>
      <c r="BF1270" s="9"/>
      <c r="CF1270" s="12"/>
      <c r="CH1270" s="9"/>
    </row>
    <row r="1271" spans="6:86" x14ac:dyDescent="0.25">
      <c r="F1271" s="9"/>
      <c r="G1271" s="9"/>
      <c r="AA1271" s="10"/>
      <c r="AV1271" s="11"/>
      <c r="AW1271" s="11"/>
      <c r="BB1271" s="9"/>
      <c r="BC1271" s="11"/>
      <c r="BF1271" s="9"/>
      <c r="CF1271" s="12"/>
      <c r="CH1271" s="9"/>
    </row>
    <row r="1272" spans="6:86" x14ac:dyDescent="0.25">
      <c r="F1272" s="9"/>
      <c r="G1272" s="9"/>
      <c r="AA1272" s="10"/>
      <c r="AV1272" s="11"/>
      <c r="AW1272" s="11"/>
      <c r="BB1272" s="9"/>
      <c r="BC1272" s="11"/>
      <c r="BF1272" s="9"/>
      <c r="CH1272" s="9"/>
    </row>
    <row r="1273" spans="6:86" x14ac:dyDescent="0.25">
      <c r="F1273" s="9"/>
      <c r="G1273" s="9"/>
      <c r="AA1273" s="10"/>
      <c r="AV1273" s="11"/>
      <c r="AW1273" s="11"/>
      <c r="BB1273" s="9"/>
      <c r="BC1273" s="11"/>
      <c r="BF1273" s="9"/>
      <c r="CF1273" s="12"/>
      <c r="CH1273" s="9"/>
    </row>
    <row r="1274" spans="6:86" x14ac:dyDescent="0.25">
      <c r="F1274" s="9"/>
      <c r="G1274" s="9"/>
      <c r="AA1274" s="10"/>
      <c r="AV1274" s="11"/>
      <c r="AW1274" s="11"/>
      <c r="BB1274" s="9"/>
      <c r="BC1274" s="11"/>
      <c r="BF1274" s="9"/>
      <c r="CH1274" s="9"/>
    </row>
    <row r="1275" spans="6:86" x14ac:dyDescent="0.25">
      <c r="F1275" s="9"/>
      <c r="G1275" s="9"/>
      <c r="AA1275" s="10"/>
      <c r="AV1275" s="11"/>
      <c r="AW1275" s="11"/>
      <c r="BB1275" s="9"/>
      <c r="BC1275" s="11"/>
      <c r="BF1275" s="9"/>
      <c r="CF1275" s="12"/>
      <c r="CH1275" s="9"/>
    </row>
    <row r="1276" spans="6:86" x14ac:dyDescent="0.25">
      <c r="F1276" s="9"/>
      <c r="G1276" s="9"/>
      <c r="AA1276" s="10"/>
      <c r="AV1276" s="11"/>
      <c r="AW1276" s="11"/>
      <c r="BB1276" s="9"/>
      <c r="BC1276" s="11"/>
      <c r="BF1276" s="9"/>
      <c r="CF1276" s="12"/>
      <c r="CH1276" s="9"/>
    </row>
    <row r="1277" spans="6:86" x14ac:dyDescent="0.25">
      <c r="F1277" s="9"/>
      <c r="G1277" s="9"/>
      <c r="AA1277" s="10"/>
      <c r="AV1277" s="11"/>
      <c r="AW1277" s="11"/>
      <c r="BB1277" s="9"/>
      <c r="BC1277" s="11"/>
      <c r="BF1277" s="9"/>
      <c r="CF1277" s="12"/>
      <c r="CH1277" s="9"/>
    </row>
    <row r="1278" spans="6:86" x14ac:dyDescent="0.25">
      <c r="F1278" s="9"/>
      <c r="G1278" s="9"/>
      <c r="AA1278" s="10"/>
      <c r="AV1278" s="11"/>
      <c r="AW1278" s="11"/>
      <c r="BB1278" s="9"/>
      <c r="BC1278" s="11"/>
      <c r="BF1278" s="9"/>
      <c r="CF1278" s="12"/>
      <c r="CH1278" s="9"/>
    </row>
    <row r="1279" spans="6:86" x14ac:dyDescent="0.25">
      <c r="F1279" s="9"/>
      <c r="G1279" s="9"/>
      <c r="AA1279" s="10"/>
      <c r="AV1279" s="11"/>
      <c r="AW1279" s="11"/>
      <c r="BB1279" s="9"/>
      <c r="BC1279" s="11"/>
      <c r="BF1279" s="9"/>
      <c r="CF1279" s="12"/>
      <c r="CH1279" s="9"/>
    </row>
    <row r="1280" spans="6:86" x14ac:dyDescent="0.25">
      <c r="F1280" s="9"/>
      <c r="G1280" s="9"/>
      <c r="AA1280" s="10"/>
      <c r="AV1280" s="11"/>
      <c r="AW1280" s="11"/>
      <c r="BB1280" s="9"/>
      <c r="BC1280" s="11"/>
      <c r="BF1280" s="9"/>
      <c r="CF1280" s="12"/>
      <c r="CH1280" s="9"/>
    </row>
    <row r="1281" spans="6:92" x14ac:dyDescent="0.25">
      <c r="F1281" s="9"/>
      <c r="G1281" s="9"/>
      <c r="U1281" s="12"/>
      <c r="Z1281" s="12"/>
      <c r="AA1281" s="10"/>
      <c r="AV1281" s="11"/>
      <c r="AW1281" s="11"/>
      <c r="BB1281" s="9"/>
      <c r="BC1281" s="11"/>
      <c r="BF1281" s="9"/>
      <c r="CF1281" s="12"/>
      <c r="CH1281" s="9"/>
      <c r="CN1281" s="12"/>
    </row>
    <row r="1282" spans="6:92" x14ac:dyDescent="0.25">
      <c r="F1282" s="9"/>
      <c r="G1282" s="9"/>
      <c r="AA1282" s="10"/>
      <c r="AV1282" s="11"/>
      <c r="AW1282" s="11"/>
      <c r="BB1282" s="9"/>
      <c r="BC1282" s="11"/>
      <c r="BF1282" s="9"/>
      <c r="CH1282" s="9"/>
    </row>
    <row r="1283" spans="6:92" x14ac:dyDescent="0.25">
      <c r="F1283" s="9"/>
      <c r="G1283" s="9"/>
      <c r="AA1283" s="10"/>
      <c r="AV1283" s="11"/>
      <c r="AW1283" s="11"/>
      <c r="BB1283" s="9"/>
      <c r="BC1283" s="11"/>
      <c r="BF1283" s="9"/>
      <c r="CH1283" s="9"/>
    </row>
    <row r="1284" spans="6:92" x14ac:dyDescent="0.25">
      <c r="F1284" s="9"/>
      <c r="G1284" s="9"/>
      <c r="AA1284" s="10"/>
      <c r="AV1284" s="11"/>
      <c r="AW1284" s="11"/>
      <c r="BB1284" s="9"/>
      <c r="BC1284" s="11"/>
      <c r="BF1284" s="9"/>
      <c r="CF1284" s="12"/>
      <c r="CH1284" s="9"/>
    </row>
    <row r="1285" spans="6:92" x14ac:dyDescent="0.25">
      <c r="F1285" s="9"/>
      <c r="G1285" s="9"/>
      <c r="AA1285" s="10"/>
      <c r="AV1285" s="11"/>
      <c r="AW1285" s="11"/>
      <c r="BB1285" s="9"/>
      <c r="BC1285" s="11"/>
      <c r="BF1285" s="9"/>
      <c r="CF1285" s="12"/>
      <c r="CH1285" s="9"/>
    </row>
    <row r="1286" spans="6:92" x14ac:dyDescent="0.25">
      <c r="F1286" s="9"/>
      <c r="G1286" s="9"/>
      <c r="AA1286" s="10"/>
      <c r="AV1286" s="11"/>
      <c r="AW1286" s="11"/>
      <c r="BB1286" s="9"/>
      <c r="BC1286" s="11"/>
      <c r="BF1286" s="9"/>
      <c r="CF1286" s="12"/>
      <c r="CH1286" s="9"/>
    </row>
    <row r="1287" spans="6:92" x14ac:dyDescent="0.25">
      <c r="F1287" s="9"/>
      <c r="G1287" s="9"/>
      <c r="AA1287" s="10"/>
      <c r="AV1287" s="11"/>
      <c r="AW1287" s="11"/>
      <c r="BB1287" s="9"/>
      <c r="BC1287" s="11"/>
      <c r="BF1287" s="9"/>
      <c r="CF1287" s="12"/>
      <c r="CH1287" s="9"/>
    </row>
    <row r="1288" spans="6:92" x14ac:dyDescent="0.25">
      <c r="F1288" s="9"/>
      <c r="G1288" s="9"/>
      <c r="AA1288" s="10"/>
      <c r="AV1288" s="11"/>
      <c r="AW1288" s="11"/>
      <c r="BB1288" s="9"/>
      <c r="BC1288" s="11"/>
      <c r="BF1288" s="9"/>
      <c r="CH1288" s="9"/>
    </row>
    <row r="1289" spans="6:92" x14ac:dyDescent="0.25">
      <c r="F1289" s="9"/>
      <c r="G1289" s="9"/>
      <c r="AA1289" s="10"/>
      <c r="AV1289" s="11"/>
      <c r="AW1289" s="11"/>
      <c r="BB1289" s="9"/>
      <c r="BC1289" s="11"/>
      <c r="BF1289" s="9"/>
      <c r="CF1289" s="12"/>
      <c r="CH1289" s="9"/>
    </row>
    <row r="1290" spans="6:92" x14ac:dyDescent="0.25">
      <c r="F1290" s="9"/>
      <c r="G1290" s="9"/>
      <c r="AA1290" s="10"/>
      <c r="AV1290" s="11"/>
      <c r="AW1290" s="11"/>
      <c r="BB1290" s="9"/>
      <c r="BC1290" s="11"/>
      <c r="BF1290" s="9"/>
      <c r="CF1290" s="12"/>
      <c r="CH1290" s="9"/>
    </row>
    <row r="1291" spans="6:92" x14ac:dyDescent="0.25">
      <c r="F1291" s="9"/>
      <c r="G1291" s="9"/>
      <c r="AA1291" s="10"/>
      <c r="AV1291" s="11"/>
      <c r="AW1291" s="11"/>
      <c r="BB1291" s="9"/>
      <c r="BC1291" s="11"/>
      <c r="BF1291" s="9"/>
      <c r="CH1291" s="9"/>
    </row>
    <row r="1292" spans="6:92" x14ac:dyDescent="0.25">
      <c r="F1292" s="9"/>
      <c r="G1292" s="9"/>
      <c r="AA1292" s="10"/>
      <c r="AV1292" s="11"/>
      <c r="AW1292" s="11"/>
      <c r="BB1292" s="9"/>
      <c r="BC1292" s="11"/>
      <c r="BF1292" s="9"/>
      <c r="CF1292" s="12"/>
      <c r="CH1292" s="9"/>
    </row>
    <row r="1293" spans="6:92" x14ac:dyDescent="0.25">
      <c r="F1293" s="9"/>
      <c r="G1293" s="9"/>
      <c r="AA1293" s="10"/>
      <c r="AV1293" s="11"/>
      <c r="AW1293" s="11"/>
      <c r="BB1293" s="9"/>
      <c r="BC1293" s="11"/>
      <c r="BF1293" s="9"/>
      <c r="CF1293" s="12"/>
      <c r="CH1293" s="9"/>
    </row>
    <row r="1294" spans="6:92" x14ac:dyDescent="0.25">
      <c r="F1294" s="9"/>
      <c r="G1294" s="9"/>
      <c r="AA1294" s="10"/>
      <c r="AV1294" s="11"/>
      <c r="AW1294" s="11"/>
      <c r="BB1294" s="9"/>
      <c r="BC1294" s="11"/>
      <c r="BF1294" s="9"/>
      <c r="CF1294" s="12"/>
      <c r="CH1294" s="9"/>
    </row>
    <row r="1295" spans="6:92" x14ac:dyDescent="0.25">
      <c r="F1295" s="9"/>
      <c r="G1295" s="9"/>
      <c r="AA1295" s="10"/>
      <c r="AV1295" s="11"/>
      <c r="AW1295" s="11"/>
      <c r="BB1295" s="9"/>
      <c r="BC1295" s="11"/>
      <c r="BF1295" s="9"/>
      <c r="CF1295" s="12"/>
      <c r="CH1295" s="9"/>
    </row>
    <row r="1296" spans="6:92" x14ac:dyDescent="0.25">
      <c r="F1296" s="9"/>
      <c r="G1296" s="9"/>
      <c r="AA1296" s="10"/>
      <c r="AV1296" s="11"/>
      <c r="AW1296" s="11"/>
      <c r="BB1296" s="9"/>
      <c r="BC1296" s="11"/>
      <c r="BF1296" s="9"/>
      <c r="CF1296" s="12"/>
      <c r="CH1296" s="9"/>
    </row>
    <row r="1297" spans="6:86" x14ac:dyDescent="0.25">
      <c r="F1297" s="9"/>
      <c r="G1297" s="9"/>
      <c r="AA1297" s="10"/>
      <c r="AV1297" s="11"/>
      <c r="AW1297" s="11"/>
      <c r="BB1297" s="9"/>
      <c r="BC1297" s="11"/>
      <c r="BF1297" s="9"/>
      <c r="CF1297" s="12"/>
      <c r="CH1297" s="9"/>
    </row>
    <row r="1298" spans="6:86" x14ac:dyDescent="0.25">
      <c r="F1298" s="9"/>
      <c r="G1298" s="9"/>
      <c r="AA1298" s="10"/>
      <c r="AV1298" s="11"/>
      <c r="AW1298" s="11"/>
      <c r="BB1298" s="9"/>
      <c r="BC1298" s="11"/>
      <c r="BF1298" s="9"/>
      <c r="CF1298" s="12"/>
      <c r="CH1298" s="9"/>
    </row>
    <row r="1299" spans="6:86" x14ac:dyDescent="0.25">
      <c r="F1299" s="9"/>
      <c r="G1299" s="9"/>
      <c r="AA1299" s="10"/>
      <c r="AV1299" s="11"/>
      <c r="AW1299" s="11"/>
      <c r="BB1299" s="9"/>
      <c r="BC1299" s="11"/>
      <c r="BF1299" s="9"/>
      <c r="CF1299" s="12"/>
      <c r="CH1299" s="9"/>
    </row>
    <row r="1300" spans="6:86" x14ac:dyDescent="0.25">
      <c r="F1300" s="9"/>
      <c r="G1300" s="9"/>
      <c r="AA1300" s="10"/>
      <c r="AV1300" s="11"/>
      <c r="AW1300" s="11"/>
      <c r="BB1300" s="9"/>
      <c r="BC1300" s="11"/>
      <c r="BF1300" s="9"/>
      <c r="CF1300" s="12"/>
      <c r="CH1300" s="9"/>
    </row>
    <row r="1301" spans="6:86" x14ac:dyDescent="0.25">
      <c r="F1301" s="9"/>
      <c r="G1301" s="9"/>
      <c r="AA1301" s="10"/>
      <c r="AV1301" s="11"/>
      <c r="AW1301" s="11"/>
      <c r="BB1301" s="9"/>
      <c r="BC1301" s="11"/>
      <c r="BF1301" s="9"/>
      <c r="CF1301" s="12"/>
      <c r="CH1301" s="9"/>
    </row>
    <row r="1302" spans="6:86" x14ac:dyDescent="0.25">
      <c r="F1302" s="9"/>
      <c r="G1302" s="9"/>
      <c r="AA1302" s="10"/>
      <c r="AV1302" s="11"/>
      <c r="AW1302" s="11"/>
      <c r="BB1302" s="9"/>
      <c r="BC1302" s="11"/>
      <c r="BF1302" s="9"/>
      <c r="CH1302" s="9"/>
    </row>
    <row r="1303" spans="6:86" x14ac:dyDescent="0.25">
      <c r="F1303" s="9"/>
      <c r="G1303" s="9"/>
      <c r="AA1303" s="10"/>
      <c r="AV1303" s="11"/>
      <c r="AW1303" s="11"/>
      <c r="BB1303" s="9"/>
      <c r="BC1303" s="11"/>
      <c r="BF1303" s="9"/>
      <c r="CH1303" s="9"/>
    </row>
    <row r="1304" spans="6:86" x14ac:dyDescent="0.25">
      <c r="F1304" s="9"/>
      <c r="G1304" s="9"/>
      <c r="AA1304" s="10"/>
      <c r="AV1304" s="11"/>
      <c r="AW1304" s="11"/>
      <c r="BB1304" s="9"/>
      <c r="BC1304" s="11"/>
      <c r="BF1304" s="9"/>
      <c r="CF1304" s="12"/>
      <c r="CH1304" s="9"/>
    </row>
    <row r="1305" spans="6:86" x14ac:dyDescent="0.25">
      <c r="F1305" s="9"/>
      <c r="G1305" s="9"/>
      <c r="AA1305" s="10"/>
      <c r="AV1305" s="11"/>
      <c r="AW1305" s="11"/>
      <c r="BB1305" s="9"/>
      <c r="BC1305" s="11"/>
      <c r="BF1305" s="9"/>
      <c r="CF1305" s="12"/>
      <c r="CH1305" s="9"/>
    </row>
    <row r="1306" spans="6:86" x14ac:dyDescent="0.25">
      <c r="F1306" s="9"/>
      <c r="G1306" s="9"/>
      <c r="AA1306" s="10"/>
      <c r="AV1306" s="11"/>
      <c r="AW1306" s="11"/>
      <c r="BB1306" s="9"/>
      <c r="BC1306" s="11"/>
      <c r="BF1306" s="9"/>
      <c r="CF1306" s="12"/>
      <c r="CH1306" s="9"/>
    </row>
    <row r="1307" spans="6:86" x14ac:dyDescent="0.25">
      <c r="F1307" s="9"/>
      <c r="G1307" s="9"/>
      <c r="AA1307" s="10"/>
      <c r="AV1307" s="11"/>
      <c r="AW1307" s="11"/>
      <c r="BB1307" s="9"/>
      <c r="BC1307" s="11"/>
      <c r="BF1307" s="9"/>
      <c r="CF1307" s="12"/>
      <c r="CH1307" s="9"/>
    </row>
    <row r="1308" spans="6:86" x14ac:dyDescent="0.25">
      <c r="F1308" s="9"/>
      <c r="G1308" s="9"/>
      <c r="AA1308" s="10"/>
      <c r="AV1308" s="11"/>
      <c r="AW1308" s="11"/>
      <c r="BB1308" s="9"/>
      <c r="BC1308" s="11"/>
      <c r="BF1308" s="9"/>
      <c r="CH1308" s="9"/>
    </row>
    <row r="1309" spans="6:86" x14ac:dyDescent="0.25">
      <c r="F1309" s="9"/>
      <c r="G1309" s="9"/>
      <c r="AA1309" s="10"/>
      <c r="AV1309" s="11"/>
      <c r="AW1309" s="11"/>
      <c r="BB1309" s="9"/>
      <c r="BC1309" s="11"/>
      <c r="BF1309" s="9"/>
      <c r="CF1309" s="12"/>
      <c r="CH1309" s="9"/>
    </row>
    <row r="1310" spans="6:86" x14ac:dyDescent="0.25">
      <c r="F1310" s="9"/>
      <c r="G1310" s="9"/>
      <c r="AA1310" s="10"/>
      <c r="AV1310" s="11"/>
      <c r="AW1310" s="11"/>
      <c r="BB1310" s="9"/>
      <c r="BC1310" s="11"/>
      <c r="BF1310" s="9"/>
      <c r="CF1310" s="12"/>
      <c r="CH1310" s="9"/>
    </row>
    <row r="1311" spans="6:86" x14ac:dyDescent="0.25">
      <c r="F1311" s="9"/>
      <c r="G1311" s="9"/>
      <c r="AA1311" s="10"/>
      <c r="AV1311" s="11"/>
      <c r="AW1311" s="11"/>
      <c r="BB1311" s="9"/>
      <c r="BC1311" s="11"/>
      <c r="BF1311" s="9"/>
      <c r="CF1311" s="12"/>
      <c r="CH1311" s="9"/>
    </row>
    <row r="1312" spans="6:86" x14ac:dyDescent="0.25">
      <c r="F1312" s="9"/>
      <c r="G1312" s="9"/>
      <c r="AA1312" s="10"/>
      <c r="AV1312" s="11"/>
      <c r="AW1312" s="11"/>
      <c r="BB1312" s="9"/>
      <c r="BC1312" s="11"/>
      <c r="BF1312" s="9"/>
      <c r="CF1312" s="12"/>
      <c r="CH1312" s="9"/>
    </row>
    <row r="1313" spans="6:86" x14ac:dyDescent="0.25">
      <c r="F1313" s="9"/>
      <c r="G1313" s="9"/>
      <c r="AA1313" s="10"/>
      <c r="AV1313" s="11"/>
      <c r="AW1313" s="11"/>
      <c r="BB1313" s="9"/>
      <c r="BC1313" s="11"/>
      <c r="BF1313" s="9"/>
      <c r="CF1313" s="12"/>
      <c r="CH1313" s="9"/>
    </row>
    <row r="1314" spans="6:86" x14ac:dyDescent="0.25">
      <c r="F1314" s="9"/>
      <c r="G1314" s="9"/>
      <c r="AA1314" s="10"/>
      <c r="AV1314" s="11"/>
      <c r="AW1314" s="11"/>
      <c r="BB1314" s="9"/>
      <c r="BC1314" s="11"/>
      <c r="BF1314" s="9"/>
      <c r="CH1314" s="9"/>
    </row>
    <row r="1315" spans="6:86" x14ac:dyDescent="0.25">
      <c r="F1315" s="9"/>
      <c r="G1315" s="9"/>
      <c r="AA1315" s="10"/>
      <c r="AV1315" s="11"/>
      <c r="AW1315" s="11"/>
      <c r="BB1315" s="9"/>
      <c r="BC1315" s="11"/>
      <c r="BF1315" s="9"/>
      <c r="CH1315" s="9"/>
    </row>
    <row r="1316" spans="6:86" x14ac:dyDescent="0.25">
      <c r="F1316" s="9"/>
      <c r="G1316" s="9"/>
      <c r="AA1316" s="10"/>
      <c r="AV1316" s="11"/>
      <c r="AW1316" s="11"/>
      <c r="BB1316" s="9"/>
      <c r="BC1316" s="11"/>
      <c r="BF1316" s="9"/>
      <c r="CF1316" s="12"/>
      <c r="CH1316" s="9"/>
    </row>
    <row r="1317" spans="6:86" x14ac:dyDescent="0.25">
      <c r="F1317" s="9"/>
      <c r="G1317" s="9"/>
      <c r="AA1317" s="10"/>
      <c r="AV1317" s="11"/>
      <c r="AW1317" s="11"/>
      <c r="BB1317" s="9"/>
      <c r="BC1317" s="11"/>
      <c r="BF1317" s="9"/>
      <c r="CF1317" s="12"/>
      <c r="CH1317" s="9"/>
    </row>
    <row r="1318" spans="6:86" x14ac:dyDescent="0.25">
      <c r="F1318" s="9"/>
      <c r="G1318" s="9"/>
      <c r="AA1318" s="10"/>
      <c r="AV1318" s="11"/>
      <c r="AW1318" s="11"/>
      <c r="BB1318" s="9"/>
      <c r="BC1318" s="11"/>
      <c r="BF1318" s="9"/>
      <c r="CF1318" s="12"/>
      <c r="CH1318" s="9"/>
    </row>
    <row r="1319" spans="6:86" x14ac:dyDescent="0.25">
      <c r="F1319" s="9"/>
      <c r="G1319" s="9"/>
      <c r="AA1319" s="10"/>
      <c r="AV1319" s="11"/>
      <c r="AW1319" s="11"/>
      <c r="BB1319" s="9"/>
      <c r="BC1319" s="11"/>
      <c r="BF1319" s="9"/>
      <c r="CF1319" s="12"/>
      <c r="CH1319" s="9"/>
    </row>
    <row r="1320" spans="6:86" x14ac:dyDescent="0.25">
      <c r="F1320" s="9"/>
      <c r="G1320" s="9"/>
      <c r="AA1320" s="10"/>
      <c r="AV1320" s="11"/>
      <c r="AW1320" s="11"/>
      <c r="BB1320" s="9"/>
      <c r="BC1320" s="11"/>
      <c r="BF1320" s="9"/>
      <c r="CF1320" s="12"/>
      <c r="CH1320" s="9"/>
    </row>
    <row r="1321" spans="6:86" x14ac:dyDescent="0.25">
      <c r="F1321" s="9"/>
      <c r="G1321" s="9"/>
      <c r="AA1321" s="10"/>
      <c r="AV1321" s="11"/>
      <c r="AW1321" s="11"/>
      <c r="BB1321" s="9"/>
      <c r="BC1321" s="11"/>
      <c r="BF1321" s="9"/>
      <c r="CF1321" s="12"/>
      <c r="CH1321" s="9"/>
    </row>
    <row r="1322" spans="6:86" x14ac:dyDescent="0.25">
      <c r="F1322" s="9"/>
      <c r="G1322" s="9"/>
      <c r="AA1322" s="10"/>
      <c r="AV1322" s="11"/>
      <c r="AW1322" s="11"/>
      <c r="BB1322" s="9"/>
      <c r="BC1322" s="11"/>
      <c r="BF1322" s="9"/>
      <c r="CF1322" s="12"/>
      <c r="CH1322" s="9"/>
    </row>
    <row r="1323" spans="6:86" x14ac:dyDescent="0.25">
      <c r="F1323" s="9"/>
      <c r="G1323" s="9"/>
      <c r="AA1323" s="10"/>
      <c r="AV1323" s="11"/>
      <c r="AW1323" s="11"/>
      <c r="BB1323" s="9"/>
      <c r="BC1323" s="11"/>
      <c r="BF1323" s="9"/>
      <c r="CF1323" s="12"/>
      <c r="CH1323" s="9"/>
    </row>
    <row r="1324" spans="6:86" x14ac:dyDescent="0.25">
      <c r="F1324" s="9"/>
      <c r="G1324" s="9"/>
      <c r="AA1324" s="10"/>
      <c r="AV1324" s="11"/>
      <c r="AW1324" s="11"/>
      <c r="BB1324" s="9"/>
      <c r="BC1324" s="11"/>
      <c r="BF1324" s="9"/>
      <c r="CF1324" s="12"/>
      <c r="CH1324" s="9"/>
    </row>
    <row r="1325" spans="6:86" x14ac:dyDescent="0.25">
      <c r="F1325" s="9"/>
      <c r="G1325" s="9"/>
      <c r="AA1325" s="10"/>
      <c r="AV1325" s="11"/>
      <c r="AW1325" s="11"/>
      <c r="BB1325" s="9"/>
      <c r="BC1325" s="11"/>
      <c r="BF1325" s="9"/>
      <c r="CF1325" s="12"/>
      <c r="CH1325" s="9"/>
    </row>
    <row r="1326" spans="6:86" x14ac:dyDescent="0.25">
      <c r="F1326" s="9"/>
      <c r="G1326" s="9"/>
      <c r="AA1326" s="10"/>
      <c r="AV1326" s="11"/>
      <c r="AW1326" s="11"/>
      <c r="BB1326" s="9"/>
      <c r="BC1326" s="11"/>
      <c r="BF1326" s="9"/>
      <c r="CF1326" s="12"/>
      <c r="CH1326" s="9"/>
    </row>
    <row r="1327" spans="6:86" x14ac:dyDescent="0.25">
      <c r="F1327" s="9"/>
      <c r="G1327" s="9"/>
      <c r="AA1327" s="10"/>
      <c r="AV1327" s="11"/>
      <c r="AW1327" s="11"/>
      <c r="BB1327" s="9"/>
      <c r="BC1327" s="11"/>
      <c r="BF1327" s="9"/>
      <c r="CF1327" s="12"/>
      <c r="CH1327" s="9"/>
    </row>
    <row r="1328" spans="6:86" x14ac:dyDescent="0.25">
      <c r="F1328" s="9"/>
      <c r="G1328" s="9"/>
      <c r="AA1328" s="10"/>
      <c r="AV1328" s="11"/>
      <c r="AW1328" s="11"/>
      <c r="BB1328" s="9"/>
      <c r="BC1328" s="11"/>
      <c r="BF1328" s="9"/>
      <c r="CF1328" s="12"/>
      <c r="CH1328" s="9"/>
    </row>
    <row r="1329" spans="6:86" x14ac:dyDescent="0.25">
      <c r="F1329" s="9"/>
      <c r="G1329" s="9"/>
      <c r="AA1329" s="10"/>
      <c r="AV1329" s="11"/>
      <c r="AW1329" s="11"/>
      <c r="BB1329" s="9"/>
      <c r="BC1329" s="11"/>
      <c r="BF1329" s="9"/>
      <c r="CF1329" s="12"/>
      <c r="CH1329" s="9"/>
    </row>
    <row r="1330" spans="6:86" x14ac:dyDescent="0.25">
      <c r="F1330" s="9"/>
      <c r="G1330" s="9"/>
      <c r="AA1330" s="10"/>
      <c r="AV1330" s="11"/>
      <c r="AW1330" s="11"/>
      <c r="BB1330" s="9"/>
      <c r="BC1330" s="11"/>
      <c r="BF1330" s="9"/>
      <c r="CF1330" s="12"/>
      <c r="CH1330" s="9"/>
    </row>
    <row r="1331" spans="6:86" x14ac:dyDescent="0.25">
      <c r="F1331" s="9"/>
      <c r="G1331" s="9"/>
      <c r="AA1331" s="10"/>
      <c r="AV1331" s="11"/>
      <c r="AW1331" s="11"/>
      <c r="BB1331" s="9"/>
      <c r="BC1331" s="11"/>
      <c r="BF1331" s="9"/>
      <c r="CF1331" s="12"/>
      <c r="CH1331" s="9"/>
    </row>
    <row r="1332" spans="6:86" x14ac:dyDescent="0.25">
      <c r="F1332" s="9"/>
      <c r="G1332" s="9"/>
      <c r="AA1332" s="10"/>
      <c r="AV1332" s="11"/>
      <c r="AW1332" s="11"/>
      <c r="BB1332" s="9"/>
      <c r="BC1332" s="11"/>
      <c r="BF1332" s="9"/>
      <c r="CF1332" s="12"/>
      <c r="CH1332" s="9"/>
    </row>
    <row r="1333" spans="6:86" x14ac:dyDescent="0.25">
      <c r="F1333" s="9"/>
      <c r="G1333" s="9"/>
      <c r="AA1333" s="10"/>
      <c r="AV1333" s="11"/>
      <c r="AW1333" s="11"/>
      <c r="BB1333" s="9"/>
      <c r="BC1333" s="11"/>
      <c r="BF1333" s="9"/>
      <c r="CF1333" s="12"/>
      <c r="CH1333" s="9"/>
    </row>
    <row r="1334" spans="6:86" x14ac:dyDescent="0.25">
      <c r="F1334" s="9"/>
      <c r="G1334" s="9"/>
      <c r="AA1334" s="10"/>
      <c r="AV1334" s="11"/>
      <c r="AW1334" s="11"/>
      <c r="BB1334" s="9"/>
      <c r="BC1334" s="11"/>
      <c r="BF1334" s="9"/>
      <c r="CF1334" s="12"/>
      <c r="CH1334" s="9"/>
    </row>
    <row r="1335" spans="6:86" x14ac:dyDescent="0.25">
      <c r="F1335" s="9"/>
      <c r="G1335" s="9"/>
      <c r="AA1335" s="10"/>
      <c r="AV1335" s="11"/>
      <c r="AW1335" s="11"/>
      <c r="BB1335" s="9"/>
      <c r="BC1335" s="11"/>
      <c r="BF1335" s="9"/>
      <c r="CH1335" s="9"/>
    </row>
    <row r="1336" spans="6:86" x14ac:dyDescent="0.25">
      <c r="F1336" s="9"/>
      <c r="G1336" s="9"/>
      <c r="AA1336" s="10"/>
      <c r="AV1336" s="11"/>
      <c r="AW1336" s="11"/>
      <c r="BB1336" s="9"/>
      <c r="BC1336" s="11"/>
      <c r="BF1336" s="9"/>
      <c r="CF1336" s="12"/>
      <c r="CH1336" s="9"/>
    </row>
    <row r="1337" spans="6:86" x14ac:dyDescent="0.25">
      <c r="F1337" s="9"/>
      <c r="G1337" s="9"/>
      <c r="AA1337" s="10"/>
      <c r="AV1337" s="11"/>
      <c r="AW1337" s="11"/>
      <c r="BB1337" s="9"/>
      <c r="BC1337" s="11"/>
      <c r="BF1337" s="9"/>
      <c r="CF1337" s="12"/>
      <c r="CH1337" s="9"/>
    </row>
    <row r="1338" spans="6:86" x14ac:dyDescent="0.25">
      <c r="F1338" s="9"/>
      <c r="G1338" s="9"/>
      <c r="AA1338" s="10"/>
      <c r="AV1338" s="11"/>
      <c r="AW1338" s="11"/>
      <c r="BB1338" s="9"/>
      <c r="BC1338" s="11"/>
      <c r="BF1338" s="9"/>
      <c r="CF1338" s="12"/>
      <c r="CH1338" s="9"/>
    </row>
    <row r="1339" spans="6:86" x14ac:dyDescent="0.25">
      <c r="F1339" s="9"/>
      <c r="G1339" s="9"/>
      <c r="AA1339" s="10"/>
      <c r="AV1339" s="11"/>
      <c r="AW1339" s="11"/>
      <c r="BB1339" s="9"/>
      <c r="BC1339" s="11"/>
      <c r="BF1339" s="9"/>
      <c r="CF1339" s="12"/>
      <c r="CH1339" s="9"/>
    </row>
    <row r="1340" spans="6:86" x14ac:dyDescent="0.25">
      <c r="F1340" s="9"/>
      <c r="G1340" s="9"/>
      <c r="AA1340" s="10"/>
      <c r="AV1340" s="11"/>
      <c r="AW1340" s="11"/>
      <c r="BB1340" s="9"/>
      <c r="BC1340" s="11"/>
      <c r="BF1340" s="9"/>
      <c r="CF1340" s="12"/>
      <c r="CH1340" s="9"/>
    </row>
    <row r="1341" spans="6:86" x14ac:dyDescent="0.25">
      <c r="F1341" s="9"/>
      <c r="G1341" s="9"/>
      <c r="AA1341" s="10"/>
      <c r="AV1341" s="11"/>
      <c r="AW1341" s="11"/>
      <c r="BB1341" s="9"/>
      <c r="BC1341" s="11"/>
      <c r="BF1341" s="9"/>
      <c r="CF1341" s="12"/>
      <c r="CH1341" s="9"/>
    </row>
    <row r="1342" spans="6:86" x14ac:dyDescent="0.25">
      <c r="F1342" s="9"/>
      <c r="G1342" s="9"/>
      <c r="AA1342" s="10"/>
      <c r="AV1342" s="11"/>
      <c r="AW1342" s="11"/>
      <c r="BB1342" s="9"/>
      <c r="BC1342" s="11"/>
      <c r="BF1342" s="9"/>
      <c r="CF1342" s="12"/>
      <c r="CH1342" s="9"/>
    </row>
    <row r="1343" spans="6:86" x14ac:dyDescent="0.25">
      <c r="F1343" s="9"/>
      <c r="G1343" s="9"/>
      <c r="AA1343" s="10"/>
      <c r="AV1343" s="11"/>
      <c r="AW1343" s="11"/>
      <c r="BB1343" s="9"/>
      <c r="BC1343" s="11"/>
      <c r="BF1343" s="9"/>
      <c r="CF1343" s="12"/>
      <c r="CH1343" s="9"/>
    </row>
    <row r="1344" spans="6:86" x14ac:dyDescent="0.25">
      <c r="F1344" s="9"/>
      <c r="G1344" s="9"/>
      <c r="AA1344" s="10"/>
      <c r="AV1344" s="11"/>
      <c r="AW1344" s="11"/>
      <c r="BB1344" s="9"/>
      <c r="BC1344" s="11"/>
      <c r="BF1344" s="9"/>
      <c r="CF1344" s="12"/>
      <c r="CH1344" s="9"/>
    </row>
    <row r="1345" spans="6:92" x14ac:dyDescent="0.25">
      <c r="F1345" s="9"/>
      <c r="G1345" s="9"/>
      <c r="AA1345" s="10"/>
      <c r="AV1345" s="11"/>
      <c r="AW1345" s="11"/>
      <c r="BB1345" s="9"/>
      <c r="BC1345" s="11"/>
      <c r="BF1345" s="9"/>
      <c r="CF1345" s="12"/>
      <c r="CH1345" s="9"/>
    </row>
    <row r="1346" spans="6:92" x14ac:dyDescent="0.25">
      <c r="F1346" s="9"/>
      <c r="G1346" s="9"/>
      <c r="U1346" s="12"/>
      <c r="Z1346" s="12"/>
      <c r="AA1346" s="10"/>
      <c r="AV1346" s="11"/>
      <c r="AW1346" s="11"/>
      <c r="BB1346" s="9"/>
      <c r="BC1346" s="11"/>
      <c r="BF1346" s="9"/>
      <c r="CF1346" s="12"/>
      <c r="CH1346" s="9"/>
      <c r="CN1346" s="12"/>
    </row>
    <row r="1347" spans="6:92" x14ac:dyDescent="0.25">
      <c r="F1347" s="9"/>
      <c r="G1347" s="9"/>
      <c r="AA1347" s="10"/>
      <c r="AV1347" s="11"/>
      <c r="AW1347" s="11"/>
      <c r="BB1347" s="9"/>
      <c r="BC1347" s="11"/>
      <c r="BF1347" s="9"/>
      <c r="CF1347" s="12"/>
      <c r="CH1347" s="9"/>
    </row>
    <row r="1348" spans="6:92" x14ac:dyDescent="0.25">
      <c r="F1348" s="9"/>
      <c r="G1348" s="9"/>
      <c r="AA1348" s="10"/>
      <c r="AV1348" s="11"/>
      <c r="AW1348" s="11"/>
      <c r="BB1348" s="9"/>
      <c r="BC1348" s="11"/>
      <c r="BF1348" s="9"/>
      <c r="CF1348" s="12"/>
      <c r="CH1348" s="9"/>
    </row>
    <row r="1349" spans="6:92" x14ac:dyDescent="0.25">
      <c r="F1349" s="9"/>
      <c r="G1349" s="9"/>
      <c r="AA1349" s="10"/>
      <c r="AV1349" s="11"/>
      <c r="AW1349" s="11"/>
      <c r="BB1349" s="9"/>
      <c r="BC1349" s="11"/>
      <c r="BF1349" s="9"/>
      <c r="CF1349" s="12"/>
      <c r="CH1349" s="9"/>
    </row>
    <row r="1350" spans="6:92" x14ac:dyDescent="0.25">
      <c r="F1350" s="9"/>
      <c r="G1350" s="9"/>
      <c r="AA1350" s="10"/>
      <c r="AV1350" s="11"/>
      <c r="AW1350" s="11"/>
      <c r="BB1350" s="9"/>
      <c r="BC1350" s="11"/>
      <c r="BF1350" s="9"/>
      <c r="CF1350" s="12"/>
      <c r="CH1350" s="9"/>
    </row>
    <row r="1351" spans="6:92" x14ac:dyDescent="0.25">
      <c r="F1351" s="9"/>
      <c r="G1351" s="9"/>
      <c r="AA1351" s="10"/>
      <c r="AV1351" s="11"/>
      <c r="AW1351" s="11"/>
      <c r="BB1351" s="9"/>
      <c r="BC1351" s="11"/>
      <c r="BF1351" s="9"/>
      <c r="CF1351" s="12"/>
      <c r="CH1351" s="9"/>
    </row>
    <row r="1352" spans="6:92" x14ac:dyDescent="0.25">
      <c r="F1352" s="9"/>
      <c r="G1352" s="9"/>
      <c r="AA1352" s="10"/>
      <c r="AV1352" s="11"/>
      <c r="AW1352" s="11"/>
      <c r="BB1352" s="9"/>
      <c r="BC1352" s="11"/>
      <c r="BF1352" s="9"/>
      <c r="CF1352" s="12"/>
      <c r="CH1352" s="9"/>
    </row>
    <row r="1353" spans="6:92" x14ac:dyDescent="0.25">
      <c r="F1353" s="9"/>
      <c r="G1353" s="9"/>
      <c r="AA1353" s="10"/>
      <c r="AV1353" s="11"/>
      <c r="AW1353" s="11"/>
      <c r="BB1353" s="9"/>
      <c r="BC1353" s="11"/>
      <c r="BF1353" s="9"/>
      <c r="CF1353" s="12"/>
      <c r="CH1353" s="9"/>
    </row>
    <row r="1354" spans="6:92" x14ac:dyDescent="0.25">
      <c r="F1354" s="9"/>
      <c r="G1354" s="9"/>
      <c r="AA1354" s="10"/>
      <c r="AV1354" s="11"/>
      <c r="AW1354" s="11"/>
      <c r="BB1354" s="9"/>
      <c r="BC1354" s="11"/>
      <c r="BF1354" s="9"/>
      <c r="CF1354" s="12"/>
      <c r="CH1354" s="9"/>
    </row>
    <row r="1355" spans="6:92" x14ac:dyDescent="0.25">
      <c r="F1355" s="9"/>
      <c r="G1355" s="9"/>
      <c r="AA1355" s="10"/>
      <c r="AV1355" s="11"/>
      <c r="AW1355" s="11"/>
      <c r="BB1355" s="9"/>
      <c r="BC1355" s="11"/>
      <c r="BF1355" s="9"/>
      <c r="CH1355" s="9"/>
    </row>
    <row r="1356" spans="6:92" x14ac:dyDescent="0.25">
      <c r="F1356" s="9"/>
      <c r="G1356" s="9"/>
      <c r="AA1356" s="10"/>
      <c r="AV1356" s="11"/>
      <c r="AW1356" s="11"/>
      <c r="BB1356" s="9"/>
      <c r="BC1356" s="11"/>
      <c r="BF1356" s="9"/>
      <c r="CH1356" s="9"/>
    </row>
    <row r="1357" spans="6:92" x14ac:dyDescent="0.25">
      <c r="F1357" s="9"/>
      <c r="G1357" s="9"/>
      <c r="AA1357" s="10"/>
      <c r="AV1357" s="11"/>
      <c r="AW1357" s="11"/>
      <c r="BB1357" s="9"/>
      <c r="BC1357" s="11"/>
      <c r="BF1357" s="9"/>
      <c r="CF1357" s="12"/>
      <c r="CH1357" s="9"/>
    </row>
    <row r="1358" spans="6:92" x14ac:dyDescent="0.25">
      <c r="F1358" s="9"/>
      <c r="G1358" s="9"/>
      <c r="AA1358" s="10"/>
      <c r="AV1358" s="11"/>
      <c r="AW1358" s="11"/>
      <c r="BB1358" s="9"/>
      <c r="BC1358" s="11"/>
      <c r="BF1358" s="9"/>
      <c r="CH1358" s="9"/>
    </row>
    <row r="1359" spans="6:92" x14ac:dyDescent="0.25">
      <c r="F1359" s="9"/>
      <c r="G1359" s="9"/>
      <c r="AA1359" s="10"/>
      <c r="AV1359" s="11"/>
      <c r="AW1359" s="11"/>
      <c r="BB1359" s="9"/>
      <c r="BC1359" s="11"/>
      <c r="BF1359" s="9"/>
      <c r="CF1359" s="12"/>
      <c r="CH1359" s="9"/>
    </row>
    <row r="1360" spans="6:92" x14ac:dyDescent="0.25">
      <c r="F1360" s="9"/>
      <c r="G1360" s="9"/>
      <c r="AA1360" s="10"/>
      <c r="AV1360" s="11"/>
      <c r="AW1360" s="11"/>
      <c r="BB1360" s="9"/>
      <c r="BC1360" s="11"/>
      <c r="BF1360" s="9"/>
      <c r="CF1360" s="12"/>
      <c r="CH1360" s="9"/>
    </row>
    <row r="1361" spans="6:86" x14ac:dyDescent="0.25">
      <c r="F1361" s="9"/>
      <c r="G1361" s="9"/>
      <c r="AA1361" s="10"/>
      <c r="AV1361" s="11"/>
      <c r="AW1361" s="11"/>
      <c r="BB1361" s="9"/>
      <c r="BC1361" s="11"/>
      <c r="BF1361" s="9"/>
      <c r="CH1361" s="9"/>
    </row>
    <row r="1362" spans="6:86" x14ac:dyDescent="0.25">
      <c r="F1362" s="9"/>
      <c r="G1362" s="9"/>
      <c r="AA1362" s="10"/>
      <c r="AV1362" s="11"/>
      <c r="AW1362" s="11"/>
      <c r="BB1362" s="9"/>
      <c r="BC1362" s="11"/>
      <c r="BF1362" s="9"/>
      <c r="CF1362" s="12"/>
      <c r="CH1362" s="9"/>
    </row>
    <row r="1363" spans="6:86" x14ac:dyDescent="0.25">
      <c r="F1363" s="9"/>
      <c r="G1363" s="9"/>
      <c r="AA1363" s="10"/>
      <c r="AV1363" s="11"/>
      <c r="AW1363" s="11"/>
      <c r="BB1363" s="9"/>
      <c r="BC1363" s="11"/>
      <c r="BF1363" s="9"/>
      <c r="CF1363" s="12"/>
      <c r="CH1363" s="9"/>
    </row>
    <row r="1364" spans="6:86" x14ac:dyDescent="0.25">
      <c r="F1364" s="9"/>
      <c r="G1364" s="9"/>
      <c r="AA1364" s="10"/>
      <c r="AV1364" s="11"/>
      <c r="AW1364" s="11"/>
      <c r="BB1364" s="9"/>
      <c r="BC1364" s="11"/>
      <c r="BF1364" s="9"/>
      <c r="CF1364" s="12"/>
      <c r="CH1364" s="9"/>
    </row>
    <row r="1365" spans="6:86" x14ac:dyDescent="0.25">
      <c r="F1365" s="9"/>
      <c r="G1365" s="9"/>
      <c r="AA1365" s="10"/>
      <c r="AV1365" s="11"/>
      <c r="AW1365" s="11"/>
      <c r="BB1365" s="9"/>
      <c r="BC1365" s="11"/>
      <c r="BF1365" s="9"/>
      <c r="CF1365" s="12"/>
      <c r="CH1365" s="9"/>
    </row>
    <row r="1366" spans="6:86" x14ac:dyDescent="0.25">
      <c r="F1366" s="9"/>
      <c r="G1366" s="9"/>
      <c r="AA1366" s="10"/>
      <c r="AV1366" s="11"/>
      <c r="AW1366" s="11"/>
      <c r="BB1366" s="9"/>
      <c r="BC1366" s="11"/>
      <c r="BF1366" s="9"/>
      <c r="CF1366" s="12"/>
      <c r="CH1366" s="9"/>
    </row>
    <row r="1367" spans="6:86" x14ac:dyDescent="0.25">
      <c r="F1367" s="9"/>
      <c r="G1367" s="9"/>
      <c r="AA1367" s="10"/>
      <c r="AV1367" s="11"/>
      <c r="AW1367" s="11"/>
      <c r="BB1367" s="9"/>
      <c r="BC1367" s="11"/>
      <c r="BF1367" s="9"/>
      <c r="CF1367" s="12"/>
      <c r="CH1367" s="9"/>
    </row>
    <row r="1368" spans="6:86" x14ac:dyDescent="0.25">
      <c r="F1368" s="9"/>
      <c r="G1368" s="9"/>
      <c r="AA1368" s="10"/>
      <c r="AV1368" s="11"/>
      <c r="AW1368" s="11"/>
      <c r="BB1368" s="9"/>
      <c r="BC1368" s="11"/>
      <c r="BF1368" s="9"/>
      <c r="CF1368" s="12"/>
      <c r="CH1368" s="9"/>
    </row>
    <row r="1369" spans="6:86" x14ac:dyDescent="0.25">
      <c r="F1369" s="9"/>
      <c r="G1369" s="9"/>
      <c r="AA1369" s="10"/>
      <c r="AV1369" s="11"/>
      <c r="AW1369" s="11"/>
      <c r="BB1369" s="9"/>
      <c r="BC1369" s="11"/>
      <c r="BF1369" s="9"/>
      <c r="CH1369" s="9"/>
    </row>
    <row r="1370" spans="6:86" x14ac:dyDescent="0.25">
      <c r="F1370" s="9"/>
      <c r="G1370" s="9"/>
      <c r="AA1370" s="10"/>
      <c r="AV1370" s="11"/>
      <c r="AW1370" s="11"/>
      <c r="BB1370" s="9"/>
      <c r="BC1370" s="11"/>
      <c r="BF1370" s="9"/>
      <c r="CF1370" s="12"/>
      <c r="CH1370" s="9"/>
    </row>
    <row r="1371" spans="6:86" x14ac:dyDescent="0.25">
      <c r="F1371" s="9"/>
      <c r="G1371" s="9"/>
      <c r="AA1371" s="10"/>
      <c r="AV1371" s="11"/>
      <c r="AW1371" s="11"/>
      <c r="BB1371" s="9"/>
      <c r="BC1371" s="11"/>
      <c r="BF1371" s="9"/>
      <c r="CH1371" s="9"/>
    </row>
    <row r="1372" spans="6:86" x14ac:dyDescent="0.25">
      <c r="F1372" s="9"/>
      <c r="G1372" s="9"/>
      <c r="AA1372" s="10"/>
      <c r="AV1372" s="11"/>
      <c r="AW1372" s="11"/>
      <c r="BB1372" s="9"/>
      <c r="BC1372" s="11"/>
      <c r="BF1372" s="9"/>
      <c r="CF1372" s="12"/>
      <c r="CH1372" s="9"/>
    </row>
    <row r="1373" spans="6:86" x14ac:dyDescent="0.25">
      <c r="F1373" s="9"/>
      <c r="G1373" s="9"/>
      <c r="AA1373" s="10"/>
      <c r="AV1373" s="11"/>
      <c r="AW1373" s="11"/>
      <c r="BB1373" s="9"/>
      <c r="BC1373" s="11"/>
      <c r="BF1373" s="9"/>
      <c r="CH1373" s="9"/>
    </row>
    <row r="1374" spans="6:86" x14ac:dyDescent="0.25">
      <c r="F1374" s="9"/>
      <c r="G1374" s="9"/>
      <c r="AA1374" s="10"/>
      <c r="AV1374" s="11"/>
      <c r="AW1374" s="11"/>
      <c r="BB1374" s="9"/>
      <c r="BC1374" s="11"/>
      <c r="BF1374" s="9"/>
      <c r="CF1374" s="12"/>
      <c r="CH1374" s="9"/>
    </row>
    <row r="1375" spans="6:86" x14ac:dyDescent="0.25">
      <c r="F1375" s="9"/>
      <c r="G1375" s="9"/>
      <c r="AA1375" s="10"/>
      <c r="AV1375" s="11"/>
      <c r="AW1375" s="11"/>
      <c r="BB1375" s="9"/>
      <c r="BC1375" s="11"/>
      <c r="BF1375" s="9"/>
      <c r="CF1375" s="12"/>
      <c r="CH1375" s="9"/>
    </row>
    <row r="1376" spans="6:86" x14ac:dyDescent="0.25">
      <c r="F1376" s="9"/>
      <c r="G1376" s="9"/>
      <c r="AA1376" s="10"/>
      <c r="AV1376" s="11"/>
      <c r="AW1376" s="11"/>
      <c r="BB1376" s="9"/>
      <c r="BC1376" s="11"/>
      <c r="BF1376" s="9"/>
      <c r="CF1376" s="12"/>
      <c r="CH1376" s="9"/>
    </row>
    <row r="1377" spans="6:86" x14ac:dyDescent="0.25">
      <c r="F1377" s="9"/>
      <c r="G1377" s="9"/>
      <c r="AA1377" s="10"/>
      <c r="AV1377" s="11"/>
      <c r="AW1377" s="11"/>
      <c r="BB1377" s="9"/>
      <c r="BC1377" s="11"/>
      <c r="BF1377" s="9"/>
      <c r="CF1377" s="12"/>
      <c r="CH1377" s="9"/>
    </row>
    <row r="1378" spans="6:86" x14ac:dyDescent="0.25">
      <c r="F1378" s="9"/>
      <c r="G1378" s="9"/>
      <c r="AA1378" s="10"/>
      <c r="AV1378" s="11"/>
      <c r="AW1378" s="11"/>
      <c r="BB1378" s="9"/>
      <c r="BC1378" s="11"/>
      <c r="BF1378" s="9"/>
      <c r="CF1378" s="12"/>
      <c r="CH1378" s="9"/>
    </row>
    <row r="1379" spans="6:86" x14ac:dyDescent="0.25">
      <c r="F1379" s="9"/>
      <c r="G1379" s="9"/>
      <c r="AA1379" s="10"/>
      <c r="AV1379" s="11"/>
      <c r="AW1379" s="11"/>
      <c r="BB1379" s="9"/>
      <c r="BC1379" s="11"/>
      <c r="BF1379" s="9"/>
      <c r="CH1379" s="9"/>
    </row>
    <row r="1380" spans="6:86" x14ac:dyDescent="0.25">
      <c r="F1380" s="9"/>
      <c r="G1380" s="9"/>
      <c r="AA1380" s="10"/>
      <c r="AV1380" s="11"/>
      <c r="AW1380" s="11"/>
      <c r="BB1380" s="9"/>
      <c r="BC1380" s="11"/>
      <c r="BF1380" s="9"/>
      <c r="CF1380" s="12"/>
      <c r="CH1380" s="9"/>
    </row>
    <row r="1381" spans="6:86" x14ac:dyDescent="0.25">
      <c r="F1381" s="9"/>
      <c r="G1381" s="9"/>
      <c r="AA1381" s="10"/>
      <c r="AM1381" s="9"/>
      <c r="AV1381" s="11"/>
      <c r="AW1381" s="11"/>
      <c r="BB1381" s="9"/>
      <c r="BC1381" s="11"/>
      <c r="BF1381" s="9"/>
      <c r="CF1381" s="12"/>
      <c r="CH1381" s="9"/>
    </row>
    <row r="1382" spans="6:86" x14ac:dyDescent="0.25">
      <c r="F1382" s="9"/>
      <c r="G1382" s="9"/>
      <c r="AA1382" s="10"/>
      <c r="AM1382" s="9"/>
      <c r="AV1382" s="11"/>
      <c r="AW1382" s="11"/>
      <c r="BB1382" s="9"/>
      <c r="BC1382" s="11"/>
      <c r="BF1382" s="9"/>
      <c r="CF1382" s="12"/>
      <c r="CH1382" s="9"/>
    </row>
    <row r="1383" spans="6:86" x14ac:dyDescent="0.25">
      <c r="F1383" s="9"/>
      <c r="G1383" s="9"/>
      <c r="AA1383" s="10"/>
      <c r="AM1383" s="9"/>
      <c r="AV1383" s="11"/>
      <c r="AW1383" s="11"/>
      <c r="BB1383" s="9"/>
      <c r="BC1383" s="11"/>
      <c r="BF1383" s="9"/>
      <c r="CF1383" s="12"/>
      <c r="CH1383" s="9"/>
    </row>
    <row r="1384" spans="6:86" x14ac:dyDescent="0.25">
      <c r="F1384" s="9"/>
      <c r="G1384" s="9"/>
      <c r="AA1384" s="10"/>
      <c r="AM1384" s="9"/>
      <c r="AV1384" s="11"/>
      <c r="AW1384" s="11"/>
      <c r="BB1384" s="9"/>
      <c r="BC1384" s="11"/>
      <c r="BF1384" s="9"/>
      <c r="CF1384" s="12"/>
      <c r="CH1384" s="9"/>
    </row>
    <row r="1385" spans="6:86" x14ac:dyDescent="0.25">
      <c r="F1385" s="9"/>
      <c r="G1385" s="9"/>
      <c r="AA1385" s="10"/>
      <c r="AM1385" s="9"/>
      <c r="AV1385" s="11"/>
      <c r="AW1385" s="11"/>
      <c r="BB1385" s="9"/>
      <c r="BC1385" s="11"/>
      <c r="BF1385" s="9"/>
      <c r="CF1385" s="12"/>
      <c r="CH1385" s="9"/>
    </row>
    <row r="1386" spans="6:86" x14ac:dyDescent="0.25">
      <c r="F1386" s="9"/>
      <c r="G1386" s="9"/>
      <c r="AA1386" s="10"/>
      <c r="AM1386" s="9"/>
      <c r="AV1386" s="11"/>
      <c r="AW1386" s="11"/>
      <c r="BB1386" s="9"/>
      <c r="BC1386" s="11"/>
      <c r="BF1386" s="9"/>
      <c r="CF1386" s="12"/>
      <c r="CH1386" s="9"/>
    </row>
    <row r="1387" spans="6:86" x14ac:dyDescent="0.25">
      <c r="F1387" s="9"/>
      <c r="G1387" s="9"/>
      <c r="AA1387" s="10"/>
      <c r="AM1387" s="9"/>
      <c r="AV1387" s="11"/>
      <c r="AW1387" s="11"/>
      <c r="BB1387" s="9"/>
      <c r="BC1387" s="11"/>
      <c r="BF1387" s="9"/>
      <c r="CF1387" s="12"/>
      <c r="CH1387" s="9"/>
    </row>
    <row r="1388" spans="6:86" x14ac:dyDescent="0.25">
      <c r="F1388" s="9"/>
      <c r="G1388" s="9"/>
      <c r="AA1388" s="10"/>
      <c r="AM1388" s="9"/>
      <c r="AV1388" s="11"/>
      <c r="AW1388" s="11"/>
      <c r="BB1388" s="9"/>
      <c r="BC1388" s="11"/>
      <c r="BF1388" s="9"/>
      <c r="CF1388" s="12"/>
      <c r="CH1388" s="9"/>
    </row>
    <row r="1389" spans="6:86" x14ac:dyDescent="0.25">
      <c r="F1389" s="9"/>
      <c r="G1389" s="9"/>
      <c r="AA1389" s="10"/>
      <c r="AM1389" s="9"/>
      <c r="AV1389" s="11"/>
      <c r="AW1389" s="11"/>
      <c r="BB1389" s="9"/>
      <c r="BC1389" s="11"/>
      <c r="BF1389" s="9"/>
      <c r="CF1389" s="12"/>
      <c r="CH1389" s="9"/>
    </row>
    <row r="1390" spans="6:86" x14ac:dyDescent="0.25">
      <c r="F1390" s="9"/>
      <c r="G1390" s="9"/>
      <c r="AA1390" s="10"/>
      <c r="AM1390" s="9"/>
      <c r="AV1390" s="11"/>
      <c r="AW1390" s="11"/>
      <c r="BB1390" s="9"/>
      <c r="BC1390" s="11"/>
      <c r="BF1390" s="9"/>
      <c r="CF1390" s="12"/>
      <c r="CH1390" s="9"/>
    </row>
    <row r="1391" spans="6:86" x14ac:dyDescent="0.25">
      <c r="F1391" s="9"/>
      <c r="G1391" s="9"/>
      <c r="AA1391" s="10"/>
      <c r="AM1391" s="9"/>
      <c r="AV1391" s="11"/>
      <c r="AW1391" s="11"/>
      <c r="BB1391" s="9"/>
      <c r="BC1391" s="11"/>
      <c r="BF1391" s="9"/>
      <c r="CF1391" s="12"/>
      <c r="CH1391" s="9"/>
    </row>
    <row r="1392" spans="6:86" x14ac:dyDescent="0.25">
      <c r="F1392" s="9"/>
      <c r="G1392" s="9"/>
      <c r="AA1392" s="10"/>
      <c r="AV1392" s="11"/>
      <c r="AW1392" s="11"/>
      <c r="BB1392" s="9"/>
      <c r="BC1392" s="11"/>
      <c r="BF1392" s="9"/>
      <c r="CF1392" s="12"/>
      <c r="CH1392" s="9"/>
    </row>
    <row r="1393" spans="6:86" x14ac:dyDescent="0.25">
      <c r="F1393" s="9"/>
      <c r="G1393" s="9"/>
      <c r="AA1393" s="10"/>
      <c r="AV1393" s="11"/>
      <c r="AW1393" s="11"/>
      <c r="BB1393" s="9"/>
      <c r="BC1393" s="11"/>
      <c r="BF1393" s="9"/>
      <c r="CF1393" s="12"/>
      <c r="CH1393" s="9"/>
    </row>
    <row r="1394" spans="6:86" x14ac:dyDescent="0.25">
      <c r="F1394" s="9"/>
      <c r="G1394" s="9"/>
      <c r="AA1394" s="10"/>
      <c r="AV1394" s="11"/>
      <c r="AW1394" s="11"/>
      <c r="BB1394" s="9"/>
      <c r="BC1394" s="11"/>
      <c r="BF1394" s="9"/>
      <c r="CF1394" s="12"/>
      <c r="CH1394" s="9"/>
    </row>
    <row r="1395" spans="6:86" x14ac:dyDescent="0.25">
      <c r="F1395" s="9"/>
      <c r="G1395" s="9"/>
      <c r="AA1395" s="10"/>
      <c r="AV1395" s="11"/>
      <c r="AW1395" s="11"/>
      <c r="BB1395" s="9"/>
      <c r="BC1395" s="11"/>
      <c r="BF1395" s="9"/>
      <c r="CH1395" s="9"/>
    </row>
    <row r="1396" spans="6:86" x14ac:dyDescent="0.25">
      <c r="F1396" s="9"/>
      <c r="G1396" s="9"/>
      <c r="AA1396" s="10"/>
      <c r="AV1396" s="11"/>
      <c r="AW1396" s="11"/>
      <c r="BB1396" s="9"/>
      <c r="BC1396" s="11"/>
      <c r="BF1396" s="9"/>
      <c r="CF1396" s="12"/>
      <c r="CH1396" s="9"/>
    </row>
    <row r="1397" spans="6:86" x14ac:dyDescent="0.25">
      <c r="F1397" s="9"/>
      <c r="G1397" s="9"/>
      <c r="AA1397" s="10"/>
      <c r="AV1397" s="11"/>
      <c r="AW1397" s="11"/>
      <c r="BB1397" s="9"/>
      <c r="BC1397" s="11"/>
      <c r="BF1397" s="9"/>
      <c r="CF1397" s="12"/>
      <c r="CH1397" s="9"/>
    </row>
    <row r="1398" spans="6:86" x14ac:dyDescent="0.25">
      <c r="F1398" s="9"/>
      <c r="G1398" s="9"/>
      <c r="AA1398" s="10"/>
      <c r="AV1398" s="11"/>
      <c r="AW1398" s="11"/>
      <c r="BB1398" s="9"/>
      <c r="BC1398" s="11"/>
      <c r="BF1398" s="9"/>
      <c r="CF1398" s="12"/>
      <c r="CH1398" s="9"/>
    </row>
    <row r="1399" spans="6:86" x14ac:dyDescent="0.25">
      <c r="F1399" s="9"/>
      <c r="G1399" s="9"/>
      <c r="AA1399" s="10"/>
      <c r="AV1399" s="11"/>
      <c r="AW1399" s="11"/>
      <c r="BB1399" s="9"/>
      <c r="BC1399" s="11"/>
      <c r="BF1399" s="9"/>
      <c r="CH1399" s="9"/>
    </row>
    <row r="1400" spans="6:86" x14ac:dyDescent="0.25">
      <c r="F1400" s="9"/>
      <c r="G1400" s="9"/>
      <c r="AA1400" s="10"/>
      <c r="AV1400" s="11"/>
      <c r="AW1400" s="11"/>
      <c r="BB1400" s="9"/>
      <c r="BC1400" s="11"/>
      <c r="BF1400" s="9"/>
      <c r="CF1400" s="12"/>
      <c r="CH1400" s="9"/>
    </row>
    <row r="1401" spans="6:86" x14ac:dyDescent="0.25">
      <c r="F1401" s="9"/>
      <c r="G1401" s="9"/>
      <c r="AA1401" s="10"/>
      <c r="AV1401" s="11"/>
      <c r="AW1401" s="11"/>
      <c r="BB1401" s="9"/>
      <c r="BC1401" s="11"/>
      <c r="BF1401" s="9"/>
      <c r="CF1401" s="12"/>
      <c r="CH1401" s="9"/>
    </row>
    <row r="1402" spans="6:86" x14ac:dyDescent="0.25">
      <c r="F1402" s="9"/>
      <c r="G1402" s="9"/>
      <c r="AA1402" s="10"/>
      <c r="AV1402" s="11"/>
      <c r="AW1402" s="11"/>
      <c r="BB1402" s="9"/>
      <c r="BC1402" s="11"/>
      <c r="BF1402" s="9"/>
      <c r="CF1402" s="12"/>
      <c r="CH1402" s="9"/>
    </row>
    <row r="1403" spans="6:86" x14ac:dyDescent="0.25">
      <c r="F1403" s="9"/>
      <c r="G1403" s="9"/>
      <c r="AA1403" s="10"/>
      <c r="AV1403" s="11"/>
      <c r="AW1403" s="11"/>
      <c r="BB1403" s="9"/>
      <c r="BC1403" s="11"/>
      <c r="BF1403" s="9"/>
      <c r="CF1403" s="12"/>
      <c r="CH1403" s="9"/>
    </row>
    <row r="1404" spans="6:86" x14ac:dyDescent="0.25">
      <c r="F1404" s="9"/>
      <c r="G1404" s="9"/>
      <c r="AA1404" s="10"/>
      <c r="AV1404" s="11"/>
      <c r="AW1404" s="11"/>
      <c r="BB1404" s="9"/>
      <c r="BC1404" s="11"/>
      <c r="BF1404" s="9"/>
      <c r="CF1404" s="12"/>
      <c r="CH1404" s="9"/>
    </row>
    <row r="1405" spans="6:86" x14ac:dyDescent="0.25">
      <c r="F1405" s="9"/>
      <c r="G1405" s="9"/>
      <c r="AA1405" s="10"/>
      <c r="AV1405" s="11"/>
      <c r="AW1405" s="11"/>
      <c r="BB1405" s="9"/>
      <c r="BC1405" s="11"/>
      <c r="BF1405" s="9"/>
      <c r="CF1405" s="12"/>
      <c r="CH1405" s="9"/>
    </row>
    <row r="1406" spans="6:86" x14ac:dyDescent="0.25">
      <c r="F1406" s="9"/>
      <c r="G1406" s="9"/>
      <c r="AA1406" s="10"/>
      <c r="AV1406" s="11"/>
      <c r="AW1406" s="11"/>
      <c r="BB1406" s="9"/>
      <c r="BC1406" s="11"/>
      <c r="BF1406" s="9"/>
      <c r="CF1406" s="12"/>
      <c r="CH1406" s="9"/>
    </row>
    <row r="1407" spans="6:86" x14ac:dyDescent="0.25">
      <c r="F1407" s="9"/>
      <c r="G1407" s="9"/>
      <c r="AA1407" s="10"/>
      <c r="AV1407" s="11"/>
      <c r="AW1407" s="11"/>
      <c r="BB1407" s="9"/>
      <c r="BC1407" s="11"/>
      <c r="BF1407" s="9"/>
      <c r="CF1407" s="12"/>
      <c r="CH1407" s="9"/>
    </row>
    <row r="1408" spans="6:86" x14ac:dyDescent="0.25">
      <c r="F1408" s="9"/>
      <c r="G1408" s="9"/>
      <c r="AA1408" s="10"/>
      <c r="AV1408" s="11"/>
      <c r="AW1408" s="11"/>
      <c r="BB1408" s="9"/>
      <c r="BC1408" s="11"/>
      <c r="BF1408" s="9"/>
      <c r="CF1408" s="12"/>
      <c r="CH1408" s="9"/>
    </row>
    <row r="1409" spans="6:86" x14ac:dyDescent="0.25">
      <c r="F1409" s="9"/>
      <c r="G1409" s="9"/>
      <c r="AA1409" s="10"/>
      <c r="AV1409" s="11"/>
      <c r="AW1409" s="11"/>
      <c r="BB1409" s="9"/>
      <c r="BC1409" s="11"/>
      <c r="BF1409" s="9"/>
      <c r="CF1409" s="12"/>
      <c r="CH1409" s="9"/>
    </row>
    <row r="1410" spans="6:86" x14ac:dyDescent="0.25">
      <c r="F1410" s="9"/>
      <c r="G1410" s="9"/>
      <c r="AA1410" s="10"/>
      <c r="AV1410" s="11"/>
      <c r="AW1410" s="11"/>
      <c r="BB1410" s="9"/>
      <c r="BC1410" s="11"/>
      <c r="BF1410" s="9"/>
      <c r="CF1410" s="12"/>
      <c r="CH1410" s="9"/>
    </row>
    <row r="1411" spans="6:86" x14ac:dyDescent="0.25">
      <c r="F1411" s="9"/>
      <c r="G1411" s="9"/>
      <c r="AA1411" s="10"/>
      <c r="AV1411" s="11"/>
      <c r="AW1411" s="11"/>
      <c r="BB1411" s="9"/>
      <c r="BC1411" s="11"/>
      <c r="BF1411" s="9"/>
      <c r="CF1411" s="12"/>
      <c r="CH1411" s="9"/>
    </row>
    <row r="1412" spans="6:86" x14ac:dyDescent="0.25">
      <c r="F1412" s="9"/>
      <c r="G1412" s="9"/>
      <c r="AA1412" s="10"/>
      <c r="AV1412" s="11"/>
      <c r="AW1412" s="11"/>
      <c r="BB1412" s="9"/>
      <c r="BC1412" s="11"/>
      <c r="BF1412" s="9"/>
      <c r="CF1412" s="12"/>
      <c r="CH1412" s="9"/>
    </row>
    <row r="1413" spans="6:86" x14ac:dyDescent="0.25">
      <c r="F1413" s="9"/>
      <c r="G1413" s="9"/>
      <c r="AA1413" s="10"/>
      <c r="AV1413" s="11"/>
      <c r="AW1413" s="11"/>
      <c r="BB1413" s="9"/>
      <c r="BC1413" s="11"/>
      <c r="BF1413" s="9"/>
      <c r="CH1413" s="9"/>
    </row>
    <row r="1414" spans="6:86" x14ac:dyDescent="0.25">
      <c r="F1414" s="9"/>
      <c r="G1414" s="9"/>
      <c r="AA1414" s="10"/>
      <c r="AV1414" s="11"/>
      <c r="AW1414" s="11"/>
      <c r="BB1414" s="9"/>
      <c r="BC1414" s="11"/>
      <c r="BF1414" s="9"/>
      <c r="CF1414" s="12"/>
      <c r="CH1414" s="9"/>
    </row>
    <row r="1415" spans="6:86" x14ac:dyDescent="0.25">
      <c r="F1415" s="9"/>
      <c r="G1415" s="9"/>
      <c r="AA1415" s="10"/>
      <c r="AV1415" s="11"/>
      <c r="AW1415" s="11"/>
      <c r="BB1415" s="9"/>
      <c r="BC1415" s="11"/>
      <c r="BF1415" s="9"/>
      <c r="CF1415" s="12"/>
      <c r="CH1415" s="9"/>
    </row>
    <row r="1416" spans="6:86" x14ac:dyDescent="0.25">
      <c r="F1416" s="9"/>
      <c r="G1416" s="9"/>
      <c r="AA1416" s="10"/>
      <c r="AV1416" s="11"/>
      <c r="AW1416" s="11"/>
      <c r="BB1416" s="9"/>
      <c r="BC1416" s="11"/>
      <c r="BF1416" s="9"/>
      <c r="CH1416" s="9"/>
    </row>
    <row r="1417" spans="6:86" x14ac:dyDescent="0.25">
      <c r="F1417" s="9"/>
      <c r="G1417" s="9"/>
      <c r="AA1417" s="10"/>
      <c r="AV1417" s="11"/>
      <c r="AW1417" s="11"/>
      <c r="BB1417" s="9"/>
      <c r="BC1417" s="11"/>
      <c r="BF1417" s="9"/>
      <c r="CH1417" s="9"/>
    </row>
    <row r="1418" spans="6:86" x14ac:dyDescent="0.25">
      <c r="F1418" s="9"/>
      <c r="G1418" s="9"/>
      <c r="AA1418" s="10"/>
      <c r="AV1418" s="11"/>
      <c r="AW1418" s="11"/>
      <c r="BB1418" s="9"/>
      <c r="BC1418" s="11"/>
      <c r="BF1418" s="9"/>
      <c r="CH1418" s="9"/>
    </row>
    <row r="1419" spans="6:86" x14ac:dyDescent="0.25">
      <c r="F1419" s="9"/>
      <c r="G1419" s="9"/>
      <c r="AA1419" s="10"/>
      <c r="AV1419" s="11"/>
      <c r="AW1419" s="11"/>
      <c r="BB1419" s="9"/>
      <c r="BC1419" s="11"/>
      <c r="BF1419" s="9"/>
      <c r="CF1419" s="12"/>
      <c r="CH1419" s="9"/>
    </row>
    <row r="1420" spans="6:86" x14ac:dyDescent="0.25">
      <c r="F1420" s="9"/>
      <c r="G1420" s="9"/>
      <c r="AA1420" s="10"/>
      <c r="AV1420" s="11"/>
      <c r="AW1420" s="11"/>
      <c r="BB1420" s="9"/>
      <c r="BC1420" s="11"/>
      <c r="BF1420" s="9"/>
      <c r="CF1420" s="12"/>
      <c r="CH1420" s="9"/>
    </row>
    <row r="1421" spans="6:86" x14ac:dyDescent="0.25">
      <c r="F1421" s="9"/>
      <c r="G1421" s="9"/>
      <c r="AA1421" s="10"/>
      <c r="AV1421" s="11"/>
      <c r="AW1421" s="11"/>
      <c r="BB1421" s="9"/>
      <c r="BC1421" s="11"/>
      <c r="BF1421" s="9"/>
      <c r="CF1421" s="12"/>
      <c r="CH1421" s="9"/>
    </row>
    <row r="1422" spans="6:86" x14ac:dyDescent="0.25">
      <c r="F1422" s="9"/>
      <c r="G1422" s="9"/>
      <c r="AA1422" s="10"/>
      <c r="AV1422" s="11"/>
      <c r="AW1422" s="11"/>
      <c r="BB1422" s="9"/>
      <c r="BC1422" s="11"/>
      <c r="BF1422" s="9"/>
      <c r="CF1422" s="12"/>
      <c r="CH1422" s="9"/>
    </row>
    <row r="1423" spans="6:86" x14ac:dyDescent="0.25">
      <c r="F1423" s="9"/>
      <c r="G1423" s="9"/>
      <c r="AA1423" s="10"/>
      <c r="AV1423" s="11"/>
      <c r="AW1423" s="11"/>
      <c r="BB1423" s="9"/>
      <c r="BC1423" s="11"/>
      <c r="BF1423" s="9"/>
      <c r="CF1423" s="12"/>
      <c r="CH1423" s="9"/>
    </row>
    <row r="1424" spans="6:86" x14ac:dyDescent="0.25">
      <c r="F1424" s="9"/>
      <c r="G1424" s="9"/>
      <c r="AA1424" s="10"/>
      <c r="AV1424" s="11"/>
      <c r="AW1424" s="11"/>
      <c r="BB1424" s="9"/>
      <c r="BC1424" s="11"/>
      <c r="BF1424" s="9"/>
      <c r="CF1424" s="12"/>
      <c r="CH1424" s="9"/>
    </row>
    <row r="1425" spans="6:86" x14ac:dyDescent="0.25">
      <c r="F1425" s="9"/>
      <c r="G1425" s="9"/>
      <c r="AA1425" s="10"/>
      <c r="AV1425" s="11"/>
      <c r="AW1425" s="11"/>
      <c r="BB1425" s="9"/>
      <c r="BC1425" s="11"/>
      <c r="BF1425" s="9"/>
      <c r="CF1425" s="12"/>
      <c r="CH1425" s="9"/>
    </row>
    <row r="1426" spans="6:86" x14ac:dyDescent="0.25">
      <c r="F1426" s="9"/>
      <c r="G1426" s="9"/>
      <c r="AA1426" s="10"/>
      <c r="AV1426" s="11"/>
      <c r="AW1426" s="11"/>
      <c r="BB1426" s="9"/>
      <c r="BC1426" s="11"/>
      <c r="BF1426" s="9"/>
      <c r="CF1426" s="12"/>
      <c r="CH1426" s="9"/>
    </row>
    <row r="1427" spans="6:86" x14ac:dyDescent="0.25">
      <c r="F1427" s="9"/>
      <c r="G1427" s="9"/>
      <c r="AA1427" s="10"/>
      <c r="AV1427" s="11"/>
      <c r="AW1427" s="11"/>
      <c r="BB1427" s="9"/>
      <c r="BC1427" s="11"/>
      <c r="BF1427" s="9"/>
      <c r="CF1427" s="12"/>
      <c r="CH1427" s="9"/>
    </row>
    <row r="1428" spans="6:86" x14ac:dyDescent="0.25">
      <c r="F1428" s="9"/>
      <c r="G1428" s="9"/>
      <c r="AA1428" s="10"/>
      <c r="AV1428" s="11"/>
      <c r="AW1428" s="11"/>
      <c r="BB1428" s="9"/>
      <c r="BC1428" s="11"/>
      <c r="BF1428" s="9"/>
      <c r="CF1428" s="12"/>
      <c r="CH1428" s="9"/>
    </row>
    <row r="1429" spans="6:86" x14ac:dyDescent="0.25">
      <c r="F1429" s="9"/>
      <c r="G1429" s="9"/>
      <c r="AA1429" s="10"/>
      <c r="AV1429" s="11"/>
      <c r="AW1429" s="11"/>
      <c r="BB1429" s="9"/>
      <c r="BC1429" s="11"/>
      <c r="BF1429" s="9"/>
      <c r="CF1429" s="12"/>
      <c r="CH1429" s="9"/>
    </row>
    <row r="1430" spans="6:86" x14ac:dyDescent="0.25">
      <c r="F1430" s="9"/>
      <c r="G1430" s="9"/>
      <c r="AA1430" s="10"/>
      <c r="AV1430" s="11"/>
      <c r="AW1430" s="11"/>
      <c r="BB1430" s="9"/>
      <c r="BC1430" s="11"/>
      <c r="BF1430" s="9"/>
      <c r="CF1430" s="12"/>
      <c r="CH1430" s="9"/>
    </row>
    <row r="1431" spans="6:86" x14ac:dyDescent="0.25">
      <c r="F1431" s="9"/>
      <c r="G1431" s="9"/>
      <c r="AA1431" s="10"/>
      <c r="AV1431" s="11"/>
      <c r="AW1431" s="11"/>
      <c r="BB1431" s="9"/>
      <c r="BC1431" s="11"/>
      <c r="BF1431" s="9"/>
      <c r="CF1431" s="12"/>
      <c r="CH1431" s="9"/>
    </row>
    <row r="1432" spans="6:86" x14ac:dyDescent="0.25">
      <c r="F1432" s="9"/>
      <c r="G1432" s="9"/>
      <c r="AA1432" s="10"/>
      <c r="AV1432" s="11"/>
      <c r="AW1432" s="11"/>
      <c r="BB1432" s="9"/>
      <c r="BC1432" s="11"/>
      <c r="BF1432" s="9"/>
      <c r="CF1432" s="12"/>
      <c r="CH1432" s="9"/>
    </row>
    <row r="1433" spans="6:86" x14ac:dyDescent="0.25">
      <c r="F1433" s="9"/>
      <c r="G1433" s="9"/>
      <c r="AA1433" s="10"/>
      <c r="AV1433" s="11"/>
      <c r="AW1433" s="11"/>
      <c r="BB1433" s="9"/>
      <c r="BC1433" s="11"/>
      <c r="BF1433" s="9"/>
      <c r="CF1433" s="12"/>
      <c r="CH1433" s="9"/>
    </row>
    <row r="1434" spans="6:86" x14ac:dyDescent="0.25">
      <c r="F1434" s="9"/>
      <c r="G1434" s="9"/>
      <c r="AA1434" s="10"/>
      <c r="AV1434" s="11"/>
      <c r="AW1434" s="11"/>
      <c r="BB1434" s="9"/>
      <c r="BC1434" s="11"/>
      <c r="BF1434" s="9"/>
      <c r="CF1434" s="12"/>
      <c r="CH1434" s="9"/>
    </row>
    <row r="1435" spans="6:86" x14ac:dyDescent="0.25">
      <c r="F1435" s="9"/>
      <c r="G1435" s="9"/>
      <c r="AA1435" s="10"/>
      <c r="AV1435" s="11"/>
      <c r="AW1435" s="11"/>
      <c r="BB1435" s="9"/>
      <c r="BC1435" s="11"/>
      <c r="BF1435" s="9"/>
      <c r="CH1435" s="9"/>
    </row>
    <row r="1436" spans="6:86" x14ac:dyDescent="0.25">
      <c r="F1436" s="9"/>
      <c r="G1436" s="9"/>
      <c r="AA1436" s="10"/>
      <c r="AV1436" s="11"/>
      <c r="AW1436" s="11"/>
      <c r="BB1436" s="9"/>
      <c r="BC1436" s="11"/>
      <c r="BF1436" s="9"/>
      <c r="CF1436" s="12"/>
      <c r="CH1436" s="9"/>
    </row>
    <row r="1437" spans="6:86" x14ac:dyDescent="0.25">
      <c r="F1437" s="9"/>
      <c r="G1437" s="9"/>
      <c r="AA1437" s="10"/>
      <c r="AV1437" s="11"/>
      <c r="AW1437" s="11"/>
      <c r="BB1437" s="9"/>
      <c r="BC1437" s="11"/>
      <c r="BF1437" s="9"/>
      <c r="CF1437" s="12"/>
      <c r="CH1437" s="9"/>
    </row>
    <row r="1438" spans="6:86" x14ac:dyDescent="0.25">
      <c r="F1438" s="9"/>
      <c r="G1438" s="9"/>
      <c r="AA1438" s="10"/>
      <c r="AV1438" s="11"/>
      <c r="AW1438" s="11"/>
      <c r="BB1438" s="9"/>
      <c r="BC1438" s="11"/>
      <c r="BF1438" s="9"/>
      <c r="CF1438" s="12"/>
      <c r="CH1438" s="9"/>
    </row>
    <row r="1439" spans="6:86" x14ac:dyDescent="0.25">
      <c r="F1439" s="9"/>
      <c r="G1439" s="9"/>
      <c r="AA1439" s="10"/>
      <c r="AV1439" s="11"/>
      <c r="AW1439" s="11"/>
      <c r="BB1439" s="9"/>
      <c r="BC1439" s="11"/>
      <c r="BF1439" s="9"/>
      <c r="CF1439" s="12"/>
      <c r="CH1439" s="9"/>
    </row>
    <row r="1440" spans="6:86" x14ac:dyDescent="0.25">
      <c r="F1440" s="9"/>
      <c r="G1440" s="9"/>
      <c r="AA1440" s="10"/>
      <c r="AV1440" s="11"/>
      <c r="AW1440" s="11"/>
      <c r="BB1440" s="9"/>
      <c r="BC1440" s="11"/>
      <c r="BF1440" s="9"/>
      <c r="CF1440" s="12"/>
      <c r="CH1440" s="9"/>
    </row>
    <row r="1441" spans="6:86" x14ac:dyDescent="0.25">
      <c r="F1441" s="9"/>
      <c r="G1441" s="9"/>
      <c r="AA1441" s="10"/>
      <c r="AV1441" s="11"/>
      <c r="AW1441" s="11"/>
      <c r="BB1441" s="9"/>
      <c r="BC1441" s="11"/>
      <c r="BF1441" s="9"/>
      <c r="CF1441" s="12"/>
      <c r="CH1441" s="9"/>
    </row>
    <row r="1442" spans="6:86" x14ac:dyDescent="0.25">
      <c r="F1442" s="9"/>
      <c r="G1442" s="9"/>
      <c r="AA1442" s="10"/>
      <c r="AV1442" s="11"/>
      <c r="AW1442" s="11"/>
      <c r="BB1442" s="9"/>
      <c r="BC1442" s="11"/>
      <c r="BF1442" s="9"/>
      <c r="CH1442" s="9"/>
    </row>
    <row r="1443" spans="6:86" x14ac:dyDescent="0.25">
      <c r="F1443" s="9"/>
      <c r="G1443" s="9"/>
      <c r="AA1443" s="10"/>
      <c r="AV1443" s="11"/>
      <c r="AW1443" s="11"/>
      <c r="BB1443" s="9"/>
      <c r="BC1443" s="11"/>
      <c r="BF1443" s="9"/>
      <c r="CF1443" s="12"/>
      <c r="CH1443" s="9"/>
    </row>
    <row r="1444" spans="6:86" x14ac:dyDescent="0.25">
      <c r="F1444" s="9"/>
      <c r="G1444" s="9"/>
      <c r="AA1444" s="10"/>
      <c r="AV1444" s="11"/>
      <c r="AW1444" s="11"/>
      <c r="BB1444" s="9"/>
      <c r="BC1444" s="11"/>
      <c r="BF1444" s="9"/>
      <c r="CF1444" s="12"/>
      <c r="CH1444" s="9"/>
    </row>
    <row r="1445" spans="6:86" x14ac:dyDescent="0.25">
      <c r="F1445" s="9"/>
      <c r="G1445" s="9"/>
      <c r="AA1445" s="10"/>
      <c r="AV1445" s="11"/>
      <c r="AW1445" s="11"/>
      <c r="BB1445" s="9"/>
      <c r="BC1445" s="11"/>
      <c r="BF1445" s="9"/>
      <c r="CF1445" s="12"/>
      <c r="CH1445" s="9"/>
    </row>
    <row r="1446" spans="6:86" x14ac:dyDescent="0.25">
      <c r="F1446" s="9"/>
      <c r="G1446" s="9"/>
      <c r="AA1446" s="10"/>
      <c r="AV1446" s="11"/>
      <c r="AW1446" s="11"/>
      <c r="BB1446" s="9"/>
      <c r="BC1446" s="11"/>
      <c r="BF1446" s="9"/>
      <c r="CF1446" s="12"/>
      <c r="CH1446" s="9"/>
    </row>
    <row r="1447" spans="6:86" x14ac:dyDescent="0.25">
      <c r="F1447" s="9"/>
      <c r="G1447" s="9"/>
      <c r="AA1447" s="10"/>
      <c r="AV1447" s="11"/>
      <c r="AW1447" s="11"/>
      <c r="BB1447" s="9"/>
      <c r="BC1447" s="11"/>
      <c r="BF1447" s="9"/>
      <c r="CF1447" s="12"/>
      <c r="CH1447" s="9"/>
    </row>
    <row r="1448" spans="6:86" x14ac:dyDescent="0.25">
      <c r="F1448" s="9"/>
      <c r="G1448" s="9"/>
      <c r="AA1448" s="10"/>
      <c r="AV1448" s="11"/>
      <c r="AW1448" s="11"/>
      <c r="BB1448" s="9"/>
      <c r="BC1448" s="11"/>
      <c r="BF1448" s="9"/>
      <c r="CF1448" s="12"/>
      <c r="CH1448" s="9"/>
    </row>
    <row r="1449" spans="6:86" x14ac:dyDescent="0.25">
      <c r="F1449" s="9"/>
      <c r="G1449" s="9"/>
      <c r="AA1449" s="10"/>
      <c r="AV1449" s="11"/>
      <c r="AW1449" s="11"/>
      <c r="BB1449" s="9"/>
      <c r="BC1449" s="11"/>
      <c r="BF1449" s="9"/>
      <c r="CF1449" s="12"/>
      <c r="CH1449" s="9"/>
    </row>
    <row r="1450" spans="6:86" x14ac:dyDescent="0.25">
      <c r="F1450" s="9"/>
      <c r="G1450" s="9"/>
      <c r="AA1450" s="10"/>
      <c r="AV1450" s="11"/>
      <c r="AW1450" s="11"/>
      <c r="BB1450" s="9"/>
      <c r="BC1450" s="11"/>
      <c r="BF1450" s="9"/>
      <c r="CF1450" s="12"/>
      <c r="CH1450" s="9"/>
    </row>
    <row r="1451" spans="6:86" x14ac:dyDescent="0.25">
      <c r="F1451" s="9"/>
      <c r="G1451" s="9"/>
      <c r="AA1451" s="10"/>
      <c r="AV1451" s="11"/>
      <c r="AW1451" s="11"/>
      <c r="BB1451" s="9"/>
      <c r="BC1451" s="11"/>
      <c r="BF1451" s="9"/>
      <c r="CH1451" s="9"/>
    </row>
    <row r="1452" spans="6:86" x14ac:dyDescent="0.25">
      <c r="F1452" s="9"/>
      <c r="G1452" s="9"/>
      <c r="AA1452" s="10"/>
      <c r="AV1452" s="11"/>
      <c r="AW1452" s="11"/>
      <c r="BB1452" s="9"/>
      <c r="BC1452" s="11"/>
      <c r="BF1452" s="9"/>
      <c r="CF1452" s="12"/>
      <c r="CH1452" s="9"/>
    </row>
    <row r="1453" spans="6:86" x14ac:dyDescent="0.25">
      <c r="F1453" s="9"/>
      <c r="G1453" s="9"/>
      <c r="AA1453" s="10"/>
      <c r="AV1453" s="11"/>
      <c r="AW1453" s="11"/>
      <c r="BB1453" s="9"/>
      <c r="BC1453" s="11"/>
      <c r="BF1453" s="9"/>
      <c r="CF1453" s="12"/>
      <c r="CH1453" s="9"/>
    </row>
    <row r="1454" spans="6:86" x14ac:dyDescent="0.25">
      <c r="F1454" s="9"/>
      <c r="G1454" s="9"/>
      <c r="AA1454" s="10"/>
      <c r="AV1454" s="11"/>
      <c r="AW1454" s="11"/>
      <c r="BB1454" s="9"/>
      <c r="BC1454" s="11"/>
      <c r="BF1454" s="9"/>
      <c r="CF1454" s="12"/>
      <c r="CH1454" s="9"/>
    </row>
    <row r="1455" spans="6:86" x14ac:dyDescent="0.25">
      <c r="F1455" s="9"/>
      <c r="G1455" s="9"/>
      <c r="AA1455" s="10"/>
      <c r="AV1455" s="11"/>
      <c r="AW1455" s="11"/>
      <c r="BB1455" s="9"/>
      <c r="BC1455" s="11"/>
      <c r="BF1455" s="9"/>
      <c r="CF1455" s="12"/>
      <c r="CH1455" s="9"/>
    </row>
    <row r="1456" spans="6:86" x14ac:dyDescent="0.25">
      <c r="F1456" s="9"/>
      <c r="G1456" s="9"/>
      <c r="AA1456" s="10"/>
      <c r="AV1456" s="11"/>
      <c r="AW1456" s="11"/>
      <c r="BB1456" s="9"/>
      <c r="BC1456" s="11"/>
      <c r="BF1456" s="9"/>
      <c r="CF1456" s="12"/>
      <c r="CH1456" s="9"/>
    </row>
    <row r="1457" spans="6:86" x14ac:dyDescent="0.25">
      <c r="F1457" s="9"/>
      <c r="G1457" s="9"/>
      <c r="AA1457" s="10"/>
      <c r="AV1457" s="11"/>
      <c r="AW1457" s="11"/>
      <c r="BB1457" s="9"/>
      <c r="BC1457" s="11"/>
      <c r="BF1457" s="9"/>
      <c r="CF1457" s="12"/>
      <c r="CH1457" s="9"/>
    </row>
    <row r="1458" spans="6:86" x14ac:dyDescent="0.25">
      <c r="F1458" s="9"/>
      <c r="G1458" s="9"/>
      <c r="AA1458" s="10"/>
      <c r="AV1458" s="11"/>
      <c r="AW1458" s="11"/>
      <c r="BB1458" s="9"/>
      <c r="BC1458" s="11"/>
      <c r="BF1458" s="9"/>
      <c r="CH1458" s="9"/>
    </row>
    <row r="1459" spans="6:86" x14ac:dyDescent="0.25">
      <c r="F1459" s="9"/>
      <c r="G1459" s="9"/>
      <c r="AA1459" s="10"/>
      <c r="AV1459" s="11"/>
      <c r="AW1459" s="11"/>
      <c r="BB1459" s="9"/>
      <c r="BC1459" s="11"/>
      <c r="BF1459" s="9"/>
      <c r="CH1459" s="9"/>
    </row>
    <row r="1460" spans="6:86" x14ac:dyDescent="0.25">
      <c r="F1460" s="9"/>
      <c r="G1460" s="9"/>
      <c r="AA1460" s="10"/>
      <c r="AV1460" s="11"/>
      <c r="AW1460" s="11"/>
      <c r="BB1460" s="9"/>
      <c r="BC1460" s="11"/>
      <c r="BF1460" s="9"/>
      <c r="CF1460" s="12"/>
      <c r="CH1460" s="9"/>
    </row>
    <row r="1461" spans="6:86" x14ac:dyDescent="0.25">
      <c r="F1461" s="9"/>
      <c r="G1461" s="9"/>
      <c r="AA1461" s="10"/>
      <c r="AV1461" s="11"/>
      <c r="AW1461" s="11"/>
      <c r="BB1461" s="9"/>
      <c r="BC1461" s="11"/>
      <c r="BF1461" s="9"/>
      <c r="CF1461" s="12"/>
      <c r="CH1461" s="9"/>
    </row>
    <row r="1462" spans="6:86" x14ac:dyDescent="0.25">
      <c r="F1462" s="9"/>
      <c r="G1462" s="9"/>
      <c r="AA1462" s="10"/>
      <c r="AV1462" s="11"/>
      <c r="AW1462" s="11"/>
      <c r="BB1462" s="9"/>
      <c r="BC1462" s="11"/>
      <c r="BF1462" s="9"/>
      <c r="CF1462" s="12"/>
      <c r="CH1462" s="9"/>
    </row>
    <row r="1463" spans="6:86" x14ac:dyDescent="0.25">
      <c r="F1463" s="9"/>
      <c r="G1463" s="9"/>
      <c r="AA1463" s="10"/>
      <c r="AV1463" s="11"/>
      <c r="AW1463" s="11"/>
      <c r="BB1463" s="9"/>
      <c r="BC1463" s="11"/>
      <c r="BF1463" s="9"/>
      <c r="CF1463" s="12"/>
      <c r="CH1463" s="9"/>
    </row>
    <row r="1464" spans="6:86" x14ac:dyDescent="0.25">
      <c r="F1464" s="9"/>
      <c r="G1464" s="9"/>
      <c r="AA1464" s="10"/>
      <c r="AV1464" s="11"/>
      <c r="AW1464" s="11"/>
      <c r="BB1464" s="9"/>
      <c r="BC1464" s="11"/>
      <c r="BF1464" s="9"/>
      <c r="CF1464" s="12"/>
      <c r="CH1464" s="9"/>
    </row>
    <row r="1465" spans="6:86" x14ac:dyDescent="0.25">
      <c r="F1465" s="9"/>
      <c r="G1465" s="9"/>
      <c r="AA1465" s="10"/>
      <c r="AV1465" s="11"/>
      <c r="AW1465" s="11"/>
      <c r="BB1465" s="9"/>
      <c r="BC1465" s="11"/>
      <c r="BF1465" s="9"/>
      <c r="CF1465" s="12"/>
      <c r="CH1465" s="9"/>
    </row>
    <row r="1466" spans="6:86" x14ac:dyDescent="0.25">
      <c r="F1466" s="9"/>
      <c r="G1466" s="9"/>
      <c r="AA1466" s="10"/>
      <c r="AV1466" s="11"/>
      <c r="AW1466" s="11"/>
      <c r="BB1466" s="9"/>
      <c r="BC1466" s="11"/>
      <c r="BF1466" s="9"/>
      <c r="CF1466" s="12"/>
      <c r="CH1466" s="9"/>
    </row>
    <row r="1467" spans="6:86" x14ac:dyDescent="0.25">
      <c r="F1467" s="9"/>
      <c r="G1467" s="9"/>
      <c r="AA1467" s="10"/>
      <c r="AV1467" s="11"/>
      <c r="AW1467" s="11"/>
      <c r="BB1467" s="9"/>
      <c r="BC1467" s="11"/>
      <c r="BF1467" s="9"/>
      <c r="CF1467" s="12"/>
      <c r="CH1467" s="9"/>
    </row>
    <row r="1468" spans="6:86" x14ac:dyDescent="0.25">
      <c r="F1468" s="9"/>
      <c r="G1468" s="9"/>
      <c r="AA1468" s="10"/>
      <c r="AV1468" s="11"/>
      <c r="AW1468" s="11"/>
      <c r="BB1468" s="9"/>
      <c r="BC1468" s="11"/>
      <c r="BF1468" s="9"/>
      <c r="CF1468" s="12"/>
      <c r="CH1468" s="9"/>
    </row>
    <row r="1469" spans="6:86" x14ac:dyDescent="0.25">
      <c r="F1469" s="9"/>
      <c r="G1469" s="9"/>
      <c r="AA1469" s="10"/>
      <c r="AV1469" s="11"/>
      <c r="AW1469" s="11"/>
      <c r="BB1469" s="9"/>
      <c r="BC1469" s="11"/>
      <c r="BF1469" s="9"/>
      <c r="CF1469" s="12"/>
      <c r="CH1469" s="9"/>
    </row>
    <row r="1470" spans="6:86" x14ac:dyDescent="0.25">
      <c r="F1470" s="9"/>
      <c r="G1470" s="9"/>
      <c r="AA1470" s="10"/>
      <c r="AV1470" s="11"/>
      <c r="AW1470" s="11"/>
      <c r="BB1470" s="9"/>
      <c r="BC1470" s="11"/>
      <c r="BF1470" s="9"/>
      <c r="CF1470" s="12"/>
      <c r="CH1470" s="9"/>
    </row>
    <row r="1471" spans="6:86" x14ac:dyDescent="0.25">
      <c r="F1471" s="9"/>
      <c r="G1471" s="9"/>
      <c r="AA1471" s="10"/>
      <c r="AV1471" s="11"/>
      <c r="AW1471" s="11"/>
      <c r="BB1471" s="9"/>
      <c r="BC1471" s="11"/>
      <c r="BF1471" s="9"/>
      <c r="CF1471" s="12"/>
      <c r="CH1471" s="9"/>
    </row>
    <row r="1472" spans="6:86" x14ac:dyDescent="0.25">
      <c r="F1472" s="9"/>
      <c r="G1472" s="9"/>
      <c r="AA1472" s="10"/>
      <c r="AV1472" s="11"/>
      <c r="AW1472" s="11"/>
      <c r="BB1472" s="9"/>
      <c r="BC1472" s="11"/>
      <c r="BF1472" s="9"/>
      <c r="CF1472" s="12"/>
      <c r="CH1472" s="9"/>
    </row>
    <row r="1473" spans="6:86" x14ac:dyDescent="0.25">
      <c r="F1473" s="9"/>
      <c r="G1473" s="9"/>
      <c r="AA1473" s="10"/>
      <c r="AV1473" s="11"/>
      <c r="AW1473" s="11"/>
      <c r="BB1473" s="9"/>
      <c r="BC1473" s="11"/>
      <c r="BF1473" s="9"/>
      <c r="CF1473" s="12"/>
      <c r="CH1473" s="9"/>
    </row>
    <row r="1474" spans="6:86" x14ac:dyDescent="0.25">
      <c r="F1474" s="9"/>
      <c r="G1474" s="9"/>
      <c r="AA1474" s="10"/>
      <c r="AV1474" s="11"/>
      <c r="AW1474" s="11"/>
      <c r="BB1474" s="9"/>
      <c r="BC1474" s="11"/>
      <c r="BF1474" s="9"/>
      <c r="CF1474" s="12"/>
      <c r="CH1474" s="9"/>
    </row>
    <row r="1475" spans="6:86" x14ac:dyDescent="0.25">
      <c r="F1475" s="9"/>
      <c r="G1475" s="9"/>
      <c r="AA1475" s="10"/>
      <c r="AV1475" s="11"/>
      <c r="AW1475" s="11"/>
      <c r="BB1475" s="9"/>
      <c r="BC1475" s="11"/>
      <c r="BF1475" s="9"/>
      <c r="CF1475" s="12"/>
      <c r="CH1475" s="9"/>
    </row>
    <row r="1476" spans="6:86" x14ac:dyDescent="0.25">
      <c r="F1476" s="9"/>
      <c r="G1476" s="9"/>
      <c r="AA1476" s="10"/>
      <c r="AV1476" s="11"/>
      <c r="AW1476" s="11"/>
      <c r="BB1476" s="9"/>
      <c r="BC1476" s="11"/>
      <c r="BF1476" s="9"/>
      <c r="CF1476" s="12"/>
      <c r="CH1476" s="9"/>
    </row>
    <row r="1477" spans="6:86" x14ac:dyDescent="0.25">
      <c r="F1477" s="9"/>
      <c r="G1477" s="9"/>
      <c r="AA1477" s="10"/>
      <c r="AV1477" s="11"/>
      <c r="AW1477" s="11"/>
      <c r="BB1477" s="9"/>
      <c r="BC1477" s="11"/>
      <c r="BF1477" s="9"/>
      <c r="CF1477" s="12"/>
      <c r="CH1477" s="9"/>
    </row>
    <row r="1478" spans="6:86" x14ac:dyDescent="0.25">
      <c r="F1478" s="9"/>
      <c r="G1478" s="9"/>
      <c r="AA1478" s="10"/>
      <c r="AV1478" s="11"/>
      <c r="AW1478" s="11"/>
      <c r="BB1478" s="9"/>
      <c r="BC1478" s="11"/>
      <c r="BF1478" s="9"/>
      <c r="CF1478" s="12"/>
      <c r="CH1478" s="9"/>
    </row>
    <row r="1479" spans="6:86" x14ac:dyDescent="0.25">
      <c r="F1479" s="9"/>
      <c r="G1479" s="9"/>
      <c r="AA1479" s="10"/>
      <c r="AV1479" s="11"/>
      <c r="AW1479" s="11"/>
      <c r="BB1479" s="9"/>
      <c r="BC1479" s="11"/>
      <c r="BF1479" s="9"/>
      <c r="CF1479" s="12"/>
      <c r="CH1479" s="9"/>
    </row>
    <row r="1480" spans="6:86" x14ac:dyDescent="0.25">
      <c r="F1480" s="9"/>
      <c r="G1480" s="9"/>
      <c r="AA1480" s="10"/>
      <c r="AV1480" s="11"/>
      <c r="AW1480" s="11"/>
      <c r="BB1480" s="9"/>
      <c r="BC1480" s="11"/>
      <c r="BF1480" s="9"/>
      <c r="CH1480" s="9"/>
    </row>
    <row r="1481" spans="6:86" x14ac:dyDescent="0.25">
      <c r="F1481" s="9"/>
      <c r="G1481" s="9"/>
      <c r="AA1481" s="10"/>
      <c r="AV1481" s="11"/>
      <c r="AW1481" s="11"/>
      <c r="BB1481" s="9"/>
      <c r="BC1481" s="11"/>
      <c r="BF1481" s="9"/>
      <c r="CH1481" s="9"/>
    </row>
    <row r="1482" spans="6:86" x14ac:dyDescent="0.25">
      <c r="F1482" s="9"/>
      <c r="G1482" s="9"/>
      <c r="AA1482" s="10"/>
      <c r="AV1482" s="11"/>
      <c r="AW1482" s="11"/>
      <c r="BB1482" s="9"/>
      <c r="BC1482" s="11"/>
      <c r="BF1482" s="9"/>
      <c r="CF1482" s="12"/>
      <c r="CH1482" s="9"/>
    </row>
    <row r="1483" spans="6:86" x14ac:dyDescent="0.25">
      <c r="F1483" s="9"/>
      <c r="G1483" s="9"/>
      <c r="AA1483" s="10"/>
      <c r="AV1483" s="11"/>
      <c r="AW1483" s="11"/>
      <c r="BB1483" s="9"/>
      <c r="BC1483" s="11"/>
      <c r="BF1483" s="9"/>
      <c r="CF1483" s="12"/>
      <c r="CH1483" s="9"/>
    </row>
    <row r="1484" spans="6:86" x14ac:dyDescent="0.25">
      <c r="F1484" s="9"/>
      <c r="G1484" s="9"/>
      <c r="AA1484" s="10"/>
      <c r="AV1484" s="11"/>
      <c r="AW1484" s="11"/>
      <c r="BB1484" s="9"/>
      <c r="BC1484" s="11"/>
      <c r="BF1484" s="9"/>
      <c r="CF1484" s="12"/>
      <c r="CH1484" s="9"/>
    </row>
    <row r="1485" spans="6:86" x14ac:dyDescent="0.25">
      <c r="F1485" s="9"/>
      <c r="G1485" s="9"/>
      <c r="AA1485" s="10"/>
      <c r="AV1485" s="11"/>
      <c r="AW1485" s="11"/>
      <c r="BB1485" s="9"/>
      <c r="BC1485" s="11"/>
      <c r="BF1485" s="9"/>
      <c r="CF1485" s="12"/>
      <c r="CH1485" s="9"/>
    </row>
    <row r="1486" spans="6:86" x14ac:dyDescent="0.25">
      <c r="F1486" s="9"/>
      <c r="G1486" s="9"/>
      <c r="AA1486" s="10"/>
      <c r="AV1486" s="11"/>
      <c r="AW1486" s="11"/>
      <c r="BB1486" s="9"/>
      <c r="BC1486" s="11"/>
      <c r="BF1486" s="9"/>
      <c r="CF1486" s="12"/>
      <c r="CH1486" s="9"/>
    </row>
    <row r="1487" spans="6:86" x14ac:dyDescent="0.25">
      <c r="F1487" s="9"/>
      <c r="G1487" s="9"/>
      <c r="AA1487" s="10"/>
      <c r="AV1487" s="11"/>
      <c r="AW1487" s="11"/>
      <c r="BB1487" s="9"/>
      <c r="BC1487" s="11"/>
      <c r="BF1487" s="9"/>
      <c r="CF1487" s="12"/>
      <c r="CH1487" s="9"/>
    </row>
    <row r="1488" spans="6:86" x14ac:dyDescent="0.25">
      <c r="F1488" s="9"/>
      <c r="G1488" s="9"/>
      <c r="AA1488" s="10"/>
      <c r="AV1488" s="11"/>
      <c r="AW1488" s="11"/>
      <c r="BB1488" s="9"/>
      <c r="BC1488" s="11"/>
      <c r="BF1488" s="9"/>
      <c r="CF1488" s="12"/>
      <c r="CH1488" s="9"/>
    </row>
    <row r="1489" spans="6:86" x14ac:dyDescent="0.25">
      <c r="F1489" s="9"/>
      <c r="G1489" s="9"/>
      <c r="AA1489" s="10"/>
      <c r="AV1489" s="11"/>
      <c r="AW1489" s="11"/>
      <c r="BB1489" s="9"/>
      <c r="BC1489" s="11"/>
      <c r="BF1489" s="9"/>
      <c r="CF1489" s="12"/>
      <c r="CH1489" s="9"/>
    </row>
    <row r="1490" spans="6:86" x14ac:dyDescent="0.25">
      <c r="F1490" s="9"/>
      <c r="G1490" s="9"/>
      <c r="AA1490" s="10"/>
      <c r="AV1490" s="11"/>
      <c r="AW1490" s="11"/>
      <c r="BB1490" s="9"/>
      <c r="BC1490" s="11"/>
      <c r="BF1490" s="9"/>
      <c r="CH1490" s="9"/>
    </row>
    <row r="1491" spans="6:86" x14ac:dyDescent="0.25">
      <c r="F1491" s="9"/>
      <c r="G1491" s="9"/>
      <c r="AA1491" s="10"/>
      <c r="AV1491" s="11"/>
      <c r="AW1491" s="11"/>
      <c r="BB1491" s="9"/>
      <c r="BC1491" s="11"/>
      <c r="BF1491" s="9"/>
      <c r="CF1491" s="12"/>
      <c r="CH1491" s="9"/>
    </row>
    <row r="1492" spans="6:86" x14ac:dyDescent="0.25">
      <c r="F1492" s="9"/>
      <c r="G1492" s="9"/>
      <c r="AA1492" s="10"/>
      <c r="AV1492" s="11"/>
      <c r="AW1492" s="11"/>
      <c r="BB1492" s="9"/>
      <c r="BC1492" s="11"/>
      <c r="BF1492" s="9"/>
      <c r="CF1492" s="12"/>
      <c r="CH1492" s="9"/>
    </row>
    <row r="1493" spans="6:86" x14ac:dyDescent="0.25">
      <c r="F1493" s="9"/>
      <c r="G1493" s="9"/>
      <c r="AA1493" s="10"/>
      <c r="AV1493" s="11"/>
      <c r="AW1493" s="11"/>
      <c r="BB1493" s="9"/>
      <c r="BC1493" s="11"/>
      <c r="BF1493" s="9"/>
      <c r="CF1493" s="12"/>
      <c r="CH1493" s="9"/>
    </row>
    <row r="1494" spans="6:86" x14ac:dyDescent="0.25">
      <c r="F1494" s="9"/>
      <c r="G1494" s="9"/>
      <c r="AA1494" s="10"/>
      <c r="AV1494" s="11"/>
      <c r="AW1494" s="11"/>
      <c r="BB1494" s="9"/>
      <c r="BC1494" s="11"/>
      <c r="BF1494" s="9"/>
      <c r="CF1494" s="12"/>
      <c r="CH1494" s="9"/>
    </row>
    <row r="1495" spans="6:86" x14ac:dyDescent="0.25">
      <c r="F1495" s="9"/>
      <c r="G1495" s="9"/>
      <c r="AA1495" s="10"/>
      <c r="AV1495" s="11"/>
      <c r="AW1495" s="11"/>
      <c r="BB1495" s="9"/>
      <c r="BC1495" s="11"/>
      <c r="BF1495" s="9"/>
      <c r="CF1495" s="12"/>
      <c r="CH1495" s="9"/>
    </row>
    <row r="1496" spans="6:86" x14ac:dyDescent="0.25">
      <c r="F1496" s="9"/>
      <c r="G1496" s="9"/>
      <c r="AA1496" s="10"/>
      <c r="AV1496" s="11"/>
      <c r="AW1496" s="11"/>
      <c r="BB1496" s="9"/>
      <c r="BC1496" s="11"/>
      <c r="BF1496" s="9"/>
      <c r="CF1496" s="12"/>
      <c r="CH1496" s="9"/>
    </row>
    <row r="1497" spans="6:86" x14ac:dyDescent="0.25">
      <c r="F1497" s="9"/>
      <c r="G1497" s="9"/>
      <c r="AA1497" s="10"/>
      <c r="AV1497" s="11"/>
      <c r="AW1497" s="11"/>
      <c r="BB1497" s="9"/>
      <c r="BC1497" s="11"/>
      <c r="BF1497" s="9"/>
      <c r="CF1497" s="12"/>
      <c r="CH1497" s="9"/>
    </row>
    <row r="1498" spans="6:86" x14ac:dyDescent="0.25">
      <c r="F1498" s="9"/>
      <c r="G1498" s="9"/>
      <c r="AA1498" s="10"/>
      <c r="AV1498" s="11"/>
      <c r="AW1498" s="11"/>
      <c r="BB1498" s="9"/>
      <c r="BC1498" s="11"/>
      <c r="BF1498" s="9"/>
      <c r="CF1498" s="12"/>
      <c r="CH1498" s="9"/>
    </row>
    <row r="1499" spans="6:86" x14ac:dyDescent="0.25">
      <c r="F1499" s="9"/>
      <c r="G1499" s="9"/>
      <c r="AA1499" s="10"/>
      <c r="AV1499" s="11"/>
      <c r="AW1499" s="11"/>
      <c r="BB1499" s="9"/>
      <c r="BC1499" s="11"/>
      <c r="BF1499" s="9"/>
      <c r="CF1499" s="12"/>
      <c r="CH1499" s="9"/>
    </row>
    <row r="1500" spans="6:86" x14ac:dyDescent="0.25">
      <c r="F1500" s="9"/>
      <c r="G1500" s="9"/>
      <c r="AA1500" s="10"/>
      <c r="AV1500" s="11"/>
      <c r="AW1500" s="11"/>
      <c r="BB1500" s="9"/>
      <c r="BC1500" s="11"/>
      <c r="BF1500" s="9"/>
      <c r="CF1500" s="12"/>
      <c r="CH1500" s="9"/>
    </row>
    <row r="1501" spans="6:86" x14ac:dyDescent="0.25">
      <c r="F1501" s="9"/>
      <c r="G1501" s="9"/>
      <c r="AA1501" s="10"/>
      <c r="AV1501" s="11"/>
      <c r="AW1501" s="11"/>
      <c r="BB1501" s="9"/>
      <c r="BC1501" s="11"/>
      <c r="BF1501" s="9"/>
      <c r="CH1501" s="9"/>
    </row>
    <row r="1502" spans="6:86" x14ac:dyDescent="0.25">
      <c r="F1502" s="9"/>
      <c r="G1502" s="9"/>
      <c r="AA1502" s="10"/>
      <c r="AV1502" s="11"/>
      <c r="AW1502" s="11"/>
      <c r="BB1502" s="9"/>
      <c r="BC1502" s="11"/>
      <c r="BF1502" s="9"/>
      <c r="CF1502" s="12"/>
      <c r="CH1502" s="9"/>
    </row>
    <row r="1503" spans="6:86" x14ac:dyDescent="0.25">
      <c r="F1503" s="9"/>
      <c r="G1503" s="9"/>
      <c r="AA1503" s="10"/>
      <c r="AV1503" s="11"/>
      <c r="AW1503" s="11"/>
      <c r="BB1503" s="9"/>
      <c r="BC1503" s="11"/>
      <c r="BF1503" s="9"/>
      <c r="CF1503" s="12"/>
      <c r="CH1503" s="9"/>
    </row>
    <row r="1504" spans="6:86" x14ac:dyDescent="0.25">
      <c r="F1504" s="9"/>
      <c r="G1504" s="9"/>
      <c r="AA1504" s="10"/>
      <c r="AV1504" s="11"/>
      <c r="AW1504" s="11"/>
      <c r="BB1504" s="9"/>
      <c r="BC1504" s="11"/>
      <c r="BF1504" s="9"/>
      <c r="CF1504" s="12"/>
      <c r="CH1504" s="9"/>
    </row>
    <row r="1505" spans="6:92" x14ac:dyDescent="0.25">
      <c r="F1505" s="9"/>
      <c r="G1505" s="9"/>
      <c r="AA1505" s="10"/>
      <c r="AV1505" s="11"/>
      <c r="AW1505" s="11"/>
      <c r="BB1505" s="9"/>
      <c r="BC1505" s="11"/>
      <c r="BF1505" s="9"/>
      <c r="CF1505" s="12"/>
      <c r="CH1505" s="9"/>
    </row>
    <row r="1506" spans="6:92" x14ac:dyDescent="0.25">
      <c r="F1506" s="9"/>
      <c r="G1506" s="9"/>
      <c r="AA1506" s="10"/>
      <c r="AV1506" s="11"/>
      <c r="AW1506" s="11"/>
      <c r="BB1506" s="9"/>
      <c r="BC1506" s="11"/>
      <c r="BF1506" s="9"/>
      <c r="CF1506" s="12"/>
      <c r="CH1506" s="9"/>
    </row>
    <row r="1507" spans="6:92" x14ac:dyDescent="0.25">
      <c r="F1507" s="9"/>
      <c r="G1507" s="9"/>
      <c r="AA1507" s="10"/>
      <c r="AV1507" s="11"/>
      <c r="AW1507" s="11"/>
      <c r="BB1507" s="9"/>
      <c r="BC1507" s="11"/>
      <c r="BF1507" s="9"/>
      <c r="CF1507" s="12"/>
      <c r="CH1507" s="9"/>
    </row>
    <row r="1508" spans="6:92" x14ac:dyDescent="0.25">
      <c r="F1508" s="9"/>
      <c r="G1508" s="9"/>
      <c r="AA1508" s="10"/>
      <c r="AV1508" s="11"/>
      <c r="AW1508" s="11"/>
      <c r="BB1508" s="9"/>
      <c r="BC1508" s="11"/>
      <c r="BF1508" s="9"/>
      <c r="CF1508" s="12"/>
      <c r="CH1508" s="9"/>
    </row>
    <row r="1509" spans="6:92" x14ac:dyDescent="0.25">
      <c r="F1509" s="9"/>
      <c r="G1509" s="9"/>
      <c r="AA1509" s="10"/>
      <c r="AV1509" s="11"/>
      <c r="AW1509" s="11"/>
      <c r="BB1509" s="9"/>
      <c r="BC1509" s="11"/>
      <c r="BF1509" s="9"/>
      <c r="CH1509" s="9"/>
    </row>
    <row r="1510" spans="6:92" x14ac:dyDescent="0.25">
      <c r="F1510" s="9"/>
      <c r="G1510" s="9"/>
      <c r="AA1510" s="10"/>
      <c r="AV1510" s="11"/>
      <c r="AW1510" s="11"/>
      <c r="BB1510" s="9"/>
      <c r="BC1510" s="11"/>
      <c r="BF1510" s="9"/>
      <c r="CF1510" s="12"/>
      <c r="CH1510" s="9"/>
    </row>
    <row r="1511" spans="6:92" x14ac:dyDescent="0.25">
      <c r="F1511" s="9"/>
      <c r="G1511" s="9"/>
      <c r="AA1511" s="10"/>
      <c r="AV1511" s="11"/>
      <c r="AW1511" s="11"/>
      <c r="BB1511" s="9"/>
      <c r="BC1511" s="11"/>
      <c r="BF1511" s="9"/>
      <c r="CF1511" s="12"/>
      <c r="CH1511" s="9"/>
    </row>
    <row r="1512" spans="6:92" x14ac:dyDescent="0.25">
      <c r="F1512" s="9"/>
      <c r="G1512" s="9"/>
      <c r="AA1512" s="10"/>
      <c r="AV1512" s="11"/>
      <c r="AW1512" s="11"/>
      <c r="BB1512" s="9"/>
      <c r="BC1512" s="11"/>
      <c r="BF1512" s="9"/>
      <c r="CF1512" s="12"/>
      <c r="CH1512" s="9"/>
    </row>
    <row r="1513" spans="6:92" x14ac:dyDescent="0.25">
      <c r="F1513" s="9"/>
      <c r="G1513" s="9"/>
      <c r="AA1513" s="10"/>
      <c r="AV1513" s="11"/>
      <c r="AW1513" s="11"/>
      <c r="BB1513" s="9"/>
      <c r="BC1513" s="11"/>
      <c r="BF1513" s="9"/>
      <c r="CF1513" s="12"/>
      <c r="CH1513" s="9"/>
    </row>
    <row r="1514" spans="6:92" x14ac:dyDescent="0.25">
      <c r="F1514" s="9"/>
      <c r="G1514" s="9"/>
      <c r="AA1514" s="10"/>
      <c r="AV1514" s="11"/>
      <c r="AW1514" s="11"/>
      <c r="BB1514" s="9"/>
      <c r="BC1514" s="11"/>
      <c r="BF1514" s="9"/>
      <c r="CF1514" s="12"/>
      <c r="CH1514" s="9"/>
    </row>
    <row r="1515" spans="6:92" x14ac:dyDescent="0.25">
      <c r="F1515" s="9"/>
      <c r="G1515" s="9"/>
      <c r="U1515" s="12"/>
      <c r="Z1515" s="12"/>
      <c r="AA1515" s="10"/>
      <c r="AV1515" s="11"/>
      <c r="AW1515" s="11"/>
      <c r="BB1515" s="9"/>
      <c r="BC1515" s="11"/>
      <c r="BF1515" s="9"/>
      <c r="CF1515" s="12"/>
      <c r="CH1515" s="9"/>
      <c r="CN1515" s="12"/>
    </row>
    <row r="1516" spans="6:92" x14ac:dyDescent="0.25">
      <c r="F1516" s="9"/>
      <c r="G1516" s="9"/>
      <c r="U1516" s="12"/>
      <c r="Z1516" s="12"/>
      <c r="AA1516" s="10"/>
      <c r="AV1516" s="11"/>
      <c r="AW1516" s="11"/>
      <c r="BB1516" s="9"/>
      <c r="BC1516" s="11"/>
      <c r="BF1516" s="9"/>
      <c r="CF1516" s="12"/>
      <c r="CH1516" s="9"/>
      <c r="CN1516" s="12"/>
    </row>
    <row r="1517" spans="6:92" x14ac:dyDescent="0.25">
      <c r="F1517" s="9"/>
      <c r="G1517" s="9"/>
      <c r="AA1517" s="10"/>
      <c r="AV1517" s="11"/>
      <c r="AW1517" s="11"/>
      <c r="BB1517" s="9"/>
      <c r="BC1517" s="11"/>
      <c r="BF1517" s="9"/>
      <c r="CF1517" s="12"/>
      <c r="CH1517" s="9"/>
    </row>
    <row r="1518" spans="6:92" x14ac:dyDescent="0.25">
      <c r="F1518" s="9"/>
      <c r="G1518" s="9"/>
      <c r="AA1518" s="10"/>
      <c r="AV1518" s="11"/>
      <c r="AW1518" s="11"/>
      <c r="BB1518" s="9"/>
      <c r="BC1518" s="11"/>
      <c r="BF1518" s="9"/>
      <c r="CF1518" s="12"/>
      <c r="CH1518" s="9"/>
      <c r="CN1518" s="12"/>
    </row>
    <row r="1519" spans="6:92" x14ac:dyDescent="0.25">
      <c r="F1519" s="9"/>
      <c r="G1519" s="9"/>
      <c r="AA1519" s="10"/>
      <c r="AV1519" s="11"/>
      <c r="AW1519" s="11"/>
      <c r="BB1519" s="9"/>
      <c r="BC1519" s="11"/>
      <c r="BF1519" s="9"/>
      <c r="CF1519" s="12"/>
      <c r="CH1519" s="9"/>
    </row>
    <row r="1520" spans="6:92" x14ac:dyDescent="0.25">
      <c r="F1520" s="9"/>
      <c r="G1520" s="9"/>
      <c r="AA1520" s="10"/>
      <c r="AV1520" s="11"/>
      <c r="AW1520" s="11"/>
      <c r="BB1520" s="9"/>
      <c r="BC1520" s="11"/>
      <c r="BF1520" s="9"/>
      <c r="CF1520" s="12"/>
      <c r="CH1520" s="9"/>
    </row>
    <row r="1521" spans="6:86" x14ac:dyDescent="0.25">
      <c r="F1521" s="9"/>
      <c r="G1521" s="9"/>
      <c r="AA1521" s="10"/>
      <c r="AV1521" s="11"/>
      <c r="AW1521" s="11"/>
      <c r="BB1521" s="9"/>
      <c r="BC1521" s="11"/>
      <c r="BF1521" s="9"/>
      <c r="CF1521" s="12"/>
      <c r="CH1521" s="9"/>
    </row>
    <row r="1522" spans="6:86" x14ac:dyDescent="0.25">
      <c r="F1522" s="9"/>
      <c r="G1522" s="9"/>
      <c r="AA1522" s="10"/>
      <c r="AV1522" s="11"/>
      <c r="AW1522" s="11"/>
      <c r="BB1522" s="9"/>
      <c r="BC1522" s="11"/>
      <c r="BF1522" s="9"/>
      <c r="CF1522" s="12"/>
      <c r="CH1522" s="9"/>
    </row>
    <row r="1523" spans="6:86" x14ac:dyDescent="0.25">
      <c r="F1523" s="9"/>
      <c r="G1523" s="9"/>
      <c r="AA1523" s="10"/>
      <c r="AV1523" s="11"/>
      <c r="AW1523" s="11"/>
      <c r="BB1523" s="9"/>
      <c r="BC1523" s="11"/>
      <c r="BF1523" s="9"/>
      <c r="CF1523" s="12"/>
      <c r="CH1523" s="9"/>
    </row>
    <row r="1524" spans="6:86" x14ac:dyDescent="0.25">
      <c r="F1524" s="9"/>
      <c r="G1524" s="9"/>
      <c r="AA1524" s="10"/>
      <c r="AV1524" s="11"/>
      <c r="AW1524" s="11"/>
      <c r="BB1524" s="9"/>
      <c r="BC1524" s="11"/>
      <c r="BF1524" s="9"/>
      <c r="CF1524" s="12"/>
      <c r="CH1524" s="9"/>
    </row>
    <row r="1525" spans="6:86" x14ac:dyDescent="0.25">
      <c r="F1525" s="9"/>
      <c r="G1525" s="9"/>
      <c r="AA1525" s="10"/>
      <c r="AV1525" s="11"/>
      <c r="AW1525" s="11"/>
      <c r="BB1525" s="9"/>
      <c r="BC1525" s="11"/>
      <c r="BF1525" s="9"/>
      <c r="CF1525" s="12"/>
      <c r="CH1525" s="9"/>
    </row>
    <row r="1526" spans="6:86" x14ac:dyDescent="0.25">
      <c r="F1526" s="9"/>
      <c r="G1526" s="9"/>
      <c r="AA1526" s="10"/>
      <c r="AV1526" s="11"/>
      <c r="AW1526" s="11"/>
      <c r="BB1526" s="9"/>
      <c r="BC1526" s="11"/>
      <c r="BF1526" s="9"/>
      <c r="CF1526" s="12"/>
      <c r="CH1526" s="9"/>
    </row>
    <row r="1527" spans="6:86" x14ac:dyDescent="0.25">
      <c r="F1527" s="9"/>
      <c r="G1527" s="9"/>
      <c r="AA1527" s="10"/>
      <c r="AV1527" s="11"/>
      <c r="AW1527" s="11"/>
      <c r="BB1527" s="9"/>
      <c r="BC1527" s="11"/>
      <c r="BF1527" s="9"/>
      <c r="CF1527" s="12"/>
      <c r="CH1527" s="9"/>
    </row>
    <row r="1528" spans="6:86" x14ac:dyDescent="0.25">
      <c r="F1528" s="9"/>
      <c r="G1528" s="9"/>
      <c r="AA1528" s="10"/>
      <c r="AV1528" s="11"/>
      <c r="AW1528" s="11"/>
      <c r="BB1528" s="9"/>
      <c r="BC1528" s="11"/>
      <c r="BF1528" s="9"/>
      <c r="CF1528" s="12"/>
      <c r="CH1528" s="9"/>
    </row>
    <row r="1529" spans="6:86" x14ac:dyDescent="0.25">
      <c r="F1529" s="9"/>
      <c r="G1529" s="9"/>
      <c r="AA1529" s="10"/>
      <c r="AV1529" s="11"/>
      <c r="AW1529" s="11"/>
      <c r="BB1529" s="9"/>
      <c r="BC1529" s="11"/>
      <c r="BF1529" s="9"/>
      <c r="CF1529" s="12"/>
      <c r="CH1529" s="9"/>
    </row>
    <row r="1530" spans="6:86" x14ac:dyDescent="0.25">
      <c r="F1530" s="9"/>
      <c r="G1530" s="9"/>
      <c r="AA1530" s="10"/>
      <c r="AV1530" s="11"/>
      <c r="AW1530" s="11"/>
      <c r="BB1530" s="9"/>
      <c r="BC1530" s="11"/>
      <c r="BF1530" s="9"/>
      <c r="CF1530" s="12"/>
      <c r="CH1530" s="9"/>
    </row>
    <row r="1531" spans="6:86" x14ac:dyDescent="0.25">
      <c r="F1531" s="9"/>
      <c r="G1531" s="9"/>
      <c r="AA1531" s="10"/>
      <c r="AV1531" s="11"/>
      <c r="AW1531" s="11"/>
      <c r="BB1531" s="9"/>
      <c r="BC1531" s="11"/>
      <c r="BF1531" s="9"/>
      <c r="CF1531" s="12"/>
      <c r="CH1531" s="9"/>
    </row>
    <row r="1532" spans="6:86" x14ac:dyDescent="0.25">
      <c r="F1532" s="9"/>
      <c r="G1532" s="9"/>
      <c r="AA1532" s="10"/>
      <c r="AV1532" s="11"/>
      <c r="AW1532" s="11"/>
      <c r="BB1532" s="9"/>
      <c r="BC1532" s="11"/>
      <c r="BF1532" s="9"/>
      <c r="CF1532" s="12"/>
      <c r="CH1532" s="9"/>
    </row>
    <row r="1533" spans="6:86" x14ac:dyDescent="0.25">
      <c r="F1533" s="9"/>
      <c r="G1533" s="9"/>
      <c r="AA1533" s="10"/>
      <c r="AV1533" s="11"/>
      <c r="AW1533" s="11"/>
      <c r="BB1533" s="9"/>
      <c r="BC1533" s="11"/>
      <c r="BF1533" s="9"/>
      <c r="CF1533" s="12"/>
      <c r="CH1533" s="9"/>
    </row>
    <row r="1534" spans="6:86" x14ac:dyDescent="0.25">
      <c r="F1534" s="9"/>
      <c r="G1534" s="9"/>
      <c r="AA1534" s="10"/>
      <c r="AV1534" s="11"/>
      <c r="AW1534" s="11"/>
      <c r="BB1534" s="9"/>
      <c r="BC1534" s="11"/>
      <c r="BF1534" s="9"/>
      <c r="CF1534" s="12"/>
      <c r="CH1534" s="9"/>
    </row>
    <row r="1535" spans="6:86" x14ac:dyDescent="0.25">
      <c r="F1535" s="9"/>
      <c r="G1535" s="9"/>
      <c r="AA1535" s="10"/>
      <c r="AV1535" s="11"/>
      <c r="AW1535" s="11"/>
      <c r="BB1535" s="9"/>
      <c r="BC1535" s="11"/>
      <c r="BF1535" s="9"/>
      <c r="CF1535" s="12"/>
      <c r="CH1535" s="9"/>
    </row>
    <row r="1536" spans="6:86" x14ac:dyDescent="0.25">
      <c r="F1536" s="9"/>
      <c r="G1536" s="9"/>
      <c r="AA1536" s="10"/>
      <c r="AV1536" s="11"/>
      <c r="AW1536" s="11"/>
      <c r="BB1536" s="9"/>
      <c r="BC1536" s="11"/>
      <c r="BF1536" s="9"/>
      <c r="CF1536" s="12"/>
      <c r="CH1536" s="9"/>
    </row>
    <row r="1537" spans="6:86" x14ac:dyDescent="0.25">
      <c r="F1537" s="9"/>
      <c r="G1537" s="9"/>
      <c r="AA1537" s="10"/>
      <c r="AV1537" s="11"/>
      <c r="AW1537" s="11"/>
      <c r="BB1537" s="9"/>
      <c r="BC1537" s="11"/>
      <c r="BF1537" s="9"/>
      <c r="CF1537" s="12"/>
      <c r="CH1537" s="9"/>
    </row>
    <row r="1538" spans="6:86" x14ac:dyDescent="0.25">
      <c r="F1538" s="9"/>
      <c r="G1538" s="9"/>
      <c r="AA1538" s="10"/>
      <c r="AV1538" s="11"/>
      <c r="AW1538" s="11"/>
      <c r="BB1538" s="9"/>
      <c r="BC1538" s="11"/>
      <c r="BF1538" s="9"/>
      <c r="CF1538" s="12"/>
      <c r="CH1538" s="9"/>
    </row>
    <row r="1539" spans="6:86" x14ac:dyDescent="0.25">
      <c r="F1539" s="9"/>
      <c r="G1539" s="9"/>
      <c r="AA1539" s="10"/>
      <c r="AV1539" s="11"/>
      <c r="AW1539" s="11"/>
      <c r="BB1539" s="9"/>
      <c r="BC1539" s="11"/>
      <c r="BF1539" s="9"/>
    </row>
    <row r="1540" spans="6:86" x14ac:dyDescent="0.25">
      <c r="F1540" s="9"/>
      <c r="G1540" s="9"/>
      <c r="AA1540" s="10"/>
      <c r="AV1540" s="11"/>
      <c r="AW1540" s="11"/>
      <c r="BB1540" s="9"/>
      <c r="BC1540" s="11"/>
      <c r="BF1540" s="9"/>
      <c r="CH1540" s="9"/>
    </row>
    <row r="1541" spans="6:86" x14ac:dyDescent="0.25">
      <c r="F1541" s="9"/>
      <c r="G1541" s="9"/>
      <c r="AA1541" s="10"/>
      <c r="AV1541" s="11"/>
      <c r="AW1541" s="11"/>
      <c r="BB1541" s="9"/>
      <c r="BC1541" s="11"/>
      <c r="BF1541" s="9"/>
      <c r="CF1541" s="12"/>
      <c r="CH1541" s="9"/>
    </row>
    <row r="1542" spans="6:86" x14ac:dyDescent="0.25">
      <c r="F1542" s="9"/>
      <c r="G1542" s="9"/>
      <c r="AA1542" s="10"/>
      <c r="AV1542" s="11"/>
      <c r="AW1542" s="11"/>
      <c r="BB1542" s="9"/>
      <c r="BC1542" s="11"/>
      <c r="BF1542" s="9"/>
      <c r="CF1542" s="12"/>
      <c r="CH1542" s="9"/>
    </row>
    <row r="1543" spans="6:86" x14ac:dyDescent="0.25">
      <c r="F1543" s="9"/>
      <c r="G1543" s="9"/>
      <c r="AA1543" s="10"/>
      <c r="AV1543" s="11"/>
      <c r="AW1543" s="11"/>
      <c r="BB1543" s="9"/>
      <c r="BC1543" s="11"/>
      <c r="BF1543" s="9"/>
      <c r="CF1543" s="12"/>
      <c r="CH1543" s="9"/>
    </row>
    <row r="1544" spans="6:86" x14ac:dyDescent="0.25">
      <c r="F1544" s="9"/>
      <c r="G1544" s="9"/>
      <c r="AA1544" s="10"/>
      <c r="AV1544" s="11"/>
      <c r="AW1544" s="11"/>
      <c r="BB1544" s="9"/>
      <c r="BC1544" s="11"/>
      <c r="BF1544" s="9"/>
      <c r="CF1544" s="12"/>
      <c r="CH1544" s="9"/>
    </row>
    <row r="1545" spans="6:86" x14ac:dyDescent="0.25">
      <c r="F1545" s="9"/>
      <c r="G1545" s="9"/>
      <c r="AA1545" s="10"/>
      <c r="AV1545" s="11"/>
      <c r="AW1545" s="11"/>
      <c r="BB1545" s="9"/>
      <c r="BC1545" s="11"/>
      <c r="BF1545" s="9"/>
      <c r="CF1545" s="12"/>
      <c r="CH1545" s="9"/>
    </row>
    <row r="1546" spans="6:86" x14ac:dyDescent="0.25">
      <c r="F1546" s="9"/>
      <c r="G1546" s="9"/>
      <c r="AA1546" s="10"/>
      <c r="AV1546" s="11"/>
      <c r="AW1546" s="11"/>
      <c r="BB1546" s="9"/>
      <c r="BC1546" s="11"/>
      <c r="BF1546" s="9"/>
      <c r="CF1546" s="12"/>
      <c r="CH1546" s="9"/>
    </row>
    <row r="1547" spans="6:86" x14ac:dyDescent="0.25">
      <c r="F1547" s="9"/>
      <c r="G1547" s="9"/>
      <c r="AA1547" s="10"/>
      <c r="AV1547" s="11"/>
      <c r="AW1547" s="11"/>
      <c r="BB1547" s="9"/>
      <c r="BC1547" s="11"/>
      <c r="BF1547" s="9"/>
      <c r="CF1547" s="12"/>
      <c r="CH1547" s="9"/>
    </row>
    <row r="1548" spans="6:86" x14ac:dyDescent="0.25">
      <c r="F1548" s="9"/>
      <c r="G1548" s="9"/>
      <c r="AA1548" s="10"/>
      <c r="AV1548" s="11"/>
      <c r="AW1548" s="11"/>
      <c r="BB1548" s="9"/>
      <c r="BC1548" s="11"/>
      <c r="BF1548" s="9"/>
      <c r="CF1548" s="12"/>
      <c r="CH1548" s="9"/>
    </row>
    <row r="1549" spans="6:86" x14ac:dyDescent="0.25">
      <c r="F1549" s="9"/>
      <c r="G1549" s="9"/>
      <c r="AA1549" s="10"/>
      <c r="AV1549" s="11"/>
      <c r="AW1549" s="11"/>
      <c r="BB1549" s="9"/>
      <c r="BC1549" s="11"/>
      <c r="BF1549" s="9"/>
      <c r="CH1549" s="9"/>
    </row>
    <row r="1550" spans="6:86" x14ac:dyDescent="0.25">
      <c r="F1550" s="9"/>
      <c r="G1550" s="9"/>
      <c r="AA1550" s="10"/>
      <c r="AV1550" s="11"/>
      <c r="AW1550" s="11"/>
      <c r="BB1550" s="9"/>
      <c r="BC1550" s="11"/>
      <c r="BF1550" s="9"/>
      <c r="CF1550" s="12"/>
      <c r="CH1550" s="9"/>
    </row>
    <row r="1551" spans="6:86" x14ac:dyDescent="0.25">
      <c r="F1551" s="9"/>
      <c r="G1551" s="9"/>
      <c r="AA1551" s="10"/>
      <c r="AV1551" s="11"/>
      <c r="AW1551" s="11"/>
      <c r="BB1551" s="9"/>
      <c r="BC1551" s="11"/>
      <c r="BF1551" s="9"/>
      <c r="CF1551" s="12"/>
      <c r="CH1551" s="9"/>
    </row>
    <row r="1552" spans="6:86" x14ac:dyDescent="0.25">
      <c r="F1552" s="9"/>
      <c r="G1552" s="9"/>
      <c r="AA1552" s="10"/>
      <c r="AV1552" s="11"/>
      <c r="AW1552" s="11"/>
      <c r="BB1552" s="9"/>
      <c r="BC1552" s="11"/>
      <c r="BF1552" s="9"/>
      <c r="CF1552" s="12"/>
      <c r="CH1552" s="9"/>
    </row>
    <row r="1553" spans="6:86" x14ac:dyDescent="0.25">
      <c r="F1553" s="9"/>
      <c r="G1553" s="9"/>
      <c r="AA1553" s="10"/>
      <c r="AV1553" s="11"/>
      <c r="AW1553" s="11"/>
      <c r="BB1553" s="9"/>
      <c r="BC1553" s="11"/>
      <c r="BF1553" s="9"/>
      <c r="CF1553" s="12"/>
      <c r="CH1553" s="9"/>
    </row>
    <row r="1554" spans="6:86" x14ac:dyDescent="0.25">
      <c r="F1554" s="9"/>
      <c r="G1554" s="9"/>
      <c r="AA1554" s="10"/>
      <c r="AV1554" s="11"/>
      <c r="AW1554" s="11"/>
      <c r="BB1554" s="9"/>
      <c r="BC1554" s="11"/>
      <c r="BF1554" s="9"/>
      <c r="CF1554" s="12"/>
      <c r="CH1554" s="9"/>
    </row>
    <row r="1555" spans="6:86" x14ac:dyDescent="0.25">
      <c r="F1555" s="9"/>
      <c r="G1555" s="9"/>
      <c r="AA1555" s="10"/>
      <c r="AV1555" s="11"/>
      <c r="AW1555" s="11"/>
      <c r="BB1555" s="9"/>
      <c r="BC1555" s="11"/>
      <c r="BF1555" s="9"/>
      <c r="CF1555" s="12"/>
      <c r="CH1555" s="9"/>
    </row>
    <row r="1556" spans="6:86" x14ac:dyDescent="0.25">
      <c r="F1556" s="9"/>
      <c r="G1556" s="9"/>
      <c r="AA1556" s="10"/>
      <c r="AV1556" s="11"/>
      <c r="AW1556" s="11"/>
      <c r="BB1556" s="9"/>
      <c r="BC1556" s="11"/>
      <c r="BF1556" s="9"/>
      <c r="CF1556" s="12"/>
      <c r="CH1556" s="9"/>
    </row>
    <row r="1557" spans="6:86" x14ac:dyDescent="0.25">
      <c r="F1557" s="9"/>
      <c r="G1557" s="9"/>
      <c r="AA1557" s="10"/>
      <c r="AV1557" s="11"/>
      <c r="AW1557" s="11"/>
      <c r="BB1557" s="9"/>
      <c r="BC1557" s="11"/>
      <c r="BF1557" s="9"/>
      <c r="CF1557" s="12"/>
      <c r="CH1557" s="9"/>
    </row>
    <row r="1558" spans="6:86" x14ac:dyDescent="0.25">
      <c r="F1558" s="9"/>
      <c r="G1558" s="9"/>
      <c r="AA1558" s="10"/>
      <c r="AV1558" s="11"/>
      <c r="AW1558" s="11"/>
      <c r="BB1558" s="9"/>
      <c r="BC1558" s="11"/>
      <c r="BF1558" s="9"/>
      <c r="CF1558" s="12"/>
      <c r="CH1558" s="9"/>
    </row>
    <row r="1559" spans="6:86" x14ac:dyDescent="0.25">
      <c r="F1559" s="9"/>
      <c r="G1559" s="9"/>
      <c r="AA1559" s="10"/>
      <c r="AV1559" s="11"/>
      <c r="AW1559" s="11"/>
      <c r="BB1559" s="9"/>
      <c r="BC1559" s="11"/>
      <c r="BF1559" s="9"/>
      <c r="CF1559" s="12"/>
      <c r="CH1559" s="9"/>
    </row>
    <row r="1560" spans="6:86" x14ac:dyDescent="0.25">
      <c r="F1560" s="9"/>
      <c r="G1560" s="9"/>
      <c r="AA1560" s="10"/>
      <c r="AV1560" s="11"/>
      <c r="AW1560" s="11"/>
      <c r="BB1560" s="9"/>
      <c r="BC1560" s="11"/>
      <c r="BF1560" s="9"/>
      <c r="CF1560" s="12"/>
      <c r="CH1560" s="9"/>
    </row>
    <row r="1561" spans="6:86" x14ac:dyDescent="0.25">
      <c r="F1561" s="9"/>
      <c r="G1561" s="9"/>
      <c r="AA1561" s="10"/>
      <c r="AV1561" s="11"/>
      <c r="AW1561" s="11"/>
      <c r="BB1561" s="9"/>
      <c r="BC1561" s="11"/>
      <c r="BF1561" s="9"/>
      <c r="CF1561" s="12"/>
      <c r="CH1561" s="9"/>
    </row>
    <row r="1562" spans="6:86" x14ac:dyDescent="0.25">
      <c r="F1562" s="9"/>
      <c r="G1562" s="9"/>
      <c r="AA1562" s="10"/>
      <c r="AV1562" s="11"/>
      <c r="AW1562" s="11"/>
      <c r="BB1562" s="9"/>
      <c r="BC1562" s="11"/>
      <c r="BF1562" s="9"/>
      <c r="CF1562" s="12"/>
      <c r="CH1562" s="9"/>
    </row>
    <row r="1563" spans="6:86" x14ac:dyDescent="0.25">
      <c r="F1563" s="9"/>
      <c r="G1563" s="9"/>
      <c r="AA1563" s="10"/>
      <c r="AV1563" s="11"/>
      <c r="AW1563" s="11"/>
      <c r="BB1563" s="9"/>
      <c r="BC1563" s="11"/>
      <c r="BF1563" s="9"/>
      <c r="CH1563" s="9"/>
    </row>
    <row r="1564" spans="6:86" x14ac:dyDescent="0.25">
      <c r="F1564" s="9"/>
      <c r="G1564" s="9"/>
      <c r="AA1564" s="10"/>
      <c r="AV1564" s="11"/>
      <c r="AW1564" s="11"/>
      <c r="BB1564" s="9"/>
      <c r="BC1564" s="11"/>
      <c r="BF1564" s="9"/>
      <c r="CH1564" s="9"/>
    </row>
    <row r="1565" spans="6:86" x14ac:dyDescent="0.25">
      <c r="F1565" s="9"/>
      <c r="G1565" s="9"/>
      <c r="U1565" s="12"/>
      <c r="AA1565" s="10"/>
      <c r="AV1565" s="11"/>
      <c r="AW1565" s="11"/>
      <c r="BB1565" s="9"/>
      <c r="BC1565" s="11"/>
      <c r="BF1565" s="9"/>
      <c r="CH1565" s="9"/>
    </row>
    <row r="1566" spans="6:86" x14ac:dyDescent="0.25">
      <c r="F1566" s="9"/>
      <c r="G1566" s="9"/>
      <c r="AA1566" s="10"/>
      <c r="AV1566" s="11"/>
      <c r="AW1566" s="11"/>
      <c r="BB1566" s="9"/>
      <c r="BC1566" s="11"/>
      <c r="BF1566" s="9"/>
      <c r="CF1566" s="12"/>
      <c r="CH1566" s="9"/>
    </row>
    <row r="1567" spans="6:86" x14ac:dyDescent="0.25">
      <c r="F1567" s="9"/>
      <c r="G1567" s="9"/>
      <c r="AA1567" s="10"/>
      <c r="AV1567" s="11"/>
      <c r="AW1567" s="11"/>
      <c r="BB1567" s="9"/>
      <c r="BC1567" s="11"/>
      <c r="BF1567" s="9"/>
      <c r="CF1567" s="12"/>
      <c r="CH1567" s="9"/>
    </row>
    <row r="1568" spans="6:86" x14ac:dyDescent="0.25">
      <c r="F1568" s="9"/>
      <c r="G1568" s="9"/>
      <c r="AA1568" s="10"/>
      <c r="AV1568" s="11"/>
      <c r="AW1568" s="11"/>
      <c r="BB1568" s="9"/>
      <c r="BC1568" s="11"/>
      <c r="BF1568" s="9"/>
      <c r="CF1568" s="12"/>
      <c r="CH1568" s="9"/>
    </row>
    <row r="1569" spans="6:92" x14ac:dyDescent="0.25">
      <c r="F1569" s="9"/>
      <c r="G1569" s="9"/>
      <c r="U1569" s="12"/>
      <c r="AA1569" s="10"/>
      <c r="AV1569" s="11"/>
      <c r="AW1569" s="11"/>
      <c r="BB1569" s="9"/>
      <c r="BC1569" s="11"/>
      <c r="BF1569" s="9"/>
      <c r="CF1569" s="12"/>
      <c r="CH1569" s="9"/>
      <c r="CN1569" s="12"/>
    </row>
    <row r="1570" spans="6:92" x14ac:dyDescent="0.25">
      <c r="F1570" s="9"/>
      <c r="G1570" s="9"/>
      <c r="AA1570" s="10"/>
      <c r="AV1570" s="11"/>
      <c r="AW1570" s="11"/>
      <c r="BB1570" s="9"/>
      <c r="BC1570" s="11"/>
      <c r="BF1570" s="9"/>
      <c r="CF1570" s="12"/>
      <c r="CH1570" s="9"/>
    </row>
    <row r="1571" spans="6:92" x14ac:dyDescent="0.25">
      <c r="F1571" s="9"/>
      <c r="G1571" s="9"/>
      <c r="AA1571" s="10"/>
      <c r="AV1571" s="11"/>
      <c r="AW1571" s="11"/>
      <c r="BB1571" s="9"/>
      <c r="BC1571" s="11"/>
      <c r="BF1571" s="9"/>
      <c r="CF1571" s="12"/>
      <c r="CH1571" s="9"/>
    </row>
    <row r="1572" spans="6:92" x14ac:dyDescent="0.25">
      <c r="F1572" s="9"/>
      <c r="G1572" s="9"/>
      <c r="AA1572" s="10"/>
      <c r="AV1572" s="11"/>
      <c r="AW1572" s="11"/>
      <c r="BB1572" s="9"/>
      <c r="BC1572" s="11"/>
      <c r="BF1572" s="9"/>
      <c r="CF1572" s="12"/>
      <c r="CH1572" s="9"/>
    </row>
    <row r="1573" spans="6:92" x14ac:dyDescent="0.25">
      <c r="F1573" s="9"/>
      <c r="G1573" s="9"/>
      <c r="AA1573" s="10"/>
      <c r="AV1573" s="11"/>
      <c r="AW1573" s="11"/>
      <c r="BB1573" s="9"/>
      <c r="BC1573" s="11"/>
      <c r="BF1573" s="9"/>
      <c r="CF1573" s="12"/>
      <c r="CH1573" s="9"/>
    </row>
    <row r="1574" spans="6:92" x14ac:dyDescent="0.25">
      <c r="F1574" s="9"/>
      <c r="G1574" s="9"/>
      <c r="AA1574" s="10"/>
      <c r="AV1574" s="11"/>
      <c r="AW1574" s="11"/>
      <c r="BB1574" s="9"/>
      <c r="BC1574" s="11"/>
      <c r="BF1574" s="9"/>
      <c r="CF1574" s="12"/>
      <c r="CH1574" s="9"/>
    </row>
    <row r="1575" spans="6:92" x14ac:dyDescent="0.25">
      <c r="F1575" s="9"/>
      <c r="G1575" s="9"/>
      <c r="AA1575" s="10"/>
      <c r="AV1575" s="11"/>
      <c r="AW1575" s="11"/>
      <c r="BB1575" s="9"/>
      <c r="BC1575" s="11"/>
      <c r="BF1575" s="9"/>
      <c r="CF1575" s="12"/>
      <c r="CH1575" s="9"/>
    </row>
    <row r="1576" spans="6:92" x14ac:dyDescent="0.25">
      <c r="F1576" s="9"/>
      <c r="G1576" s="9"/>
      <c r="AA1576" s="10"/>
      <c r="AV1576" s="11"/>
      <c r="AW1576" s="11"/>
      <c r="BB1576" s="9"/>
      <c r="BC1576" s="11"/>
      <c r="BF1576" s="9"/>
      <c r="CF1576" s="12"/>
      <c r="CH1576" s="9"/>
    </row>
    <row r="1577" spans="6:92" x14ac:dyDescent="0.25">
      <c r="F1577" s="9"/>
      <c r="G1577" s="9"/>
      <c r="AA1577" s="10"/>
      <c r="AV1577" s="11"/>
      <c r="AW1577" s="11"/>
      <c r="BB1577" s="9"/>
      <c r="BC1577" s="11"/>
      <c r="BF1577" s="9"/>
      <c r="CF1577" s="12"/>
      <c r="CH1577" s="9"/>
    </row>
    <row r="1578" spans="6:92" x14ac:dyDescent="0.25">
      <c r="F1578" s="9"/>
      <c r="G1578" s="9"/>
      <c r="U1578" s="12"/>
      <c r="Z1578" s="12"/>
      <c r="AA1578" s="10"/>
      <c r="AV1578" s="11"/>
      <c r="AW1578" s="11"/>
      <c r="BB1578" s="9"/>
      <c r="BC1578" s="11"/>
      <c r="BF1578" s="9"/>
      <c r="CF1578" s="12"/>
      <c r="CH1578" s="9"/>
    </row>
    <row r="1579" spans="6:92" x14ac:dyDescent="0.25">
      <c r="F1579" s="9"/>
      <c r="G1579" s="9"/>
      <c r="AA1579" s="10"/>
      <c r="AV1579" s="11"/>
      <c r="AW1579" s="11"/>
      <c r="BB1579" s="9"/>
      <c r="BC1579" s="11"/>
      <c r="BF1579" s="9"/>
      <c r="CF1579" s="12"/>
      <c r="CH1579" s="9"/>
    </row>
    <row r="1580" spans="6:92" x14ac:dyDescent="0.25">
      <c r="F1580" s="9"/>
      <c r="G1580" s="9"/>
      <c r="AA1580" s="10"/>
      <c r="AV1580" s="11"/>
      <c r="AW1580" s="11"/>
      <c r="BB1580" s="9"/>
      <c r="BC1580" s="11"/>
      <c r="BF1580" s="9"/>
      <c r="CF1580" s="12"/>
      <c r="CH1580" s="9"/>
    </row>
    <row r="1581" spans="6:92" x14ac:dyDescent="0.25">
      <c r="F1581" s="9"/>
      <c r="G1581" s="9"/>
      <c r="AA1581" s="10"/>
      <c r="AV1581" s="11"/>
      <c r="AW1581" s="11"/>
      <c r="BB1581" s="9"/>
      <c r="BC1581" s="11"/>
      <c r="BF1581" s="9"/>
      <c r="CF1581" s="12"/>
      <c r="CH1581" s="9"/>
    </row>
    <row r="1582" spans="6:92" x14ac:dyDescent="0.25">
      <c r="F1582" s="9"/>
      <c r="G1582" s="9"/>
      <c r="AA1582" s="10"/>
      <c r="AV1582" s="11"/>
      <c r="AW1582" s="11"/>
      <c r="BB1582" s="9"/>
      <c r="BC1582" s="11"/>
      <c r="BF1582" s="9"/>
      <c r="CF1582" s="12"/>
      <c r="CH1582" s="9"/>
    </row>
    <row r="1583" spans="6:92" x14ac:dyDescent="0.25">
      <c r="F1583" s="9"/>
      <c r="G1583" s="9"/>
      <c r="AA1583" s="10"/>
      <c r="AV1583" s="11"/>
      <c r="AW1583" s="11"/>
      <c r="BB1583" s="9"/>
      <c r="BC1583" s="11"/>
      <c r="BF1583" s="9"/>
      <c r="CF1583" s="12"/>
      <c r="CH1583" s="9"/>
    </row>
    <row r="1584" spans="6:92" x14ac:dyDescent="0.25">
      <c r="F1584" s="9"/>
      <c r="G1584" s="9"/>
      <c r="AA1584" s="10"/>
      <c r="AV1584" s="11"/>
      <c r="AW1584" s="11"/>
      <c r="BB1584" s="9"/>
      <c r="BC1584" s="11"/>
      <c r="BF1584" s="9"/>
      <c r="CF1584" s="12"/>
      <c r="CH1584" s="9"/>
    </row>
    <row r="1585" spans="6:92" x14ac:dyDescent="0.25">
      <c r="F1585" s="9"/>
      <c r="G1585" s="9"/>
      <c r="AA1585" s="10"/>
      <c r="AV1585" s="11"/>
      <c r="AW1585" s="11"/>
      <c r="BB1585" s="9"/>
      <c r="BC1585" s="11"/>
      <c r="BF1585" s="9"/>
      <c r="CF1585" s="12"/>
      <c r="CH1585" s="9"/>
    </row>
    <row r="1586" spans="6:92" x14ac:dyDescent="0.25">
      <c r="F1586" s="9"/>
      <c r="G1586" s="9"/>
      <c r="AA1586" s="10"/>
      <c r="AV1586" s="11"/>
      <c r="AW1586" s="11"/>
      <c r="BB1586" s="9"/>
      <c r="BC1586" s="11"/>
      <c r="BF1586" s="9"/>
      <c r="CF1586" s="12"/>
      <c r="CH1586" s="9"/>
    </row>
    <row r="1587" spans="6:92" x14ac:dyDescent="0.25">
      <c r="F1587" s="9"/>
      <c r="G1587" s="9"/>
      <c r="AA1587" s="10"/>
      <c r="AV1587" s="11"/>
      <c r="AW1587" s="11"/>
      <c r="BB1587" s="9"/>
      <c r="BC1587" s="11"/>
      <c r="BF1587" s="9"/>
      <c r="CF1587" s="12"/>
      <c r="CH1587" s="9"/>
    </row>
    <row r="1588" spans="6:92" x14ac:dyDescent="0.25">
      <c r="F1588" s="9"/>
      <c r="G1588" s="9"/>
      <c r="AA1588" s="10"/>
      <c r="AV1588" s="11"/>
      <c r="AW1588" s="11"/>
      <c r="BB1588" s="9"/>
      <c r="BC1588" s="11"/>
      <c r="BF1588" s="9"/>
      <c r="CF1588" s="12"/>
      <c r="CH1588" s="9"/>
    </row>
    <row r="1589" spans="6:92" x14ac:dyDescent="0.25">
      <c r="F1589" s="9"/>
      <c r="G1589" s="9"/>
      <c r="U1589" s="12"/>
      <c r="Z1589" s="12"/>
      <c r="AA1589" s="10"/>
      <c r="AV1589" s="11"/>
      <c r="AW1589" s="11"/>
      <c r="BB1589" s="9"/>
      <c r="BC1589" s="11"/>
      <c r="BF1589" s="9"/>
      <c r="CF1589" s="12"/>
      <c r="CH1589" s="9"/>
      <c r="CN1589" s="12"/>
    </row>
    <row r="1590" spans="6:92" x14ac:dyDescent="0.25">
      <c r="F1590" s="9"/>
      <c r="G1590" s="9"/>
      <c r="AA1590" s="10"/>
      <c r="AV1590" s="11"/>
      <c r="AW1590" s="11"/>
      <c r="BB1590" s="9"/>
      <c r="BC1590" s="11"/>
      <c r="BF1590" s="9"/>
      <c r="CF1590" s="12"/>
      <c r="CH1590" s="9"/>
    </row>
    <row r="1591" spans="6:92" x14ac:dyDescent="0.25">
      <c r="F1591" s="9"/>
      <c r="G1591" s="9"/>
      <c r="AA1591" s="10"/>
      <c r="AV1591" s="11"/>
      <c r="AW1591" s="11"/>
      <c r="BB1591" s="9"/>
      <c r="BC1591" s="11"/>
      <c r="BF1591" s="9"/>
      <c r="CF1591" s="12"/>
      <c r="CH1591" s="9"/>
    </row>
    <row r="1592" spans="6:92" x14ac:dyDescent="0.25">
      <c r="F1592" s="9"/>
      <c r="G1592" s="9"/>
      <c r="AA1592" s="10"/>
      <c r="AV1592" s="11"/>
      <c r="AW1592" s="11"/>
      <c r="BB1592" s="9"/>
      <c r="BC1592" s="11"/>
      <c r="BF1592" s="9"/>
      <c r="CF1592" s="12"/>
      <c r="CH1592" s="9"/>
    </row>
    <row r="1593" spans="6:92" x14ac:dyDescent="0.25">
      <c r="F1593" s="9"/>
      <c r="G1593" s="9"/>
      <c r="AA1593" s="10"/>
      <c r="AV1593" s="11"/>
      <c r="AW1593" s="11"/>
      <c r="BB1593" s="9"/>
      <c r="BC1593" s="11"/>
      <c r="BF1593" s="9"/>
      <c r="CF1593" s="12"/>
      <c r="CH1593" s="9"/>
    </row>
    <row r="1594" spans="6:92" x14ac:dyDescent="0.25">
      <c r="F1594" s="9"/>
      <c r="G1594" s="9"/>
      <c r="AA1594" s="10"/>
      <c r="AV1594" s="11"/>
      <c r="AW1594" s="11"/>
      <c r="BB1594" s="9"/>
      <c r="BC1594" s="11"/>
      <c r="BF1594" s="9"/>
      <c r="CF1594" s="12"/>
      <c r="CH1594" s="9"/>
    </row>
    <row r="1595" spans="6:92" x14ac:dyDescent="0.25">
      <c r="F1595" s="9"/>
      <c r="G1595" s="9"/>
      <c r="AA1595" s="10"/>
      <c r="AV1595" s="11"/>
      <c r="AW1595" s="11"/>
      <c r="BB1595" s="9"/>
      <c r="BC1595" s="11"/>
      <c r="BF1595" s="9"/>
      <c r="CF1595" s="12"/>
      <c r="CH1595" s="9"/>
    </row>
    <row r="1596" spans="6:92" x14ac:dyDescent="0.25">
      <c r="F1596" s="9"/>
      <c r="G1596" s="9"/>
      <c r="AA1596" s="10"/>
      <c r="AV1596" s="11"/>
      <c r="AW1596" s="11"/>
      <c r="BB1596" s="9"/>
      <c r="BC1596" s="11"/>
      <c r="BF1596" s="9"/>
      <c r="CF1596" s="12"/>
      <c r="CH1596" s="9"/>
    </row>
    <row r="1597" spans="6:92" x14ac:dyDescent="0.25">
      <c r="F1597" s="9"/>
      <c r="G1597" s="9"/>
      <c r="AA1597" s="10"/>
      <c r="AV1597" s="11"/>
      <c r="AW1597" s="11"/>
      <c r="BB1597" s="9"/>
      <c r="BC1597" s="11"/>
      <c r="BF1597" s="9"/>
      <c r="CF1597" s="12"/>
      <c r="CH1597" s="9"/>
    </row>
    <row r="1598" spans="6:92" x14ac:dyDescent="0.25">
      <c r="F1598" s="9"/>
      <c r="G1598" s="9"/>
      <c r="AA1598" s="10"/>
      <c r="AV1598" s="11"/>
      <c r="AW1598" s="11"/>
      <c r="BB1598" s="9"/>
      <c r="BC1598" s="11"/>
      <c r="BF1598" s="9"/>
      <c r="CF1598" s="12"/>
      <c r="CH1598" s="9"/>
    </row>
    <row r="1599" spans="6:92" x14ac:dyDescent="0.25">
      <c r="F1599" s="9"/>
      <c r="G1599" s="9"/>
      <c r="AA1599" s="10"/>
      <c r="AV1599" s="11"/>
      <c r="AW1599" s="11"/>
      <c r="BB1599" s="9"/>
      <c r="BC1599" s="11"/>
      <c r="BF1599" s="9"/>
      <c r="CH1599" s="9"/>
    </row>
    <row r="1600" spans="6:92" x14ac:dyDescent="0.25">
      <c r="F1600" s="9"/>
      <c r="G1600" s="9"/>
      <c r="AA1600" s="10"/>
      <c r="AV1600" s="11"/>
      <c r="AW1600" s="11"/>
      <c r="BB1600" s="9"/>
      <c r="BC1600" s="11"/>
      <c r="BF1600" s="9"/>
      <c r="CF1600" s="12"/>
      <c r="CH1600" s="9"/>
    </row>
    <row r="1601" spans="6:86" x14ac:dyDescent="0.25">
      <c r="F1601" s="9"/>
      <c r="G1601" s="9"/>
      <c r="AA1601" s="10"/>
      <c r="AV1601" s="11"/>
      <c r="AW1601" s="11"/>
      <c r="BB1601" s="9"/>
      <c r="BC1601" s="11"/>
      <c r="BF1601" s="9"/>
      <c r="CF1601" s="12"/>
      <c r="CH1601" s="9"/>
    </row>
    <row r="1602" spans="6:86" x14ac:dyDescent="0.25">
      <c r="F1602" s="9"/>
      <c r="G1602" s="9"/>
      <c r="AA1602" s="10"/>
      <c r="AV1602" s="11"/>
      <c r="AW1602" s="11"/>
      <c r="BB1602" s="9"/>
      <c r="BC1602" s="11"/>
      <c r="BF1602" s="9"/>
      <c r="CF1602" s="12"/>
      <c r="CH1602" s="9"/>
    </row>
    <row r="1603" spans="6:86" x14ac:dyDescent="0.25">
      <c r="F1603" s="9"/>
      <c r="G1603" s="9"/>
      <c r="AA1603" s="10"/>
      <c r="AV1603" s="11"/>
      <c r="AW1603" s="11"/>
      <c r="BB1603" s="9"/>
      <c r="BC1603" s="11"/>
      <c r="BF1603" s="9"/>
      <c r="CH1603" s="9"/>
    </row>
    <row r="1604" spans="6:86" x14ac:dyDescent="0.25">
      <c r="F1604" s="9"/>
      <c r="G1604" s="9"/>
      <c r="AA1604" s="10"/>
      <c r="AV1604" s="11"/>
      <c r="AW1604" s="11"/>
      <c r="BB1604" s="9"/>
      <c r="BC1604" s="11"/>
      <c r="BF1604" s="9"/>
      <c r="CF1604" s="12"/>
      <c r="CH1604" s="9"/>
    </row>
    <row r="1605" spans="6:86" x14ac:dyDescent="0.25">
      <c r="F1605" s="9"/>
      <c r="G1605" s="9"/>
      <c r="AA1605" s="10"/>
      <c r="AV1605" s="11"/>
      <c r="AW1605" s="11"/>
      <c r="BB1605" s="9"/>
      <c r="BC1605" s="11"/>
      <c r="BF1605" s="9"/>
      <c r="CF1605" s="12"/>
      <c r="CH1605" s="9"/>
    </row>
    <row r="1606" spans="6:86" x14ac:dyDescent="0.25">
      <c r="F1606" s="9"/>
      <c r="G1606" s="9"/>
      <c r="AA1606" s="10"/>
      <c r="AV1606" s="11"/>
      <c r="AW1606" s="11"/>
      <c r="BB1606" s="9"/>
      <c r="BC1606" s="11"/>
      <c r="BF1606" s="9"/>
      <c r="CH1606" s="9"/>
    </row>
    <row r="1607" spans="6:86" x14ac:dyDescent="0.25">
      <c r="F1607" s="9"/>
      <c r="G1607" s="9"/>
      <c r="AA1607" s="10"/>
      <c r="AV1607" s="11"/>
      <c r="AW1607" s="11"/>
      <c r="BB1607" s="9"/>
      <c r="BC1607" s="11"/>
      <c r="BF1607" s="9"/>
      <c r="CH1607" s="9"/>
    </row>
    <row r="1608" spans="6:86" x14ac:dyDescent="0.25">
      <c r="F1608" s="9"/>
      <c r="G1608" s="9"/>
      <c r="AA1608" s="10"/>
      <c r="AV1608" s="11"/>
      <c r="AW1608" s="11"/>
      <c r="BB1608" s="9"/>
      <c r="BC1608" s="11"/>
      <c r="BF1608" s="9"/>
      <c r="CF1608" s="12"/>
      <c r="CH1608" s="9"/>
    </row>
    <row r="1609" spans="6:86" x14ac:dyDescent="0.25">
      <c r="F1609" s="9"/>
      <c r="G1609" s="9"/>
      <c r="AA1609" s="10"/>
      <c r="AV1609" s="11"/>
      <c r="AW1609" s="11"/>
      <c r="BB1609" s="9"/>
      <c r="BC1609" s="11"/>
      <c r="BF1609" s="9"/>
      <c r="CF1609" s="12"/>
      <c r="CH1609" s="9"/>
    </row>
    <row r="1610" spans="6:86" x14ac:dyDescent="0.25">
      <c r="F1610" s="9"/>
      <c r="G1610" s="9"/>
      <c r="AA1610" s="10"/>
      <c r="AV1610" s="11"/>
      <c r="AW1610" s="11"/>
      <c r="BB1610" s="9"/>
      <c r="BC1610" s="11"/>
      <c r="BF1610" s="9"/>
      <c r="CF1610" s="12"/>
      <c r="CH1610" s="9"/>
    </row>
    <row r="1611" spans="6:86" x14ac:dyDescent="0.25">
      <c r="F1611" s="9"/>
      <c r="G1611" s="9"/>
      <c r="AA1611" s="10"/>
      <c r="AV1611" s="11"/>
      <c r="AW1611" s="11"/>
      <c r="BB1611" s="9"/>
      <c r="BC1611" s="11"/>
      <c r="BF1611" s="9"/>
      <c r="CF1611" s="12"/>
      <c r="CH1611" s="9"/>
    </row>
    <row r="1612" spans="6:86" x14ac:dyDescent="0.25">
      <c r="F1612" s="9"/>
      <c r="G1612" s="9"/>
      <c r="AA1612" s="10"/>
      <c r="AV1612" s="11"/>
      <c r="AW1612" s="11"/>
      <c r="BB1612" s="9"/>
      <c r="BC1612" s="11"/>
      <c r="BF1612" s="9"/>
      <c r="CF1612" s="12"/>
      <c r="CH1612" s="9"/>
    </row>
    <row r="1613" spans="6:86" x14ac:dyDescent="0.25">
      <c r="F1613" s="9"/>
      <c r="G1613" s="9"/>
      <c r="AA1613" s="10"/>
      <c r="AV1613" s="11"/>
      <c r="AW1613" s="11"/>
      <c r="BB1613" s="9"/>
      <c r="BC1613" s="11"/>
      <c r="BF1613" s="9"/>
      <c r="CF1613" s="12"/>
      <c r="CH1613" s="9"/>
    </row>
    <row r="1614" spans="6:86" x14ac:dyDescent="0.25">
      <c r="F1614" s="9"/>
      <c r="G1614" s="9"/>
      <c r="AA1614" s="10"/>
      <c r="AV1614" s="11"/>
      <c r="AW1614" s="11"/>
      <c r="BB1614" s="9"/>
      <c r="BC1614" s="11"/>
      <c r="BF1614" s="9"/>
      <c r="CF1614" s="12"/>
      <c r="CH1614" s="9"/>
    </row>
    <row r="1615" spans="6:86" x14ac:dyDescent="0.25">
      <c r="F1615" s="9"/>
      <c r="G1615" s="9"/>
      <c r="AA1615" s="10"/>
      <c r="AV1615" s="11"/>
      <c r="AW1615" s="11"/>
      <c r="BB1615" s="9"/>
      <c r="BC1615" s="11"/>
      <c r="BF1615" s="9"/>
      <c r="CF1615" s="12"/>
      <c r="CH1615" s="9"/>
    </row>
    <row r="1616" spans="6:86" x14ac:dyDescent="0.25">
      <c r="F1616" s="9"/>
      <c r="G1616" s="9"/>
      <c r="AA1616" s="10"/>
      <c r="AV1616" s="11"/>
      <c r="AW1616" s="11"/>
      <c r="BB1616" s="9"/>
      <c r="BC1616" s="11"/>
      <c r="BF1616" s="9"/>
      <c r="CH1616" s="9"/>
    </row>
    <row r="1617" spans="6:86" x14ac:dyDescent="0.25">
      <c r="F1617" s="9"/>
      <c r="G1617" s="9"/>
      <c r="AA1617" s="10"/>
      <c r="AV1617" s="11"/>
      <c r="AW1617" s="11"/>
      <c r="BB1617" s="9"/>
      <c r="BC1617" s="11"/>
      <c r="BF1617" s="9"/>
      <c r="CH1617" s="9"/>
    </row>
    <row r="1618" spans="6:86" x14ac:dyDescent="0.25">
      <c r="F1618" s="9"/>
      <c r="G1618" s="9"/>
      <c r="AA1618" s="10"/>
      <c r="AV1618" s="11"/>
      <c r="AW1618" s="11"/>
      <c r="BB1618" s="9"/>
      <c r="BC1618" s="11"/>
      <c r="BF1618" s="9"/>
      <c r="CF1618" s="12"/>
      <c r="CH1618" s="9"/>
    </row>
    <row r="1619" spans="6:86" x14ac:dyDescent="0.25">
      <c r="F1619" s="9"/>
      <c r="G1619" s="9"/>
      <c r="AA1619" s="10"/>
      <c r="AV1619" s="11"/>
      <c r="AW1619" s="11"/>
      <c r="BB1619" s="9"/>
      <c r="BC1619" s="11"/>
      <c r="BF1619" s="9"/>
      <c r="CH1619" s="9"/>
    </row>
    <row r="1620" spans="6:86" x14ac:dyDescent="0.25">
      <c r="F1620" s="9"/>
      <c r="G1620" s="9"/>
      <c r="AA1620" s="10"/>
      <c r="AV1620" s="11"/>
      <c r="AW1620" s="11"/>
      <c r="BB1620" s="9"/>
      <c r="BC1620" s="11"/>
      <c r="BF1620" s="9"/>
      <c r="CF1620" s="12"/>
      <c r="CH1620" s="9"/>
    </row>
    <row r="1621" spans="6:86" x14ac:dyDescent="0.25">
      <c r="F1621" s="9"/>
      <c r="G1621" s="9"/>
      <c r="AA1621" s="10"/>
      <c r="AV1621" s="11"/>
      <c r="AW1621" s="11"/>
      <c r="BB1621" s="9"/>
      <c r="BC1621" s="11"/>
      <c r="BF1621" s="9"/>
      <c r="CF1621" s="12"/>
      <c r="CH1621" s="9"/>
    </row>
    <row r="1622" spans="6:86" x14ac:dyDescent="0.25">
      <c r="F1622" s="9"/>
      <c r="G1622" s="9"/>
      <c r="AA1622" s="10"/>
      <c r="AV1622" s="11"/>
      <c r="AW1622" s="11"/>
      <c r="BB1622" s="9"/>
      <c r="BC1622" s="11"/>
      <c r="BF1622" s="9"/>
      <c r="CF1622" s="12"/>
      <c r="CH1622" s="9"/>
    </row>
    <row r="1623" spans="6:86" x14ac:dyDescent="0.25">
      <c r="F1623" s="9"/>
      <c r="G1623" s="9"/>
      <c r="AA1623" s="10"/>
      <c r="AV1623" s="11"/>
      <c r="AW1623" s="11"/>
      <c r="BB1623" s="9"/>
      <c r="BC1623" s="11"/>
      <c r="BF1623" s="9"/>
      <c r="CF1623" s="12"/>
      <c r="CH1623" s="9"/>
    </row>
    <row r="1624" spans="6:86" x14ac:dyDescent="0.25">
      <c r="F1624" s="9"/>
      <c r="G1624" s="9"/>
      <c r="AA1624" s="10"/>
      <c r="AV1624" s="11"/>
      <c r="AW1624" s="11"/>
      <c r="BB1624" s="9"/>
      <c r="BC1624" s="11"/>
      <c r="BF1624" s="9"/>
      <c r="CH1624" s="9"/>
    </row>
    <row r="1625" spans="6:86" x14ac:dyDescent="0.25">
      <c r="F1625" s="9"/>
      <c r="G1625" s="9"/>
      <c r="AA1625" s="10"/>
      <c r="AV1625" s="11"/>
      <c r="AW1625" s="11"/>
      <c r="BB1625" s="9"/>
      <c r="BC1625" s="11"/>
      <c r="BF1625" s="9"/>
      <c r="CF1625" s="12"/>
      <c r="CH1625" s="9"/>
    </row>
    <row r="1626" spans="6:86" x14ac:dyDescent="0.25">
      <c r="F1626" s="9"/>
      <c r="G1626" s="9"/>
      <c r="AA1626" s="10"/>
      <c r="AV1626" s="11"/>
      <c r="AW1626" s="11"/>
      <c r="BB1626" s="9"/>
      <c r="BC1626" s="11"/>
      <c r="BF1626" s="9"/>
      <c r="CH1626" s="9"/>
    </row>
    <row r="1627" spans="6:86" x14ac:dyDescent="0.25">
      <c r="F1627" s="9"/>
      <c r="G1627" s="9"/>
      <c r="AA1627" s="10"/>
      <c r="AV1627" s="11"/>
      <c r="AW1627" s="11"/>
      <c r="BB1627" s="9"/>
      <c r="BC1627" s="11"/>
      <c r="BF1627" s="9"/>
      <c r="CF1627" s="12"/>
      <c r="CH1627" s="9"/>
    </row>
    <row r="1628" spans="6:86" x14ac:dyDescent="0.25">
      <c r="F1628" s="9"/>
      <c r="G1628" s="9"/>
      <c r="AA1628" s="10"/>
      <c r="AV1628" s="11"/>
      <c r="AW1628" s="11"/>
      <c r="BB1628" s="9"/>
      <c r="BC1628" s="11"/>
      <c r="BF1628" s="9"/>
      <c r="CF1628" s="12"/>
      <c r="CH1628" s="9"/>
    </row>
    <row r="1629" spans="6:86" x14ac:dyDescent="0.25">
      <c r="F1629" s="9"/>
      <c r="G1629" s="9"/>
      <c r="AA1629" s="10"/>
      <c r="AV1629" s="11"/>
      <c r="AW1629" s="11"/>
      <c r="BB1629" s="9"/>
      <c r="BC1629" s="11"/>
      <c r="BF1629" s="9"/>
      <c r="CF1629" s="12"/>
      <c r="CH1629" s="9"/>
    </row>
    <row r="1630" spans="6:86" x14ac:dyDescent="0.25">
      <c r="F1630" s="9"/>
      <c r="G1630" s="9"/>
      <c r="AA1630" s="10"/>
      <c r="AV1630" s="11"/>
      <c r="AW1630" s="11"/>
      <c r="BB1630" s="9"/>
      <c r="BC1630" s="11"/>
      <c r="BF1630" s="9"/>
      <c r="CF1630" s="12"/>
      <c r="CH1630" s="9"/>
    </row>
    <row r="1631" spans="6:86" x14ac:dyDescent="0.25">
      <c r="F1631" s="9"/>
      <c r="G1631" s="9"/>
      <c r="AA1631" s="10"/>
      <c r="AV1631" s="11"/>
      <c r="AW1631" s="11"/>
      <c r="BB1631" s="9"/>
      <c r="BC1631" s="11"/>
      <c r="BF1631" s="9"/>
      <c r="CF1631" s="12"/>
      <c r="CH1631" s="9"/>
    </row>
    <row r="1632" spans="6:86" x14ac:dyDescent="0.25">
      <c r="F1632" s="9"/>
      <c r="G1632" s="9"/>
      <c r="AA1632" s="10"/>
      <c r="AV1632" s="11"/>
      <c r="AW1632" s="11"/>
      <c r="BB1632" s="9"/>
      <c r="BC1632" s="11"/>
      <c r="BF1632" s="9"/>
      <c r="CF1632" s="12"/>
      <c r="CH1632" s="9"/>
    </row>
    <row r="1633" spans="6:86" x14ac:dyDescent="0.25">
      <c r="F1633" s="9"/>
      <c r="G1633" s="9"/>
      <c r="AA1633" s="10"/>
      <c r="AV1633" s="11"/>
      <c r="AW1633" s="11"/>
      <c r="BB1633" s="9"/>
      <c r="BC1633" s="11"/>
      <c r="BF1633" s="9"/>
      <c r="CH1633" s="9"/>
    </row>
    <row r="1634" spans="6:86" x14ac:dyDescent="0.25">
      <c r="F1634" s="9"/>
      <c r="G1634" s="9"/>
      <c r="AA1634" s="10"/>
      <c r="AV1634" s="11"/>
      <c r="AW1634" s="11"/>
      <c r="BB1634" s="9"/>
      <c r="BC1634" s="11"/>
      <c r="BF1634" s="9"/>
      <c r="CF1634" s="12"/>
      <c r="CH1634" s="9"/>
    </row>
    <row r="1635" spans="6:86" x14ac:dyDescent="0.25">
      <c r="F1635" s="9"/>
      <c r="G1635" s="9"/>
      <c r="AA1635" s="10"/>
      <c r="AV1635" s="11"/>
      <c r="AW1635" s="11"/>
      <c r="BB1635" s="9"/>
      <c r="BC1635" s="11"/>
      <c r="BF1635" s="9"/>
      <c r="CF1635" s="12"/>
      <c r="CH1635" s="9"/>
    </row>
    <row r="1636" spans="6:86" x14ac:dyDescent="0.25">
      <c r="F1636" s="9"/>
      <c r="G1636" s="9"/>
      <c r="AA1636" s="10"/>
      <c r="AV1636" s="11"/>
      <c r="AW1636" s="11"/>
      <c r="BB1636" s="9"/>
      <c r="BC1636" s="11"/>
      <c r="BF1636" s="9"/>
      <c r="CF1636" s="12"/>
      <c r="CH1636" s="9"/>
    </row>
    <row r="1637" spans="6:86" x14ac:dyDescent="0.25">
      <c r="F1637" s="9"/>
      <c r="G1637" s="9"/>
      <c r="AA1637" s="10"/>
      <c r="AV1637" s="11"/>
      <c r="AW1637" s="11"/>
      <c r="BB1637" s="9"/>
      <c r="BC1637" s="11"/>
      <c r="BF1637" s="9"/>
      <c r="CF1637" s="12"/>
      <c r="CH1637" s="9"/>
    </row>
    <row r="1638" spans="6:86" x14ac:dyDescent="0.25">
      <c r="F1638" s="9"/>
      <c r="G1638" s="9"/>
      <c r="AA1638" s="10"/>
      <c r="AV1638" s="11"/>
      <c r="AW1638" s="11"/>
      <c r="BB1638" s="9"/>
      <c r="BC1638" s="11"/>
      <c r="BF1638" s="9"/>
      <c r="CF1638" s="12"/>
      <c r="CH1638" s="9"/>
    </row>
    <row r="1639" spans="6:86" x14ac:dyDescent="0.25">
      <c r="F1639" s="9"/>
      <c r="G1639" s="9"/>
      <c r="U1639" s="12"/>
      <c r="AA1639" s="10"/>
      <c r="AV1639" s="11"/>
      <c r="AW1639" s="11"/>
      <c r="BB1639" s="9"/>
      <c r="BC1639" s="11"/>
      <c r="BF1639" s="9"/>
      <c r="CH1639" s="9"/>
    </row>
    <row r="1640" spans="6:86" x14ac:dyDescent="0.25">
      <c r="F1640" s="9"/>
      <c r="G1640" s="9"/>
      <c r="AA1640" s="10"/>
      <c r="AV1640" s="11"/>
      <c r="AW1640" s="11"/>
      <c r="BB1640" s="9"/>
      <c r="BC1640" s="11"/>
      <c r="BF1640" s="9"/>
      <c r="CH1640" s="9"/>
    </row>
    <row r="1641" spans="6:86" x14ac:dyDescent="0.25">
      <c r="F1641" s="9"/>
      <c r="G1641" s="9"/>
      <c r="AA1641" s="10"/>
      <c r="AV1641" s="11"/>
      <c r="AW1641" s="11"/>
      <c r="BB1641" s="9"/>
      <c r="BC1641" s="11"/>
      <c r="BF1641" s="9"/>
      <c r="CF1641" s="12"/>
      <c r="CH1641" s="9"/>
    </row>
    <row r="1642" spans="6:86" x14ac:dyDescent="0.25">
      <c r="F1642" s="9"/>
      <c r="G1642" s="9"/>
      <c r="AA1642" s="10"/>
      <c r="AV1642" s="11"/>
      <c r="AW1642" s="11"/>
      <c r="BB1642" s="9"/>
      <c r="BC1642" s="11"/>
      <c r="BF1642" s="9"/>
      <c r="CF1642" s="12"/>
      <c r="CH1642" s="9"/>
    </row>
    <row r="1643" spans="6:86" x14ac:dyDescent="0.25">
      <c r="F1643" s="9"/>
      <c r="G1643" s="9"/>
      <c r="AA1643" s="10"/>
      <c r="AV1643" s="11"/>
      <c r="AW1643" s="11"/>
      <c r="BB1643" s="9"/>
      <c r="BC1643" s="11"/>
      <c r="BF1643" s="9"/>
      <c r="CF1643" s="12"/>
      <c r="CH1643" s="9"/>
    </row>
    <row r="1644" spans="6:86" x14ac:dyDescent="0.25">
      <c r="F1644" s="9"/>
      <c r="G1644" s="9"/>
      <c r="AA1644" s="10"/>
      <c r="AV1644" s="11"/>
      <c r="AW1644" s="11"/>
      <c r="BB1644" s="9"/>
      <c r="BC1644" s="11"/>
      <c r="BF1644" s="9"/>
      <c r="CF1644" s="12"/>
      <c r="CH1644" s="9"/>
    </row>
    <row r="1645" spans="6:86" x14ac:dyDescent="0.25">
      <c r="F1645" s="9"/>
      <c r="G1645" s="9"/>
      <c r="AA1645" s="10"/>
      <c r="AV1645" s="11"/>
      <c r="AW1645" s="11"/>
      <c r="BB1645" s="9"/>
      <c r="BC1645" s="11"/>
      <c r="BF1645" s="9"/>
      <c r="CF1645" s="12"/>
      <c r="CH1645" s="9"/>
    </row>
    <row r="1646" spans="6:86" x14ac:dyDescent="0.25">
      <c r="F1646" s="9"/>
      <c r="G1646" s="9"/>
      <c r="AA1646" s="10"/>
      <c r="AV1646" s="11"/>
      <c r="AW1646" s="11"/>
      <c r="BB1646" s="9"/>
      <c r="BC1646" s="11"/>
      <c r="BF1646" s="9"/>
      <c r="CF1646" s="12"/>
      <c r="CH1646" s="9"/>
    </row>
    <row r="1647" spans="6:86" x14ac:dyDescent="0.25">
      <c r="F1647" s="9"/>
      <c r="G1647" s="9"/>
      <c r="AA1647" s="10"/>
      <c r="AV1647" s="11"/>
      <c r="AW1647" s="11"/>
      <c r="BB1647" s="9"/>
      <c r="BC1647" s="11"/>
      <c r="BF1647" s="9"/>
      <c r="CF1647" s="12"/>
      <c r="CH1647" s="9"/>
    </row>
    <row r="1648" spans="6:86" x14ac:dyDescent="0.25">
      <c r="F1648" s="9"/>
      <c r="G1648" s="9"/>
      <c r="AA1648" s="10"/>
      <c r="AV1648" s="11"/>
      <c r="AW1648" s="11"/>
      <c r="BB1648" s="9"/>
      <c r="BC1648" s="11"/>
      <c r="BF1648" s="9"/>
      <c r="CF1648" s="12"/>
      <c r="CH1648" s="9"/>
    </row>
    <row r="1649" spans="6:86" x14ac:dyDescent="0.25">
      <c r="F1649" s="9"/>
      <c r="G1649" s="9"/>
      <c r="AA1649" s="10"/>
      <c r="AV1649" s="11"/>
      <c r="AW1649" s="11"/>
      <c r="BB1649" s="9"/>
      <c r="BC1649" s="11"/>
      <c r="BF1649" s="9"/>
      <c r="CF1649" s="12"/>
      <c r="CH1649" s="9"/>
    </row>
    <row r="1650" spans="6:86" x14ac:dyDescent="0.25">
      <c r="F1650" s="9"/>
      <c r="G1650" s="9"/>
      <c r="AA1650" s="10"/>
      <c r="AV1650" s="11"/>
      <c r="AW1650" s="11"/>
      <c r="BB1650" s="9"/>
      <c r="BC1650" s="11"/>
      <c r="BF1650" s="9"/>
      <c r="CH1650" s="9"/>
    </row>
    <row r="1651" spans="6:86" x14ac:dyDescent="0.25">
      <c r="F1651" s="9"/>
      <c r="G1651" s="9"/>
      <c r="AA1651" s="10"/>
      <c r="AV1651" s="11"/>
      <c r="AW1651" s="11"/>
      <c r="BB1651" s="9"/>
      <c r="BC1651" s="11"/>
      <c r="BF1651" s="9"/>
      <c r="CF1651" s="12"/>
      <c r="CH1651" s="9"/>
    </row>
    <row r="1652" spans="6:86" x14ac:dyDescent="0.25">
      <c r="F1652" s="9"/>
      <c r="G1652" s="9"/>
      <c r="AA1652" s="10"/>
      <c r="AV1652" s="11"/>
      <c r="AW1652" s="11"/>
      <c r="BB1652" s="9"/>
      <c r="BC1652" s="11"/>
      <c r="BF1652" s="9"/>
      <c r="CF1652" s="12"/>
      <c r="CH1652" s="9"/>
    </row>
    <row r="1653" spans="6:86" x14ac:dyDescent="0.25">
      <c r="F1653" s="9"/>
      <c r="G1653" s="9"/>
      <c r="AA1653" s="10"/>
      <c r="AV1653" s="11"/>
      <c r="AW1653" s="11"/>
      <c r="BB1653" s="9"/>
      <c r="BC1653" s="11"/>
      <c r="BF1653" s="9"/>
      <c r="CF1653" s="12"/>
      <c r="CH1653" s="9"/>
    </row>
    <row r="1654" spans="6:86" x14ac:dyDescent="0.25">
      <c r="F1654" s="9"/>
      <c r="G1654" s="9"/>
      <c r="AA1654" s="10"/>
      <c r="AV1654" s="11"/>
      <c r="AW1654" s="11"/>
      <c r="BB1654" s="9"/>
      <c r="BC1654" s="11"/>
      <c r="BF1654" s="9"/>
      <c r="CF1654" s="12"/>
      <c r="CH1654" s="9"/>
    </row>
    <row r="1655" spans="6:86" x14ac:dyDescent="0.25">
      <c r="F1655" s="9"/>
      <c r="G1655" s="9"/>
      <c r="AA1655" s="10"/>
      <c r="AV1655" s="11"/>
      <c r="AW1655" s="11"/>
      <c r="BB1655" s="9"/>
      <c r="BC1655" s="11"/>
      <c r="BF1655" s="9"/>
      <c r="CF1655" s="12"/>
      <c r="CH1655" s="9"/>
    </row>
    <row r="1656" spans="6:86" x14ac:dyDescent="0.25">
      <c r="F1656" s="9"/>
      <c r="G1656" s="9"/>
      <c r="AA1656" s="10"/>
      <c r="AV1656" s="11"/>
      <c r="AW1656" s="11"/>
      <c r="BB1656" s="9"/>
      <c r="BC1656" s="11"/>
      <c r="BF1656" s="9"/>
      <c r="CH1656" s="9"/>
    </row>
    <row r="1657" spans="6:86" x14ac:dyDescent="0.25">
      <c r="F1657" s="9"/>
      <c r="G1657" s="9"/>
      <c r="AA1657" s="10"/>
      <c r="AV1657" s="11"/>
      <c r="AW1657" s="11"/>
      <c r="BB1657" s="9"/>
      <c r="BC1657" s="11"/>
      <c r="BF1657" s="9"/>
      <c r="CF1657" s="12"/>
      <c r="CH1657" s="9"/>
    </row>
    <row r="1658" spans="6:86" x14ac:dyDescent="0.25">
      <c r="F1658" s="9"/>
      <c r="G1658" s="9"/>
      <c r="AA1658" s="10"/>
      <c r="AV1658" s="11"/>
      <c r="AW1658" s="11"/>
      <c r="BB1658" s="9"/>
      <c r="BC1658" s="11"/>
      <c r="BF1658" s="9"/>
      <c r="CF1658" s="12"/>
      <c r="CH1658" s="9"/>
    </row>
    <row r="1659" spans="6:86" x14ac:dyDescent="0.25">
      <c r="F1659" s="9"/>
      <c r="G1659" s="9"/>
      <c r="AA1659" s="10"/>
      <c r="AV1659" s="11"/>
      <c r="AW1659" s="11"/>
      <c r="BB1659" s="9"/>
      <c r="BC1659" s="11"/>
      <c r="BF1659" s="9"/>
      <c r="CF1659" s="12"/>
      <c r="CH1659" s="9"/>
    </row>
    <row r="1660" spans="6:86" x14ac:dyDescent="0.25">
      <c r="F1660" s="9"/>
      <c r="G1660" s="9"/>
      <c r="AA1660" s="10"/>
      <c r="AV1660" s="11"/>
      <c r="AW1660" s="11"/>
      <c r="BB1660" s="9"/>
      <c r="BC1660" s="11"/>
      <c r="BF1660" s="9"/>
      <c r="CF1660" s="12"/>
      <c r="CH1660" s="9"/>
    </row>
    <row r="1661" spans="6:86" x14ac:dyDescent="0.25">
      <c r="F1661" s="9"/>
      <c r="G1661" s="9"/>
      <c r="AA1661" s="10"/>
      <c r="AV1661" s="11"/>
      <c r="AW1661" s="11"/>
      <c r="BB1661" s="9"/>
      <c r="BC1661" s="11"/>
      <c r="BF1661" s="9"/>
      <c r="CF1661" s="12"/>
      <c r="CH1661" s="9"/>
    </row>
    <row r="1662" spans="6:86" x14ac:dyDescent="0.25">
      <c r="F1662" s="9"/>
      <c r="G1662" s="9"/>
      <c r="AA1662" s="10"/>
      <c r="AV1662" s="11"/>
      <c r="AW1662" s="11"/>
      <c r="BB1662" s="9"/>
      <c r="BC1662" s="11"/>
      <c r="BF1662" s="9"/>
      <c r="CF1662" s="12"/>
      <c r="CH1662" s="9"/>
    </row>
    <row r="1663" spans="6:86" x14ac:dyDescent="0.25">
      <c r="F1663" s="9"/>
      <c r="G1663" s="9"/>
      <c r="AA1663" s="10"/>
      <c r="AV1663" s="11"/>
      <c r="AW1663" s="11"/>
      <c r="BB1663" s="9"/>
      <c r="BC1663" s="11"/>
      <c r="BF1663" s="9"/>
      <c r="CF1663" s="12"/>
      <c r="CH1663" s="9"/>
    </row>
    <row r="1664" spans="6:86" x14ac:dyDescent="0.25">
      <c r="F1664" s="9"/>
      <c r="G1664" s="9"/>
      <c r="AA1664" s="10"/>
      <c r="AV1664" s="11"/>
      <c r="AW1664" s="11"/>
      <c r="BB1664" s="9"/>
      <c r="BC1664" s="11"/>
      <c r="BF1664" s="9"/>
      <c r="CH1664" s="9"/>
    </row>
    <row r="1665" spans="6:92" x14ac:dyDescent="0.25">
      <c r="F1665" s="9"/>
      <c r="G1665" s="9"/>
      <c r="AA1665" s="10"/>
      <c r="AV1665" s="11"/>
      <c r="AW1665" s="11"/>
      <c r="BB1665" s="9"/>
      <c r="BC1665" s="11"/>
      <c r="BF1665" s="9"/>
      <c r="CF1665" s="12"/>
      <c r="CH1665" s="9"/>
    </row>
    <row r="1666" spans="6:92" x14ac:dyDescent="0.25">
      <c r="F1666" s="9"/>
      <c r="G1666" s="9"/>
      <c r="AA1666" s="10"/>
      <c r="AV1666" s="11"/>
      <c r="AW1666" s="11"/>
      <c r="BB1666" s="9"/>
      <c r="BC1666" s="11"/>
      <c r="BF1666" s="9"/>
      <c r="CH1666" s="9"/>
    </row>
    <row r="1667" spans="6:92" x14ac:dyDescent="0.25">
      <c r="F1667" s="9"/>
      <c r="G1667" s="9"/>
      <c r="U1667" s="12"/>
      <c r="Z1667" s="12"/>
      <c r="AA1667" s="10"/>
      <c r="AV1667" s="11"/>
      <c r="AW1667" s="11"/>
      <c r="BB1667" s="9"/>
      <c r="BC1667" s="11"/>
      <c r="BF1667" s="9"/>
      <c r="CF1667" s="12"/>
      <c r="CH1667" s="9"/>
      <c r="CN1667" s="12"/>
    </row>
    <row r="1668" spans="6:92" x14ac:dyDescent="0.25">
      <c r="F1668" s="9"/>
      <c r="G1668" s="9"/>
      <c r="U1668" s="12"/>
      <c r="Y1668" s="12"/>
      <c r="Z1668" s="12"/>
      <c r="AA1668" s="10"/>
      <c r="AV1668" s="11"/>
      <c r="AW1668" s="11"/>
      <c r="BB1668" s="9"/>
      <c r="BC1668" s="11"/>
      <c r="BF1668" s="9"/>
      <c r="CH1668" s="9"/>
      <c r="CN1668" s="12"/>
    </row>
    <row r="1669" spans="6:92" x14ac:dyDescent="0.25">
      <c r="F1669" s="9"/>
      <c r="G1669" s="9"/>
      <c r="AA1669" s="10"/>
      <c r="AV1669" s="11"/>
      <c r="AW1669" s="11"/>
      <c r="BB1669" s="9"/>
      <c r="BC1669" s="11"/>
      <c r="BF1669" s="9"/>
      <c r="CF1669" s="12"/>
      <c r="CH1669" s="9"/>
    </row>
    <row r="1670" spans="6:92" x14ac:dyDescent="0.25">
      <c r="F1670" s="9"/>
      <c r="G1670" s="9"/>
      <c r="AA1670" s="10"/>
      <c r="AV1670" s="11"/>
      <c r="AW1670" s="11"/>
      <c r="BB1670" s="9"/>
      <c r="BC1670" s="11"/>
      <c r="BF1670" s="9"/>
      <c r="CF1670" s="12"/>
      <c r="CH1670" s="9"/>
    </row>
    <row r="1671" spans="6:92" x14ac:dyDescent="0.25">
      <c r="F1671" s="9"/>
      <c r="G1671" s="9"/>
      <c r="AA1671" s="10"/>
      <c r="AV1671" s="11"/>
      <c r="AW1671" s="11"/>
      <c r="BB1671" s="9"/>
      <c r="BC1671" s="11"/>
      <c r="BF1671" s="9"/>
      <c r="CF1671" s="12"/>
      <c r="CH1671" s="9"/>
    </row>
    <row r="1672" spans="6:92" x14ac:dyDescent="0.25">
      <c r="F1672" s="9"/>
      <c r="G1672" s="9"/>
      <c r="AA1672" s="10"/>
      <c r="AV1672" s="11"/>
      <c r="AW1672" s="11"/>
      <c r="BB1672" s="9"/>
      <c r="BC1672" s="11"/>
      <c r="BF1672" s="9"/>
      <c r="CF1672" s="12"/>
      <c r="CH1672" s="9"/>
    </row>
    <row r="1673" spans="6:92" x14ac:dyDescent="0.25">
      <c r="F1673" s="9"/>
      <c r="G1673" s="9"/>
      <c r="U1673" s="12"/>
      <c r="AA1673" s="10"/>
      <c r="AV1673" s="11"/>
      <c r="AW1673" s="11"/>
      <c r="BB1673" s="9"/>
      <c r="BC1673" s="11"/>
      <c r="BF1673" s="9"/>
      <c r="CH1673" s="9"/>
    </row>
    <row r="1674" spans="6:92" x14ac:dyDescent="0.25">
      <c r="F1674" s="9"/>
      <c r="G1674" s="9"/>
      <c r="AA1674" s="10"/>
      <c r="AV1674" s="11"/>
      <c r="AW1674" s="11"/>
      <c r="BB1674" s="9"/>
      <c r="BC1674" s="11"/>
      <c r="BF1674" s="9"/>
      <c r="CF1674" s="12"/>
      <c r="CH1674" s="9"/>
    </row>
    <row r="1675" spans="6:92" x14ac:dyDescent="0.25">
      <c r="F1675" s="9"/>
      <c r="G1675" s="9"/>
      <c r="AA1675" s="10"/>
      <c r="AV1675" s="11"/>
      <c r="AW1675" s="11"/>
      <c r="BB1675" s="9"/>
      <c r="BC1675" s="11"/>
      <c r="BF1675" s="9"/>
      <c r="CF1675" s="12"/>
      <c r="CH1675" s="9"/>
    </row>
    <row r="1676" spans="6:92" x14ac:dyDescent="0.25">
      <c r="F1676" s="9"/>
      <c r="G1676" s="9"/>
      <c r="AA1676" s="10"/>
      <c r="AV1676" s="11"/>
      <c r="AW1676" s="11"/>
      <c r="BB1676" s="9"/>
      <c r="BC1676" s="11"/>
      <c r="BF1676" s="9"/>
      <c r="CF1676" s="12"/>
      <c r="CH1676" s="9"/>
    </row>
    <row r="1677" spans="6:92" x14ac:dyDescent="0.25">
      <c r="F1677" s="9"/>
      <c r="G1677" s="9"/>
      <c r="AA1677" s="10"/>
      <c r="AV1677" s="11"/>
      <c r="AW1677" s="11"/>
      <c r="BB1677" s="9"/>
      <c r="BC1677" s="11"/>
      <c r="BF1677" s="9"/>
      <c r="CF1677" s="12"/>
      <c r="CH1677" s="9"/>
    </row>
    <row r="1678" spans="6:92" x14ac:dyDescent="0.25">
      <c r="F1678" s="9"/>
      <c r="G1678" s="9"/>
      <c r="AA1678" s="10"/>
      <c r="AV1678" s="11"/>
      <c r="AW1678" s="11"/>
      <c r="BB1678" s="9"/>
      <c r="BC1678" s="11"/>
      <c r="BF1678" s="9"/>
      <c r="CF1678" s="12"/>
      <c r="CH1678" s="9"/>
    </row>
    <row r="1679" spans="6:92" x14ac:dyDescent="0.25">
      <c r="F1679" s="9"/>
      <c r="G1679" s="9"/>
      <c r="AA1679" s="10"/>
      <c r="AV1679" s="11"/>
      <c r="AW1679" s="11"/>
      <c r="BB1679" s="9"/>
      <c r="BC1679" s="11"/>
      <c r="BF1679" s="9"/>
      <c r="CH1679" s="9"/>
    </row>
    <row r="1680" spans="6:92" x14ac:dyDescent="0.25">
      <c r="F1680" s="9"/>
      <c r="G1680" s="9"/>
      <c r="AA1680" s="10"/>
      <c r="AV1680" s="11"/>
      <c r="AW1680" s="11"/>
      <c r="BB1680" s="9"/>
      <c r="BC1680" s="11"/>
      <c r="BF1680" s="9"/>
      <c r="CF1680" s="12"/>
      <c r="CH1680" s="9"/>
    </row>
    <row r="1681" spans="6:86" x14ac:dyDescent="0.25">
      <c r="F1681" s="9"/>
      <c r="G1681" s="9"/>
      <c r="AA1681" s="10"/>
      <c r="AV1681" s="11"/>
      <c r="AW1681" s="11"/>
      <c r="BB1681" s="9"/>
      <c r="BC1681" s="11"/>
      <c r="BF1681" s="9"/>
      <c r="CF1681" s="12"/>
      <c r="CH1681" s="9"/>
    </row>
    <row r="1682" spans="6:86" x14ac:dyDescent="0.25">
      <c r="F1682" s="9"/>
      <c r="G1682" s="9"/>
      <c r="AA1682" s="10"/>
      <c r="AV1682" s="11"/>
      <c r="AW1682" s="11"/>
      <c r="BB1682" s="9"/>
      <c r="BC1682" s="11"/>
      <c r="BF1682" s="9"/>
      <c r="CF1682" s="12"/>
      <c r="CH1682" s="9"/>
    </row>
    <row r="1683" spans="6:86" x14ac:dyDescent="0.25">
      <c r="F1683" s="9"/>
      <c r="G1683" s="9"/>
      <c r="AA1683" s="10"/>
      <c r="AV1683" s="11"/>
      <c r="AW1683" s="11"/>
      <c r="BB1683" s="9"/>
      <c r="BC1683" s="11"/>
      <c r="BF1683" s="9"/>
      <c r="CH1683" s="9"/>
    </row>
    <row r="1684" spans="6:86" x14ac:dyDescent="0.25">
      <c r="F1684" s="9"/>
      <c r="G1684" s="9"/>
      <c r="AA1684" s="10"/>
      <c r="AV1684" s="11"/>
      <c r="AW1684" s="11"/>
      <c r="BB1684" s="9"/>
      <c r="BC1684" s="11"/>
      <c r="BF1684" s="9"/>
      <c r="CF1684" s="12"/>
      <c r="CH1684" s="9"/>
    </row>
    <row r="1685" spans="6:86" x14ac:dyDescent="0.25">
      <c r="F1685" s="9"/>
      <c r="G1685" s="9"/>
      <c r="AA1685" s="10"/>
      <c r="AV1685" s="11"/>
      <c r="AW1685" s="11"/>
      <c r="BB1685" s="9"/>
      <c r="BC1685" s="11"/>
      <c r="BF1685" s="9"/>
      <c r="CF1685" s="12"/>
      <c r="CH1685" s="9"/>
    </row>
    <row r="1686" spans="6:86" x14ac:dyDescent="0.25">
      <c r="F1686" s="9"/>
      <c r="G1686" s="9"/>
      <c r="AA1686" s="10"/>
      <c r="AV1686" s="11"/>
      <c r="AW1686" s="11"/>
      <c r="BB1686" s="9"/>
      <c r="BC1686" s="11"/>
      <c r="BF1686" s="9"/>
      <c r="CH1686" s="9"/>
    </row>
    <row r="1687" spans="6:86" x14ac:dyDescent="0.25">
      <c r="F1687" s="9"/>
      <c r="G1687" s="9"/>
      <c r="AA1687" s="10"/>
      <c r="AV1687" s="11"/>
      <c r="AW1687" s="11"/>
      <c r="BB1687" s="9"/>
      <c r="BC1687" s="11"/>
      <c r="BF1687" s="9"/>
      <c r="CF1687" s="12"/>
      <c r="CH1687" s="9"/>
    </row>
    <row r="1688" spans="6:86" x14ac:dyDescent="0.25">
      <c r="F1688" s="9"/>
      <c r="G1688" s="9"/>
      <c r="AA1688" s="10"/>
      <c r="AV1688" s="11"/>
      <c r="AW1688" s="11"/>
      <c r="BB1688" s="9"/>
      <c r="BC1688" s="11"/>
      <c r="BF1688" s="9"/>
      <c r="CF1688" s="12"/>
      <c r="CH1688" s="9"/>
    </row>
    <row r="1689" spans="6:86" x14ac:dyDescent="0.25">
      <c r="F1689" s="9"/>
      <c r="G1689" s="9"/>
      <c r="AA1689" s="10"/>
      <c r="AV1689" s="11"/>
      <c r="AW1689" s="11"/>
      <c r="BB1689" s="9"/>
      <c r="BC1689" s="11"/>
      <c r="BF1689" s="9"/>
      <c r="CH1689" s="9"/>
    </row>
    <row r="1690" spans="6:86" x14ac:dyDescent="0.25">
      <c r="F1690" s="9"/>
      <c r="G1690" s="9"/>
      <c r="AA1690" s="10"/>
      <c r="AV1690" s="11"/>
      <c r="AW1690" s="11"/>
      <c r="BB1690" s="9"/>
      <c r="BC1690" s="11"/>
      <c r="BF1690" s="9"/>
      <c r="CF1690" s="12"/>
      <c r="CH1690" s="9"/>
    </row>
    <row r="1691" spans="6:86" x14ac:dyDescent="0.25">
      <c r="F1691" s="9"/>
      <c r="G1691" s="9"/>
      <c r="AA1691" s="10"/>
      <c r="AV1691" s="11"/>
      <c r="AW1691" s="11"/>
      <c r="BB1691" s="9"/>
      <c r="BC1691" s="11"/>
      <c r="BF1691" s="9"/>
      <c r="CF1691" s="12"/>
      <c r="CH1691" s="9"/>
    </row>
    <row r="1692" spans="6:86" x14ac:dyDescent="0.25">
      <c r="F1692" s="9"/>
      <c r="G1692" s="9"/>
      <c r="AA1692" s="10"/>
      <c r="AV1692" s="11"/>
      <c r="AW1692" s="11"/>
      <c r="BB1692" s="9"/>
      <c r="BC1692" s="11"/>
      <c r="BF1692" s="9"/>
      <c r="CH1692" s="9"/>
    </row>
    <row r="1693" spans="6:86" x14ac:dyDescent="0.25">
      <c r="F1693" s="9"/>
      <c r="G1693" s="9"/>
      <c r="AA1693" s="10"/>
      <c r="AV1693" s="11"/>
      <c r="AW1693" s="11"/>
      <c r="BB1693" s="9"/>
      <c r="BC1693" s="11"/>
      <c r="BF1693" s="9"/>
      <c r="CF1693" s="12"/>
      <c r="CH1693" s="9"/>
    </row>
    <row r="1694" spans="6:86" x14ac:dyDescent="0.25">
      <c r="F1694" s="9"/>
      <c r="G1694" s="9"/>
      <c r="AA1694" s="10"/>
      <c r="AV1694" s="11"/>
      <c r="AW1694" s="11"/>
      <c r="BB1694" s="9"/>
      <c r="BC1694" s="11"/>
      <c r="BF1694" s="9"/>
      <c r="CH1694" s="9"/>
    </row>
    <row r="1695" spans="6:86" x14ac:dyDescent="0.25">
      <c r="F1695" s="9"/>
      <c r="G1695" s="9"/>
      <c r="AA1695" s="10"/>
      <c r="AV1695" s="11"/>
      <c r="AW1695" s="11"/>
      <c r="BB1695" s="9"/>
      <c r="BC1695" s="11"/>
      <c r="BF1695" s="9"/>
      <c r="CF1695" s="12"/>
      <c r="CH1695" s="9"/>
    </row>
    <row r="1696" spans="6:86" x14ac:dyDescent="0.25">
      <c r="F1696" s="9"/>
      <c r="G1696" s="9"/>
      <c r="AA1696" s="10"/>
      <c r="AV1696" s="11"/>
      <c r="AW1696" s="11"/>
      <c r="BB1696" s="9"/>
      <c r="BC1696" s="11"/>
      <c r="BF1696" s="9"/>
      <c r="CF1696" s="12"/>
      <c r="CH1696" s="9"/>
    </row>
    <row r="1697" spans="6:92" x14ac:dyDescent="0.25">
      <c r="F1697" s="9"/>
      <c r="G1697" s="9"/>
      <c r="AA1697" s="10"/>
      <c r="AV1697" s="11"/>
      <c r="AW1697" s="11"/>
      <c r="BB1697" s="9"/>
      <c r="BC1697" s="11"/>
      <c r="BF1697" s="9"/>
      <c r="CF1697" s="12"/>
      <c r="CH1697" s="9"/>
    </row>
    <row r="1698" spans="6:92" x14ac:dyDescent="0.25">
      <c r="F1698" s="9"/>
      <c r="G1698" s="9"/>
      <c r="AA1698" s="10"/>
      <c r="AV1698" s="11"/>
      <c r="AW1698" s="11"/>
      <c r="BB1698" s="9"/>
      <c r="BC1698" s="11"/>
      <c r="BF1698" s="9"/>
      <c r="CH1698" s="9"/>
    </row>
    <row r="1699" spans="6:92" x14ac:dyDescent="0.25">
      <c r="F1699" s="9"/>
      <c r="G1699" s="9"/>
      <c r="AA1699" s="10"/>
      <c r="AV1699" s="11"/>
      <c r="AW1699" s="11"/>
      <c r="BB1699" s="9"/>
      <c r="BC1699" s="11"/>
      <c r="BF1699" s="9"/>
      <c r="CF1699" s="12"/>
      <c r="CH1699" s="9"/>
    </row>
    <row r="1700" spans="6:92" x14ac:dyDescent="0.25">
      <c r="F1700" s="9"/>
      <c r="G1700" s="9"/>
      <c r="AA1700" s="10"/>
      <c r="AV1700" s="11"/>
      <c r="AW1700" s="11"/>
      <c r="BB1700" s="9"/>
      <c r="BC1700" s="11"/>
      <c r="BF1700" s="9"/>
      <c r="CF1700" s="12"/>
      <c r="CH1700" s="9"/>
    </row>
    <row r="1701" spans="6:92" x14ac:dyDescent="0.25">
      <c r="F1701" s="9"/>
      <c r="G1701" s="9"/>
      <c r="AA1701" s="10"/>
      <c r="AV1701" s="11"/>
      <c r="AW1701" s="11"/>
      <c r="BB1701" s="9"/>
      <c r="BC1701" s="11"/>
      <c r="BF1701" s="9"/>
      <c r="CF1701" s="12"/>
      <c r="CH1701" s="9"/>
    </row>
    <row r="1702" spans="6:92" x14ac:dyDescent="0.25">
      <c r="F1702" s="9"/>
      <c r="G1702" s="9"/>
      <c r="AA1702" s="10"/>
      <c r="AV1702" s="11"/>
      <c r="AW1702" s="11"/>
      <c r="BB1702" s="9"/>
      <c r="BC1702" s="11"/>
      <c r="BF1702" s="9"/>
      <c r="CF1702" s="12"/>
      <c r="CH1702" s="9"/>
    </row>
    <row r="1703" spans="6:92" x14ac:dyDescent="0.25">
      <c r="F1703" s="9"/>
      <c r="G1703" s="9"/>
      <c r="AA1703" s="10"/>
      <c r="AV1703" s="11"/>
      <c r="AW1703" s="11"/>
      <c r="BB1703" s="9"/>
      <c r="BC1703" s="11"/>
      <c r="BF1703" s="9"/>
      <c r="CF1703" s="12"/>
      <c r="CH1703" s="9"/>
    </row>
    <row r="1704" spans="6:92" x14ac:dyDescent="0.25">
      <c r="F1704" s="9"/>
      <c r="G1704" s="9"/>
      <c r="AA1704" s="10"/>
      <c r="AV1704" s="11"/>
      <c r="AW1704" s="11"/>
      <c r="BB1704" s="9"/>
      <c r="BC1704" s="11"/>
      <c r="BF1704" s="9"/>
      <c r="CH1704" s="9"/>
    </row>
    <row r="1705" spans="6:92" x14ac:dyDescent="0.25">
      <c r="F1705" s="9"/>
      <c r="G1705" s="9"/>
      <c r="AA1705" s="10"/>
      <c r="AV1705" s="11"/>
      <c r="AW1705" s="11"/>
      <c r="BB1705" s="9"/>
      <c r="BC1705" s="11"/>
      <c r="BF1705" s="9"/>
    </row>
    <row r="1706" spans="6:92" x14ac:dyDescent="0.25">
      <c r="F1706" s="9"/>
      <c r="G1706" s="9"/>
      <c r="AA1706" s="10"/>
      <c r="AV1706" s="11"/>
      <c r="AW1706" s="11"/>
      <c r="BB1706" s="9"/>
      <c r="BC1706" s="11"/>
      <c r="BF1706" s="9"/>
      <c r="CF1706" s="12"/>
      <c r="CH1706" s="9"/>
    </row>
    <row r="1707" spans="6:92" x14ac:dyDescent="0.25">
      <c r="F1707" s="9"/>
      <c r="G1707" s="9"/>
      <c r="AA1707" s="10"/>
      <c r="AV1707" s="11"/>
      <c r="AW1707" s="11"/>
      <c r="BB1707" s="9"/>
      <c r="BC1707" s="11"/>
      <c r="BF1707" s="9"/>
      <c r="CF1707" s="12"/>
      <c r="CH1707" s="9"/>
    </row>
    <row r="1708" spans="6:92" x14ac:dyDescent="0.25">
      <c r="F1708" s="9"/>
      <c r="G1708" s="9"/>
      <c r="AA1708" s="10"/>
      <c r="AV1708" s="11"/>
      <c r="AW1708" s="11"/>
      <c r="BB1708" s="9"/>
      <c r="BC1708" s="11"/>
      <c r="BF1708" s="9"/>
      <c r="CF1708" s="12"/>
      <c r="CH1708" s="9"/>
    </row>
    <row r="1709" spans="6:92" x14ac:dyDescent="0.25">
      <c r="F1709" s="9"/>
      <c r="G1709" s="9"/>
      <c r="AA1709" s="10"/>
      <c r="AV1709" s="11"/>
      <c r="AW1709" s="11"/>
      <c r="BB1709" s="9"/>
      <c r="BC1709" s="11"/>
      <c r="BF1709" s="9"/>
      <c r="CH1709" s="9"/>
    </row>
    <row r="1710" spans="6:92" x14ac:dyDescent="0.25">
      <c r="F1710" s="9"/>
      <c r="G1710" s="9"/>
      <c r="AA1710" s="10"/>
      <c r="AV1710" s="11"/>
      <c r="AW1710" s="11"/>
      <c r="BB1710" s="9"/>
      <c r="BC1710" s="11"/>
      <c r="BF1710" s="9"/>
      <c r="CF1710" s="12"/>
      <c r="CH1710" s="9"/>
    </row>
    <row r="1711" spans="6:92" x14ac:dyDescent="0.25">
      <c r="F1711" s="9"/>
      <c r="G1711" s="9"/>
      <c r="U1711" s="12"/>
      <c r="Z1711" s="12"/>
      <c r="AA1711" s="10"/>
      <c r="AV1711" s="11"/>
      <c r="AW1711" s="11"/>
      <c r="BB1711" s="9"/>
      <c r="BC1711" s="11"/>
      <c r="BF1711" s="9"/>
      <c r="CF1711" s="12"/>
      <c r="CH1711" s="9"/>
      <c r="CN1711" s="12"/>
    </row>
    <row r="1712" spans="6:92" x14ac:dyDescent="0.25">
      <c r="F1712" s="9"/>
      <c r="G1712" s="9"/>
      <c r="AA1712" s="10"/>
      <c r="AV1712" s="11"/>
      <c r="AW1712" s="11"/>
      <c r="BB1712" s="9"/>
      <c r="BC1712" s="11"/>
      <c r="BF1712" s="9"/>
      <c r="CF1712" s="12"/>
      <c r="CH1712" s="9"/>
    </row>
    <row r="1713" spans="6:86" x14ac:dyDescent="0.25">
      <c r="F1713" s="9"/>
      <c r="G1713" s="9"/>
      <c r="AA1713" s="10"/>
      <c r="AV1713" s="11"/>
      <c r="AW1713" s="11"/>
      <c r="BB1713" s="9"/>
      <c r="BC1713" s="11"/>
      <c r="BF1713" s="9"/>
      <c r="CF1713" s="12"/>
      <c r="CH1713" s="9"/>
    </row>
    <row r="1714" spans="6:86" x14ac:dyDescent="0.25">
      <c r="F1714" s="9"/>
      <c r="G1714" s="9"/>
      <c r="AA1714" s="10"/>
      <c r="AV1714" s="11"/>
      <c r="AW1714" s="11"/>
      <c r="BB1714" s="9"/>
      <c r="BC1714" s="11"/>
      <c r="BF1714" s="9"/>
      <c r="CF1714" s="12"/>
      <c r="CH1714" s="9"/>
    </row>
    <row r="1715" spans="6:86" x14ac:dyDescent="0.25">
      <c r="F1715" s="9"/>
      <c r="G1715" s="9"/>
      <c r="AA1715" s="10"/>
      <c r="AV1715" s="11"/>
      <c r="AW1715" s="11"/>
      <c r="BB1715" s="9"/>
      <c r="BC1715" s="11"/>
      <c r="BF1715" s="9"/>
      <c r="CF1715" s="12"/>
      <c r="CH1715" s="9"/>
    </row>
    <row r="1716" spans="6:86" x14ac:dyDescent="0.25">
      <c r="F1716" s="9"/>
      <c r="G1716" s="9"/>
      <c r="AA1716" s="10"/>
      <c r="AV1716" s="11"/>
      <c r="AW1716" s="11"/>
      <c r="BB1716" s="9"/>
      <c r="BC1716" s="11"/>
      <c r="BF1716" s="9"/>
      <c r="CF1716" s="12"/>
      <c r="CH1716" s="9"/>
    </row>
    <row r="1717" spans="6:86" x14ac:dyDescent="0.25">
      <c r="F1717" s="9"/>
      <c r="G1717" s="9"/>
      <c r="AA1717" s="10"/>
      <c r="AV1717" s="11"/>
      <c r="AW1717" s="11"/>
      <c r="BB1717" s="9"/>
      <c r="BC1717" s="11"/>
      <c r="BF1717" s="9"/>
      <c r="CF1717" s="12"/>
      <c r="CH1717" s="9"/>
    </row>
    <row r="1718" spans="6:86" x14ac:dyDescent="0.25">
      <c r="F1718" s="9"/>
      <c r="G1718" s="9"/>
      <c r="AA1718" s="10"/>
      <c r="AV1718" s="11"/>
      <c r="AW1718" s="11"/>
      <c r="BB1718" s="9"/>
      <c r="BC1718" s="11"/>
      <c r="BF1718" s="9"/>
      <c r="CF1718" s="12"/>
      <c r="CH1718" s="9"/>
    </row>
    <row r="1719" spans="6:86" x14ac:dyDescent="0.25">
      <c r="F1719" s="9"/>
      <c r="G1719" s="9"/>
      <c r="AA1719" s="10"/>
      <c r="AV1719" s="11"/>
      <c r="AW1719" s="11"/>
      <c r="BB1719" s="9"/>
      <c r="BC1719" s="11"/>
      <c r="BF1719" s="9"/>
    </row>
    <row r="1720" spans="6:86" x14ac:dyDescent="0.25">
      <c r="F1720" s="9"/>
      <c r="G1720" s="9"/>
      <c r="AA1720" s="10"/>
      <c r="AV1720" s="11"/>
      <c r="AW1720" s="11"/>
      <c r="BB1720" s="9"/>
      <c r="BC1720" s="11"/>
      <c r="BF1720" s="9"/>
      <c r="CF1720" s="12"/>
      <c r="CH1720" s="9"/>
    </row>
    <row r="1721" spans="6:86" x14ac:dyDescent="0.25">
      <c r="F1721" s="9"/>
      <c r="G1721" s="9"/>
      <c r="AA1721" s="10"/>
      <c r="AV1721" s="11"/>
      <c r="AW1721" s="11"/>
      <c r="BB1721" s="9"/>
      <c r="BC1721" s="11"/>
      <c r="BF1721" s="9"/>
      <c r="CF1721" s="12"/>
      <c r="CH1721" s="9"/>
    </row>
    <row r="1722" spans="6:86" x14ac:dyDescent="0.25">
      <c r="F1722" s="9"/>
      <c r="G1722" s="9"/>
      <c r="AA1722" s="10"/>
      <c r="AV1722" s="11"/>
      <c r="AW1722" s="11"/>
      <c r="BB1722" s="9"/>
      <c r="BC1722" s="11"/>
      <c r="BF1722" s="9"/>
      <c r="CF1722" s="12"/>
      <c r="CH1722" s="9"/>
    </row>
    <row r="1723" spans="6:86" x14ac:dyDescent="0.25">
      <c r="F1723" s="9"/>
      <c r="G1723" s="9"/>
      <c r="AA1723" s="10"/>
      <c r="AV1723" s="11"/>
      <c r="AW1723" s="11"/>
      <c r="BB1723" s="9"/>
      <c r="BC1723" s="11"/>
      <c r="BF1723" s="9"/>
      <c r="CF1723" s="12"/>
      <c r="CH1723" s="9"/>
    </row>
    <row r="1724" spans="6:86" x14ac:dyDescent="0.25">
      <c r="F1724" s="9"/>
      <c r="G1724" s="9"/>
      <c r="AA1724" s="10"/>
      <c r="AV1724" s="11"/>
      <c r="AW1724" s="11"/>
      <c r="BB1724" s="9"/>
      <c r="BC1724" s="11"/>
      <c r="BF1724" s="9"/>
      <c r="CF1724" s="12"/>
      <c r="CH1724" s="9"/>
    </row>
    <row r="1725" spans="6:86" x14ac:dyDescent="0.25">
      <c r="F1725" s="9"/>
      <c r="G1725" s="9"/>
      <c r="AA1725" s="10"/>
      <c r="AV1725" s="11"/>
      <c r="AW1725" s="11"/>
      <c r="BB1725" s="9"/>
      <c r="BC1725" s="11"/>
      <c r="BF1725" s="9"/>
      <c r="CF1725" s="12"/>
      <c r="CH1725" s="9"/>
    </row>
    <row r="1726" spans="6:86" x14ac:dyDescent="0.25">
      <c r="F1726" s="9"/>
      <c r="G1726" s="9"/>
      <c r="AA1726" s="10"/>
      <c r="AV1726" s="11"/>
      <c r="AW1726" s="11"/>
      <c r="BB1726" s="9"/>
      <c r="BC1726" s="11"/>
      <c r="BF1726" s="9"/>
      <c r="CF1726" s="12"/>
      <c r="CH1726" s="9"/>
    </row>
    <row r="1727" spans="6:86" x14ac:dyDescent="0.25">
      <c r="F1727" s="9"/>
      <c r="G1727" s="9"/>
      <c r="AA1727" s="10"/>
      <c r="AV1727" s="11"/>
      <c r="AW1727" s="11"/>
      <c r="BB1727" s="9"/>
      <c r="BC1727" s="11"/>
      <c r="BF1727" s="9"/>
      <c r="CF1727" s="12"/>
      <c r="CH1727" s="9"/>
    </row>
    <row r="1728" spans="6:86" x14ac:dyDescent="0.25">
      <c r="F1728" s="9"/>
      <c r="G1728" s="9"/>
      <c r="AA1728" s="10"/>
      <c r="AV1728" s="11"/>
      <c r="AW1728" s="11"/>
      <c r="BB1728" s="9"/>
      <c r="BC1728" s="11"/>
      <c r="BF1728" s="9"/>
      <c r="CF1728" s="12"/>
      <c r="CH1728" s="9"/>
    </row>
    <row r="1729" spans="6:86" x14ac:dyDescent="0.25">
      <c r="F1729" s="9"/>
      <c r="G1729" s="9"/>
      <c r="AA1729" s="10"/>
      <c r="AV1729" s="11"/>
      <c r="AW1729" s="11"/>
      <c r="BB1729" s="9"/>
      <c r="BC1729" s="11"/>
      <c r="BF1729" s="9"/>
      <c r="CF1729" s="12"/>
      <c r="CH1729" s="9"/>
    </row>
    <row r="1730" spans="6:86" x14ac:dyDescent="0.25">
      <c r="F1730" s="9"/>
      <c r="G1730" s="9"/>
      <c r="AA1730" s="10"/>
      <c r="AV1730" s="11"/>
      <c r="AW1730" s="11"/>
      <c r="BB1730" s="9"/>
      <c r="BC1730" s="11"/>
      <c r="BF1730" s="9"/>
      <c r="CF1730" s="12"/>
      <c r="CH1730" s="9"/>
    </row>
    <row r="1731" spans="6:86" x14ac:dyDescent="0.25">
      <c r="F1731" s="9"/>
      <c r="G1731" s="9"/>
      <c r="AA1731" s="10"/>
      <c r="AV1731" s="11"/>
      <c r="AW1731" s="11"/>
      <c r="BB1731" s="9"/>
      <c r="BC1731" s="11"/>
      <c r="BF1731" s="9"/>
      <c r="CF1731" s="12"/>
      <c r="CH1731" s="9"/>
    </row>
    <row r="1732" spans="6:86" x14ac:dyDescent="0.25">
      <c r="F1732" s="9"/>
      <c r="G1732" s="9"/>
      <c r="AA1732" s="10"/>
      <c r="AV1732" s="11"/>
      <c r="AW1732" s="11"/>
      <c r="BB1732" s="9"/>
      <c r="BC1732" s="11"/>
      <c r="BF1732" s="9"/>
      <c r="CF1732" s="12"/>
      <c r="CH1732" s="9"/>
    </row>
    <row r="1733" spans="6:86" x14ac:dyDescent="0.25">
      <c r="F1733" s="9"/>
      <c r="G1733" s="9"/>
      <c r="AA1733" s="10"/>
      <c r="AV1733" s="11"/>
      <c r="AW1733" s="11"/>
      <c r="BB1733" s="9"/>
      <c r="BC1733" s="11"/>
      <c r="BF1733" s="9"/>
      <c r="CF1733" s="12"/>
      <c r="CH1733" s="9"/>
    </row>
    <row r="1734" spans="6:86" x14ac:dyDescent="0.25">
      <c r="F1734" s="9"/>
      <c r="G1734" s="9"/>
      <c r="AA1734" s="10"/>
      <c r="AV1734" s="11"/>
      <c r="AW1734" s="11"/>
      <c r="BB1734" s="9"/>
      <c r="BC1734" s="11"/>
      <c r="BF1734" s="9"/>
      <c r="CF1734" s="12"/>
      <c r="CH1734" s="9"/>
    </row>
    <row r="1735" spans="6:86" x14ac:dyDescent="0.25">
      <c r="F1735" s="9"/>
      <c r="G1735" s="9"/>
      <c r="AA1735" s="10"/>
      <c r="AV1735" s="11"/>
      <c r="AW1735" s="11"/>
      <c r="BB1735" s="9"/>
      <c r="BC1735" s="11"/>
      <c r="BF1735" s="9"/>
      <c r="CF1735" s="12"/>
      <c r="CH1735" s="9"/>
    </row>
    <row r="1736" spans="6:86" x14ac:dyDescent="0.25">
      <c r="F1736" s="9"/>
      <c r="G1736" s="9"/>
      <c r="AA1736" s="10"/>
      <c r="AV1736" s="11"/>
      <c r="AW1736" s="11"/>
      <c r="BB1736" s="9"/>
      <c r="BC1736" s="11"/>
      <c r="BF1736" s="9"/>
      <c r="CH1736" s="9"/>
    </row>
    <row r="1737" spans="6:86" x14ac:dyDescent="0.25">
      <c r="F1737" s="9"/>
      <c r="G1737" s="9"/>
      <c r="AA1737" s="10"/>
      <c r="AV1737" s="11"/>
      <c r="AW1737" s="11"/>
      <c r="BB1737" s="9"/>
      <c r="BC1737" s="11"/>
      <c r="BF1737" s="9"/>
      <c r="CF1737" s="12"/>
      <c r="CH1737" s="9"/>
    </row>
    <row r="1738" spans="6:86" x14ac:dyDescent="0.25">
      <c r="F1738" s="9"/>
      <c r="G1738" s="9"/>
      <c r="AA1738" s="10"/>
      <c r="AV1738" s="11"/>
      <c r="AW1738" s="11"/>
      <c r="BB1738" s="9"/>
      <c r="BC1738" s="11"/>
      <c r="BF1738" s="9"/>
      <c r="CF1738" s="12"/>
      <c r="CH1738" s="9"/>
    </row>
    <row r="1739" spans="6:86" x14ac:dyDescent="0.25">
      <c r="F1739" s="9"/>
      <c r="G1739" s="9"/>
      <c r="AA1739" s="10"/>
      <c r="AV1739" s="11"/>
      <c r="AW1739" s="11"/>
      <c r="BB1739" s="9"/>
      <c r="BC1739" s="11"/>
      <c r="BF1739" s="9"/>
      <c r="CH1739" s="9"/>
    </row>
    <row r="1740" spans="6:86" x14ac:dyDescent="0.25">
      <c r="F1740" s="9"/>
      <c r="G1740" s="9"/>
      <c r="AA1740" s="10"/>
      <c r="AV1740" s="11"/>
      <c r="AW1740" s="11"/>
      <c r="BB1740" s="9"/>
      <c r="BC1740" s="11"/>
      <c r="BF1740" s="9"/>
      <c r="CF1740" s="12"/>
      <c r="CH1740" s="9"/>
    </row>
    <row r="1741" spans="6:86" x14ac:dyDescent="0.25">
      <c r="F1741" s="9"/>
      <c r="G1741" s="9"/>
      <c r="AA1741" s="10"/>
      <c r="AV1741" s="11"/>
      <c r="AW1741" s="11"/>
      <c r="BB1741" s="9"/>
      <c r="BC1741" s="11"/>
      <c r="BF1741" s="9"/>
      <c r="CF1741" s="12"/>
      <c r="CH1741" s="9"/>
    </row>
    <row r="1742" spans="6:86" x14ac:dyDescent="0.25">
      <c r="F1742" s="9"/>
      <c r="G1742" s="9"/>
      <c r="AA1742" s="10"/>
      <c r="AV1742" s="11"/>
      <c r="AW1742" s="11"/>
      <c r="BB1742" s="9"/>
      <c r="BC1742" s="11"/>
      <c r="BF1742" s="9"/>
      <c r="CH1742" s="9"/>
    </row>
    <row r="1743" spans="6:86" x14ac:dyDescent="0.25">
      <c r="F1743" s="9"/>
      <c r="G1743" s="9"/>
      <c r="AA1743" s="10"/>
      <c r="AV1743" s="11"/>
      <c r="AW1743" s="11"/>
      <c r="BB1743" s="9"/>
      <c r="BC1743" s="11"/>
      <c r="BF1743" s="9"/>
      <c r="CF1743" s="12"/>
      <c r="CH1743" s="9"/>
    </row>
    <row r="1744" spans="6:86" x14ac:dyDescent="0.25">
      <c r="F1744" s="9"/>
      <c r="G1744" s="9"/>
      <c r="AA1744" s="10"/>
      <c r="AV1744" s="11"/>
      <c r="AW1744" s="11"/>
      <c r="BB1744" s="9"/>
      <c r="BC1744" s="11"/>
      <c r="BF1744" s="9"/>
      <c r="CF1744" s="12"/>
      <c r="CH1744" s="9"/>
    </row>
    <row r="1745" spans="6:86" x14ac:dyDescent="0.25">
      <c r="F1745" s="9"/>
      <c r="G1745" s="9"/>
      <c r="AA1745" s="10"/>
      <c r="AV1745" s="11"/>
      <c r="AW1745" s="11"/>
      <c r="BB1745" s="9"/>
      <c r="BC1745" s="11"/>
      <c r="BF1745" s="9"/>
      <c r="CH1745" s="9"/>
    </row>
    <row r="1746" spans="6:86" x14ac:dyDescent="0.25">
      <c r="F1746" s="9"/>
      <c r="G1746" s="9"/>
      <c r="AA1746" s="10"/>
      <c r="AV1746" s="11"/>
      <c r="AW1746" s="11"/>
      <c r="BB1746" s="9"/>
      <c r="BC1746" s="11"/>
      <c r="BF1746" s="9"/>
      <c r="CF1746" s="12"/>
      <c r="CH1746" s="9"/>
    </row>
    <row r="1747" spans="6:86" x14ac:dyDescent="0.25">
      <c r="F1747" s="9"/>
      <c r="G1747" s="9"/>
      <c r="AA1747" s="10"/>
      <c r="AV1747" s="11"/>
      <c r="AW1747" s="11"/>
      <c r="BB1747" s="9"/>
      <c r="BC1747" s="11"/>
      <c r="BF1747" s="9"/>
      <c r="CF1747" s="12"/>
      <c r="CH1747" s="9"/>
    </row>
    <row r="1748" spans="6:86" x14ac:dyDescent="0.25">
      <c r="F1748" s="9"/>
      <c r="G1748" s="9"/>
      <c r="AA1748" s="10"/>
      <c r="AV1748" s="11"/>
      <c r="AW1748" s="11"/>
      <c r="BB1748" s="9"/>
      <c r="BC1748" s="11"/>
      <c r="BF1748" s="9"/>
      <c r="CH1748" s="9"/>
    </row>
    <row r="1749" spans="6:86" x14ac:dyDescent="0.25">
      <c r="F1749" s="9"/>
      <c r="G1749" s="9"/>
      <c r="AA1749" s="10"/>
      <c r="AM1749" s="9"/>
      <c r="AV1749" s="11"/>
      <c r="AW1749" s="11"/>
      <c r="BB1749" s="9"/>
      <c r="BC1749" s="11"/>
      <c r="BF1749" s="9"/>
      <c r="CF1749" s="12"/>
      <c r="CH1749" s="9"/>
    </row>
    <row r="1750" spans="6:86" x14ac:dyDescent="0.25">
      <c r="F1750" s="9"/>
      <c r="G1750" s="9"/>
      <c r="AA1750" s="10"/>
      <c r="AM1750" s="9"/>
      <c r="AV1750" s="11"/>
      <c r="AW1750" s="11"/>
      <c r="BB1750" s="9"/>
      <c r="BC1750" s="11"/>
      <c r="BF1750" s="9"/>
      <c r="CH1750" s="9"/>
    </row>
    <row r="1751" spans="6:86" x14ac:dyDescent="0.25">
      <c r="F1751" s="9"/>
      <c r="G1751" s="9"/>
      <c r="AA1751" s="10"/>
      <c r="AV1751" s="11"/>
      <c r="AW1751" s="11"/>
      <c r="BB1751" s="9"/>
      <c r="BC1751" s="11"/>
      <c r="BF1751" s="9"/>
      <c r="CF1751" s="12"/>
      <c r="CH1751" s="9"/>
    </row>
    <row r="1752" spans="6:86" x14ac:dyDescent="0.25">
      <c r="F1752" s="9"/>
      <c r="G1752" s="9"/>
      <c r="AA1752" s="10"/>
      <c r="AV1752" s="11"/>
      <c r="AW1752" s="11"/>
      <c r="BB1752" s="9"/>
      <c r="BC1752" s="11"/>
      <c r="BF1752" s="9"/>
      <c r="CF1752" s="12"/>
      <c r="CH1752" s="9"/>
    </row>
    <row r="1753" spans="6:86" x14ac:dyDescent="0.25">
      <c r="F1753" s="9"/>
      <c r="G1753" s="9"/>
      <c r="AA1753" s="10"/>
      <c r="AV1753" s="11"/>
      <c r="AW1753" s="11"/>
      <c r="BB1753" s="9"/>
      <c r="BC1753" s="11"/>
      <c r="BF1753" s="9"/>
      <c r="CF1753" s="12"/>
      <c r="CH1753" s="9"/>
    </row>
    <row r="1754" spans="6:86" x14ac:dyDescent="0.25">
      <c r="F1754" s="9"/>
      <c r="G1754" s="9"/>
      <c r="AA1754" s="10"/>
      <c r="AV1754" s="11"/>
      <c r="AW1754" s="11"/>
      <c r="BB1754" s="9"/>
      <c r="BC1754" s="11"/>
      <c r="BF1754" s="9"/>
      <c r="CF1754" s="12"/>
      <c r="CH1754" s="9"/>
    </row>
    <row r="1755" spans="6:86" x14ac:dyDescent="0.25">
      <c r="F1755" s="9"/>
      <c r="G1755" s="9"/>
      <c r="AA1755" s="10"/>
      <c r="AV1755" s="11"/>
      <c r="AW1755" s="11"/>
      <c r="BB1755" s="9"/>
      <c r="BC1755" s="11"/>
      <c r="BF1755" s="9"/>
      <c r="CF1755" s="12"/>
      <c r="CH1755" s="9"/>
    </row>
    <row r="1756" spans="6:86" x14ac:dyDescent="0.25">
      <c r="F1756" s="9"/>
      <c r="G1756" s="9"/>
      <c r="AA1756" s="10"/>
      <c r="AV1756" s="11"/>
      <c r="AW1756" s="11"/>
      <c r="BB1756" s="9"/>
      <c r="BC1756" s="11"/>
      <c r="BF1756" s="9"/>
      <c r="CF1756" s="12"/>
      <c r="CH1756" s="9"/>
    </row>
    <row r="1757" spans="6:86" x14ac:dyDescent="0.25">
      <c r="F1757" s="9"/>
      <c r="G1757" s="9"/>
      <c r="AA1757" s="10"/>
      <c r="AV1757" s="11"/>
      <c r="AW1757" s="11"/>
      <c r="BB1757" s="9"/>
      <c r="BC1757" s="11"/>
      <c r="BF1757" s="9"/>
      <c r="CH1757" s="9"/>
    </row>
    <row r="1758" spans="6:86" x14ac:dyDescent="0.25">
      <c r="F1758" s="9"/>
      <c r="G1758" s="9"/>
      <c r="AA1758" s="10"/>
      <c r="AV1758" s="11"/>
      <c r="AW1758" s="11"/>
      <c r="BB1758" s="9"/>
      <c r="BC1758" s="11"/>
      <c r="BF1758" s="9"/>
      <c r="CF1758" s="12"/>
      <c r="CH1758" s="9"/>
    </row>
    <row r="1759" spans="6:86" x14ac:dyDescent="0.25">
      <c r="F1759" s="9"/>
      <c r="G1759" s="9"/>
      <c r="AA1759" s="10"/>
      <c r="AV1759" s="11"/>
      <c r="AW1759" s="11"/>
      <c r="BB1759" s="9"/>
      <c r="BC1759" s="11"/>
      <c r="BF1759" s="9"/>
      <c r="CF1759" s="12"/>
      <c r="CH1759" s="9"/>
    </row>
    <row r="1760" spans="6:86" x14ac:dyDescent="0.25">
      <c r="F1760" s="9"/>
      <c r="G1760" s="9"/>
      <c r="AA1760" s="10"/>
      <c r="AV1760" s="11"/>
      <c r="AW1760" s="11"/>
      <c r="BB1760" s="9"/>
      <c r="BC1760" s="11"/>
      <c r="BF1760" s="9"/>
      <c r="CF1760" s="12"/>
      <c r="CH1760" s="9"/>
    </row>
    <row r="1761" spans="6:86" x14ac:dyDescent="0.25">
      <c r="F1761" s="9"/>
      <c r="G1761" s="9"/>
      <c r="AA1761" s="10"/>
      <c r="AV1761" s="11"/>
      <c r="AW1761" s="11"/>
      <c r="BB1761" s="9"/>
      <c r="BC1761" s="11"/>
      <c r="BF1761" s="9"/>
      <c r="CF1761" s="12"/>
      <c r="CH1761" s="9"/>
    </row>
    <row r="1762" spans="6:86" x14ac:dyDescent="0.25">
      <c r="F1762" s="9"/>
      <c r="G1762" s="9"/>
      <c r="AA1762" s="10"/>
      <c r="AV1762" s="11"/>
      <c r="AW1762" s="11"/>
      <c r="BB1762" s="9"/>
      <c r="BC1762" s="11"/>
      <c r="BF1762" s="9"/>
      <c r="CH1762" s="9"/>
    </row>
    <row r="1763" spans="6:86" x14ac:dyDescent="0.25">
      <c r="F1763" s="9"/>
      <c r="G1763" s="9"/>
      <c r="AA1763" s="10"/>
      <c r="AV1763" s="11"/>
      <c r="AW1763" s="11"/>
      <c r="BB1763" s="9"/>
      <c r="BC1763" s="11"/>
      <c r="BF1763" s="9"/>
      <c r="CH1763" s="9"/>
    </row>
    <row r="1764" spans="6:86" x14ac:dyDescent="0.25">
      <c r="F1764" s="9"/>
      <c r="G1764" s="9"/>
      <c r="AA1764" s="10"/>
      <c r="AV1764" s="11"/>
      <c r="AW1764" s="11"/>
      <c r="BB1764" s="9"/>
      <c r="BC1764" s="11"/>
      <c r="BF1764" s="9"/>
      <c r="CF1764" s="12"/>
      <c r="CH1764" s="9"/>
    </row>
    <row r="1765" spans="6:86" x14ac:dyDescent="0.25">
      <c r="F1765" s="9"/>
      <c r="G1765" s="9"/>
      <c r="AA1765" s="10"/>
      <c r="AM1765" s="9"/>
      <c r="AV1765" s="11"/>
      <c r="AW1765" s="11"/>
      <c r="BB1765" s="9"/>
      <c r="BC1765" s="11"/>
      <c r="BF1765" s="9"/>
      <c r="CF1765" s="12"/>
      <c r="CH1765" s="9"/>
    </row>
    <row r="1766" spans="6:86" x14ac:dyDescent="0.25">
      <c r="F1766" s="9"/>
      <c r="G1766" s="9"/>
      <c r="AA1766" s="10"/>
      <c r="AM1766" s="9"/>
      <c r="AV1766" s="11"/>
      <c r="AW1766" s="11"/>
      <c r="BB1766" s="9"/>
      <c r="BC1766" s="11"/>
      <c r="BF1766" s="9"/>
      <c r="CF1766" s="12"/>
      <c r="CH1766" s="9"/>
    </row>
    <row r="1767" spans="6:86" x14ac:dyDescent="0.25">
      <c r="F1767" s="9"/>
      <c r="G1767" s="9"/>
      <c r="AA1767" s="10"/>
      <c r="AM1767" s="9"/>
      <c r="AV1767" s="11"/>
      <c r="AW1767" s="11"/>
      <c r="BB1767" s="9"/>
      <c r="BC1767" s="11"/>
      <c r="BF1767" s="9"/>
      <c r="CH1767" s="9"/>
    </row>
    <row r="1768" spans="6:86" x14ac:dyDescent="0.25">
      <c r="F1768" s="9"/>
      <c r="G1768" s="9"/>
      <c r="AA1768" s="10"/>
      <c r="AM1768" s="9"/>
      <c r="AV1768" s="11"/>
      <c r="AW1768" s="11"/>
      <c r="BB1768" s="9"/>
      <c r="BC1768" s="11"/>
      <c r="BF1768" s="9"/>
      <c r="CF1768" s="12"/>
      <c r="CH1768" s="9"/>
    </row>
    <row r="1769" spans="6:86" x14ac:dyDescent="0.25">
      <c r="F1769" s="9"/>
      <c r="G1769" s="9"/>
      <c r="U1769" s="12"/>
      <c r="AA1769" s="10"/>
      <c r="AV1769" s="11"/>
      <c r="AW1769" s="11"/>
      <c r="BB1769" s="9"/>
      <c r="BC1769" s="11"/>
      <c r="BF1769" s="9"/>
      <c r="CH1769" s="9"/>
    </row>
    <row r="1770" spans="6:86" x14ac:dyDescent="0.25">
      <c r="F1770" s="9"/>
      <c r="G1770" s="9"/>
      <c r="AA1770" s="10"/>
      <c r="AV1770" s="11"/>
      <c r="AW1770" s="11"/>
      <c r="BB1770" s="9"/>
      <c r="BC1770" s="11"/>
      <c r="BF1770" s="9"/>
      <c r="CF1770" s="12"/>
      <c r="CH1770" s="9"/>
    </row>
    <row r="1771" spans="6:86" x14ac:dyDescent="0.25">
      <c r="F1771" s="9"/>
      <c r="G1771" s="9"/>
      <c r="AA1771" s="10"/>
      <c r="AV1771" s="11"/>
      <c r="AW1771" s="11"/>
      <c r="BB1771" s="9"/>
      <c r="BC1771" s="11"/>
      <c r="BF1771" s="9"/>
      <c r="CF1771" s="12"/>
      <c r="CH1771" s="9"/>
    </row>
    <row r="1772" spans="6:86" x14ac:dyDescent="0.25">
      <c r="F1772" s="9"/>
      <c r="G1772" s="9"/>
      <c r="AA1772" s="10"/>
      <c r="AV1772" s="11"/>
      <c r="AW1772" s="11"/>
      <c r="BB1772" s="9"/>
      <c r="BC1772" s="11"/>
      <c r="BF1772" s="9"/>
      <c r="CF1772" s="12"/>
      <c r="CH1772" s="9"/>
    </row>
    <row r="1773" spans="6:86" x14ac:dyDescent="0.25">
      <c r="F1773" s="9"/>
      <c r="G1773" s="9"/>
      <c r="AA1773" s="10"/>
      <c r="AV1773" s="11"/>
      <c r="AW1773" s="11"/>
      <c r="BB1773" s="9"/>
      <c r="BC1773" s="11"/>
      <c r="BF1773" s="9"/>
      <c r="CF1773" s="12"/>
      <c r="CH1773" s="9"/>
    </row>
    <row r="1774" spans="6:86" x14ac:dyDescent="0.25">
      <c r="F1774" s="9"/>
      <c r="G1774" s="9"/>
      <c r="AA1774" s="10"/>
      <c r="AV1774" s="11"/>
      <c r="AW1774" s="11"/>
      <c r="BB1774" s="9"/>
      <c r="BC1774" s="11"/>
      <c r="BF1774" s="9"/>
      <c r="CF1774" s="12"/>
      <c r="CH1774" s="9"/>
    </row>
    <row r="1775" spans="6:86" x14ac:dyDescent="0.25">
      <c r="F1775" s="9"/>
      <c r="G1775" s="9"/>
      <c r="AA1775" s="10"/>
      <c r="AV1775" s="11"/>
      <c r="AW1775" s="11"/>
      <c r="BB1775" s="9"/>
      <c r="BC1775" s="11"/>
      <c r="BF1775" s="9"/>
      <c r="CH1775" s="9"/>
    </row>
    <row r="1776" spans="6:86" x14ac:dyDescent="0.25">
      <c r="F1776" s="9"/>
      <c r="G1776" s="9"/>
      <c r="AA1776" s="10"/>
      <c r="AV1776" s="11"/>
      <c r="AW1776" s="11"/>
      <c r="BB1776" s="9"/>
      <c r="BC1776" s="11"/>
      <c r="BF1776" s="9"/>
      <c r="CF1776" s="12"/>
      <c r="CH1776" s="9"/>
    </row>
    <row r="1777" spans="6:86" x14ac:dyDescent="0.25">
      <c r="F1777" s="9"/>
      <c r="G1777" s="9"/>
      <c r="AA1777" s="10"/>
      <c r="AV1777" s="11"/>
      <c r="AW1777" s="11"/>
      <c r="BB1777" s="9"/>
      <c r="BC1777" s="11"/>
      <c r="BF1777" s="9"/>
      <c r="CF1777" s="12"/>
      <c r="CH1777" s="9"/>
    </row>
    <row r="1778" spans="6:86" x14ac:dyDescent="0.25">
      <c r="F1778" s="9"/>
      <c r="G1778" s="9"/>
      <c r="AA1778" s="10"/>
      <c r="AV1778" s="11"/>
      <c r="AW1778" s="11"/>
      <c r="BB1778" s="9"/>
      <c r="BC1778" s="11"/>
      <c r="BF1778" s="9"/>
      <c r="CF1778" s="12"/>
      <c r="CH1778" s="9"/>
    </row>
    <row r="1779" spans="6:86" x14ac:dyDescent="0.25">
      <c r="F1779" s="9"/>
      <c r="G1779" s="9"/>
      <c r="AA1779" s="10"/>
      <c r="AV1779" s="11"/>
      <c r="AW1779" s="11"/>
      <c r="BB1779" s="9"/>
      <c r="BC1779" s="11"/>
      <c r="BF1779" s="9"/>
      <c r="CF1779" s="12"/>
      <c r="CH1779" s="9"/>
    </row>
    <row r="1780" spans="6:86" x14ac:dyDescent="0.25">
      <c r="F1780" s="9"/>
      <c r="G1780" s="9"/>
      <c r="AA1780" s="10"/>
      <c r="AV1780" s="11"/>
      <c r="AW1780" s="11"/>
      <c r="BB1780" s="9"/>
      <c r="BC1780" s="11"/>
      <c r="BF1780" s="9"/>
      <c r="CF1780" s="12"/>
      <c r="CH1780" s="9"/>
    </row>
    <row r="1781" spans="6:86" x14ac:dyDescent="0.25">
      <c r="F1781" s="9"/>
      <c r="G1781" s="9"/>
      <c r="AA1781" s="10"/>
      <c r="AV1781" s="11"/>
      <c r="AW1781" s="11"/>
      <c r="BB1781" s="9"/>
      <c r="BC1781" s="11"/>
      <c r="BF1781" s="9"/>
      <c r="CF1781" s="12"/>
      <c r="CH1781" s="9"/>
    </row>
    <row r="1782" spans="6:86" x14ac:dyDescent="0.25">
      <c r="F1782" s="9"/>
      <c r="G1782" s="9"/>
      <c r="AA1782" s="10"/>
      <c r="AV1782" s="11"/>
      <c r="AW1782" s="11"/>
      <c r="BB1782" s="9"/>
      <c r="BC1782" s="11"/>
      <c r="BF1782" s="9"/>
      <c r="CF1782" s="12"/>
      <c r="CH1782" s="9"/>
    </row>
    <row r="1783" spans="6:86" x14ac:dyDescent="0.25">
      <c r="F1783" s="9"/>
      <c r="G1783" s="9"/>
      <c r="AA1783" s="10"/>
      <c r="AV1783" s="11"/>
      <c r="AW1783" s="11"/>
      <c r="BB1783" s="9"/>
      <c r="BC1783" s="11"/>
      <c r="BF1783" s="9"/>
      <c r="CF1783" s="12"/>
      <c r="CH1783" s="9"/>
    </row>
    <row r="1784" spans="6:86" x14ac:dyDescent="0.25">
      <c r="F1784" s="9"/>
      <c r="G1784" s="9"/>
      <c r="AA1784" s="10"/>
      <c r="AV1784" s="11"/>
      <c r="AW1784" s="11"/>
      <c r="BB1784" s="9"/>
      <c r="BC1784" s="11"/>
      <c r="BF1784" s="9"/>
      <c r="CF1784" s="12"/>
      <c r="CH1784" s="9"/>
    </row>
    <row r="1785" spans="6:86" x14ac:dyDescent="0.25">
      <c r="F1785" s="9"/>
      <c r="G1785" s="9"/>
      <c r="AA1785" s="10"/>
      <c r="AV1785" s="11"/>
      <c r="AW1785" s="11"/>
      <c r="BB1785" s="9"/>
      <c r="BC1785" s="11"/>
      <c r="BF1785" s="9"/>
      <c r="CF1785" s="12"/>
      <c r="CH1785" s="9"/>
    </row>
    <row r="1786" spans="6:86" x14ac:dyDescent="0.25">
      <c r="F1786" s="9"/>
      <c r="G1786" s="9"/>
      <c r="AA1786" s="10"/>
      <c r="AV1786" s="11"/>
      <c r="AW1786" s="11"/>
      <c r="BB1786" s="9"/>
      <c r="BC1786" s="11"/>
      <c r="BF1786" s="9"/>
      <c r="CF1786" s="12"/>
      <c r="CH1786" s="9"/>
    </row>
    <row r="1787" spans="6:86" x14ac:dyDescent="0.25">
      <c r="F1787" s="9"/>
      <c r="G1787" s="9"/>
      <c r="AA1787" s="10"/>
      <c r="AV1787" s="11"/>
      <c r="AW1787" s="11"/>
      <c r="BB1787" s="9"/>
      <c r="BC1787" s="11"/>
      <c r="BF1787" s="9"/>
      <c r="CF1787" s="12"/>
      <c r="CH1787" s="9"/>
    </row>
    <row r="1788" spans="6:86" x14ac:dyDescent="0.25">
      <c r="F1788" s="9"/>
      <c r="G1788" s="9"/>
      <c r="AA1788" s="10"/>
      <c r="AV1788" s="11"/>
      <c r="AW1788" s="11"/>
      <c r="BB1788" s="9"/>
      <c r="BC1788" s="11"/>
      <c r="BF1788" s="9"/>
      <c r="CF1788" s="12"/>
      <c r="CH1788" s="9"/>
    </row>
    <row r="1789" spans="6:86" x14ac:dyDescent="0.25">
      <c r="F1789" s="9"/>
      <c r="G1789" s="9"/>
      <c r="AA1789" s="10"/>
      <c r="AV1789" s="11"/>
      <c r="AW1789" s="11"/>
      <c r="BB1789" s="9"/>
      <c r="BC1789" s="11"/>
      <c r="BF1789" s="9"/>
      <c r="CF1789" s="12"/>
      <c r="CH1789" s="9"/>
    </row>
    <row r="1790" spans="6:86" x14ac:dyDescent="0.25">
      <c r="F1790" s="9"/>
      <c r="G1790" s="9"/>
      <c r="AA1790" s="10"/>
      <c r="AV1790" s="11"/>
      <c r="AW1790" s="11"/>
      <c r="BB1790" s="9"/>
      <c r="BC1790" s="11"/>
      <c r="BF1790" s="9"/>
      <c r="CF1790" s="12"/>
      <c r="CH1790" s="9"/>
    </row>
    <row r="1791" spans="6:86" x14ac:dyDescent="0.25">
      <c r="F1791" s="9"/>
      <c r="G1791" s="9"/>
      <c r="AA1791" s="10"/>
      <c r="AV1791" s="11"/>
      <c r="AW1791" s="11"/>
      <c r="BB1791" s="9"/>
      <c r="BC1791" s="11"/>
      <c r="BF1791" s="9"/>
      <c r="CF1791" s="12"/>
      <c r="CH1791" s="9"/>
    </row>
    <row r="1792" spans="6:86" x14ac:dyDescent="0.25">
      <c r="F1792" s="9"/>
      <c r="G1792" s="9"/>
      <c r="AA1792" s="10"/>
      <c r="AV1792" s="11"/>
      <c r="AW1792" s="11"/>
      <c r="BB1792" s="9"/>
      <c r="BC1792" s="11"/>
      <c r="BF1792" s="9"/>
      <c r="CF1792" s="12"/>
      <c r="CH1792" s="9"/>
    </row>
    <row r="1793" spans="6:86" x14ac:dyDescent="0.25">
      <c r="F1793" s="9"/>
      <c r="G1793" s="9"/>
      <c r="AA1793" s="10"/>
      <c r="AV1793" s="11"/>
      <c r="AW1793" s="11"/>
      <c r="BB1793" s="9"/>
      <c r="BC1793" s="11"/>
      <c r="BF1793" s="9"/>
      <c r="CF1793" s="12"/>
      <c r="CH1793" s="9"/>
    </row>
    <row r="1794" spans="6:86" x14ac:dyDescent="0.25">
      <c r="F1794" s="9"/>
      <c r="G1794" s="9"/>
      <c r="AA1794" s="10"/>
      <c r="AV1794" s="11"/>
      <c r="AW1794" s="11"/>
      <c r="BB1794" s="9"/>
      <c r="BC1794" s="11"/>
      <c r="BF1794" s="9"/>
      <c r="CF1794" s="12"/>
      <c r="CH1794" s="9"/>
    </row>
    <row r="1795" spans="6:86" x14ac:dyDescent="0.25">
      <c r="F1795" s="9"/>
      <c r="G1795" s="9"/>
      <c r="AA1795" s="10"/>
      <c r="AV1795" s="11"/>
      <c r="AW1795" s="11"/>
      <c r="BB1795" s="9"/>
      <c r="BC1795" s="11"/>
      <c r="BF1795" s="9"/>
      <c r="CF1795" s="12"/>
      <c r="CH1795" s="9"/>
    </row>
    <row r="1796" spans="6:86" x14ac:dyDescent="0.25">
      <c r="F1796" s="9"/>
      <c r="G1796" s="9"/>
      <c r="AA1796" s="10"/>
      <c r="AV1796" s="11"/>
      <c r="AW1796" s="11"/>
      <c r="BB1796" s="9"/>
      <c r="BC1796" s="11"/>
      <c r="BF1796" s="9"/>
      <c r="CF1796" s="12"/>
      <c r="CH1796" s="9"/>
    </row>
    <row r="1797" spans="6:86" x14ac:dyDescent="0.25">
      <c r="F1797" s="9"/>
      <c r="G1797" s="9"/>
      <c r="AA1797" s="10"/>
      <c r="AV1797" s="11"/>
      <c r="AW1797" s="11"/>
      <c r="BB1797" s="9"/>
      <c r="BC1797" s="11"/>
      <c r="BF1797" s="9"/>
      <c r="CF1797" s="12"/>
      <c r="CH1797" s="9"/>
    </row>
    <row r="1798" spans="6:86" x14ac:dyDescent="0.25">
      <c r="F1798" s="9"/>
      <c r="G1798" s="9"/>
      <c r="AA1798" s="10"/>
      <c r="AV1798" s="11"/>
      <c r="AW1798" s="11"/>
      <c r="BB1798" s="9"/>
      <c r="BC1798" s="11"/>
      <c r="BF1798" s="9"/>
      <c r="CF1798" s="12"/>
      <c r="CH1798" s="9"/>
    </row>
    <row r="1799" spans="6:86" x14ac:dyDescent="0.25">
      <c r="F1799" s="9"/>
      <c r="G1799" s="9"/>
      <c r="AA1799" s="10"/>
      <c r="AV1799" s="11"/>
      <c r="AW1799" s="11"/>
      <c r="BB1799" s="9"/>
      <c r="BC1799" s="11"/>
      <c r="BF1799" s="9"/>
      <c r="CF1799" s="12"/>
      <c r="CH1799" s="9"/>
    </row>
    <row r="1800" spans="6:86" x14ac:dyDescent="0.25">
      <c r="F1800" s="9"/>
      <c r="G1800" s="9"/>
      <c r="AA1800" s="10"/>
      <c r="AV1800" s="11"/>
      <c r="AW1800" s="11"/>
      <c r="BB1800" s="9"/>
      <c r="BC1800" s="11"/>
      <c r="BF1800" s="9"/>
      <c r="CF1800" s="12"/>
      <c r="CH1800" s="9"/>
    </row>
    <row r="1801" spans="6:86" x14ac:dyDescent="0.25">
      <c r="F1801" s="9"/>
      <c r="G1801" s="9"/>
      <c r="AA1801" s="10"/>
      <c r="AV1801" s="11"/>
      <c r="AW1801" s="11"/>
      <c r="BB1801" s="9"/>
      <c r="BC1801" s="11"/>
      <c r="BF1801" s="9"/>
      <c r="CF1801" s="12"/>
      <c r="CH1801" s="9"/>
    </row>
    <row r="1802" spans="6:86" x14ac:dyDescent="0.25">
      <c r="F1802" s="9"/>
      <c r="G1802" s="9"/>
      <c r="AA1802" s="10"/>
      <c r="AV1802" s="11"/>
      <c r="AW1802" s="11"/>
      <c r="BB1802" s="9"/>
      <c r="BC1802" s="11"/>
      <c r="BF1802" s="9"/>
      <c r="CH1802" s="9"/>
    </row>
    <row r="1803" spans="6:86" x14ac:dyDescent="0.25">
      <c r="F1803" s="9"/>
      <c r="G1803" s="9"/>
      <c r="AA1803" s="10"/>
      <c r="AV1803" s="11"/>
      <c r="AW1803" s="11"/>
      <c r="BB1803" s="9"/>
      <c r="BC1803" s="11"/>
      <c r="BF1803" s="9"/>
      <c r="CF1803" s="12"/>
      <c r="CH1803" s="9"/>
    </row>
    <row r="1804" spans="6:86" x14ac:dyDescent="0.25">
      <c r="F1804" s="9"/>
      <c r="G1804" s="9"/>
      <c r="AA1804" s="10"/>
      <c r="AV1804" s="11"/>
      <c r="AW1804" s="11"/>
      <c r="BB1804" s="9"/>
      <c r="BC1804" s="11"/>
      <c r="BF1804" s="9"/>
      <c r="CH1804" s="9"/>
    </row>
    <row r="1805" spans="6:86" x14ac:dyDescent="0.25">
      <c r="F1805" s="9"/>
      <c r="G1805" s="9"/>
      <c r="AA1805" s="10"/>
      <c r="AV1805" s="11"/>
      <c r="AW1805" s="11"/>
      <c r="BB1805" s="9"/>
      <c r="BC1805" s="11"/>
      <c r="BF1805" s="9"/>
      <c r="CF1805" s="12"/>
      <c r="CH1805" s="9"/>
    </row>
    <row r="1806" spans="6:86" x14ac:dyDescent="0.25">
      <c r="F1806" s="9"/>
      <c r="G1806" s="9"/>
      <c r="AA1806" s="10"/>
      <c r="AV1806" s="11"/>
      <c r="AW1806" s="11"/>
      <c r="BB1806" s="9"/>
      <c r="BC1806" s="11"/>
      <c r="BF1806" s="9"/>
      <c r="CF1806" s="12"/>
      <c r="CH1806" s="9"/>
    </row>
    <row r="1807" spans="6:86" x14ac:dyDescent="0.25">
      <c r="F1807" s="9"/>
      <c r="G1807" s="9"/>
      <c r="AA1807" s="10"/>
      <c r="AV1807" s="11"/>
      <c r="AW1807" s="11"/>
      <c r="BB1807" s="9"/>
      <c r="BC1807" s="11"/>
      <c r="BF1807" s="9"/>
      <c r="CH1807" s="9"/>
    </row>
    <row r="1808" spans="6:86" x14ac:dyDescent="0.25">
      <c r="F1808" s="9"/>
      <c r="G1808" s="9"/>
      <c r="AA1808" s="10"/>
      <c r="AV1808" s="11"/>
      <c r="AW1808" s="11"/>
      <c r="BB1808" s="9"/>
      <c r="BC1808" s="11"/>
      <c r="BF1808" s="9"/>
      <c r="CH1808" s="9"/>
    </row>
    <row r="1809" spans="6:86" x14ac:dyDescent="0.25">
      <c r="F1809" s="9"/>
      <c r="G1809" s="9"/>
      <c r="AA1809" s="10"/>
      <c r="AV1809" s="11"/>
      <c r="AW1809" s="11"/>
      <c r="BB1809" s="9"/>
      <c r="BC1809" s="11"/>
      <c r="BF1809" s="9"/>
      <c r="CF1809" s="12"/>
      <c r="CH1809" s="9"/>
    </row>
    <row r="1810" spans="6:86" x14ac:dyDescent="0.25">
      <c r="F1810" s="9"/>
      <c r="G1810" s="9"/>
      <c r="AA1810" s="10"/>
      <c r="AV1810" s="11"/>
      <c r="AW1810" s="11"/>
      <c r="BB1810" s="9"/>
      <c r="BC1810" s="11"/>
      <c r="BF1810" s="9"/>
      <c r="CF1810" s="12"/>
      <c r="CH1810" s="9"/>
    </row>
    <row r="1811" spans="6:86" x14ac:dyDescent="0.25">
      <c r="F1811" s="9"/>
      <c r="G1811" s="9"/>
      <c r="AA1811" s="10"/>
      <c r="AV1811" s="11"/>
      <c r="AW1811" s="11"/>
      <c r="BB1811" s="9"/>
      <c r="BC1811" s="11"/>
      <c r="BF1811" s="9"/>
      <c r="CF1811" s="12"/>
      <c r="CH1811" s="9"/>
    </row>
    <row r="1812" spans="6:86" x14ac:dyDescent="0.25">
      <c r="F1812" s="9"/>
      <c r="G1812" s="9"/>
      <c r="AA1812" s="10"/>
      <c r="AV1812" s="11"/>
      <c r="AW1812" s="11"/>
      <c r="BB1812" s="9"/>
      <c r="BC1812" s="11"/>
      <c r="BF1812" s="9"/>
      <c r="CF1812" s="12"/>
      <c r="CH1812" s="9"/>
    </row>
    <row r="1813" spans="6:86" x14ac:dyDescent="0.25">
      <c r="F1813" s="9"/>
      <c r="G1813" s="9"/>
      <c r="AA1813" s="10"/>
      <c r="AV1813" s="11"/>
      <c r="AW1813" s="11"/>
      <c r="BB1813" s="9"/>
      <c r="BC1813" s="11"/>
      <c r="BF1813" s="9"/>
      <c r="CF1813" s="12"/>
      <c r="CH1813" s="9"/>
    </row>
    <row r="1814" spans="6:86" x14ac:dyDescent="0.25">
      <c r="F1814" s="9"/>
      <c r="G1814" s="9"/>
      <c r="AA1814" s="10"/>
      <c r="AV1814" s="11"/>
      <c r="AW1814" s="11"/>
      <c r="BB1814" s="9"/>
      <c r="BC1814" s="11"/>
      <c r="BF1814" s="9"/>
      <c r="CF1814" s="12"/>
      <c r="CH1814" s="9"/>
    </row>
    <row r="1815" spans="6:86" x14ac:dyDescent="0.25">
      <c r="F1815" s="9"/>
      <c r="G1815" s="9"/>
      <c r="AA1815" s="10"/>
      <c r="AV1815" s="11"/>
      <c r="AW1815" s="11"/>
      <c r="BB1815" s="9"/>
      <c r="BC1815" s="11"/>
      <c r="BF1815" s="9"/>
      <c r="CF1815" s="12"/>
      <c r="CH1815" s="9"/>
    </row>
    <row r="1816" spans="6:86" x14ac:dyDescent="0.25">
      <c r="F1816" s="9"/>
      <c r="G1816" s="9"/>
      <c r="AA1816" s="10"/>
      <c r="AV1816" s="11"/>
      <c r="AW1816" s="11"/>
      <c r="BB1816" s="9"/>
      <c r="BC1816" s="11"/>
      <c r="BF1816" s="9"/>
      <c r="CF1816" s="12"/>
      <c r="CH1816" s="9"/>
    </row>
    <row r="1817" spans="6:86" x14ac:dyDescent="0.25">
      <c r="F1817" s="9"/>
      <c r="G1817" s="9"/>
      <c r="AA1817" s="10"/>
      <c r="AV1817" s="11"/>
      <c r="AW1817" s="11"/>
      <c r="BB1817" s="9"/>
      <c r="BC1817" s="11"/>
      <c r="BF1817" s="9"/>
      <c r="CH1817" s="9"/>
    </row>
    <row r="1818" spans="6:86" x14ac:dyDescent="0.25">
      <c r="F1818" s="9"/>
      <c r="G1818" s="9"/>
      <c r="AA1818" s="10"/>
      <c r="AV1818" s="11"/>
      <c r="AW1818" s="11"/>
      <c r="BB1818" s="9"/>
      <c r="BC1818" s="11"/>
      <c r="BF1818" s="9"/>
      <c r="CF1818" s="12"/>
      <c r="CH1818" s="9"/>
    </row>
    <row r="1819" spans="6:86" x14ac:dyDescent="0.25">
      <c r="F1819" s="9"/>
      <c r="G1819" s="9"/>
      <c r="AA1819" s="10"/>
      <c r="AV1819" s="11"/>
      <c r="AW1819" s="11"/>
      <c r="BB1819" s="9"/>
      <c r="BC1819" s="11"/>
      <c r="BF1819" s="9"/>
      <c r="CF1819" s="12"/>
      <c r="CH1819" s="9"/>
    </row>
    <row r="1820" spans="6:86" x14ac:dyDescent="0.25">
      <c r="F1820" s="9"/>
      <c r="G1820" s="9"/>
      <c r="AA1820" s="10"/>
      <c r="AV1820" s="11"/>
      <c r="AW1820" s="11"/>
      <c r="BB1820" s="9"/>
      <c r="BC1820" s="11"/>
      <c r="BF1820" s="9"/>
      <c r="CF1820" s="12"/>
      <c r="CH1820" s="9"/>
    </row>
    <row r="1821" spans="6:86" x14ac:dyDescent="0.25">
      <c r="F1821" s="9"/>
      <c r="G1821" s="9"/>
      <c r="AA1821" s="10"/>
      <c r="AV1821" s="11"/>
      <c r="AW1821" s="11"/>
      <c r="BB1821" s="9"/>
      <c r="BC1821" s="11"/>
      <c r="BF1821" s="9"/>
      <c r="CF1821" s="12"/>
      <c r="CH1821" s="9"/>
    </row>
    <row r="1822" spans="6:86" x14ac:dyDescent="0.25">
      <c r="F1822" s="9"/>
      <c r="G1822" s="9"/>
      <c r="AA1822" s="10"/>
      <c r="AV1822" s="11"/>
      <c r="AW1822" s="11"/>
      <c r="BB1822" s="9"/>
      <c r="BC1822" s="11"/>
      <c r="BF1822" s="9"/>
      <c r="CF1822" s="12"/>
      <c r="CH1822" s="9"/>
    </row>
    <row r="1823" spans="6:86" x14ac:dyDescent="0.25">
      <c r="F1823" s="9"/>
      <c r="G1823" s="9"/>
      <c r="AA1823" s="10"/>
      <c r="AV1823" s="11"/>
      <c r="AW1823" s="11"/>
      <c r="BB1823" s="9"/>
      <c r="BC1823" s="11"/>
      <c r="BF1823" s="9"/>
      <c r="CF1823" s="12"/>
      <c r="CH1823" s="9"/>
    </row>
    <row r="1824" spans="6:86" x14ac:dyDescent="0.25">
      <c r="F1824" s="9"/>
      <c r="G1824" s="9"/>
      <c r="AA1824" s="10"/>
      <c r="AV1824" s="11"/>
      <c r="AW1824" s="11"/>
      <c r="BB1824" s="9"/>
      <c r="BC1824" s="11"/>
      <c r="BF1824" s="9"/>
      <c r="CF1824" s="12"/>
      <c r="CH1824" s="9"/>
    </row>
    <row r="1825" spans="6:86" x14ac:dyDescent="0.25">
      <c r="F1825" s="9"/>
      <c r="G1825" s="9"/>
      <c r="AA1825" s="10"/>
      <c r="AV1825" s="11"/>
      <c r="AW1825" s="11"/>
      <c r="BB1825" s="9"/>
      <c r="BC1825" s="11"/>
      <c r="BF1825" s="9"/>
      <c r="CF1825" s="12"/>
      <c r="CH1825" s="9"/>
    </row>
    <row r="1826" spans="6:86" x14ac:dyDescent="0.25">
      <c r="F1826" s="9"/>
      <c r="G1826" s="9"/>
      <c r="AA1826" s="10"/>
      <c r="AV1826" s="11"/>
      <c r="AW1826" s="11"/>
      <c r="BB1826" s="9"/>
      <c r="BC1826" s="11"/>
      <c r="BF1826" s="9"/>
      <c r="CH1826" s="9"/>
    </row>
    <row r="1827" spans="6:86" x14ac:dyDescent="0.25">
      <c r="F1827" s="9"/>
      <c r="G1827" s="9"/>
      <c r="AA1827" s="10"/>
      <c r="AV1827" s="11"/>
      <c r="AW1827" s="11"/>
      <c r="BB1827" s="9"/>
      <c r="BC1827" s="11"/>
      <c r="BF1827" s="9"/>
      <c r="CF1827" s="12"/>
      <c r="CH1827" s="9"/>
    </row>
    <row r="1828" spans="6:86" x14ac:dyDescent="0.25">
      <c r="F1828" s="9"/>
      <c r="G1828" s="9"/>
      <c r="AA1828" s="10"/>
      <c r="AV1828" s="11"/>
      <c r="AW1828" s="11"/>
      <c r="BB1828" s="9"/>
      <c r="BC1828" s="11"/>
      <c r="BF1828" s="9"/>
      <c r="CF1828" s="12"/>
      <c r="CH1828" s="9"/>
    </row>
    <row r="1829" spans="6:86" x14ac:dyDescent="0.25">
      <c r="F1829" s="9"/>
      <c r="G1829" s="9"/>
      <c r="AA1829" s="10"/>
      <c r="AV1829" s="11"/>
      <c r="AW1829" s="11"/>
      <c r="BB1829" s="9"/>
      <c r="BC1829" s="11"/>
      <c r="BF1829" s="9"/>
      <c r="CF1829" s="12"/>
      <c r="CH1829" s="9"/>
    </row>
    <row r="1830" spans="6:86" x14ac:dyDescent="0.25">
      <c r="F1830" s="9"/>
      <c r="G1830" s="9"/>
      <c r="AA1830" s="10"/>
      <c r="AV1830" s="11"/>
      <c r="AW1830" s="11"/>
      <c r="BB1830" s="9"/>
      <c r="BC1830" s="11"/>
      <c r="BF1830" s="9"/>
      <c r="CF1830" s="12"/>
      <c r="CH1830" s="9"/>
    </row>
    <row r="1831" spans="6:86" x14ac:dyDescent="0.25">
      <c r="F1831" s="9"/>
      <c r="G1831" s="9"/>
      <c r="AA1831" s="10"/>
      <c r="AV1831" s="11"/>
      <c r="AW1831" s="11"/>
      <c r="BB1831" s="9"/>
      <c r="BC1831" s="11"/>
      <c r="BF1831" s="9"/>
      <c r="CH1831" s="9"/>
    </row>
    <row r="1832" spans="6:86" x14ac:dyDescent="0.25">
      <c r="F1832" s="9"/>
      <c r="G1832" s="9"/>
      <c r="AA1832" s="10"/>
      <c r="AV1832" s="11"/>
      <c r="AW1832" s="11"/>
      <c r="BB1832" s="9"/>
      <c r="BC1832" s="11"/>
      <c r="BF1832" s="9"/>
      <c r="CF1832" s="12"/>
      <c r="CH1832" s="9"/>
    </row>
    <row r="1833" spans="6:86" x14ac:dyDescent="0.25">
      <c r="F1833" s="9"/>
      <c r="G1833" s="9"/>
      <c r="AA1833" s="10"/>
      <c r="AV1833" s="11"/>
      <c r="AW1833" s="11"/>
      <c r="BB1833" s="9"/>
      <c r="BC1833" s="11"/>
      <c r="BF1833" s="9"/>
      <c r="CF1833" s="12"/>
      <c r="CH1833" s="9"/>
    </row>
    <row r="1834" spans="6:86" x14ac:dyDescent="0.25">
      <c r="F1834" s="9"/>
      <c r="G1834" s="9"/>
      <c r="AA1834" s="10"/>
      <c r="AV1834" s="11"/>
      <c r="AW1834" s="11"/>
      <c r="BB1834" s="9"/>
      <c r="BC1834" s="11"/>
      <c r="BF1834" s="9"/>
      <c r="CF1834" s="12"/>
      <c r="CH1834" s="9"/>
    </row>
    <row r="1835" spans="6:86" x14ac:dyDescent="0.25">
      <c r="F1835" s="9"/>
      <c r="G1835" s="9"/>
      <c r="AA1835" s="10"/>
      <c r="AV1835" s="11"/>
      <c r="AW1835" s="11"/>
      <c r="BB1835" s="9"/>
      <c r="BC1835" s="11"/>
      <c r="BF1835" s="9"/>
      <c r="CF1835" s="12"/>
      <c r="CH1835" s="9"/>
    </row>
    <row r="1836" spans="6:86" x14ac:dyDescent="0.25">
      <c r="F1836" s="9"/>
      <c r="G1836" s="9"/>
      <c r="AA1836" s="10"/>
      <c r="AV1836" s="11"/>
      <c r="AW1836" s="11"/>
      <c r="BB1836" s="9"/>
      <c r="BC1836" s="11"/>
      <c r="BF1836" s="9"/>
      <c r="CF1836" s="12"/>
      <c r="CH1836" s="9"/>
    </row>
    <row r="1837" spans="6:86" x14ac:dyDescent="0.25">
      <c r="F1837" s="9"/>
      <c r="G1837" s="9"/>
      <c r="AA1837" s="10"/>
      <c r="AV1837" s="11"/>
      <c r="AW1837" s="11"/>
      <c r="BB1837" s="9"/>
      <c r="BC1837" s="11"/>
      <c r="BF1837" s="9"/>
      <c r="CF1837" s="12"/>
      <c r="CH1837" s="9"/>
    </row>
    <row r="1838" spans="6:86" x14ac:dyDescent="0.25">
      <c r="F1838" s="9"/>
      <c r="G1838" s="9"/>
      <c r="AA1838" s="10"/>
      <c r="AV1838" s="11"/>
      <c r="AW1838" s="11"/>
      <c r="BB1838" s="9"/>
      <c r="BC1838" s="11"/>
      <c r="BF1838" s="9"/>
      <c r="CF1838" s="12"/>
      <c r="CH1838" s="9"/>
    </row>
    <row r="1839" spans="6:86" x14ac:dyDescent="0.25">
      <c r="F1839" s="9"/>
      <c r="G1839" s="9"/>
      <c r="AA1839" s="10"/>
      <c r="AV1839" s="11"/>
      <c r="AW1839" s="11"/>
      <c r="BB1839" s="9"/>
      <c r="BC1839" s="11"/>
      <c r="BF1839" s="9"/>
      <c r="CF1839" s="12"/>
      <c r="CH1839" s="9"/>
    </row>
    <row r="1840" spans="6:86" x14ac:dyDescent="0.25">
      <c r="F1840" s="9"/>
      <c r="G1840" s="9"/>
      <c r="AA1840" s="10"/>
      <c r="AV1840" s="11"/>
      <c r="AW1840" s="11"/>
      <c r="BB1840" s="9"/>
      <c r="BC1840" s="11"/>
      <c r="BF1840" s="9"/>
      <c r="CH1840" s="9"/>
    </row>
    <row r="1841" spans="6:86" x14ac:dyDescent="0.25">
      <c r="F1841" s="9"/>
      <c r="G1841" s="9"/>
      <c r="AA1841" s="10"/>
      <c r="AV1841" s="11"/>
      <c r="AW1841" s="11"/>
      <c r="BB1841" s="9"/>
      <c r="BC1841" s="11"/>
      <c r="BF1841" s="9"/>
      <c r="CF1841" s="12"/>
      <c r="CH1841" s="9"/>
    </row>
    <row r="1842" spans="6:86" x14ac:dyDescent="0.25">
      <c r="F1842" s="9"/>
      <c r="G1842" s="9"/>
      <c r="AA1842" s="10"/>
      <c r="AV1842" s="11"/>
      <c r="AW1842" s="11"/>
      <c r="BB1842" s="9"/>
      <c r="BC1842" s="11"/>
      <c r="BF1842" s="9"/>
      <c r="CF1842" s="12"/>
      <c r="CH1842" s="9"/>
    </row>
    <row r="1843" spans="6:86" x14ac:dyDescent="0.25">
      <c r="F1843" s="9"/>
      <c r="G1843" s="9"/>
      <c r="AA1843" s="10"/>
      <c r="AV1843" s="11"/>
      <c r="AW1843" s="11"/>
      <c r="BB1843" s="9"/>
      <c r="BC1843" s="11"/>
      <c r="BF1843" s="9"/>
      <c r="CH1843" s="9"/>
    </row>
    <row r="1844" spans="6:86" x14ac:dyDescent="0.25">
      <c r="F1844" s="9"/>
      <c r="G1844" s="9"/>
      <c r="AA1844" s="10"/>
      <c r="AV1844" s="11"/>
      <c r="AW1844" s="11"/>
      <c r="BB1844" s="9"/>
      <c r="BC1844" s="11"/>
      <c r="BF1844" s="9"/>
      <c r="CF1844" s="12"/>
      <c r="CH1844" s="9"/>
    </row>
    <row r="1845" spans="6:86" x14ac:dyDescent="0.25">
      <c r="F1845" s="9"/>
      <c r="G1845" s="9"/>
      <c r="AA1845" s="10"/>
      <c r="AV1845" s="11"/>
      <c r="AW1845" s="11"/>
      <c r="BB1845" s="9"/>
      <c r="BC1845" s="11"/>
      <c r="BF1845" s="9"/>
      <c r="CH1845" s="9"/>
    </row>
    <row r="1846" spans="6:86" x14ac:dyDescent="0.25">
      <c r="F1846" s="9"/>
      <c r="G1846" s="9"/>
      <c r="AA1846" s="10"/>
      <c r="AV1846" s="11"/>
      <c r="AW1846" s="11"/>
      <c r="BB1846" s="9"/>
      <c r="BC1846" s="11"/>
      <c r="BF1846" s="9"/>
      <c r="CF1846" s="12"/>
      <c r="CH1846" s="9"/>
    </row>
    <row r="1847" spans="6:86" x14ac:dyDescent="0.25">
      <c r="F1847" s="9"/>
      <c r="G1847" s="9"/>
      <c r="AA1847" s="10"/>
      <c r="AV1847" s="11"/>
      <c r="AW1847" s="11"/>
      <c r="BB1847" s="9"/>
      <c r="BC1847" s="11"/>
      <c r="BF1847" s="9"/>
      <c r="CF1847" s="12"/>
      <c r="CH1847" s="9"/>
    </row>
    <row r="1848" spans="6:86" x14ac:dyDescent="0.25">
      <c r="F1848" s="9"/>
      <c r="G1848" s="9"/>
      <c r="AA1848" s="10"/>
      <c r="AV1848" s="11"/>
      <c r="AW1848" s="11"/>
      <c r="BB1848" s="9"/>
      <c r="BC1848" s="11"/>
      <c r="BF1848" s="9"/>
      <c r="CH1848" s="9"/>
    </row>
    <row r="1849" spans="6:86" x14ac:dyDescent="0.25">
      <c r="F1849" s="9"/>
      <c r="G1849" s="9"/>
      <c r="AA1849" s="10"/>
      <c r="AV1849" s="11"/>
      <c r="AW1849" s="11"/>
      <c r="BB1849" s="9"/>
      <c r="BC1849" s="11"/>
      <c r="BF1849" s="9"/>
      <c r="CF1849" s="12"/>
      <c r="CH1849" s="9"/>
    </row>
    <row r="1850" spans="6:86" x14ac:dyDescent="0.25">
      <c r="F1850" s="9"/>
      <c r="G1850" s="9"/>
      <c r="AA1850" s="10"/>
      <c r="AV1850" s="11"/>
      <c r="AW1850" s="11"/>
      <c r="BB1850" s="9"/>
      <c r="BC1850" s="11"/>
      <c r="BF1850" s="9"/>
      <c r="CF1850" s="12"/>
      <c r="CH1850" s="9"/>
    </row>
    <row r="1851" spans="6:86" x14ac:dyDescent="0.25">
      <c r="F1851" s="9"/>
      <c r="G1851" s="9"/>
      <c r="AA1851" s="10"/>
      <c r="AV1851" s="11"/>
      <c r="AW1851" s="11"/>
      <c r="BB1851" s="9"/>
      <c r="BC1851" s="11"/>
      <c r="BF1851" s="9"/>
      <c r="CH1851" s="9"/>
    </row>
    <row r="1852" spans="6:86" x14ac:dyDescent="0.25">
      <c r="F1852" s="9"/>
      <c r="G1852" s="9"/>
      <c r="AA1852" s="10"/>
      <c r="AV1852" s="11"/>
      <c r="AW1852" s="11"/>
      <c r="BB1852" s="9"/>
      <c r="BC1852" s="11"/>
      <c r="BF1852" s="9"/>
      <c r="CF1852" s="12"/>
      <c r="CH1852" s="9"/>
    </row>
    <row r="1853" spans="6:86" x14ac:dyDescent="0.25">
      <c r="F1853" s="9"/>
      <c r="G1853" s="9"/>
      <c r="AA1853" s="10"/>
      <c r="AV1853" s="11"/>
      <c r="AW1853" s="11"/>
      <c r="BB1853" s="9"/>
      <c r="BC1853" s="11"/>
      <c r="BF1853" s="9"/>
      <c r="CH1853" s="9"/>
    </row>
    <row r="1854" spans="6:86" x14ac:dyDescent="0.25">
      <c r="F1854" s="9"/>
      <c r="G1854" s="9"/>
      <c r="AA1854" s="10"/>
      <c r="AV1854" s="11"/>
      <c r="AW1854" s="11"/>
      <c r="BB1854" s="9"/>
      <c r="BC1854" s="11"/>
      <c r="BF1854" s="9"/>
      <c r="CF1854" s="12"/>
      <c r="CH1854" s="9"/>
    </row>
    <row r="1855" spans="6:86" x14ac:dyDescent="0.25">
      <c r="F1855" s="9"/>
      <c r="G1855" s="9"/>
      <c r="AA1855" s="10"/>
      <c r="AV1855" s="11"/>
      <c r="AW1855" s="11"/>
      <c r="BB1855" s="9"/>
      <c r="BC1855" s="11"/>
      <c r="BF1855" s="9"/>
      <c r="CF1855" s="12"/>
      <c r="CH1855" s="9"/>
    </row>
    <row r="1856" spans="6:86" x14ac:dyDescent="0.25">
      <c r="F1856" s="9"/>
      <c r="G1856" s="9"/>
      <c r="AA1856" s="10"/>
      <c r="AV1856" s="11"/>
      <c r="AW1856" s="11"/>
      <c r="BB1856" s="9"/>
      <c r="BC1856" s="11"/>
      <c r="BF1856" s="9"/>
      <c r="CH1856" s="9"/>
    </row>
    <row r="1857" spans="6:92" x14ac:dyDescent="0.25">
      <c r="F1857" s="9"/>
      <c r="G1857" s="9"/>
      <c r="AA1857" s="10"/>
      <c r="AV1857" s="11"/>
      <c r="AW1857" s="11"/>
      <c r="BB1857" s="9"/>
      <c r="BC1857" s="11"/>
      <c r="BF1857" s="9"/>
      <c r="CH1857" s="9"/>
    </row>
    <row r="1858" spans="6:92" x14ac:dyDescent="0.25">
      <c r="F1858" s="9"/>
      <c r="G1858" s="9"/>
      <c r="AA1858" s="10"/>
      <c r="AV1858" s="11"/>
      <c r="AW1858" s="11"/>
      <c r="BB1858" s="9"/>
      <c r="BC1858" s="11"/>
      <c r="BF1858" s="9"/>
      <c r="CF1858" s="12"/>
      <c r="CH1858" s="9"/>
    </row>
    <row r="1859" spans="6:92" x14ac:dyDescent="0.25">
      <c r="F1859" s="9"/>
      <c r="G1859" s="9"/>
      <c r="AA1859" s="10"/>
      <c r="AV1859" s="11"/>
      <c r="AW1859" s="11"/>
      <c r="BB1859" s="9"/>
      <c r="BC1859" s="11"/>
      <c r="BF1859" s="9"/>
      <c r="CF1859" s="12"/>
      <c r="CH1859" s="9"/>
    </row>
    <row r="1860" spans="6:92" x14ac:dyDescent="0.25">
      <c r="F1860" s="9"/>
      <c r="G1860" s="9"/>
      <c r="AA1860" s="10"/>
      <c r="AV1860" s="11"/>
      <c r="AW1860" s="11"/>
      <c r="BB1860" s="9"/>
      <c r="BC1860" s="11"/>
      <c r="BF1860" s="9"/>
      <c r="CF1860" s="12"/>
      <c r="CH1860" s="9"/>
    </row>
    <row r="1861" spans="6:92" x14ac:dyDescent="0.25">
      <c r="F1861" s="9"/>
      <c r="G1861" s="9"/>
      <c r="AA1861" s="10"/>
      <c r="AV1861" s="11"/>
      <c r="AW1861" s="11"/>
      <c r="BB1861" s="9"/>
      <c r="BC1861" s="11"/>
      <c r="BF1861" s="9"/>
      <c r="CH1861" s="9"/>
    </row>
    <row r="1862" spans="6:92" x14ac:dyDescent="0.25">
      <c r="F1862" s="9"/>
      <c r="G1862" s="9"/>
      <c r="AA1862" s="10"/>
      <c r="AV1862" s="11"/>
      <c r="AW1862" s="11"/>
      <c r="BB1862" s="9"/>
      <c r="BC1862" s="11"/>
      <c r="BF1862" s="9"/>
      <c r="CF1862" s="12"/>
      <c r="CH1862" s="9"/>
    </row>
    <row r="1863" spans="6:92" x14ac:dyDescent="0.25">
      <c r="F1863" s="9"/>
      <c r="G1863" s="9"/>
      <c r="AA1863" s="10"/>
      <c r="AV1863" s="11"/>
      <c r="AW1863" s="11"/>
      <c r="BB1863" s="9"/>
      <c r="BC1863" s="11"/>
      <c r="BF1863" s="9"/>
      <c r="CF1863" s="12"/>
      <c r="CH1863" s="9"/>
    </row>
    <row r="1864" spans="6:92" x14ac:dyDescent="0.25">
      <c r="F1864" s="9"/>
      <c r="G1864" s="9"/>
      <c r="AA1864" s="10"/>
      <c r="AM1864" s="9"/>
      <c r="AV1864" s="11"/>
      <c r="AW1864" s="11"/>
      <c r="BB1864" s="9"/>
      <c r="BC1864" s="11"/>
      <c r="BF1864" s="9"/>
      <c r="CF1864" s="12"/>
      <c r="CH1864" s="9"/>
    </row>
    <row r="1865" spans="6:92" x14ac:dyDescent="0.25">
      <c r="F1865" s="9"/>
      <c r="G1865" s="9"/>
      <c r="AA1865" s="10"/>
      <c r="AM1865" s="9"/>
      <c r="AV1865" s="11"/>
      <c r="AW1865" s="11"/>
      <c r="BB1865" s="9"/>
      <c r="BC1865" s="11"/>
      <c r="BF1865" s="9"/>
      <c r="CF1865" s="12"/>
      <c r="CH1865" s="9"/>
    </row>
    <row r="1866" spans="6:92" x14ac:dyDescent="0.25">
      <c r="F1866" s="9"/>
      <c r="G1866" s="9"/>
      <c r="U1866" s="12"/>
      <c r="Z1866" s="12"/>
      <c r="AA1866" s="10"/>
      <c r="AV1866" s="11"/>
      <c r="AW1866" s="11"/>
      <c r="BB1866" s="9"/>
      <c r="BC1866" s="11"/>
      <c r="BF1866" s="9"/>
      <c r="CF1866" s="12"/>
      <c r="CH1866" s="9"/>
      <c r="CN1866" s="12"/>
    </row>
    <row r="1867" spans="6:92" x14ac:dyDescent="0.25">
      <c r="F1867" s="9"/>
      <c r="G1867" s="9"/>
      <c r="AA1867" s="10"/>
      <c r="AV1867" s="11"/>
      <c r="AW1867" s="11"/>
      <c r="BB1867" s="9"/>
      <c r="BC1867" s="11"/>
      <c r="BF1867" s="9"/>
      <c r="CF1867" s="12"/>
      <c r="CH1867" s="9"/>
    </row>
    <row r="1868" spans="6:92" x14ac:dyDescent="0.25">
      <c r="F1868" s="9"/>
      <c r="G1868" s="9"/>
      <c r="AA1868" s="10"/>
      <c r="AV1868" s="11"/>
      <c r="AW1868" s="11"/>
      <c r="BB1868" s="9"/>
      <c r="BC1868" s="11"/>
      <c r="BF1868" s="9"/>
      <c r="CF1868" s="12"/>
      <c r="CH1868" s="9"/>
    </row>
    <row r="1869" spans="6:92" x14ac:dyDescent="0.25">
      <c r="F1869" s="9"/>
      <c r="G1869" s="9"/>
      <c r="AA1869" s="10"/>
      <c r="AV1869" s="11"/>
      <c r="AW1869" s="11"/>
      <c r="BB1869" s="9"/>
      <c r="BC1869" s="11"/>
      <c r="BF1869" s="9"/>
      <c r="CF1869" s="12"/>
      <c r="CH1869" s="9"/>
    </row>
    <row r="1870" spans="6:92" x14ac:dyDescent="0.25">
      <c r="F1870" s="9"/>
      <c r="G1870" s="9"/>
      <c r="AA1870" s="10"/>
      <c r="AV1870" s="11"/>
      <c r="AW1870" s="11"/>
      <c r="BB1870" s="9"/>
      <c r="BC1870" s="11"/>
      <c r="BF1870" s="9"/>
      <c r="CF1870" s="12"/>
      <c r="CH1870" s="9"/>
    </row>
    <row r="1871" spans="6:92" x14ac:dyDescent="0.25">
      <c r="F1871" s="9"/>
      <c r="G1871" s="9"/>
      <c r="AA1871" s="10"/>
      <c r="AV1871" s="11"/>
      <c r="AW1871" s="11"/>
      <c r="BB1871" s="9"/>
      <c r="BC1871" s="11"/>
      <c r="BF1871" s="9"/>
      <c r="CF1871" s="12"/>
      <c r="CH1871" s="9"/>
    </row>
    <row r="1872" spans="6:92" x14ac:dyDescent="0.25">
      <c r="F1872" s="9"/>
      <c r="G1872" s="9"/>
      <c r="AA1872" s="10"/>
      <c r="AV1872" s="11"/>
      <c r="AW1872" s="11"/>
      <c r="BB1872" s="9"/>
      <c r="BC1872" s="11"/>
      <c r="BF1872" s="9"/>
      <c r="CF1872" s="12"/>
      <c r="CH1872" s="9"/>
    </row>
    <row r="1873" spans="6:86" x14ac:dyDescent="0.25">
      <c r="F1873" s="9"/>
      <c r="G1873" s="9"/>
      <c r="AA1873" s="10"/>
      <c r="AV1873" s="11"/>
      <c r="AW1873" s="11"/>
      <c r="BB1873" s="9"/>
      <c r="BC1873" s="11"/>
      <c r="BF1873" s="9"/>
      <c r="CF1873" s="12"/>
      <c r="CH1873" s="9"/>
    </row>
    <row r="1874" spans="6:86" x14ac:dyDescent="0.25">
      <c r="F1874" s="9"/>
      <c r="G1874" s="9"/>
      <c r="AA1874" s="10"/>
      <c r="AV1874" s="11"/>
      <c r="AW1874" s="11"/>
      <c r="BB1874" s="9"/>
      <c r="BC1874" s="11"/>
      <c r="BF1874" s="9"/>
      <c r="CF1874" s="12"/>
      <c r="CH1874" s="9"/>
    </row>
    <row r="1875" spans="6:86" x14ac:dyDescent="0.25">
      <c r="F1875" s="9"/>
      <c r="G1875" s="9"/>
      <c r="AA1875" s="10"/>
      <c r="AV1875" s="11"/>
      <c r="AW1875" s="11"/>
      <c r="BB1875" s="9"/>
      <c r="BC1875" s="11"/>
      <c r="BF1875" s="9"/>
      <c r="CF1875" s="12"/>
      <c r="CH1875" s="9"/>
    </row>
    <row r="1876" spans="6:86" x14ac:dyDescent="0.25">
      <c r="F1876" s="9"/>
      <c r="G1876" s="9"/>
      <c r="AA1876" s="10"/>
      <c r="AV1876" s="11"/>
      <c r="AW1876" s="11"/>
      <c r="BB1876" s="9"/>
      <c r="BC1876" s="11"/>
      <c r="BF1876" s="9"/>
      <c r="CF1876" s="12"/>
      <c r="CH1876" s="9"/>
    </row>
    <row r="1877" spans="6:86" x14ac:dyDescent="0.25">
      <c r="F1877" s="9"/>
      <c r="G1877" s="9"/>
      <c r="AA1877" s="10"/>
      <c r="AV1877" s="11"/>
      <c r="AW1877" s="11"/>
      <c r="BB1877" s="9"/>
      <c r="BC1877" s="11"/>
      <c r="BF1877" s="9"/>
      <c r="CF1877" s="12"/>
      <c r="CH1877" s="9"/>
    </row>
    <row r="1878" spans="6:86" x14ac:dyDescent="0.25">
      <c r="F1878" s="9"/>
      <c r="G1878" s="9"/>
      <c r="AA1878" s="10"/>
      <c r="AV1878" s="11"/>
      <c r="AW1878" s="11"/>
      <c r="BB1878" s="9"/>
      <c r="BC1878" s="11"/>
      <c r="BF1878" s="9"/>
      <c r="CF1878" s="12"/>
      <c r="CH1878" s="9"/>
    </row>
    <row r="1879" spans="6:86" x14ac:dyDescent="0.25">
      <c r="F1879" s="9"/>
      <c r="G1879" s="9"/>
      <c r="AA1879" s="10"/>
      <c r="AV1879" s="11"/>
      <c r="AW1879" s="11"/>
      <c r="BB1879" s="9"/>
      <c r="BC1879" s="11"/>
      <c r="BF1879" s="9"/>
      <c r="CF1879" s="12"/>
      <c r="CH1879" s="9"/>
    </row>
    <row r="1880" spans="6:86" x14ac:dyDescent="0.25">
      <c r="F1880" s="9"/>
      <c r="G1880" s="9"/>
      <c r="AA1880" s="10"/>
      <c r="AV1880" s="11"/>
      <c r="AW1880" s="11"/>
      <c r="BB1880" s="9"/>
      <c r="BC1880" s="11"/>
      <c r="BF1880" s="9"/>
      <c r="CF1880" s="12"/>
      <c r="CH1880" s="9"/>
    </row>
    <row r="1881" spans="6:86" x14ac:dyDescent="0.25">
      <c r="F1881" s="9"/>
      <c r="G1881" s="9"/>
      <c r="AA1881" s="10"/>
      <c r="AV1881" s="11"/>
      <c r="AW1881" s="11"/>
      <c r="BB1881" s="9"/>
      <c r="BC1881" s="11"/>
      <c r="BF1881" s="9"/>
      <c r="CF1881" s="12"/>
      <c r="CH1881" s="9"/>
    </row>
    <row r="1882" spans="6:86" x14ac:dyDescent="0.25">
      <c r="F1882" s="9"/>
      <c r="G1882" s="9"/>
      <c r="AA1882" s="10"/>
      <c r="AV1882" s="11"/>
      <c r="AW1882" s="11"/>
      <c r="BB1882" s="9"/>
      <c r="BC1882" s="11"/>
      <c r="BF1882" s="9"/>
      <c r="CF1882" s="12"/>
      <c r="CH1882" s="9"/>
    </row>
    <row r="1883" spans="6:86" x14ac:dyDescent="0.25">
      <c r="F1883" s="9"/>
      <c r="G1883" s="9"/>
      <c r="AA1883" s="10"/>
      <c r="AV1883" s="11"/>
      <c r="AW1883" s="11"/>
      <c r="BB1883" s="9"/>
      <c r="BC1883" s="11"/>
      <c r="BF1883" s="9"/>
      <c r="CF1883" s="12"/>
      <c r="CH1883" s="9"/>
    </row>
    <row r="1884" spans="6:86" x14ac:dyDescent="0.25">
      <c r="F1884" s="9"/>
      <c r="G1884" s="9"/>
      <c r="AA1884" s="10"/>
      <c r="AV1884" s="11"/>
      <c r="AW1884" s="11"/>
      <c r="BB1884" s="9"/>
      <c r="BC1884" s="11"/>
      <c r="BF1884" s="9"/>
      <c r="CF1884" s="12"/>
      <c r="CH1884" s="9"/>
    </row>
    <row r="1885" spans="6:86" x14ac:dyDescent="0.25">
      <c r="F1885" s="9"/>
      <c r="G1885" s="9"/>
      <c r="AA1885" s="10"/>
      <c r="AV1885" s="11"/>
      <c r="AW1885" s="11"/>
      <c r="BB1885" s="9"/>
      <c r="BC1885" s="11"/>
      <c r="BF1885" s="9"/>
      <c r="CF1885" s="12"/>
      <c r="CH1885" s="9"/>
    </row>
    <row r="1886" spans="6:86" x14ac:dyDescent="0.25">
      <c r="F1886" s="9"/>
      <c r="G1886" s="9"/>
      <c r="AA1886" s="10"/>
      <c r="AV1886" s="11"/>
      <c r="AW1886" s="11"/>
      <c r="BB1886" s="9"/>
      <c r="BC1886" s="11"/>
      <c r="BF1886" s="9"/>
      <c r="CF1886" s="12"/>
      <c r="CH1886" s="9"/>
    </row>
    <row r="1887" spans="6:86" x14ac:dyDescent="0.25">
      <c r="F1887" s="9"/>
      <c r="G1887" s="9"/>
      <c r="AA1887" s="10"/>
      <c r="AV1887" s="11"/>
      <c r="AW1887" s="11"/>
      <c r="BB1887" s="9"/>
      <c r="BC1887" s="11"/>
      <c r="BF1887" s="9"/>
      <c r="CF1887" s="12"/>
      <c r="CH1887" s="9"/>
    </row>
    <row r="1888" spans="6:86" x14ac:dyDescent="0.25">
      <c r="F1888" s="9"/>
      <c r="G1888" s="9"/>
      <c r="AA1888" s="10"/>
      <c r="AV1888" s="11"/>
      <c r="AW1888" s="11"/>
      <c r="BB1888" s="9"/>
      <c r="BC1888" s="11"/>
      <c r="BF1888" s="9"/>
      <c r="CF1888" s="12"/>
      <c r="CH1888" s="9"/>
    </row>
    <row r="1889" spans="6:86" x14ac:dyDescent="0.25">
      <c r="F1889" s="9"/>
      <c r="G1889" s="9"/>
      <c r="AA1889" s="10"/>
      <c r="AV1889" s="11"/>
      <c r="AW1889" s="11"/>
      <c r="BB1889" s="9"/>
      <c r="BC1889" s="11"/>
      <c r="BF1889" s="9"/>
      <c r="CF1889" s="12"/>
      <c r="CH1889" s="9"/>
    </row>
    <row r="1890" spans="6:86" x14ac:dyDescent="0.25">
      <c r="F1890" s="9"/>
      <c r="G1890" s="9"/>
      <c r="AA1890" s="10"/>
      <c r="AV1890" s="11"/>
      <c r="AW1890" s="11"/>
      <c r="BB1890" s="9"/>
      <c r="BC1890" s="11"/>
      <c r="BF1890" s="9"/>
      <c r="CH1890" s="9"/>
    </row>
    <row r="1891" spans="6:86" x14ac:dyDescent="0.25">
      <c r="F1891" s="9"/>
      <c r="G1891" s="9"/>
      <c r="AA1891" s="10"/>
      <c r="AV1891" s="11"/>
      <c r="AW1891" s="11"/>
      <c r="BB1891" s="9"/>
      <c r="BC1891" s="11"/>
      <c r="BF1891" s="9"/>
      <c r="CH1891" s="9"/>
    </row>
    <row r="1892" spans="6:86" x14ac:dyDescent="0.25">
      <c r="F1892" s="9"/>
      <c r="G1892" s="9"/>
      <c r="AA1892" s="10"/>
      <c r="AV1892" s="11"/>
      <c r="AW1892" s="11"/>
      <c r="BB1892" s="9"/>
      <c r="BC1892" s="11"/>
      <c r="BF1892" s="9"/>
      <c r="CF1892" s="12"/>
      <c r="CH1892" s="9"/>
    </row>
    <row r="1893" spans="6:86" x14ac:dyDescent="0.25">
      <c r="F1893" s="9"/>
      <c r="G1893" s="9"/>
      <c r="AA1893" s="10"/>
      <c r="AV1893" s="11"/>
      <c r="AW1893" s="11"/>
      <c r="BB1893" s="9"/>
      <c r="BC1893" s="11"/>
      <c r="BF1893" s="9"/>
      <c r="CF1893" s="12"/>
      <c r="CH1893" s="9"/>
    </row>
    <row r="1894" spans="6:86" x14ac:dyDescent="0.25">
      <c r="F1894" s="9"/>
      <c r="G1894" s="9"/>
      <c r="AA1894" s="10"/>
      <c r="AV1894" s="11"/>
      <c r="AW1894" s="11"/>
      <c r="BB1894" s="9"/>
      <c r="BC1894" s="11"/>
      <c r="BF1894" s="9"/>
      <c r="CF1894" s="12"/>
      <c r="CH1894" s="9"/>
    </row>
    <row r="1895" spans="6:86" x14ac:dyDescent="0.25">
      <c r="F1895" s="9"/>
      <c r="G1895" s="9"/>
      <c r="AA1895" s="10"/>
      <c r="AV1895" s="11"/>
      <c r="AW1895" s="11"/>
      <c r="BB1895" s="9"/>
      <c r="BC1895" s="11"/>
      <c r="BF1895" s="9"/>
      <c r="CF1895" s="12"/>
      <c r="CH1895" s="9"/>
    </row>
    <row r="1896" spans="6:86" x14ac:dyDescent="0.25">
      <c r="F1896" s="9"/>
      <c r="G1896" s="9"/>
      <c r="AA1896" s="10"/>
      <c r="AV1896" s="11"/>
      <c r="AW1896" s="11"/>
      <c r="BB1896" s="9"/>
      <c r="BC1896" s="11"/>
      <c r="BF1896" s="9"/>
      <c r="CF1896" s="12"/>
      <c r="CH1896" s="9"/>
    </row>
    <row r="1897" spans="6:86" x14ac:dyDescent="0.25">
      <c r="F1897" s="9"/>
      <c r="G1897" s="9"/>
      <c r="AA1897" s="10"/>
      <c r="AV1897" s="11"/>
      <c r="AW1897" s="11"/>
      <c r="BB1897" s="9"/>
      <c r="BC1897" s="11"/>
      <c r="BF1897" s="9"/>
      <c r="CF1897" s="12"/>
      <c r="CH1897" s="9"/>
    </row>
    <row r="1898" spans="6:86" x14ac:dyDescent="0.25">
      <c r="F1898" s="9"/>
      <c r="G1898" s="9"/>
      <c r="AA1898" s="10"/>
      <c r="AV1898" s="11"/>
      <c r="AW1898" s="11"/>
      <c r="BB1898" s="9"/>
      <c r="BC1898" s="11"/>
      <c r="BF1898" s="9"/>
      <c r="CF1898" s="12"/>
      <c r="CH1898" s="9"/>
    </row>
    <row r="1899" spans="6:86" x14ac:dyDescent="0.25">
      <c r="F1899" s="9"/>
      <c r="G1899" s="9"/>
      <c r="AA1899" s="10"/>
      <c r="AV1899" s="11"/>
      <c r="AW1899" s="11"/>
      <c r="BB1899" s="9"/>
      <c r="BC1899" s="11"/>
      <c r="BF1899" s="9"/>
      <c r="CH1899" s="9"/>
    </row>
    <row r="1900" spans="6:86" x14ac:dyDescent="0.25">
      <c r="F1900" s="9"/>
      <c r="G1900" s="9"/>
      <c r="AA1900" s="10"/>
      <c r="AV1900" s="11"/>
      <c r="AW1900" s="11"/>
      <c r="BB1900" s="9"/>
      <c r="BC1900" s="11"/>
      <c r="BF1900" s="9"/>
      <c r="CF1900" s="12"/>
      <c r="CH1900" s="9"/>
    </row>
    <row r="1901" spans="6:86" x14ac:dyDescent="0.25">
      <c r="F1901" s="9"/>
      <c r="G1901" s="9"/>
      <c r="AA1901" s="10"/>
      <c r="AV1901" s="11"/>
      <c r="AW1901" s="11"/>
      <c r="BB1901" s="9"/>
      <c r="BC1901" s="11"/>
      <c r="BF1901" s="9"/>
      <c r="CF1901" s="12"/>
      <c r="CH1901" s="9"/>
    </row>
    <row r="1902" spans="6:86" x14ac:dyDescent="0.25">
      <c r="F1902" s="9"/>
      <c r="G1902" s="9"/>
      <c r="AA1902" s="10"/>
      <c r="AV1902" s="11"/>
      <c r="AW1902" s="11"/>
      <c r="BB1902" s="9"/>
      <c r="BC1902" s="11"/>
      <c r="BF1902" s="9"/>
      <c r="CF1902" s="12"/>
      <c r="CH1902" s="9"/>
    </row>
    <row r="1903" spans="6:86" x14ac:dyDescent="0.25">
      <c r="F1903" s="9"/>
      <c r="G1903" s="9"/>
      <c r="AA1903" s="10"/>
      <c r="AV1903" s="11"/>
      <c r="AW1903" s="11"/>
      <c r="BB1903" s="9"/>
      <c r="BC1903" s="11"/>
      <c r="BF1903" s="9"/>
      <c r="CF1903" s="12"/>
      <c r="CH1903" s="9"/>
    </row>
    <row r="1904" spans="6:86" x14ac:dyDescent="0.25">
      <c r="F1904" s="9"/>
      <c r="G1904" s="9"/>
      <c r="AA1904" s="10"/>
      <c r="AV1904" s="11"/>
      <c r="AW1904" s="11"/>
      <c r="BB1904" s="9"/>
      <c r="BC1904" s="11"/>
      <c r="BF1904" s="9"/>
      <c r="CF1904" s="12"/>
      <c r="CH1904" s="9"/>
    </row>
    <row r="1905" spans="6:86" x14ac:dyDescent="0.25">
      <c r="F1905" s="9"/>
      <c r="G1905" s="9"/>
      <c r="AA1905" s="10"/>
      <c r="AV1905" s="11"/>
      <c r="AW1905" s="11"/>
      <c r="BB1905" s="9"/>
      <c r="BC1905" s="11"/>
      <c r="BF1905" s="9"/>
      <c r="CF1905" s="12"/>
      <c r="CH1905" s="9"/>
    </row>
    <row r="1906" spans="6:86" x14ac:dyDescent="0.25">
      <c r="F1906" s="9"/>
      <c r="G1906" s="9"/>
      <c r="AA1906" s="10"/>
      <c r="AV1906" s="11"/>
      <c r="AW1906" s="11"/>
      <c r="BB1906" s="9"/>
      <c r="BC1906" s="11"/>
      <c r="BF1906" s="9"/>
      <c r="CF1906" s="12"/>
      <c r="CH1906" s="9"/>
    </row>
    <row r="1907" spans="6:86" x14ac:dyDescent="0.25">
      <c r="F1907" s="9"/>
      <c r="G1907" s="9"/>
      <c r="AA1907" s="10"/>
      <c r="AV1907" s="11"/>
      <c r="AW1907" s="11"/>
      <c r="BB1907" s="9"/>
      <c r="BC1907" s="11"/>
      <c r="BF1907" s="9"/>
      <c r="CF1907" s="12"/>
      <c r="CH1907" s="9"/>
    </row>
    <row r="1908" spans="6:86" x14ac:dyDescent="0.25">
      <c r="F1908" s="9"/>
      <c r="G1908" s="9"/>
      <c r="AA1908" s="10"/>
      <c r="AV1908" s="11"/>
      <c r="AW1908" s="11"/>
      <c r="BB1908" s="9"/>
      <c r="BC1908" s="11"/>
      <c r="BF1908" s="9"/>
      <c r="CF1908" s="12"/>
      <c r="CH1908" s="9"/>
    </row>
    <row r="1909" spans="6:86" x14ac:dyDescent="0.25">
      <c r="F1909" s="9"/>
      <c r="G1909" s="9"/>
      <c r="AA1909" s="10"/>
      <c r="AV1909" s="11"/>
      <c r="AW1909" s="11"/>
      <c r="BB1909" s="9"/>
      <c r="BC1909" s="11"/>
      <c r="BF1909" s="9"/>
      <c r="CF1909" s="12"/>
      <c r="CH1909" s="9"/>
    </row>
    <row r="1910" spans="6:86" x14ac:dyDescent="0.25">
      <c r="F1910" s="9"/>
      <c r="G1910" s="9"/>
      <c r="AA1910" s="10"/>
      <c r="AV1910" s="11"/>
      <c r="AW1910" s="11"/>
      <c r="BB1910" s="9"/>
      <c r="BC1910" s="11"/>
      <c r="BF1910" s="9"/>
      <c r="CF1910" s="12"/>
      <c r="CH1910" s="9"/>
    </row>
    <row r="1911" spans="6:86" x14ac:dyDescent="0.25">
      <c r="F1911" s="9"/>
      <c r="G1911" s="9"/>
      <c r="AA1911" s="10"/>
      <c r="AV1911" s="11"/>
      <c r="AW1911" s="11"/>
      <c r="BB1911" s="9"/>
      <c r="BC1911" s="11"/>
      <c r="BF1911" s="9"/>
      <c r="CF1911" s="12"/>
      <c r="CH1911" s="9"/>
    </row>
    <row r="1912" spans="6:86" x14ac:dyDescent="0.25">
      <c r="F1912" s="9"/>
      <c r="G1912" s="9"/>
      <c r="AA1912" s="10"/>
      <c r="AV1912" s="11"/>
      <c r="AW1912" s="11"/>
      <c r="BB1912" s="9"/>
      <c r="BC1912" s="11"/>
      <c r="BF1912" s="9"/>
      <c r="CF1912" s="12"/>
      <c r="CH1912" s="9"/>
    </row>
    <row r="1913" spans="6:86" x14ac:dyDescent="0.25">
      <c r="F1913" s="9"/>
      <c r="G1913" s="9"/>
      <c r="AA1913" s="10"/>
      <c r="AV1913" s="11"/>
      <c r="AW1913" s="11"/>
      <c r="BB1913" s="9"/>
      <c r="BC1913" s="11"/>
      <c r="BF1913" s="9"/>
      <c r="CH1913" s="9"/>
    </row>
    <row r="1914" spans="6:86" x14ac:dyDescent="0.25">
      <c r="F1914" s="9"/>
      <c r="G1914" s="9"/>
      <c r="AA1914" s="10"/>
      <c r="AV1914" s="11"/>
      <c r="AW1914" s="11"/>
      <c r="BB1914" s="9"/>
      <c r="BC1914" s="11"/>
      <c r="BF1914" s="9"/>
      <c r="CF1914" s="12"/>
      <c r="CH1914" s="9"/>
    </row>
    <row r="1915" spans="6:86" x14ac:dyDescent="0.25">
      <c r="F1915" s="9"/>
      <c r="G1915" s="9"/>
      <c r="AA1915" s="10"/>
      <c r="AV1915" s="11"/>
      <c r="AW1915" s="11"/>
      <c r="BB1915" s="9"/>
      <c r="BC1915" s="11"/>
      <c r="BF1915" s="9"/>
      <c r="CF1915" s="12"/>
      <c r="CH1915" s="9"/>
    </row>
    <row r="1916" spans="6:86" x14ac:dyDescent="0.25">
      <c r="F1916" s="9"/>
      <c r="G1916" s="9"/>
      <c r="AA1916" s="10"/>
      <c r="AV1916" s="11"/>
      <c r="AW1916" s="11"/>
      <c r="BB1916" s="9"/>
      <c r="BC1916" s="11"/>
      <c r="BF1916" s="9"/>
      <c r="CF1916" s="12"/>
      <c r="CH1916" s="9"/>
    </row>
    <row r="1917" spans="6:86" x14ac:dyDescent="0.25">
      <c r="F1917" s="9"/>
      <c r="G1917" s="9"/>
      <c r="AA1917" s="10"/>
      <c r="AV1917" s="11"/>
      <c r="AW1917" s="11"/>
      <c r="BB1917" s="9"/>
      <c r="BC1917" s="11"/>
      <c r="BF1917" s="9"/>
      <c r="CF1917" s="12"/>
      <c r="CH1917" s="9"/>
    </row>
    <row r="1918" spans="6:86" x14ac:dyDescent="0.25">
      <c r="F1918" s="9"/>
      <c r="G1918" s="9"/>
      <c r="AA1918" s="10"/>
      <c r="AV1918" s="11"/>
      <c r="AW1918" s="11"/>
      <c r="BB1918" s="9"/>
      <c r="BC1918" s="11"/>
      <c r="BF1918" s="9"/>
      <c r="CF1918" s="12"/>
      <c r="CH1918" s="9"/>
    </row>
    <row r="1919" spans="6:86" x14ac:dyDescent="0.25">
      <c r="F1919" s="9"/>
      <c r="G1919" s="9"/>
      <c r="AA1919" s="10"/>
      <c r="AV1919" s="11"/>
      <c r="AW1919" s="11"/>
      <c r="BB1919" s="9"/>
      <c r="BC1919" s="11"/>
      <c r="BF1919" s="9"/>
      <c r="CF1919" s="12"/>
      <c r="CH1919" s="9"/>
    </row>
    <row r="1920" spans="6:86" x14ac:dyDescent="0.25">
      <c r="F1920" s="9"/>
      <c r="G1920" s="9"/>
      <c r="AA1920" s="10"/>
      <c r="AV1920" s="11"/>
      <c r="AW1920" s="11"/>
      <c r="BB1920" s="9"/>
      <c r="BC1920" s="11"/>
      <c r="BF1920" s="9"/>
      <c r="CF1920" s="12"/>
      <c r="CH1920" s="9"/>
    </row>
    <row r="1921" spans="6:92" x14ac:dyDescent="0.25">
      <c r="F1921" s="9"/>
      <c r="G1921" s="9"/>
      <c r="AA1921" s="10"/>
      <c r="AV1921" s="11"/>
      <c r="AW1921" s="11"/>
      <c r="BB1921" s="9"/>
      <c r="BC1921" s="11"/>
      <c r="BF1921" s="9"/>
      <c r="CF1921" s="12"/>
      <c r="CH1921" s="9"/>
    </row>
    <row r="1922" spans="6:92" x14ac:dyDescent="0.25">
      <c r="F1922" s="9"/>
      <c r="G1922" s="9"/>
      <c r="AA1922" s="10"/>
      <c r="AV1922" s="11"/>
      <c r="AW1922" s="11"/>
      <c r="BB1922" s="9"/>
      <c r="BC1922" s="11"/>
      <c r="BF1922" s="9"/>
      <c r="CF1922" s="12"/>
      <c r="CH1922" s="9"/>
    </row>
    <row r="1923" spans="6:92" x14ac:dyDescent="0.25">
      <c r="F1923" s="9"/>
      <c r="G1923" s="9"/>
      <c r="AA1923" s="10"/>
      <c r="AV1923" s="11"/>
      <c r="AW1923" s="11"/>
      <c r="BB1923" s="9"/>
      <c r="BC1923" s="11"/>
      <c r="BF1923" s="9"/>
      <c r="CF1923" s="12"/>
      <c r="CH1923" s="9"/>
    </row>
    <row r="1924" spans="6:92" x14ac:dyDescent="0.25">
      <c r="F1924" s="9"/>
      <c r="G1924" s="9"/>
      <c r="AA1924" s="10"/>
      <c r="AV1924" s="11"/>
      <c r="AW1924" s="11"/>
      <c r="BB1924" s="9"/>
      <c r="BC1924" s="11"/>
      <c r="BF1924" s="9"/>
      <c r="CF1924" s="12"/>
      <c r="CH1924" s="9"/>
    </row>
    <row r="1925" spans="6:92" x14ac:dyDescent="0.25">
      <c r="F1925" s="9"/>
      <c r="G1925" s="9"/>
      <c r="AA1925" s="10"/>
      <c r="AV1925" s="11"/>
      <c r="AW1925" s="11"/>
      <c r="BB1925" s="9"/>
      <c r="BC1925" s="11"/>
      <c r="BF1925" s="9"/>
      <c r="CF1925" s="12"/>
      <c r="CH1925" s="9"/>
    </row>
    <row r="1926" spans="6:92" x14ac:dyDescent="0.25">
      <c r="F1926" s="9"/>
      <c r="G1926" s="9"/>
      <c r="AA1926" s="10"/>
      <c r="AV1926" s="11"/>
      <c r="AW1926" s="11"/>
      <c r="BB1926" s="9"/>
      <c r="BC1926" s="11"/>
      <c r="BF1926" s="9"/>
      <c r="CF1926" s="12"/>
      <c r="CH1926" s="9"/>
    </row>
    <row r="1927" spans="6:92" x14ac:dyDescent="0.25">
      <c r="F1927" s="9"/>
      <c r="G1927" s="9"/>
      <c r="AA1927" s="10"/>
      <c r="AV1927" s="11"/>
      <c r="AW1927" s="11"/>
      <c r="BB1927" s="9"/>
      <c r="BC1927" s="11"/>
      <c r="BF1927" s="9"/>
      <c r="CF1927" s="12"/>
      <c r="CH1927" s="9"/>
    </row>
    <row r="1928" spans="6:92" x14ac:dyDescent="0.25">
      <c r="F1928" s="9"/>
      <c r="G1928" s="9"/>
      <c r="AA1928" s="10"/>
      <c r="AV1928" s="11"/>
      <c r="AW1928" s="11"/>
      <c r="BB1928" s="9"/>
      <c r="BC1928" s="11"/>
      <c r="BF1928" s="9"/>
      <c r="CF1928" s="12"/>
      <c r="CH1928" s="9"/>
    </row>
    <row r="1929" spans="6:92" x14ac:dyDescent="0.25">
      <c r="F1929" s="9"/>
      <c r="G1929" s="9"/>
      <c r="AA1929" s="10"/>
      <c r="AV1929" s="11"/>
      <c r="AW1929" s="11"/>
      <c r="BB1929" s="9"/>
      <c r="BC1929" s="11"/>
      <c r="BF1929" s="9"/>
      <c r="CF1929" s="12"/>
      <c r="CH1929" s="9"/>
    </row>
    <row r="1930" spans="6:92" x14ac:dyDescent="0.25">
      <c r="F1930" s="9"/>
      <c r="G1930" s="9"/>
      <c r="AA1930" s="10"/>
      <c r="AV1930" s="11"/>
      <c r="AW1930" s="11"/>
      <c r="BB1930" s="9"/>
      <c r="BC1930" s="11"/>
      <c r="BF1930" s="9"/>
      <c r="CF1930" s="12"/>
      <c r="CH1930" s="9"/>
    </row>
    <row r="1931" spans="6:92" x14ac:dyDescent="0.25">
      <c r="F1931" s="9"/>
      <c r="G1931" s="9"/>
      <c r="AA1931" s="10"/>
      <c r="AV1931" s="11"/>
      <c r="AW1931" s="11"/>
      <c r="BB1931" s="9"/>
      <c r="BC1931" s="11"/>
      <c r="BF1931" s="9"/>
      <c r="CF1931" s="12"/>
      <c r="CH1931" s="9"/>
    </row>
    <row r="1932" spans="6:92" x14ac:dyDescent="0.25">
      <c r="F1932" s="9"/>
      <c r="G1932" s="9"/>
      <c r="AA1932" s="10"/>
      <c r="AV1932" s="11"/>
      <c r="AW1932" s="11"/>
      <c r="BB1932" s="9"/>
      <c r="BC1932" s="11"/>
      <c r="BF1932" s="9"/>
      <c r="CH1932" s="9"/>
    </row>
    <row r="1933" spans="6:92" x14ac:dyDescent="0.25">
      <c r="F1933" s="9"/>
      <c r="G1933" s="9"/>
      <c r="AA1933" s="10"/>
      <c r="AV1933" s="11"/>
      <c r="AW1933" s="11"/>
      <c r="BB1933" s="9"/>
      <c r="BC1933" s="11"/>
      <c r="BF1933" s="9"/>
      <c r="CF1933" s="12"/>
      <c r="CH1933" s="9"/>
      <c r="CN1933" s="12"/>
    </row>
    <row r="1934" spans="6:92" x14ac:dyDescent="0.25">
      <c r="F1934" s="9"/>
      <c r="G1934" s="9"/>
      <c r="AA1934" s="10"/>
      <c r="AV1934" s="11"/>
      <c r="AW1934" s="11"/>
      <c r="BB1934" s="9"/>
      <c r="BC1934" s="11"/>
      <c r="BF1934" s="9"/>
      <c r="CF1934" s="12"/>
      <c r="CH1934" s="9"/>
    </row>
    <row r="1935" spans="6:92" x14ac:dyDescent="0.25">
      <c r="F1935" s="9"/>
      <c r="G1935" s="9"/>
      <c r="AA1935" s="10"/>
      <c r="AV1935" s="11"/>
      <c r="AW1935" s="11"/>
      <c r="BB1935" s="9"/>
      <c r="BC1935" s="11"/>
      <c r="BF1935" s="9"/>
      <c r="CF1935" s="12"/>
      <c r="CH1935" s="9"/>
    </row>
    <row r="1936" spans="6:92" x14ac:dyDescent="0.25">
      <c r="F1936" s="9"/>
      <c r="G1936" s="9"/>
      <c r="AA1936" s="10"/>
      <c r="AV1936" s="11"/>
      <c r="AW1936" s="11"/>
      <c r="BB1936" s="9"/>
      <c r="BC1936" s="11"/>
      <c r="BF1936" s="9"/>
      <c r="CF1936" s="12"/>
      <c r="CH1936" s="9"/>
    </row>
    <row r="1937" spans="6:86" x14ac:dyDescent="0.25">
      <c r="F1937" s="9"/>
      <c r="G1937" s="9"/>
      <c r="AA1937" s="10"/>
      <c r="AV1937" s="11"/>
      <c r="AW1937" s="11"/>
      <c r="BB1937" s="9"/>
      <c r="BC1937" s="11"/>
      <c r="BF1937" s="9"/>
      <c r="CF1937" s="12"/>
      <c r="CH1937" s="9"/>
    </row>
    <row r="1938" spans="6:86" x14ac:dyDescent="0.25">
      <c r="F1938" s="9"/>
      <c r="G1938" s="9"/>
      <c r="AA1938" s="10"/>
      <c r="AV1938" s="11"/>
      <c r="AW1938" s="11"/>
      <c r="BB1938" s="9"/>
      <c r="BC1938" s="11"/>
      <c r="BF1938" s="9"/>
      <c r="CF1938" s="12"/>
      <c r="CH1938" s="9"/>
    </row>
    <row r="1939" spans="6:86" x14ac:dyDescent="0.25">
      <c r="F1939" s="9"/>
      <c r="G1939" s="9"/>
      <c r="AA1939" s="10"/>
      <c r="AV1939" s="11"/>
      <c r="AW1939" s="11"/>
      <c r="BB1939" s="9"/>
      <c r="BC1939" s="11"/>
      <c r="BF1939" s="9"/>
      <c r="CF1939" s="12"/>
      <c r="CH1939" s="9"/>
    </row>
    <row r="1940" spans="6:86" x14ac:dyDescent="0.25">
      <c r="F1940" s="9"/>
      <c r="G1940" s="9"/>
      <c r="AA1940" s="10"/>
      <c r="AV1940" s="11"/>
      <c r="AW1940" s="11"/>
      <c r="BB1940" s="9"/>
      <c r="BC1940" s="11"/>
      <c r="BF1940" s="9"/>
      <c r="CH1940" s="9"/>
    </row>
    <row r="1941" spans="6:86" x14ac:dyDescent="0.25">
      <c r="F1941" s="9"/>
      <c r="G1941" s="9"/>
      <c r="AA1941" s="10"/>
      <c r="AV1941" s="11"/>
      <c r="AW1941" s="11"/>
      <c r="BB1941" s="9"/>
      <c r="BC1941" s="11"/>
      <c r="BF1941" s="9"/>
      <c r="CF1941" s="12"/>
      <c r="CH1941" s="9"/>
    </row>
    <row r="1942" spans="6:86" x14ac:dyDescent="0.25">
      <c r="F1942" s="9"/>
      <c r="G1942" s="9"/>
      <c r="AA1942" s="10"/>
      <c r="AV1942" s="11"/>
      <c r="AW1942" s="11"/>
      <c r="BB1942" s="9"/>
      <c r="BC1942" s="11"/>
      <c r="BF1942" s="9"/>
      <c r="CF1942" s="12"/>
      <c r="CH1942" s="9"/>
    </row>
    <row r="1943" spans="6:86" x14ac:dyDescent="0.25">
      <c r="F1943" s="9"/>
      <c r="G1943" s="9"/>
      <c r="AA1943" s="10"/>
      <c r="AV1943" s="11"/>
      <c r="AW1943" s="11"/>
      <c r="BB1943" s="9"/>
      <c r="BC1943" s="11"/>
      <c r="BF1943" s="9"/>
      <c r="CF1943" s="12"/>
      <c r="CH1943" s="9"/>
    </row>
    <row r="1944" spans="6:86" x14ac:dyDescent="0.25">
      <c r="F1944" s="9"/>
      <c r="G1944" s="9"/>
      <c r="AA1944" s="10"/>
      <c r="AV1944" s="11"/>
      <c r="AW1944" s="11"/>
      <c r="BB1944" s="9"/>
      <c r="BC1944" s="11"/>
      <c r="BF1944" s="9"/>
      <c r="CH1944" s="9"/>
    </row>
    <row r="1945" spans="6:86" x14ac:dyDescent="0.25">
      <c r="F1945" s="9"/>
      <c r="G1945" s="9"/>
      <c r="AA1945" s="10"/>
      <c r="AV1945" s="11"/>
      <c r="AW1945" s="11"/>
      <c r="BB1945" s="9"/>
      <c r="BC1945" s="11"/>
      <c r="BF1945" s="9"/>
      <c r="CF1945" s="12"/>
      <c r="CH1945" s="9"/>
    </row>
    <row r="1946" spans="6:86" x14ac:dyDescent="0.25">
      <c r="F1946" s="9"/>
      <c r="G1946" s="9"/>
      <c r="AA1946" s="10"/>
      <c r="AV1946" s="11"/>
      <c r="AW1946" s="11"/>
      <c r="BB1946" s="9"/>
      <c r="BC1946" s="11"/>
      <c r="BF1946" s="9"/>
      <c r="CF1946" s="12"/>
      <c r="CH1946" s="9"/>
    </row>
    <row r="1947" spans="6:86" x14ac:dyDescent="0.25">
      <c r="F1947" s="9"/>
      <c r="G1947" s="9"/>
      <c r="AA1947" s="10"/>
      <c r="AV1947" s="11"/>
      <c r="AW1947" s="11"/>
      <c r="BB1947" s="9"/>
      <c r="BC1947" s="11"/>
      <c r="BF1947" s="9"/>
      <c r="CF1947" s="12"/>
      <c r="CH1947" s="9"/>
    </row>
    <row r="1948" spans="6:86" x14ac:dyDescent="0.25">
      <c r="F1948" s="9"/>
      <c r="G1948" s="9"/>
      <c r="AA1948" s="10"/>
      <c r="AV1948" s="11"/>
      <c r="AW1948" s="11"/>
      <c r="BB1948" s="9"/>
      <c r="BC1948" s="11"/>
      <c r="BF1948" s="9"/>
      <c r="CF1948" s="12"/>
      <c r="CH1948" s="9"/>
    </row>
    <row r="1949" spans="6:86" x14ac:dyDescent="0.25">
      <c r="F1949" s="9"/>
      <c r="G1949" s="9"/>
      <c r="AA1949" s="10"/>
      <c r="AV1949" s="11"/>
      <c r="AW1949" s="11"/>
      <c r="BB1949" s="9"/>
      <c r="BC1949" s="11"/>
      <c r="BF1949" s="9"/>
      <c r="CF1949" s="12"/>
      <c r="CH1949" s="9"/>
    </row>
    <row r="1950" spans="6:86" x14ac:dyDescent="0.25">
      <c r="F1950" s="9"/>
      <c r="G1950" s="9"/>
      <c r="AA1950" s="10"/>
      <c r="AV1950" s="11"/>
      <c r="AW1950" s="11"/>
      <c r="BB1950" s="9"/>
      <c r="BC1950" s="11"/>
      <c r="BF1950" s="9"/>
      <c r="CF1950" s="12"/>
      <c r="CH1950" s="9"/>
    </row>
    <row r="1951" spans="6:86" x14ac:dyDescent="0.25">
      <c r="F1951" s="9"/>
      <c r="G1951" s="9"/>
      <c r="AA1951" s="10"/>
      <c r="AV1951" s="11"/>
      <c r="AW1951" s="11"/>
      <c r="BB1951" s="9"/>
      <c r="BC1951" s="11"/>
      <c r="BF1951" s="9"/>
      <c r="CF1951" s="12"/>
      <c r="CH1951" s="9"/>
    </row>
    <row r="1952" spans="6:86" x14ac:dyDescent="0.25">
      <c r="F1952" s="9"/>
      <c r="G1952" s="9"/>
      <c r="AA1952" s="10"/>
      <c r="AV1952" s="11"/>
      <c r="AW1952" s="11"/>
      <c r="BB1952" s="9"/>
      <c r="BC1952" s="11"/>
      <c r="BF1952" s="9"/>
      <c r="CF1952" s="12"/>
      <c r="CH1952" s="9"/>
    </row>
    <row r="1953" spans="6:86" x14ac:dyDescent="0.25">
      <c r="F1953" s="9"/>
      <c r="G1953" s="9"/>
      <c r="AA1953" s="10"/>
      <c r="AV1953" s="11"/>
      <c r="AW1953" s="11"/>
      <c r="BB1953" s="9"/>
      <c r="BC1953" s="11"/>
      <c r="BF1953" s="9"/>
      <c r="CF1953" s="12"/>
      <c r="CH1953" s="9"/>
    </row>
    <row r="1954" spans="6:86" x14ac:dyDescent="0.25">
      <c r="F1954" s="9"/>
      <c r="G1954" s="9"/>
      <c r="AA1954" s="10"/>
      <c r="AV1954" s="11"/>
      <c r="AW1954" s="11"/>
      <c r="BB1954" s="9"/>
      <c r="BC1954" s="11"/>
      <c r="BF1954" s="9"/>
      <c r="CF1954" s="12"/>
      <c r="CH1954" s="9"/>
    </row>
    <row r="1955" spans="6:86" x14ac:dyDescent="0.25">
      <c r="F1955" s="9"/>
      <c r="G1955" s="9"/>
      <c r="AA1955" s="10"/>
      <c r="AV1955" s="11"/>
      <c r="AW1955" s="11"/>
      <c r="BB1955" s="9"/>
      <c r="BC1955" s="11"/>
      <c r="BF1955" s="9"/>
      <c r="CF1955" s="12"/>
      <c r="CH1955" s="9"/>
    </row>
    <row r="1956" spans="6:86" x14ac:dyDescent="0.25">
      <c r="F1956" s="9"/>
      <c r="G1956" s="9"/>
      <c r="AA1956" s="10"/>
      <c r="AV1956" s="11"/>
      <c r="AW1956" s="11"/>
      <c r="BB1956" s="9"/>
      <c r="BC1956" s="11"/>
      <c r="BF1956" s="9"/>
      <c r="CF1956" s="12"/>
      <c r="CH1956" s="9"/>
    </row>
    <row r="1957" spans="6:86" x14ac:dyDescent="0.25">
      <c r="F1957" s="9"/>
      <c r="G1957" s="9"/>
      <c r="AA1957" s="10"/>
      <c r="AV1957" s="11"/>
      <c r="AW1957" s="11"/>
      <c r="BB1957" s="9"/>
      <c r="BC1957" s="11"/>
      <c r="BF1957" s="9"/>
      <c r="CH1957" s="9"/>
    </row>
    <row r="1958" spans="6:86" x14ac:dyDescent="0.25">
      <c r="F1958" s="9"/>
      <c r="G1958" s="9"/>
      <c r="AA1958" s="10"/>
      <c r="AV1958" s="11"/>
      <c r="AW1958" s="11"/>
      <c r="BB1958" s="9"/>
      <c r="BC1958" s="11"/>
      <c r="BF1958" s="9"/>
      <c r="CF1958" s="12"/>
      <c r="CH1958" s="9"/>
    </row>
    <row r="1959" spans="6:86" x14ac:dyDescent="0.25">
      <c r="F1959" s="9"/>
      <c r="G1959" s="9"/>
      <c r="AA1959" s="10"/>
      <c r="AV1959" s="11"/>
      <c r="AW1959" s="11"/>
      <c r="BB1959" s="9"/>
      <c r="BC1959" s="11"/>
      <c r="BF1959" s="9"/>
      <c r="CF1959" s="12"/>
      <c r="CH1959" s="9"/>
    </row>
    <row r="1960" spans="6:86" x14ac:dyDescent="0.25">
      <c r="F1960" s="9"/>
      <c r="G1960" s="9"/>
      <c r="AA1960" s="10"/>
      <c r="AV1960" s="11"/>
      <c r="AW1960" s="11"/>
      <c r="BB1960" s="9"/>
      <c r="BC1960" s="11"/>
      <c r="BF1960" s="9"/>
      <c r="CF1960" s="12"/>
      <c r="CH1960" s="9"/>
    </row>
    <row r="1961" spans="6:86" x14ac:dyDescent="0.25">
      <c r="F1961" s="9"/>
      <c r="G1961" s="9"/>
      <c r="AA1961" s="10"/>
      <c r="AV1961" s="11"/>
      <c r="AW1961" s="11"/>
      <c r="BB1961" s="9"/>
      <c r="BC1961" s="11"/>
      <c r="BF1961" s="9"/>
      <c r="CF1961" s="12"/>
      <c r="CH1961" s="9"/>
    </row>
    <row r="1962" spans="6:86" x14ac:dyDescent="0.25">
      <c r="F1962" s="9"/>
      <c r="G1962" s="9"/>
      <c r="AA1962" s="10"/>
      <c r="AV1962" s="11"/>
      <c r="AW1962" s="11"/>
      <c r="BB1962" s="9"/>
      <c r="BC1962" s="11"/>
      <c r="BF1962" s="9"/>
      <c r="CF1962" s="12"/>
      <c r="CH1962" s="9"/>
    </row>
    <row r="1963" spans="6:86" x14ac:dyDescent="0.25">
      <c r="F1963" s="9"/>
      <c r="G1963" s="9"/>
      <c r="AA1963" s="10"/>
      <c r="AV1963" s="11"/>
      <c r="AW1963" s="11"/>
      <c r="BB1963" s="9"/>
      <c r="BC1963" s="11"/>
      <c r="BF1963" s="9"/>
      <c r="CF1963" s="12"/>
      <c r="CH1963" s="9"/>
    </row>
    <row r="1964" spans="6:86" x14ac:dyDescent="0.25">
      <c r="F1964" s="9"/>
      <c r="G1964" s="9"/>
      <c r="AA1964" s="10"/>
      <c r="AV1964" s="11"/>
      <c r="AW1964" s="11"/>
      <c r="BB1964" s="9"/>
      <c r="BC1964" s="11"/>
      <c r="BF1964" s="9"/>
      <c r="CH1964" s="9"/>
    </row>
    <row r="1965" spans="6:86" x14ac:dyDescent="0.25">
      <c r="F1965" s="9"/>
      <c r="G1965" s="9"/>
      <c r="AA1965" s="10"/>
      <c r="AV1965" s="11"/>
      <c r="AW1965" s="11"/>
      <c r="BB1965" s="9"/>
      <c r="BC1965" s="11"/>
      <c r="BF1965" s="9"/>
      <c r="CF1965" s="12"/>
      <c r="CH1965" s="9"/>
    </row>
    <row r="1966" spans="6:86" x14ac:dyDescent="0.25">
      <c r="F1966" s="9"/>
      <c r="G1966" s="9"/>
      <c r="AA1966" s="10"/>
      <c r="AV1966" s="11"/>
      <c r="AW1966" s="11"/>
      <c r="BB1966" s="9"/>
      <c r="BC1966" s="11"/>
      <c r="BF1966" s="9"/>
      <c r="CH1966" s="9"/>
    </row>
    <row r="1967" spans="6:86" x14ac:dyDescent="0.25">
      <c r="F1967" s="9"/>
      <c r="G1967" s="9"/>
      <c r="AA1967" s="10"/>
      <c r="AV1967" s="11"/>
      <c r="AW1967" s="11"/>
      <c r="BB1967" s="9"/>
      <c r="BC1967" s="11"/>
      <c r="BF1967" s="9"/>
      <c r="CH1967" s="9"/>
    </row>
    <row r="1968" spans="6:86" x14ac:dyDescent="0.25">
      <c r="F1968" s="9"/>
      <c r="G1968" s="9"/>
      <c r="AA1968" s="10"/>
      <c r="AV1968" s="11"/>
      <c r="AW1968" s="11"/>
      <c r="BB1968" s="9"/>
      <c r="BC1968" s="11"/>
      <c r="BF1968" s="9"/>
    </row>
    <row r="1969" spans="6:92" x14ac:dyDescent="0.25">
      <c r="F1969" s="9"/>
      <c r="G1969" s="9"/>
      <c r="AA1969" s="10"/>
      <c r="AV1969" s="11"/>
      <c r="AW1969" s="11"/>
      <c r="BB1969" s="9"/>
      <c r="BC1969" s="11"/>
      <c r="BF1969" s="9"/>
      <c r="CF1969" s="12"/>
      <c r="CH1969" s="9"/>
    </row>
    <row r="1970" spans="6:92" x14ac:dyDescent="0.25">
      <c r="F1970" s="9"/>
      <c r="G1970" s="9"/>
      <c r="AA1970" s="10"/>
      <c r="AV1970" s="11"/>
      <c r="AW1970" s="11"/>
      <c r="BB1970" s="9"/>
      <c r="BC1970" s="11"/>
      <c r="BF1970" s="9"/>
      <c r="CF1970" s="12"/>
      <c r="CH1970" s="9"/>
    </row>
    <row r="1971" spans="6:92" x14ac:dyDescent="0.25">
      <c r="F1971" s="9"/>
      <c r="G1971" s="9"/>
      <c r="U1971" s="12"/>
      <c r="AA1971" s="10"/>
      <c r="AV1971" s="11"/>
      <c r="AW1971" s="11"/>
      <c r="BB1971" s="9"/>
      <c r="BC1971" s="11"/>
      <c r="BF1971" s="9"/>
      <c r="CF1971" s="12"/>
      <c r="CH1971" s="9"/>
      <c r="CN1971" s="12"/>
    </row>
    <row r="1972" spans="6:92" x14ac:dyDescent="0.25">
      <c r="F1972" s="9"/>
      <c r="G1972" s="9"/>
      <c r="AA1972" s="10"/>
      <c r="AV1972" s="11"/>
      <c r="AW1972" s="11"/>
      <c r="BB1972" s="9"/>
      <c r="BC1972" s="11"/>
      <c r="BF1972" s="9"/>
      <c r="CH1972" s="9"/>
    </row>
    <row r="1973" spans="6:92" x14ac:dyDescent="0.25">
      <c r="F1973" s="9"/>
      <c r="G1973" s="9"/>
      <c r="AA1973" s="10"/>
      <c r="AV1973" s="11"/>
      <c r="AW1973" s="11"/>
      <c r="BB1973" s="9"/>
      <c r="BC1973" s="11"/>
      <c r="BF1973" s="9"/>
      <c r="CF1973" s="12"/>
      <c r="CH1973" s="9"/>
    </row>
    <row r="1974" spans="6:92" x14ac:dyDescent="0.25">
      <c r="F1974" s="9"/>
      <c r="G1974" s="9"/>
      <c r="AA1974" s="10"/>
      <c r="AV1974" s="11"/>
      <c r="AW1974" s="11"/>
      <c r="BB1974" s="9"/>
      <c r="BC1974" s="11"/>
      <c r="BF1974" s="9"/>
      <c r="CH1974" s="9"/>
    </row>
    <row r="1975" spans="6:92" x14ac:dyDescent="0.25">
      <c r="F1975" s="9"/>
      <c r="G1975" s="9"/>
      <c r="AA1975" s="10"/>
      <c r="AV1975" s="11"/>
      <c r="AW1975" s="11"/>
      <c r="BB1975" s="9"/>
      <c r="BC1975" s="11"/>
      <c r="BF1975" s="9"/>
      <c r="CF1975" s="12"/>
      <c r="CH1975" s="9"/>
    </row>
    <row r="1976" spans="6:92" x14ac:dyDescent="0.25">
      <c r="F1976" s="9"/>
      <c r="G1976" s="9"/>
      <c r="AA1976" s="10"/>
      <c r="AV1976" s="11"/>
      <c r="AW1976" s="11"/>
      <c r="BB1976" s="9"/>
      <c r="BC1976" s="11"/>
      <c r="BF1976" s="9"/>
      <c r="CF1976" s="12"/>
      <c r="CH1976" s="9"/>
    </row>
    <row r="1977" spans="6:92" x14ac:dyDescent="0.25">
      <c r="F1977" s="9"/>
      <c r="G1977" s="9"/>
      <c r="AA1977" s="10"/>
      <c r="AV1977" s="11"/>
      <c r="AW1977" s="11"/>
      <c r="BB1977" s="9"/>
      <c r="BC1977" s="11"/>
      <c r="BF1977" s="9"/>
      <c r="CF1977" s="12"/>
      <c r="CH1977" s="9"/>
    </row>
    <row r="1978" spans="6:92" x14ac:dyDescent="0.25">
      <c r="F1978" s="9"/>
      <c r="G1978" s="9"/>
      <c r="AA1978" s="10"/>
      <c r="AV1978" s="11"/>
      <c r="AW1978" s="11"/>
      <c r="BB1978" s="9"/>
      <c r="BC1978" s="11"/>
      <c r="BF1978" s="9"/>
      <c r="CF1978" s="12"/>
      <c r="CH1978" s="9"/>
    </row>
    <row r="1979" spans="6:92" x14ac:dyDescent="0.25">
      <c r="F1979" s="9"/>
      <c r="G1979" s="9"/>
      <c r="AA1979" s="10"/>
      <c r="AV1979" s="11"/>
      <c r="AW1979" s="11"/>
      <c r="BB1979" s="9"/>
      <c r="BC1979" s="11"/>
      <c r="BF1979" s="9"/>
      <c r="CF1979" s="12"/>
      <c r="CH1979" s="9"/>
    </row>
    <row r="1980" spans="6:92" x14ac:dyDescent="0.25">
      <c r="F1980" s="9"/>
      <c r="G1980" s="9"/>
      <c r="AA1980" s="10"/>
      <c r="AV1980" s="11"/>
      <c r="AW1980" s="11"/>
      <c r="BB1980" s="9"/>
      <c r="BC1980" s="11"/>
      <c r="BF1980" s="9"/>
      <c r="CH1980" s="9"/>
    </row>
    <row r="1981" spans="6:92" x14ac:dyDescent="0.25">
      <c r="F1981" s="9"/>
      <c r="G1981" s="9"/>
      <c r="AA1981" s="10"/>
      <c r="AV1981" s="11"/>
      <c r="AW1981" s="11"/>
      <c r="BB1981" s="9"/>
      <c r="BC1981" s="11"/>
      <c r="BF1981" s="9"/>
      <c r="CF1981" s="12"/>
      <c r="CH1981" s="9"/>
    </row>
    <row r="1982" spans="6:92" x14ac:dyDescent="0.25">
      <c r="F1982" s="9"/>
      <c r="G1982" s="9"/>
      <c r="AA1982" s="10"/>
      <c r="AV1982" s="11"/>
      <c r="AW1982" s="11"/>
      <c r="BB1982" s="9"/>
      <c r="BC1982" s="11"/>
      <c r="BF1982" s="9"/>
      <c r="CH1982" s="9"/>
    </row>
    <row r="1983" spans="6:92" x14ac:dyDescent="0.25">
      <c r="F1983" s="9"/>
      <c r="G1983" s="9"/>
      <c r="AA1983" s="10"/>
      <c r="AV1983" s="11"/>
      <c r="AW1983" s="11"/>
      <c r="BB1983" s="9"/>
      <c r="BC1983" s="11"/>
      <c r="BF1983" s="9"/>
      <c r="CF1983" s="12"/>
      <c r="CH1983" s="9"/>
    </row>
    <row r="1984" spans="6:92" x14ac:dyDescent="0.25">
      <c r="F1984" s="9"/>
      <c r="G1984" s="9"/>
      <c r="AA1984" s="10"/>
      <c r="AV1984" s="11"/>
      <c r="AW1984" s="11"/>
      <c r="BB1984" s="9"/>
      <c r="BC1984" s="11"/>
      <c r="BF1984" s="9"/>
      <c r="CF1984" s="12"/>
      <c r="CH1984" s="9"/>
    </row>
    <row r="1985" spans="6:86" x14ac:dyDescent="0.25">
      <c r="F1985" s="9"/>
      <c r="G1985" s="9"/>
      <c r="AA1985" s="10"/>
      <c r="AV1985" s="11"/>
      <c r="AW1985" s="11"/>
      <c r="BB1985" s="9"/>
      <c r="BC1985" s="11"/>
      <c r="BF1985" s="9"/>
      <c r="CF1985" s="12"/>
      <c r="CH1985" s="9"/>
    </row>
    <row r="1986" spans="6:86" x14ac:dyDescent="0.25">
      <c r="F1986" s="9"/>
      <c r="G1986" s="9"/>
      <c r="AA1986" s="10"/>
      <c r="AV1986" s="11"/>
      <c r="AW1986" s="11"/>
      <c r="BB1986" s="9"/>
      <c r="BC1986" s="11"/>
      <c r="BF1986" s="9"/>
      <c r="CF1986" s="12"/>
      <c r="CH1986" s="9"/>
    </row>
    <row r="1987" spans="6:86" x14ac:dyDescent="0.25">
      <c r="F1987" s="9"/>
      <c r="G1987" s="9"/>
      <c r="AA1987" s="10"/>
      <c r="AV1987" s="11"/>
      <c r="AW1987" s="11"/>
      <c r="BB1987" s="9"/>
      <c r="BC1987" s="11"/>
      <c r="BF1987" s="9"/>
      <c r="CF1987" s="12"/>
      <c r="CH1987" s="9"/>
    </row>
    <row r="1988" spans="6:86" x14ac:dyDescent="0.25">
      <c r="F1988" s="9"/>
      <c r="G1988" s="9"/>
      <c r="AA1988" s="10"/>
      <c r="AV1988" s="11"/>
      <c r="AW1988" s="11"/>
      <c r="BB1988" s="9"/>
      <c r="BC1988" s="11"/>
      <c r="BF1988" s="9"/>
      <c r="CF1988" s="12"/>
      <c r="CH1988" s="9"/>
    </row>
    <row r="1989" spans="6:86" x14ac:dyDescent="0.25">
      <c r="F1989" s="9"/>
      <c r="G1989" s="9"/>
      <c r="AA1989" s="10"/>
      <c r="AV1989" s="11"/>
      <c r="AW1989" s="11"/>
      <c r="BB1989" s="9"/>
      <c r="BC1989" s="11"/>
      <c r="BF1989" s="9"/>
      <c r="CH1989" s="9"/>
    </row>
    <row r="1990" spans="6:86" x14ac:dyDescent="0.25">
      <c r="F1990" s="9"/>
      <c r="G1990" s="9"/>
      <c r="AA1990" s="10"/>
      <c r="AV1990" s="11"/>
      <c r="AW1990" s="11"/>
      <c r="BB1990" s="9"/>
      <c r="BC1990" s="11"/>
      <c r="BF1990" s="9"/>
      <c r="CH1990" s="9"/>
    </row>
    <row r="1991" spans="6:86" x14ac:dyDescent="0.25">
      <c r="F1991" s="9"/>
      <c r="G1991" s="9"/>
      <c r="AA1991" s="10"/>
      <c r="AV1991" s="11"/>
      <c r="AW1991" s="11"/>
      <c r="BB1991" s="9"/>
      <c r="BC1991" s="11"/>
      <c r="BF1991" s="9"/>
      <c r="CH1991" s="9"/>
    </row>
    <row r="1992" spans="6:86" x14ac:dyDescent="0.25">
      <c r="F1992" s="9"/>
      <c r="G1992" s="9"/>
      <c r="AA1992" s="10"/>
      <c r="AV1992" s="11"/>
      <c r="AW1992" s="11"/>
      <c r="BB1992" s="9"/>
      <c r="BC1992" s="11"/>
      <c r="BF1992" s="9"/>
      <c r="CF1992" s="12"/>
      <c r="CH1992" s="9"/>
    </row>
    <row r="1993" spans="6:86" x14ac:dyDescent="0.25">
      <c r="F1993" s="9"/>
      <c r="G1993" s="9"/>
      <c r="AA1993" s="10"/>
      <c r="AV1993" s="11"/>
      <c r="AW1993" s="11"/>
      <c r="BB1993" s="9"/>
      <c r="BC1993" s="11"/>
      <c r="BF1993" s="9"/>
      <c r="CF1993" s="12"/>
      <c r="CH1993" s="9"/>
    </row>
    <row r="1994" spans="6:86" x14ac:dyDescent="0.25">
      <c r="F1994" s="9"/>
      <c r="G1994" s="9"/>
      <c r="AA1994" s="10"/>
      <c r="AV1994" s="11"/>
      <c r="AW1994" s="11"/>
      <c r="BB1994" s="9"/>
      <c r="BC1994" s="11"/>
      <c r="BF1994" s="9"/>
      <c r="CF1994" s="12"/>
      <c r="CH1994" s="9"/>
    </row>
    <row r="1995" spans="6:86" x14ac:dyDescent="0.25">
      <c r="F1995" s="9"/>
      <c r="G1995" s="9"/>
      <c r="AA1995" s="10"/>
      <c r="AV1995" s="11"/>
      <c r="AW1995" s="11"/>
      <c r="BB1995" s="9"/>
      <c r="BC1995" s="11"/>
      <c r="BF1995" s="9"/>
      <c r="CF1995" s="12"/>
      <c r="CH1995" s="9"/>
    </row>
    <row r="1996" spans="6:86" x14ac:dyDescent="0.25">
      <c r="F1996" s="9"/>
      <c r="G1996" s="9"/>
      <c r="AA1996" s="10"/>
      <c r="AV1996" s="11"/>
      <c r="AW1996" s="11"/>
      <c r="BB1996" s="9"/>
      <c r="BC1996" s="11"/>
      <c r="BF1996" s="9"/>
      <c r="CF1996" s="12"/>
      <c r="CH1996" s="9"/>
    </row>
    <row r="1997" spans="6:86" x14ac:dyDescent="0.25">
      <c r="F1997" s="9"/>
      <c r="G1997" s="9"/>
      <c r="AA1997" s="10"/>
      <c r="AV1997" s="11"/>
      <c r="AW1997" s="11"/>
      <c r="BB1997" s="9"/>
      <c r="BC1997" s="11"/>
      <c r="BF1997" s="9"/>
      <c r="CF1997" s="12"/>
      <c r="CH1997" s="9"/>
    </row>
    <row r="1998" spans="6:86" x14ac:dyDescent="0.25">
      <c r="F1998" s="9"/>
      <c r="G1998" s="9"/>
      <c r="AA1998" s="10"/>
      <c r="AV1998" s="11"/>
      <c r="AW1998" s="11"/>
      <c r="BB1998" s="9"/>
      <c r="BC1998" s="11"/>
      <c r="BF1998" s="9"/>
      <c r="CF1998" s="12"/>
      <c r="CH1998" s="9"/>
    </row>
    <row r="1999" spans="6:86" x14ac:dyDescent="0.25">
      <c r="F1999" s="9"/>
      <c r="G1999" s="9"/>
      <c r="AA1999" s="10"/>
      <c r="AV1999" s="11"/>
      <c r="AW1999" s="11"/>
      <c r="BB1999" s="9"/>
      <c r="BC1999" s="11"/>
      <c r="BF1999" s="9"/>
      <c r="CF1999" s="12"/>
      <c r="CH1999" s="9"/>
    </row>
    <row r="2000" spans="6:86" x14ac:dyDescent="0.25">
      <c r="F2000" s="9"/>
      <c r="G2000" s="9"/>
      <c r="AA2000" s="10"/>
      <c r="AV2000" s="11"/>
      <c r="AW2000" s="11"/>
      <c r="BB2000" s="9"/>
      <c r="BC2000" s="11"/>
      <c r="BF2000" s="9"/>
      <c r="CF2000" s="12"/>
      <c r="CH2000" s="9"/>
    </row>
    <row r="2001" spans="6:86" x14ac:dyDescent="0.25">
      <c r="F2001" s="9"/>
      <c r="G2001" s="9"/>
      <c r="AA2001" s="10"/>
      <c r="AV2001" s="11"/>
      <c r="AW2001" s="11"/>
      <c r="BB2001" s="9"/>
      <c r="BC2001" s="11"/>
      <c r="BF2001" s="9"/>
      <c r="CF2001" s="12"/>
      <c r="CH2001" s="9"/>
    </row>
    <row r="2002" spans="6:86" x14ac:dyDescent="0.25">
      <c r="F2002" s="9"/>
      <c r="G2002" s="9"/>
      <c r="AA2002" s="10"/>
      <c r="AV2002" s="11"/>
      <c r="AW2002" s="11"/>
      <c r="BB2002" s="9"/>
      <c r="BC2002" s="11"/>
      <c r="BF2002" s="9"/>
      <c r="CF2002" s="12"/>
      <c r="CH2002" s="9"/>
    </row>
    <row r="2003" spans="6:86" x14ac:dyDescent="0.25">
      <c r="F2003" s="9"/>
      <c r="G2003" s="9"/>
      <c r="AA2003" s="10"/>
      <c r="AV2003" s="11"/>
      <c r="AW2003" s="11"/>
      <c r="BB2003" s="9"/>
      <c r="BC2003" s="11"/>
      <c r="BF2003" s="9"/>
      <c r="CF2003" s="12"/>
      <c r="CH2003" s="9"/>
    </row>
    <row r="2004" spans="6:86" x14ac:dyDescent="0.25">
      <c r="F2004" s="9"/>
      <c r="G2004" s="9"/>
      <c r="AA2004" s="10"/>
      <c r="AV2004" s="11"/>
      <c r="AW2004" s="11"/>
      <c r="BB2004" s="9"/>
      <c r="BC2004" s="11"/>
      <c r="BF2004" s="9"/>
      <c r="CH2004" s="9"/>
    </row>
    <row r="2005" spans="6:86" x14ac:dyDescent="0.25">
      <c r="F2005" s="9"/>
      <c r="G2005" s="9"/>
      <c r="AA2005" s="10"/>
      <c r="AV2005" s="11"/>
      <c r="AW2005" s="11"/>
      <c r="BB2005" s="9"/>
      <c r="BC2005" s="11"/>
      <c r="BF2005" s="9"/>
      <c r="CF2005" s="12"/>
      <c r="CH2005" s="9"/>
    </row>
    <row r="2006" spans="6:86" x14ac:dyDescent="0.25">
      <c r="F2006" s="9"/>
      <c r="G2006" s="9"/>
      <c r="AA2006" s="10"/>
      <c r="AV2006" s="11"/>
      <c r="AW2006" s="11"/>
      <c r="BB2006" s="9"/>
      <c r="BC2006" s="11"/>
      <c r="BF2006" s="9"/>
      <c r="CF2006" s="12"/>
      <c r="CH2006" s="9"/>
    </row>
    <row r="2007" spans="6:86" x14ac:dyDescent="0.25">
      <c r="F2007" s="9"/>
      <c r="G2007" s="9"/>
      <c r="AA2007" s="10"/>
      <c r="AV2007" s="11"/>
      <c r="AW2007" s="11"/>
      <c r="BB2007" s="9"/>
      <c r="BC2007" s="11"/>
      <c r="BF2007" s="9"/>
      <c r="CF2007" s="12"/>
      <c r="CH2007" s="9"/>
    </row>
    <row r="2008" spans="6:86" x14ac:dyDescent="0.25">
      <c r="F2008" s="9"/>
      <c r="G2008" s="9"/>
      <c r="AA2008" s="10"/>
      <c r="AV2008" s="11"/>
      <c r="AW2008" s="11"/>
      <c r="BB2008" s="9"/>
      <c r="BC2008" s="11"/>
      <c r="BF2008" s="9"/>
      <c r="CF2008" s="12"/>
      <c r="CH2008" s="9"/>
    </row>
    <row r="2009" spans="6:86" x14ac:dyDescent="0.25">
      <c r="F2009" s="9"/>
      <c r="G2009" s="9"/>
      <c r="AA2009" s="10"/>
      <c r="AV2009" s="11"/>
      <c r="AW2009" s="11"/>
      <c r="BB2009" s="9"/>
      <c r="BC2009" s="11"/>
      <c r="BF2009" s="9"/>
      <c r="CF2009" s="12"/>
      <c r="CH2009" s="9"/>
    </row>
    <row r="2010" spans="6:86" x14ac:dyDescent="0.25">
      <c r="F2010" s="9"/>
      <c r="G2010" s="9"/>
      <c r="AA2010" s="10"/>
      <c r="AV2010" s="11"/>
      <c r="AW2010" s="11"/>
      <c r="BB2010" s="9"/>
      <c r="BC2010" s="11"/>
      <c r="BF2010" s="9"/>
      <c r="CF2010" s="12"/>
      <c r="CH2010" s="9"/>
    </row>
    <row r="2011" spans="6:86" x14ac:dyDescent="0.25">
      <c r="F2011" s="9"/>
      <c r="G2011" s="9"/>
      <c r="AA2011" s="10"/>
      <c r="AV2011" s="11"/>
      <c r="AW2011" s="11"/>
      <c r="BB2011" s="9"/>
      <c r="BC2011" s="11"/>
      <c r="BF2011" s="9"/>
      <c r="CF2011" s="12"/>
      <c r="CH2011" s="9"/>
    </row>
    <row r="2012" spans="6:86" x14ac:dyDescent="0.25">
      <c r="F2012" s="9"/>
      <c r="G2012" s="9"/>
      <c r="AA2012" s="10"/>
      <c r="AV2012" s="11"/>
      <c r="AW2012" s="11"/>
      <c r="BB2012" s="9"/>
      <c r="BC2012" s="11"/>
      <c r="BF2012" s="9"/>
      <c r="CH2012" s="9"/>
    </row>
    <row r="2013" spans="6:86" x14ac:dyDescent="0.25">
      <c r="F2013" s="9"/>
      <c r="G2013" s="9"/>
      <c r="AA2013" s="10"/>
      <c r="AV2013" s="11"/>
      <c r="AW2013" s="11"/>
      <c r="BB2013" s="9"/>
      <c r="BC2013" s="11"/>
      <c r="BF2013" s="9"/>
      <c r="CH2013" s="9"/>
    </row>
    <row r="2014" spans="6:86" x14ac:dyDescent="0.25">
      <c r="F2014" s="9"/>
      <c r="G2014" s="9"/>
      <c r="AA2014" s="10"/>
      <c r="AV2014" s="11"/>
      <c r="AW2014" s="11"/>
      <c r="BB2014" s="9"/>
      <c r="BC2014" s="11"/>
      <c r="BF2014" s="9"/>
      <c r="CF2014" s="12"/>
      <c r="CH2014" s="9"/>
    </row>
    <row r="2015" spans="6:86" x14ac:dyDescent="0.25">
      <c r="F2015" s="9"/>
      <c r="G2015" s="9"/>
      <c r="AA2015" s="10"/>
      <c r="AV2015" s="11"/>
      <c r="AW2015" s="11"/>
      <c r="BB2015" s="9"/>
      <c r="BC2015" s="11"/>
      <c r="BF2015" s="9"/>
      <c r="CH2015" s="9"/>
    </row>
    <row r="2016" spans="6:86" x14ac:dyDescent="0.25">
      <c r="F2016" s="9"/>
      <c r="G2016" s="9"/>
      <c r="AA2016" s="10"/>
      <c r="AV2016" s="11"/>
      <c r="AW2016" s="11"/>
      <c r="BB2016" s="9"/>
      <c r="BC2016" s="11"/>
      <c r="BF2016" s="9"/>
      <c r="CH2016" s="9"/>
    </row>
    <row r="2017" spans="6:92" x14ac:dyDescent="0.25">
      <c r="F2017" s="9"/>
      <c r="G2017" s="9"/>
      <c r="AA2017" s="10"/>
      <c r="AV2017" s="11"/>
      <c r="AW2017" s="11"/>
      <c r="BB2017" s="9"/>
      <c r="BC2017" s="11"/>
      <c r="BF2017" s="9"/>
      <c r="CH2017" s="9"/>
    </row>
    <row r="2018" spans="6:92" x14ac:dyDescent="0.25">
      <c r="F2018" s="9"/>
      <c r="G2018" s="9"/>
      <c r="U2018" s="12"/>
      <c r="Z2018" s="12"/>
      <c r="AA2018" s="10"/>
      <c r="AV2018" s="11"/>
      <c r="AW2018" s="11"/>
      <c r="BB2018" s="9"/>
      <c r="BC2018" s="11"/>
      <c r="BF2018" s="9"/>
      <c r="CF2018" s="12"/>
      <c r="CH2018" s="9"/>
      <c r="CN2018" s="12"/>
    </row>
    <row r="2019" spans="6:92" x14ac:dyDescent="0.25">
      <c r="F2019" s="9"/>
      <c r="G2019" s="9"/>
      <c r="AA2019" s="10"/>
      <c r="AV2019" s="11"/>
      <c r="AW2019" s="11"/>
      <c r="BB2019" s="9"/>
      <c r="BC2019" s="11"/>
      <c r="BF2019" s="9"/>
      <c r="CH2019" s="9"/>
    </row>
    <row r="2020" spans="6:92" x14ac:dyDescent="0.25">
      <c r="F2020" s="9"/>
      <c r="G2020" s="9"/>
      <c r="AA2020" s="10"/>
      <c r="AV2020" s="11"/>
      <c r="AW2020" s="11"/>
      <c r="BB2020" s="9"/>
      <c r="BC2020" s="11"/>
      <c r="BF2020" s="9"/>
      <c r="CF2020" s="12"/>
      <c r="CH2020" s="9"/>
    </row>
    <row r="2021" spans="6:92" x14ac:dyDescent="0.25">
      <c r="F2021" s="9"/>
      <c r="G2021" s="9"/>
      <c r="AA2021" s="10"/>
      <c r="AV2021" s="11"/>
      <c r="AW2021" s="11"/>
      <c r="BB2021" s="9"/>
      <c r="BC2021" s="11"/>
      <c r="BF2021" s="9"/>
      <c r="CF2021" s="12"/>
      <c r="CH2021" s="9"/>
    </row>
    <row r="2022" spans="6:92" x14ac:dyDescent="0.25">
      <c r="F2022" s="9"/>
      <c r="G2022" s="9"/>
      <c r="AA2022" s="10"/>
      <c r="AV2022" s="11"/>
      <c r="AW2022" s="11"/>
      <c r="BB2022" s="9"/>
      <c r="BC2022" s="11"/>
      <c r="BF2022" s="9"/>
      <c r="CF2022" s="12"/>
      <c r="CH2022" s="9"/>
    </row>
    <row r="2023" spans="6:92" x14ac:dyDescent="0.25">
      <c r="F2023" s="9"/>
      <c r="G2023" s="9"/>
      <c r="AA2023" s="10"/>
      <c r="AV2023" s="11"/>
      <c r="AW2023" s="11"/>
      <c r="BB2023" s="9"/>
      <c r="BC2023" s="11"/>
      <c r="BF2023" s="9"/>
      <c r="CF2023" s="12"/>
      <c r="CH2023" s="9"/>
    </row>
    <row r="2024" spans="6:92" x14ac:dyDescent="0.25">
      <c r="F2024" s="9"/>
      <c r="G2024" s="9"/>
      <c r="AA2024" s="10"/>
      <c r="AV2024" s="11"/>
      <c r="AW2024" s="11"/>
      <c r="BB2024" s="9"/>
      <c r="BC2024" s="11"/>
      <c r="BF2024" s="9"/>
      <c r="CF2024" s="12"/>
      <c r="CH2024" s="9"/>
    </row>
    <row r="2025" spans="6:92" x14ac:dyDescent="0.25">
      <c r="F2025" s="9"/>
      <c r="G2025" s="9"/>
      <c r="AA2025" s="10"/>
      <c r="AV2025" s="11"/>
      <c r="AW2025" s="11"/>
      <c r="BB2025" s="9"/>
      <c r="BC2025" s="11"/>
      <c r="BF2025" s="9"/>
      <c r="CF2025" s="12"/>
      <c r="CH2025" s="9"/>
    </row>
    <row r="2026" spans="6:92" x14ac:dyDescent="0.25">
      <c r="F2026" s="9"/>
      <c r="G2026" s="9"/>
      <c r="AA2026" s="10"/>
      <c r="AV2026" s="11"/>
      <c r="AW2026" s="11"/>
      <c r="BB2026" s="9"/>
      <c r="BC2026" s="11"/>
      <c r="BF2026" s="9"/>
      <c r="CF2026" s="12"/>
      <c r="CH2026" s="9"/>
    </row>
    <row r="2027" spans="6:92" x14ac:dyDescent="0.25">
      <c r="F2027" s="9"/>
      <c r="G2027" s="9"/>
      <c r="AA2027" s="10"/>
      <c r="AV2027" s="11"/>
      <c r="AW2027" s="11"/>
      <c r="BB2027" s="9"/>
      <c r="BC2027" s="11"/>
      <c r="BF2027" s="9"/>
      <c r="CF2027" s="12"/>
      <c r="CH2027" s="9"/>
    </row>
    <row r="2028" spans="6:92" x14ac:dyDescent="0.25">
      <c r="F2028" s="9"/>
      <c r="G2028" s="9"/>
      <c r="AA2028" s="10"/>
      <c r="AV2028" s="11"/>
      <c r="AW2028" s="11"/>
      <c r="BB2028" s="9"/>
      <c r="BC2028" s="11"/>
      <c r="BF2028" s="9"/>
      <c r="CF2028" s="12"/>
      <c r="CH2028" s="9"/>
    </row>
    <row r="2029" spans="6:92" x14ac:dyDescent="0.25">
      <c r="F2029" s="9"/>
      <c r="G2029" s="9"/>
      <c r="AA2029" s="10"/>
      <c r="AV2029" s="11"/>
      <c r="AW2029" s="11"/>
      <c r="BB2029" s="9"/>
      <c r="BC2029" s="11"/>
      <c r="BF2029" s="9"/>
      <c r="CF2029" s="12"/>
      <c r="CH2029" s="9"/>
    </row>
    <row r="2030" spans="6:92" x14ac:dyDescent="0.25">
      <c r="F2030" s="9"/>
      <c r="G2030" s="9"/>
      <c r="AA2030" s="10"/>
      <c r="AV2030" s="11"/>
      <c r="AW2030" s="11"/>
      <c r="BB2030" s="9"/>
      <c r="BC2030" s="11"/>
      <c r="BF2030" s="9"/>
      <c r="CH2030" s="9"/>
    </row>
    <row r="2031" spans="6:92" x14ac:dyDescent="0.25">
      <c r="F2031" s="9"/>
      <c r="G2031" s="9"/>
      <c r="AA2031" s="10"/>
      <c r="AV2031" s="11"/>
      <c r="AW2031" s="11"/>
      <c r="BB2031" s="9"/>
      <c r="BC2031" s="11"/>
      <c r="BF2031" s="9"/>
      <c r="CF2031" s="12"/>
      <c r="CH2031" s="9"/>
    </row>
    <row r="2032" spans="6:92" x14ac:dyDescent="0.25">
      <c r="F2032" s="9"/>
      <c r="G2032" s="9"/>
      <c r="AA2032" s="10"/>
      <c r="AV2032" s="11"/>
      <c r="AW2032" s="11"/>
      <c r="BB2032" s="9"/>
      <c r="BC2032" s="11"/>
      <c r="BF2032" s="9"/>
      <c r="CH2032" s="9"/>
    </row>
    <row r="2033" spans="6:86" x14ac:dyDescent="0.25">
      <c r="F2033" s="9"/>
      <c r="G2033" s="9"/>
      <c r="AA2033" s="10"/>
      <c r="AV2033" s="11"/>
      <c r="AW2033" s="11"/>
      <c r="BB2033" s="9"/>
      <c r="BC2033" s="11"/>
      <c r="BF2033" s="9"/>
      <c r="CF2033" s="12"/>
      <c r="CH2033" s="9"/>
    </row>
    <row r="2034" spans="6:86" x14ac:dyDescent="0.25">
      <c r="F2034" s="9"/>
      <c r="G2034" s="9"/>
      <c r="AA2034" s="10"/>
      <c r="AV2034" s="11"/>
      <c r="AW2034" s="11"/>
      <c r="BB2034" s="9"/>
      <c r="BC2034" s="11"/>
      <c r="BF2034" s="9"/>
      <c r="CF2034" s="12"/>
      <c r="CH2034" s="9"/>
    </row>
    <row r="2035" spans="6:86" x14ac:dyDescent="0.25">
      <c r="F2035" s="9"/>
      <c r="G2035" s="9"/>
      <c r="AA2035" s="10"/>
      <c r="AV2035" s="11"/>
      <c r="AW2035" s="11"/>
      <c r="BB2035" s="9"/>
      <c r="BC2035" s="11"/>
      <c r="BF2035" s="9"/>
      <c r="CF2035" s="12"/>
      <c r="CH2035" s="9"/>
    </row>
    <row r="2036" spans="6:86" x14ac:dyDescent="0.25">
      <c r="F2036" s="9"/>
      <c r="G2036" s="9"/>
      <c r="AA2036" s="10"/>
      <c r="AV2036" s="11"/>
      <c r="AW2036" s="11"/>
      <c r="BB2036" s="9"/>
      <c r="BC2036" s="11"/>
      <c r="BF2036" s="9"/>
      <c r="CF2036" s="12"/>
      <c r="CH2036" s="9"/>
    </row>
    <row r="2037" spans="6:86" x14ac:dyDescent="0.25">
      <c r="F2037" s="9"/>
      <c r="G2037" s="9"/>
      <c r="AA2037" s="10"/>
      <c r="AV2037" s="11"/>
      <c r="AW2037" s="11"/>
      <c r="BB2037" s="9"/>
      <c r="BC2037" s="11"/>
      <c r="BF2037" s="9"/>
      <c r="CF2037" s="12"/>
      <c r="CH2037" s="9"/>
    </row>
    <row r="2038" spans="6:86" x14ac:dyDescent="0.25">
      <c r="F2038" s="9"/>
      <c r="G2038" s="9"/>
      <c r="AA2038" s="10"/>
      <c r="AV2038" s="11"/>
      <c r="AW2038" s="11"/>
      <c r="BB2038" s="9"/>
      <c r="BC2038" s="11"/>
      <c r="BF2038" s="9"/>
      <c r="CH2038" s="9"/>
    </row>
    <row r="2039" spans="6:86" x14ac:dyDescent="0.25">
      <c r="F2039" s="9"/>
      <c r="G2039" s="9"/>
      <c r="AA2039" s="10"/>
      <c r="AV2039" s="11"/>
      <c r="AW2039" s="11"/>
      <c r="BB2039" s="9"/>
      <c r="BC2039" s="11"/>
      <c r="BF2039" s="9"/>
      <c r="CH2039" s="9"/>
    </row>
    <row r="2040" spans="6:86" x14ac:dyDescent="0.25">
      <c r="F2040" s="9"/>
      <c r="G2040" s="9"/>
      <c r="AA2040" s="10"/>
      <c r="AV2040" s="11"/>
      <c r="AW2040" s="11"/>
      <c r="BB2040" s="9"/>
      <c r="BC2040" s="11"/>
      <c r="BF2040" s="9"/>
      <c r="CF2040" s="12"/>
      <c r="CH2040" s="9"/>
    </row>
    <row r="2041" spans="6:86" x14ac:dyDescent="0.25">
      <c r="F2041" s="9"/>
      <c r="G2041" s="9"/>
      <c r="AA2041" s="10"/>
      <c r="AV2041" s="11"/>
      <c r="AW2041" s="11"/>
      <c r="BB2041" s="9"/>
      <c r="BC2041" s="11"/>
      <c r="BF2041" s="9"/>
      <c r="CF2041" s="12"/>
      <c r="CH2041" s="9"/>
    </row>
    <row r="2042" spans="6:86" x14ac:dyDescent="0.25">
      <c r="F2042" s="9"/>
      <c r="G2042" s="9"/>
      <c r="AA2042" s="10"/>
      <c r="AV2042" s="11"/>
      <c r="AW2042" s="11"/>
      <c r="BB2042" s="9"/>
      <c r="BC2042" s="11"/>
      <c r="BF2042" s="9"/>
      <c r="CF2042" s="12"/>
      <c r="CH2042" s="9"/>
    </row>
    <row r="2043" spans="6:86" x14ac:dyDescent="0.25">
      <c r="F2043" s="9"/>
      <c r="G2043" s="9"/>
      <c r="AA2043" s="10"/>
      <c r="AV2043" s="11"/>
      <c r="AW2043" s="11"/>
      <c r="BB2043" s="9"/>
      <c r="BC2043" s="11"/>
      <c r="BF2043" s="9"/>
      <c r="CF2043" s="12"/>
      <c r="CH2043" s="9"/>
    </row>
    <row r="2044" spans="6:86" x14ac:dyDescent="0.25">
      <c r="F2044" s="9"/>
      <c r="G2044" s="9"/>
      <c r="AA2044" s="10"/>
      <c r="AV2044" s="11"/>
      <c r="AW2044" s="11"/>
      <c r="BB2044" s="9"/>
      <c r="BC2044" s="11"/>
      <c r="BF2044" s="9"/>
      <c r="CF2044" s="12"/>
      <c r="CH2044" s="9"/>
    </row>
    <row r="2045" spans="6:86" x14ac:dyDescent="0.25">
      <c r="F2045" s="9"/>
      <c r="G2045" s="9"/>
      <c r="AA2045" s="10"/>
      <c r="AV2045" s="11"/>
      <c r="AW2045" s="11"/>
      <c r="BB2045" s="9"/>
      <c r="BC2045" s="11"/>
      <c r="BF2045" s="9"/>
      <c r="CF2045" s="12"/>
      <c r="CH2045" s="9"/>
    </row>
    <row r="2046" spans="6:86" x14ac:dyDescent="0.25">
      <c r="F2046" s="9"/>
      <c r="G2046" s="9"/>
      <c r="AA2046" s="10"/>
      <c r="AV2046" s="11"/>
      <c r="AW2046" s="11"/>
      <c r="BB2046" s="9"/>
      <c r="BC2046" s="11"/>
      <c r="BF2046" s="9"/>
      <c r="CF2046" s="12"/>
      <c r="CH2046" s="9"/>
    </row>
    <row r="2047" spans="6:86" x14ac:dyDescent="0.25">
      <c r="F2047" s="9"/>
      <c r="G2047" s="9"/>
      <c r="AA2047" s="10"/>
      <c r="AV2047" s="11"/>
      <c r="AW2047" s="11"/>
      <c r="BB2047" s="9"/>
      <c r="BC2047" s="11"/>
      <c r="BF2047" s="9"/>
      <c r="CF2047" s="12"/>
      <c r="CH2047" s="9"/>
    </row>
    <row r="2048" spans="6:86" x14ac:dyDescent="0.25">
      <c r="F2048" s="9"/>
      <c r="G2048" s="9"/>
      <c r="AA2048" s="10"/>
      <c r="AV2048" s="11"/>
      <c r="AW2048" s="11"/>
      <c r="BB2048" s="9"/>
      <c r="BC2048" s="11"/>
      <c r="BF2048" s="9"/>
      <c r="CF2048" s="12"/>
      <c r="CH2048" s="9"/>
    </row>
    <row r="2049" spans="6:86" x14ac:dyDescent="0.25">
      <c r="F2049" s="9"/>
      <c r="G2049" s="9"/>
      <c r="AA2049" s="10"/>
      <c r="AV2049" s="11"/>
      <c r="AW2049" s="11"/>
      <c r="BB2049" s="9"/>
      <c r="BC2049" s="11"/>
      <c r="BF2049" s="9"/>
      <c r="CH2049" s="9"/>
    </row>
    <row r="2050" spans="6:86" x14ac:dyDescent="0.25">
      <c r="F2050" s="9"/>
      <c r="G2050" s="9"/>
      <c r="AA2050" s="10"/>
      <c r="AV2050" s="11"/>
      <c r="AW2050" s="11"/>
      <c r="BB2050" s="9"/>
      <c r="BC2050" s="11"/>
      <c r="BF2050" s="9"/>
      <c r="CH2050" s="9"/>
    </row>
    <row r="2051" spans="6:86" x14ac:dyDescent="0.25">
      <c r="F2051" s="9"/>
      <c r="G2051" s="9"/>
      <c r="AA2051" s="10"/>
      <c r="AV2051" s="11"/>
      <c r="AW2051" s="11"/>
      <c r="BB2051" s="9"/>
      <c r="BC2051" s="11"/>
      <c r="BF2051" s="9"/>
      <c r="CH2051" s="9"/>
    </row>
    <row r="2052" spans="6:86" x14ac:dyDescent="0.25">
      <c r="F2052" s="9"/>
      <c r="G2052" s="9"/>
      <c r="AA2052" s="10"/>
      <c r="AV2052" s="11"/>
      <c r="AW2052" s="11"/>
      <c r="BB2052" s="9"/>
      <c r="BC2052" s="11"/>
      <c r="BF2052" s="9"/>
      <c r="CF2052" s="12"/>
      <c r="CH2052" s="9"/>
    </row>
    <row r="2053" spans="6:86" x14ac:dyDescent="0.25">
      <c r="F2053" s="9"/>
      <c r="G2053" s="9"/>
      <c r="AA2053" s="10"/>
      <c r="AV2053" s="11"/>
      <c r="AW2053" s="11"/>
      <c r="BB2053" s="9"/>
      <c r="BC2053" s="11"/>
      <c r="BF2053" s="9"/>
      <c r="CF2053" s="12"/>
      <c r="CH2053" s="9"/>
    </row>
    <row r="2054" spans="6:86" x14ac:dyDescent="0.25">
      <c r="F2054" s="9"/>
      <c r="G2054" s="9"/>
      <c r="AA2054" s="10"/>
      <c r="AV2054" s="11"/>
      <c r="AW2054" s="11"/>
      <c r="BB2054" s="9"/>
      <c r="BC2054" s="11"/>
      <c r="BF2054" s="9"/>
      <c r="CF2054" s="12"/>
      <c r="CH2054" s="9"/>
    </row>
    <row r="2055" spans="6:86" x14ac:dyDescent="0.25">
      <c r="F2055" s="9"/>
      <c r="G2055" s="9"/>
      <c r="AA2055" s="10"/>
      <c r="AV2055" s="11"/>
      <c r="AW2055" s="11"/>
      <c r="BB2055" s="9"/>
      <c r="BC2055" s="11"/>
      <c r="BF2055" s="9"/>
      <c r="CF2055" s="12"/>
      <c r="CH2055" s="9"/>
    </row>
    <row r="2056" spans="6:86" x14ac:dyDescent="0.25">
      <c r="F2056" s="9"/>
      <c r="G2056" s="9"/>
      <c r="AA2056" s="10"/>
      <c r="AV2056" s="11"/>
      <c r="AW2056" s="11"/>
      <c r="BB2056" s="9"/>
      <c r="BC2056" s="11"/>
      <c r="BF2056" s="9"/>
      <c r="CF2056" s="12"/>
      <c r="CH2056" s="9"/>
    </row>
    <row r="2057" spans="6:86" x14ac:dyDescent="0.25">
      <c r="F2057" s="9"/>
      <c r="G2057" s="9"/>
      <c r="AA2057" s="10"/>
      <c r="AV2057" s="11"/>
      <c r="AW2057" s="11"/>
      <c r="BB2057" s="9"/>
      <c r="BC2057" s="11"/>
      <c r="BF2057" s="9"/>
      <c r="CF2057" s="12"/>
      <c r="CH2057" s="9"/>
    </row>
    <row r="2058" spans="6:86" x14ac:dyDescent="0.25">
      <c r="F2058" s="9"/>
      <c r="G2058" s="9"/>
      <c r="AA2058" s="10"/>
      <c r="AV2058" s="11"/>
      <c r="AW2058" s="11"/>
      <c r="BB2058" s="9"/>
      <c r="BC2058" s="11"/>
      <c r="BF2058" s="9"/>
      <c r="CF2058" s="12"/>
      <c r="CH2058" s="9"/>
    </row>
    <row r="2059" spans="6:86" x14ac:dyDescent="0.25">
      <c r="F2059" s="9"/>
      <c r="G2059" s="9"/>
      <c r="AA2059" s="10"/>
      <c r="AV2059" s="11"/>
      <c r="AW2059" s="11"/>
      <c r="BB2059" s="9"/>
      <c r="BC2059" s="11"/>
      <c r="BF2059" s="9"/>
      <c r="CF2059" s="12"/>
      <c r="CH2059" s="9"/>
    </row>
    <row r="2060" spans="6:86" x14ac:dyDescent="0.25">
      <c r="F2060" s="9"/>
      <c r="G2060" s="9"/>
      <c r="AA2060" s="10"/>
      <c r="AV2060" s="11"/>
      <c r="AW2060" s="11"/>
      <c r="BB2060" s="9"/>
      <c r="BC2060" s="11"/>
      <c r="BF2060" s="9"/>
      <c r="CH2060" s="9"/>
    </row>
    <row r="2061" spans="6:86" x14ac:dyDescent="0.25">
      <c r="F2061" s="9"/>
      <c r="G2061" s="9"/>
      <c r="AA2061" s="10"/>
      <c r="AV2061" s="11"/>
      <c r="AW2061" s="11"/>
      <c r="BB2061" s="9"/>
      <c r="BC2061" s="11"/>
      <c r="BF2061" s="9"/>
      <c r="CF2061" s="12"/>
      <c r="CH2061" s="9"/>
    </row>
    <row r="2062" spans="6:86" x14ac:dyDescent="0.25">
      <c r="F2062" s="9"/>
      <c r="G2062" s="9"/>
      <c r="AA2062" s="10"/>
      <c r="AV2062" s="11"/>
      <c r="AW2062" s="11"/>
      <c r="BB2062" s="9"/>
      <c r="BC2062" s="11"/>
      <c r="BF2062" s="9"/>
      <c r="CF2062" s="12"/>
      <c r="CH2062" s="9"/>
    </row>
    <row r="2063" spans="6:86" x14ac:dyDescent="0.25">
      <c r="F2063" s="9"/>
      <c r="G2063" s="9"/>
      <c r="AA2063" s="10"/>
      <c r="AV2063" s="11"/>
      <c r="AW2063" s="11"/>
      <c r="BB2063" s="9"/>
      <c r="BC2063" s="11"/>
      <c r="BF2063" s="9"/>
      <c r="CH2063" s="9"/>
    </row>
    <row r="2064" spans="6:86" x14ac:dyDescent="0.25">
      <c r="F2064" s="9"/>
      <c r="G2064" s="9"/>
      <c r="U2064" s="12"/>
      <c r="AA2064" s="10"/>
      <c r="AV2064" s="11"/>
      <c r="AW2064" s="11"/>
      <c r="BB2064" s="9"/>
      <c r="BC2064" s="11"/>
      <c r="BF2064" s="9"/>
      <c r="CF2064" s="12"/>
      <c r="CH2064" s="9"/>
    </row>
    <row r="2065" spans="6:92" x14ac:dyDescent="0.25">
      <c r="F2065" s="9"/>
      <c r="G2065" s="9"/>
      <c r="AA2065" s="10"/>
      <c r="AV2065" s="11"/>
      <c r="AW2065" s="11"/>
      <c r="BB2065" s="9"/>
      <c r="BC2065" s="11"/>
      <c r="BF2065" s="9"/>
      <c r="CF2065" s="12"/>
      <c r="CH2065" s="9"/>
    </row>
    <row r="2066" spans="6:92" x14ac:dyDescent="0.25">
      <c r="F2066" s="9"/>
      <c r="G2066" s="9"/>
      <c r="AA2066" s="10"/>
      <c r="AV2066" s="11"/>
      <c r="AW2066" s="11"/>
      <c r="BB2066" s="9"/>
      <c r="BC2066" s="11"/>
      <c r="BF2066" s="9"/>
      <c r="CF2066" s="12"/>
      <c r="CH2066" s="9"/>
      <c r="CN2066" s="12"/>
    </row>
    <row r="2067" spans="6:92" x14ac:dyDescent="0.25">
      <c r="F2067" s="9"/>
      <c r="G2067" s="9"/>
      <c r="AA2067" s="10"/>
      <c r="AV2067" s="11"/>
      <c r="AW2067" s="11"/>
      <c r="BB2067" s="9"/>
      <c r="BC2067" s="11"/>
      <c r="BF2067" s="9"/>
      <c r="CF2067" s="12"/>
      <c r="CH2067" s="9"/>
    </row>
    <row r="2068" spans="6:92" x14ac:dyDescent="0.25">
      <c r="F2068" s="9"/>
      <c r="G2068" s="9"/>
      <c r="AA2068" s="10"/>
      <c r="AV2068" s="11"/>
      <c r="AW2068" s="11"/>
      <c r="BB2068" s="9"/>
      <c r="BC2068" s="11"/>
      <c r="BF2068" s="9"/>
      <c r="CF2068" s="12"/>
      <c r="CH2068" s="9"/>
    </row>
    <row r="2069" spans="6:92" x14ac:dyDescent="0.25">
      <c r="F2069" s="9"/>
      <c r="G2069" s="9"/>
      <c r="AA2069" s="10"/>
      <c r="AV2069" s="11"/>
      <c r="AW2069" s="11"/>
      <c r="BB2069" s="9"/>
      <c r="BC2069" s="11"/>
      <c r="BF2069" s="9"/>
      <c r="CF2069" s="12"/>
      <c r="CH2069" s="9"/>
    </row>
    <row r="2070" spans="6:92" x14ac:dyDescent="0.25">
      <c r="F2070" s="9"/>
      <c r="G2070" s="9"/>
      <c r="AA2070" s="10"/>
      <c r="AV2070" s="11"/>
      <c r="AW2070" s="11"/>
      <c r="BB2070" s="9"/>
      <c r="BC2070" s="11"/>
      <c r="BF2070" s="9"/>
      <c r="CF2070" s="12"/>
      <c r="CH2070" s="9"/>
    </row>
    <row r="2071" spans="6:92" x14ac:dyDescent="0.25">
      <c r="F2071" s="9"/>
      <c r="G2071" s="9"/>
      <c r="AA2071" s="10"/>
      <c r="AV2071" s="11"/>
      <c r="AW2071" s="11"/>
      <c r="BB2071" s="9"/>
      <c r="BC2071" s="11"/>
      <c r="BF2071" s="9"/>
      <c r="CF2071" s="12"/>
      <c r="CH2071" s="9"/>
    </row>
    <row r="2072" spans="6:92" x14ac:dyDescent="0.25">
      <c r="F2072" s="9"/>
      <c r="G2072" s="9"/>
      <c r="AA2072" s="10"/>
      <c r="AV2072" s="11"/>
      <c r="AW2072" s="11"/>
      <c r="BB2072" s="9"/>
      <c r="BC2072" s="11"/>
      <c r="BF2072" s="9"/>
      <c r="CF2072" s="12"/>
      <c r="CH2072" s="9"/>
    </row>
    <row r="2073" spans="6:92" x14ac:dyDescent="0.25">
      <c r="F2073" s="9"/>
      <c r="G2073" s="9"/>
      <c r="AA2073" s="10"/>
      <c r="AV2073" s="11"/>
      <c r="AW2073" s="11"/>
      <c r="BB2073" s="9"/>
      <c r="BC2073" s="11"/>
      <c r="BF2073" s="9"/>
      <c r="CF2073" s="12"/>
      <c r="CH2073" s="9"/>
    </row>
    <row r="2074" spans="6:92" x14ac:dyDescent="0.25">
      <c r="F2074" s="9"/>
      <c r="G2074" s="9"/>
      <c r="AA2074" s="10"/>
      <c r="AV2074" s="11"/>
      <c r="AW2074" s="11"/>
      <c r="BB2074" s="9"/>
      <c r="BC2074" s="11"/>
      <c r="BF2074" s="9"/>
      <c r="CH2074" s="9"/>
    </row>
    <row r="2075" spans="6:92" x14ac:dyDescent="0.25">
      <c r="F2075" s="9"/>
      <c r="G2075" s="9"/>
      <c r="AA2075" s="10"/>
      <c r="AV2075" s="11"/>
      <c r="AW2075" s="11"/>
      <c r="BB2075" s="9"/>
      <c r="BC2075" s="11"/>
      <c r="BF2075" s="9"/>
      <c r="CH2075" s="9"/>
    </row>
    <row r="2076" spans="6:92" x14ac:dyDescent="0.25">
      <c r="F2076" s="9"/>
      <c r="G2076" s="9"/>
      <c r="AA2076" s="10"/>
      <c r="AV2076" s="11"/>
      <c r="AW2076" s="11"/>
      <c r="BB2076" s="9"/>
      <c r="BC2076" s="11"/>
      <c r="BF2076" s="9"/>
      <c r="CF2076" s="12"/>
      <c r="CH2076" s="9"/>
    </row>
    <row r="2077" spans="6:92" x14ac:dyDescent="0.25">
      <c r="F2077" s="9"/>
      <c r="G2077" s="9"/>
      <c r="AA2077" s="10"/>
      <c r="AV2077" s="11"/>
      <c r="AW2077" s="11"/>
      <c r="BB2077" s="9"/>
      <c r="BC2077" s="11"/>
      <c r="BF2077" s="9"/>
      <c r="CF2077" s="12"/>
      <c r="CH2077" s="9"/>
    </row>
    <row r="2078" spans="6:92" x14ac:dyDescent="0.25">
      <c r="F2078" s="9"/>
      <c r="G2078" s="9"/>
      <c r="AA2078" s="10"/>
      <c r="AV2078" s="11"/>
      <c r="AW2078" s="11"/>
      <c r="BB2078" s="9"/>
      <c r="BC2078" s="11"/>
      <c r="BF2078" s="9"/>
      <c r="CH2078" s="9"/>
    </row>
    <row r="2079" spans="6:92" x14ac:dyDescent="0.25">
      <c r="F2079" s="9"/>
      <c r="G2079" s="9"/>
      <c r="AA2079" s="10"/>
      <c r="AV2079" s="11"/>
      <c r="AW2079" s="11"/>
      <c r="BB2079" s="9"/>
      <c r="BC2079" s="11"/>
      <c r="BF2079" s="9"/>
      <c r="CF2079" s="12"/>
      <c r="CH2079" s="9"/>
    </row>
    <row r="2080" spans="6:92" x14ac:dyDescent="0.25">
      <c r="F2080" s="9"/>
      <c r="G2080" s="9"/>
      <c r="AA2080" s="10"/>
      <c r="AV2080" s="11"/>
      <c r="AW2080" s="11"/>
      <c r="BB2080" s="9"/>
      <c r="BC2080" s="11"/>
      <c r="BF2080" s="9"/>
      <c r="CF2080" s="12"/>
      <c r="CH2080" s="9"/>
    </row>
    <row r="2081" spans="6:92" x14ac:dyDescent="0.25">
      <c r="F2081" s="9"/>
      <c r="G2081" s="9"/>
      <c r="AA2081" s="10"/>
      <c r="AV2081" s="11"/>
      <c r="AW2081" s="11"/>
      <c r="BB2081" s="9"/>
      <c r="BC2081" s="11"/>
      <c r="BF2081" s="9"/>
      <c r="CF2081" s="12"/>
      <c r="CH2081" s="9"/>
    </row>
    <row r="2082" spans="6:92" x14ac:dyDescent="0.25">
      <c r="F2082" s="9"/>
      <c r="G2082" s="9"/>
      <c r="AA2082" s="10"/>
      <c r="AV2082" s="11"/>
      <c r="AW2082" s="11"/>
      <c r="BB2082" s="9"/>
      <c r="BC2082" s="11"/>
      <c r="BF2082" s="9"/>
      <c r="CF2082" s="12"/>
      <c r="CH2082" s="9"/>
    </row>
    <row r="2083" spans="6:92" x14ac:dyDescent="0.25">
      <c r="F2083" s="9"/>
      <c r="G2083" s="9"/>
      <c r="AA2083" s="10"/>
      <c r="AV2083" s="11"/>
      <c r="AW2083" s="11"/>
      <c r="BB2083" s="9"/>
      <c r="BC2083" s="11"/>
      <c r="BF2083" s="9"/>
      <c r="CF2083" s="12"/>
      <c r="CH2083" s="9"/>
    </row>
    <row r="2084" spans="6:92" x14ac:dyDescent="0.25">
      <c r="F2084" s="9"/>
      <c r="G2084" s="9"/>
      <c r="AA2084" s="10"/>
      <c r="AV2084" s="11"/>
      <c r="AW2084" s="11"/>
      <c r="BB2084" s="9"/>
      <c r="BC2084" s="11"/>
      <c r="BF2084" s="9"/>
      <c r="CH2084" s="9"/>
    </row>
    <row r="2085" spans="6:92" x14ac:dyDescent="0.25">
      <c r="F2085" s="9"/>
      <c r="G2085" s="9"/>
      <c r="AA2085" s="10"/>
      <c r="AV2085" s="11"/>
      <c r="AW2085" s="11"/>
      <c r="BB2085" s="9"/>
      <c r="BC2085" s="11"/>
      <c r="BF2085" s="9"/>
      <c r="CF2085" s="12"/>
      <c r="CH2085" s="9"/>
    </row>
    <row r="2086" spans="6:92" x14ac:dyDescent="0.25">
      <c r="F2086" s="9"/>
      <c r="G2086" s="9"/>
      <c r="AA2086" s="10"/>
      <c r="AV2086" s="11"/>
      <c r="AW2086" s="11"/>
      <c r="BB2086" s="9"/>
      <c r="BC2086" s="11"/>
      <c r="BF2086" s="9"/>
      <c r="CF2086" s="12"/>
      <c r="CH2086" s="9"/>
    </row>
    <row r="2087" spans="6:92" x14ac:dyDescent="0.25">
      <c r="F2087" s="9"/>
      <c r="G2087" s="9"/>
      <c r="U2087" s="12"/>
      <c r="Z2087" s="12"/>
      <c r="AA2087" s="10"/>
      <c r="AV2087" s="11"/>
      <c r="AW2087" s="11"/>
      <c r="BB2087" s="9"/>
      <c r="BC2087" s="11"/>
      <c r="BF2087" s="9"/>
      <c r="CF2087" s="12"/>
      <c r="CH2087" s="9"/>
      <c r="CN2087" s="12"/>
    </row>
    <row r="2088" spans="6:92" x14ac:dyDescent="0.25">
      <c r="F2088" s="9"/>
      <c r="G2088" s="9"/>
      <c r="AA2088" s="10"/>
      <c r="AV2088" s="11"/>
      <c r="AW2088" s="11"/>
      <c r="BB2088" s="9"/>
      <c r="BC2088" s="11"/>
      <c r="BF2088" s="9"/>
      <c r="CF2088" s="12"/>
      <c r="CH2088" s="9"/>
    </row>
    <row r="2089" spans="6:92" x14ac:dyDescent="0.25">
      <c r="F2089" s="9"/>
      <c r="G2089" s="9"/>
      <c r="AA2089" s="10"/>
      <c r="AV2089" s="11"/>
      <c r="AW2089" s="11"/>
      <c r="BB2089" s="9"/>
      <c r="BC2089" s="11"/>
      <c r="BF2089" s="9"/>
      <c r="CF2089" s="12"/>
      <c r="CH2089" s="9"/>
    </row>
    <row r="2090" spans="6:92" x14ac:dyDescent="0.25">
      <c r="F2090" s="9"/>
      <c r="G2090" s="9"/>
      <c r="AA2090" s="10"/>
      <c r="AV2090" s="11"/>
      <c r="AW2090" s="11"/>
      <c r="BB2090" s="9"/>
      <c r="BC2090" s="11"/>
      <c r="BF2090" s="9"/>
      <c r="CF2090" s="12"/>
      <c r="CH2090" s="9"/>
    </row>
    <row r="2091" spans="6:92" x14ac:dyDescent="0.25">
      <c r="F2091" s="9"/>
      <c r="G2091" s="9"/>
      <c r="AA2091" s="10"/>
      <c r="AV2091" s="11"/>
      <c r="AW2091" s="11"/>
      <c r="BB2091" s="9"/>
      <c r="BC2091" s="11"/>
      <c r="BF2091" s="9"/>
      <c r="CF2091" s="12"/>
      <c r="CH2091" s="9"/>
    </row>
    <row r="2092" spans="6:92" x14ac:dyDescent="0.25">
      <c r="F2092" s="9"/>
      <c r="G2092" s="9"/>
      <c r="AA2092" s="10"/>
      <c r="AV2092" s="11"/>
      <c r="AW2092" s="11"/>
      <c r="BB2092" s="9"/>
      <c r="BC2092" s="11"/>
      <c r="BF2092" s="9"/>
      <c r="CH2092" s="9"/>
    </row>
    <row r="2093" spans="6:92" x14ac:dyDescent="0.25">
      <c r="F2093" s="9"/>
      <c r="G2093" s="9"/>
      <c r="AA2093" s="10"/>
      <c r="AV2093" s="11"/>
      <c r="AW2093" s="11"/>
      <c r="BB2093" s="9"/>
      <c r="BC2093" s="11"/>
      <c r="BF2093" s="9"/>
      <c r="CF2093" s="12"/>
      <c r="CH2093" s="9"/>
    </row>
    <row r="2094" spans="6:92" x14ac:dyDescent="0.25">
      <c r="F2094" s="9"/>
      <c r="G2094" s="9"/>
      <c r="AA2094" s="10"/>
      <c r="AV2094" s="11"/>
      <c r="AW2094" s="11"/>
      <c r="BB2094" s="9"/>
      <c r="BC2094" s="11"/>
      <c r="BF2094" s="9"/>
      <c r="CF2094" s="12"/>
      <c r="CH2094" s="9"/>
    </row>
    <row r="2095" spans="6:92" x14ac:dyDescent="0.25">
      <c r="F2095" s="9"/>
      <c r="G2095" s="9"/>
      <c r="AA2095" s="10"/>
      <c r="AV2095" s="11"/>
      <c r="AW2095" s="11"/>
      <c r="BB2095" s="9"/>
      <c r="BC2095" s="11"/>
      <c r="BF2095" s="9"/>
      <c r="CF2095" s="12"/>
      <c r="CH2095" s="9"/>
    </row>
    <row r="2096" spans="6:92" x14ac:dyDescent="0.25">
      <c r="F2096" s="9"/>
      <c r="G2096" s="9"/>
      <c r="AA2096" s="10"/>
      <c r="AV2096" s="11"/>
      <c r="AW2096" s="11"/>
      <c r="BB2096" s="9"/>
      <c r="BC2096" s="11"/>
      <c r="BF2096" s="9"/>
      <c r="CF2096" s="12"/>
      <c r="CH2096" s="9"/>
    </row>
    <row r="2097" spans="6:86" x14ac:dyDescent="0.25">
      <c r="F2097" s="9"/>
      <c r="G2097" s="9"/>
      <c r="AA2097" s="10"/>
      <c r="AV2097" s="11"/>
      <c r="AW2097" s="11"/>
      <c r="BB2097" s="9"/>
      <c r="BC2097" s="11"/>
      <c r="BF2097" s="9"/>
      <c r="CF2097" s="12"/>
      <c r="CH2097" s="9"/>
    </row>
    <row r="2098" spans="6:86" x14ac:dyDescent="0.25">
      <c r="F2098" s="9"/>
      <c r="G2098" s="9"/>
      <c r="AA2098" s="10"/>
      <c r="AV2098" s="11"/>
      <c r="AW2098" s="11"/>
      <c r="BB2098" s="9"/>
      <c r="BC2098" s="11"/>
      <c r="BF2098" s="9"/>
      <c r="CF2098" s="12"/>
      <c r="CH2098" s="9"/>
    </row>
    <row r="2099" spans="6:86" x14ac:dyDescent="0.25">
      <c r="F2099" s="9"/>
      <c r="G2099" s="9"/>
      <c r="AA2099" s="10"/>
      <c r="AV2099" s="11"/>
      <c r="AW2099" s="11"/>
      <c r="BB2099" s="9"/>
      <c r="BC2099" s="11"/>
      <c r="BF2099" s="9"/>
      <c r="CF2099" s="12"/>
      <c r="CH2099" s="9"/>
    </row>
    <row r="2100" spans="6:86" x14ac:dyDescent="0.25">
      <c r="F2100" s="9"/>
      <c r="G2100" s="9"/>
      <c r="AA2100" s="10"/>
      <c r="AV2100" s="11"/>
      <c r="AW2100" s="11"/>
      <c r="BB2100" s="9"/>
      <c r="BC2100" s="11"/>
      <c r="BF2100" s="9"/>
      <c r="CF2100" s="12"/>
      <c r="CH2100" s="9"/>
    </row>
    <row r="2101" spans="6:86" x14ac:dyDescent="0.25">
      <c r="F2101" s="9"/>
      <c r="G2101" s="9"/>
      <c r="AA2101" s="10"/>
      <c r="AV2101" s="11"/>
      <c r="AW2101" s="11"/>
      <c r="BB2101" s="9"/>
      <c r="BC2101" s="11"/>
      <c r="BF2101" s="9"/>
      <c r="CF2101" s="12"/>
      <c r="CH2101" s="9"/>
    </row>
    <row r="2102" spans="6:86" x14ac:dyDescent="0.25">
      <c r="F2102" s="9"/>
      <c r="G2102" s="9"/>
      <c r="AA2102" s="10"/>
      <c r="AV2102" s="11"/>
      <c r="AW2102" s="11"/>
      <c r="BB2102" s="9"/>
      <c r="BC2102" s="11"/>
      <c r="BF2102" s="9"/>
      <c r="CF2102" s="12"/>
      <c r="CH2102" s="9"/>
    </row>
    <row r="2103" spans="6:86" x14ac:dyDescent="0.25">
      <c r="F2103" s="9"/>
      <c r="G2103" s="9"/>
      <c r="AA2103" s="10"/>
      <c r="AV2103" s="11"/>
      <c r="AW2103" s="11"/>
      <c r="BB2103" s="9"/>
      <c r="BC2103" s="11"/>
      <c r="BF2103" s="9"/>
      <c r="CF2103" s="12"/>
      <c r="CH2103" s="9"/>
    </row>
    <row r="2104" spans="6:86" x14ac:dyDescent="0.25">
      <c r="F2104" s="9"/>
      <c r="G2104" s="9"/>
      <c r="AA2104" s="10"/>
      <c r="AV2104" s="11"/>
      <c r="AW2104" s="11"/>
      <c r="BB2104" s="9"/>
      <c r="BC2104" s="11"/>
      <c r="BF2104" s="9"/>
      <c r="CF2104" s="12"/>
      <c r="CH2104" s="9"/>
    </row>
    <row r="2105" spans="6:86" x14ac:dyDescent="0.25">
      <c r="F2105" s="9"/>
      <c r="G2105" s="9"/>
      <c r="AA2105" s="10"/>
      <c r="AV2105" s="11"/>
      <c r="AW2105" s="11"/>
      <c r="BB2105" s="9"/>
      <c r="BC2105" s="11"/>
      <c r="BF2105" s="9"/>
      <c r="CH2105" s="9"/>
    </row>
    <row r="2106" spans="6:86" x14ac:dyDescent="0.25">
      <c r="F2106" s="9"/>
      <c r="G2106" s="9"/>
      <c r="AA2106" s="10"/>
      <c r="AV2106" s="11"/>
      <c r="AW2106" s="11"/>
      <c r="BB2106" s="9"/>
      <c r="BC2106" s="11"/>
      <c r="BF2106" s="9"/>
      <c r="CF2106" s="12"/>
      <c r="CH2106" s="9"/>
    </row>
    <row r="2107" spans="6:86" x14ac:dyDescent="0.25">
      <c r="F2107" s="9"/>
      <c r="G2107" s="9"/>
      <c r="AA2107" s="10"/>
      <c r="AV2107" s="11"/>
      <c r="AW2107" s="11"/>
      <c r="BB2107" s="9"/>
      <c r="BC2107" s="11"/>
      <c r="BF2107" s="9"/>
      <c r="CH2107" s="9"/>
    </row>
    <row r="2108" spans="6:86" x14ac:dyDescent="0.25">
      <c r="F2108" s="9"/>
      <c r="G2108" s="9"/>
      <c r="AA2108" s="10"/>
      <c r="AV2108" s="11"/>
      <c r="AW2108" s="11"/>
      <c r="BB2108" s="9"/>
      <c r="BC2108" s="11"/>
      <c r="BF2108" s="9"/>
      <c r="CF2108" s="12"/>
      <c r="CH2108" s="9"/>
    </row>
    <row r="2109" spans="6:86" x14ac:dyDescent="0.25">
      <c r="F2109" s="9"/>
      <c r="G2109" s="9"/>
      <c r="AA2109" s="10"/>
      <c r="AV2109" s="11"/>
      <c r="AW2109" s="11"/>
      <c r="BB2109" s="9"/>
      <c r="BC2109" s="11"/>
      <c r="BF2109" s="9"/>
      <c r="CH2109" s="9"/>
    </row>
    <row r="2110" spans="6:86" x14ac:dyDescent="0.25">
      <c r="F2110" s="9"/>
      <c r="G2110" s="9"/>
      <c r="AA2110" s="10"/>
      <c r="AV2110" s="11"/>
      <c r="AW2110" s="11"/>
      <c r="BB2110" s="9"/>
      <c r="BC2110" s="11"/>
      <c r="BF2110" s="9"/>
      <c r="CF2110" s="12"/>
      <c r="CH2110" s="9"/>
    </row>
    <row r="2111" spans="6:86" x14ac:dyDescent="0.25">
      <c r="F2111" s="9"/>
      <c r="G2111" s="9"/>
      <c r="AA2111" s="10"/>
      <c r="AV2111" s="11"/>
      <c r="AW2111" s="11"/>
      <c r="BB2111" s="9"/>
      <c r="BC2111" s="11"/>
      <c r="BF2111" s="9"/>
      <c r="CF2111" s="12"/>
      <c r="CH2111" s="9"/>
    </row>
    <row r="2112" spans="6:86" x14ac:dyDescent="0.25">
      <c r="F2112" s="9"/>
      <c r="G2112" s="9"/>
      <c r="AA2112" s="10"/>
      <c r="AV2112" s="11"/>
      <c r="AW2112" s="11"/>
      <c r="BB2112" s="9"/>
      <c r="BC2112" s="11"/>
      <c r="BF2112" s="9"/>
      <c r="CF2112" s="12"/>
      <c r="CH2112" s="9"/>
    </row>
    <row r="2113" spans="6:92" x14ac:dyDescent="0.25">
      <c r="F2113" s="9"/>
      <c r="G2113" s="9"/>
      <c r="AA2113" s="10"/>
      <c r="AV2113" s="11"/>
      <c r="AW2113" s="11"/>
      <c r="BB2113" s="9"/>
      <c r="BC2113" s="11"/>
      <c r="BF2113" s="9"/>
      <c r="CF2113" s="12"/>
      <c r="CH2113" s="9"/>
    </row>
    <row r="2114" spans="6:92" x14ac:dyDescent="0.25">
      <c r="F2114" s="9"/>
      <c r="G2114" s="9"/>
      <c r="AA2114" s="10"/>
      <c r="AV2114" s="11"/>
      <c r="AW2114" s="11"/>
      <c r="BB2114" s="9"/>
      <c r="BC2114" s="11"/>
      <c r="BF2114" s="9"/>
      <c r="CF2114" s="12"/>
      <c r="CH2114" s="9"/>
    </row>
    <row r="2115" spans="6:92" x14ac:dyDescent="0.25">
      <c r="F2115" s="9"/>
      <c r="G2115" s="9"/>
      <c r="AA2115" s="10"/>
      <c r="AV2115" s="11"/>
      <c r="AW2115" s="11"/>
      <c r="BB2115" s="9"/>
      <c r="BC2115" s="11"/>
      <c r="BF2115" s="9"/>
      <c r="CF2115" s="12"/>
      <c r="CH2115" s="9"/>
    </row>
    <row r="2116" spans="6:92" x14ac:dyDescent="0.25">
      <c r="F2116" s="9"/>
      <c r="G2116" s="9"/>
      <c r="AA2116" s="10"/>
      <c r="AV2116" s="11"/>
      <c r="AW2116" s="11"/>
      <c r="BB2116" s="9"/>
      <c r="BC2116" s="11"/>
      <c r="BF2116" s="9"/>
      <c r="CF2116" s="12"/>
      <c r="CH2116" s="9"/>
    </row>
    <row r="2117" spans="6:92" x14ac:dyDescent="0.25">
      <c r="F2117" s="9"/>
      <c r="G2117" s="9"/>
      <c r="AA2117" s="10"/>
      <c r="AV2117" s="11"/>
      <c r="AW2117" s="11"/>
      <c r="BB2117" s="9"/>
      <c r="BC2117" s="11"/>
      <c r="BF2117" s="9"/>
      <c r="CF2117" s="12"/>
      <c r="CH2117" s="9"/>
    </row>
    <row r="2118" spans="6:92" x14ac:dyDescent="0.25">
      <c r="F2118" s="9"/>
      <c r="G2118" s="9"/>
      <c r="AA2118" s="10"/>
      <c r="AV2118" s="11"/>
      <c r="AW2118" s="11"/>
      <c r="BB2118" s="9"/>
      <c r="BC2118" s="11"/>
      <c r="BF2118" s="9"/>
      <c r="CF2118" s="12"/>
      <c r="CH2118" s="9"/>
    </row>
    <row r="2119" spans="6:92" x14ac:dyDescent="0.25">
      <c r="F2119" s="9"/>
      <c r="G2119" s="9"/>
      <c r="AA2119" s="10"/>
      <c r="AV2119" s="11"/>
      <c r="AW2119" s="11"/>
      <c r="BB2119" s="9"/>
      <c r="BC2119" s="11"/>
      <c r="BF2119" s="9"/>
      <c r="CF2119" s="12"/>
      <c r="CH2119" s="9"/>
    </row>
    <row r="2120" spans="6:92" x14ac:dyDescent="0.25">
      <c r="F2120" s="9"/>
      <c r="G2120" s="9"/>
      <c r="AA2120" s="10"/>
      <c r="AV2120" s="11"/>
      <c r="AW2120" s="11"/>
      <c r="BB2120" s="9"/>
      <c r="BC2120" s="11"/>
      <c r="BF2120" s="9"/>
      <c r="CH2120" s="9"/>
    </row>
    <row r="2121" spans="6:92" x14ac:dyDescent="0.25">
      <c r="F2121" s="9"/>
      <c r="G2121" s="9"/>
      <c r="AA2121" s="10"/>
      <c r="AV2121" s="11"/>
      <c r="AW2121" s="11"/>
      <c r="BB2121" s="9"/>
      <c r="BC2121" s="11"/>
      <c r="BF2121" s="9"/>
      <c r="CH2121" s="9"/>
    </row>
    <row r="2122" spans="6:92" x14ac:dyDescent="0.25">
      <c r="F2122" s="9"/>
      <c r="G2122" s="9"/>
      <c r="AA2122" s="10"/>
      <c r="AV2122" s="11"/>
      <c r="AW2122" s="11"/>
      <c r="BB2122" s="9"/>
      <c r="BC2122" s="11"/>
      <c r="BF2122" s="9"/>
      <c r="CH2122" s="9"/>
    </row>
    <row r="2123" spans="6:92" x14ac:dyDescent="0.25">
      <c r="F2123" s="9"/>
      <c r="G2123" s="9"/>
      <c r="AA2123" s="10"/>
      <c r="AV2123" s="11"/>
      <c r="AW2123" s="11"/>
      <c r="BB2123" s="9"/>
      <c r="BC2123" s="11"/>
      <c r="BF2123" s="9"/>
    </row>
    <row r="2124" spans="6:92" x14ac:dyDescent="0.25">
      <c r="F2124" s="9"/>
      <c r="G2124" s="9"/>
      <c r="AA2124" s="10"/>
      <c r="AV2124" s="11"/>
      <c r="AW2124" s="11"/>
      <c r="BB2124" s="9"/>
      <c r="BC2124" s="11"/>
      <c r="BF2124" s="9"/>
      <c r="CF2124" s="12"/>
      <c r="CH2124" s="9"/>
    </row>
    <row r="2125" spans="6:92" x14ac:dyDescent="0.25">
      <c r="F2125" s="9"/>
      <c r="G2125" s="9"/>
      <c r="AA2125" s="10"/>
      <c r="AV2125" s="11"/>
      <c r="AW2125" s="11"/>
      <c r="BB2125" s="9"/>
      <c r="BC2125" s="11"/>
      <c r="BF2125" s="9"/>
      <c r="CF2125" s="12"/>
      <c r="CH2125" s="9"/>
    </row>
    <row r="2126" spans="6:92" x14ac:dyDescent="0.25">
      <c r="F2126" s="9"/>
      <c r="G2126" s="9"/>
      <c r="AA2126" s="10"/>
      <c r="AV2126" s="11"/>
      <c r="AW2126" s="11"/>
      <c r="BB2126" s="9"/>
      <c r="BC2126" s="11"/>
      <c r="BF2126" s="9"/>
      <c r="CF2126" s="12"/>
      <c r="CH2126" s="9"/>
    </row>
    <row r="2127" spans="6:92" x14ac:dyDescent="0.25">
      <c r="F2127" s="9"/>
      <c r="G2127" s="9"/>
      <c r="AA2127" s="10"/>
      <c r="AV2127" s="11"/>
      <c r="AW2127" s="11"/>
      <c r="BB2127" s="9"/>
      <c r="BC2127" s="11"/>
      <c r="BF2127" s="9"/>
      <c r="CF2127" s="12"/>
      <c r="CH2127" s="9"/>
    </row>
    <row r="2128" spans="6:92" x14ac:dyDescent="0.25">
      <c r="F2128" s="9"/>
      <c r="G2128" s="9"/>
      <c r="U2128" s="12"/>
      <c r="Z2128" s="12"/>
      <c r="AA2128" s="10"/>
      <c r="AV2128" s="11"/>
      <c r="AW2128" s="11"/>
      <c r="BB2128" s="9"/>
      <c r="BC2128" s="11"/>
      <c r="BF2128" s="9"/>
      <c r="CF2128" s="12"/>
      <c r="CH2128" s="9"/>
      <c r="CN2128" s="12"/>
    </row>
    <row r="2129" spans="6:86" x14ac:dyDescent="0.25">
      <c r="F2129" s="9"/>
      <c r="G2129" s="9"/>
      <c r="AA2129" s="10"/>
      <c r="AV2129" s="11"/>
      <c r="AW2129" s="11"/>
      <c r="BB2129" s="9"/>
      <c r="BC2129" s="11"/>
      <c r="BF2129" s="9"/>
      <c r="CF2129" s="12"/>
      <c r="CH2129" s="9"/>
    </row>
    <row r="2130" spans="6:86" x14ac:dyDescent="0.25">
      <c r="F2130" s="9"/>
      <c r="G2130" s="9"/>
      <c r="AA2130" s="10"/>
      <c r="AV2130" s="11"/>
      <c r="AW2130" s="11"/>
      <c r="BB2130" s="9"/>
      <c r="BC2130" s="11"/>
      <c r="BF2130" s="9"/>
      <c r="CF2130" s="12"/>
      <c r="CH2130" s="9"/>
    </row>
    <row r="2131" spans="6:86" x14ac:dyDescent="0.25">
      <c r="F2131" s="9"/>
      <c r="G2131" s="9"/>
      <c r="AA2131" s="10"/>
      <c r="AV2131" s="11"/>
      <c r="AW2131" s="11"/>
      <c r="BB2131" s="9"/>
      <c r="BC2131" s="11"/>
      <c r="BF2131" s="9"/>
      <c r="CF2131" s="12"/>
      <c r="CH2131" s="9"/>
    </row>
    <row r="2132" spans="6:86" x14ac:dyDescent="0.25">
      <c r="F2132" s="9"/>
      <c r="G2132" s="9"/>
      <c r="AA2132" s="10"/>
      <c r="AV2132" s="11"/>
      <c r="AW2132" s="11"/>
      <c r="BB2132" s="9"/>
      <c r="BC2132" s="11"/>
      <c r="BF2132" s="9"/>
      <c r="CF2132" s="12"/>
      <c r="CH2132" s="9"/>
    </row>
    <row r="2133" spans="6:86" x14ac:dyDescent="0.25">
      <c r="F2133" s="9"/>
      <c r="G2133" s="9"/>
      <c r="AA2133" s="10"/>
      <c r="AV2133" s="11"/>
      <c r="AW2133" s="11"/>
      <c r="BB2133" s="9"/>
      <c r="BC2133" s="11"/>
      <c r="BF2133" s="9"/>
      <c r="CF2133" s="12"/>
      <c r="CH2133" s="9"/>
    </row>
    <row r="2134" spans="6:86" x14ac:dyDescent="0.25">
      <c r="F2134" s="9"/>
      <c r="G2134" s="9"/>
      <c r="AA2134" s="10"/>
      <c r="AV2134" s="11"/>
      <c r="AW2134" s="11"/>
      <c r="BB2134" s="9"/>
      <c r="BC2134" s="11"/>
      <c r="BF2134" s="9"/>
      <c r="CH2134" s="9"/>
    </row>
    <row r="2135" spans="6:86" x14ac:dyDescent="0.25">
      <c r="F2135" s="9"/>
      <c r="G2135" s="9"/>
      <c r="AA2135" s="10"/>
      <c r="AV2135" s="11"/>
      <c r="AW2135" s="11"/>
      <c r="BB2135" s="9"/>
      <c r="BC2135" s="11"/>
      <c r="BF2135" s="9"/>
      <c r="CF2135" s="12"/>
      <c r="CH2135" s="9"/>
    </row>
    <row r="2136" spans="6:86" x14ac:dyDescent="0.25">
      <c r="F2136" s="9"/>
      <c r="G2136" s="9"/>
      <c r="AA2136" s="10"/>
      <c r="AV2136" s="11"/>
      <c r="AW2136" s="11"/>
      <c r="BB2136" s="9"/>
      <c r="BC2136" s="11"/>
      <c r="BF2136" s="9"/>
      <c r="CF2136" s="12"/>
      <c r="CH2136" s="9"/>
    </row>
    <row r="2137" spans="6:86" x14ac:dyDescent="0.25">
      <c r="F2137" s="9"/>
      <c r="G2137" s="9"/>
      <c r="AA2137" s="10"/>
      <c r="AV2137" s="11"/>
      <c r="AW2137" s="11"/>
      <c r="BB2137" s="9"/>
      <c r="BC2137" s="11"/>
      <c r="BF2137" s="9"/>
      <c r="CF2137" s="12"/>
      <c r="CH2137" s="9"/>
    </row>
    <row r="2138" spans="6:86" x14ac:dyDescent="0.25">
      <c r="F2138" s="9"/>
      <c r="G2138" s="9"/>
      <c r="AA2138" s="10"/>
      <c r="AV2138" s="11"/>
      <c r="AW2138" s="11"/>
      <c r="BB2138" s="9"/>
      <c r="BC2138" s="11"/>
      <c r="BF2138" s="9"/>
      <c r="CF2138" s="12"/>
      <c r="CH2138" s="9"/>
    </row>
    <row r="2139" spans="6:86" x14ac:dyDescent="0.25">
      <c r="F2139" s="9"/>
      <c r="G2139" s="9"/>
      <c r="AA2139" s="10"/>
      <c r="AV2139" s="11"/>
      <c r="AW2139" s="11"/>
      <c r="BB2139" s="9"/>
      <c r="BC2139" s="11"/>
      <c r="BF2139" s="9"/>
      <c r="CF2139" s="12"/>
      <c r="CH2139" s="9"/>
    </row>
    <row r="2140" spans="6:86" x14ac:dyDescent="0.25">
      <c r="F2140" s="9"/>
      <c r="G2140" s="9"/>
      <c r="AA2140" s="10"/>
      <c r="AV2140" s="11"/>
      <c r="AW2140" s="11"/>
      <c r="BB2140" s="9"/>
      <c r="BC2140" s="11"/>
      <c r="BF2140" s="9"/>
      <c r="CF2140" s="12"/>
      <c r="CH2140" s="9"/>
    </row>
    <row r="2141" spans="6:86" x14ac:dyDescent="0.25">
      <c r="F2141" s="9"/>
      <c r="G2141" s="9"/>
      <c r="AA2141" s="10"/>
      <c r="AV2141" s="11"/>
      <c r="AW2141" s="11"/>
      <c r="BB2141" s="9"/>
      <c r="BC2141" s="11"/>
      <c r="BF2141" s="9"/>
      <c r="CH2141" s="9"/>
    </row>
    <row r="2142" spans="6:86" x14ac:dyDescent="0.25">
      <c r="F2142" s="9"/>
      <c r="G2142" s="9"/>
      <c r="AA2142" s="10"/>
      <c r="AV2142" s="11"/>
      <c r="AW2142" s="11"/>
      <c r="BB2142" s="9"/>
      <c r="BC2142" s="11"/>
      <c r="BF2142" s="9"/>
      <c r="CF2142" s="12"/>
      <c r="CH2142" s="9"/>
    </row>
    <row r="2143" spans="6:86" x14ac:dyDescent="0.25">
      <c r="F2143" s="9"/>
      <c r="G2143" s="9"/>
      <c r="AA2143" s="10"/>
      <c r="AV2143" s="11"/>
      <c r="AW2143" s="11"/>
      <c r="BB2143" s="9"/>
      <c r="BC2143" s="11"/>
      <c r="BF2143" s="9"/>
      <c r="CF2143" s="12"/>
      <c r="CH2143" s="9"/>
    </row>
    <row r="2144" spans="6:86" x14ac:dyDescent="0.25">
      <c r="F2144" s="9"/>
      <c r="G2144" s="9"/>
      <c r="AA2144" s="10"/>
      <c r="AV2144" s="11"/>
      <c r="AW2144" s="11"/>
      <c r="BB2144" s="9"/>
      <c r="BC2144" s="11"/>
      <c r="BF2144" s="9"/>
      <c r="CF2144" s="12"/>
      <c r="CH2144" s="9"/>
    </row>
    <row r="2145" spans="6:86" x14ac:dyDescent="0.25">
      <c r="F2145" s="9"/>
      <c r="G2145" s="9"/>
      <c r="AA2145" s="10"/>
      <c r="AV2145" s="11"/>
      <c r="AW2145" s="11"/>
      <c r="BB2145" s="9"/>
      <c r="BC2145" s="11"/>
      <c r="BF2145" s="9"/>
      <c r="CH2145" s="9"/>
    </row>
    <row r="2146" spans="6:86" x14ac:dyDescent="0.25">
      <c r="F2146" s="9"/>
      <c r="G2146" s="9"/>
      <c r="AA2146" s="10"/>
      <c r="AV2146" s="11"/>
      <c r="AW2146" s="11"/>
      <c r="BB2146" s="9"/>
      <c r="BC2146" s="11"/>
      <c r="BF2146" s="9"/>
      <c r="CF2146" s="12"/>
      <c r="CH2146" s="9"/>
    </row>
    <row r="2147" spans="6:86" x14ac:dyDescent="0.25">
      <c r="F2147" s="9"/>
      <c r="G2147" s="9"/>
      <c r="AA2147" s="10"/>
      <c r="AV2147" s="11"/>
      <c r="AW2147" s="11"/>
      <c r="BB2147" s="9"/>
      <c r="BC2147" s="11"/>
      <c r="BF2147" s="9"/>
      <c r="CF2147" s="12"/>
      <c r="CH2147" s="9"/>
    </row>
    <row r="2148" spans="6:86" x14ac:dyDescent="0.25">
      <c r="F2148" s="9"/>
      <c r="G2148" s="9"/>
      <c r="AA2148" s="10"/>
      <c r="AV2148" s="11"/>
      <c r="AW2148" s="11"/>
      <c r="BB2148" s="9"/>
      <c r="BC2148" s="11"/>
      <c r="BF2148" s="9"/>
      <c r="CH2148" s="9"/>
    </row>
    <row r="2149" spans="6:86" x14ac:dyDescent="0.25">
      <c r="F2149" s="9"/>
      <c r="G2149" s="9"/>
      <c r="AA2149" s="10"/>
      <c r="AV2149" s="11"/>
      <c r="AW2149" s="11"/>
      <c r="BB2149" s="9"/>
      <c r="BC2149" s="11"/>
      <c r="BF2149" s="9"/>
      <c r="CF2149" s="12"/>
      <c r="CH2149" s="9"/>
    </row>
    <row r="2150" spans="6:86" x14ac:dyDescent="0.25">
      <c r="F2150" s="9"/>
      <c r="G2150" s="9"/>
      <c r="AA2150" s="10"/>
      <c r="AV2150" s="11"/>
      <c r="AW2150" s="11"/>
      <c r="BB2150" s="9"/>
      <c r="BC2150" s="11"/>
      <c r="BF2150" s="9"/>
      <c r="CF2150" s="12"/>
      <c r="CH2150" s="9"/>
    </row>
    <row r="2151" spans="6:86" x14ac:dyDescent="0.25">
      <c r="F2151" s="9"/>
      <c r="G2151" s="9"/>
      <c r="AA2151" s="10"/>
      <c r="AV2151" s="11"/>
      <c r="AW2151" s="11"/>
      <c r="BB2151" s="9"/>
      <c r="BC2151" s="11"/>
      <c r="BF2151" s="9"/>
      <c r="CF2151" s="12"/>
      <c r="CH2151" s="9"/>
    </row>
    <row r="2152" spans="6:86" x14ac:dyDescent="0.25">
      <c r="F2152" s="9"/>
      <c r="G2152" s="9"/>
      <c r="AA2152" s="10"/>
      <c r="AV2152" s="11"/>
      <c r="AW2152" s="11"/>
      <c r="BB2152" s="9"/>
      <c r="BC2152" s="11"/>
      <c r="BF2152" s="9"/>
      <c r="CF2152" s="12"/>
      <c r="CH2152" s="9"/>
    </row>
    <row r="2153" spans="6:86" x14ac:dyDescent="0.25">
      <c r="F2153" s="9"/>
      <c r="G2153" s="9"/>
      <c r="AA2153" s="10"/>
      <c r="AV2153" s="11"/>
      <c r="AW2153" s="11"/>
      <c r="BB2153" s="9"/>
      <c r="BC2153" s="11"/>
      <c r="BF2153" s="9"/>
      <c r="CF2153" s="12"/>
      <c r="CH2153" s="9"/>
    </row>
    <row r="2154" spans="6:86" x14ac:dyDescent="0.25">
      <c r="F2154" s="9"/>
      <c r="G2154" s="9"/>
      <c r="AA2154" s="10"/>
      <c r="AV2154" s="11"/>
      <c r="AW2154" s="11"/>
      <c r="BB2154" s="9"/>
      <c r="BC2154" s="11"/>
      <c r="BF2154" s="9"/>
      <c r="CF2154" s="12"/>
      <c r="CH2154" s="9"/>
    </row>
    <row r="2155" spans="6:86" x14ac:dyDescent="0.25">
      <c r="F2155" s="9"/>
      <c r="G2155" s="9"/>
      <c r="AA2155" s="10"/>
      <c r="AV2155" s="11"/>
      <c r="AW2155" s="11"/>
      <c r="BB2155" s="9"/>
      <c r="BC2155" s="11"/>
      <c r="BF2155" s="9"/>
      <c r="CF2155" s="12"/>
      <c r="CH2155" s="9"/>
    </row>
    <row r="2156" spans="6:86" x14ac:dyDescent="0.25">
      <c r="F2156" s="9"/>
      <c r="G2156" s="9"/>
      <c r="AA2156" s="10"/>
      <c r="AV2156" s="11"/>
      <c r="AW2156" s="11"/>
      <c r="BB2156" s="9"/>
      <c r="BC2156" s="11"/>
      <c r="BF2156" s="9"/>
      <c r="CF2156" s="12"/>
      <c r="CH2156" s="9"/>
    </row>
    <row r="2157" spans="6:86" x14ac:dyDescent="0.25">
      <c r="F2157" s="9"/>
      <c r="G2157" s="9"/>
      <c r="AA2157" s="10"/>
      <c r="AV2157" s="11"/>
      <c r="AW2157" s="11"/>
      <c r="BB2157" s="9"/>
      <c r="BC2157" s="11"/>
      <c r="BF2157" s="9"/>
      <c r="CH2157" s="9"/>
    </row>
    <row r="2158" spans="6:86" x14ac:dyDescent="0.25">
      <c r="F2158" s="9"/>
      <c r="G2158" s="9"/>
      <c r="AA2158" s="10"/>
      <c r="AV2158" s="11"/>
      <c r="AW2158" s="11"/>
      <c r="BB2158" s="9"/>
      <c r="BC2158" s="11"/>
      <c r="BF2158" s="9"/>
      <c r="CF2158" s="12"/>
      <c r="CH2158" s="9"/>
    </row>
    <row r="2159" spans="6:86" x14ac:dyDescent="0.25">
      <c r="F2159" s="9"/>
      <c r="G2159" s="9"/>
      <c r="AA2159" s="10"/>
      <c r="AV2159" s="11"/>
      <c r="AW2159" s="11"/>
      <c r="BB2159" s="9"/>
      <c r="BC2159" s="11"/>
      <c r="BF2159" s="9"/>
      <c r="CF2159" s="12"/>
      <c r="CH2159" s="9"/>
    </row>
    <row r="2160" spans="6:86" x14ac:dyDescent="0.25">
      <c r="F2160" s="9"/>
      <c r="G2160" s="9"/>
      <c r="AA2160" s="10"/>
      <c r="AV2160" s="11"/>
      <c r="AW2160" s="11"/>
      <c r="BB2160" s="9"/>
      <c r="BC2160" s="11"/>
      <c r="BF2160" s="9"/>
      <c r="CF2160" s="12"/>
      <c r="CH2160" s="9"/>
    </row>
    <row r="2161" spans="6:92" x14ac:dyDescent="0.25">
      <c r="F2161" s="9"/>
      <c r="G2161" s="9"/>
      <c r="AA2161" s="10"/>
      <c r="AV2161" s="11"/>
      <c r="AW2161" s="11"/>
      <c r="BB2161" s="9"/>
      <c r="BC2161" s="11"/>
      <c r="BF2161" s="9"/>
      <c r="CH2161" s="9"/>
    </row>
    <row r="2162" spans="6:92" x14ac:dyDescent="0.25">
      <c r="F2162" s="9"/>
      <c r="G2162" s="9"/>
      <c r="AA2162" s="10"/>
      <c r="AV2162" s="11"/>
      <c r="AW2162" s="11"/>
      <c r="BB2162" s="9"/>
      <c r="BC2162" s="11"/>
      <c r="BF2162" s="9"/>
      <c r="CF2162" s="12"/>
      <c r="CH2162" s="9"/>
    </row>
    <row r="2163" spans="6:92" x14ac:dyDescent="0.25">
      <c r="F2163" s="9"/>
      <c r="G2163" s="9"/>
      <c r="AA2163" s="10"/>
      <c r="AV2163" s="11"/>
      <c r="AW2163" s="11"/>
      <c r="BB2163" s="9"/>
      <c r="BC2163" s="11"/>
      <c r="BF2163" s="9"/>
      <c r="CF2163" s="12"/>
      <c r="CH2163" s="9"/>
    </row>
    <row r="2164" spans="6:92" x14ac:dyDescent="0.25">
      <c r="F2164" s="9"/>
      <c r="G2164" s="9"/>
      <c r="AA2164" s="10"/>
      <c r="AV2164" s="11"/>
      <c r="AW2164" s="11"/>
      <c r="BB2164" s="9"/>
      <c r="BC2164" s="11"/>
      <c r="BF2164" s="9"/>
      <c r="CF2164" s="12"/>
      <c r="CH2164" s="9"/>
    </row>
    <row r="2165" spans="6:92" x14ac:dyDescent="0.25">
      <c r="F2165" s="9"/>
      <c r="G2165" s="9"/>
      <c r="AA2165" s="10"/>
      <c r="AV2165" s="11"/>
      <c r="AW2165" s="11"/>
      <c r="BB2165" s="9"/>
      <c r="BC2165" s="11"/>
      <c r="BF2165" s="9"/>
      <c r="CF2165" s="12"/>
      <c r="CH2165" s="9"/>
    </row>
    <row r="2166" spans="6:92" x14ac:dyDescent="0.25">
      <c r="F2166" s="9"/>
      <c r="G2166" s="9"/>
      <c r="AA2166" s="10"/>
      <c r="AV2166" s="11"/>
      <c r="AW2166" s="11"/>
      <c r="BB2166" s="9"/>
      <c r="BC2166" s="11"/>
      <c r="BF2166" s="9"/>
      <c r="CF2166" s="12"/>
      <c r="CH2166" s="9"/>
    </row>
    <row r="2167" spans="6:92" x14ac:dyDescent="0.25">
      <c r="F2167" s="9"/>
      <c r="G2167" s="9"/>
      <c r="AA2167" s="10"/>
      <c r="AV2167" s="11"/>
      <c r="AW2167" s="11"/>
      <c r="BB2167" s="9"/>
      <c r="BC2167" s="11"/>
      <c r="BF2167" s="9"/>
      <c r="CF2167" s="12"/>
      <c r="CH2167" s="9"/>
    </row>
    <row r="2168" spans="6:92" x14ac:dyDescent="0.25">
      <c r="F2168" s="9"/>
      <c r="G2168" s="9"/>
      <c r="AA2168" s="10"/>
      <c r="AV2168" s="11"/>
      <c r="AW2168" s="11"/>
      <c r="BB2168" s="9"/>
      <c r="BC2168" s="11"/>
      <c r="BF2168" s="9"/>
      <c r="CF2168" s="12"/>
      <c r="CH2168" s="9"/>
    </row>
    <row r="2169" spans="6:92" x14ac:dyDescent="0.25">
      <c r="F2169" s="9"/>
      <c r="G2169" s="9"/>
      <c r="AA2169" s="10"/>
      <c r="AV2169" s="11"/>
      <c r="AW2169" s="11"/>
      <c r="BB2169" s="9"/>
      <c r="BC2169" s="11"/>
      <c r="BF2169" s="9"/>
      <c r="CF2169" s="12"/>
      <c r="CH2169" s="9"/>
    </row>
    <row r="2170" spans="6:92" x14ac:dyDescent="0.25">
      <c r="F2170" s="9"/>
      <c r="G2170" s="9"/>
      <c r="AA2170" s="10"/>
      <c r="AV2170" s="11"/>
      <c r="AW2170" s="11"/>
      <c r="BB2170" s="9"/>
      <c r="BC2170" s="11"/>
      <c r="BF2170" s="9"/>
      <c r="CF2170" s="12"/>
      <c r="CH2170" s="9"/>
    </row>
    <row r="2171" spans="6:92" x14ac:dyDescent="0.25">
      <c r="F2171" s="9"/>
      <c r="G2171" s="9"/>
      <c r="AA2171" s="10"/>
      <c r="AV2171" s="11"/>
      <c r="AW2171" s="11"/>
      <c r="BB2171" s="9"/>
      <c r="BC2171" s="11"/>
      <c r="BF2171" s="9"/>
      <c r="CF2171" s="12"/>
      <c r="CH2171" s="9"/>
    </row>
    <row r="2172" spans="6:92" x14ac:dyDescent="0.25">
      <c r="F2172" s="9"/>
      <c r="G2172" s="9"/>
      <c r="AA2172" s="10"/>
      <c r="AV2172" s="11"/>
      <c r="AW2172" s="11"/>
      <c r="BB2172" s="9"/>
      <c r="BC2172" s="11"/>
      <c r="BF2172" s="9"/>
      <c r="CF2172" s="12"/>
      <c r="CH2172" s="9"/>
    </row>
    <row r="2173" spans="6:92" x14ac:dyDescent="0.25">
      <c r="F2173" s="9"/>
      <c r="G2173" s="9"/>
      <c r="AA2173" s="10"/>
      <c r="AV2173" s="11"/>
      <c r="AW2173" s="11"/>
      <c r="BB2173" s="9"/>
      <c r="BC2173" s="11"/>
      <c r="BF2173" s="9"/>
      <c r="CF2173" s="12"/>
      <c r="CH2173" s="9"/>
      <c r="CN2173" s="12"/>
    </row>
    <row r="2174" spans="6:92" x14ac:dyDescent="0.25">
      <c r="F2174" s="9"/>
      <c r="G2174" s="9"/>
      <c r="AA2174" s="10"/>
      <c r="AV2174" s="11"/>
      <c r="AW2174" s="11"/>
      <c r="BB2174" s="9"/>
      <c r="BC2174" s="11"/>
      <c r="BF2174" s="9"/>
      <c r="CF2174" s="12"/>
      <c r="CH2174" s="9"/>
    </row>
    <row r="2175" spans="6:92" x14ac:dyDescent="0.25">
      <c r="F2175" s="9"/>
      <c r="G2175" s="9"/>
      <c r="AA2175" s="10"/>
      <c r="AV2175" s="11"/>
      <c r="AW2175" s="11"/>
      <c r="BB2175" s="9"/>
      <c r="BC2175" s="11"/>
      <c r="BF2175" s="9"/>
      <c r="CF2175" s="12"/>
      <c r="CH2175" s="9"/>
    </row>
    <row r="2176" spans="6:92" x14ac:dyDescent="0.25">
      <c r="F2176" s="9"/>
      <c r="G2176" s="9"/>
      <c r="AA2176" s="10"/>
      <c r="AV2176" s="11"/>
      <c r="AW2176" s="11"/>
      <c r="BB2176" s="9"/>
      <c r="BC2176" s="11"/>
      <c r="BF2176" s="9"/>
      <c r="CF2176" s="12"/>
      <c r="CH2176" s="9"/>
    </row>
    <row r="2177" spans="6:92" x14ac:dyDescent="0.25">
      <c r="F2177" s="9"/>
      <c r="G2177" s="9"/>
      <c r="U2177" s="12"/>
      <c r="Z2177" s="12"/>
      <c r="AA2177" s="10"/>
      <c r="AV2177" s="11"/>
      <c r="AW2177" s="11"/>
      <c r="BB2177" s="9"/>
      <c r="BC2177" s="11"/>
      <c r="BF2177" s="9"/>
      <c r="CF2177" s="12"/>
      <c r="CH2177" s="9"/>
      <c r="CN2177" s="12"/>
    </row>
    <row r="2178" spans="6:92" x14ac:dyDescent="0.25">
      <c r="F2178" s="9"/>
      <c r="G2178" s="9"/>
      <c r="AA2178" s="10"/>
      <c r="AV2178" s="11"/>
      <c r="AW2178" s="11"/>
      <c r="BB2178" s="9"/>
      <c r="BC2178" s="11"/>
      <c r="BF2178" s="9"/>
      <c r="CH2178" s="9"/>
    </row>
    <row r="2179" spans="6:92" x14ac:dyDescent="0.25">
      <c r="F2179" s="9"/>
      <c r="G2179" s="9"/>
      <c r="AA2179" s="10"/>
      <c r="AV2179" s="11"/>
      <c r="AW2179" s="11"/>
      <c r="BB2179" s="9"/>
      <c r="BC2179" s="11"/>
      <c r="BF2179" s="9"/>
      <c r="CH2179" s="9"/>
    </row>
    <row r="2180" spans="6:92" x14ac:dyDescent="0.25">
      <c r="F2180" s="9"/>
      <c r="G2180" s="9"/>
      <c r="U2180" s="12"/>
      <c r="Z2180" s="12"/>
      <c r="AA2180" s="10"/>
      <c r="AV2180" s="11"/>
      <c r="AW2180" s="11"/>
      <c r="BB2180" s="9"/>
      <c r="BC2180" s="11"/>
      <c r="BF2180" s="9"/>
      <c r="CF2180" s="12"/>
      <c r="CH2180" s="9"/>
    </row>
    <row r="2181" spans="6:92" x14ac:dyDescent="0.25">
      <c r="F2181" s="9"/>
      <c r="G2181" s="9"/>
      <c r="AA2181" s="10"/>
      <c r="AV2181" s="11"/>
      <c r="AW2181" s="11"/>
      <c r="BB2181" s="9"/>
      <c r="BC2181" s="11"/>
      <c r="BF2181" s="9"/>
      <c r="CF2181" s="12"/>
      <c r="CH2181" s="9"/>
    </row>
    <row r="2182" spans="6:92" x14ac:dyDescent="0.25">
      <c r="F2182" s="9"/>
      <c r="G2182" s="9"/>
      <c r="U2182" s="12"/>
      <c r="Z2182" s="12"/>
      <c r="AA2182" s="10"/>
      <c r="AV2182" s="11"/>
      <c r="AW2182" s="11"/>
      <c r="BB2182" s="9"/>
      <c r="BC2182" s="11"/>
      <c r="BF2182" s="9"/>
      <c r="CF2182" s="12"/>
      <c r="CH2182" s="9"/>
      <c r="CN2182" s="12"/>
    </row>
    <row r="2183" spans="6:92" x14ac:dyDescent="0.25">
      <c r="F2183" s="9"/>
      <c r="G2183" s="9"/>
      <c r="AA2183" s="10"/>
      <c r="AV2183" s="11"/>
      <c r="AW2183" s="11"/>
      <c r="BB2183" s="9"/>
      <c r="BC2183" s="11"/>
      <c r="BF2183" s="9"/>
      <c r="CF2183" s="12"/>
      <c r="CH2183" s="9"/>
    </row>
    <row r="2184" spans="6:92" x14ac:dyDescent="0.25">
      <c r="F2184" s="9"/>
      <c r="G2184" s="9"/>
      <c r="AA2184" s="10"/>
      <c r="AV2184" s="11"/>
      <c r="AW2184" s="11"/>
      <c r="BB2184" s="9"/>
      <c r="BC2184" s="11"/>
      <c r="BF2184" s="9"/>
      <c r="CF2184" s="12"/>
      <c r="CH2184" s="9"/>
    </row>
    <row r="2185" spans="6:92" x14ac:dyDescent="0.25">
      <c r="F2185" s="9"/>
      <c r="G2185" s="9"/>
      <c r="AA2185" s="10"/>
      <c r="AV2185" s="11"/>
      <c r="AW2185" s="11"/>
      <c r="BB2185" s="9"/>
      <c r="BC2185" s="11"/>
      <c r="BF2185" s="9"/>
      <c r="CF2185" s="12"/>
      <c r="CH2185" s="9"/>
    </row>
    <row r="2186" spans="6:92" x14ac:dyDescent="0.25">
      <c r="F2186" s="9"/>
      <c r="G2186" s="9"/>
      <c r="AA2186" s="10"/>
      <c r="AV2186" s="11"/>
      <c r="AW2186" s="11"/>
      <c r="BB2186" s="9"/>
      <c r="BC2186" s="11"/>
      <c r="BF2186" s="9"/>
      <c r="CF2186" s="12"/>
      <c r="CH2186" s="9"/>
    </row>
    <row r="2187" spans="6:92" x14ac:dyDescent="0.25">
      <c r="F2187" s="9"/>
      <c r="G2187" s="9"/>
      <c r="AA2187" s="10"/>
      <c r="AV2187" s="11"/>
      <c r="AW2187" s="11"/>
      <c r="BB2187" s="9"/>
      <c r="BC2187" s="11"/>
      <c r="BF2187" s="9"/>
      <c r="CF2187" s="12"/>
      <c r="CH2187" s="9"/>
    </row>
    <row r="2188" spans="6:92" x14ac:dyDescent="0.25">
      <c r="F2188" s="9"/>
      <c r="G2188" s="9"/>
      <c r="AA2188" s="10"/>
      <c r="AV2188" s="11"/>
      <c r="AW2188" s="11"/>
      <c r="BB2188" s="9"/>
      <c r="BC2188" s="11"/>
      <c r="BF2188" s="9"/>
      <c r="CH2188" s="9"/>
    </row>
    <row r="2189" spans="6:92" x14ac:dyDescent="0.25">
      <c r="F2189" s="9"/>
      <c r="G2189" s="9"/>
      <c r="AA2189" s="10"/>
      <c r="AV2189" s="11"/>
      <c r="AW2189" s="11"/>
      <c r="BB2189" s="9"/>
      <c r="BC2189" s="11"/>
      <c r="BF2189" s="9"/>
      <c r="CH2189" s="9"/>
    </row>
    <row r="2190" spans="6:92" x14ac:dyDescent="0.25">
      <c r="F2190" s="9"/>
      <c r="G2190" s="9"/>
      <c r="AA2190" s="10"/>
      <c r="AV2190" s="11"/>
      <c r="AW2190" s="11"/>
      <c r="BB2190" s="9"/>
      <c r="BC2190" s="11"/>
      <c r="BF2190" s="9"/>
      <c r="CH2190" s="9"/>
    </row>
    <row r="2191" spans="6:92" x14ac:dyDescent="0.25">
      <c r="F2191" s="9"/>
      <c r="G2191" s="9"/>
      <c r="AA2191" s="10"/>
      <c r="AV2191" s="11"/>
      <c r="AW2191" s="11"/>
      <c r="BB2191" s="9"/>
      <c r="BC2191" s="11"/>
      <c r="BF2191" s="9"/>
      <c r="CF2191" s="12"/>
      <c r="CH2191" s="9"/>
    </row>
    <row r="2192" spans="6:92" x14ac:dyDescent="0.25">
      <c r="F2192" s="9"/>
      <c r="G2192" s="9"/>
      <c r="U2192" s="12"/>
      <c r="Z2192" s="12"/>
      <c r="AA2192" s="10"/>
      <c r="AV2192" s="11"/>
      <c r="AW2192" s="11"/>
      <c r="BB2192" s="9"/>
      <c r="BC2192" s="11"/>
      <c r="BF2192" s="9"/>
      <c r="CF2192" s="12"/>
      <c r="CH2192" s="9"/>
      <c r="CN2192" s="12"/>
    </row>
    <row r="2193" spans="6:92" x14ac:dyDescent="0.25">
      <c r="F2193" s="9"/>
      <c r="G2193" s="9"/>
      <c r="U2193" s="12"/>
      <c r="Z2193" s="12"/>
      <c r="AA2193" s="10"/>
      <c r="AV2193" s="11"/>
      <c r="AW2193" s="11"/>
      <c r="BB2193" s="9"/>
      <c r="BC2193" s="11"/>
      <c r="BF2193" s="9"/>
      <c r="CF2193" s="12"/>
      <c r="CH2193" s="9"/>
      <c r="CN2193" s="12"/>
    </row>
    <row r="2194" spans="6:92" x14ac:dyDescent="0.25">
      <c r="F2194" s="9"/>
      <c r="G2194" s="9"/>
      <c r="AA2194" s="10"/>
      <c r="AV2194" s="11"/>
      <c r="AW2194" s="11"/>
      <c r="BB2194" s="9"/>
      <c r="BC2194" s="11"/>
      <c r="BF2194" s="9"/>
      <c r="CF2194" s="12"/>
      <c r="CH2194" s="9"/>
      <c r="CN2194" s="12"/>
    </row>
    <row r="2195" spans="6:92" x14ac:dyDescent="0.25">
      <c r="F2195" s="9"/>
      <c r="G2195" s="9"/>
      <c r="AA2195" s="10"/>
      <c r="AV2195" s="11"/>
      <c r="AW2195" s="11"/>
      <c r="BB2195" s="9"/>
      <c r="BC2195" s="11"/>
      <c r="BF2195" s="9"/>
      <c r="CF2195" s="12"/>
      <c r="CH2195" s="9"/>
      <c r="CN2195" s="12"/>
    </row>
    <row r="2196" spans="6:92" x14ac:dyDescent="0.25">
      <c r="F2196" s="9"/>
      <c r="G2196" s="9"/>
      <c r="AA2196" s="10"/>
      <c r="AV2196" s="11"/>
      <c r="AW2196" s="11"/>
      <c r="BB2196" s="9"/>
      <c r="BC2196" s="11"/>
      <c r="BF2196" s="9"/>
      <c r="CF2196" s="12"/>
      <c r="CH2196" s="9"/>
    </row>
    <row r="2197" spans="6:92" x14ac:dyDescent="0.25">
      <c r="F2197" s="9"/>
      <c r="G2197" s="9"/>
      <c r="AA2197" s="10"/>
      <c r="AV2197" s="11"/>
      <c r="AW2197" s="11"/>
      <c r="BB2197" s="9"/>
      <c r="BC2197" s="11"/>
      <c r="BF2197" s="9"/>
      <c r="CF2197" s="12"/>
      <c r="CH2197" s="9"/>
      <c r="CN2197" s="12"/>
    </row>
    <row r="2198" spans="6:92" x14ac:dyDescent="0.25">
      <c r="F2198" s="9"/>
      <c r="G2198" s="9"/>
      <c r="AA2198" s="10"/>
      <c r="AV2198" s="11"/>
      <c r="AW2198" s="11"/>
      <c r="BB2198" s="9"/>
      <c r="BC2198" s="11"/>
      <c r="BF2198" s="9"/>
      <c r="CF2198" s="12"/>
      <c r="CH2198" s="9"/>
    </row>
    <row r="2199" spans="6:92" x14ac:dyDescent="0.25">
      <c r="F2199" s="9"/>
      <c r="G2199" s="9"/>
      <c r="AA2199" s="10"/>
      <c r="AV2199" s="11"/>
      <c r="AW2199" s="11"/>
      <c r="BB2199" s="9"/>
      <c r="BC2199" s="11"/>
      <c r="BF2199" s="9"/>
      <c r="CF2199" s="12"/>
      <c r="CH2199" s="9"/>
    </row>
    <row r="2200" spans="6:92" x14ac:dyDescent="0.25">
      <c r="F2200" s="9"/>
      <c r="G2200" s="9"/>
      <c r="U2200" s="12"/>
      <c r="Z2200" s="12"/>
      <c r="AA2200" s="10"/>
      <c r="AV2200" s="11"/>
      <c r="AW2200" s="11"/>
      <c r="BB2200" s="9"/>
      <c r="BC2200" s="11"/>
      <c r="BF2200" s="9"/>
      <c r="CF2200" s="12"/>
      <c r="CH2200" s="9"/>
      <c r="CN2200" s="12"/>
    </row>
    <row r="2201" spans="6:92" x14ac:dyDescent="0.25">
      <c r="F2201" s="9"/>
      <c r="G2201" s="9"/>
      <c r="AA2201" s="10"/>
      <c r="AV2201" s="11"/>
      <c r="AW2201" s="11"/>
      <c r="BB2201" s="9"/>
      <c r="BC2201" s="11"/>
      <c r="BF2201" s="9"/>
      <c r="CF2201" s="12"/>
      <c r="CH2201" s="9"/>
    </row>
    <row r="2202" spans="6:92" x14ac:dyDescent="0.25">
      <c r="F2202" s="9"/>
      <c r="G2202" s="9"/>
      <c r="U2202" s="12"/>
      <c r="Y2202" s="12"/>
      <c r="Z2202" s="12"/>
      <c r="AA2202" s="10"/>
      <c r="AV2202" s="11"/>
      <c r="AW2202" s="11"/>
      <c r="BB2202" s="9"/>
      <c r="BC2202" s="11"/>
      <c r="BF2202" s="9"/>
      <c r="CF2202" s="12"/>
      <c r="CH2202" s="9"/>
      <c r="CN2202" s="12"/>
    </row>
    <row r="2203" spans="6:92" x14ac:dyDescent="0.25">
      <c r="F2203" s="9"/>
      <c r="G2203" s="9"/>
      <c r="AA2203" s="10"/>
      <c r="AV2203" s="11"/>
      <c r="AW2203" s="11"/>
      <c r="BB2203" s="9"/>
      <c r="BC2203" s="11"/>
      <c r="BF2203" s="9"/>
      <c r="CF2203" s="12"/>
      <c r="CH2203" s="9"/>
    </row>
    <row r="2204" spans="6:92" x14ac:dyDescent="0.25">
      <c r="F2204" s="9"/>
      <c r="G2204" s="9"/>
      <c r="U2204" s="12"/>
      <c r="Z2204" s="12"/>
      <c r="AA2204" s="10"/>
      <c r="AV2204" s="11"/>
      <c r="AW2204" s="11"/>
      <c r="BB2204" s="9"/>
      <c r="BC2204" s="11"/>
      <c r="BF2204" s="9"/>
      <c r="CF2204" s="12"/>
      <c r="CH2204" s="9"/>
    </row>
    <row r="2205" spans="6:92" x14ac:dyDescent="0.25">
      <c r="F2205" s="9"/>
      <c r="G2205" s="9"/>
      <c r="U2205" s="12"/>
      <c r="AA2205" s="10"/>
      <c r="AV2205" s="11"/>
      <c r="AW2205" s="11"/>
      <c r="BB2205" s="9"/>
      <c r="BC2205" s="11"/>
      <c r="BF2205" s="9"/>
      <c r="CF2205" s="12"/>
      <c r="CH2205" s="9"/>
    </row>
    <row r="2206" spans="6:92" x14ac:dyDescent="0.25">
      <c r="F2206" s="9"/>
      <c r="G2206" s="9"/>
      <c r="U2206" s="12"/>
      <c r="Z2206" s="12"/>
      <c r="AA2206" s="10"/>
      <c r="AV2206" s="11"/>
      <c r="AW2206" s="11"/>
      <c r="BB2206" s="9"/>
      <c r="BC2206" s="11"/>
      <c r="BF2206" s="9"/>
      <c r="CF2206" s="12"/>
      <c r="CH2206" s="9"/>
      <c r="CN2206" s="12"/>
    </row>
    <row r="2207" spans="6:92" x14ac:dyDescent="0.25">
      <c r="F2207" s="9"/>
      <c r="G2207" s="9"/>
      <c r="U2207" s="12"/>
      <c r="Z2207" s="12"/>
      <c r="AA2207" s="10"/>
      <c r="AV2207" s="11"/>
      <c r="AW2207" s="11"/>
      <c r="BB2207" s="9"/>
      <c r="BC2207" s="11"/>
      <c r="BF2207" s="9"/>
      <c r="CF2207" s="12"/>
      <c r="CH2207" s="9"/>
      <c r="CN2207" s="12"/>
    </row>
    <row r="2208" spans="6:92" x14ac:dyDescent="0.25">
      <c r="F2208" s="9"/>
      <c r="G2208" s="9"/>
      <c r="AA2208" s="10"/>
      <c r="AV2208" s="11"/>
      <c r="AW2208" s="11"/>
      <c r="BB2208" s="9"/>
      <c r="BC2208" s="11"/>
      <c r="BF2208" s="9"/>
      <c r="CF2208" s="12"/>
      <c r="CH2208" s="9"/>
    </row>
    <row r="2209" spans="6:86" x14ac:dyDescent="0.25">
      <c r="F2209" s="9"/>
      <c r="G2209" s="9"/>
      <c r="AA2209" s="10"/>
      <c r="AV2209" s="11"/>
      <c r="AW2209" s="11"/>
      <c r="BB2209" s="9"/>
      <c r="BC2209" s="11"/>
      <c r="BF2209" s="9"/>
      <c r="CF2209" s="12"/>
      <c r="CH2209" s="9"/>
    </row>
    <row r="2210" spans="6:86" x14ac:dyDescent="0.25">
      <c r="F2210" s="9"/>
      <c r="G2210" s="9"/>
      <c r="U2210" s="12"/>
      <c r="Z2210" s="12"/>
      <c r="AA2210" s="10"/>
      <c r="AV2210" s="11"/>
      <c r="AW2210" s="11"/>
      <c r="BB2210" s="9"/>
      <c r="BC2210" s="11"/>
      <c r="BF2210" s="9"/>
      <c r="CF2210" s="12"/>
      <c r="CH2210" s="9"/>
    </row>
    <row r="2211" spans="6:86" x14ac:dyDescent="0.25">
      <c r="F2211" s="9"/>
      <c r="G2211" s="9"/>
      <c r="U2211" s="12"/>
      <c r="AA2211" s="10"/>
      <c r="AV2211" s="11"/>
      <c r="AW2211" s="11"/>
      <c r="BB2211" s="9"/>
      <c r="BC2211" s="11"/>
      <c r="BF2211" s="9"/>
      <c r="CF2211" s="12"/>
      <c r="CH2211" s="9"/>
    </row>
    <row r="2212" spans="6:86" x14ac:dyDescent="0.25">
      <c r="F2212" s="9"/>
      <c r="G2212" s="9"/>
      <c r="AA2212" s="10"/>
      <c r="AV2212" s="11"/>
      <c r="AW2212" s="11"/>
      <c r="BB2212" s="9"/>
      <c r="BC2212" s="11"/>
      <c r="BF2212" s="9"/>
      <c r="CF2212" s="12"/>
      <c r="CH2212" s="9"/>
    </row>
    <row r="2213" spans="6:86" x14ac:dyDescent="0.25">
      <c r="F2213" s="9"/>
      <c r="G2213" s="9"/>
      <c r="U2213" s="12"/>
      <c r="Z2213" s="12"/>
      <c r="AA2213" s="10"/>
      <c r="AV2213" s="11"/>
      <c r="AW2213" s="11"/>
      <c r="BB2213" s="9"/>
      <c r="BC2213" s="11"/>
      <c r="BF2213" s="9"/>
      <c r="CF2213" s="12"/>
      <c r="CH2213" s="9"/>
    </row>
    <row r="2214" spans="6:86" x14ac:dyDescent="0.25">
      <c r="F2214" s="9"/>
      <c r="G2214" s="9"/>
      <c r="AA2214" s="10"/>
      <c r="AV2214" s="11"/>
      <c r="AW2214" s="11"/>
      <c r="BB2214" s="9"/>
      <c r="BC2214" s="11"/>
      <c r="BF2214" s="9"/>
      <c r="CH2214" s="9"/>
    </row>
    <row r="2215" spans="6:86" x14ac:dyDescent="0.25">
      <c r="F2215" s="9"/>
      <c r="G2215" s="9"/>
      <c r="AA2215" s="10"/>
      <c r="AV2215" s="11"/>
      <c r="AW2215" s="11"/>
      <c r="BB2215" s="9"/>
      <c r="BC2215" s="11"/>
      <c r="BF2215" s="9"/>
      <c r="CF2215" s="12"/>
      <c r="CH2215" s="9"/>
    </row>
    <row r="2216" spans="6:86" x14ac:dyDescent="0.25">
      <c r="F2216" s="9"/>
      <c r="G2216" s="9"/>
      <c r="AA2216" s="10"/>
      <c r="AV2216" s="11"/>
      <c r="AW2216" s="11"/>
      <c r="BB2216" s="9"/>
      <c r="BC2216" s="11"/>
      <c r="BF2216" s="9"/>
      <c r="CH2216" s="9"/>
    </row>
    <row r="2217" spans="6:86" x14ac:dyDescent="0.25">
      <c r="F2217" s="9"/>
      <c r="G2217" s="9"/>
      <c r="AA2217" s="10"/>
      <c r="AV2217" s="11"/>
      <c r="AW2217" s="11"/>
      <c r="BB2217" s="9"/>
      <c r="BC2217" s="11"/>
      <c r="BF2217" s="9"/>
      <c r="CF2217" s="12"/>
      <c r="CH2217" s="9"/>
    </row>
    <row r="2218" spans="6:86" x14ac:dyDescent="0.25">
      <c r="F2218" s="9"/>
      <c r="G2218" s="9"/>
      <c r="AA2218" s="10"/>
      <c r="AV2218" s="11"/>
      <c r="AW2218" s="11"/>
      <c r="BB2218" s="9"/>
      <c r="BC2218" s="11"/>
      <c r="BF2218" s="9"/>
      <c r="CF2218" s="12"/>
      <c r="CH2218" s="9"/>
    </row>
    <row r="2219" spans="6:86" x14ac:dyDescent="0.25">
      <c r="F2219" s="9"/>
      <c r="G2219" s="9"/>
      <c r="AA2219" s="10"/>
      <c r="AV2219" s="11"/>
      <c r="AW2219" s="11"/>
      <c r="BB2219" s="9"/>
      <c r="BC2219" s="11"/>
      <c r="BF2219" s="9"/>
      <c r="CF2219" s="12"/>
      <c r="CH2219" s="9"/>
    </row>
    <row r="2220" spans="6:86" x14ac:dyDescent="0.25">
      <c r="F2220" s="9"/>
      <c r="G2220" s="9"/>
      <c r="U2220" s="12"/>
      <c r="Z2220" s="12"/>
      <c r="AA2220" s="10"/>
      <c r="AV2220" s="11"/>
      <c r="AW2220" s="11"/>
      <c r="BB2220" s="9"/>
      <c r="BC2220" s="11"/>
      <c r="BF2220" s="9"/>
      <c r="CF2220" s="12"/>
      <c r="CH2220" s="9"/>
    </row>
    <row r="2221" spans="6:86" x14ac:dyDescent="0.25">
      <c r="F2221" s="9"/>
      <c r="G2221" s="9"/>
      <c r="AA2221" s="10"/>
      <c r="AV2221" s="11"/>
      <c r="AW2221" s="11"/>
      <c r="BB2221" s="9"/>
      <c r="BC2221" s="11"/>
      <c r="BF2221" s="9"/>
      <c r="CF2221" s="12"/>
      <c r="CH2221" s="9"/>
    </row>
    <row r="2222" spans="6:86" x14ac:dyDescent="0.25">
      <c r="F2222" s="9"/>
      <c r="G2222" s="9"/>
      <c r="AA2222" s="10"/>
      <c r="AV2222" s="11"/>
      <c r="AW2222" s="11"/>
      <c r="BB2222" s="9"/>
      <c r="BC2222" s="11"/>
      <c r="BF2222" s="9"/>
      <c r="CF2222" s="12"/>
      <c r="CH2222" s="9"/>
    </row>
    <row r="2223" spans="6:86" x14ac:dyDescent="0.25">
      <c r="F2223" s="9"/>
      <c r="G2223" s="9"/>
      <c r="AA2223" s="10"/>
      <c r="AV2223" s="11"/>
      <c r="AW2223" s="11"/>
      <c r="BB2223" s="9"/>
      <c r="BC2223" s="11"/>
      <c r="BF2223" s="9"/>
      <c r="CF2223" s="12"/>
      <c r="CH2223" s="9"/>
    </row>
    <row r="2224" spans="6:86" x14ac:dyDescent="0.25">
      <c r="F2224" s="9"/>
      <c r="G2224" s="9"/>
      <c r="AA2224" s="10"/>
      <c r="AV2224" s="11"/>
      <c r="AW2224" s="11"/>
      <c r="BB2224" s="9"/>
      <c r="BC2224" s="11"/>
      <c r="BF2224" s="9"/>
      <c r="CF2224" s="12"/>
      <c r="CH2224" s="9"/>
    </row>
    <row r="2225" spans="6:86" x14ac:dyDescent="0.25">
      <c r="F2225" s="9"/>
      <c r="G2225" s="9"/>
      <c r="AA2225" s="10"/>
      <c r="AV2225" s="11"/>
      <c r="AW2225" s="11"/>
      <c r="BB2225" s="9"/>
      <c r="BC2225" s="11"/>
      <c r="BF2225" s="9"/>
      <c r="CF2225" s="12"/>
      <c r="CH2225" s="9"/>
    </row>
    <row r="2226" spans="6:86" x14ac:dyDescent="0.25">
      <c r="F2226" s="9"/>
      <c r="G2226" s="9"/>
      <c r="AA2226" s="10"/>
      <c r="AV2226" s="11"/>
      <c r="AW2226" s="11"/>
      <c r="BB2226" s="9"/>
      <c r="BC2226" s="11"/>
      <c r="BF2226" s="9"/>
      <c r="CF2226" s="12"/>
      <c r="CH2226" s="9"/>
    </row>
    <row r="2227" spans="6:86" x14ac:dyDescent="0.25">
      <c r="F2227" s="9"/>
      <c r="G2227" s="9"/>
      <c r="AA2227" s="10"/>
      <c r="AV2227" s="11"/>
      <c r="AW2227" s="11"/>
      <c r="BB2227" s="9"/>
      <c r="BC2227" s="11"/>
      <c r="BF2227" s="9"/>
      <c r="CF2227" s="12"/>
      <c r="CH2227" s="9"/>
    </row>
    <row r="2228" spans="6:86" x14ac:dyDescent="0.25">
      <c r="F2228" s="9"/>
      <c r="G2228" s="9"/>
      <c r="AA2228" s="10"/>
      <c r="AV2228" s="11"/>
      <c r="AW2228" s="11"/>
      <c r="BB2228" s="9"/>
      <c r="BC2228" s="11"/>
      <c r="BF2228" s="9"/>
      <c r="CF2228" s="12"/>
      <c r="CH2228" s="9"/>
    </row>
    <row r="2229" spans="6:86" x14ac:dyDescent="0.25">
      <c r="F2229" s="9"/>
      <c r="G2229" s="9"/>
      <c r="AA2229" s="10"/>
      <c r="AV2229" s="11"/>
      <c r="AW2229" s="11"/>
      <c r="BB2229" s="9"/>
      <c r="BC2229" s="11"/>
      <c r="BF2229" s="9"/>
      <c r="CF2229" s="12"/>
      <c r="CH2229" s="9"/>
    </row>
    <row r="2230" spans="6:86" x14ac:dyDescent="0.25">
      <c r="F2230" s="9"/>
      <c r="G2230" s="9"/>
      <c r="AA2230" s="10"/>
      <c r="AV2230" s="11"/>
      <c r="AW2230" s="11"/>
      <c r="BB2230" s="9"/>
      <c r="BC2230" s="11"/>
      <c r="BF2230" s="9"/>
      <c r="CF2230" s="12"/>
      <c r="CH2230" s="9"/>
    </row>
    <row r="2231" spans="6:86" x14ac:dyDescent="0.25">
      <c r="F2231" s="9"/>
      <c r="G2231" s="9"/>
      <c r="AA2231" s="10"/>
      <c r="AV2231" s="11"/>
      <c r="AW2231" s="11"/>
      <c r="BB2231" s="9"/>
      <c r="BC2231" s="11"/>
      <c r="BF2231" s="9"/>
      <c r="CF2231" s="12"/>
      <c r="CH2231" s="9"/>
    </row>
    <row r="2232" spans="6:86" x14ac:dyDescent="0.25">
      <c r="F2232" s="9"/>
      <c r="G2232" s="9"/>
      <c r="AA2232" s="10"/>
      <c r="AV2232" s="11"/>
      <c r="AW2232" s="11"/>
      <c r="BB2232" s="9"/>
      <c r="BC2232" s="11"/>
      <c r="BF2232" s="9"/>
      <c r="CF2232" s="12"/>
      <c r="CH2232" s="9"/>
    </row>
    <row r="2233" spans="6:86" x14ac:dyDescent="0.25">
      <c r="F2233" s="9"/>
      <c r="G2233" s="9"/>
      <c r="AA2233" s="10"/>
      <c r="AV2233" s="11"/>
      <c r="AW2233" s="11"/>
      <c r="BB2233" s="9"/>
      <c r="BC2233" s="11"/>
      <c r="BF2233" s="9"/>
      <c r="CF2233" s="12"/>
      <c r="CH2233" s="9"/>
    </row>
    <row r="2234" spans="6:86" x14ac:dyDescent="0.25">
      <c r="F2234" s="9"/>
      <c r="G2234" s="9"/>
      <c r="AA2234" s="10"/>
      <c r="AV2234" s="11"/>
      <c r="AW2234" s="11"/>
      <c r="BB2234" s="9"/>
      <c r="BC2234" s="11"/>
      <c r="BF2234" s="9"/>
      <c r="CF2234" s="12"/>
      <c r="CH2234" s="9"/>
    </row>
    <row r="2235" spans="6:86" x14ac:dyDescent="0.25">
      <c r="F2235" s="9"/>
      <c r="G2235" s="9"/>
      <c r="AA2235" s="10"/>
      <c r="AV2235" s="11"/>
      <c r="AW2235" s="11"/>
      <c r="BB2235" s="9"/>
      <c r="BC2235" s="11"/>
      <c r="BF2235" s="9"/>
      <c r="CF2235" s="12"/>
      <c r="CH2235" s="9"/>
    </row>
    <row r="2236" spans="6:86" x14ac:dyDescent="0.25">
      <c r="F2236" s="9"/>
      <c r="G2236" s="9"/>
      <c r="AA2236" s="10"/>
      <c r="AV2236" s="11"/>
      <c r="AW2236" s="11"/>
      <c r="BB2236" s="9"/>
      <c r="BC2236" s="11"/>
      <c r="BF2236" s="9"/>
      <c r="CF2236" s="12"/>
      <c r="CH2236" s="9"/>
    </row>
    <row r="2237" spans="6:86" x14ac:dyDescent="0.25">
      <c r="F2237" s="9"/>
      <c r="G2237" s="9"/>
      <c r="AA2237" s="10"/>
      <c r="AV2237" s="11"/>
      <c r="AW2237" s="11"/>
      <c r="BB2237" s="9"/>
      <c r="BC2237" s="11"/>
      <c r="BF2237" s="9"/>
      <c r="CF2237" s="12"/>
      <c r="CH2237" s="9"/>
    </row>
    <row r="2238" spans="6:86" x14ac:dyDescent="0.25">
      <c r="F2238" s="9"/>
      <c r="G2238" s="9"/>
      <c r="AA2238" s="10"/>
      <c r="AV2238" s="11"/>
      <c r="AW2238" s="11"/>
      <c r="BB2238" s="9"/>
      <c r="BC2238" s="11"/>
      <c r="BF2238" s="9"/>
      <c r="CF2238" s="12"/>
      <c r="CH2238" s="9"/>
    </row>
    <row r="2239" spans="6:86" x14ac:dyDescent="0.25">
      <c r="F2239" s="9"/>
      <c r="G2239" s="9"/>
      <c r="AA2239" s="10"/>
      <c r="AV2239" s="11"/>
      <c r="AW2239" s="11"/>
      <c r="BB2239" s="9"/>
      <c r="BC2239" s="11"/>
      <c r="BF2239" s="9"/>
      <c r="CF2239" s="12"/>
      <c r="CH2239" s="9"/>
    </row>
    <row r="2240" spans="6:86" x14ac:dyDescent="0.25">
      <c r="F2240" s="9"/>
      <c r="G2240" s="9"/>
      <c r="AA2240" s="10"/>
      <c r="AV2240" s="11"/>
      <c r="AW2240" s="11"/>
      <c r="BB2240" s="9"/>
      <c r="BC2240" s="11"/>
      <c r="BF2240" s="9"/>
      <c r="CF2240" s="12"/>
      <c r="CH2240" s="9"/>
    </row>
    <row r="2241" spans="6:92" x14ac:dyDescent="0.25">
      <c r="F2241" s="9"/>
      <c r="G2241" s="9"/>
      <c r="U2241" s="12"/>
      <c r="Z2241" s="12"/>
      <c r="AA2241" s="10"/>
      <c r="AV2241" s="11"/>
      <c r="AW2241" s="11"/>
      <c r="BB2241" s="9"/>
      <c r="BC2241" s="11"/>
      <c r="BF2241" s="9"/>
      <c r="CF2241" s="12"/>
      <c r="CH2241" s="9"/>
      <c r="CN2241" s="12"/>
    </row>
    <row r="2242" spans="6:92" x14ac:dyDescent="0.25">
      <c r="F2242" s="9"/>
      <c r="G2242" s="9"/>
      <c r="AA2242" s="10"/>
      <c r="AV2242" s="11"/>
      <c r="AW2242" s="11"/>
      <c r="BB2242" s="9"/>
      <c r="BC2242" s="11"/>
      <c r="BF2242" s="9"/>
      <c r="CF2242" s="12"/>
      <c r="CH2242" s="9"/>
    </row>
    <row r="2243" spans="6:92" x14ac:dyDescent="0.25">
      <c r="F2243" s="9"/>
      <c r="G2243" s="9"/>
      <c r="AA2243" s="10"/>
      <c r="AV2243" s="11"/>
      <c r="AW2243" s="11"/>
      <c r="BB2243" s="9"/>
      <c r="BC2243" s="11"/>
      <c r="BF2243" s="9"/>
      <c r="CF2243" s="12"/>
      <c r="CH2243" s="9"/>
    </row>
    <row r="2244" spans="6:92" x14ac:dyDescent="0.25">
      <c r="F2244" s="9"/>
      <c r="G2244" s="9"/>
      <c r="U2244" s="12"/>
      <c r="AA2244" s="10"/>
      <c r="AV2244" s="11"/>
      <c r="AW2244" s="11"/>
      <c r="BB2244" s="9"/>
      <c r="BC2244" s="11"/>
      <c r="BF2244" s="9"/>
      <c r="CF2244" s="12"/>
      <c r="CH2244" s="9"/>
    </row>
    <row r="2245" spans="6:92" x14ac:dyDescent="0.25">
      <c r="F2245" s="9"/>
      <c r="G2245" s="9"/>
      <c r="AA2245" s="10"/>
      <c r="AV2245" s="11"/>
      <c r="AW2245" s="11"/>
      <c r="BB2245" s="9"/>
      <c r="BC2245" s="11"/>
      <c r="BF2245" s="9"/>
      <c r="CF2245" s="12"/>
      <c r="CH2245" s="9"/>
    </row>
    <row r="2246" spans="6:92" x14ac:dyDescent="0.25">
      <c r="F2246" s="9"/>
      <c r="G2246" s="9"/>
      <c r="AA2246" s="10"/>
      <c r="AV2246" s="11"/>
      <c r="AW2246" s="11"/>
      <c r="BB2246" s="9"/>
      <c r="BC2246" s="11"/>
      <c r="BF2246" s="9"/>
      <c r="CF2246" s="12"/>
      <c r="CH2246" s="9"/>
    </row>
    <row r="2247" spans="6:92" x14ac:dyDescent="0.25">
      <c r="F2247" s="9"/>
      <c r="G2247" s="9"/>
      <c r="AA2247" s="10"/>
      <c r="AV2247" s="11"/>
      <c r="AW2247" s="11"/>
      <c r="BB2247" s="9"/>
      <c r="BC2247" s="11"/>
      <c r="BF2247" s="9"/>
      <c r="CF2247" s="12"/>
      <c r="CH2247" s="9"/>
    </row>
    <row r="2248" spans="6:92" x14ac:dyDescent="0.25">
      <c r="F2248" s="9"/>
      <c r="G2248" s="9"/>
      <c r="AA2248" s="10"/>
      <c r="AV2248" s="11"/>
      <c r="AW2248" s="11"/>
      <c r="BB2248" s="9"/>
      <c r="BC2248" s="11"/>
      <c r="BF2248" s="9"/>
      <c r="CF2248" s="12"/>
      <c r="CH2248" s="9"/>
    </row>
    <row r="2249" spans="6:92" x14ac:dyDescent="0.25">
      <c r="F2249" s="9"/>
      <c r="G2249" s="9"/>
      <c r="AA2249" s="10"/>
      <c r="AV2249" s="11"/>
      <c r="AW2249" s="11"/>
      <c r="BB2249" s="9"/>
      <c r="BC2249" s="11"/>
      <c r="BF2249" s="9"/>
      <c r="CF2249" s="12"/>
      <c r="CH2249" s="9"/>
    </row>
    <row r="2250" spans="6:92" x14ac:dyDescent="0.25">
      <c r="F2250" s="9"/>
      <c r="G2250" s="9"/>
      <c r="AA2250" s="10"/>
      <c r="AV2250" s="11"/>
      <c r="AW2250" s="11"/>
      <c r="BB2250" s="9"/>
      <c r="BC2250" s="11"/>
      <c r="BF2250" s="9"/>
      <c r="CF2250" s="12"/>
      <c r="CH2250" s="9"/>
    </row>
    <row r="2251" spans="6:92" x14ac:dyDescent="0.25">
      <c r="F2251" s="9"/>
      <c r="G2251" s="9"/>
      <c r="AA2251" s="10"/>
      <c r="AV2251" s="11"/>
      <c r="AW2251" s="11"/>
      <c r="BB2251" s="9"/>
      <c r="BC2251" s="11"/>
      <c r="BF2251" s="9"/>
      <c r="CF2251" s="12"/>
      <c r="CH2251" s="9"/>
    </row>
    <row r="2252" spans="6:92" x14ac:dyDescent="0.25">
      <c r="F2252" s="9"/>
      <c r="G2252" s="9"/>
      <c r="U2252" s="12"/>
      <c r="Z2252" s="12"/>
      <c r="AA2252" s="10"/>
      <c r="AV2252" s="11"/>
      <c r="AW2252" s="11"/>
      <c r="BB2252" s="9"/>
      <c r="BC2252" s="11"/>
      <c r="BF2252" s="9"/>
      <c r="CF2252" s="12"/>
      <c r="CH2252" s="9"/>
    </row>
    <row r="2253" spans="6:92" x14ac:dyDescent="0.25">
      <c r="F2253" s="9"/>
      <c r="G2253" s="9"/>
      <c r="AA2253" s="10"/>
      <c r="AV2253" s="11"/>
      <c r="AW2253" s="11"/>
      <c r="BB2253" s="9"/>
      <c r="BC2253" s="11"/>
      <c r="BF2253" s="9"/>
      <c r="CF2253" s="12"/>
      <c r="CH2253" s="9"/>
    </row>
    <row r="2254" spans="6:92" x14ac:dyDescent="0.25">
      <c r="F2254" s="9"/>
      <c r="G2254" s="9"/>
      <c r="AA2254" s="10"/>
      <c r="AV2254" s="11"/>
      <c r="AW2254" s="11"/>
      <c r="BB2254" s="9"/>
      <c r="BC2254" s="11"/>
      <c r="BF2254" s="9"/>
      <c r="CH2254" s="9"/>
    </row>
    <row r="2255" spans="6:92" x14ac:dyDescent="0.25">
      <c r="F2255" s="9"/>
      <c r="G2255" s="9"/>
      <c r="AA2255" s="10"/>
      <c r="AV2255" s="11"/>
      <c r="AW2255" s="11"/>
      <c r="BB2255" s="9"/>
      <c r="BC2255" s="11"/>
      <c r="BF2255" s="9"/>
      <c r="CF2255" s="12"/>
      <c r="CH2255" s="9"/>
    </row>
    <row r="2256" spans="6:92" x14ac:dyDescent="0.25">
      <c r="F2256" s="9"/>
      <c r="G2256" s="9"/>
      <c r="AA2256" s="10"/>
      <c r="AV2256" s="11"/>
      <c r="AW2256" s="11"/>
      <c r="BB2256" s="9"/>
      <c r="BC2256" s="11"/>
      <c r="BF2256" s="9"/>
      <c r="CH2256" s="9"/>
    </row>
    <row r="2257" spans="6:86" x14ac:dyDescent="0.25">
      <c r="F2257" s="9"/>
      <c r="G2257" s="9"/>
      <c r="AA2257" s="10"/>
      <c r="AV2257" s="11"/>
      <c r="AW2257" s="11"/>
      <c r="BB2257" s="9"/>
      <c r="BC2257" s="11"/>
      <c r="BF2257" s="9"/>
      <c r="CF2257" s="12"/>
      <c r="CH2257" s="9"/>
    </row>
    <row r="2258" spans="6:86" x14ac:dyDescent="0.25">
      <c r="F2258" s="9"/>
      <c r="G2258" s="9"/>
      <c r="AA2258" s="10"/>
      <c r="AV2258" s="11"/>
      <c r="AW2258" s="11"/>
      <c r="BB2258" s="9"/>
      <c r="BC2258" s="11"/>
      <c r="BF2258" s="9"/>
      <c r="CF2258" s="12"/>
      <c r="CH2258" s="9"/>
    </row>
    <row r="2259" spans="6:86" x14ac:dyDescent="0.25">
      <c r="F2259" s="9"/>
      <c r="G2259" s="9"/>
      <c r="AA2259" s="10"/>
      <c r="AV2259" s="11"/>
      <c r="AW2259" s="11"/>
      <c r="BB2259" s="9"/>
      <c r="BC2259" s="11"/>
      <c r="BF2259" s="9"/>
      <c r="CF2259" s="12"/>
      <c r="CH2259" s="9"/>
    </row>
    <row r="2260" spans="6:86" x14ac:dyDescent="0.25">
      <c r="F2260" s="9"/>
      <c r="G2260" s="9"/>
      <c r="AA2260" s="10"/>
      <c r="AV2260" s="11"/>
      <c r="AW2260" s="11"/>
      <c r="BB2260" s="9"/>
      <c r="BC2260" s="11"/>
      <c r="BF2260" s="9"/>
      <c r="CF2260" s="12"/>
      <c r="CH2260" s="9"/>
    </row>
    <row r="2261" spans="6:86" x14ac:dyDescent="0.25">
      <c r="F2261" s="9"/>
      <c r="G2261" s="9"/>
      <c r="AA2261" s="10"/>
      <c r="AV2261" s="11"/>
      <c r="AW2261" s="11"/>
      <c r="BB2261" s="9"/>
      <c r="BC2261" s="11"/>
      <c r="BF2261" s="9"/>
      <c r="CH2261" s="9"/>
    </row>
    <row r="2262" spans="6:86" x14ac:dyDescent="0.25">
      <c r="F2262" s="9"/>
      <c r="G2262" s="9"/>
      <c r="AA2262" s="10"/>
      <c r="AV2262" s="11"/>
      <c r="AW2262" s="11"/>
      <c r="BB2262" s="9"/>
      <c r="BC2262" s="11"/>
      <c r="BF2262" s="9"/>
      <c r="CH2262" s="9"/>
    </row>
    <row r="2263" spans="6:86" x14ac:dyDescent="0.25">
      <c r="F2263" s="9"/>
      <c r="G2263" s="9"/>
      <c r="AA2263" s="10"/>
      <c r="AV2263" s="11"/>
      <c r="AW2263" s="11"/>
      <c r="BB2263" s="9"/>
      <c r="BC2263" s="11"/>
      <c r="BF2263" s="9"/>
      <c r="CF2263" s="12"/>
      <c r="CH2263" s="9"/>
    </row>
    <row r="2264" spans="6:86" x14ac:dyDescent="0.25">
      <c r="F2264" s="9"/>
      <c r="G2264" s="9"/>
      <c r="AA2264" s="10"/>
      <c r="AV2264" s="11"/>
      <c r="AW2264" s="11"/>
      <c r="BB2264" s="9"/>
      <c r="BC2264" s="11"/>
      <c r="BF2264" s="9"/>
      <c r="CF2264" s="12"/>
      <c r="CH2264" s="9"/>
    </row>
    <row r="2265" spans="6:86" x14ac:dyDescent="0.25">
      <c r="F2265" s="9"/>
      <c r="G2265" s="9"/>
      <c r="AA2265" s="10"/>
      <c r="AV2265" s="11"/>
      <c r="AW2265" s="11"/>
      <c r="BB2265" s="9"/>
      <c r="BC2265" s="11"/>
      <c r="BF2265" s="9"/>
      <c r="CF2265" s="12"/>
      <c r="CH2265" s="9"/>
    </row>
    <row r="2266" spans="6:86" x14ac:dyDescent="0.25">
      <c r="F2266" s="9"/>
      <c r="G2266" s="9"/>
      <c r="AA2266" s="10"/>
      <c r="AV2266" s="11"/>
      <c r="AW2266" s="11"/>
      <c r="BB2266" s="9"/>
      <c r="BC2266" s="11"/>
      <c r="BF2266" s="9"/>
      <c r="CF2266" s="12"/>
      <c r="CH2266" s="9"/>
    </row>
    <row r="2267" spans="6:86" x14ac:dyDescent="0.25">
      <c r="F2267" s="9"/>
      <c r="G2267" s="9"/>
      <c r="AA2267" s="10"/>
      <c r="AV2267" s="11"/>
      <c r="AW2267" s="11"/>
      <c r="BB2267" s="9"/>
      <c r="BC2267" s="11"/>
      <c r="BF2267" s="9"/>
      <c r="CF2267" s="12"/>
      <c r="CH2267" s="9"/>
    </row>
    <row r="2268" spans="6:86" x14ac:dyDescent="0.25">
      <c r="F2268" s="9"/>
      <c r="G2268" s="9"/>
      <c r="AA2268" s="10"/>
      <c r="AV2268" s="11"/>
      <c r="AW2268" s="11"/>
      <c r="BB2268" s="9"/>
      <c r="BC2268" s="11"/>
      <c r="BF2268" s="9"/>
      <c r="CF2268" s="12"/>
      <c r="CH2268" s="9"/>
    </row>
    <row r="2269" spans="6:86" x14ac:dyDescent="0.25">
      <c r="F2269" s="9"/>
      <c r="G2269" s="9"/>
      <c r="AA2269" s="10"/>
      <c r="AV2269" s="11"/>
      <c r="AW2269" s="11"/>
      <c r="BB2269" s="9"/>
      <c r="BC2269" s="11"/>
      <c r="BF2269" s="9"/>
      <c r="CF2269" s="12"/>
      <c r="CH2269" s="9"/>
    </row>
    <row r="2270" spans="6:86" x14ac:dyDescent="0.25">
      <c r="F2270" s="9"/>
      <c r="G2270" s="9"/>
      <c r="AA2270" s="10"/>
      <c r="AV2270" s="11"/>
      <c r="AW2270" s="11"/>
      <c r="BB2270" s="9"/>
      <c r="BC2270" s="11"/>
      <c r="BF2270" s="9"/>
      <c r="CF2270" s="12"/>
      <c r="CH2270" s="9"/>
    </row>
    <row r="2271" spans="6:86" x14ac:dyDescent="0.25">
      <c r="F2271" s="9"/>
      <c r="G2271" s="9"/>
      <c r="AA2271" s="10"/>
      <c r="AV2271" s="11"/>
      <c r="AW2271" s="11"/>
      <c r="BB2271" s="9"/>
      <c r="BC2271" s="11"/>
      <c r="BF2271" s="9"/>
      <c r="CF2271" s="12"/>
      <c r="CH2271" s="9"/>
    </row>
    <row r="2272" spans="6:86" x14ac:dyDescent="0.25">
      <c r="F2272" s="9"/>
      <c r="G2272" s="9"/>
      <c r="AA2272" s="10"/>
      <c r="AV2272" s="11"/>
      <c r="AW2272" s="11"/>
      <c r="BB2272" s="9"/>
      <c r="BC2272" s="11"/>
      <c r="BF2272" s="9"/>
      <c r="CF2272" s="12"/>
      <c r="CH2272" s="9"/>
    </row>
    <row r="2273" spans="6:86" x14ac:dyDescent="0.25">
      <c r="F2273" s="9"/>
      <c r="G2273" s="9"/>
      <c r="AA2273" s="10"/>
      <c r="AV2273" s="11"/>
      <c r="AW2273" s="11"/>
      <c r="BB2273" s="9"/>
      <c r="BC2273" s="11"/>
      <c r="BF2273" s="9"/>
      <c r="CF2273" s="12"/>
      <c r="CH2273" s="9"/>
    </row>
    <row r="2274" spans="6:86" x14ac:dyDescent="0.25">
      <c r="F2274" s="9"/>
      <c r="G2274" s="9"/>
      <c r="AA2274" s="10"/>
      <c r="AV2274" s="11"/>
      <c r="AW2274" s="11"/>
      <c r="BB2274" s="9"/>
      <c r="BC2274" s="11"/>
      <c r="BF2274" s="9"/>
      <c r="CF2274" s="12"/>
      <c r="CH2274" s="9"/>
    </row>
    <row r="2275" spans="6:86" x14ac:dyDescent="0.25">
      <c r="F2275" s="9"/>
      <c r="G2275" s="9"/>
      <c r="AA2275" s="10"/>
      <c r="AV2275" s="11"/>
      <c r="AW2275" s="11"/>
      <c r="BB2275" s="9"/>
      <c r="BC2275" s="11"/>
      <c r="BF2275" s="9"/>
      <c r="CF2275" s="12"/>
      <c r="CH2275" s="9"/>
    </row>
    <row r="2276" spans="6:86" x14ac:dyDescent="0.25">
      <c r="F2276" s="9"/>
      <c r="G2276" s="9"/>
      <c r="AA2276" s="10"/>
      <c r="AV2276" s="11"/>
      <c r="AW2276" s="11"/>
      <c r="BB2276" s="9"/>
      <c r="BC2276" s="11"/>
      <c r="BF2276" s="9"/>
      <c r="CF2276" s="12"/>
      <c r="CH2276" s="9"/>
    </row>
    <row r="2277" spans="6:86" x14ac:dyDescent="0.25">
      <c r="F2277" s="9"/>
      <c r="G2277" s="9"/>
      <c r="AA2277" s="10"/>
      <c r="AV2277" s="11"/>
      <c r="AW2277" s="11"/>
      <c r="BB2277" s="9"/>
      <c r="BC2277" s="11"/>
      <c r="BF2277" s="9"/>
      <c r="CH2277" s="9"/>
    </row>
    <row r="2278" spans="6:86" x14ac:dyDescent="0.25">
      <c r="F2278" s="9"/>
      <c r="G2278" s="9"/>
      <c r="AA2278" s="10"/>
      <c r="AV2278" s="11"/>
      <c r="AW2278" s="11"/>
      <c r="BB2278" s="9"/>
      <c r="BC2278" s="11"/>
      <c r="BF2278" s="9"/>
      <c r="CF2278" s="12"/>
      <c r="CH2278" s="9"/>
    </row>
    <row r="2279" spans="6:86" x14ac:dyDescent="0.25">
      <c r="F2279" s="9"/>
      <c r="G2279" s="9"/>
      <c r="AA2279" s="10"/>
      <c r="AV2279" s="11"/>
      <c r="AW2279" s="11"/>
      <c r="BB2279" s="9"/>
      <c r="BC2279" s="11"/>
      <c r="BF2279" s="9"/>
      <c r="CF2279" s="12"/>
      <c r="CH2279" s="9"/>
    </row>
    <row r="2280" spans="6:86" x14ac:dyDescent="0.25">
      <c r="F2280" s="9"/>
      <c r="G2280" s="9"/>
      <c r="AA2280" s="10"/>
      <c r="AV2280" s="11"/>
      <c r="AW2280" s="11"/>
      <c r="BB2280" s="9"/>
      <c r="BC2280" s="11"/>
      <c r="BF2280" s="9"/>
      <c r="CF2280" s="12"/>
      <c r="CH2280" s="9"/>
    </row>
    <row r="2281" spans="6:86" x14ac:dyDescent="0.25">
      <c r="F2281" s="9"/>
      <c r="G2281" s="9"/>
      <c r="AA2281" s="10"/>
      <c r="AV2281" s="11"/>
      <c r="AW2281" s="11"/>
      <c r="BB2281" s="9"/>
      <c r="BC2281" s="11"/>
      <c r="BF2281" s="9"/>
      <c r="CF2281" s="12"/>
      <c r="CH2281" s="9"/>
    </row>
    <row r="2282" spans="6:86" x14ac:dyDescent="0.25">
      <c r="F2282" s="9"/>
      <c r="G2282" s="9"/>
      <c r="AA2282" s="10"/>
      <c r="AV2282" s="11"/>
      <c r="AW2282" s="11"/>
      <c r="BB2282" s="9"/>
      <c r="BC2282" s="11"/>
      <c r="BF2282" s="9"/>
      <c r="CF2282" s="12"/>
      <c r="CH2282" s="9"/>
    </row>
    <row r="2283" spans="6:86" x14ac:dyDescent="0.25">
      <c r="F2283" s="9"/>
      <c r="G2283" s="9"/>
      <c r="AA2283" s="10"/>
      <c r="AV2283" s="11"/>
      <c r="AW2283" s="11"/>
      <c r="BB2283" s="9"/>
      <c r="BC2283" s="11"/>
      <c r="BF2283" s="9"/>
      <c r="CF2283" s="12"/>
      <c r="CH2283" s="9"/>
    </row>
    <row r="2284" spans="6:86" x14ac:dyDescent="0.25">
      <c r="F2284" s="9"/>
      <c r="G2284" s="9"/>
      <c r="AA2284" s="10"/>
      <c r="AV2284" s="11"/>
      <c r="AW2284" s="11"/>
      <c r="BB2284" s="9"/>
      <c r="BC2284" s="11"/>
      <c r="BF2284" s="9"/>
      <c r="CF2284" s="12"/>
      <c r="CH2284" s="9"/>
    </row>
    <row r="2285" spans="6:86" x14ac:dyDescent="0.25">
      <c r="F2285" s="9"/>
      <c r="G2285" s="9"/>
      <c r="AA2285" s="10"/>
      <c r="AV2285" s="11"/>
      <c r="AW2285" s="11"/>
      <c r="BB2285" s="9"/>
      <c r="BC2285" s="11"/>
      <c r="BF2285" s="9"/>
      <c r="CF2285" s="12"/>
      <c r="CH2285" s="9"/>
    </row>
    <row r="2286" spans="6:86" x14ac:dyDescent="0.25">
      <c r="F2286" s="9"/>
      <c r="G2286" s="9"/>
      <c r="AA2286" s="10"/>
      <c r="AV2286" s="11"/>
      <c r="AW2286" s="11"/>
      <c r="BB2286" s="9"/>
      <c r="BC2286" s="11"/>
      <c r="BF2286" s="9"/>
      <c r="CF2286" s="12"/>
      <c r="CH2286" s="9"/>
    </row>
    <row r="2287" spans="6:86" x14ac:dyDescent="0.25">
      <c r="F2287" s="9"/>
      <c r="G2287" s="9"/>
      <c r="AA2287" s="10"/>
      <c r="AV2287" s="11"/>
      <c r="AW2287" s="11"/>
      <c r="BB2287" s="9"/>
      <c r="BC2287" s="11"/>
      <c r="BF2287" s="9"/>
      <c r="CF2287" s="12"/>
      <c r="CH2287" s="9"/>
    </row>
    <row r="2288" spans="6:86" x14ac:dyDescent="0.25">
      <c r="F2288" s="9"/>
      <c r="G2288" s="9"/>
      <c r="AA2288" s="10"/>
      <c r="AV2288" s="11"/>
      <c r="AW2288" s="11"/>
      <c r="BB2288" s="9"/>
      <c r="BC2288" s="11"/>
      <c r="BF2288" s="9"/>
      <c r="CH2288" s="9"/>
    </row>
    <row r="2289" spans="6:86" x14ac:dyDescent="0.25">
      <c r="F2289" s="9"/>
      <c r="G2289" s="9"/>
      <c r="AA2289" s="10"/>
      <c r="AV2289" s="11"/>
      <c r="AW2289" s="11"/>
      <c r="BB2289" s="9"/>
      <c r="BC2289" s="11"/>
      <c r="BF2289" s="9"/>
      <c r="CF2289" s="12"/>
      <c r="CH2289" s="9"/>
    </row>
    <row r="2290" spans="6:86" x14ac:dyDescent="0.25">
      <c r="F2290" s="9"/>
      <c r="G2290" s="9"/>
      <c r="AA2290" s="10"/>
      <c r="AV2290" s="11"/>
      <c r="AW2290" s="11"/>
      <c r="BB2290" s="9"/>
      <c r="BC2290" s="11"/>
      <c r="BF2290" s="9"/>
      <c r="CF2290" s="12"/>
      <c r="CH2290" s="9"/>
    </row>
    <row r="2291" spans="6:86" x14ac:dyDescent="0.25">
      <c r="F2291" s="9"/>
      <c r="G2291" s="9"/>
      <c r="AA2291" s="10"/>
      <c r="AV2291" s="11"/>
      <c r="AW2291" s="11"/>
      <c r="BB2291" s="9"/>
      <c r="BC2291" s="11"/>
      <c r="BF2291" s="9"/>
      <c r="CF2291" s="12"/>
      <c r="CH2291" s="9"/>
    </row>
    <row r="2292" spans="6:86" x14ac:dyDescent="0.25">
      <c r="F2292" s="9"/>
      <c r="G2292" s="9"/>
      <c r="AA2292" s="10"/>
      <c r="AV2292" s="11"/>
      <c r="AW2292" s="11"/>
      <c r="BB2292" s="9"/>
      <c r="BC2292" s="11"/>
      <c r="BF2292" s="9"/>
      <c r="CF2292" s="12"/>
      <c r="CH2292" s="9"/>
    </row>
    <row r="2293" spans="6:86" x14ac:dyDescent="0.25">
      <c r="F2293" s="9"/>
      <c r="G2293" s="9"/>
      <c r="AA2293" s="10"/>
      <c r="AV2293" s="11"/>
      <c r="AW2293" s="11"/>
      <c r="BB2293" s="9"/>
      <c r="BC2293" s="11"/>
      <c r="BF2293" s="9"/>
      <c r="CF2293" s="12"/>
      <c r="CH2293" s="9"/>
    </row>
    <row r="2294" spans="6:86" x14ac:dyDescent="0.25">
      <c r="F2294" s="9"/>
      <c r="G2294" s="9"/>
      <c r="AA2294" s="10"/>
      <c r="AV2294" s="11"/>
      <c r="AW2294" s="11"/>
      <c r="BB2294" s="9"/>
      <c r="BC2294" s="11"/>
      <c r="BF2294" s="9"/>
      <c r="CF2294" s="12"/>
      <c r="CH2294" s="9"/>
    </row>
    <row r="2295" spans="6:86" x14ac:dyDescent="0.25">
      <c r="F2295" s="9"/>
      <c r="G2295" s="9"/>
      <c r="AA2295" s="10"/>
      <c r="AV2295" s="11"/>
      <c r="AW2295" s="11"/>
      <c r="BB2295" s="9"/>
      <c r="BC2295" s="11"/>
      <c r="BF2295" s="9"/>
      <c r="CF2295" s="12"/>
      <c r="CH2295" s="9"/>
    </row>
    <row r="2296" spans="6:86" x14ac:dyDescent="0.25">
      <c r="F2296" s="9"/>
      <c r="G2296" s="9"/>
      <c r="AA2296" s="10"/>
      <c r="AV2296" s="11"/>
      <c r="AW2296" s="11"/>
      <c r="BB2296" s="9"/>
      <c r="BC2296" s="11"/>
      <c r="BF2296" s="9"/>
      <c r="CF2296" s="12"/>
      <c r="CH2296" s="9"/>
    </row>
    <row r="2297" spans="6:86" x14ac:dyDescent="0.25">
      <c r="F2297" s="9"/>
      <c r="G2297" s="9"/>
      <c r="AA2297" s="10"/>
      <c r="AV2297" s="11"/>
      <c r="AW2297" s="11"/>
      <c r="BB2297" s="9"/>
      <c r="BC2297" s="11"/>
      <c r="BF2297" s="9"/>
      <c r="CF2297" s="12"/>
      <c r="CH2297" s="9"/>
    </row>
    <row r="2298" spans="6:86" x14ac:dyDescent="0.25">
      <c r="F2298" s="9"/>
      <c r="G2298" s="9"/>
      <c r="AA2298" s="10"/>
      <c r="AV2298" s="11"/>
      <c r="AW2298" s="11"/>
      <c r="BB2298" s="9"/>
      <c r="BC2298" s="11"/>
      <c r="BF2298" s="9"/>
      <c r="CF2298" s="12"/>
      <c r="CH2298" s="9"/>
    </row>
    <row r="2299" spans="6:86" x14ac:dyDescent="0.25">
      <c r="F2299" s="9"/>
      <c r="G2299" s="9"/>
      <c r="AA2299" s="10"/>
      <c r="AV2299" s="11"/>
      <c r="AW2299" s="11"/>
      <c r="BB2299" s="9"/>
      <c r="BC2299" s="11"/>
      <c r="BF2299" s="9"/>
      <c r="CF2299" s="12"/>
      <c r="CH2299" s="9"/>
    </row>
    <row r="2300" spans="6:86" x14ac:dyDescent="0.25">
      <c r="F2300" s="9"/>
      <c r="G2300" s="9"/>
      <c r="AA2300" s="10"/>
      <c r="AV2300" s="11"/>
      <c r="AW2300" s="11"/>
      <c r="BB2300" s="9"/>
      <c r="BC2300" s="11"/>
      <c r="BF2300" s="9"/>
      <c r="CF2300" s="12"/>
      <c r="CH2300" s="9"/>
    </row>
    <row r="2301" spans="6:86" x14ac:dyDescent="0.25">
      <c r="F2301" s="9"/>
      <c r="G2301" s="9"/>
      <c r="AA2301" s="10"/>
      <c r="AV2301" s="11"/>
      <c r="AW2301" s="11"/>
      <c r="BB2301" s="9"/>
      <c r="BC2301" s="11"/>
      <c r="BF2301" s="9"/>
      <c r="CF2301" s="12"/>
      <c r="CH2301" s="9"/>
    </row>
    <row r="2302" spans="6:86" x14ac:dyDescent="0.25">
      <c r="F2302" s="9"/>
      <c r="G2302" s="9"/>
      <c r="AA2302" s="10"/>
      <c r="AV2302" s="11"/>
      <c r="AW2302" s="11"/>
      <c r="BB2302" s="9"/>
      <c r="BC2302" s="11"/>
      <c r="BF2302" s="9"/>
      <c r="CF2302" s="12"/>
      <c r="CH2302" s="9"/>
    </row>
    <row r="2303" spans="6:86" x14ac:dyDescent="0.25">
      <c r="F2303" s="9"/>
      <c r="G2303" s="9"/>
      <c r="AA2303" s="10"/>
      <c r="AV2303" s="11"/>
      <c r="AW2303" s="11"/>
      <c r="BB2303" s="9"/>
      <c r="BC2303" s="11"/>
      <c r="BF2303" s="9"/>
      <c r="CF2303" s="12"/>
      <c r="CH2303" s="9"/>
    </row>
    <row r="2304" spans="6:86" x14ac:dyDescent="0.25">
      <c r="F2304" s="9"/>
      <c r="G2304" s="9"/>
      <c r="AA2304" s="10"/>
      <c r="AV2304" s="11"/>
      <c r="AW2304" s="11"/>
      <c r="BB2304" s="9"/>
      <c r="BC2304" s="11"/>
      <c r="BF2304" s="9"/>
      <c r="CF2304" s="12"/>
      <c r="CH2304" s="9"/>
    </row>
    <row r="2305" spans="6:86" x14ac:dyDescent="0.25">
      <c r="F2305" s="9"/>
      <c r="G2305" s="9"/>
      <c r="AA2305" s="10"/>
      <c r="AV2305" s="11"/>
      <c r="AW2305" s="11"/>
      <c r="BB2305" s="9"/>
      <c r="BC2305" s="11"/>
      <c r="BF2305" s="9"/>
      <c r="CF2305" s="12"/>
      <c r="CH2305" s="9"/>
    </row>
    <row r="2306" spans="6:86" x14ac:dyDescent="0.25">
      <c r="F2306" s="9"/>
      <c r="G2306" s="9"/>
      <c r="AA2306" s="10"/>
      <c r="AV2306" s="11"/>
      <c r="AW2306" s="11"/>
      <c r="BB2306" s="9"/>
      <c r="BC2306" s="11"/>
      <c r="BF2306" s="9"/>
      <c r="CF2306" s="12"/>
      <c r="CH2306" s="9"/>
    </row>
    <row r="2307" spans="6:86" x14ac:dyDescent="0.25">
      <c r="F2307" s="9"/>
      <c r="G2307" s="9"/>
      <c r="AA2307" s="10"/>
      <c r="AV2307" s="11"/>
      <c r="AW2307" s="11"/>
      <c r="BB2307" s="9"/>
      <c r="BC2307" s="11"/>
      <c r="BF2307" s="9"/>
      <c r="CF2307" s="12"/>
      <c r="CH2307" s="9"/>
    </row>
    <row r="2308" spans="6:86" x14ac:dyDescent="0.25">
      <c r="F2308" s="9"/>
      <c r="G2308" s="9"/>
      <c r="AA2308" s="10"/>
      <c r="AV2308" s="11"/>
      <c r="AW2308" s="11"/>
      <c r="BB2308" s="9"/>
      <c r="BC2308" s="11"/>
      <c r="BF2308" s="9"/>
      <c r="CF2308" s="12"/>
      <c r="CH2308" s="9"/>
    </row>
    <row r="2309" spans="6:86" x14ac:dyDescent="0.25">
      <c r="F2309" s="9"/>
      <c r="G2309" s="9"/>
      <c r="AA2309" s="10"/>
      <c r="AV2309" s="11"/>
      <c r="AW2309" s="11"/>
      <c r="BB2309" s="9"/>
      <c r="BC2309" s="11"/>
      <c r="BF2309" s="9"/>
      <c r="CF2309" s="12"/>
      <c r="CH2309" s="9"/>
    </row>
    <row r="2310" spans="6:86" x14ac:dyDescent="0.25">
      <c r="F2310" s="9"/>
      <c r="G2310" s="9"/>
      <c r="AA2310" s="10"/>
      <c r="AV2310" s="11"/>
      <c r="AW2310" s="11"/>
      <c r="BB2310" s="9"/>
      <c r="BC2310" s="11"/>
      <c r="BF2310" s="9"/>
      <c r="CF2310" s="12"/>
      <c r="CH2310" s="9"/>
    </row>
    <row r="2311" spans="6:86" x14ac:dyDescent="0.25">
      <c r="F2311" s="9"/>
      <c r="G2311" s="9"/>
      <c r="AA2311" s="10"/>
      <c r="AV2311" s="11"/>
      <c r="AW2311" s="11"/>
      <c r="BB2311" s="9"/>
      <c r="BC2311" s="11"/>
      <c r="BF2311" s="9"/>
      <c r="CF2311" s="12"/>
      <c r="CH2311" s="9"/>
    </row>
    <row r="2312" spans="6:86" x14ac:dyDescent="0.25">
      <c r="F2312" s="9"/>
      <c r="G2312" s="9"/>
      <c r="AA2312" s="10"/>
      <c r="AV2312" s="11"/>
      <c r="AW2312" s="11"/>
      <c r="BB2312" s="9"/>
      <c r="BC2312" s="11"/>
      <c r="BF2312" s="9"/>
      <c r="CF2312" s="12"/>
      <c r="CH2312" s="9"/>
    </row>
    <row r="2313" spans="6:86" x14ac:dyDescent="0.25">
      <c r="F2313" s="9"/>
      <c r="G2313" s="9"/>
      <c r="AA2313" s="10"/>
      <c r="AV2313" s="11"/>
      <c r="AW2313" s="11"/>
      <c r="BB2313" s="9"/>
      <c r="BC2313" s="11"/>
      <c r="BF2313" s="9"/>
      <c r="CF2313" s="12"/>
      <c r="CH2313" s="9"/>
    </row>
    <row r="2314" spans="6:86" x14ac:dyDescent="0.25">
      <c r="F2314" s="9"/>
      <c r="G2314" s="9"/>
      <c r="AA2314" s="10"/>
      <c r="AV2314" s="11"/>
      <c r="AW2314" s="11"/>
      <c r="BB2314" s="9"/>
      <c r="BC2314" s="11"/>
      <c r="BF2314" s="9"/>
      <c r="CF2314" s="12"/>
      <c r="CH2314" s="9"/>
    </row>
    <row r="2315" spans="6:86" x14ac:dyDescent="0.25">
      <c r="F2315" s="9"/>
      <c r="G2315" s="9"/>
      <c r="AA2315" s="10"/>
      <c r="AV2315" s="11"/>
      <c r="AW2315" s="11"/>
      <c r="BB2315" s="9"/>
      <c r="BC2315" s="11"/>
      <c r="BF2315" s="9"/>
      <c r="CF2315" s="12"/>
      <c r="CH2315" s="9"/>
    </row>
    <row r="2316" spans="6:86" x14ac:dyDescent="0.25">
      <c r="F2316" s="9"/>
      <c r="G2316" s="9"/>
      <c r="AA2316" s="10"/>
      <c r="AV2316" s="11"/>
      <c r="AW2316" s="11"/>
      <c r="BB2316" s="9"/>
      <c r="BC2316" s="11"/>
      <c r="BF2316" s="9"/>
      <c r="CF2316" s="12"/>
      <c r="CH2316" s="9"/>
    </row>
    <row r="2317" spans="6:86" x14ac:dyDescent="0.25">
      <c r="F2317" s="9"/>
      <c r="G2317" s="9"/>
      <c r="AA2317" s="10"/>
      <c r="AV2317" s="11"/>
      <c r="AW2317" s="11"/>
      <c r="BB2317" s="9"/>
      <c r="BC2317" s="11"/>
      <c r="BF2317" s="9"/>
      <c r="CF2317" s="12"/>
      <c r="CH2317" s="9"/>
    </row>
    <row r="2318" spans="6:86" x14ac:dyDescent="0.25">
      <c r="F2318" s="9"/>
      <c r="G2318" s="9"/>
      <c r="AA2318" s="10"/>
      <c r="AV2318" s="11"/>
      <c r="AW2318" s="11"/>
      <c r="BB2318" s="9"/>
      <c r="BC2318" s="11"/>
      <c r="BF2318" s="9"/>
      <c r="CF2318" s="12"/>
      <c r="CH2318" s="9"/>
    </row>
    <row r="2319" spans="6:86" x14ac:dyDescent="0.25">
      <c r="F2319" s="9"/>
      <c r="G2319" s="9"/>
      <c r="AA2319" s="10"/>
      <c r="AV2319" s="11"/>
      <c r="AW2319" s="11"/>
      <c r="BB2319" s="9"/>
      <c r="BC2319" s="11"/>
      <c r="BF2319" s="9"/>
      <c r="CF2319" s="12"/>
      <c r="CH2319" s="9"/>
    </row>
    <row r="2320" spans="6:86" x14ac:dyDescent="0.25">
      <c r="F2320" s="9"/>
      <c r="G2320" s="9"/>
      <c r="AA2320" s="10"/>
      <c r="AV2320" s="11"/>
      <c r="AW2320" s="11"/>
      <c r="BB2320" s="9"/>
      <c r="BC2320" s="11"/>
      <c r="BF2320" s="9"/>
      <c r="CF2320" s="12"/>
      <c r="CH2320" s="9"/>
    </row>
    <row r="2321" spans="6:86" x14ac:dyDescent="0.25">
      <c r="F2321" s="9"/>
      <c r="G2321" s="9"/>
      <c r="AA2321" s="10"/>
      <c r="AV2321" s="11"/>
      <c r="AW2321" s="11"/>
      <c r="BB2321" s="9"/>
      <c r="BC2321" s="11"/>
      <c r="BF2321" s="9"/>
      <c r="CF2321" s="12"/>
      <c r="CH2321" s="9"/>
    </row>
    <row r="2322" spans="6:86" x14ac:dyDescent="0.25">
      <c r="F2322" s="9"/>
      <c r="G2322" s="9"/>
      <c r="AA2322" s="10"/>
      <c r="AV2322" s="11"/>
      <c r="AW2322" s="11"/>
      <c r="BB2322" s="9"/>
      <c r="BC2322" s="11"/>
      <c r="BF2322" s="9"/>
      <c r="CH2322" s="9"/>
    </row>
    <row r="2323" spans="6:86" x14ac:dyDescent="0.25">
      <c r="F2323" s="9"/>
      <c r="G2323" s="9"/>
      <c r="AA2323" s="10"/>
      <c r="AV2323" s="11"/>
      <c r="AW2323" s="11"/>
      <c r="BB2323" s="9"/>
      <c r="BC2323" s="11"/>
      <c r="BF2323" s="9"/>
      <c r="CF2323" s="12"/>
      <c r="CH2323" s="9"/>
    </row>
    <row r="2324" spans="6:86" x14ac:dyDescent="0.25">
      <c r="F2324" s="9"/>
      <c r="G2324" s="9"/>
      <c r="AA2324" s="10"/>
      <c r="AV2324" s="11"/>
      <c r="AW2324" s="11"/>
      <c r="BB2324" s="9"/>
      <c r="BC2324" s="11"/>
      <c r="BF2324" s="9"/>
      <c r="CF2324" s="12"/>
      <c r="CH2324" s="9"/>
    </row>
    <row r="2325" spans="6:86" x14ac:dyDescent="0.25">
      <c r="F2325" s="9"/>
      <c r="G2325" s="9"/>
      <c r="AA2325" s="10"/>
      <c r="AV2325" s="11"/>
      <c r="AW2325" s="11"/>
      <c r="BB2325" s="9"/>
      <c r="BC2325" s="11"/>
      <c r="BF2325" s="9"/>
      <c r="CF2325" s="12"/>
      <c r="CH2325" s="9"/>
    </row>
    <row r="2326" spans="6:86" x14ac:dyDescent="0.25">
      <c r="F2326" s="9"/>
      <c r="G2326" s="9"/>
      <c r="AA2326" s="10"/>
      <c r="AV2326" s="11"/>
      <c r="AW2326" s="11"/>
      <c r="BB2326" s="9"/>
      <c r="BC2326" s="11"/>
      <c r="BF2326" s="9"/>
      <c r="CF2326" s="12"/>
      <c r="CH2326" s="9"/>
    </row>
    <row r="2327" spans="6:86" x14ac:dyDescent="0.25">
      <c r="F2327" s="9"/>
      <c r="G2327" s="9"/>
      <c r="AA2327" s="10"/>
      <c r="AV2327" s="11"/>
      <c r="AW2327" s="11"/>
      <c r="BB2327" s="9"/>
      <c r="BC2327" s="11"/>
      <c r="BF2327" s="9"/>
      <c r="CF2327" s="12"/>
      <c r="CH2327" s="9"/>
    </row>
    <row r="2328" spans="6:86" x14ac:dyDescent="0.25">
      <c r="F2328" s="9"/>
      <c r="G2328" s="9"/>
      <c r="AA2328" s="10"/>
      <c r="AV2328" s="11"/>
      <c r="AW2328" s="11"/>
      <c r="BB2328" s="9"/>
      <c r="BC2328" s="11"/>
      <c r="BF2328" s="9"/>
      <c r="CF2328" s="12"/>
      <c r="CH2328" s="9"/>
    </row>
    <row r="2329" spans="6:86" x14ac:dyDescent="0.25">
      <c r="F2329" s="9"/>
      <c r="G2329" s="9"/>
      <c r="AA2329" s="10"/>
      <c r="AV2329" s="11"/>
      <c r="AW2329" s="11"/>
      <c r="BB2329" s="9"/>
      <c r="BC2329" s="11"/>
      <c r="BF2329" s="9"/>
      <c r="CF2329" s="12"/>
      <c r="CH2329" s="9"/>
    </row>
    <row r="2330" spans="6:86" x14ac:dyDescent="0.25">
      <c r="F2330" s="9"/>
      <c r="G2330" s="9"/>
      <c r="AA2330" s="10"/>
      <c r="AV2330" s="11"/>
      <c r="AW2330" s="11"/>
      <c r="BB2330" s="9"/>
      <c r="BC2330" s="11"/>
      <c r="BF2330" s="9"/>
      <c r="CF2330" s="12"/>
      <c r="CH2330" s="9"/>
    </row>
    <row r="2331" spans="6:86" x14ac:dyDescent="0.25">
      <c r="F2331" s="9"/>
      <c r="G2331" s="9"/>
      <c r="AA2331" s="10"/>
      <c r="AV2331" s="11"/>
      <c r="AW2331" s="11"/>
      <c r="BB2331" s="9"/>
      <c r="BC2331" s="11"/>
      <c r="BF2331" s="9"/>
      <c r="CF2331" s="12"/>
      <c r="CH2331" s="9"/>
    </row>
    <row r="2332" spans="6:86" x14ac:dyDescent="0.25">
      <c r="F2332" s="9"/>
      <c r="G2332" s="9"/>
      <c r="AA2332" s="10"/>
      <c r="AV2332" s="11"/>
      <c r="AW2332" s="11"/>
      <c r="BB2332" s="9"/>
      <c r="BC2332" s="11"/>
      <c r="BF2332" s="9"/>
      <c r="CF2332" s="12"/>
      <c r="CH2332" s="9"/>
    </row>
    <row r="2333" spans="6:86" x14ac:dyDescent="0.25">
      <c r="F2333" s="9"/>
      <c r="G2333" s="9"/>
      <c r="AA2333" s="10"/>
      <c r="AV2333" s="11"/>
      <c r="AW2333" s="11"/>
      <c r="BB2333" s="9"/>
      <c r="BC2333" s="11"/>
      <c r="BF2333" s="9"/>
      <c r="CF2333" s="12"/>
      <c r="CH2333" s="9"/>
    </row>
    <row r="2334" spans="6:86" x14ac:dyDescent="0.25">
      <c r="F2334" s="9"/>
      <c r="G2334" s="9"/>
      <c r="AA2334" s="10"/>
      <c r="AV2334" s="11"/>
      <c r="AW2334" s="11"/>
      <c r="BB2334" s="9"/>
      <c r="BC2334" s="11"/>
      <c r="BF2334" s="9"/>
      <c r="CF2334" s="12"/>
      <c r="CH2334" s="9"/>
    </row>
    <row r="2335" spans="6:86" x14ac:dyDescent="0.25">
      <c r="F2335" s="9"/>
      <c r="G2335" s="9"/>
      <c r="AA2335" s="10"/>
      <c r="AV2335" s="11"/>
      <c r="AW2335" s="11"/>
      <c r="BB2335" s="9"/>
      <c r="BC2335" s="11"/>
      <c r="BF2335" s="9"/>
      <c r="CF2335" s="12"/>
      <c r="CH2335" s="9"/>
    </row>
    <row r="2336" spans="6:86" x14ac:dyDescent="0.25">
      <c r="F2336" s="9"/>
      <c r="G2336" s="9"/>
      <c r="AA2336" s="10"/>
      <c r="AV2336" s="11"/>
      <c r="AW2336" s="11"/>
      <c r="BB2336" s="9"/>
      <c r="BC2336" s="11"/>
      <c r="BF2336" s="9"/>
      <c r="CF2336" s="12"/>
      <c r="CH2336" s="9"/>
    </row>
    <row r="2337" spans="6:86" x14ac:dyDescent="0.25">
      <c r="F2337" s="9"/>
      <c r="G2337" s="9"/>
      <c r="AA2337" s="10"/>
      <c r="AV2337" s="11"/>
      <c r="AW2337" s="11"/>
      <c r="BB2337" s="9"/>
      <c r="BC2337" s="11"/>
      <c r="BF2337" s="9"/>
      <c r="CF2337" s="12"/>
      <c r="CH2337" s="9"/>
    </row>
    <row r="2338" spans="6:86" x14ac:dyDescent="0.25">
      <c r="F2338" s="9"/>
      <c r="G2338" s="9"/>
      <c r="AA2338" s="10"/>
      <c r="AV2338" s="11"/>
      <c r="AW2338" s="11"/>
      <c r="BB2338" s="9"/>
      <c r="BC2338" s="11"/>
      <c r="BF2338" s="9"/>
      <c r="CF2338" s="12"/>
      <c r="CH2338" s="9"/>
    </row>
    <row r="2339" spans="6:86" x14ac:dyDescent="0.25">
      <c r="F2339" s="9"/>
      <c r="G2339" s="9"/>
      <c r="AA2339" s="10"/>
      <c r="AV2339" s="11"/>
      <c r="AW2339" s="11"/>
      <c r="BB2339" s="9"/>
      <c r="BC2339" s="11"/>
      <c r="BF2339" s="9"/>
      <c r="CH2339" s="9"/>
    </row>
    <row r="2340" spans="6:86" x14ac:dyDescent="0.25">
      <c r="F2340" s="9"/>
      <c r="G2340" s="9"/>
      <c r="AA2340" s="10"/>
      <c r="AV2340" s="11"/>
      <c r="AW2340" s="11"/>
      <c r="BB2340" s="9"/>
      <c r="BC2340" s="11"/>
      <c r="BF2340" s="9"/>
      <c r="CF2340" s="12"/>
      <c r="CH2340" s="9"/>
    </row>
    <row r="2341" spans="6:86" x14ac:dyDescent="0.25">
      <c r="F2341" s="9"/>
      <c r="G2341" s="9"/>
      <c r="AA2341" s="10"/>
      <c r="AV2341" s="11"/>
      <c r="AW2341" s="11"/>
      <c r="BB2341" s="9"/>
      <c r="BC2341" s="11"/>
      <c r="BF2341" s="9"/>
      <c r="CF2341" s="12"/>
      <c r="CH2341" s="9"/>
    </row>
    <row r="2342" spans="6:86" x14ac:dyDescent="0.25">
      <c r="F2342" s="9"/>
      <c r="G2342" s="9"/>
      <c r="AA2342" s="10"/>
      <c r="AV2342" s="11"/>
      <c r="AW2342" s="11"/>
      <c r="BB2342" s="9"/>
      <c r="BC2342" s="11"/>
      <c r="BF2342" s="9"/>
      <c r="CF2342" s="12"/>
      <c r="CH2342" s="9"/>
    </row>
    <row r="2343" spans="6:86" x14ac:dyDescent="0.25">
      <c r="F2343" s="9"/>
      <c r="G2343" s="9"/>
      <c r="AA2343" s="10"/>
      <c r="AV2343" s="11"/>
      <c r="AW2343" s="11"/>
      <c r="BB2343" s="9"/>
      <c r="BC2343" s="11"/>
      <c r="BF2343" s="9"/>
      <c r="CF2343" s="12"/>
      <c r="CH2343" s="9"/>
    </row>
    <row r="2344" spans="6:86" x14ac:dyDescent="0.25">
      <c r="F2344" s="9"/>
      <c r="G2344" s="9"/>
      <c r="AA2344" s="10"/>
      <c r="AV2344" s="11"/>
      <c r="AW2344" s="11"/>
      <c r="BB2344" s="9"/>
      <c r="BC2344" s="11"/>
      <c r="BF2344" s="9"/>
      <c r="CF2344" s="12"/>
      <c r="CH2344" s="9"/>
    </row>
    <row r="2345" spans="6:86" x14ac:dyDescent="0.25">
      <c r="F2345" s="9"/>
      <c r="G2345" s="9"/>
      <c r="AA2345" s="10"/>
      <c r="AV2345" s="11"/>
      <c r="AW2345" s="11"/>
      <c r="BB2345" s="9"/>
      <c r="BC2345" s="11"/>
      <c r="BF2345" s="9"/>
      <c r="CF2345" s="12"/>
      <c r="CH2345" s="9"/>
    </row>
    <row r="2346" spans="6:86" x14ac:dyDescent="0.25">
      <c r="F2346" s="9"/>
      <c r="G2346" s="9"/>
      <c r="AA2346" s="10"/>
      <c r="AV2346" s="11"/>
      <c r="AW2346" s="11"/>
      <c r="BB2346" s="9"/>
      <c r="BC2346" s="11"/>
      <c r="BF2346" s="9"/>
      <c r="CF2346" s="12"/>
      <c r="CH2346" s="9"/>
    </row>
    <row r="2347" spans="6:86" x14ac:dyDescent="0.25">
      <c r="F2347" s="9"/>
      <c r="G2347" s="9"/>
      <c r="AA2347" s="10"/>
      <c r="AV2347" s="11"/>
      <c r="AW2347" s="11"/>
      <c r="BB2347" s="9"/>
      <c r="BC2347" s="11"/>
      <c r="BF2347" s="9"/>
      <c r="CF2347" s="12"/>
      <c r="CH2347" s="9"/>
    </row>
    <row r="2348" spans="6:86" x14ac:dyDescent="0.25">
      <c r="F2348" s="9"/>
      <c r="G2348" s="9"/>
      <c r="AA2348" s="10"/>
      <c r="AV2348" s="11"/>
      <c r="AW2348" s="11"/>
      <c r="BB2348" s="9"/>
      <c r="BC2348" s="11"/>
      <c r="BF2348" s="9"/>
      <c r="CF2348" s="12"/>
      <c r="CH2348" s="9"/>
    </row>
    <row r="2349" spans="6:86" x14ac:dyDescent="0.25">
      <c r="F2349" s="9"/>
      <c r="G2349" s="9"/>
      <c r="AA2349" s="10"/>
      <c r="AV2349" s="11"/>
      <c r="AW2349" s="11"/>
      <c r="BB2349" s="9"/>
      <c r="BC2349" s="11"/>
      <c r="BF2349" s="9"/>
      <c r="CF2349" s="12"/>
      <c r="CH2349" s="9"/>
    </row>
    <row r="2350" spans="6:86" x14ac:dyDescent="0.25">
      <c r="F2350" s="9"/>
      <c r="G2350" s="9"/>
      <c r="AA2350" s="10"/>
      <c r="AV2350" s="11"/>
      <c r="AW2350" s="11"/>
      <c r="BB2350" s="9"/>
      <c r="BC2350" s="11"/>
      <c r="BF2350" s="9"/>
      <c r="CF2350" s="12"/>
      <c r="CH2350" s="9"/>
    </row>
    <row r="2351" spans="6:86" x14ac:dyDescent="0.25">
      <c r="F2351" s="9"/>
      <c r="G2351" s="9"/>
      <c r="AA2351" s="10"/>
      <c r="AV2351" s="11"/>
      <c r="AW2351" s="11"/>
      <c r="BB2351" s="9"/>
      <c r="BC2351" s="11"/>
      <c r="BF2351" s="9"/>
      <c r="CF2351" s="12"/>
      <c r="CH2351" s="9"/>
    </row>
    <row r="2352" spans="6:86" x14ac:dyDescent="0.25">
      <c r="F2352" s="9"/>
      <c r="G2352" s="9"/>
      <c r="AA2352" s="10"/>
      <c r="AV2352" s="11"/>
      <c r="AW2352" s="11"/>
      <c r="BB2352" s="9"/>
      <c r="BC2352" s="11"/>
      <c r="BF2352" s="9"/>
      <c r="CH2352" s="9"/>
    </row>
    <row r="2353" spans="6:86" x14ac:dyDescent="0.25">
      <c r="F2353" s="9"/>
      <c r="G2353" s="9"/>
      <c r="AA2353" s="10"/>
      <c r="AV2353" s="11"/>
      <c r="AW2353" s="11"/>
      <c r="BB2353" s="9"/>
      <c r="BC2353" s="11"/>
      <c r="BF2353" s="9"/>
      <c r="CH2353" s="9"/>
    </row>
    <row r="2354" spans="6:86" x14ac:dyDescent="0.25">
      <c r="F2354" s="9"/>
      <c r="G2354" s="9"/>
      <c r="AA2354" s="10"/>
      <c r="AV2354" s="11"/>
      <c r="AW2354" s="11"/>
      <c r="BB2354" s="9"/>
      <c r="BC2354" s="11"/>
      <c r="BF2354" s="9"/>
      <c r="CH2354" s="9"/>
    </row>
    <row r="2355" spans="6:86" x14ac:dyDescent="0.25">
      <c r="F2355" s="9"/>
      <c r="G2355" s="9"/>
      <c r="AA2355" s="10"/>
      <c r="AV2355" s="11"/>
      <c r="AW2355" s="11"/>
      <c r="BB2355" s="9"/>
      <c r="BC2355" s="11"/>
      <c r="BF2355" s="9"/>
      <c r="CF2355" s="12"/>
      <c r="CH2355" s="9"/>
    </row>
    <row r="2356" spans="6:86" x14ac:dyDescent="0.25">
      <c r="F2356" s="9"/>
      <c r="G2356" s="9"/>
      <c r="AA2356" s="10"/>
      <c r="AV2356" s="11"/>
      <c r="AW2356" s="11"/>
      <c r="BB2356" s="9"/>
      <c r="BC2356" s="11"/>
      <c r="BF2356" s="9"/>
      <c r="CF2356" s="12"/>
      <c r="CH2356" s="9"/>
    </row>
    <row r="2357" spans="6:86" x14ac:dyDescent="0.25">
      <c r="F2357" s="9"/>
      <c r="G2357" s="9"/>
      <c r="AA2357" s="10"/>
      <c r="AV2357" s="11"/>
      <c r="AW2357" s="11"/>
      <c r="BB2357" s="9"/>
      <c r="BC2357" s="11"/>
      <c r="BF2357" s="9"/>
      <c r="CF2357" s="12"/>
      <c r="CH2357" s="9"/>
    </row>
    <row r="2358" spans="6:86" x14ac:dyDescent="0.25">
      <c r="F2358" s="9"/>
      <c r="G2358" s="9"/>
      <c r="AA2358" s="10"/>
      <c r="AV2358" s="11"/>
      <c r="AW2358" s="11"/>
      <c r="BB2358" s="9"/>
      <c r="BC2358" s="11"/>
      <c r="BF2358" s="9"/>
      <c r="CF2358" s="12"/>
      <c r="CH2358" s="9"/>
    </row>
    <row r="2359" spans="6:86" x14ac:dyDescent="0.25">
      <c r="F2359" s="9"/>
      <c r="G2359" s="9"/>
      <c r="AA2359" s="10"/>
      <c r="AV2359" s="11"/>
      <c r="AW2359" s="11"/>
      <c r="BB2359" s="9"/>
      <c r="BC2359" s="11"/>
      <c r="BF2359" s="9"/>
      <c r="CF2359" s="12"/>
      <c r="CH2359" s="9"/>
    </row>
    <row r="2360" spans="6:86" x14ac:dyDescent="0.25">
      <c r="F2360" s="9"/>
      <c r="G2360" s="9"/>
      <c r="AA2360" s="10"/>
      <c r="AV2360" s="11"/>
      <c r="AW2360" s="11"/>
      <c r="BB2360" s="9"/>
      <c r="BC2360" s="11"/>
      <c r="BF2360" s="9"/>
      <c r="CF2360" s="12"/>
      <c r="CH2360" s="9"/>
    </row>
    <row r="2361" spans="6:86" x14ac:dyDescent="0.25">
      <c r="F2361" s="9"/>
      <c r="G2361" s="9"/>
      <c r="AA2361" s="10"/>
      <c r="AV2361" s="11"/>
      <c r="AW2361" s="11"/>
      <c r="BB2361" s="9"/>
      <c r="BC2361" s="11"/>
      <c r="BF2361" s="9"/>
      <c r="CF2361" s="12"/>
      <c r="CH2361" s="9"/>
    </row>
    <row r="2362" spans="6:86" x14ac:dyDescent="0.25">
      <c r="F2362" s="9"/>
      <c r="G2362" s="9"/>
      <c r="AA2362" s="10"/>
      <c r="AV2362" s="11"/>
      <c r="AW2362" s="11"/>
      <c r="BB2362" s="9"/>
      <c r="BC2362" s="11"/>
      <c r="BF2362" s="9"/>
      <c r="CF2362" s="12"/>
      <c r="CH2362" s="9"/>
    </row>
    <row r="2363" spans="6:86" x14ac:dyDescent="0.25">
      <c r="F2363" s="9"/>
      <c r="G2363" s="9"/>
      <c r="AA2363" s="10"/>
      <c r="AV2363" s="11"/>
      <c r="AW2363" s="11"/>
      <c r="BB2363" s="9"/>
      <c r="BC2363" s="11"/>
      <c r="BF2363" s="9"/>
      <c r="CF2363" s="12"/>
      <c r="CH2363" s="9"/>
    </row>
    <row r="2364" spans="6:86" x14ac:dyDescent="0.25">
      <c r="F2364" s="9"/>
      <c r="G2364" s="9"/>
      <c r="AA2364" s="10"/>
      <c r="AV2364" s="11"/>
      <c r="AW2364" s="11"/>
      <c r="BB2364" s="9"/>
      <c r="BC2364" s="11"/>
      <c r="BF2364" s="9"/>
      <c r="CF2364" s="12"/>
      <c r="CH2364" s="9"/>
    </row>
    <row r="2365" spans="6:86" x14ac:dyDescent="0.25">
      <c r="F2365" s="9"/>
      <c r="G2365" s="9"/>
      <c r="AA2365" s="10"/>
      <c r="AV2365" s="11"/>
      <c r="AW2365" s="11"/>
      <c r="BB2365" s="9"/>
      <c r="BC2365" s="11"/>
      <c r="BF2365" s="9"/>
      <c r="CF2365" s="12"/>
      <c r="CH2365" s="9"/>
    </row>
    <row r="2366" spans="6:86" x14ac:dyDescent="0.25">
      <c r="F2366" s="9"/>
      <c r="G2366" s="9"/>
      <c r="AA2366" s="10"/>
      <c r="AV2366" s="11"/>
      <c r="AW2366" s="11"/>
      <c r="BB2366" s="9"/>
      <c r="BC2366" s="11"/>
      <c r="BF2366" s="9"/>
      <c r="CF2366" s="12"/>
      <c r="CH2366" s="9"/>
    </row>
    <row r="2367" spans="6:86" x14ac:dyDescent="0.25">
      <c r="F2367" s="9"/>
      <c r="G2367" s="9"/>
      <c r="AA2367" s="10"/>
      <c r="AV2367" s="11"/>
      <c r="AW2367" s="11"/>
      <c r="BB2367" s="9"/>
      <c r="BC2367" s="11"/>
      <c r="BF2367" s="9"/>
      <c r="CF2367" s="12"/>
      <c r="CH2367" s="9"/>
    </row>
    <row r="2368" spans="6:86" x14ac:dyDescent="0.25">
      <c r="F2368" s="9"/>
      <c r="G2368" s="9"/>
      <c r="AA2368" s="10"/>
      <c r="AV2368" s="11"/>
      <c r="AW2368" s="11"/>
      <c r="BB2368" s="9"/>
      <c r="BC2368" s="11"/>
      <c r="BF2368" s="9"/>
      <c r="CH2368" s="9"/>
    </row>
    <row r="2369" spans="6:92" x14ac:dyDescent="0.25">
      <c r="F2369" s="9"/>
      <c r="G2369" s="9"/>
      <c r="AA2369" s="10"/>
      <c r="AV2369" s="11"/>
      <c r="AW2369" s="11"/>
      <c r="BB2369" s="9"/>
      <c r="BC2369" s="11"/>
      <c r="BF2369" s="9"/>
      <c r="CH2369" s="9"/>
    </row>
    <row r="2370" spans="6:92" x14ac:dyDescent="0.25">
      <c r="F2370" s="9"/>
      <c r="G2370" s="9"/>
      <c r="AA2370" s="10"/>
      <c r="AV2370" s="11"/>
      <c r="AW2370" s="11"/>
      <c r="BB2370" s="9"/>
      <c r="BC2370" s="11"/>
      <c r="BF2370" s="9"/>
      <c r="CF2370" s="12"/>
      <c r="CH2370" s="9"/>
    </row>
    <row r="2371" spans="6:92" x14ac:dyDescent="0.25">
      <c r="F2371" s="9"/>
      <c r="G2371" s="9"/>
      <c r="AA2371" s="10"/>
      <c r="AV2371" s="11"/>
      <c r="AW2371" s="11"/>
      <c r="BB2371" s="9"/>
      <c r="BC2371" s="11"/>
      <c r="BF2371" s="9"/>
      <c r="CF2371" s="12"/>
      <c r="CH2371" s="9"/>
    </row>
    <row r="2372" spans="6:92" x14ac:dyDescent="0.25">
      <c r="F2372" s="9"/>
      <c r="G2372" s="9"/>
      <c r="AA2372" s="10"/>
      <c r="AV2372" s="11"/>
      <c r="AW2372" s="11"/>
      <c r="BB2372" s="9"/>
      <c r="BC2372" s="11"/>
      <c r="BF2372" s="9"/>
      <c r="CF2372" s="12"/>
      <c r="CH2372" s="9"/>
    </row>
    <row r="2373" spans="6:92" x14ac:dyDescent="0.25">
      <c r="F2373" s="9"/>
      <c r="G2373" s="9"/>
      <c r="AA2373" s="10"/>
      <c r="AV2373" s="11"/>
      <c r="AW2373" s="11"/>
      <c r="BB2373" s="9"/>
      <c r="BC2373" s="11"/>
      <c r="BF2373" s="9"/>
      <c r="CF2373" s="12"/>
      <c r="CH2373" s="9"/>
    </row>
    <row r="2374" spans="6:92" x14ac:dyDescent="0.25">
      <c r="F2374" s="9"/>
      <c r="G2374" s="9"/>
      <c r="AA2374" s="10"/>
      <c r="AV2374" s="11"/>
      <c r="AW2374" s="11"/>
      <c r="BB2374" s="9"/>
      <c r="BC2374" s="11"/>
      <c r="BF2374" s="9"/>
      <c r="CF2374" s="12"/>
      <c r="CH2374" s="9"/>
    </row>
    <row r="2375" spans="6:92" x14ac:dyDescent="0.25">
      <c r="F2375" s="9"/>
      <c r="G2375" s="9"/>
      <c r="AA2375" s="10"/>
      <c r="AV2375" s="11"/>
      <c r="AW2375" s="11"/>
      <c r="BB2375" s="9"/>
      <c r="BC2375" s="11"/>
      <c r="BF2375" s="9"/>
      <c r="CF2375" s="12"/>
      <c r="CH2375" s="9"/>
    </row>
    <row r="2376" spans="6:92" x14ac:dyDescent="0.25">
      <c r="F2376" s="9"/>
      <c r="G2376" s="9"/>
      <c r="AA2376" s="10"/>
      <c r="AV2376" s="11"/>
      <c r="AW2376" s="11"/>
      <c r="BB2376" s="9"/>
      <c r="BC2376" s="11"/>
      <c r="BF2376" s="9"/>
      <c r="CF2376" s="12"/>
      <c r="CH2376" s="9"/>
    </row>
    <row r="2377" spans="6:92" x14ac:dyDescent="0.25">
      <c r="F2377" s="9"/>
      <c r="G2377" s="9"/>
      <c r="AA2377" s="10"/>
      <c r="AV2377" s="11"/>
      <c r="AW2377" s="11"/>
      <c r="BB2377" s="9"/>
      <c r="BC2377" s="11"/>
      <c r="BF2377" s="9"/>
      <c r="CF2377" s="12"/>
      <c r="CH2377" s="9"/>
    </row>
    <row r="2378" spans="6:92" x14ac:dyDescent="0.25">
      <c r="F2378" s="9"/>
      <c r="G2378" s="9"/>
      <c r="AA2378" s="10"/>
      <c r="AV2378" s="11"/>
      <c r="AW2378" s="11"/>
      <c r="BB2378" s="9"/>
      <c r="BC2378" s="11"/>
      <c r="BF2378" s="9"/>
      <c r="CF2378" s="12"/>
      <c r="CH2378" s="9"/>
    </row>
    <row r="2379" spans="6:92" x14ac:dyDescent="0.25">
      <c r="F2379" s="9"/>
      <c r="G2379" s="9"/>
      <c r="AA2379" s="10"/>
      <c r="AV2379" s="11"/>
      <c r="AW2379" s="11"/>
      <c r="BB2379" s="9"/>
      <c r="BC2379" s="11"/>
      <c r="BF2379" s="9"/>
      <c r="CF2379" s="12"/>
      <c r="CH2379" s="9"/>
    </row>
    <row r="2380" spans="6:92" x14ac:dyDescent="0.25">
      <c r="F2380" s="9"/>
      <c r="G2380" s="9"/>
      <c r="AA2380" s="10"/>
      <c r="AV2380" s="11"/>
      <c r="AW2380" s="11"/>
      <c r="BB2380" s="9"/>
      <c r="BC2380" s="11"/>
      <c r="BF2380" s="9"/>
      <c r="CF2380" s="12"/>
      <c r="CH2380" s="9"/>
    </row>
    <row r="2381" spans="6:92" x14ac:dyDescent="0.25">
      <c r="F2381" s="9"/>
      <c r="G2381" s="9"/>
      <c r="AA2381" s="10"/>
      <c r="AV2381" s="11"/>
      <c r="AW2381" s="11"/>
      <c r="BB2381" s="9"/>
      <c r="BC2381" s="11"/>
      <c r="BF2381" s="9"/>
      <c r="CF2381" s="12"/>
      <c r="CH2381" s="9"/>
    </row>
    <row r="2382" spans="6:92" x14ac:dyDescent="0.25">
      <c r="F2382" s="9"/>
      <c r="G2382" s="9"/>
      <c r="U2382" s="12"/>
      <c r="Z2382" s="12"/>
      <c r="AA2382" s="10"/>
      <c r="AV2382" s="11"/>
      <c r="AW2382" s="11"/>
      <c r="BB2382" s="9"/>
      <c r="BC2382" s="11"/>
      <c r="BF2382" s="9"/>
      <c r="CF2382" s="12"/>
      <c r="CH2382" s="9"/>
      <c r="CN2382" s="12"/>
    </row>
    <row r="2383" spans="6:92" x14ac:dyDescent="0.25">
      <c r="F2383" s="9"/>
      <c r="G2383" s="9"/>
      <c r="AA2383" s="10"/>
      <c r="AV2383" s="11"/>
      <c r="AW2383" s="11"/>
      <c r="BB2383" s="9"/>
      <c r="BC2383" s="11"/>
      <c r="BF2383" s="9"/>
      <c r="CF2383" s="12"/>
      <c r="CH2383" s="9"/>
    </row>
    <row r="2384" spans="6:92" x14ac:dyDescent="0.25">
      <c r="F2384" s="9"/>
      <c r="G2384" s="9"/>
      <c r="AA2384" s="10"/>
      <c r="AV2384" s="11"/>
      <c r="AW2384" s="11"/>
      <c r="BB2384" s="9"/>
      <c r="BC2384" s="11"/>
      <c r="BF2384" s="9"/>
      <c r="CF2384" s="12"/>
      <c r="CH2384" s="9"/>
    </row>
    <row r="2385" spans="6:92" x14ac:dyDescent="0.25">
      <c r="F2385" s="9"/>
      <c r="G2385" s="9"/>
      <c r="U2385" s="12"/>
      <c r="Y2385" s="12"/>
      <c r="Z2385" s="12"/>
      <c r="AA2385" s="10"/>
      <c r="AV2385" s="11"/>
      <c r="AW2385" s="11"/>
      <c r="BB2385" s="9"/>
      <c r="BC2385" s="11"/>
      <c r="BF2385" s="9"/>
      <c r="CH2385" s="9"/>
      <c r="CN2385" s="12"/>
    </row>
    <row r="2386" spans="6:92" x14ac:dyDescent="0.25">
      <c r="F2386" s="9"/>
      <c r="G2386" s="9"/>
      <c r="U2386" s="12"/>
      <c r="Z2386" s="12"/>
      <c r="AA2386" s="10"/>
      <c r="AV2386" s="11"/>
      <c r="AW2386" s="11"/>
      <c r="BB2386" s="9"/>
      <c r="BC2386" s="11"/>
      <c r="BF2386" s="9"/>
      <c r="CF2386" s="12"/>
      <c r="CH2386" s="9"/>
      <c r="CN2386" s="12"/>
    </row>
    <row r="2387" spans="6:92" x14ac:dyDescent="0.25">
      <c r="F2387" s="9"/>
      <c r="G2387" s="9"/>
      <c r="AA2387" s="10"/>
      <c r="AV2387" s="11"/>
      <c r="AW2387" s="11"/>
      <c r="BB2387" s="9"/>
      <c r="BC2387" s="11"/>
      <c r="BF2387" s="9"/>
      <c r="CF2387" s="12"/>
      <c r="CH2387" s="9"/>
    </row>
    <row r="2388" spans="6:92" x14ac:dyDescent="0.25">
      <c r="F2388" s="9"/>
      <c r="G2388" s="9"/>
      <c r="AA2388" s="10"/>
      <c r="AV2388" s="11"/>
      <c r="AW2388" s="11"/>
      <c r="BB2388" s="9"/>
      <c r="BC2388" s="11"/>
      <c r="BF2388" s="9"/>
      <c r="CF2388" s="12"/>
      <c r="CH2388" s="9"/>
    </row>
    <row r="2389" spans="6:92" x14ac:dyDescent="0.25">
      <c r="F2389" s="9"/>
      <c r="G2389" s="9"/>
      <c r="AA2389" s="10"/>
      <c r="AV2389" s="11"/>
      <c r="AW2389" s="11"/>
      <c r="BB2389" s="9"/>
      <c r="BC2389" s="11"/>
      <c r="BF2389" s="9"/>
      <c r="CF2389" s="12"/>
      <c r="CH2389" s="9"/>
    </row>
    <row r="2390" spans="6:92" x14ac:dyDescent="0.25">
      <c r="F2390" s="9"/>
      <c r="G2390" s="9"/>
      <c r="AA2390" s="10"/>
      <c r="AV2390" s="11"/>
      <c r="AW2390" s="11"/>
      <c r="BB2390" s="9"/>
      <c r="BC2390" s="11"/>
      <c r="BF2390" s="9"/>
      <c r="CF2390" s="12"/>
      <c r="CH2390" s="9"/>
    </row>
    <row r="2391" spans="6:92" x14ac:dyDescent="0.25">
      <c r="F2391" s="9"/>
      <c r="G2391" s="9"/>
      <c r="AA2391" s="10"/>
      <c r="AV2391" s="11"/>
      <c r="AW2391" s="11"/>
      <c r="BB2391" s="9"/>
      <c r="BC2391" s="11"/>
      <c r="BF2391" s="9"/>
      <c r="CF2391" s="12"/>
      <c r="CH2391" s="9"/>
    </row>
    <row r="2392" spans="6:92" x14ac:dyDescent="0.25">
      <c r="F2392" s="9"/>
      <c r="G2392" s="9"/>
      <c r="AA2392" s="10"/>
      <c r="AV2392" s="11"/>
      <c r="AW2392" s="11"/>
      <c r="BB2392" s="9"/>
      <c r="BC2392" s="11"/>
      <c r="BF2392" s="9"/>
      <c r="CF2392" s="12"/>
      <c r="CH2392" s="9"/>
    </row>
    <row r="2393" spans="6:92" x14ac:dyDescent="0.25">
      <c r="F2393" s="9"/>
      <c r="G2393" s="9"/>
      <c r="AA2393" s="10"/>
      <c r="AV2393" s="11"/>
      <c r="AW2393" s="11"/>
      <c r="BB2393" s="9"/>
      <c r="BC2393" s="11"/>
      <c r="BF2393" s="9"/>
      <c r="CF2393" s="12"/>
      <c r="CH2393" s="9"/>
    </row>
    <row r="2394" spans="6:92" x14ac:dyDescent="0.25">
      <c r="F2394" s="9"/>
      <c r="G2394" s="9"/>
      <c r="U2394" s="12"/>
      <c r="AA2394" s="10"/>
      <c r="AV2394" s="11"/>
      <c r="AW2394" s="11"/>
      <c r="BB2394" s="9"/>
      <c r="BC2394" s="11"/>
      <c r="BF2394" s="9"/>
      <c r="CH2394" s="9"/>
      <c r="CN2394" s="12"/>
    </row>
    <row r="2395" spans="6:92" x14ac:dyDescent="0.25">
      <c r="F2395" s="9"/>
      <c r="G2395" s="9"/>
      <c r="AA2395" s="10"/>
      <c r="AV2395" s="11"/>
      <c r="AW2395" s="11"/>
      <c r="BB2395" s="9"/>
      <c r="BC2395" s="11"/>
      <c r="BF2395" s="9"/>
      <c r="CF2395" s="12"/>
      <c r="CH2395" s="9"/>
    </row>
    <row r="2396" spans="6:92" x14ac:dyDescent="0.25">
      <c r="F2396" s="9"/>
      <c r="G2396" s="9"/>
      <c r="AA2396" s="10"/>
      <c r="AV2396" s="11"/>
      <c r="AW2396" s="11"/>
      <c r="BB2396" s="9"/>
      <c r="BC2396" s="11"/>
      <c r="BF2396" s="9"/>
      <c r="CF2396" s="12"/>
      <c r="CH2396" s="9"/>
    </row>
    <row r="2397" spans="6:92" x14ac:dyDescent="0.25">
      <c r="F2397" s="9"/>
      <c r="G2397" s="9"/>
      <c r="AA2397" s="10"/>
      <c r="AV2397" s="11"/>
      <c r="AW2397" s="11"/>
      <c r="BB2397" s="9"/>
      <c r="BC2397" s="11"/>
      <c r="BF2397" s="9"/>
      <c r="CH2397" s="9"/>
    </row>
    <row r="2398" spans="6:92" x14ac:dyDescent="0.25">
      <c r="F2398" s="9"/>
      <c r="G2398" s="9"/>
      <c r="AA2398" s="10"/>
      <c r="AV2398" s="11"/>
      <c r="AW2398" s="11"/>
      <c r="BB2398" s="9"/>
      <c r="BC2398" s="11"/>
      <c r="BF2398" s="9"/>
      <c r="CF2398" s="12"/>
      <c r="CH2398" s="9"/>
    </row>
    <row r="2399" spans="6:92" x14ac:dyDescent="0.25">
      <c r="F2399" s="9"/>
      <c r="G2399" s="9"/>
      <c r="AA2399" s="10"/>
      <c r="AV2399" s="11"/>
      <c r="AW2399" s="11"/>
      <c r="BB2399" s="9"/>
      <c r="BC2399" s="11"/>
      <c r="BF2399" s="9"/>
      <c r="CF2399" s="12"/>
      <c r="CH2399" s="9"/>
    </row>
    <row r="2400" spans="6:92" x14ac:dyDescent="0.25">
      <c r="F2400" s="9"/>
      <c r="G2400" s="9"/>
      <c r="AA2400" s="10"/>
      <c r="AV2400" s="11"/>
      <c r="AW2400" s="11"/>
      <c r="BB2400" s="9"/>
      <c r="BC2400" s="11"/>
      <c r="BF2400" s="9"/>
      <c r="CF2400" s="12"/>
      <c r="CH2400" s="9"/>
    </row>
    <row r="2401" spans="6:86" x14ac:dyDescent="0.25">
      <c r="F2401" s="9"/>
      <c r="G2401" s="9"/>
      <c r="AA2401" s="10"/>
      <c r="AV2401" s="11"/>
      <c r="AW2401" s="11"/>
      <c r="BB2401" s="9"/>
      <c r="BC2401" s="11"/>
      <c r="BF2401" s="9"/>
      <c r="CF2401" s="12"/>
      <c r="CH2401" s="9"/>
    </row>
    <row r="2402" spans="6:86" x14ac:dyDescent="0.25">
      <c r="F2402" s="9"/>
      <c r="G2402" s="9"/>
      <c r="AA2402" s="10"/>
      <c r="AV2402" s="11"/>
      <c r="AW2402" s="11"/>
      <c r="BB2402" s="9"/>
      <c r="BC2402" s="11"/>
      <c r="BF2402" s="9"/>
      <c r="CF2402" s="12"/>
      <c r="CH2402" s="9"/>
    </row>
    <row r="2403" spans="6:86" x14ac:dyDescent="0.25">
      <c r="F2403" s="9"/>
      <c r="G2403" s="9"/>
      <c r="AA2403" s="10"/>
      <c r="AV2403" s="11"/>
      <c r="AW2403" s="11"/>
      <c r="BB2403" s="9"/>
      <c r="BC2403" s="11"/>
      <c r="BF2403" s="9"/>
      <c r="CF2403" s="12"/>
      <c r="CH2403" s="9"/>
    </row>
    <row r="2404" spans="6:86" x14ac:dyDescent="0.25">
      <c r="F2404" s="9"/>
      <c r="G2404" s="9"/>
      <c r="AA2404" s="10"/>
      <c r="AV2404" s="11"/>
      <c r="AW2404" s="11"/>
      <c r="BB2404" s="9"/>
      <c r="BC2404" s="11"/>
      <c r="BF2404" s="9"/>
      <c r="CF2404" s="12"/>
      <c r="CH2404" s="9"/>
    </row>
    <row r="2405" spans="6:86" x14ac:dyDescent="0.25">
      <c r="F2405" s="9"/>
      <c r="G2405" s="9"/>
      <c r="AA2405" s="10"/>
      <c r="AV2405" s="11"/>
      <c r="AW2405" s="11"/>
      <c r="BB2405" s="9"/>
      <c r="BC2405" s="11"/>
      <c r="BF2405" s="9"/>
      <c r="CF2405" s="12"/>
      <c r="CH2405" s="9"/>
    </row>
    <row r="2406" spans="6:86" x14ac:dyDescent="0.25">
      <c r="F2406" s="9"/>
      <c r="G2406" s="9"/>
      <c r="AA2406" s="10"/>
      <c r="AV2406" s="11"/>
      <c r="AW2406" s="11"/>
      <c r="BB2406" s="9"/>
      <c r="BC2406" s="11"/>
      <c r="BF2406" s="9"/>
      <c r="CF2406" s="12"/>
      <c r="CH2406" s="9"/>
    </row>
    <row r="2407" spans="6:86" x14ac:dyDescent="0.25">
      <c r="F2407" s="9"/>
      <c r="G2407" s="9"/>
      <c r="AA2407" s="10"/>
      <c r="AV2407" s="11"/>
      <c r="AW2407" s="11"/>
      <c r="BB2407" s="9"/>
      <c r="BC2407" s="11"/>
      <c r="BF2407" s="9"/>
      <c r="CF2407" s="12"/>
      <c r="CH2407" s="9"/>
    </row>
    <row r="2408" spans="6:86" x14ac:dyDescent="0.25">
      <c r="F2408" s="9"/>
      <c r="G2408" s="9"/>
      <c r="AA2408" s="10"/>
      <c r="AV2408" s="11"/>
      <c r="AW2408" s="11"/>
      <c r="BB2408" s="9"/>
      <c r="BC2408" s="11"/>
      <c r="BF2408" s="9"/>
      <c r="CF2408" s="12"/>
      <c r="CH2408" s="9"/>
    </row>
    <row r="2409" spans="6:86" x14ac:dyDescent="0.25">
      <c r="F2409" s="9"/>
      <c r="G2409" s="9"/>
      <c r="AA2409" s="10"/>
      <c r="AV2409" s="11"/>
      <c r="AW2409" s="11"/>
      <c r="BB2409" s="9"/>
      <c r="BC2409" s="11"/>
      <c r="BF2409" s="9"/>
      <c r="CF2409" s="12"/>
      <c r="CH2409" s="9"/>
    </row>
    <row r="2410" spans="6:86" x14ac:dyDescent="0.25">
      <c r="F2410" s="9"/>
      <c r="G2410" s="9"/>
      <c r="AA2410" s="10"/>
      <c r="AV2410" s="11"/>
      <c r="AW2410" s="11"/>
      <c r="BB2410" s="9"/>
      <c r="BC2410" s="11"/>
      <c r="BF2410" s="9"/>
      <c r="CF2410" s="12"/>
      <c r="CH2410" s="9"/>
    </row>
    <row r="2411" spans="6:86" x14ac:dyDescent="0.25">
      <c r="F2411" s="9"/>
      <c r="G2411" s="9"/>
      <c r="AA2411" s="10"/>
      <c r="AV2411" s="11"/>
      <c r="AW2411" s="11"/>
      <c r="BB2411" s="9"/>
      <c r="BC2411" s="11"/>
      <c r="BF2411" s="9"/>
      <c r="CF2411" s="12"/>
      <c r="CH2411" s="9"/>
    </row>
    <row r="2412" spans="6:86" x14ac:dyDescent="0.25">
      <c r="F2412" s="9"/>
      <c r="G2412" s="9"/>
      <c r="AA2412" s="10"/>
      <c r="AV2412" s="11"/>
      <c r="AW2412" s="11"/>
      <c r="BB2412" s="9"/>
      <c r="BC2412" s="11"/>
      <c r="BF2412" s="9"/>
      <c r="CF2412" s="12"/>
      <c r="CH2412" s="9"/>
    </row>
    <row r="2413" spans="6:86" x14ac:dyDescent="0.25">
      <c r="F2413" s="9"/>
      <c r="G2413" s="9"/>
      <c r="AA2413" s="10"/>
      <c r="AV2413" s="11"/>
      <c r="AW2413" s="11"/>
      <c r="BB2413" s="9"/>
      <c r="BC2413" s="11"/>
      <c r="BF2413" s="9"/>
      <c r="CF2413" s="12"/>
      <c r="CH2413" s="9"/>
    </row>
    <row r="2414" spans="6:86" x14ac:dyDescent="0.25">
      <c r="F2414" s="9"/>
      <c r="G2414" s="9"/>
      <c r="AA2414" s="10"/>
      <c r="AV2414" s="11"/>
      <c r="AW2414" s="11"/>
      <c r="BB2414" s="9"/>
      <c r="BC2414" s="11"/>
      <c r="BF2414" s="9"/>
      <c r="CF2414" s="12"/>
      <c r="CH2414" s="9"/>
    </row>
    <row r="2415" spans="6:86" x14ac:dyDescent="0.25">
      <c r="F2415" s="9"/>
      <c r="G2415" s="9"/>
      <c r="AA2415" s="10"/>
      <c r="AV2415" s="11"/>
      <c r="AW2415" s="11"/>
      <c r="BB2415" s="9"/>
      <c r="BC2415" s="11"/>
      <c r="BF2415" s="9"/>
      <c r="CF2415" s="12"/>
      <c r="CH2415" s="9"/>
    </row>
    <row r="2416" spans="6:86" x14ac:dyDescent="0.25">
      <c r="F2416" s="9"/>
      <c r="G2416" s="9"/>
      <c r="AA2416" s="10"/>
      <c r="AV2416" s="11"/>
      <c r="AW2416" s="11"/>
      <c r="BB2416" s="9"/>
      <c r="BC2416" s="11"/>
      <c r="BF2416" s="9"/>
      <c r="CF2416" s="12"/>
      <c r="CH2416" s="9"/>
    </row>
    <row r="2417" spans="6:92" x14ac:dyDescent="0.25">
      <c r="F2417" s="9"/>
      <c r="G2417" s="9"/>
      <c r="U2417" s="12"/>
      <c r="Z2417" s="12"/>
      <c r="AA2417" s="10"/>
      <c r="AV2417" s="11"/>
      <c r="AW2417" s="11"/>
      <c r="BB2417" s="9"/>
      <c r="BC2417" s="11"/>
      <c r="BF2417" s="9"/>
      <c r="CF2417" s="12"/>
      <c r="CH2417" s="9"/>
      <c r="CN2417" s="12"/>
    </row>
    <row r="2418" spans="6:92" x14ac:dyDescent="0.25">
      <c r="F2418" s="9"/>
      <c r="G2418" s="9"/>
      <c r="AA2418" s="10"/>
      <c r="AV2418" s="11"/>
      <c r="AW2418" s="11"/>
      <c r="BB2418" s="9"/>
      <c r="BC2418" s="11"/>
      <c r="BF2418" s="9"/>
      <c r="CF2418" s="12"/>
      <c r="CH2418" s="9"/>
    </row>
    <row r="2419" spans="6:92" x14ac:dyDescent="0.25">
      <c r="F2419" s="9"/>
      <c r="G2419" s="9"/>
      <c r="AA2419" s="10"/>
      <c r="AV2419" s="11"/>
      <c r="AW2419" s="11"/>
      <c r="BB2419" s="9"/>
      <c r="BC2419" s="11"/>
      <c r="BF2419" s="9"/>
      <c r="CF2419" s="12"/>
      <c r="CH2419" s="9"/>
    </row>
    <row r="2420" spans="6:92" x14ac:dyDescent="0.25">
      <c r="F2420" s="9"/>
      <c r="G2420" s="9"/>
      <c r="AA2420" s="10"/>
      <c r="AV2420" s="11"/>
      <c r="AW2420" s="11"/>
      <c r="BB2420" s="9"/>
      <c r="BC2420" s="11"/>
      <c r="BF2420" s="9"/>
      <c r="CF2420" s="12"/>
      <c r="CH2420" s="9"/>
    </row>
    <row r="2421" spans="6:92" x14ac:dyDescent="0.25">
      <c r="F2421" s="9"/>
      <c r="G2421" s="9"/>
      <c r="AA2421" s="10"/>
      <c r="AV2421" s="11"/>
      <c r="AW2421" s="11"/>
      <c r="BB2421" s="9"/>
      <c r="BC2421" s="11"/>
      <c r="BF2421" s="9"/>
      <c r="CF2421" s="12"/>
      <c r="CH2421" s="9"/>
    </row>
    <row r="2422" spans="6:92" x14ac:dyDescent="0.25">
      <c r="F2422" s="9"/>
      <c r="G2422" s="9"/>
      <c r="AA2422" s="10"/>
      <c r="AV2422" s="11"/>
      <c r="AW2422" s="11"/>
      <c r="BB2422" s="9"/>
      <c r="BC2422" s="11"/>
      <c r="BF2422" s="9"/>
      <c r="CF2422" s="12"/>
      <c r="CH2422" s="9"/>
    </row>
    <row r="2423" spans="6:92" x14ac:dyDescent="0.25">
      <c r="F2423" s="9"/>
      <c r="G2423" s="9"/>
      <c r="AA2423" s="10"/>
      <c r="AV2423" s="11"/>
      <c r="AW2423" s="11"/>
      <c r="BB2423" s="9"/>
      <c r="BC2423" s="11"/>
      <c r="BF2423" s="9"/>
      <c r="CF2423" s="12"/>
      <c r="CH2423" s="9"/>
    </row>
    <row r="2424" spans="6:92" x14ac:dyDescent="0.25">
      <c r="F2424" s="9"/>
      <c r="G2424" s="9"/>
      <c r="AA2424" s="10"/>
      <c r="AV2424" s="11"/>
      <c r="AW2424" s="11"/>
      <c r="BB2424" s="9"/>
      <c r="BC2424" s="11"/>
      <c r="BF2424" s="9"/>
      <c r="CF2424" s="12"/>
      <c r="CH2424" s="9"/>
    </row>
    <row r="2425" spans="6:92" x14ac:dyDescent="0.25">
      <c r="F2425" s="9"/>
      <c r="G2425" s="9"/>
      <c r="AA2425" s="10"/>
      <c r="AV2425" s="11"/>
      <c r="AW2425" s="11"/>
      <c r="BB2425" s="9"/>
      <c r="BC2425" s="11"/>
      <c r="BF2425" s="9"/>
      <c r="CF2425" s="12"/>
      <c r="CH2425" s="9"/>
    </row>
    <row r="2426" spans="6:92" x14ac:dyDescent="0.25">
      <c r="F2426" s="9"/>
      <c r="G2426" s="9"/>
      <c r="AA2426" s="10"/>
      <c r="AV2426" s="11"/>
      <c r="AW2426" s="11"/>
      <c r="BB2426" s="9"/>
      <c r="BC2426" s="11"/>
      <c r="BF2426" s="9"/>
      <c r="CF2426" s="12"/>
      <c r="CH2426" s="9"/>
    </row>
    <row r="2427" spans="6:92" x14ac:dyDescent="0.25">
      <c r="F2427" s="9"/>
      <c r="G2427" s="9"/>
      <c r="AA2427" s="10"/>
      <c r="AV2427" s="11"/>
      <c r="AW2427" s="11"/>
      <c r="BB2427" s="9"/>
      <c r="BC2427" s="11"/>
      <c r="BF2427" s="9"/>
      <c r="CF2427" s="12"/>
      <c r="CH2427" s="9"/>
    </row>
    <row r="2428" spans="6:92" x14ac:dyDescent="0.25">
      <c r="F2428" s="9"/>
      <c r="G2428" s="9"/>
      <c r="AA2428" s="10"/>
      <c r="AV2428" s="11"/>
      <c r="AW2428" s="11"/>
      <c r="BB2428" s="9"/>
      <c r="BC2428" s="11"/>
      <c r="BF2428" s="9"/>
      <c r="CF2428" s="12"/>
      <c r="CH2428" s="9"/>
    </row>
    <row r="2429" spans="6:92" x14ac:dyDescent="0.25">
      <c r="F2429" s="9"/>
      <c r="G2429" s="9"/>
      <c r="AA2429" s="10"/>
      <c r="AV2429" s="11"/>
      <c r="AW2429" s="11"/>
      <c r="BB2429" s="9"/>
      <c r="BC2429" s="11"/>
      <c r="BF2429" s="9"/>
      <c r="CF2429" s="12"/>
      <c r="CH2429" s="9"/>
    </row>
    <row r="2430" spans="6:92" x14ac:dyDescent="0.25">
      <c r="F2430" s="9"/>
      <c r="G2430" s="9"/>
      <c r="AA2430" s="10"/>
      <c r="AV2430" s="11"/>
      <c r="AW2430" s="11"/>
      <c r="BB2430" s="9"/>
      <c r="BC2430" s="11"/>
      <c r="BF2430" s="9"/>
      <c r="CF2430" s="12"/>
      <c r="CH2430" s="9"/>
    </row>
    <row r="2431" spans="6:92" x14ac:dyDescent="0.25">
      <c r="F2431" s="9"/>
      <c r="G2431" s="9"/>
      <c r="AA2431" s="10"/>
      <c r="AV2431" s="11"/>
      <c r="AW2431" s="11"/>
      <c r="BB2431" s="9"/>
      <c r="BC2431" s="11"/>
      <c r="BF2431" s="9"/>
      <c r="CF2431" s="12"/>
      <c r="CH2431" s="9"/>
    </row>
    <row r="2432" spans="6:92" x14ac:dyDescent="0.25">
      <c r="F2432" s="9"/>
      <c r="G2432" s="9"/>
      <c r="AA2432" s="10"/>
      <c r="AV2432" s="11"/>
      <c r="AW2432" s="11"/>
      <c r="BB2432" s="9"/>
      <c r="BC2432" s="11"/>
      <c r="BF2432" s="9"/>
      <c r="CF2432" s="12"/>
      <c r="CH2432" s="9"/>
    </row>
    <row r="2433" spans="6:86" x14ac:dyDescent="0.25">
      <c r="F2433" s="9"/>
      <c r="G2433" s="9"/>
      <c r="AA2433" s="10"/>
      <c r="AV2433" s="11"/>
      <c r="AW2433" s="11"/>
      <c r="BB2433" s="9"/>
      <c r="BC2433" s="11"/>
      <c r="BF2433" s="9"/>
      <c r="CF2433" s="12"/>
      <c r="CH2433" s="9"/>
    </row>
    <row r="2434" spans="6:86" x14ac:dyDescent="0.25">
      <c r="F2434" s="9"/>
      <c r="G2434" s="9"/>
      <c r="AA2434" s="10"/>
      <c r="AV2434" s="11"/>
      <c r="AW2434" s="11"/>
      <c r="BB2434" s="9"/>
      <c r="BC2434" s="11"/>
      <c r="BF2434" s="9"/>
      <c r="CF2434" s="12"/>
      <c r="CH2434" s="9"/>
    </row>
    <row r="2435" spans="6:86" x14ac:dyDescent="0.25">
      <c r="F2435" s="9"/>
      <c r="G2435" s="9"/>
      <c r="AA2435" s="10"/>
      <c r="AV2435" s="11"/>
      <c r="AW2435" s="11"/>
      <c r="BB2435" s="9"/>
      <c r="BC2435" s="11"/>
      <c r="BF2435" s="9"/>
      <c r="CF2435" s="12"/>
      <c r="CH2435" s="9"/>
    </row>
    <row r="2436" spans="6:86" x14ac:dyDescent="0.25">
      <c r="F2436" s="9"/>
      <c r="G2436" s="9"/>
      <c r="AA2436" s="10"/>
      <c r="AV2436" s="11"/>
      <c r="AW2436" s="11"/>
      <c r="BB2436" s="9"/>
      <c r="BC2436" s="11"/>
      <c r="BF2436" s="9"/>
      <c r="CF2436" s="12"/>
      <c r="CH2436" s="9"/>
    </row>
    <row r="2437" spans="6:86" x14ac:dyDescent="0.25">
      <c r="F2437" s="9"/>
      <c r="G2437" s="9"/>
      <c r="AA2437" s="10"/>
      <c r="AV2437" s="11"/>
      <c r="AW2437" s="11"/>
      <c r="BB2437" s="9"/>
      <c r="BC2437" s="11"/>
      <c r="BF2437" s="9"/>
      <c r="CF2437" s="12"/>
      <c r="CH2437" s="9"/>
    </row>
    <row r="2438" spans="6:86" x14ac:dyDescent="0.25">
      <c r="F2438" s="9"/>
      <c r="G2438" s="9"/>
      <c r="AA2438" s="10"/>
      <c r="AV2438" s="11"/>
      <c r="AW2438" s="11"/>
      <c r="BB2438" s="9"/>
      <c r="BC2438" s="11"/>
      <c r="BF2438" s="9"/>
      <c r="CF2438" s="12"/>
      <c r="CH2438" s="9"/>
    </row>
    <row r="2439" spans="6:86" x14ac:dyDescent="0.25">
      <c r="F2439" s="9"/>
      <c r="G2439" s="9"/>
      <c r="AA2439" s="10"/>
      <c r="AV2439" s="11"/>
      <c r="AW2439" s="11"/>
      <c r="BB2439" s="9"/>
      <c r="BC2439" s="11"/>
      <c r="BF2439" s="9"/>
      <c r="CF2439" s="12"/>
      <c r="CH2439" s="9"/>
    </row>
    <row r="2440" spans="6:86" x14ac:dyDescent="0.25">
      <c r="F2440" s="9"/>
      <c r="G2440" s="9"/>
      <c r="AA2440" s="10"/>
      <c r="AV2440" s="11"/>
      <c r="AW2440" s="11"/>
      <c r="BB2440" s="9"/>
      <c r="BC2440" s="11"/>
      <c r="BF2440" s="9"/>
      <c r="CF2440" s="12"/>
      <c r="CH2440" s="9"/>
    </row>
    <row r="2441" spans="6:86" x14ac:dyDescent="0.25">
      <c r="F2441" s="9"/>
      <c r="G2441" s="9"/>
      <c r="AA2441" s="10"/>
      <c r="AV2441" s="11"/>
      <c r="AW2441" s="11"/>
      <c r="BB2441" s="9"/>
      <c r="BC2441" s="11"/>
      <c r="BF2441" s="9"/>
      <c r="CF2441" s="12"/>
      <c r="CH2441" s="9"/>
    </row>
    <row r="2442" spans="6:86" x14ac:dyDescent="0.25">
      <c r="F2442" s="9"/>
      <c r="G2442" s="9"/>
      <c r="AA2442" s="10"/>
      <c r="AV2442" s="11"/>
      <c r="AW2442" s="11"/>
      <c r="BB2442" s="9"/>
      <c r="BC2442" s="11"/>
      <c r="BF2442" s="9"/>
      <c r="CF2442" s="12"/>
      <c r="CH2442" s="9"/>
    </row>
    <row r="2443" spans="6:86" x14ac:dyDescent="0.25">
      <c r="F2443" s="9"/>
      <c r="G2443" s="9"/>
      <c r="AA2443" s="10"/>
      <c r="AV2443" s="11"/>
      <c r="AW2443" s="11"/>
      <c r="BB2443" s="9"/>
      <c r="BC2443" s="11"/>
      <c r="BF2443" s="9"/>
      <c r="CF2443" s="12"/>
      <c r="CH2443" s="9"/>
    </row>
    <row r="2444" spans="6:86" x14ac:dyDescent="0.25">
      <c r="F2444" s="9"/>
      <c r="G2444" s="9"/>
      <c r="AA2444" s="10"/>
      <c r="AV2444" s="11"/>
      <c r="AW2444" s="11"/>
      <c r="BB2444" s="9"/>
      <c r="BC2444" s="11"/>
      <c r="BF2444" s="9"/>
      <c r="CF2444" s="12"/>
      <c r="CH2444" s="9"/>
    </row>
    <row r="2445" spans="6:86" x14ac:dyDescent="0.25">
      <c r="F2445" s="9"/>
      <c r="G2445" s="9"/>
      <c r="AA2445" s="10"/>
      <c r="AV2445" s="11"/>
      <c r="AW2445" s="11"/>
      <c r="BB2445" s="9"/>
      <c r="BC2445" s="11"/>
      <c r="BF2445" s="9"/>
      <c r="CF2445" s="12"/>
      <c r="CH2445" s="9"/>
    </row>
    <row r="2446" spans="6:86" x14ac:dyDescent="0.25">
      <c r="F2446" s="9"/>
      <c r="G2446" s="9"/>
      <c r="AA2446" s="10"/>
      <c r="AV2446" s="11"/>
      <c r="AW2446" s="11"/>
      <c r="BB2446" s="9"/>
      <c r="BC2446" s="11"/>
      <c r="BF2446" s="9"/>
      <c r="CF2446" s="12"/>
      <c r="CH2446" s="9"/>
    </row>
    <row r="2447" spans="6:86" x14ac:dyDescent="0.25">
      <c r="F2447" s="9"/>
      <c r="G2447" s="9"/>
      <c r="AA2447" s="10"/>
      <c r="AV2447" s="11"/>
      <c r="AW2447" s="11"/>
      <c r="BB2447" s="9"/>
      <c r="BC2447" s="11"/>
      <c r="BF2447" s="9"/>
      <c r="CF2447" s="12"/>
      <c r="CH2447" s="9"/>
    </row>
    <row r="2448" spans="6:86" x14ac:dyDescent="0.25">
      <c r="F2448" s="9"/>
      <c r="G2448" s="9"/>
      <c r="AA2448" s="10"/>
      <c r="AV2448" s="11"/>
      <c r="AW2448" s="11"/>
      <c r="BB2448" s="9"/>
      <c r="BC2448" s="11"/>
      <c r="BF2448" s="9"/>
      <c r="CF2448" s="12"/>
      <c r="CH2448" s="9"/>
    </row>
    <row r="2449" spans="6:86" x14ac:dyDescent="0.25">
      <c r="F2449" s="9"/>
      <c r="G2449" s="9"/>
      <c r="AA2449" s="10"/>
      <c r="AV2449" s="11"/>
      <c r="AW2449" s="11"/>
      <c r="BB2449" s="9"/>
      <c r="BC2449" s="11"/>
      <c r="BF2449" s="9"/>
      <c r="CF2449" s="12"/>
      <c r="CH2449" s="9"/>
    </row>
    <row r="2450" spans="6:86" x14ac:dyDescent="0.25">
      <c r="F2450" s="9"/>
      <c r="G2450" s="9"/>
      <c r="AA2450" s="10"/>
      <c r="AV2450" s="11"/>
      <c r="AW2450" s="11"/>
      <c r="BB2450" s="9"/>
      <c r="BC2450" s="11"/>
      <c r="BF2450" s="9"/>
      <c r="CF2450" s="12"/>
      <c r="CH2450" s="9"/>
    </row>
    <row r="2451" spans="6:86" x14ac:dyDescent="0.25">
      <c r="F2451" s="9"/>
      <c r="G2451" s="9"/>
      <c r="AA2451" s="10"/>
      <c r="AV2451" s="11"/>
      <c r="AW2451" s="11"/>
      <c r="BB2451" s="9"/>
      <c r="BC2451" s="11"/>
      <c r="BF2451" s="9"/>
      <c r="CF2451" s="12"/>
      <c r="CH2451" s="9"/>
    </row>
    <row r="2452" spans="6:86" x14ac:dyDescent="0.25">
      <c r="F2452" s="9"/>
      <c r="G2452" s="9"/>
      <c r="AA2452" s="10"/>
      <c r="AV2452" s="11"/>
      <c r="AW2452" s="11"/>
      <c r="BB2452" s="9"/>
      <c r="BC2452" s="11"/>
      <c r="BF2452" s="9"/>
      <c r="CF2452" s="12"/>
      <c r="CH2452" s="9"/>
    </row>
    <row r="2453" spans="6:86" x14ac:dyDescent="0.25">
      <c r="F2453" s="9"/>
      <c r="G2453" s="9"/>
      <c r="AA2453" s="10"/>
      <c r="AV2453" s="11"/>
      <c r="AW2453" s="11"/>
      <c r="BB2453" s="9"/>
      <c r="BC2453" s="11"/>
      <c r="BF2453" s="9"/>
      <c r="CF2453" s="12"/>
      <c r="CH2453" s="9"/>
    </row>
    <row r="2454" spans="6:86" x14ac:dyDescent="0.25">
      <c r="F2454" s="9"/>
      <c r="G2454" s="9"/>
      <c r="AA2454" s="10"/>
      <c r="AV2454" s="11"/>
      <c r="AW2454" s="11"/>
      <c r="BB2454" s="9"/>
      <c r="BC2454" s="11"/>
      <c r="BF2454" s="9"/>
      <c r="CF2454" s="12"/>
      <c r="CH2454" s="9"/>
    </row>
    <row r="2455" spans="6:86" x14ac:dyDescent="0.25">
      <c r="F2455" s="9"/>
      <c r="G2455" s="9"/>
      <c r="AA2455" s="10"/>
      <c r="AV2455" s="11"/>
      <c r="AW2455" s="11"/>
      <c r="BB2455" s="9"/>
      <c r="BC2455" s="11"/>
      <c r="BF2455" s="9"/>
      <c r="CF2455" s="12"/>
      <c r="CH2455" s="9"/>
    </row>
    <row r="2456" spans="6:86" x14ac:dyDescent="0.25">
      <c r="F2456" s="9"/>
      <c r="G2456" s="9"/>
      <c r="AA2456" s="10"/>
      <c r="AV2456" s="11"/>
      <c r="AW2456" s="11"/>
      <c r="BB2456" s="9"/>
      <c r="BC2456" s="11"/>
      <c r="BF2456" s="9"/>
      <c r="CF2456" s="12"/>
      <c r="CH2456" s="9"/>
    </row>
    <row r="2457" spans="6:86" x14ac:dyDescent="0.25">
      <c r="F2457" s="9"/>
      <c r="G2457" s="9"/>
      <c r="AA2457" s="10"/>
      <c r="AV2457" s="11"/>
      <c r="AW2457" s="11"/>
      <c r="BB2457" s="9"/>
      <c r="BC2457" s="11"/>
      <c r="BF2457" s="9"/>
      <c r="CF2457" s="12"/>
      <c r="CH2457" s="9"/>
    </row>
    <row r="2458" spans="6:86" x14ac:dyDescent="0.25">
      <c r="F2458" s="9"/>
      <c r="G2458" s="9"/>
      <c r="AA2458" s="10"/>
      <c r="AV2458" s="11"/>
      <c r="AW2458" s="11"/>
      <c r="BB2458" s="9"/>
      <c r="BC2458" s="11"/>
      <c r="BF2458" s="9"/>
      <c r="CF2458" s="12"/>
      <c r="CH2458" s="9"/>
    </row>
    <row r="2459" spans="6:86" x14ac:dyDescent="0.25">
      <c r="F2459" s="9"/>
      <c r="G2459" s="9"/>
      <c r="AA2459" s="10"/>
      <c r="AV2459" s="11"/>
      <c r="AW2459" s="11"/>
      <c r="BB2459" s="9"/>
      <c r="BC2459" s="11"/>
      <c r="BF2459" s="9"/>
      <c r="CF2459" s="12"/>
      <c r="CH2459" s="9"/>
    </row>
    <row r="2460" spans="6:86" x14ac:dyDescent="0.25">
      <c r="F2460" s="9"/>
      <c r="G2460" s="9"/>
      <c r="AA2460" s="10"/>
      <c r="AV2460" s="11"/>
      <c r="AW2460" s="11"/>
      <c r="BB2460" s="9"/>
      <c r="BC2460" s="11"/>
      <c r="BF2460" s="9"/>
      <c r="CF2460" s="12"/>
      <c r="CH2460" s="9"/>
    </row>
    <row r="2461" spans="6:86" x14ac:dyDescent="0.25">
      <c r="F2461" s="9"/>
      <c r="G2461" s="9"/>
      <c r="AA2461" s="10"/>
      <c r="AV2461" s="11"/>
      <c r="AW2461" s="11"/>
      <c r="BB2461" s="9"/>
      <c r="BC2461" s="11"/>
      <c r="BF2461" s="9"/>
      <c r="CF2461" s="12"/>
      <c r="CH2461" s="9"/>
    </row>
    <row r="2462" spans="6:86" x14ac:dyDescent="0.25">
      <c r="F2462" s="9"/>
      <c r="G2462" s="9"/>
      <c r="AA2462" s="10"/>
      <c r="AV2462" s="11"/>
      <c r="AW2462" s="11"/>
      <c r="BB2462" s="9"/>
      <c r="BC2462" s="11"/>
      <c r="BF2462" s="9"/>
      <c r="CH2462" s="9"/>
    </row>
    <row r="2463" spans="6:86" x14ac:dyDescent="0.25">
      <c r="F2463" s="9"/>
      <c r="G2463" s="9"/>
      <c r="AA2463" s="10"/>
      <c r="AV2463" s="11"/>
      <c r="AW2463" s="11"/>
      <c r="BB2463" s="9"/>
      <c r="BC2463" s="11"/>
      <c r="BF2463" s="9"/>
      <c r="CF2463" s="12"/>
      <c r="CH2463" s="9"/>
    </row>
    <row r="2464" spans="6:86" x14ac:dyDescent="0.25">
      <c r="F2464" s="9"/>
      <c r="G2464" s="9"/>
      <c r="AA2464" s="10"/>
      <c r="AV2464" s="11"/>
      <c r="AW2464" s="11"/>
      <c r="BB2464" s="9"/>
      <c r="BC2464" s="11"/>
      <c r="BF2464" s="9"/>
      <c r="CF2464" s="12"/>
      <c r="CH2464" s="9"/>
    </row>
    <row r="2465" spans="6:86" x14ac:dyDescent="0.25">
      <c r="F2465" s="9"/>
      <c r="G2465" s="9"/>
      <c r="AA2465" s="10"/>
      <c r="AV2465" s="11"/>
      <c r="AW2465" s="11"/>
      <c r="BB2465" s="9"/>
      <c r="BC2465" s="11"/>
      <c r="BF2465" s="9"/>
      <c r="CH2465" s="9"/>
    </row>
    <row r="2466" spans="6:86" x14ac:dyDescent="0.25">
      <c r="F2466" s="9"/>
      <c r="G2466" s="9"/>
      <c r="AA2466" s="10"/>
      <c r="AV2466" s="11"/>
      <c r="AW2466" s="11"/>
      <c r="BB2466" s="9"/>
      <c r="BC2466" s="11"/>
      <c r="BF2466" s="9"/>
      <c r="CF2466" s="12"/>
      <c r="CH2466" s="9"/>
    </row>
    <row r="2467" spans="6:86" x14ac:dyDescent="0.25">
      <c r="F2467" s="9"/>
      <c r="G2467" s="9"/>
      <c r="AA2467" s="10"/>
      <c r="AV2467" s="11"/>
      <c r="AW2467" s="11"/>
      <c r="BB2467" s="9"/>
      <c r="BC2467" s="11"/>
      <c r="BF2467" s="9"/>
      <c r="CF2467" s="12"/>
      <c r="CH2467" s="9"/>
    </row>
    <row r="2468" spans="6:86" x14ac:dyDescent="0.25">
      <c r="F2468" s="9"/>
      <c r="G2468" s="9"/>
      <c r="AA2468" s="10"/>
      <c r="AV2468" s="11"/>
      <c r="AW2468" s="11"/>
      <c r="BB2468" s="9"/>
      <c r="BC2468" s="11"/>
      <c r="BF2468" s="9"/>
      <c r="CF2468" s="12"/>
      <c r="CH2468" s="9"/>
    </row>
    <row r="2469" spans="6:86" x14ac:dyDescent="0.25">
      <c r="F2469" s="9"/>
      <c r="G2469" s="9"/>
      <c r="AA2469" s="10"/>
      <c r="AV2469" s="11"/>
      <c r="AW2469" s="11"/>
      <c r="BB2469" s="9"/>
      <c r="BC2469" s="11"/>
      <c r="BF2469" s="9"/>
      <c r="CF2469" s="12"/>
      <c r="CH2469" s="9"/>
    </row>
    <row r="2470" spans="6:86" x14ac:dyDescent="0.25">
      <c r="F2470" s="9"/>
      <c r="G2470" s="9"/>
      <c r="AA2470" s="10"/>
      <c r="AV2470" s="11"/>
      <c r="AW2470" s="11"/>
      <c r="BB2470" s="9"/>
      <c r="BC2470" s="11"/>
      <c r="BF2470" s="9"/>
      <c r="CF2470" s="12"/>
      <c r="CH2470" s="9"/>
    </row>
    <row r="2471" spans="6:86" x14ac:dyDescent="0.25">
      <c r="F2471" s="9"/>
      <c r="G2471" s="9"/>
      <c r="AA2471" s="10"/>
      <c r="AV2471" s="11"/>
      <c r="AW2471" s="11"/>
      <c r="BB2471" s="9"/>
      <c r="BC2471" s="11"/>
      <c r="BF2471" s="9"/>
      <c r="CF2471" s="12"/>
      <c r="CH2471" s="9"/>
    </row>
    <row r="2472" spans="6:86" x14ac:dyDescent="0.25">
      <c r="F2472" s="9"/>
      <c r="G2472" s="9"/>
      <c r="AA2472" s="10"/>
      <c r="AV2472" s="11"/>
      <c r="AW2472" s="11"/>
      <c r="BB2472" s="9"/>
      <c r="BC2472" s="11"/>
      <c r="BF2472" s="9"/>
      <c r="CF2472" s="12"/>
      <c r="CH2472" s="9"/>
    </row>
    <row r="2473" spans="6:86" x14ac:dyDescent="0.25">
      <c r="F2473" s="9"/>
      <c r="G2473" s="9"/>
      <c r="AA2473" s="10"/>
      <c r="AV2473" s="11"/>
      <c r="AW2473" s="11"/>
      <c r="BB2473" s="9"/>
      <c r="BC2473" s="11"/>
      <c r="BF2473" s="9"/>
      <c r="CF2473" s="12"/>
      <c r="CH2473" s="9"/>
    </row>
    <row r="2474" spans="6:86" x14ac:dyDescent="0.25">
      <c r="F2474" s="9"/>
      <c r="G2474" s="9"/>
      <c r="AA2474" s="10"/>
      <c r="AV2474" s="11"/>
      <c r="AW2474" s="11"/>
      <c r="BB2474" s="9"/>
      <c r="BC2474" s="11"/>
      <c r="BF2474" s="9"/>
      <c r="CF2474" s="12"/>
      <c r="CH2474" s="9"/>
    </row>
    <row r="2475" spans="6:86" x14ac:dyDescent="0.25">
      <c r="F2475" s="9"/>
      <c r="G2475" s="9"/>
      <c r="AA2475" s="10"/>
      <c r="AV2475" s="11"/>
      <c r="AW2475" s="11"/>
      <c r="BB2475" s="9"/>
      <c r="BC2475" s="11"/>
      <c r="BF2475" s="9"/>
      <c r="CH2475" s="9"/>
    </row>
    <row r="2476" spans="6:86" x14ac:dyDescent="0.25">
      <c r="F2476" s="9"/>
      <c r="G2476" s="9"/>
      <c r="AA2476" s="10"/>
      <c r="AV2476" s="11"/>
      <c r="AW2476" s="11"/>
      <c r="BB2476" s="9"/>
      <c r="BC2476" s="11"/>
      <c r="BF2476" s="9"/>
      <c r="CH2476" s="9"/>
    </row>
    <row r="2477" spans="6:86" x14ac:dyDescent="0.25">
      <c r="F2477" s="9"/>
      <c r="G2477" s="9"/>
      <c r="AA2477" s="10"/>
      <c r="AV2477" s="11"/>
      <c r="AW2477" s="11"/>
      <c r="BB2477" s="9"/>
      <c r="BC2477" s="11"/>
      <c r="BF2477" s="9"/>
      <c r="CF2477" s="12"/>
      <c r="CH2477" s="9"/>
    </row>
    <row r="2478" spans="6:86" x14ac:dyDescent="0.25">
      <c r="F2478" s="9"/>
      <c r="G2478" s="9"/>
      <c r="AA2478" s="10"/>
      <c r="AV2478" s="11"/>
      <c r="AW2478" s="11"/>
      <c r="BB2478" s="9"/>
      <c r="BC2478" s="11"/>
      <c r="BF2478" s="9"/>
      <c r="CF2478" s="12"/>
      <c r="CH2478" s="9"/>
    </row>
    <row r="2479" spans="6:86" x14ac:dyDescent="0.25">
      <c r="F2479" s="9"/>
      <c r="G2479" s="9"/>
      <c r="AA2479" s="10"/>
      <c r="AV2479" s="11"/>
      <c r="AW2479" s="11"/>
      <c r="BB2479" s="9"/>
      <c r="BC2479" s="11"/>
      <c r="BF2479" s="9"/>
      <c r="CF2479" s="12"/>
      <c r="CH2479" s="9"/>
    </row>
    <row r="2480" spans="6:86" x14ac:dyDescent="0.25">
      <c r="F2480" s="9"/>
      <c r="G2480" s="9"/>
      <c r="AA2480" s="10"/>
      <c r="AV2480" s="11"/>
      <c r="AW2480" s="11"/>
      <c r="BB2480" s="9"/>
      <c r="BC2480" s="11"/>
      <c r="BF2480" s="9"/>
      <c r="CF2480" s="12"/>
      <c r="CH2480" s="9"/>
    </row>
    <row r="2481" spans="6:86" x14ac:dyDescent="0.25">
      <c r="F2481" s="9"/>
      <c r="G2481" s="9"/>
      <c r="AA2481" s="10"/>
      <c r="AV2481" s="11"/>
      <c r="AW2481" s="11"/>
      <c r="BB2481" s="9"/>
      <c r="BC2481" s="11"/>
      <c r="BF2481" s="9"/>
      <c r="CF2481" s="12"/>
      <c r="CH2481" s="9"/>
    </row>
    <row r="2482" spans="6:86" x14ac:dyDescent="0.25">
      <c r="F2482" s="9"/>
      <c r="G2482" s="9"/>
      <c r="AA2482" s="10"/>
      <c r="AV2482" s="11"/>
      <c r="AW2482" s="11"/>
      <c r="BB2482" s="9"/>
      <c r="BC2482" s="11"/>
      <c r="BF2482" s="9"/>
      <c r="CF2482" s="12"/>
      <c r="CH2482" s="9"/>
    </row>
    <row r="2483" spans="6:86" x14ac:dyDescent="0.25">
      <c r="F2483" s="9"/>
      <c r="G2483" s="9"/>
      <c r="AA2483" s="10"/>
      <c r="AV2483" s="11"/>
      <c r="AW2483" s="11"/>
      <c r="BB2483" s="9"/>
      <c r="BC2483" s="11"/>
      <c r="BF2483" s="9"/>
      <c r="CF2483" s="12"/>
      <c r="CH2483" s="9"/>
    </row>
    <row r="2484" spans="6:86" x14ac:dyDescent="0.25">
      <c r="F2484" s="9"/>
      <c r="G2484" s="9"/>
      <c r="AA2484" s="10"/>
      <c r="AV2484" s="11"/>
      <c r="AW2484" s="11"/>
      <c r="BB2484" s="9"/>
      <c r="BC2484" s="11"/>
      <c r="BF2484" s="9"/>
      <c r="CF2484" s="12"/>
      <c r="CH2484" s="9"/>
    </row>
    <row r="2485" spans="6:86" x14ac:dyDescent="0.25">
      <c r="F2485" s="9"/>
      <c r="G2485" s="9"/>
      <c r="AA2485" s="10"/>
      <c r="AV2485" s="11"/>
      <c r="AW2485" s="11"/>
      <c r="BB2485" s="9"/>
      <c r="BC2485" s="11"/>
      <c r="BF2485" s="9"/>
      <c r="CF2485" s="12"/>
      <c r="CH2485" s="9"/>
    </row>
    <row r="2486" spans="6:86" x14ac:dyDescent="0.25">
      <c r="F2486" s="9"/>
      <c r="G2486" s="9"/>
      <c r="AA2486" s="10"/>
      <c r="AV2486" s="11"/>
      <c r="AW2486" s="11"/>
      <c r="BB2486" s="9"/>
      <c r="BC2486" s="11"/>
      <c r="BF2486" s="9"/>
      <c r="CF2486" s="12"/>
      <c r="CH2486" s="9"/>
    </row>
    <row r="2487" spans="6:86" x14ac:dyDescent="0.25">
      <c r="F2487" s="9"/>
      <c r="G2487" s="9"/>
      <c r="AA2487" s="10"/>
      <c r="AM2487" s="9"/>
      <c r="AV2487" s="11"/>
      <c r="AW2487" s="11"/>
      <c r="BB2487" s="9"/>
      <c r="BC2487" s="11"/>
      <c r="BF2487" s="9"/>
      <c r="CF2487" s="12"/>
      <c r="CH2487" s="9"/>
    </row>
    <row r="2488" spans="6:86" x14ac:dyDescent="0.25">
      <c r="F2488" s="9"/>
      <c r="G2488" s="9"/>
      <c r="AA2488" s="10"/>
      <c r="AM2488" s="9"/>
      <c r="AV2488" s="11"/>
      <c r="AW2488" s="11"/>
      <c r="BB2488" s="9"/>
      <c r="BC2488" s="11"/>
      <c r="BF2488" s="9"/>
      <c r="CF2488" s="12"/>
      <c r="CH2488" s="9"/>
    </row>
    <row r="2489" spans="6:86" x14ac:dyDescent="0.25">
      <c r="F2489" s="9"/>
      <c r="G2489" s="9"/>
      <c r="AA2489" s="10"/>
      <c r="AM2489" s="9"/>
      <c r="AV2489" s="11"/>
      <c r="AW2489" s="11"/>
      <c r="BB2489" s="9"/>
      <c r="BC2489" s="11"/>
      <c r="BF2489" s="9"/>
      <c r="CF2489" s="12"/>
      <c r="CH2489" s="9"/>
    </row>
    <row r="2490" spans="6:86" x14ac:dyDescent="0.25">
      <c r="F2490" s="9"/>
      <c r="G2490" s="9"/>
      <c r="AA2490" s="10"/>
      <c r="AM2490" s="9"/>
      <c r="AV2490" s="11"/>
      <c r="AW2490" s="11"/>
      <c r="BB2490" s="9"/>
      <c r="BC2490" s="11"/>
      <c r="BF2490" s="9"/>
      <c r="CF2490" s="12"/>
      <c r="CH2490" s="9"/>
    </row>
    <row r="2491" spans="6:86" x14ac:dyDescent="0.25">
      <c r="F2491" s="9"/>
      <c r="G2491" s="9"/>
      <c r="AA2491" s="10"/>
      <c r="AM2491" s="9"/>
      <c r="AV2491" s="11"/>
      <c r="AW2491" s="11"/>
      <c r="BB2491" s="9"/>
      <c r="BC2491" s="11"/>
      <c r="BF2491" s="9"/>
      <c r="CF2491" s="12"/>
      <c r="CH2491" s="9"/>
    </row>
    <row r="2492" spans="6:86" x14ac:dyDescent="0.25">
      <c r="F2492" s="9"/>
      <c r="G2492" s="9"/>
      <c r="AA2492" s="10"/>
      <c r="AM2492" s="9"/>
      <c r="AV2492" s="11"/>
      <c r="AW2492" s="11"/>
      <c r="BB2492" s="9"/>
      <c r="BC2492" s="11"/>
      <c r="BF2492" s="9"/>
      <c r="CH2492" s="9"/>
    </row>
    <row r="2493" spans="6:86" x14ac:dyDescent="0.25">
      <c r="F2493" s="9"/>
      <c r="G2493" s="9"/>
      <c r="AA2493" s="10"/>
      <c r="AM2493" s="9"/>
      <c r="AV2493" s="11"/>
      <c r="AW2493" s="11"/>
      <c r="BB2493" s="9"/>
      <c r="BC2493" s="11"/>
      <c r="BF2493" s="9"/>
      <c r="CF2493" s="12"/>
      <c r="CH2493" s="9"/>
    </row>
    <row r="2494" spans="6:86" x14ac:dyDescent="0.25">
      <c r="F2494" s="9"/>
      <c r="G2494" s="9"/>
      <c r="AA2494" s="10"/>
      <c r="AM2494" s="9"/>
      <c r="AV2494" s="11"/>
      <c r="AW2494" s="11"/>
      <c r="BB2494" s="9"/>
      <c r="BC2494" s="11"/>
      <c r="BF2494" s="9"/>
      <c r="CF2494" s="12"/>
      <c r="CH2494" s="9"/>
    </row>
    <row r="2495" spans="6:86" x14ac:dyDescent="0.25">
      <c r="F2495" s="9"/>
      <c r="G2495" s="9"/>
      <c r="AA2495" s="10"/>
      <c r="AM2495" s="9"/>
      <c r="AV2495" s="11"/>
      <c r="AW2495" s="11"/>
      <c r="BB2495" s="9"/>
      <c r="BC2495" s="11"/>
      <c r="BF2495" s="9"/>
      <c r="CF2495" s="12"/>
      <c r="CH2495" s="9"/>
    </row>
    <row r="2496" spans="6:86" x14ac:dyDescent="0.25">
      <c r="F2496" s="9"/>
      <c r="G2496" s="9"/>
      <c r="AA2496" s="10"/>
      <c r="AV2496" s="11"/>
      <c r="AW2496" s="11"/>
      <c r="BB2496" s="9"/>
      <c r="BC2496" s="11"/>
      <c r="BF2496" s="9"/>
      <c r="CF2496" s="12"/>
      <c r="CH2496" s="9"/>
    </row>
    <row r="2497" spans="6:92" x14ac:dyDescent="0.25">
      <c r="F2497" s="9"/>
      <c r="G2497" s="9"/>
      <c r="AA2497" s="10"/>
      <c r="AV2497" s="11"/>
      <c r="AW2497" s="11"/>
      <c r="BB2497" s="9"/>
      <c r="BC2497" s="11"/>
      <c r="BF2497" s="9"/>
      <c r="CF2497" s="12"/>
      <c r="CH2497" s="9"/>
    </row>
    <row r="2498" spans="6:92" x14ac:dyDescent="0.25">
      <c r="F2498" s="9"/>
      <c r="G2498" s="9"/>
      <c r="AA2498" s="10"/>
      <c r="AV2498" s="11"/>
      <c r="AW2498" s="11"/>
      <c r="BB2498" s="9"/>
      <c r="BC2498" s="11"/>
      <c r="BF2498" s="9"/>
      <c r="CF2498" s="12"/>
      <c r="CH2498" s="9"/>
    </row>
    <row r="2499" spans="6:92" x14ac:dyDescent="0.25">
      <c r="F2499" s="9"/>
      <c r="G2499" s="9"/>
      <c r="U2499" s="12"/>
      <c r="Z2499" s="12"/>
      <c r="AA2499" s="10"/>
      <c r="AV2499" s="11"/>
      <c r="AW2499" s="11"/>
      <c r="BB2499" s="9"/>
      <c r="BC2499" s="11"/>
      <c r="BF2499" s="9"/>
      <c r="CF2499" s="12"/>
      <c r="CH2499" s="9"/>
      <c r="CN2499" s="12"/>
    </row>
    <row r="2500" spans="6:92" x14ac:dyDescent="0.25">
      <c r="F2500" s="9"/>
      <c r="G2500" s="9"/>
      <c r="AA2500" s="10"/>
      <c r="AV2500" s="11"/>
      <c r="AW2500" s="11"/>
      <c r="BB2500" s="9"/>
      <c r="BC2500" s="11"/>
      <c r="BF2500" s="9"/>
      <c r="CF2500" s="12"/>
      <c r="CH2500" s="9"/>
    </row>
    <row r="2501" spans="6:92" x14ac:dyDescent="0.25">
      <c r="F2501" s="9"/>
      <c r="G2501" s="9"/>
      <c r="AA2501" s="10"/>
      <c r="AM2501" s="9"/>
      <c r="AV2501" s="11"/>
      <c r="AW2501" s="11"/>
      <c r="BB2501" s="9"/>
      <c r="BC2501" s="11"/>
      <c r="BF2501" s="9"/>
      <c r="CF2501" s="12"/>
      <c r="CH2501" s="9"/>
    </row>
    <row r="2502" spans="6:92" x14ac:dyDescent="0.25">
      <c r="F2502" s="9"/>
      <c r="G2502" s="9"/>
      <c r="AA2502" s="10"/>
      <c r="AM2502" s="9"/>
      <c r="AV2502" s="11"/>
      <c r="AW2502" s="11"/>
      <c r="BB2502" s="9"/>
      <c r="BC2502" s="11"/>
      <c r="BF2502" s="9"/>
      <c r="CF2502" s="12"/>
      <c r="CH2502" s="9"/>
    </row>
    <row r="2503" spans="6:92" x14ac:dyDescent="0.25">
      <c r="F2503" s="9"/>
      <c r="G2503" s="9"/>
      <c r="AA2503" s="10"/>
      <c r="AM2503" s="9"/>
      <c r="AV2503" s="11"/>
      <c r="AW2503" s="11"/>
      <c r="BB2503" s="9"/>
      <c r="BC2503" s="11"/>
      <c r="BF2503" s="9"/>
      <c r="CF2503" s="12"/>
      <c r="CH2503" s="9"/>
    </row>
    <row r="2504" spans="6:92" x14ac:dyDescent="0.25">
      <c r="F2504" s="9"/>
      <c r="G2504" s="9"/>
      <c r="AA2504" s="10"/>
      <c r="AM2504" s="9"/>
      <c r="AV2504" s="11"/>
      <c r="AW2504" s="11"/>
      <c r="BB2504" s="9"/>
      <c r="BC2504" s="11"/>
      <c r="BF2504" s="9"/>
      <c r="CF2504" s="12"/>
      <c r="CH2504" s="9"/>
    </row>
    <row r="2505" spans="6:92" x14ac:dyDescent="0.25">
      <c r="F2505" s="9"/>
      <c r="G2505" s="9"/>
      <c r="AA2505" s="10"/>
      <c r="AM2505" s="9"/>
      <c r="AV2505" s="11"/>
      <c r="AW2505" s="11"/>
      <c r="BB2505" s="9"/>
      <c r="BC2505" s="11"/>
      <c r="BF2505" s="9"/>
      <c r="CF2505" s="12"/>
      <c r="CH2505" s="9"/>
    </row>
    <row r="2506" spans="6:92" x14ac:dyDescent="0.25">
      <c r="F2506" s="9"/>
      <c r="G2506" s="9"/>
      <c r="AA2506" s="10"/>
      <c r="AV2506" s="11"/>
      <c r="AW2506" s="11"/>
      <c r="BB2506" s="9"/>
      <c r="BC2506" s="11"/>
      <c r="BF2506" s="9"/>
      <c r="CF2506" s="12"/>
      <c r="CH2506" s="9"/>
    </row>
    <row r="2507" spans="6:92" x14ac:dyDescent="0.25">
      <c r="F2507" s="9"/>
      <c r="G2507" s="9"/>
      <c r="AA2507" s="10"/>
      <c r="AV2507" s="11"/>
      <c r="AW2507" s="11"/>
      <c r="BB2507" s="9"/>
      <c r="BC2507" s="11"/>
      <c r="BF2507" s="9"/>
      <c r="CH2507" s="9"/>
    </row>
    <row r="2508" spans="6:92" x14ac:dyDescent="0.25">
      <c r="F2508" s="9"/>
      <c r="G2508" s="9"/>
      <c r="AA2508" s="10"/>
      <c r="AV2508" s="11"/>
      <c r="AW2508" s="11"/>
      <c r="BB2508" s="9"/>
      <c r="BC2508" s="11"/>
      <c r="BF2508" s="9"/>
      <c r="CF2508" s="12"/>
      <c r="CH2508" s="9"/>
    </row>
    <row r="2509" spans="6:92" x14ac:dyDescent="0.25">
      <c r="F2509" s="9"/>
      <c r="G2509" s="9"/>
      <c r="AA2509" s="10"/>
      <c r="AV2509" s="11"/>
      <c r="AW2509" s="11"/>
      <c r="BB2509" s="9"/>
      <c r="BC2509" s="11"/>
      <c r="BF2509" s="9"/>
      <c r="CF2509" s="12"/>
      <c r="CH2509" s="9"/>
    </row>
    <row r="2510" spans="6:92" x14ac:dyDescent="0.25">
      <c r="F2510" s="9"/>
      <c r="G2510" s="9"/>
      <c r="AA2510" s="10"/>
      <c r="AV2510" s="11"/>
      <c r="AW2510" s="11"/>
      <c r="BB2510" s="9"/>
      <c r="BC2510" s="11"/>
      <c r="BF2510" s="9"/>
      <c r="CF2510" s="12"/>
      <c r="CH2510" s="9"/>
    </row>
    <row r="2511" spans="6:92" x14ac:dyDescent="0.25">
      <c r="F2511" s="9"/>
      <c r="G2511" s="9"/>
      <c r="AA2511" s="10"/>
      <c r="AV2511" s="11"/>
      <c r="AW2511" s="11"/>
      <c r="BB2511" s="9"/>
      <c r="BC2511" s="11"/>
      <c r="BF2511" s="9"/>
      <c r="CF2511" s="12"/>
      <c r="CH2511" s="9"/>
    </row>
    <row r="2512" spans="6:92" x14ac:dyDescent="0.25">
      <c r="F2512" s="9"/>
      <c r="G2512" s="9"/>
      <c r="AA2512" s="10"/>
      <c r="AV2512" s="11"/>
      <c r="AW2512" s="11"/>
      <c r="BB2512" s="9"/>
      <c r="BC2512" s="11"/>
      <c r="BF2512" s="9"/>
      <c r="CF2512" s="12"/>
      <c r="CH2512" s="9"/>
    </row>
    <row r="2513" spans="6:86" x14ac:dyDescent="0.25">
      <c r="F2513" s="9"/>
      <c r="G2513" s="9"/>
      <c r="AA2513" s="10"/>
      <c r="AV2513" s="11"/>
      <c r="AW2513" s="11"/>
      <c r="BB2513" s="9"/>
      <c r="BC2513" s="11"/>
      <c r="BF2513" s="9"/>
      <c r="CF2513" s="12"/>
      <c r="CH2513" s="9"/>
    </row>
    <row r="2514" spans="6:86" x14ac:dyDescent="0.25">
      <c r="F2514" s="9"/>
      <c r="G2514" s="9"/>
      <c r="AA2514" s="10"/>
      <c r="AV2514" s="11"/>
      <c r="AW2514" s="11"/>
      <c r="BB2514" s="9"/>
      <c r="BC2514" s="11"/>
      <c r="BF2514" s="9"/>
      <c r="CH2514" s="9"/>
    </row>
    <row r="2515" spans="6:86" x14ac:dyDescent="0.25">
      <c r="F2515" s="9"/>
      <c r="G2515" s="9"/>
      <c r="AA2515" s="10"/>
      <c r="AV2515" s="11"/>
      <c r="AW2515" s="11"/>
      <c r="BB2515" s="9"/>
      <c r="BC2515" s="11"/>
      <c r="BF2515" s="9"/>
      <c r="CF2515" s="12"/>
      <c r="CH2515" s="9"/>
    </row>
    <row r="2516" spans="6:86" x14ac:dyDescent="0.25">
      <c r="F2516" s="9"/>
      <c r="G2516" s="9"/>
      <c r="AA2516" s="10"/>
      <c r="AV2516" s="11"/>
      <c r="AW2516" s="11"/>
      <c r="BB2516" s="9"/>
      <c r="BC2516" s="11"/>
      <c r="BF2516" s="9"/>
      <c r="CF2516" s="12"/>
      <c r="CH2516" s="9"/>
    </row>
    <row r="2517" spans="6:86" x14ac:dyDescent="0.25">
      <c r="F2517" s="9"/>
      <c r="G2517" s="9"/>
      <c r="AA2517" s="10"/>
      <c r="AV2517" s="11"/>
      <c r="AW2517" s="11"/>
      <c r="BB2517" s="9"/>
      <c r="BC2517" s="11"/>
      <c r="BF2517" s="9"/>
      <c r="CF2517" s="12"/>
      <c r="CH2517" s="9"/>
    </row>
    <row r="2518" spans="6:86" x14ac:dyDescent="0.25">
      <c r="F2518" s="9"/>
      <c r="G2518" s="9"/>
      <c r="AA2518" s="10"/>
      <c r="AV2518" s="11"/>
      <c r="AW2518" s="11"/>
      <c r="BB2518" s="9"/>
      <c r="BC2518" s="11"/>
      <c r="BF2518" s="9"/>
      <c r="CH2518" s="9"/>
    </row>
    <row r="2519" spans="6:86" x14ac:dyDescent="0.25">
      <c r="F2519" s="9"/>
      <c r="G2519" s="9"/>
      <c r="AA2519" s="10"/>
      <c r="AV2519" s="11"/>
      <c r="AW2519" s="11"/>
      <c r="BB2519" s="9"/>
      <c r="BC2519" s="11"/>
      <c r="BF2519" s="9"/>
      <c r="CF2519" s="12"/>
      <c r="CH2519" s="9"/>
    </row>
    <row r="2520" spans="6:86" x14ac:dyDescent="0.25">
      <c r="F2520" s="9"/>
      <c r="G2520" s="9"/>
      <c r="AA2520" s="10"/>
      <c r="AV2520" s="11"/>
      <c r="AW2520" s="11"/>
      <c r="BB2520" s="9"/>
      <c r="BC2520" s="11"/>
      <c r="BF2520" s="9"/>
      <c r="CF2520" s="12"/>
      <c r="CH2520" s="9"/>
    </row>
    <row r="2521" spans="6:86" x14ac:dyDescent="0.25">
      <c r="F2521" s="9"/>
      <c r="G2521" s="9"/>
      <c r="AA2521" s="10"/>
      <c r="AV2521" s="11"/>
      <c r="AW2521" s="11"/>
      <c r="BB2521" s="9"/>
      <c r="BC2521" s="11"/>
      <c r="BF2521" s="9"/>
      <c r="CF2521" s="12"/>
      <c r="CH2521" s="9"/>
    </row>
    <row r="2522" spans="6:86" x14ac:dyDescent="0.25">
      <c r="F2522" s="9"/>
      <c r="G2522" s="9"/>
      <c r="AA2522" s="10"/>
      <c r="AV2522" s="11"/>
      <c r="AW2522" s="11"/>
      <c r="BB2522" s="9"/>
      <c r="BC2522" s="11"/>
      <c r="BF2522" s="9"/>
      <c r="CH2522" s="9"/>
    </row>
    <row r="2523" spans="6:86" x14ac:dyDescent="0.25">
      <c r="F2523" s="9"/>
      <c r="G2523" s="9"/>
      <c r="AA2523" s="10"/>
      <c r="AV2523" s="11"/>
      <c r="AW2523" s="11"/>
      <c r="BB2523" s="9"/>
      <c r="BC2523" s="11"/>
      <c r="BF2523" s="9"/>
      <c r="CH2523" s="9"/>
    </row>
    <row r="2524" spans="6:86" x14ac:dyDescent="0.25">
      <c r="F2524" s="9"/>
      <c r="G2524" s="9"/>
      <c r="AA2524" s="10"/>
      <c r="AV2524" s="11"/>
      <c r="AW2524" s="11"/>
      <c r="BB2524" s="9"/>
      <c r="BC2524" s="11"/>
      <c r="BF2524" s="9"/>
      <c r="CF2524" s="12"/>
      <c r="CH2524" s="9"/>
    </row>
    <row r="2525" spans="6:86" x14ac:dyDescent="0.25">
      <c r="F2525" s="9"/>
      <c r="G2525" s="9"/>
      <c r="AA2525" s="10"/>
      <c r="AV2525" s="11"/>
      <c r="AW2525" s="11"/>
      <c r="BB2525" s="9"/>
      <c r="BC2525" s="11"/>
      <c r="BF2525" s="9"/>
      <c r="CF2525" s="12"/>
      <c r="CH2525" s="9"/>
    </row>
    <row r="2526" spans="6:86" x14ac:dyDescent="0.25">
      <c r="F2526" s="9"/>
      <c r="G2526" s="9"/>
      <c r="AA2526" s="10"/>
      <c r="AV2526" s="11"/>
      <c r="AW2526" s="11"/>
      <c r="BB2526" s="9"/>
      <c r="BC2526" s="11"/>
      <c r="BF2526" s="9"/>
      <c r="CF2526" s="12"/>
      <c r="CH2526" s="9"/>
    </row>
    <row r="2527" spans="6:86" x14ac:dyDescent="0.25">
      <c r="F2527" s="9"/>
      <c r="G2527" s="9"/>
      <c r="AA2527" s="10"/>
      <c r="AV2527" s="11"/>
      <c r="AW2527" s="11"/>
      <c r="BB2527" s="9"/>
      <c r="BC2527" s="11"/>
      <c r="BF2527" s="9"/>
      <c r="CF2527" s="12"/>
      <c r="CH2527" s="9"/>
    </row>
    <row r="2528" spans="6:86" x14ac:dyDescent="0.25">
      <c r="F2528" s="9"/>
      <c r="G2528" s="9"/>
      <c r="AA2528" s="10"/>
      <c r="AV2528" s="11"/>
      <c r="AW2528" s="11"/>
      <c r="BB2528" s="9"/>
      <c r="BC2528" s="11"/>
      <c r="BF2528" s="9"/>
      <c r="CF2528" s="12"/>
      <c r="CH2528" s="9"/>
    </row>
    <row r="2529" spans="6:92" x14ac:dyDescent="0.25">
      <c r="F2529" s="9"/>
      <c r="G2529" s="9"/>
      <c r="AA2529" s="10"/>
      <c r="AV2529" s="11"/>
      <c r="AW2529" s="11"/>
      <c r="BB2529" s="9"/>
      <c r="BC2529" s="11"/>
      <c r="BF2529" s="9"/>
      <c r="CF2529" s="12"/>
      <c r="CH2529" s="9"/>
      <c r="CN2529" s="12"/>
    </row>
    <row r="2530" spans="6:92" x14ac:dyDescent="0.25">
      <c r="F2530" s="9"/>
      <c r="G2530" s="9"/>
      <c r="U2530" s="12"/>
      <c r="AA2530" s="10"/>
      <c r="AV2530" s="11"/>
      <c r="AW2530" s="11"/>
      <c r="BB2530" s="9"/>
      <c r="BC2530" s="11"/>
      <c r="BF2530" s="9"/>
      <c r="CF2530" s="12"/>
      <c r="CH2530" s="9"/>
    </row>
    <row r="2531" spans="6:92" x14ac:dyDescent="0.25">
      <c r="F2531" s="9"/>
      <c r="G2531" s="9"/>
      <c r="U2531" s="12"/>
      <c r="Z2531" s="12"/>
      <c r="AA2531" s="10"/>
      <c r="AV2531" s="11"/>
      <c r="AW2531" s="11"/>
      <c r="BB2531" s="9"/>
      <c r="BC2531" s="11"/>
      <c r="BF2531" s="9"/>
      <c r="CF2531" s="12"/>
      <c r="CH2531" s="9"/>
      <c r="CN2531" s="12"/>
    </row>
    <row r="2532" spans="6:92" x14ac:dyDescent="0.25">
      <c r="F2532" s="9"/>
      <c r="G2532" s="9"/>
      <c r="AA2532" s="10"/>
      <c r="AV2532" s="11"/>
      <c r="AW2532" s="11"/>
      <c r="BB2532" s="9"/>
      <c r="BC2532" s="11"/>
      <c r="BF2532" s="9"/>
      <c r="CF2532" s="12"/>
      <c r="CH2532" s="9"/>
    </row>
    <row r="2533" spans="6:92" x14ac:dyDescent="0.25">
      <c r="F2533" s="9"/>
      <c r="G2533" s="9"/>
      <c r="AA2533" s="10"/>
      <c r="AV2533" s="11"/>
      <c r="AW2533" s="11"/>
      <c r="BB2533" s="9"/>
      <c r="BC2533" s="11"/>
      <c r="BF2533" s="9"/>
      <c r="CF2533" s="12"/>
      <c r="CH2533" s="9"/>
    </row>
    <row r="2534" spans="6:92" x14ac:dyDescent="0.25">
      <c r="F2534" s="9"/>
      <c r="G2534" s="9"/>
      <c r="AA2534" s="10"/>
      <c r="AV2534" s="11"/>
      <c r="AW2534" s="11"/>
      <c r="BB2534" s="9"/>
      <c r="BC2534" s="11"/>
      <c r="BF2534" s="9"/>
      <c r="CF2534" s="12"/>
      <c r="CH2534" s="9"/>
    </row>
    <row r="2535" spans="6:92" x14ac:dyDescent="0.25">
      <c r="F2535" s="9"/>
      <c r="G2535" s="9"/>
      <c r="AA2535" s="10"/>
      <c r="AV2535" s="11"/>
      <c r="AW2535" s="11"/>
      <c r="BB2535" s="9"/>
      <c r="BC2535" s="11"/>
      <c r="BF2535" s="9"/>
      <c r="CF2535" s="12"/>
      <c r="CH2535" s="9"/>
    </row>
    <row r="2536" spans="6:92" x14ac:dyDescent="0.25">
      <c r="F2536" s="9"/>
      <c r="G2536" s="9"/>
      <c r="AA2536" s="10"/>
      <c r="AV2536" s="11"/>
      <c r="AW2536" s="11"/>
      <c r="BB2536" s="9"/>
      <c r="BC2536" s="11"/>
      <c r="BF2536" s="9"/>
      <c r="CH2536" s="9"/>
    </row>
    <row r="2537" spans="6:92" x14ac:dyDescent="0.25">
      <c r="F2537" s="9"/>
      <c r="G2537" s="9"/>
      <c r="AA2537" s="10"/>
      <c r="AV2537" s="11"/>
      <c r="AW2537" s="11"/>
      <c r="BB2537" s="9"/>
      <c r="BC2537" s="11"/>
      <c r="BF2537" s="9"/>
      <c r="CH2537" s="9"/>
    </row>
    <row r="2538" spans="6:92" x14ac:dyDescent="0.25">
      <c r="F2538" s="9"/>
      <c r="G2538" s="9"/>
      <c r="AA2538" s="10"/>
      <c r="AV2538" s="11"/>
      <c r="AW2538" s="11"/>
      <c r="BB2538" s="9"/>
      <c r="BC2538" s="11"/>
      <c r="BF2538" s="9"/>
      <c r="CF2538" s="12"/>
      <c r="CH2538" s="9"/>
    </row>
    <row r="2539" spans="6:92" x14ac:dyDescent="0.25">
      <c r="F2539" s="9"/>
      <c r="G2539" s="9"/>
      <c r="AA2539" s="10"/>
      <c r="AV2539" s="11"/>
      <c r="AW2539" s="11"/>
      <c r="BB2539" s="9"/>
      <c r="BC2539" s="11"/>
      <c r="BF2539" s="9"/>
      <c r="CF2539" s="12"/>
      <c r="CH2539" s="9"/>
    </row>
    <row r="2540" spans="6:92" x14ac:dyDescent="0.25">
      <c r="F2540" s="9"/>
      <c r="G2540" s="9"/>
      <c r="AA2540" s="10"/>
      <c r="AV2540" s="11"/>
      <c r="AW2540" s="11"/>
      <c r="BB2540" s="9"/>
      <c r="BC2540" s="11"/>
      <c r="BF2540" s="9"/>
      <c r="CH2540" s="9"/>
    </row>
    <row r="2541" spans="6:92" x14ac:dyDescent="0.25">
      <c r="F2541" s="9"/>
      <c r="G2541" s="9"/>
      <c r="AA2541" s="10"/>
      <c r="AV2541" s="11"/>
      <c r="AW2541" s="11"/>
      <c r="BB2541" s="9"/>
      <c r="BC2541" s="11"/>
      <c r="BF2541" s="9"/>
      <c r="CH2541" s="9"/>
    </row>
    <row r="2542" spans="6:92" x14ac:dyDescent="0.25">
      <c r="F2542" s="9"/>
      <c r="G2542" s="9"/>
      <c r="AA2542" s="10"/>
      <c r="AV2542" s="11"/>
      <c r="AW2542" s="11"/>
      <c r="BB2542" s="9"/>
      <c r="BC2542" s="11"/>
      <c r="BF2542" s="9"/>
      <c r="CF2542" s="12"/>
      <c r="CH2542" s="9"/>
    </row>
    <row r="2543" spans="6:92" x14ac:dyDescent="0.25">
      <c r="F2543" s="9"/>
      <c r="G2543" s="9"/>
      <c r="AA2543" s="10"/>
      <c r="AV2543" s="11"/>
      <c r="AW2543" s="11"/>
      <c r="BB2543" s="9"/>
      <c r="BC2543" s="11"/>
      <c r="BF2543" s="9"/>
      <c r="CF2543" s="12"/>
      <c r="CH2543" s="9"/>
    </row>
    <row r="2544" spans="6:92" x14ac:dyDescent="0.25">
      <c r="F2544" s="9"/>
      <c r="G2544" s="9"/>
      <c r="AA2544" s="10"/>
      <c r="AV2544" s="11"/>
      <c r="AW2544" s="11"/>
      <c r="BB2544" s="9"/>
      <c r="BC2544" s="11"/>
      <c r="BF2544" s="9"/>
      <c r="CF2544" s="12"/>
      <c r="CH2544" s="9"/>
    </row>
    <row r="2545" spans="6:86" x14ac:dyDescent="0.25">
      <c r="F2545" s="9"/>
      <c r="G2545" s="9"/>
      <c r="AA2545" s="10"/>
      <c r="AV2545" s="11"/>
      <c r="AW2545" s="11"/>
      <c r="BB2545" s="9"/>
      <c r="BC2545" s="11"/>
      <c r="BF2545" s="9"/>
      <c r="CF2545" s="12"/>
      <c r="CH2545" s="9"/>
    </row>
    <row r="2546" spans="6:86" x14ac:dyDescent="0.25">
      <c r="F2546" s="9"/>
      <c r="G2546" s="9"/>
      <c r="AA2546" s="10"/>
      <c r="AV2546" s="11"/>
      <c r="AW2546" s="11"/>
      <c r="BB2546" s="9"/>
      <c r="BC2546" s="11"/>
      <c r="BF2546" s="9"/>
      <c r="CF2546" s="12"/>
      <c r="CH2546" s="9"/>
    </row>
    <row r="2547" spans="6:86" x14ac:dyDescent="0.25">
      <c r="F2547" s="9"/>
      <c r="G2547" s="9"/>
      <c r="AA2547" s="10"/>
      <c r="AV2547" s="11"/>
      <c r="AW2547" s="11"/>
      <c r="BB2547" s="9"/>
      <c r="BC2547" s="11"/>
      <c r="BF2547" s="9"/>
      <c r="CF2547" s="12"/>
      <c r="CH2547" s="9"/>
    </row>
    <row r="2548" spans="6:86" x14ac:dyDescent="0.25">
      <c r="F2548" s="9"/>
      <c r="G2548" s="9"/>
      <c r="AA2548" s="10"/>
      <c r="AV2548" s="11"/>
      <c r="AW2548" s="11"/>
      <c r="BB2548" s="9"/>
      <c r="BC2548" s="11"/>
      <c r="BF2548" s="9"/>
      <c r="CH2548" s="9"/>
    </row>
    <row r="2549" spans="6:86" x14ac:dyDescent="0.25">
      <c r="F2549" s="9"/>
      <c r="G2549" s="9"/>
      <c r="AA2549" s="10"/>
      <c r="AV2549" s="11"/>
      <c r="AW2549" s="11"/>
      <c r="BB2549" s="9"/>
      <c r="BC2549" s="11"/>
      <c r="BF2549" s="9"/>
      <c r="CF2549" s="12"/>
      <c r="CH2549" s="9"/>
    </row>
    <row r="2550" spans="6:86" x14ac:dyDescent="0.25">
      <c r="F2550" s="9"/>
      <c r="G2550" s="9"/>
      <c r="AA2550" s="10"/>
      <c r="AV2550" s="11"/>
      <c r="AW2550" s="11"/>
      <c r="BB2550" s="9"/>
      <c r="BC2550" s="11"/>
      <c r="BF2550" s="9"/>
      <c r="CF2550" s="12"/>
      <c r="CH2550" s="9"/>
    </row>
    <row r="2551" spans="6:86" x14ac:dyDescent="0.25">
      <c r="F2551" s="9"/>
      <c r="G2551" s="9"/>
      <c r="AA2551" s="10"/>
      <c r="AV2551" s="11"/>
      <c r="AW2551" s="11"/>
      <c r="BB2551" s="9"/>
      <c r="BC2551" s="11"/>
      <c r="BF2551" s="9"/>
      <c r="CF2551" s="12"/>
      <c r="CH2551" s="9"/>
    </row>
    <row r="2552" spans="6:86" x14ac:dyDescent="0.25">
      <c r="F2552" s="9"/>
      <c r="G2552" s="9"/>
      <c r="AA2552" s="10"/>
      <c r="AV2552" s="11"/>
      <c r="AW2552" s="11"/>
      <c r="BB2552" s="9"/>
      <c r="BC2552" s="11"/>
      <c r="BF2552" s="9"/>
      <c r="CF2552" s="12"/>
      <c r="CH2552" s="9"/>
    </row>
    <row r="2553" spans="6:86" x14ac:dyDescent="0.25">
      <c r="F2553" s="9"/>
      <c r="G2553" s="9"/>
      <c r="AA2553" s="10"/>
      <c r="AV2553" s="11"/>
      <c r="AW2553" s="11"/>
      <c r="BB2553" s="9"/>
      <c r="BC2553" s="11"/>
      <c r="BF2553" s="9"/>
      <c r="CF2553" s="12"/>
      <c r="CH2553" s="9"/>
    </row>
    <row r="2554" spans="6:86" x14ac:dyDescent="0.25">
      <c r="F2554" s="9"/>
      <c r="G2554" s="9"/>
      <c r="AA2554" s="10"/>
      <c r="AV2554" s="11"/>
      <c r="AW2554" s="11"/>
      <c r="BB2554" s="9"/>
      <c r="BC2554" s="11"/>
      <c r="BF2554" s="9"/>
      <c r="CF2554" s="12"/>
      <c r="CH2554" s="9"/>
    </row>
    <row r="2555" spans="6:86" x14ac:dyDescent="0.25">
      <c r="F2555" s="9"/>
      <c r="G2555" s="9"/>
      <c r="AA2555" s="10"/>
      <c r="AV2555" s="11"/>
      <c r="AW2555" s="11"/>
      <c r="BB2555" s="9"/>
      <c r="BC2555" s="11"/>
      <c r="BF2555" s="9"/>
      <c r="CF2555" s="12"/>
      <c r="CH2555" s="9"/>
    </row>
    <row r="2556" spans="6:86" x14ac:dyDescent="0.25">
      <c r="F2556" s="9"/>
      <c r="G2556" s="9"/>
      <c r="AA2556" s="10"/>
      <c r="AV2556" s="11"/>
      <c r="AW2556" s="11"/>
      <c r="BB2556" s="9"/>
      <c r="BC2556" s="11"/>
      <c r="BF2556" s="9"/>
      <c r="CF2556" s="12"/>
      <c r="CH2556" s="9"/>
    </row>
    <row r="2557" spans="6:86" x14ac:dyDescent="0.25">
      <c r="F2557" s="9"/>
      <c r="G2557" s="9"/>
      <c r="AA2557" s="10"/>
      <c r="AV2557" s="11"/>
      <c r="AW2557" s="11"/>
      <c r="BB2557" s="9"/>
      <c r="BC2557" s="11"/>
      <c r="BF2557" s="9"/>
      <c r="CF2557" s="12"/>
      <c r="CH2557" s="9"/>
    </row>
    <row r="2558" spans="6:86" x14ac:dyDescent="0.25">
      <c r="F2558" s="9"/>
      <c r="G2558" s="9"/>
      <c r="AA2558" s="10"/>
      <c r="AV2558" s="11"/>
      <c r="AW2558" s="11"/>
      <c r="BB2558" s="9"/>
      <c r="BC2558" s="11"/>
      <c r="BF2558" s="9"/>
      <c r="CH2558" s="9"/>
    </row>
    <row r="2559" spans="6:86" x14ac:dyDescent="0.25">
      <c r="F2559" s="9"/>
      <c r="G2559" s="9"/>
      <c r="AA2559" s="10"/>
      <c r="AV2559" s="11"/>
      <c r="AW2559" s="11"/>
      <c r="BB2559" s="9"/>
      <c r="BC2559" s="11"/>
      <c r="BF2559" s="9"/>
      <c r="CF2559" s="12"/>
      <c r="CH2559" s="9"/>
    </row>
    <row r="2560" spans="6:86" x14ac:dyDescent="0.25">
      <c r="F2560" s="9"/>
      <c r="G2560" s="9"/>
      <c r="AA2560" s="10"/>
      <c r="AV2560" s="11"/>
      <c r="AW2560" s="11"/>
      <c r="BB2560" s="9"/>
      <c r="BC2560" s="11"/>
      <c r="BF2560" s="9"/>
      <c r="CH2560" s="9"/>
    </row>
    <row r="2561" spans="6:86" x14ac:dyDescent="0.25">
      <c r="F2561" s="9"/>
      <c r="G2561" s="9"/>
      <c r="AA2561" s="10"/>
      <c r="AV2561" s="11"/>
      <c r="AW2561" s="11"/>
      <c r="BB2561" s="9"/>
      <c r="BC2561" s="11"/>
      <c r="BF2561" s="9"/>
      <c r="CF2561" s="12"/>
      <c r="CH2561" s="9"/>
    </row>
    <row r="2562" spans="6:86" x14ac:dyDescent="0.25">
      <c r="F2562" s="9"/>
      <c r="G2562" s="9"/>
      <c r="AA2562" s="10"/>
      <c r="AV2562" s="11"/>
      <c r="AW2562" s="11"/>
      <c r="BB2562" s="9"/>
      <c r="BC2562" s="11"/>
      <c r="BF2562" s="9"/>
      <c r="CH2562" s="9"/>
    </row>
    <row r="2563" spans="6:86" x14ac:dyDescent="0.25">
      <c r="F2563" s="9"/>
      <c r="G2563" s="9"/>
      <c r="AA2563" s="10"/>
      <c r="AV2563" s="11"/>
      <c r="AW2563" s="11"/>
      <c r="BB2563" s="9"/>
      <c r="BC2563" s="11"/>
      <c r="BF2563" s="9"/>
      <c r="CF2563" s="12"/>
      <c r="CH2563" s="9"/>
    </row>
    <row r="2564" spans="6:86" x14ac:dyDescent="0.25">
      <c r="F2564" s="9"/>
      <c r="G2564" s="9"/>
      <c r="AA2564" s="10"/>
      <c r="AV2564" s="11"/>
      <c r="AW2564" s="11"/>
      <c r="BB2564" s="9"/>
      <c r="BC2564" s="11"/>
      <c r="BF2564" s="9"/>
      <c r="CF2564" s="12"/>
      <c r="CH2564" s="9"/>
    </row>
    <row r="2565" spans="6:86" x14ac:dyDescent="0.25">
      <c r="F2565" s="9"/>
      <c r="G2565" s="9"/>
      <c r="AA2565" s="10"/>
      <c r="AV2565" s="11"/>
      <c r="AW2565" s="11"/>
      <c r="BB2565" s="9"/>
      <c r="BC2565" s="11"/>
      <c r="BF2565" s="9"/>
      <c r="CF2565" s="12"/>
      <c r="CH2565" s="9"/>
    </row>
    <row r="2566" spans="6:86" x14ac:dyDescent="0.25">
      <c r="F2566" s="9"/>
      <c r="G2566" s="9"/>
      <c r="AA2566" s="10"/>
      <c r="AV2566" s="11"/>
      <c r="AW2566" s="11"/>
      <c r="BB2566" s="9"/>
      <c r="BC2566" s="11"/>
      <c r="BF2566" s="9"/>
      <c r="CF2566" s="12"/>
      <c r="CH2566" s="9"/>
    </row>
    <row r="2567" spans="6:86" x14ac:dyDescent="0.25">
      <c r="F2567" s="9"/>
      <c r="G2567" s="9"/>
      <c r="AA2567" s="10"/>
      <c r="AV2567" s="11"/>
      <c r="AW2567" s="11"/>
      <c r="BB2567" s="9"/>
      <c r="BC2567" s="11"/>
      <c r="BF2567" s="9"/>
      <c r="CF2567" s="12"/>
      <c r="CH2567" s="9"/>
    </row>
    <row r="2568" spans="6:86" x14ac:dyDescent="0.25">
      <c r="F2568" s="9"/>
      <c r="G2568" s="9"/>
      <c r="AA2568" s="10"/>
      <c r="AV2568" s="11"/>
      <c r="AW2568" s="11"/>
      <c r="BB2568" s="9"/>
      <c r="BC2568" s="11"/>
      <c r="BF2568" s="9"/>
      <c r="CF2568" s="12"/>
      <c r="CH2568" s="9"/>
    </row>
    <row r="2569" spans="6:86" x14ac:dyDescent="0.25">
      <c r="F2569" s="9"/>
      <c r="G2569" s="9"/>
      <c r="AA2569" s="10"/>
      <c r="AV2569" s="11"/>
      <c r="AW2569" s="11"/>
      <c r="BB2569" s="9"/>
      <c r="BC2569" s="11"/>
      <c r="BF2569" s="9"/>
      <c r="CH2569" s="9"/>
    </row>
    <row r="2570" spans="6:86" x14ac:dyDescent="0.25">
      <c r="F2570" s="9"/>
      <c r="G2570" s="9"/>
      <c r="AA2570" s="10"/>
      <c r="AV2570" s="11"/>
      <c r="AW2570" s="11"/>
      <c r="BB2570" s="9"/>
      <c r="BC2570" s="11"/>
      <c r="BF2570" s="9"/>
      <c r="CF2570" s="12"/>
      <c r="CH2570" s="9"/>
    </row>
    <row r="2571" spans="6:86" x14ac:dyDescent="0.25">
      <c r="F2571" s="9"/>
      <c r="G2571" s="9"/>
      <c r="AA2571" s="10"/>
      <c r="AV2571" s="11"/>
      <c r="AW2571" s="11"/>
      <c r="BB2571" s="9"/>
      <c r="BC2571" s="11"/>
      <c r="BF2571" s="9"/>
      <c r="CF2571" s="12"/>
      <c r="CH2571" s="9"/>
    </row>
    <row r="2572" spans="6:86" x14ac:dyDescent="0.25">
      <c r="F2572" s="9"/>
      <c r="G2572" s="9"/>
      <c r="AA2572" s="10"/>
      <c r="AV2572" s="11"/>
      <c r="AW2572" s="11"/>
      <c r="BB2572" s="9"/>
      <c r="BC2572" s="11"/>
      <c r="BF2572" s="9"/>
      <c r="CF2572" s="12"/>
      <c r="CH2572" s="9"/>
    </row>
    <row r="2573" spans="6:86" x14ac:dyDescent="0.25">
      <c r="F2573" s="9"/>
      <c r="G2573" s="9"/>
      <c r="AA2573" s="10"/>
      <c r="AV2573" s="11"/>
      <c r="AW2573" s="11"/>
      <c r="BB2573" s="9"/>
      <c r="BC2573" s="11"/>
      <c r="BF2573" s="9"/>
      <c r="CF2573" s="12"/>
      <c r="CH2573" s="9"/>
    </row>
    <row r="2574" spans="6:86" x14ac:dyDescent="0.25">
      <c r="F2574" s="9"/>
      <c r="G2574" s="9"/>
      <c r="AA2574" s="10"/>
      <c r="AV2574" s="11"/>
      <c r="AW2574" s="11"/>
      <c r="BB2574" s="9"/>
      <c r="BC2574" s="11"/>
      <c r="BF2574" s="9"/>
      <c r="CF2574" s="12"/>
      <c r="CH2574" s="9"/>
    </row>
    <row r="2575" spans="6:86" x14ac:dyDescent="0.25">
      <c r="F2575" s="9"/>
      <c r="G2575" s="9"/>
      <c r="AA2575" s="10"/>
      <c r="AV2575" s="11"/>
      <c r="AW2575" s="11"/>
      <c r="BB2575" s="9"/>
      <c r="BC2575" s="11"/>
      <c r="BF2575" s="9"/>
      <c r="CF2575" s="12"/>
      <c r="CH2575" s="9"/>
    </row>
    <row r="2576" spans="6:86" x14ac:dyDescent="0.25">
      <c r="F2576" s="9"/>
      <c r="G2576" s="9"/>
      <c r="AA2576" s="10"/>
      <c r="AV2576" s="11"/>
      <c r="AW2576" s="11"/>
      <c r="BB2576" s="9"/>
      <c r="BC2576" s="11"/>
      <c r="BF2576" s="9"/>
      <c r="CF2576" s="12"/>
      <c r="CH2576" s="9"/>
    </row>
    <row r="2577" spans="6:86" x14ac:dyDescent="0.25">
      <c r="F2577" s="9"/>
      <c r="G2577" s="9"/>
      <c r="AA2577" s="10"/>
      <c r="AV2577" s="11"/>
      <c r="AW2577" s="11"/>
      <c r="BB2577" s="9"/>
      <c r="BC2577" s="11"/>
      <c r="BF2577" s="9"/>
      <c r="CF2577" s="12"/>
      <c r="CH2577" s="9"/>
    </row>
    <row r="2578" spans="6:86" x14ac:dyDescent="0.25">
      <c r="F2578" s="9"/>
      <c r="G2578" s="9"/>
      <c r="AA2578" s="10"/>
      <c r="AV2578" s="11"/>
      <c r="AW2578" s="11"/>
      <c r="BB2578" s="9"/>
      <c r="BC2578" s="11"/>
      <c r="BF2578" s="9"/>
      <c r="CF2578" s="12"/>
      <c r="CH2578" s="9"/>
    </row>
    <row r="2579" spans="6:86" x14ac:dyDescent="0.25">
      <c r="F2579" s="9"/>
      <c r="G2579" s="9"/>
      <c r="AA2579" s="10"/>
      <c r="AV2579" s="11"/>
      <c r="AW2579" s="11"/>
      <c r="BB2579" s="9"/>
      <c r="BC2579" s="11"/>
      <c r="BF2579" s="9"/>
      <c r="CF2579" s="12"/>
      <c r="CH2579" s="9"/>
    </row>
    <row r="2580" spans="6:86" x14ac:dyDescent="0.25">
      <c r="F2580" s="9"/>
      <c r="G2580" s="9"/>
      <c r="AA2580" s="10"/>
      <c r="AV2580" s="11"/>
      <c r="AW2580" s="11"/>
      <c r="BB2580" s="9"/>
      <c r="BC2580" s="11"/>
      <c r="BF2580" s="9"/>
      <c r="CF2580" s="12"/>
      <c r="CH2580" s="9"/>
    </row>
    <row r="2581" spans="6:86" x14ac:dyDescent="0.25">
      <c r="F2581" s="9"/>
      <c r="G2581" s="9"/>
      <c r="AA2581" s="10"/>
      <c r="AV2581" s="11"/>
      <c r="AW2581" s="11"/>
      <c r="BB2581" s="9"/>
      <c r="BC2581" s="11"/>
      <c r="BF2581" s="9"/>
      <c r="CH2581" s="9"/>
    </row>
    <row r="2582" spans="6:86" x14ac:dyDescent="0.25">
      <c r="F2582" s="9"/>
      <c r="G2582" s="9"/>
      <c r="AA2582" s="10"/>
      <c r="AV2582" s="11"/>
      <c r="AW2582" s="11"/>
      <c r="BB2582" s="9"/>
      <c r="BC2582" s="11"/>
      <c r="BF2582" s="9"/>
      <c r="CF2582" s="12"/>
      <c r="CH2582" s="9"/>
    </row>
    <row r="2583" spans="6:86" x14ac:dyDescent="0.25">
      <c r="F2583" s="9"/>
      <c r="G2583" s="9"/>
      <c r="AA2583" s="10"/>
      <c r="AV2583" s="11"/>
      <c r="AW2583" s="11"/>
      <c r="BB2583" s="9"/>
      <c r="BC2583" s="11"/>
      <c r="BF2583" s="9"/>
      <c r="CH2583" s="9"/>
    </row>
    <row r="2584" spans="6:86" x14ac:dyDescent="0.25">
      <c r="F2584" s="9"/>
      <c r="G2584" s="9"/>
      <c r="AA2584" s="10"/>
      <c r="AV2584" s="11"/>
      <c r="AW2584" s="11"/>
      <c r="BB2584" s="9"/>
      <c r="BC2584" s="11"/>
      <c r="BF2584" s="9"/>
      <c r="CF2584" s="12"/>
      <c r="CH2584" s="9"/>
    </row>
    <row r="2585" spans="6:86" x14ac:dyDescent="0.25">
      <c r="F2585" s="9"/>
      <c r="G2585" s="9"/>
      <c r="AA2585" s="10"/>
      <c r="AV2585" s="11"/>
      <c r="AW2585" s="11"/>
      <c r="BB2585" s="9"/>
      <c r="BC2585" s="11"/>
      <c r="BF2585" s="9"/>
      <c r="CF2585" s="12"/>
      <c r="CH2585" s="9"/>
    </row>
    <row r="2586" spans="6:86" x14ac:dyDescent="0.25">
      <c r="F2586" s="9"/>
      <c r="G2586" s="9"/>
      <c r="AA2586" s="10"/>
      <c r="AV2586" s="11"/>
      <c r="AW2586" s="11"/>
      <c r="BB2586" s="9"/>
      <c r="BC2586" s="11"/>
      <c r="BF2586" s="9"/>
      <c r="CF2586" s="12"/>
      <c r="CH2586" s="9"/>
    </row>
    <row r="2587" spans="6:86" x14ac:dyDescent="0.25">
      <c r="F2587" s="9"/>
      <c r="G2587" s="9"/>
      <c r="AA2587" s="10"/>
      <c r="AV2587" s="11"/>
      <c r="AW2587" s="11"/>
      <c r="BB2587" s="9"/>
      <c r="BC2587" s="11"/>
      <c r="BF2587" s="9"/>
      <c r="CF2587" s="12"/>
      <c r="CH2587" s="9"/>
    </row>
    <row r="2588" spans="6:86" x14ac:dyDescent="0.25">
      <c r="F2588" s="9"/>
      <c r="G2588" s="9"/>
      <c r="AA2588" s="10"/>
      <c r="AV2588" s="11"/>
      <c r="AW2588" s="11"/>
      <c r="BB2588" s="9"/>
      <c r="BC2588" s="11"/>
      <c r="BF2588" s="9"/>
      <c r="CF2588" s="12"/>
      <c r="CH2588" s="9"/>
    </row>
    <row r="2589" spans="6:86" x14ac:dyDescent="0.25">
      <c r="F2589" s="9"/>
      <c r="G2589" s="9"/>
      <c r="AA2589" s="10"/>
      <c r="AV2589" s="11"/>
      <c r="AW2589" s="11"/>
      <c r="BB2589" s="9"/>
      <c r="BC2589" s="11"/>
      <c r="BF2589" s="9"/>
      <c r="CF2589" s="12"/>
      <c r="CH2589" s="9"/>
    </row>
    <row r="2590" spans="6:86" x14ac:dyDescent="0.25">
      <c r="F2590" s="9"/>
      <c r="G2590" s="9"/>
      <c r="AA2590" s="10"/>
      <c r="AV2590" s="11"/>
      <c r="AW2590" s="11"/>
      <c r="BB2590" s="9"/>
      <c r="BC2590" s="11"/>
      <c r="BF2590" s="9"/>
      <c r="CH2590" s="9"/>
    </row>
    <row r="2591" spans="6:86" x14ac:dyDescent="0.25">
      <c r="F2591" s="9"/>
      <c r="G2591" s="9"/>
      <c r="AA2591" s="10"/>
      <c r="AV2591" s="11"/>
      <c r="AW2591" s="11"/>
      <c r="BB2591" s="9"/>
      <c r="BC2591" s="11"/>
      <c r="BF2591" s="9"/>
      <c r="CF2591" s="12"/>
      <c r="CH2591" s="9"/>
    </row>
    <row r="2592" spans="6:86" x14ac:dyDescent="0.25">
      <c r="F2592" s="9"/>
      <c r="G2592" s="9"/>
      <c r="AA2592" s="10"/>
      <c r="AV2592" s="11"/>
      <c r="AW2592" s="11"/>
      <c r="BB2592" s="9"/>
      <c r="BC2592" s="11"/>
      <c r="BF2592" s="9"/>
      <c r="CF2592" s="12"/>
      <c r="CH2592" s="9"/>
    </row>
    <row r="2593" spans="6:86" x14ac:dyDescent="0.25">
      <c r="F2593" s="9"/>
      <c r="G2593" s="9"/>
      <c r="AA2593" s="10"/>
      <c r="AV2593" s="11"/>
      <c r="AW2593" s="11"/>
      <c r="BB2593" s="9"/>
      <c r="BC2593" s="11"/>
      <c r="BF2593" s="9"/>
      <c r="CF2593" s="12"/>
      <c r="CH2593" s="9"/>
    </row>
    <row r="2594" spans="6:86" x14ac:dyDescent="0.25">
      <c r="F2594" s="9"/>
      <c r="G2594" s="9"/>
      <c r="AA2594" s="10"/>
      <c r="AV2594" s="11"/>
      <c r="AW2594" s="11"/>
      <c r="BB2594" s="9"/>
      <c r="BC2594" s="11"/>
      <c r="BF2594" s="9"/>
      <c r="CF2594" s="12"/>
      <c r="CH2594" s="9"/>
    </row>
    <row r="2595" spans="6:86" x14ac:dyDescent="0.25">
      <c r="F2595" s="9"/>
      <c r="G2595" s="9"/>
      <c r="AA2595" s="10"/>
      <c r="AV2595" s="11"/>
      <c r="AW2595" s="11"/>
      <c r="BB2595" s="9"/>
      <c r="BC2595" s="11"/>
      <c r="BF2595" s="9"/>
      <c r="CF2595" s="12"/>
      <c r="CH2595" s="9"/>
    </row>
    <row r="2596" spans="6:86" x14ac:dyDescent="0.25">
      <c r="F2596" s="9"/>
      <c r="G2596" s="9"/>
      <c r="AA2596" s="10"/>
      <c r="AV2596" s="11"/>
      <c r="AW2596" s="11"/>
      <c r="BB2596" s="9"/>
      <c r="BC2596" s="11"/>
      <c r="BF2596" s="9"/>
      <c r="CF2596" s="12"/>
      <c r="CH2596" s="9"/>
    </row>
    <row r="2597" spans="6:86" x14ac:dyDescent="0.25">
      <c r="F2597" s="9"/>
      <c r="G2597" s="9"/>
      <c r="AA2597" s="10"/>
      <c r="AV2597" s="11"/>
      <c r="AW2597" s="11"/>
      <c r="BB2597" s="9"/>
      <c r="BC2597" s="11"/>
      <c r="BF2597" s="9"/>
      <c r="CF2597" s="12"/>
      <c r="CH2597" s="9"/>
    </row>
    <row r="2598" spans="6:86" x14ac:dyDescent="0.25">
      <c r="F2598" s="9"/>
      <c r="G2598" s="9"/>
      <c r="AA2598" s="10"/>
      <c r="AV2598" s="11"/>
      <c r="AW2598" s="11"/>
      <c r="BB2598" s="9"/>
      <c r="BC2598" s="11"/>
      <c r="BF2598" s="9"/>
      <c r="CF2598" s="12"/>
      <c r="CH2598" s="9"/>
    </row>
    <row r="2599" spans="6:86" x14ac:dyDescent="0.25">
      <c r="F2599" s="9"/>
      <c r="G2599" s="9"/>
      <c r="AA2599" s="10"/>
      <c r="AV2599" s="11"/>
      <c r="AW2599" s="11"/>
      <c r="BB2599" s="9"/>
      <c r="BC2599" s="11"/>
      <c r="BF2599" s="9"/>
      <c r="CF2599" s="12"/>
      <c r="CH2599" s="9"/>
    </row>
    <row r="2600" spans="6:86" x14ac:dyDescent="0.25">
      <c r="F2600" s="9"/>
      <c r="G2600" s="9"/>
      <c r="AA2600" s="10"/>
      <c r="AV2600" s="11"/>
      <c r="AW2600" s="11"/>
      <c r="BB2600" s="9"/>
      <c r="BC2600" s="11"/>
      <c r="BF2600" s="9"/>
      <c r="CF2600" s="12"/>
      <c r="CH2600" s="9"/>
    </row>
    <row r="2601" spans="6:86" x14ac:dyDescent="0.25">
      <c r="F2601" s="9"/>
      <c r="G2601" s="9"/>
      <c r="AA2601" s="10"/>
      <c r="AV2601" s="11"/>
      <c r="AW2601" s="11"/>
      <c r="BB2601" s="9"/>
      <c r="BC2601" s="11"/>
      <c r="BF2601" s="9"/>
      <c r="CF2601" s="12"/>
      <c r="CH2601" s="9"/>
    </row>
    <row r="2602" spans="6:86" x14ac:dyDescent="0.25">
      <c r="F2602" s="9"/>
      <c r="G2602" s="9"/>
      <c r="AA2602" s="10"/>
      <c r="AV2602" s="11"/>
      <c r="AW2602" s="11"/>
      <c r="BB2602" s="9"/>
      <c r="BC2602" s="11"/>
      <c r="BF2602" s="9"/>
      <c r="CF2602" s="12"/>
      <c r="CH2602" s="9"/>
    </row>
    <row r="2603" spans="6:86" x14ac:dyDescent="0.25">
      <c r="F2603" s="9"/>
      <c r="G2603" s="9"/>
      <c r="AA2603" s="10"/>
      <c r="AV2603" s="11"/>
      <c r="AW2603" s="11"/>
      <c r="BB2603" s="9"/>
      <c r="BC2603" s="11"/>
      <c r="BF2603" s="9"/>
      <c r="CF2603" s="12"/>
      <c r="CH2603" s="9"/>
    </row>
    <row r="2604" spans="6:86" x14ac:dyDescent="0.25">
      <c r="F2604" s="9"/>
      <c r="G2604" s="9"/>
      <c r="AA2604" s="10"/>
      <c r="AV2604" s="11"/>
      <c r="AW2604" s="11"/>
      <c r="BB2604" s="9"/>
      <c r="BC2604" s="11"/>
      <c r="BF2604" s="9"/>
      <c r="CF2604" s="12"/>
      <c r="CH2604" s="9"/>
    </row>
    <row r="2605" spans="6:86" x14ac:dyDescent="0.25">
      <c r="F2605" s="9"/>
      <c r="G2605" s="9"/>
      <c r="AA2605" s="10"/>
      <c r="AV2605" s="11"/>
      <c r="AW2605" s="11"/>
      <c r="BB2605" s="9"/>
      <c r="BC2605" s="11"/>
      <c r="BF2605" s="9"/>
      <c r="CF2605" s="12"/>
      <c r="CH2605" s="9"/>
    </row>
    <row r="2606" spans="6:86" x14ac:dyDescent="0.25">
      <c r="F2606" s="9"/>
      <c r="G2606" s="9"/>
      <c r="AA2606" s="10"/>
      <c r="AV2606" s="11"/>
      <c r="AW2606" s="11"/>
      <c r="BB2606" s="9"/>
      <c r="BC2606" s="11"/>
      <c r="BF2606" s="9"/>
      <c r="CF2606" s="12"/>
      <c r="CH2606" s="9"/>
    </row>
    <row r="2607" spans="6:86" x14ac:dyDescent="0.25">
      <c r="F2607" s="9"/>
      <c r="G2607" s="9"/>
      <c r="AA2607" s="10"/>
      <c r="AV2607" s="11"/>
      <c r="AW2607" s="11"/>
      <c r="BB2607" s="9"/>
      <c r="BC2607" s="11"/>
      <c r="BF2607" s="9"/>
      <c r="CF2607" s="12"/>
      <c r="CH2607" s="9"/>
    </row>
    <row r="2608" spans="6:86" x14ac:dyDescent="0.25">
      <c r="F2608" s="9"/>
      <c r="G2608" s="9"/>
      <c r="AA2608" s="10"/>
      <c r="AV2608" s="11"/>
      <c r="AW2608" s="11"/>
      <c r="BB2608" s="9"/>
      <c r="BC2608" s="11"/>
      <c r="BF2608" s="9"/>
      <c r="CF2608" s="12"/>
      <c r="CH2608" s="9"/>
    </row>
    <row r="2609" spans="6:86" x14ac:dyDescent="0.25">
      <c r="F2609" s="9"/>
      <c r="G2609" s="9"/>
      <c r="AA2609" s="10"/>
      <c r="AV2609" s="11"/>
      <c r="AW2609" s="11"/>
      <c r="BB2609" s="9"/>
      <c r="BC2609" s="11"/>
      <c r="BF2609" s="9"/>
      <c r="CF2609" s="12"/>
      <c r="CH2609" s="9"/>
    </row>
    <row r="2610" spans="6:86" x14ac:dyDescent="0.25">
      <c r="F2610" s="9"/>
      <c r="G2610" s="9"/>
      <c r="AA2610" s="10"/>
      <c r="AV2610" s="11"/>
      <c r="AW2610" s="11"/>
      <c r="BB2610" s="9"/>
      <c r="BC2610" s="11"/>
      <c r="BF2610" s="9"/>
      <c r="CF2610" s="12"/>
      <c r="CH2610" s="9"/>
    </row>
    <row r="2611" spans="6:86" x14ac:dyDescent="0.25">
      <c r="F2611" s="9"/>
      <c r="G2611" s="9"/>
      <c r="AA2611" s="10"/>
      <c r="AV2611" s="11"/>
      <c r="AW2611" s="11"/>
      <c r="BB2611" s="9"/>
      <c r="BC2611" s="11"/>
      <c r="BF2611" s="9"/>
      <c r="CF2611" s="12"/>
      <c r="CH2611" s="9"/>
    </row>
    <row r="2612" spans="6:86" x14ac:dyDescent="0.25">
      <c r="F2612" s="9"/>
      <c r="G2612" s="9"/>
      <c r="AA2612" s="10"/>
      <c r="AV2612" s="11"/>
      <c r="AW2612" s="11"/>
      <c r="BB2612" s="9"/>
      <c r="BC2612" s="11"/>
      <c r="BF2612" s="9"/>
      <c r="CF2612" s="12"/>
      <c r="CH2612" s="9"/>
    </row>
    <row r="2613" spans="6:86" x14ac:dyDescent="0.25">
      <c r="F2613" s="9"/>
      <c r="G2613" s="9"/>
      <c r="AA2613" s="10"/>
      <c r="AV2613" s="11"/>
      <c r="AW2613" s="11"/>
      <c r="BB2613" s="9"/>
      <c r="BC2613" s="11"/>
      <c r="BF2613" s="9"/>
      <c r="CF2613" s="12"/>
      <c r="CH2613" s="9"/>
    </row>
    <row r="2614" spans="6:86" x14ac:dyDescent="0.25">
      <c r="F2614" s="9"/>
      <c r="G2614" s="9"/>
      <c r="AA2614" s="10"/>
      <c r="AV2614" s="11"/>
      <c r="AW2614" s="11"/>
      <c r="BB2614" s="9"/>
      <c r="BC2614" s="11"/>
      <c r="BF2614" s="9"/>
      <c r="CF2614" s="12"/>
      <c r="CH2614" s="9"/>
    </row>
    <row r="2615" spans="6:86" x14ac:dyDescent="0.25">
      <c r="F2615" s="9"/>
      <c r="G2615" s="9"/>
      <c r="AA2615" s="10"/>
      <c r="AV2615" s="11"/>
      <c r="AW2615" s="11"/>
      <c r="BB2615" s="9"/>
      <c r="BC2615" s="11"/>
      <c r="BF2615" s="9"/>
      <c r="CF2615" s="12"/>
      <c r="CH2615" s="9"/>
    </row>
    <row r="2616" spans="6:86" x14ac:dyDescent="0.25">
      <c r="F2616" s="9"/>
      <c r="G2616" s="9"/>
      <c r="AA2616" s="10"/>
      <c r="AV2616" s="11"/>
      <c r="AW2616" s="11"/>
      <c r="BB2616" s="9"/>
      <c r="BC2616" s="11"/>
      <c r="BF2616" s="9"/>
      <c r="CF2616" s="12"/>
      <c r="CH2616" s="9"/>
    </row>
    <row r="2617" spans="6:86" x14ac:dyDescent="0.25">
      <c r="F2617" s="9"/>
      <c r="G2617" s="9"/>
      <c r="AA2617" s="10"/>
      <c r="AV2617" s="11"/>
      <c r="AW2617" s="11"/>
      <c r="BB2617" s="9"/>
      <c r="BC2617" s="11"/>
      <c r="BF2617" s="9"/>
      <c r="CH2617" s="9"/>
    </row>
    <row r="2618" spans="6:86" x14ac:dyDescent="0.25">
      <c r="F2618" s="9"/>
      <c r="G2618" s="9"/>
      <c r="AA2618" s="10"/>
      <c r="AV2618" s="11"/>
      <c r="AW2618" s="11"/>
      <c r="BB2618" s="9"/>
      <c r="BC2618" s="11"/>
      <c r="BF2618" s="9"/>
      <c r="CF2618" s="12"/>
      <c r="CH2618" s="9"/>
    </row>
    <row r="2619" spans="6:86" x14ac:dyDescent="0.25">
      <c r="F2619" s="9"/>
      <c r="G2619" s="9"/>
      <c r="AA2619" s="10"/>
      <c r="AV2619" s="11"/>
      <c r="AW2619" s="11"/>
      <c r="BB2619" s="9"/>
      <c r="BC2619" s="11"/>
      <c r="BF2619" s="9"/>
      <c r="CF2619" s="12"/>
      <c r="CH2619" s="9"/>
    </row>
    <row r="2620" spans="6:86" x14ac:dyDescent="0.25">
      <c r="F2620" s="9"/>
      <c r="G2620" s="9"/>
      <c r="AA2620" s="10"/>
      <c r="AV2620" s="11"/>
      <c r="AW2620" s="11"/>
      <c r="BB2620" s="9"/>
      <c r="BC2620" s="11"/>
      <c r="BF2620" s="9"/>
      <c r="CF2620" s="12"/>
      <c r="CH2620" s="9"/>
    </row>
    <row r="2621" spans="6:86" x14ac:dyDescent="0.25">
      <c r="F2621" s="9"/>
      <c r="G2621" s="9"/>
      <c r="AA2621" s="10"/>
      <c r="AV2621" s="11"/>
      <c r="AW2621" s="11"/>
      <c r="BB2621" s="9"/>
      <c r="BC2621" s="11"/>
      <c r="BF2621" s="9"/>
      <c r="CF2621" s="12"/>
      <c r="CH2621" s="9"/>
    </row>
    <row r="2622" spans="6:86" x14ac:dyDescent="0.25">
      <c r="F2622" s="9"/>
      <c r="G2622" s="9"/>
      <c r="AA2622" s="10"/>
      <c r="AV2622" s="11"/>
      <c r="AW2622" s="11"/>
      <c r="BB2622" s="9"/>
      <c r="BC2622" s="11"/>
      <c r="BF2622" s="9"/>
      <c r="CF2622" s="12"/>
      <c r="CH2622" s="9"/>
    </row>
    <row r="2623" spans="6:86" x14ac:dyDescent="0.25">
      <c r="F2623" s="9"/>
      <c r="G2623" s="9"/>
      <c r="AA2623" s="10"/>
      <c r="AV2623" s="11"/>
      <c r="AW2623" s="11"/>
      <c r="BB2623" s="9"/>
      <c r="BC2623" s="11"/>
      <c r="BF2623" s="9"/>
      <c r="CF2623" s="12"/>
      <c r="CH2623" s="9"/>
    </row>
    <row r="2624" spans="6:86" x14ac:dyDescent="0.25">
      <c r="F2624" s="9"/>
      <c r="G2624" s="9"/>
      <c r="AA2624" s="10"/>
      <c r="AV2624" s="11"/>
      <c r="AW2624" s="11"/>
      <c r="BB2624" s="9"/>
      <c r="BC2624" s="11"/>
      <c r="BF2624" s="9"/>
      <c r="CH2624" s="9"/>
    </row>
    <row r="2625" spans="6:86" x14ac:dyDescent="0.25">
      <c r="F2625" s="9"/>
      <c r="G2625" s="9"/>
      <c r="AA2625" s="10"/>
      <c r="AV2625" s="11"/>
      <c r="AW2625" s="11"/>
      <c r="BB2625" s="9"/>
      <c r="BC2625" s="11"/>
      <c r="BF2625" s="9"/>
      <c r="CF2625" s="12"/>
      <c r="CH2625" s="9"/>
    </row>
    <row r="2626" spans="6:86" x14ac:dyDescent="0.25">
      <c r="F2626" s="9"/>
      <c r="G2626" s="9"/>
      <c r="AA2626" s="10"/>
      <c r="AV2626" s="11"/>
      <c r="AW2626" s="11"/>
      <c r="BB2626" s="9"/>
      <c r="BC2626" s="11"/>
      <c r="BF2626" s="9"/>
      <c r="CF2626" s="12"/>
      <c r="CH2626" s="9"/>
    </row>
    <row r="2627" spans="6:86" x14ac:dyDescent="0.25">
      <c r="F2627" s="9"/>
      <c r="G2627" s="9"/>
      <c r="AA2627" s="10"/>
      <c r="AV2627" s="11"/>
      <c r="AW2627" s="11"/>
      <c r="BB2627" s="9"/>
      <c r="BC2627" s="11"/>
      <c r="BF2627" s="9"/>
      <c r="CH2627" s="9"/>
    </row>
    <row r="2628" spans="6:86" x14ac:dyDescent="0.25">
      <c r="F2628" s="9"/>
      <c r="G2628" s="9"/>
      <c r="AA2628" s="10"/>
      <c r="AV2628" s="11"/>
      <c r="AW2628" s="11"/>
      <c r="BB2628" s="9"/>
      <c r="BC2628" s="11"/>
      <c r="BF2628" s="9"/>
      <c r="CH2628" s="9"/>
    </row>
    <row r="2629" spans="6:86" x14ac:dyDescent="0.25">
      <c r="F2629" s="9"/>
      <c r="G2629" s="9"/>
      <c r="AA2629" s="10"/>
      <c r="AV2629" s="11"/>
      <c r="AW2629" s="11"/>
      <c r="BB2629" s="9"/>
      <c r="BC2629" s="11"/>
      <c r="BF2629" s="9"/>
      <c r="CF2629" s="12"/>
      <c r="CH2629" s="9"/>
    </row>
    <row r="2630" spans="6:86" x14ac:dyDescent="0.25">
      <c r="F2630" s="9"/>
      <c r="G2630" s="9"/>
      <c r="AA2630" s="10"/>
      <c r="AV2630" s="11"/>
      <c r="AW2630" s="11"/>
      <c r="BB2630" s="9"/>
      <c r="BC2630" s="11"/>
      <c r="BF2630" s="9"/>
      <c r="CF2630" s="12"/>
      <c r="CH2630" s="9"/>
    </row>
    <row r="2631" spans="6:86" x14ac:dyDescent="0.25">
      <c r="F2631" s="9"/>
      <c r="G2631" s="9"/>
      <c r="AA2631" s="10"/>
      <c r="AV2631" s="11"/>
      <c r="AW2631" s="11"/>
      <c r="BB2631" s="9"/>
      <c r="BC2631" s="11"/>
      <c r="BF2631" s="9"/>
      <c r="CF2631" s="12"/>
      <c r="CH2631" s="9"/>
    </row>
    <row r="2632" spans="6:86" x14ac:dyDescent="0.25">
      <c r="F2632" s="9"/>
      <c r="G2632" s="9"/>
      <c r="AA2632" s="10"/>
      <c r="AV2632" s="11"/>
      <c r="AW2632" s="11"/>
      <c r="BB2632" s="9"/>
      <c r="BC2632" s="11"/>
      <c r="BF2632" s="9"/>
      <c r="CF2632" s="12"/>
      <c r="CH2632" s="9"/>
    </row>
    <row r="2633" spans="6:86" x14ac:dyDescent="0.25">
      <c r="F2633" s="9"/>
      <c r="G2633" s="9"/>
      <c r="AA2633" s="10"/>
      <c r="AV2633" s="11"/>
      <c r="AW2633" s="11"/>
      <c r="BB2633" s="9"/>
      <c r="BC2633" s="11"/>
      <c r="BF2633" s="9"/>
      <c r="CF2633" s="12"/>
      <c r="CH2633" s="9"/>
    </row>
    <row r="2634" spans="6:86" x14ac:dyDescent="0.25">
      <c r="F2634" s="9"/>
      <c r="G2634" s="9"/>
      <c r="AA2634" s="10"/>
      <c r="AV2634" s="11"/>
      <c r="AW2634" s="11"/>
      <c r="BB2634" s="9"/>
      <c r="BC2634" s="11"/>
      <c r="BF2634" s="9"/>
      <c r="CF2634" s="12"/>
      <c r="CH2634" s="9"/>
    </row>
    <row r="2635" spans="6:86" x14ac:dyDescent="0.25">
      <c r="F2635" s="9"/>
      <c r="G2635" s="9"/>
      <c r="AA2635" s="10"/>
      <c r="AV2635" s="11"/>
      <c r="AW2635" s="11"/>
      <c r="BB2635" s="9"/>
      <c r="BC2635" s="11"/>
      <c r="BF2635" s="9"/>
      <c r="CF2635" s="12"/>
      <c r="CH2635" s="9"/>
    </row>
    <row r="2636" spans="6:86" x14ac:dyDescent="0.25">
      <c r="F2636" s="9"/>
      <c r="G2636" s="9"/>
      <c r="AA2636" s="10"/>
      <c r="AV2636" s="11"/>
      <c r="AW2636" s="11"/>
      <c r="BB2636" s="9"/>
      <c r="BC2636" s="11"/>
      <c r="BF2636" s="9"/>
      <c r="CF2636" s="12"/>
      <c r="CH2636" s="9"/>
    </row>
    <row r="2637" spans="6:86" x14ac:dyDescent="0.25">
      <c r="F2637" s="9"/>
      <c r="G2637" s="9"/>
      <c r="AA2637" s="10"/>
      <c r="AV2637" s="11"/>
      <c r="AW2637" s="11"/>
      <c r="BB2637" s="9"/>
      <c r="BC2637" s="11"/>
      <c r="BF2637" s="9"/>
      <c r="CF2637" s="12"/>
      <c r="CH2637" s="9"/>
    </row>
    <row r="2638" spans="6:86" x14ac:dyDescent="0.25">
      <c r="F2638" s="9"/>
      <c r="G2638" s="9"/>
      <c r="AA2638" s="10"/>
      <c r="AV2638" s="11"/>
      <c r="AW2638" s="11"/>
      <c r="BB2638" s="9"/>
      <c r="BC2638" s="11"/>
      <c r="BF2638" s="9"/>
      <c r="CF2638" s="12"/>
      <c r="CH2638" s="9"/>
    </row>
    <row r="2639" spans="6:86" x14ac:dyDescent="0.25">
      <c r="F2639" s="9"/>
      <c r="G2639" s="9"/>
      <c r="AA2639" s="10"/>
      <c r="AV2639" s="11"/>
      <c r="AW2639" s="11"/>
      <c r="BB2639" s="9"/>
      <c r="BC2639" s="11"/>
      <c r="BF2639" s="9"/>
      <c r="CF2639" s="12"/>
      <c r="CH2639" s="9"/>
    </row>
    <row r="2640" spans="6:86" x14ac:dyDescent="0.25">
      <c r="F2640" s="9"/>
      <c r="G2640" s="9"/>
      <c r="AA2640" s="10"/>
      <c r="AM2640" s="9"/>
      <c r="AV2640" s="11"/>
      <c r="AW2640" s="11"/>
      <c r="BB2640" s="9"/>
      <c r="BC2640" s="11"/>
      <c r="BF2640" s="9"/>
      <c r="CF2640" s="12"/>
      <c r="CH2640" s="9"/>
    </row>
    <row r="2641" spans="6:86" x14ac:dyDescent="0.25">
      <c r="F2641" s="9"/>
      <c r="G2641" s="9"/>
      <c r="AA2641" s="10"/>
      <c r="AM2641" s="9"/>
      <c r="AV2641" s="11"/>
      <c r="AW2641" s="11"/>
      <c r="BB2641" s="9"/>
      <c r="BC2641" s="11"/>
      <c r="BF2641" s="9"/>
      <c r="CF2641" s="12"/>
      <c r="CH2641" s="9"/>
    </row>
    <row r="2642" spans="6:86" x14ac:dyDescent="0.25">
      <c r="F2642" s="9"/>
      <c r="G2642" s="9"/>
      <c r="AA2642" s="10"/>
      <c r="AM2642" s="9"/>
      <c r="AV2642" s="11"/>
      <c r="AW2642" s="11"/>
      <c r="BB2642" s="9"/>
      <c r="BC2642" s="11"/>
      <c r="BF2642" s="9"/>
      <c r="CF2642" s="12"/>
      <c r="CH2642" s="9"/>
    </row>
    <row r="2643" spans="6:86" x14ac:dyDescent="0.25">
      <c r="F2643" s="9"/>
      <c r="G2643" s="9"/>
      <c r="AA2643" s="10"/>
      <c r="AM2643" s="9"/>
      <c r="AV2643" s="11"/>
      <c r="AW2643" s="11"/>
      <c r="BB2643" s="9"/>
      <c r="BC2643" s="11"/>
      <c r="BF2643" s="9"/>
      <c r="CF2643" s="12"/>
      <c r="CH2643" s="9"/>
    </row>
    <row r="2644" spans="6:86" x14ac:dyDescent="0.25">
      <c r="F2644" s="9"/>
      <c r="G2644" s="9"/>
      <c r="AA2644" s="10"/>
      <c r="AM2644" s="9"/>
      <c r="AV2644" s="11"/>
      <c r="AW2644" s="11"/>
      <c r="BB2644" s="9"/>
      <c r="BC2644" s="11"/>
      <c r="BF2644" s="9"/>
      <c r="CF2644" s="12"/>
      <c r="CH2644" s="9"/>
    </row>
    <row r="2645" spans="6:86" x14ac:dyDescent="0.25">
      <c r="F2645" s="9"/>
      <c r="G2645" s="9"/>
      <c r="AA2645" s="10"/>
      <c r="AM2645" s="9"/>
      <c r="AV2645" s="11"/>
      <c r="AW2645" s="11"/>
      <c r="BB2645" s="9"/>
      <c r="BC2645" s="11"/>
      <c r="BF2645" s="9"/>
      <c r="CF2645" s="12"/>
      <c r="CH2645" s="9"/>
    </row>
    <row r="2646" spans="6:86" x14ac:dyDescent="0.25">
      <c r="F2646" s="9"/>
      <c r="G2646" s="9"/>
      <c r="AA2646" s="10"/>
      <c r="AM2646" s="9"/>
      <c r="AV2646" s="11"/>
      <c r="AW2646" s="11"/>
      <c r="BB2646" s="9"/>
      <c r="BC2646" s="11"/>
      <c r="BF2646" s="9"/>
      <c r="CF2646" s="12"/>
      <c r="CH2646" s="9"/>
    </row>
    <row r="2647" spans="6:86" x14ac:dyDescent="0.25">
      <c r="F2647" s="9"/>
      <c r="G2647" s="9"/>
      <c r="AA2647" s="10"/>
      <c r="AM2647" s="9"/>
      <c r="AV2647" s="11"/>
      <c r="AW2647" s="11"/>
      <c r="BB2647" s="9"/>
      <c r="BC2647" s="11"/>
      <c r="BF2647" s="9"/>
      <c r="CF2647" s="12"/>
      <c r="CH2647" s="9"/>
    </row>
    <row r="2648" spans="6:86" x14ac:dyDescent="0.25">
      <c r="F2648" s="9"/>
      <c r="G2648" s="9"/>
      <c r="AA2648" s="10"/>
      <c r="AM2648" s="9"/>
      <c r="AV2648" s="11"/>
      <c r="AW2648" s="11"/>
      <c r="BB2648" s="9"/>
      <c r="BC2648" s="11"/>
      <c r="BF2648" s="9"/>
      <c r="CF2648" s="12"/>
      <c r="CH2648" s="9"/>
    </row>
    <row r="2649" spans="6:86" x14ac:dyDescent="0.25">
      <c r="F2649" s="9"/>
      <c r="G2649" s="9"/>
      <c r="AA2649" s="10"/>
      <c r="AM2649" s="9"/>
      <c r="AV2649" s="11"/>
      <c r="AW2649" s="11"/>
      <c r="BB2649" s="9"/>
      <c r="BC2649" s="11"/>
      <c r="BF2649" s="9"/>
      <c r="CF2649" s="12"/>
      <c r="CH2649" s="9"/>
    </row>
    <row r="2650" spans="6:86" x14ac:dyDescent="0.25">
      <c r="F2650" s="9"/>
      <c r="G2650" s="9"/>
      <c r="AA2650" s="10"/>
      <c r="AM2650" s="9"/>
      <c r="AV2650" s="11"/>
      <c r="AW2650" s="11"/>
      <c r="BB2650" s="9"/>
      <c r="BC2650" s="11"/>
      <c r="BF2650" s="9"/>
      <c r="CF2650" s="12"/>
      <c r="CH2650" s="9"/>
    </row>
    <row r="2651" spans="6:86" x14ac:dyDescent="0.25">
      <c r="F2651" s="9"/>
      <c r="G2651" s="9"/>
      <c r="AA2651" s="10"/>
      <c r="AM2651" s="9"/>
      <c r="AV2651" s="11"/>
      <c r="AW2651" s="11"/>
      <c r="BB2651" s="9"/>
      <c r="BC2651" s="11"/>
      <c r="BF2651" s="9"/>
      <c r="CH2651" s="9"/>
    </row>
    <row r="2652" spans="6:86" x14ac:dyDescent="0.25">
      <c r="F2652" s="9"/>
      <c r="G2652" s="9"/>
      <c r="AA2652" s="10"/>
      <c r="AM2652" s="9"/>
      <c r="AV2652" s="11"/>
      <c r="AW2652" s="11"/>
      <c r="BB2652" s="9"/>
      <c r="BC2652" s="11"/>
      <c r="BF2652" s="9"/>
      <c r="CH2652" s="9"/>
    </row>
    <row r="2653" spans="6:86" x14ac:dyDescent="0.25">
      <c r="F2653" s="9"/>
      <c r="G2653" s="9"/>
      <c r="AA2653" s="10"/>
      <c r="AM2653" s="9"/>
      <c r="AV2653" s="11"/>
      <c r="AW2653" s="11"/>
      <c r="BB2653" s="9"/>
      <c r="BC2653" s="11"/>
      <c r="BF2653" s="9"/>
      <c r="CH2653" s="9"/>
    </row>
    <row r="2654" spans="6:86" x14ac:dyDescent="0.25">
      <c r="F2654" s="9"/>
      <c r="G2654" s="9"/>
      <c r="AA2654" s="10"/>
      <c r="AV2654" s="11"/>
      <c r="AW2654" s="11"/>
      <c r="BB2654" s="9"/>
      <c r="BC2654" s="11"/>
      <c r="BF2654" s="9"/>
    </row>
    <row r="2655" spans="6:86" x14ac:dyDescent="0.25">
      <c r="F2655" s="9"/>
      <c r="G2655" s="9"/>
      <c r="AA2655" s="10"/>
      <c r="AV2655" s="11"/>
      <c r="AW2655" s="11"/>
      <c r="BB2655" s="9"/>
      <c r="BC2655" s="11"/>
      <c r="BF2655" s="9"/>
      <c r="CF2655" s="12"/>
      <c r="CH2655" s="9"/>
    </row>
    <row r="2656" spans="6:86" x14ac:dyDescent="0.25">
      <c r="F2656" s="9"/>
      <c r="G2656" s="9"/>
      <c r="AA2656" s="10"/>
      <c r="AV2656" s="11"/>
      <c r="AW2656" s="11"/>
      <c r="BB2656" s="9"/>
      <c r="BC2656" s="11"/>
      <c r="BF2656" s="9"/>
      <c r="CF2656" s="12"/>
      <c r="CH2656" s="9"/>
    </row>
    <row r="2657" spans="6:86" x14ac:dyDescent="0.25">
      <c r="F2657" s="9"/>
      <c r="G2657" s="9"/>
      <c r="AA2657" s="10"/>
      <c r="AV2657" s="11"/>
      <c r="AW2657" s="11"/>
      <c r="BB2657" s="9"/>
      <c r="BC2657" s="11"/>
      <c r="BF2657" s="9"/>
      <c r="CF2657" s="12"/>
      <c r="CH2657" s="9"/>
    </row>
    <row r="2658" spans="6:86" x14ac:dyDescent="0.25">
      <c r="F2658" s="9"/>
      <c r="G2658" s="9"/>
      <c r="AA2658" s="10"/>
      <c r="AV2658" s="11"/>
      <c r="AW2658" s="11"/>
      <c r="BB2658" s="9"/>
      <c r="BC2658" s="11"/>
      <c r="BF2658" s="9"/>
      <c r="CF2658" s="12"/>
      <c r="CH2658" s="9"/>
    </row>
    <row r="2659" spans="6:86" x14ac:dyDescent="0.25">
      <c r="F2659" s="9"/>
      <c r="G2659" s="9"/>
      <c r="AA2659" s="10"/>
      <c r="AV2659" s="11"/>
      <c r="AW2659" s="11"/>
      <c r="BB2659" s="9"/>
      <c r="BC2659" s="11"/>
      <c r="BF2659" s="9"/>
      <c r="CF2659" s="12"/>
      <c r="CH2659" s="9"/>
    </row>
    <row r="2660" spans="6:86" x14ac:dyDescent="0.25">
      <c r="F2660" s="9"/>
      <c r="G2660" s="9"/>
      <c r="AA2660" s="10"/>
      <c r="AV2660" s="11"/>
      <c r="AW2660" s="11"/>
      <c r="BB2660" s="9"/>
      <c r="BC2660" s="11"/>
      <c r="BF2660" s="9"/>
      <c r="CF2660" s="12"/>
      <c r="CH2660" s="9"/>
    </row>
    <row r="2661" spans="6:86" x14ac:dyDescent="0.25">
      <c r="F2661" s="9"/>
      <c r="G2661" s="9"/>
      <c r="AA2661" s="10"/>
      <c r="AV2661" s="11"/>
      <c r="AW2661" s="11"/>
      <c r="BB2661" s="9"/>
      <c r="BC2661" s="11"/>
      <c r="BF2661" s="9"/>
      <c r="CH2661" s="9"/>
    </row>
    <row r="2662" spans="6:86" x14ac:dyDescent="0.25">
      <c r="F2662" s="9"/>
      <c r="G2662" s="9"/>
      <c r="AA2662" s="10"/>
      <c r="AV2662" s="11"/>
      <c r="AW2662" s="11"/>
      <c r="BB2662" s="9"/>
      <c r="BC2662" s="11"/>
      <c r="BF2662" s="9"/>
      <c r="CF2662" s="12"/>
      <c r="CH2662" s="9"/>
    </row>
    <row r="2663" spans="6:86" x14ac:dyDescent="0.25">
      <c r="F2663" s="9"/>
      <c r="G2663" s="9"/>
      <c r="AA2663" s="10"/>
      <c r="AV2663" s="11"/>
      <c r="AW2663" s="11"/>
      <c r="BB2663" s="9"/>
      <c r="BC2663" s="11"/>
      <c r="BF2663" s="9"/>
      <c r="CF2663" s="12"/>
      <c r="CH2663" s="9"/>
    </row>
    <row r="2664" spans="6:86" x14ac:dyDescent="0.25">
      <c r="F2664" s="9"/>
      <c r="G2664" s="9"/>
      <c r="AA2664" s="10"/>
      <c r="AV2664" s="11"/>
      <c r="AW2664" s="11"/>
      <c r="BB2664" s="9"/>
      <c r="BC2664" s="11"/>
      <c r="BF2664" s="9"/>
      <c r="CF2664" s="12"/>
      <c r="CH2664" s="9"/>
    </row>
    <row r="2665" spans="6:86" x14ac:dyDescent="0.25">
      <c r="F2665" s="9"/>
      <c r="G2665" s="9"/>
      <c r="AA2665" s="10"/>
      <c r="AV2665" s="11"/>
      <c r="AW2665" s="11"/>
      <c r="BB2665" s="9"/>
      <c r="BC2665" s="11"/>
      <c r="BF2665" s="9"/>
      <c r="CH2665" s="9"/>
    </row>
    <row r="2666" spans="6:86" x14ac:dyDescent="0.25">
      <c r="F2666" s="9"/>
      <c r="G2666" s="9"/>
      <c r="AA2666" s="10"/>
      <c r="AV2666" s="11"/>
      <c r="AW2666" s="11"/>
      <c r="BB2666" s="9"/>
      <c r="BC2666" s="11"/>
      <c r="BF2666" s="9"/>
      <c r="CH2666" s="9"/>
    </row>
    <row r="2667" spans="6:86" x14ac:dyDescent="0.25">
      <c r="F2667" s="9"/>
      <c r="G2667" s="9"/>
      <c r="AA2667" s="10"/>
      <c r="AV2667" s="11"/>
      <c r="AW2667" s="11"/>
      <c r="BB2667" s="9"/>
      <c r="BC2667" s="11"/>
      <c r="BF2667" s="9"/>
      <c r="CF2667" s="12"/>
      <c r="CH2667" s="9"/>
    </row>
    <row r="2668" spans="6:86" x14ac:dyDescent="0.25">
      <c r="F2668" s="9"/>
      <c r="G2668" s="9"/>
      <c r="AA2668" s="10"/>
      <c r="AV2668" s="11"/>
      <c r="AW2668" s="11"/>
      <c r="BB2668" s="9"/>
      <c r="BC2668" s="11"/>
      <c r="BF2668" s="9"/>
      <c r="CF2668" s="12"/>
      <c r="CH2668" s="9"/>
    </row>
    <row r="2669" spans="6:86" x14ac:dyDescent="0.25">
      <c r="F2669" s="9"/>
      <c r="G2669" s="9"/>
      <c r="AA2669" s="10"/>
      <c r="AV2669" s="11"/>
      <c r="AW2669" s="11"/>
      <c r="BB2669" s="9"/>
      <c r="BC2669" s="11"/>
      <c r="BF2669" s="9"/>
      <c r="CF2669" s="12"/>
      <c r="CH2669" s="9"/>
    </row>
    <row r="2670" spans="6:86" x14ac:dyDescent="0.25">
      <c r="F2670" s="9"/>
      <c r="G2670" s="9"/>
      <c r="AA2670" s="10"/>
      <c r="AV2670" s="11"/>
      <c r="AW2670" s="11"/>
      <c r="BB2670" s="9"/>
      <c r="BC2670" s="11"/>
      <c r="BF2670" s="9"/>
      <c r="CF2670" s="12"/>
      <c r="CH2670" s="9"/>
    </row>
    <row r="2671" spans="6:86" x14ac:dyDescent="0.25">
      <c r="F2671" s="9"/>
      <c r="G2671" s="9"/>
      <c r="AA2671" s="10"/>
      <c r="AV2671" s="11"/>
      <c r="AW2671" s="11"/>
      <c r="BB2671" s="9"/>
      <c r="BC2671" s="11"/>
      <c r="BF2671" s="9"/>
      <c r="CF2671" s="12"/>
      <c r="CH2671" s="9"/>
    </row>
    <row r="2672" spans="6:86" x14ac:dyDescent="0.25">
      <c r="F2672" s="9"/>
      <c r="G2672" s="9"/>
      <c r="AA2672" s="10"/>
      <c r="AV2672" s="11"/>
      <c r="AW2672" s="11"/>
      <c r="BB2672" s="9"/>
      <c r="BC2672" s="11"/>
      <c r="BF2672" s="9"/>
      <c r="CF2672" s="12"/>
      <c r="CH2672" s="9"/>
    </row>
    <row r="2673" spans="6:86" x14ac:dyDescent="0.25">
      <c r="F2673" s="9"/>
      <c r="G2673" s="9"/>
      <c r="AA2673" s="10"/>
      <c r="AV2673" s="11"/>
      <c r="AW2673" s="11"/>
      <c r="BB2673" s="9"/>
      <c r="BC2673" s="11"/>
      <c r="BF2673" s="9"/>
      <c r="CH2673" s="9"/>
    </row>
    <row r="2674" spans="6:86" x14ac:dyDescent="0.25">
      <c r="F2674" s="9"/>
      <c r="G2674" s="9"/>
      <c r="AA2674" s="10"/>
      <c r="AV2674" s="11"/>
      <c r="AW2674" s="11"/>
      <c r="BB2674" s="9"/>
      <c r="BC2674" s="11"/>
      <c r="BF2674" s="9"/>
      <c r="CF2674" s="12"/>
      <c r="CH2674" s="9"/>
    </row>
    <row r="2675" spans="6:86" x14ac:dyDescent="0.25">
      <c r="F2675" s="9"/>
      <c r="G2675" s="9"/>
      <c r="AA2675" s="10"/>
      <c r="AV2675" s="11"/>
      <c r="AW2675" s="11"/>
      <c r="BB2675" s="9"/>
      <c r="BC2675" s="11"/>
      <c r="BF2675" s="9"/>
      <c r="CF2675" s="12"/>
      <c r="CH2675" s="9"/>
    </row>
    <row r="2676" spans="6:86" x14ac:dyDescent="0.25">
      <c r="F2676" s="9"/>
      <c r="G2676" s="9"/>
      <c r="AA2676" s="10"/>
      <c r="AV2676" s="11"/>
      <c r="AW2676" s="11"/>
      <c r="BB2676" s="9"/>
      <c r="BC2676" s="11"/>
      <c r="BF2676" s="9"/>
      <c r="CF2676" s="12"/>
      <c r="CH2676" s="9"/>
    </row>
    <row r="2677" spans="6:86" x14ac:dyDescent="0.25">
      <c r="F2677" s="9"/>
      <c r="G2677" s="9"/>
      <c r="AA2677" s="10"/>
      <c r="AV2677" s="11"/>
      <c r="AW2677" s="11"/>
      <c r="BB2677" s="9"/>
      <c r="BC2677" s="11"/>
      <c r="BF2677" s="9"/>
      <c r="CF2677" s="12"/>
      <c r="CH2677" s="9"/>
    </row>
    <row r="2678" spans="6:86" x14ac:dyDescent="0.25">
      <c r="F2678" s="9"/>
      <c r="G2678" s="9"/>
      <c r="AA2678" s="10"/>
      <c r="AV2678" s="11"/>
      <c r="AW2678" s="11"/>
      <c r="BB2678" s="9"/>
      <c r="BC2678" s="11"/>
      <c r="BF2678" s="9"/>
      <c r="CF2678" s="12"/>
      <c r="CH2678" s="9"/>
    </row>
    <row r="2679" spans="6:86" x14ac:dyDescent="0.25">
      <c r="F2679" s="9"/>
      <c r="G2679" s="9"/>
      <c r="AA2679" s="10"/>
      <c r="AV2679" s="11"/>
      <c r="AW2679" s="11"/>
      <c r="BB2679" s="9"/>
      <c r="BC2679" s="11"/>
      <c r="BF2679" s="9"/>
    </row>
    <row r="2680" spans="6:86" x14ac:dyDescent="0.25">
      <c r="F2680" s="9"/>
      <c r="G2680" s="9"/>
      <c r="AA2680" s="10"/>
      <c r="AV2680" s="11"/>
      <c r="AW2680" s="11"/>
      <c r="BB2680" s="9"/>
      <c r="BC2680" s="11"/>
      <c r="BF2680" s="9"/>
      <c r="CF2680" s="12"/>
      <c r="CH2680" s="9"/>
    </row>
    <row r="2681" spans="6:86" x14ac:dyDescent="0.25">
      <c r="F2681" s="9"/>
      <c r="G2681" s="9"/>
      <c r="AA2681" s="10"/>
      <c r="AV2681" s="11"/>
      <c r="AW2681" s="11"/>
      <c r="BB2681" s="9"/>
      <c r="BC2681" s="11"/>
      <c r="BF2681" s="9"/>
      <c r="CF2681" s="12"/>
      <c r="CH2681" s="9"/>
    </row>
    <row r="2682" spans="6:86" x14ac:dyDescent="0.25">
      <c r="F2682" s="9"/>
      <c r="G2682" s="9"/>
      <c r="AA2682" s="10"/>
      <c r="AV2682" s="11"/>
      <c r="AW2682" s="11"/>
      <c r="BB2682" s="9"/>
      <c r="BC2682" s="11"/>
      <c r="BF2682" s="9"/>
      <c r="CF2682" s="12"/>
      <c r="CH2682" s="9"/>
    </row>
    <row r="2683" spans="6:86" x14ac:dyDescent="0.25">
      <c r="F2683" s="9"/>
      <c r="G2683" s="9"/>
      <c r="AA2683" s="10"/>
      <c r="AV2683" s="11"/>
      <c r="AW2683" s="11"/>
      <c r="BB2683" s="9"/>
      <c r="BC2683" s="11"/>
      <c r="BF2683" s="9"/>
      <c r="CF2683" s="12"/>
      <c r="CH2683" s="9"/>
    </row>
    <row r="2684" spans="6:86" x14ac:dyDescent="0.25">
      <c r="F2684" s="9"/>
      <c r="G2684" s="9"/>
      <c r="AA2684" s="10"/>
      <c r="AV2684" s="11"/>
      <c r="AW2684" s="11"/>
      <c r="BB2684" s="9"/>
      <c r="BC2684" s="11"/>
      <c r="BF2684" s="9"/>
      <c r="CF2684" s="12"/>
      <c r="CH2684" s="9"/>
    </row>
    <row r="2685" spans="6:86" x14ac:dyDescent="0.25">
      <c r="F2685" s="9"/>
      <c r="G2685" s="9"/>
      <c r="AA2685" s="10"/>
      <c r="AV2685" s="11"/>
      <c r="AW2685" s="11"/>
      <c r="BB2685" s="9"/>
      <c r="BC2685" s="11"/>
      <c r="BF2685" s="9"/>
      <c r="CF2685" s="12"/>
      <c r="CH2685" s="9"/>
    </row>
    <row r="2686" spans="6:86" x14ac:dyDescent="0.25">
      <c r="F2686" s="9"/>
      <c r="G2686" s="9"/>
      <c r="AA2686" s="10"/>
      <c r="AV2686" s="11"/>
      <c r="AW2686" s="11"/>
      <c r="BB2686" s="9"/>
      <c r="BC2686" s="11"/>
      <c r="BF2686" s="9"/>
      <c r="CF2686" s="12"/>
      <c r="CH2686" s="9"/>
    </row>
    <row r="2687" spans="6:86" x14ac:dyDescent="0.25">
      <c r="F2687" s="9"/>
      <c r="G2687" s="9"/>
      <c r="AA2687" s="10"/>
      <c r="AV2687" s="11"/>
      <c r="AW2687" s="11"/>
      <c r="BB2687" s="9"/>
      <c r="BC2687" s="11"/>
      <c r="BF2687" s="9"/>
      <c r="CF2687" s="12"/>
      <c r="CH2687" s="9"/>
    </row>
    <row r="2688" spans="6:86" x14ac:dyDescent="0.25">
      <c r="F2688" s="9"/>
      <c r="G2688" s="9"/>
      <c r="AA2688" s="10"/>
      <c r="AV2688" s="11"/>
      <c r="AW2688" s="11"/>
      <c r="BB2688" s="9"/>
      <c r="BC2688" s="11"/>
      <c r="BF2688" s="9"/>
      <c r="CF2688" s="12"/>
      <c r="CH2688" s="9"/>
    </row>
    <row r="2689" spans="6:86" x14ac:dyDescent="0.25">
      <c r="F2689" s="9"/>
      <c r="G2689" s="9"/>
      <c r="AA2689" s="10"/>
      <c r="AV2689" s="11"/>
      <c r="AW2689" s="11"/>
      <c r="BB2689" s="9"/>
      <c r="BC2689" s="11"/>
      <c r="BF2689" s="9"/>
      <c r="CF2689" s="12"/>
      <c r="CH2689" s="9"/>
    </row>
    <row r="2690" spans="6:86" x14ac:dyDescent="0.25">
      <c r="F2690" s="9"/>
      <c r="G2690" s="9"/>
      <c r="AA2690" s="10"/>
      <c r="AV2690" s="11"/>
      <c r="AW2690" s="11"/>
      <c r="BB2690" s="9"/>
      <c r="BC2690" s="11"/>
      <c r="BF2690" s="9"/>
      <c r="CF2690" s="12"/>
      <c r="CH2690" s="9"/>
    </row>
    <row r="2691" spans="6:86" x14ac:dyDescent="0.25">
      <c r="F2691" s="9"/>
      <c r="G2691" s="9"/>
      <c r="AA2691" s="10"/>
      <c r="AV2691" s="11"/>
      <c r="AW2691" s="11"/>
      <c r="BB2691" s="9"/>
      <c r="BC2691" s="11"/>
      <c r="BF2691" s="9"/>
      <c r="CF2691" s="12"/>
      <c r="CH2691" s="9"/>
    </row>
    <row r="2692" spans="6:86" x14ac:dyDescent="0.25">
      <c r="F2692" s="9"/>
      <c r="G2692" s="9"/>
      <c r="AA2692" s="10"/>
      <c r="AV2692" s="11"/>
      <c r="AW2692" s="11"/>
      <c r="BB2692" s="9"/>
      <c r="BC2692" s="11"/>
      <c r="BF2692" s="9"/>
      <c r="CF2692" s="12"/>
      <c r="CH2692" s="9"/>
    </row>
    <row r="2693" spans="6:86" x14ac:dyDescent="0.25">
      <c r="F2693" s="9"/>
      <c r="G2693" s="9"/>
      <c r="AA2693" s="10"/>
      <c r="AV2693" s="11"/>
      <c r="AW2693" s="11"/>
      <c r="BB2693" s="9"/>
      <c r="BC2693" s="11"/>
      <c r="BF2693" s="9"/>
      <c r="CF2693" s="12"/>
      <c r="CH2693" s="9"/>
    </row>
    <row r="2694" spans="6:86" x14ac:dyDescent="0.25">
      <c r="F2694" s="9"/>
      <c r="G2694" s="9"/>
      <c r="AA2694" s="10"/>
      <c r="AV2694" s="11"/>
      <c r="AW2694" s="11"/>
      <c r="BB2694" s="9"/>
      <c r="BC2694" s="11"/>
      <c r="BF2694" s="9"/>
      <c r="CH2694" s="9"/>
    </row>
    <row r="2695" spans="6:86" x14ac:dyDescent="0.25">
      <c r="F2695" s="9"/>
      <c r="G2695" s="9"/>
      <c r="AA2695" s="10"/>
      <c r="AV2695" s="11"/>
      <c r="AW2695" s="11"/>
      <c r="BB2695" s="9"/>
      <c r="BC2695" s="11"/>
      <c r="BF2695" s="9"/>
      <c r="CF2695" s="12"/>
      <c r="CH2695" s="9"/>
    </row>
    <row r="2696" spans="6:86" x14ac:dyDescent="0.25">
      <c r="F2696" s="9"/>
      <c r="G2696" s="9"/>
      <c r="AA2696" s="10"/>
      <c r="AV2696" s="11"/>
      <c r="AW2696" s="11"/>
      <c r="BB2696" s="9"/>
      <c r="BC2696" s="11"/>
      <c r="BF2696" s="9"/>
      <c r="CF2696" s="12"/>
      <c r="CH2696" s="9"/>
    </row>
    <row r="2697" spans="6:86" x14ac:dyDescent="0.25">
      <c r="F2697" s="9"/>
      <c r="G2697" s="9"/>
      <c r="AA2697" s="10"/>
      <c r="AV2697" s="11"/>
      <c r="AW2697" s="11"/>
      <c r="BB2697" s="9"/>
      <c r="BC2697" s="11"/>
      <c r="BF2697" s="9"/>
      <c r="CF2697" s="12"/>
      <c r="CH2697" s="9"/>
    </row>
    <row r="2698" spans="6:86" x14ac:dyDescent="0.25">
      <c r="F2698" s="9"/>
      <c r="G2698" s="9"/>
      <c r="AA2698" s="10"/>
      <c r="AV2698" s="11"/>
      <c r="AW2698" s="11"/>
      <c r="BB2698" s="9"/>
      <c r="BC2698" s="11"/>
      <c r="BF2698" s="9"/>
      <c r="CF2698" s="12"/>
      <c r="CH2698" s="9"/>
    </row>
    <row r="2699" spans="6:86" x14ac:dyDescent="0.25">
      <c r="F2699" s="9"/>
      <c r="G2699" s="9"/>
      <c r="AA2699" s="10"/>
      <c r="AV2699" s="11"/>
      <c r="AW2699" s="11"/>
      <c r="BB2699" s="9"/>
      <c r="BC2699" s="11"/>
      <c r="BF2699" s="9"/>
      <c r="CF2699" s="12"/>
      <c r="CH2699" s="9"/>
    </row>
    <row r="2700" spans="6:86" x14ac:dyDescent="0.25">
      <c r="F2700" s="9"/>
      <c r="G2700" s="9"/>
      <c r="AA2700" s="10"/>
      <c r="AV2700" s="11"/>
      <c r="AW2700" s="11"/>
      <c r="BB2700" s="9"/>
      <c r="BC2700" s="11"/>
      <c r="BF2700" s="9"/>
      <c r="CF2700" s="12"/>
      <c r="CH2700" s="9"/>
    </row>
    <row r="2701" spans="6:86" x14ac:dyDescent="0.25">
      <c r="F2701" s="9"/>
      <c r="G2701" s="9"/>
      <c r="AA2701" s="10"/>
      <c r="AV2701" s="11"/>
      <c r="AW2701" s="11"/>
      <c r="BB2701" s="9"/>
      <c r="BC2701" s="11"/>
      <c r="BF2701" s="9"/>
      <c r="CF2701" s="12"/>
      <c r="CH2701" s="9"/>
    </row>
    <row r="2702" spans="6:86" x14ac:dyDescent="0.25">
      <c r="F2702" s="9"/>
      <c r="G2702" s="9"/>
      <c r="AA2702" s="10"/>
      <c r="AV2702" s="11"/>
      <c r="AW2702" s="11"/>
      <c r="BB2702" s="9"/>
      <c r="BC2702" s="11"/>
      <c r="BF2702" s="9"/>
      <c r="CF2702" s="12"/>
      <c r="CH2702" s="9"/>
    </row>
    <row r="2703" spans="6:86" x14ac:dyDescent="0.25">
      <c r="F2703" s="9"/>
      <c r="G2703" s="9"/>
      <c r="AA2703" s="10"/>
      <c r="AV2703" s="11"/>
      <c r="AW2703" s="11"/>
      <c r="BB2703" s="9"/>
      <c r="BC2703" s="11"/>
      <c r="BF2703" s="9"/>
      <c r="CF2703" s="12"/>
      <c r="CH2703" s="9"/>
    </row>
    <row r="2704" spans="6:86" x14ac:dyDescent="0.25">
      <c r="F2704" s="9"/>
      <c r="G2704" s="9"/>
      <c r="AA2704" s="10"/>
      <c r="AV2704" s="11"/>
      <c r="AW2704" s="11"/>
      <c r="BB2704" s="9"/>
      <c r="BC2704" s="11"/>
      <c r="BF2704" s="9"/>
      <c r="CF2704" s="12"/>
      <c r="CH2704" s="9"/>
    </row>
    <row r="2705" spans="6:86" x14ac:dyDescent="0.25">
      <c r="F2705" s="9"/>
      <c r="G2705" s="9"/>
      <c r="AA2705" s="10"/>
      <c r="AV2705" s="11"/>
      <c r="AW2705" s="11"/>
      <c r="BB2705" s="9"/>
      <c r="BC2705" s="11"/>
      <c r="BF2705" s="9"/>
      <c r="CF2705" s="12"/>
      <c r="CH2705" s="9"/>
    </row>
    <row r="2706" spans="6:86" x14ac:dyDescent="0.25">
      <c r="F2706" s="9"/>
      <c r="G2706" s="9"/>
      <c r="AA2706" s="10"/>
      <c r="AV2706" s="11"/>
      <c r="AW2706" s="11"/>
      <c r="BB2706" s="9"/>
      <c r="BC2706" s="11"/>
      <c r="BF2706" s="9"/>
      <c r="CH2706" s="9"/>
    </row>
    <row r="2707" spans="6:86" x14ac:dyDescent="0.25">
      <c r="F2707" s="9"/>
      <c r="G2707" s="9"/>
      <c r="AA2707" s="10"/>
      <c r="AV2707" s="11"/>
      <c r="AW2707" s="11"/>
      <c r="BB2707" s="9"/>
      <c r="BC2707" s="11"/>
      <c r="BF2707" s="9"/>
      <c r="CF2707" s="12"/>
      <c r="CH2707" s="9"/>
    </row>
    <row r="2708" spans="6:86" x14ac:dyDescent="0.25">
      <c r="F2708" s="9"/>
      <c r="G2708" s="9"/>
      <c r="AA2708" s="10"/>
      <c r="AV2708" s="11"/>
      <c r="AW2708" s="11"/>
      <c r="BB2708" s="9"/>
      <c r="BC2708" s="11"/>
      <c r="BF2708" s="9"/>
      <c r="CF2708" s="12"/>
      <c r="CH2708" s="9"/>
    </row>
    <row r="2709" spans="6:86" x14ac:dyDescent="0.25">
      <c r="F2709" s="9"/>
      <c r="G2709" s="9"/>
      <c r="AA2709" s="10"/>
      <c r="AV2709" s="11"/>
      <c r="AW2709" s="11"/>
      <c r="BB2709" s="9"/>
      <c r="BC2709" s="11"/>
      <c r="BF2709" s="9"/>
      <c r="CF2709" s="12"/>
      <c r="CH2709" s="9"/>
    </row>
    <row r="2710" spans="6:86" x14ac:dyDescent="0.25">
      <c r="F2710" s="9"/>
      <c r="G2710" s="9"/>
      <c r="AA2710" s="10"/>
      <c r="AV2710" s="11"/>
      <c r="AW2710" s="11"/>
      <c r="BB2710" s="9"/>
      <c r="BC2710" s="11"/>
      <c r="BF2710" s="9"/>
      <c r="CF2710" s="12"/>
      <c r="CH2710" s="9"/>
    </row>
    <row r="2711" spans="6:86" x14ac:dyDescent="0.25">
      <c r="F2711" s="9"/>
      <c r="G2711" s="9"/>
      <c r="AA2711" s="10"/>
      <c r="AV2711" s="11"/>
      <c r="AW2711" s="11"/>
      <c r="BB2711" s="9"/>
      <c r="BC2711" s="11"/>
      <c r="BF2711" s="9"/>
      <c r="CF2711" s="12"/>
      <c r="CH2711" s="9"/>
    </row>
    <row r="2712" spans="6:86" x14ac:dyDescent="0.25">
      <c r="F2712" s="9"/>
      <c r="G2712" s="9"/>
      <c r="AA2712" s="10"/>
      <c r="AV2712" s="11"/>
      <c r="AW2712" s="11"/>
      <c r="BB2712" s="9"/>
      <c r="BC2712" s="11"/>
      <c r="BF2712" s="9"/>
      <c r="CF2712" s="12"/>
      <c r="CH2712" s="9"/>
    </row>
    <row r="2713" spans="6:86" x14ac:dyDescent="0.25">
      <c r="F2713" s="9"/>
      <c r="G2713" s="9"/>
      <c r="AA2713" s="10"/>
      <c r="AV2713" s="11"/>
      <c r="AW2713" s="11"/>
      <c r="BB2713" s="9"/>
      <c r="BC2713" s="11"/>
      <c r="BF2713" s="9"/>
      <c r="CF2713" s="12"/>
      <c r="CH2713" s="9"/>
    </row>
    <row r="2714" spans="6:86" x14ac:dyDescent="0.25">
      <c r="F2714" s="9"/>
      <c r="G2714" s="9"/>
      <c r="AA2714" s="10"/>
      <c r="AV2714" s="11"/>
      <c r="AW2714" s="11"/>
      <c r="BB2714" s="9"/>
      <c r="BC2714" s="11"/>
      <c r="BF2714" s="9"/>
      <c r="CF2714" s="12"/>
      <c r="CH2714" s="9"/>
    </row>
    <row r="2715" spans="6:86" x14ac:dyDescent="0.25">
      <c r="F2715" s="9"/>
      <c r="G2715" s="9"/>
      <c r="AA2715" s="10"/>
      <c r="AV2715" s="11"/>
      <c r="AW2715" s="11"/>
      <c r="BB2715" s="9"/>
      <c r="BC2715" s="11"/>
      <c r="BF2715" s="9"/>
      <c r="CF2715" s="12"/>
      <c r="CH2715" s="9"/>
    </row>
    <row r="2716" spans="6:86" x14ac:dyDescent="0.25">
      <c r="F2716" s="9"/>
      <c r="G2716" s="9"/>
      <c r="AA2716" s="10"/>
      <c r="AV2716" s="11"/>
      <c r="AW2716" s="11"/>
      <c r="BB2716" s="9"/>
      <c r="BC2716" s="11"/>
      <c r="BF2716" s="9"/>
      <c r="CF2716" s="12"/>
      <c r="CH2716" s="9"/>
    </row>
    <row r="2717" spans="6:86" x14ac:dyDescent="0.25">
      <c r="F2717" s="9"/>
      <c r="G2717" s="9"/>
      <c r="AA2717" s="10"/>
      <c r="AV2717" s="11"/>
      <c r="AW2717" s="11"/>
      <c r="BB2717" s="9"/>
      <c r="BC2717" s="11"/>
      <c r="BF2717" s="9"/>
      <c r="CF2717" s="12"/>
      <c r="CH2717" s="9"/>
    </row>
    <row r="2718" spans="6:86" x14ac:dyDescent="0.25">
      <c r="F2718" s="9"/>
      <c r="G2718" s="9"/>
      <c r="AA2718" s="10"/>
      <c r="AV2718" s="11"/>
      <c r="AW2718" s="11"/>
      <c r="BB2718" s="9"/>
      <c r="BC2718" s="11"/>
      <c r="BF2718" s="9"/>
      <c r="CF2718" s="12"/>
      <c r="CH2718" s="9"/>
    </row>
    <row r="2719" spans="6:86" x14ac:dyDescent="0.25">
      <c r="F2719" s="9"/>
      <c r="G2719" s="9"/>
      <c r="AA2719" s="10"/>
      <c r="AV2719" s="11"/>
      <c r="AW2719" s="11"/>
      <c r="BB2719" s="9"/>
      <c r="BC2719" s="11"/>
      <c r="BF2719" s="9"/>
      <c r="CF2719" s="12"/>
      <c r="CH2719" s="9"/>
    </row>
    <row r="2720" spans="6:86" x14ac:dyDescent="0.25">
      <c r="F2720" s="9"/>
      <c r="G2720" s="9"/>
      <c r="AA2720" s="10"/>
      <c r="AV2720" s="11"/>
      <c r="AW2720" s="11"/>
      <c r="BB2720" s="9"/>
      <c r="BC2720" s="11"/>
      <c r="BF2720" s="9"/>
      <c r="CF2720" s="12"/>
      <c r="CH2720" s="9"/>
    </row>
    <row r="2721" spans="6:86" x14ac:dyDescent="0.25">
      <c r="F2721" s="9"/>
      <c r="G2721" s="9"/>
      <c r="AA2721" s="10"/>
      <c r="AV2721" s="11"/>
      <c r="AW2721" s="11"/>
      <c r="BB2721" s="9"/>
      <c r="BC2721" s="11"/>
      <c r="BF2721" s="9"/>
      <c r="CF2721" s="12"/>
      <c r="CH2721" s="9"/>
    </row>
    <row r="2722" spans="6:86" x14ac:dyDescent="0.25">
      <c r="F2722" s="9"/>
      <c r="G2722" s="9"/>
      <c r="AA2722" s="10"/>
      <c r="AV2722" s="11"/>
      <c r="AW2722" s="11"/>
      <c r="BB2722" s="9"/>
      <c r="BC2722" s="11"/>
      <c r="BF2722" s="9"/>
      <c r="CF2722" s="12"/>
      <c r="CH2722" s="9"/>
    </row>
    <row r="2723" spans="6:86" x14ac:dyDescent="0.25">
      <c r="F2723" s="9"/>
      <c r="G2723" s="9"/>
      <c r="AA2723" s="10"/>
      <c r="AV2723" s="11"/>
      <c r="AW2723" s="11"/>
      <c r="BB2723" s="9"/>
      <c r="BC2723" s="11"/>
      <c r="BF2723" s="9"/>
      <c r="CF2723" s="12"/>
      <c r="CH2723" s="9"/>
    </row>
    <row r="2724" spans="6:86" x14ac:dyDescent="0.25">
      <c r="F2724" s="9"/>
      <c r="G2724" s="9"/>
      <c r="AA2724" s="10"/>
      <c r="AV2724" s="11"/>
      <c r="AW2724" s="11"/>
      <c r="BB2724" s="9"/>
      <c r="BC2724" s="11"/>
      <c r="BF2724" s="9"/>
      <c r="CF2724" s="12"/>
      <c r="CH2724" s="9"/>
    </row>
    <row r="2725" spans="6:86" x14ac:dyDescent="0.25">
      <c r="F2725" s="9"/>
      <c r="G2725" s="9"/>
      <c r="AA2725" s="10"/>
      <c r="AV2725" s="11"/>
      <c r="AW2725" s="11"/>
      <c r="BB2725" s="9"/>
      <c r="BC2725" s="11"/>
      <c r="BF2725" s="9"/>
      <c r="CF2725" s="12"/>
      <c r="CH2725" s="9"/>
    </row>
    <row r="2726" spans="6:86" x14ac:dyDescent="0.25">
      <c r="F2726" s="9"/>
      <c r="G2726" s="9"/>
      <c r="AA2726" s="10"/>
      <c r="AV2726" s="11"/>
      <c r="AW2726" s="11"/>
      <c r="BB2726" s="9"/>
      <c r="BC2726" s="11"/>
      <c r="BF2726" s="9"/>
      <c r="CF2726" s="12"/>
      <c r="CH2726" s="9"/>
    </row>
    <row r="2727" spans="6:86" x14ac:dyDescent="0.25">
      <c r="F2727" s="9"/>
      <c r="G2727" s="9"/>
      <c r="AA2727" s="10"/>
      <c r="AV2727" s="11"/>
      <c r="AW2727" s="11"/>
      <c r="BB2727" s="9"/>
      <c r="BC2727" s="11"/>
      <c r="BF2727" s="9"/>
      <c r="CF2727" s="12"/>
      <c r="CH2727" s="9"/>
    </row>
    <row r="2728" spans="6:86" x14ac:dyDescent="0.25">
      <c r="F2728" s="9"/>
      <c r="G2728" s="9"/>
      <c r="AA2728" s="10"/>
      <c r="AV2728" s="11"/>
      <c r="AW2728" s="11"/>
      <c r="BB2728" s="9"/>
      <c r="BC2728" s="11"/>
      <c r="BF2728" s="9"/>
      <c r="CF2728" s="12"/>
      <c r="CH2728" s="9"/>
    </row>
    <row r="2729" spans="6:86" x14ac:dyDescent="0.25">
      <c r="F2729" s="9"/>
      <c r="G2729" s="9"/>
      <c r="AA2729" s="10"/>
      <c r="AV2729" s="11"/>
      <c r="AW2729" s="11"/>
      <c r="BB2729" s="9"/>
      <c r="BC2729" s="11"/>
      <c r="BF2729" s="9"/>
      <c r="CF2729" s="12"/>
      <c r="CH2729" s="9"/>
    </row>
    <row r="2730" spans="6:86" x14ac:dyDescent="0.25">
      <c r="F2730" s="9"/>
      <c r="G2730" s="9"/>
      <c r="AA2730" s="10"/>
      <c r="AV2730" s="11"/>
      <c r="AW2730" s="11"/>
      <c r="BB2730" s="9"/>
      <c r="BC2730" s="11"/>
      <c r="BF2730" s="9"/>
      <c r="CF2730" s="12"/>
      <c r="CH2730" s="9"/>
    </row>
    <row r="2731" spans="6:86" x14ac:dyDescent="0.25">
      <c r="F2731" s="9"/>
      <c r="G2731" s="9"/>
      <c r="AA2731" s="10"/>
      <c r="AV2731" s="11"/>
      <c r="AW2731" s="11"/>
      <c r="BB2731" s="9"/>
      <c r="BC2731" s="11"/>
      <c r="BF2731" s="9"/>
      <c r="CF2731" s="12"/>
      <c r="CH2731" s="9"/>
    </row>
    <row r="2732" spans="6:86" x14ac:dyDescent="0.25">
      <c r="F2732" s="9"/>
      <c r="G2732" s="9"/>
      <c r="AA2732" s="10"/>
      <c r="AV2732" s="11"/>
      <c r="AW2732" s="11"/>
      <c r="BB2732" s="9"/>
      <c r="BC2732" s="11"/>
      <c r="BF2732" s="9"/>
      <c r="CF2732" s="12"/>
      <c r="CH2732" s="9"/>
    </row>
    <row r="2733" spans="6:86" x14ac:dyDescent="0.25">
      <c r="F2733" s="9"/>
      <c r="G2733" s="9"/>
      <c r="AA2733" s="10"/>
      <c r="AV2733" s="11"/>
      <c r="AW2733" s="11"/>
      <c r="BB2733" s="9"/>
      <c r="BC2733" s="11"/>
      <c r="BF2733" s="9"/>
      <c r="CF2733" s="12"/>
      <c r="CH2733" s="9"/>
    </row>
    <row r="2734" spans="6:86" x14ac:dyDescent="0.25">
      <c r="F2734" s="9"/>
      <c r="G2734" s="9"/>
      <c r="AA2734" s="10"/>
      <c r="AV2734" s="11"/>
      <c r="AW2734" s="11"/>
      <c r="BB2734" s="9"/>
      <c r="BC2734" s="11"/>
      <c r="BF2734" s="9"/>
      <c r="CF2734" s="12"/>
      <c r="CH2734" s="9"/>
    </row>
    <row r="2735" spans="6:86" x14ac:dyDescent="0.25">
      <c r="F2735" s="9"/>
      <c r="G2735" s="9"/>
      <c r="AA2735" s="10"/>
      <c r="AV2735" s="11"/>
      <c r="AW2735" s="11"/>
      <c r="BB2735" s="9"/>
      <c r="BC2735" s="11"/>
      <c r="BF2735" s="9"/>
      <c r="CH2735" s="9"/>
    </row>
    <row r="2736" spans="6:86" x14ac:dyDescent="0.25">
      <c r="F2736" s="9"/>
      <c r="G2736" s="9"/>
      <c r="AA2736" s="10"/>
      <c r="AV2736" s="11"/>
      <c r="AW2736" s="11"/>
      <c r="BB2736" s="9"/>
      <c r="BC2736" s="11"/>
      <c r="BF2736" s="9"/>
      <c r="CF2736" s="12"/>
      <c r="CH2736" s="9"/>
    </row>
    <row r="2737" spans="6:86" x14ac:dyDescent="0.25">
      <c r="F2737" s="9"/>
      <c r="G2737" s="9"/>
      <c r="AA2737" s="10"/>
      <c r="AV2737" s="11"/>
      <c r="AW2737" s="11"/>
      <c r="BB2737" s="9"/>
      <c r="BC2737" s="11"/>
      <c r="BF2737" s="9"/>
      <c r="CF2737" s="12"/>
      <c r="CH2737" s="9"/>
    </row>
    <row r="2738" spans="6:86" x14ac:dyDescent="0.25">
      <c r="F2738" s="9"/>
      <c r="G2738" s="9"/>
      <c r="AA2738" s="10"/>
      <c r="AV2738" s="11"/>
      <c r="AW2738" s="11"/>
      <c r="BB2738" s="9"/>
      <c r="BC2738" s="11"/>
      <c r="BF2738" s="9"/>
      <c r="CH2738" s="9"/>
    </row>
    <row r="2739" spans="6:86" x14ac:dyDescent="0.25">
      <c r="F2739" s="9"/>
      <c r="G2739" s="9"/>
      <c r="AA2739" s="10"/>
      <c r="AV2739" s="11"/>
      <c r="AW2739" s="11"/>
      <c r="BB2739" s="9"/>
      <c r="BC2739" s="11"/>
      <c r="BF2739" s="9"/>
      <c r="CF2739" s="12"/>
      <c r="CH2739" s="9"/>
    </row>
    <row r="2740" spans="6:86" x14ac:dyDescent="0.25">
      <c r="F2740" s="9"/>
      <c r="G2740" s="9"/>
      <c r="AA2740" s="10"/>
      <c r="AV2740" s="11"/>
      <c r="AW2740" s="11"/>
      <c r="BB2740" s="9"/>
      <c r="BC2740" s="11"/>
      <c r="BF2740" s="9"/>
      <c r="CF2740" s="12"/>
      <c r="CH2740" s="9"/>
    </row>
    <row r="2741" spans="6:86" x14ac:dyDescent="0.25">
      <c r="F2741" s="9"/>
      <c r="G2741" s="9"/>
      <c r="AA2741" s="10"/>
      <c r="AV2741" s="11"/>
      <c r="AW2741" s="11"/>
      <c r="BB2741" s="9"/>
      <c r="BC2741" s="11"/>
      <c r="BF2741" s="9"/>
      <c r="CF2741" s="12"/>
      <c r="CH2741" s="9"/>
    </row>
    <row r="2742" spans="6:86" x14ac:dyDescent="0.25">
      <c r="F2742" s="9"/>
      <c r="G2742" s="9"/>
      <c r="AA2742" s="10"/>
      <c r="AV2742" s="11"/>
      <c r="AW2742" s="11"/>
      <c r="BB2742" s="9"/>
      <c r="BC2742" s="11"/>
      <c r="BF2742" s="9"/>
      <c r="CF2742" s="12"/>
      <c r="CH2742" s="9"/>
    </row>
    <row r="2743" spans="6:86" x14ac:dyDescent="0.25">
      <c r="F2743" s="9"/>
      <c r="G2743" s="9"/>
      <c r="AA2743" s="10"/>
      <c r="AV2743" s="11"/>
      <c r="AW2743" s="11"/>
      <c r="BB2743" s="9"/>
      <c r="BC2743" s="11"/>
      <c r="BF2743" s="9"/>
      <c r="CF2743" s="12"/>
      <c r="CH2743" s="9"/>
    </row>
    <row r="2744" spans="6:86" x14ac:dyDescent="0.25">
      <c r="F2744" s="9"/>
      <c r="G2744" s="9"/>
      <c r="AA2744" s="10"/>
      <c r="AV2744" s="11"/>
      <c r="AW2744" s="11"/>
      <c r="BB2744" s="9"/>
      <c r="BC2744" s="11"/>
      <c r="BF2744" s="9"/>
      <c r="CF2744" s="12"/>
      <c r="CH2744" s="9"/>
    </row>
    <row r="2745" spans="6:86" x14ac:dyDescent="0.25">
      <c r="F2745" s="9"/>
      <c r="G2745" s="9"/>
      <c r="AA2745" s="10"/>
      <c r="AV2745" s="11"/>
      <c r="AW2745" s="11"/>
      <c r="BB2745" s="9"/>
      <c r="BC2745" s="11"/>
      <c r="BF2745" s="9"/>
      <c r="CF2745" s="12"/>
      <c r="CH2745" s="9"/>
    </row>
    <row r="2746" spans="6:86" x14ac:dyDescent="0.25">
      <c r="F2746" s="9"/>
      <c r="G2746" s="9"/>
      <c r="AA2746" s="10"/>
      <c r="AV2746" s="11"/>
      <c r="AW2746" s="11"/>
      <c r="BB2746" s="9"/>
      <c r="BC2746" s="11"/>
      <c r="BF2746" s="9"/>
      <c r="CF2746" s="12"/>
      <c r="CH2746" s="9"/>
    </row>
    <row r="2747" spans="6:86" x14ac:dyDescent="0.25">
      <c r="F2747" s="9"/>
      <c r="G2747" s="9"/>
      <c r="AA2747" s="10"/>
      <c r="AV2747" s="11"/>
      <c r="AW2747" s="11"/>
      <c r="BB2747" s="9"/>
      <c r="BC2747" s="11"/>
      <c r="BF2747" s="9"/>
      <c r="CF2747" s="12"/>
      <c r="CH2747" s="9"/>
    </row>
    <row r="2748" spans="6:86" x14ac:dyDescent="0.25">
      <c r="F2748" s="9"/>
      <c r="G2748" s="9"/>
      <c r="AA2748" s="10"/>
      <c r="AV2748" s="11"/>
      <c r="AW2748" s="11"/>
      <c r="BB2748" s="9"/>
      <c r="BC2748" s="11"/>
      <c r="BF2748" s="9"/>
      <c r="CF2748" s="12"/>
      <c r="CH2748" s="9"/>
    </row>
    <row r="2749" spans="6:86" x14ac:dyDescent="0.25">
      <c r="F2749" s="9"/>
      <c r="G2749" s="9"/>
      <c r="AA2749" s="10"/>
      <c r="AV2749" s="11"/>
      <c r="AW2749" s="11"/>
      <c r="BB2749" s="9"/>
      <c r="BC2749" s="11"/>
      <c r="BF2749" s="9"/>
      <c r="CF2749" s="12"/>
      <c r="CH2749" s="9"/>
    </row>
    <row r="2750" spans="6:86" x14ac:dyDescent="0.25">
      <c r="F2750" s="9"/>
      <c r="G2750" s="9"/>
      <c r="AA2750" s="10"/>
      <c r="AV2750" s="11"/>
      <c r="AW2750" s="11"/>
      <c r="BB2750" s="9"/>
      <c r="BC2750" s="11"/>
      <c r="BF2750" s="9"/>
      <c r="CH2750" s="9"/>
    </row>
    <row r="2751" spans="6:86" x14ac:dyDescent="0.25">
      <c r="F2751" s="9"/>
      <c r="G2751" s="9"/>
      <c r="AA2751" s="10"/>
      <c r="AV2751" s="11"/>
      <c r="AW2751" s="11"/>
      <c r="BB2751" s="9"/>
      <c r="BC2751" s="11"/>
      <c r="BF2751" s="9"/>
      <c r="CF2751" s="12"/>
      <c r="CH2751" s="9"/>
    </row>
    <row r="2752" spans="6:86" x14ac:dyDescent="0.25">
      <c r="F2752" s="9"/>
      <c r="G2752" s="9"/>
      <c r="AA2752" s="10"/>
      <c r="AV2752" s="11"/>
      <c r="AW2752" s="11"/>
      <c r="BB2752" s="9"/>
      <c r="BC2752" s="11"/>
      <c r="BF2752" s="9"/>
      <c r="CH2752" s="9"/>
    </row>
    <row r="2753" spans="6:86" x14ac:dyDescent="0.25">
      <c r="F2753" s="9"/>
      <c r="G2753" s="9"/>
      <c r="AA2753" s="10"/>
      <c r="AV2753" s="11"/>
      <c r="AW2753" s="11"/>
      <c r="BB2753" s="9"/>
      <c r="BC2753" s="11"/>
      <c r="BF2753" s="9"/>
      <c r="CF2753" s="12"/>
      <c r="CH2753" s="9"/>
    </row>
    <row r="2754" spans="6:86" x14ac:dyDescent="0.25">
      <c r="F2754" s="9"/>
      <c r="G2754" s="9"/>
      <c r="AA2754" s="10"/>
      <c r="AV2754" s="11"/>
      <c r="AW2754" s="11"/>
      <c r="BB2754" s="9"/>
      <c r="BC2754" s="11"/>
      <c r="BF2754" s="9"/>
      <c r="CF2754" s="12"/>
      <c r="CH2754" s="9"/>
    </row>
    <row r="2755" spans="6:86" x14ac:dyDescent="0.25">
      <c r="F2755" s="9"/>
      <c r="G2755" s="9"/>
      <c r="AA2755" s="10"/>
      <c r="AV2755" s="11"/>
      <c r="AW2755" s="11"/>
      <c r="BB2755" s="9"/>
      <c r="BC2755" s="11"/>
      <c r="BF2755" s="9"/>
      <c r="CF2755" s="12"/>
      <c r="CH2755" s="9"/>
    </row>
    <row r="2756" spans="6:86" x14ac:dyDescent="0.25">
      <c r="F2756" s="9"/>
      <c r="G2756" s="9"/>
      <c r="AA2756" s="10"/>
      <c r="AV2756" s="11"/>
      <c r="AW2756" s="11"/>
      <c r="BB2756" s="9"/>
      <c r="BC2756" s="11"/>
      <c r="BF2756" s="9"/>
      <c r="CF2756" s="12"/>
      <c r="CH2756" s="9"/>
    </row>
    <row r="2757" spans="6:86" x14ac:dyDescent="0.25">
      <c r="F2757" s="9"/>
      <c r="G2757" s="9"/>
      <c r="AA2757" s="10"/>
      <c r="AV2757" s="11"/>
      <c r="AW2757" s="11"/>
      <c r="BB2757" s="9"/>
      <c r="BC2757" s="11"/>
      <c r="BF2757" s="9"/>
      <c r="CF2757" s="12"/>
      <c r="CH2757" s="9"/>
    </row>
    <row r="2758" spans="6:86" x14ac:dyDescent="0.25">
      <c r="F2758" s="9"/>
      <c r="G2758" s="9"/>
      <c r="AA2758" s="10"/>
      <c r="AV2758" s="11"/>
      <c r="AW2758" s="11"/>
      <c r="BB2758" s="9"/>
      <c r="BC2758" s="11"/>
      <c r="BF2758" s="9"/>
      <c r="CF2758" s="12"/>
      <c r="CH2758" s="9"/>
    </row>
    <row r="2759" spans="6:86" x14ac:dyDescent="0.25">
      <c r="F2759" s="9"/>
      <c r="G2759" s="9"/>
      <c r="AA2759" s="10"/>
      <c r="AV2759" s="11"/>
      <c r="AW2759" s="11"/>
      <c r="BB2759" s="9"/>
      <c r="BC2759" s="11"/>
      <c r="BF2759" s="9"/>
      <c r="CF2759" s="12"/>
      <c r="CH2759" s="9"/>
    </row>
    <row r="2760" spans="6:86" x14ac:dyDescent="0.25">
      <c r="F2760" s="9"/>
      <c r="G2760" s="9"/>
      <c r="AA2760" s="10"/>
      <c r="AV2760" s="11"/>
      <c r="AW2760" s="11"/>
      <c r="BB2760" s="9"/>
      <c r="BC2760" s="11"/>
      <c r="BF2760" s="9"/>
      <c r="CF2760" s="12"/>
      <c r="CH2760" s="9"/>
    </row>
    <row r="2761" spans="6:86" x14ac:dyDescent="0.25">
      <c r="F2761" s="9"/>
      <c r="G2761" s="9"/>
      <c r="AA2761" s="10"/>
      <c r="AV2761" s="11"/>
      <c r="AW2761" s="11"/>
      <c r="BB2761" s="9"/>
      <c r="BC2761" s="11"/>
      <c r="BF2761" s="9"/>
      <c r="CF2761" s="12"/>
      <c r="CH2761" s="9"/>
    </row>
    <row r="2762" spans="6:86" x14ac:dyDescent="0.25">
      <c r="F2762" s="9"/>
      <c r="G2762" s="9"/>
      <c r="AA2762" s="10"/>
      <c r="AV2762" s="11"/>
      <c r="AW2762" s="11"/>
      <c r="BB2762" s="9"/>
      <c r="BC2762" s="11"/>
      <c r="BF2762" s="9"/>
      <c r="CF2762" s="12"/>
      <c r="CH2762" s="9"/>
    </row>
    <row r="2763" spans="6:86" x14ac:dyDescent="0.25">
      <c r="F2763" s="9"/>
      <c r="G2763" s="9"/>
      <c r="AA2763" s="10"/>
      <c r="AV2763" s="11"/>
      <c r="AW2763" s="11"/>
      <c r="BB2763" s="9"/>
      <c r="BC2763" s="11"/>
      <c r="BF2763" s="9"/>
      <c r="CF2763" s="12"/>
      <c r="CH2763" s="9"/>
    </row>
    <row r="2764" spans="6:86" x14ac:dyDescent="0.25">
      <c r="F2764" s="9"/>
      <c r="G2764" s="9"/>
      <c r="AA2764" s="10"/>
      <c r="AV2764" s="11"/>
      <c r="AW2764" s="11"/>
      <c r="BB2764" s="9"/>
      <c r="BC2764" s="11"/>
      <c r="BF2764" s="9"/>
      <c r="CH2764" s="9"/>
    </row>
    <row r="2765" spans="6:86" x14ac:dyDescent="0.25">
      <c r="F2765" s="9"/>
      <c r="G2765" s="9"/>
      <c r="AA2765" s="10"/>
      <c r="AV2765" s="11"/>
      <c r="AW2765" s="11"/>
      <c r="BB2765" s="9"/>
      <c r="BC2765" s="11"/>
      <c r="BF2765" s="9"/>
      <c r="CF2765" s="12"/>
      <c r="CH2765" s="9"/>
    </row>
    <row r="2766" spans="6:86" x14ac:dyDescent="0.25">
      <c r="F2766" s="9"/>
      <c r="G2766" s="9"/>
      <c r="AA2766" s="10"/>
      <c r="AV2766" s="11"/>
      <c r="AW2766" s="11"/>
      <c r="BB2766" s="9"/>
      <c r="BC2766" s="11"/>
      <c r="BF2766" s="9"/>
      <c r="CF2766" s="12"/>
      <c r="CH2766" s="9"/>
    </row>
    <row r="2767" spans="6:86" x14ac:dyDescent="0.25">
      <c r="F2767" s="9"/>
      <c r="G2767" s="9"/>
      <c r="AA2767" s="10"/>
      <c r="AV2767" s="11"/>
      <c r="AW2767" s="11"/>
      <c r="BB2767" s="9"/>
      <c r="BC2767" s="11"/>
      <c r="BF2767" s="9"/>
      <c r="CF2767" s="12"/>
      <c r="CH2767" s="9"/>
    </row>
    <row r="2768" spans="6:86" x14ac:dyDescent="0.25">
      <c r="F2768" s="9"/>
      <c r="G2768" s="9"/>
      <c r="AA2768" s="10"/>
      <c r="AV2768" s="11"/>
      <c r="AW2768" s="11"/>
      <c r="BB2768" s="9"/>
      <c r="BC2768" s="11"/>
      <c r="BF2768" s="9"/>
      <c r="CF2768" s="12"/>
      <c r="CH2768" s="9"/>
    </row>
    <row r="2769" spans="6:86" x14ac:dyDescent="0.25">
      <c r="F2769" s="9"/>
      <c r="G2769" s="9"/>
      <c r="AA2769" s="10"/>
      <c r="AV2769" s="11"/>
      <c r="AW2769" s="11"/>
      <c r="BB2769" s="9"/>
      <c r="BC2769" s="11"/>
      <c r="BF2769" s="9"/>
      <c r="CF2769" s="12"/>
      <c r="CH2769" s="9"/>
    </row>
    <row r="2770" spans="6:86" x14ac:dyDescent="0.25">
      <c r="F2770" s="9"/>
      <c r="G2770" s="9"/>
      <c r="AA2770" s="10"/>
      <c r="AV2770" s="11"/>
      <c r="AW2770" s="11"/>
      <c r="BB2770" s="9"/>
      <c r="BC2770" s="11"/>
      <c r="BF2770" s="9"/>
      <c r="CF2770" s="12"/>
      <c r="CH2770" s="9"/>
    </row>
    <row r="2771" spans="6:86" x14ac:dyDescent="0.25">
      <c r="F2771" s="9"/>
      <c r="G2771" s="9"/>
      <c r="AA2771" s="10"/>
      <c r="AV2771" s="11"/>
      <c r="AW2771" s="11"/>
      <c r="BB2771" s="9"/>
      <c r="BC2771" s="11"/>
      <c r="BF2771" s="9"/>
      <c r="CF2771" s="12"/>
      <c r="CH2771" s="9"/>
    </row>
    <row r="2772" spans="6:86" x14ac:dyDescent="0.25">
      <c r="F2772" s="9"/>
      <c r="G2772" s="9"/>
      <c r="AA2772" s="10"/>
      <c r="AV2772" s="11"/>
      <c r="AW2772" s="11"/>
      <c r="BB2772" s="9"/>
      <c r="BC2772" s="11"/>
      <c r="BF2772" s="9"/>
      <c r="CF2772" s="12"/>
      <c r="CH2772" s="9"/>
    </row>
    <row r="2773" spans="6:86" x14ac:dyDescent="0.25">
      <c r="F2773" s="9"/>
      <c r="G2773" s="9"/>
      <c r="AA2773" s="10"/>
      <c r="AV2773" s="11"/>
      <c r="AW2773" s="11"/>
      <c r="BB2773" s="9"/>
      <c r="BC2773" s="11"/>
      <c r="BF2773" s="9"/>
      <c r="CF2773" s="12"/>
      <c r="CH2773" s="9"/>
    </row>
    <row r="2774" spans="6:86" x14ac:dyDescent="0.25">
      <c r="F2774" s="9"/>
      <c r="G2774" s="9"/>
      <c r="AA2774" s="10"/>
      <c r="AV2774" s="11"/>
      <c r="AW2774" s="11"/>
      <c r="BB2774" s="9"/>
      <c r="BC2774" s="11"/>
      <c r="BF2774" s="9"/>
      <c r="CF2774" s="12"/>
      <c r="CH2774" s="9"/>
    </row>
    <row r="2775" spans="6:86" x14ac:dyDescent="0.25">
      <c r="F2775" s="9"/>
      <c r="G2775" s="9"/>
      <c r="AA2775" s="10"/>
      <c r="AV2775" s="11"/>
      <c r="AW2775" s="11"/>
      <c r="BB2775" s="9"/>
      <c r="BC2775" s="11"/>
      <c r="BF2775" s="9"/>
      <c r="CF2775" s="12"/>
      <c r="CH2775" s="9"/>
    </row>
    <row r="2776" spans="6:86" x14ac:dyDescent="0.25">
      <c r="F2776" s="9"/>
      <c r="G2776" s="9"/>
      <c r="AA2776" s="10"/>
      <c r="AV2776" s="11"/>
      <c r="AW2776" s="11"/>
      <c r="BB2776" s="9"/>
      <c r="BC2776" s="11"/>
      <c r="BF2776" s="9"/>
      <c r="CF2776" s="12"/>
      <c r="CH2776" s="9"/>
    </row>
    <row r="2777" spans="6:86" x14ac:dyDescent="0.25">
      <c r="F2777" s="9"/>
      <c r="G2777" s="9"/>
      <c r="AA2777" s="10"/>
      <c r="AV2777" s="11"/>
      <c r="AW2777" s="11"/>
      <c r="BB2777" s="9"/>
      <c r="BC2777" s="11"/>
      <c r="BF2777" s="9"/>
      <c r="CF2777" s="12"/>
      <c r="CH2777" s="9"/>
    </row>
    <row r="2778" spans="6:86" x14ac:dyDescent="0.25">
      <c r="F2778" s="9"/>
      <c r="G2778" s="9"/>
      <c r="AA2778" s="10"/>
      <c r="AV2778" s="11"/>
      <c r="AW2778" s="11"/>
      <c r="BB2778" s="9"/>
      <c r="BC2778" s="11"/>
      <c r="BF2778" s="9"/>
      <c r="CF2778" s="12"/>
      <c r="CH2778" s="9"/>
    </row>
    <row r="2779" spans="6:86" x14ac:dyDescent="0.25">
      <c r="F2779" s="9"/>
      <c r="G2779" s="9"/>
      <c r="AA2779" s="10"/>
      <c r="AV2779" s="11"/>
      <c r="AW2779" s="11"/>
      <c r="BB2779" s="9"/>
      <c r="BC2779" s="11"/>
      <c r="BF2779" s="9"/>
      <c r="CF2779" s="12"/>
      <c r="CH2779" s="9"/>
    </row>
    <row r="2780" spans="6:86" x14ac:dyDescent="0.25">
      <c r="F2780" s="9"/>
      <c r="G2780" s="9"/>
      <c r="AA2780" s="10"/>
      <c r="AV2780" s="11"/>
      <c r="AW2780" s="11"/>
      <c r="BB2780" s="9"/>
      <c r="BC2780" s="11"/>
      <c r="BF2780" s="9"/>
      <c r="CF2780" s="12"/>
      <c r="CH2780" s="9"/>
    </row>
    <row r="2781" spans="6:86" x14ac:dyDescent="0.25">
      <c r="F2781" s="9"/>
      <c r="G2781" s="9"/>
      <c r="AA2781" s="10"/>
      <c r="AV2781" s="11"/>
      <c r="AW2781" s="11"/>
      <c r="BB2781" s="9"/>
      <c r="BC2781" s="11"/>
      <c r="BF2781" s="9"/>
      <c r="CF2781" s="12"/>
      <c r="CH2781" s="9"/>
    </row>
    <row r="2782" spans="6:86" x14ac:dyDescent="0.25">
      <c r="F2782" s="9"/>
      <c r="G2782" s="9"/>
      <c r="AA2782" s="10"/>
      <c r="AV2782" s="11"/>
      <c r="AW2782" s="11"/>
      <c r="BB2782" s="9"/>
      <c r="BC2782" s="11"/>
      <c r="BF2782" s="9"/>
      <c r="CF2782" s="12"/>
      <c r="CH2782" s="9"/>
    </row>
    <row r="2783" spans="6:86" x14ac:dyDescent="0.25">
      <c r="F2783" s="9"/>
      <c r="G2783" s="9"/>
      <c r="AA2783" s="10"/>
      <c r="AV2783" s="11"/>
      <c r="AW2783" s="11"/>
      <c r="BB2783" s="9"/>
      <c r="BC2783" s="11"/>
      <c r="BF2783" s="9"/>
      <c r="CF2783" s="12"/>
      <c r="CH2783" s="9"/>
    </row>
    <row r="2784" spans="6:86" x14ac:dyDescent="0.25">
      <c r="F2784" s="9"/>
      <c r="G2784" s="9"/>
      <c r="AA2784" s="10"/>
      <c r="AV2784" s="11"/>
      <c r="AW2784" s="11"/>
      <c r="BB2784" s="9"/>
      <c r="BC2784" s="11"/>
      <c r="BF2784" s="9"/>
      <c r="CF2784" s="12"/>
      <c r="CH2784" s="9"/>
    </row>
    <row r="2785" spans="6:86" x14ac:dyDescent="0.25">
      <c r="F2785" s="9"/>
      <c r="G2785" s="9"/>
      <c r="AA2785" s="10"/>
      <c r="AV2785" s="11"/>
      <c r="AW2785" s="11"/>
      <c r="BB2785" s="9"/>
      <c r="BC2785" s="11"/>
      <c r="BF2785" s="9"/>
      <c r="CH2785" s="9"/>
    </row>
    <row r="2786" spans="6:86" x14ac:dyDescent="0.25">
      <c r="F2786" s="9"/>
      <c r="G2786" s="9"/>
      <c r="AA2786" s="10"/>
      <c r="AV2786" s="11"/>
      <c r="AW2786" s="11"/>
      <c r="BB2786" s="9"/>
      <c r="BC2786" s="11"/>
      <c r="BF2786" s="9"/>
      <c r="CF2786" s="12"/>
      <c r="CH2786" s="9"/>
    </row>
    <row r="2787" spans="6:86" x14ac:dyDescent="0.25">
      <c r="F2787" s="9"/>
      <c r="G2787" s="9"/>
      <c r="AA2787" s="10"/>
      <c r="AV2787" s="11"/>
      <c r="AW2787" s="11"/>
      <c r="BB2787" s="9"/>
      <c r="BC2787" s="11"/>
      <c r="BF2787" s="9"/>
      <c r="CF2787" s="12"/>
      <c r="CH2787" s="9"/>
    </row>
    <row r="2788" spans="6:86" x14ac:dyDescent="0.25">
      <c r="F2788" s="9"/>
      <c r="G2788" s="9"/>
      <c r="AA2788" s="10"/>
      <c r="AV2788" s="11"/>
      <c r="AW2788" s="11"/>
      <c r="BB2788" s="9"/>
      <c r="BC2788" s="11"/>
      <c r="BF2788" s="9"/>
      <c r="CF2788" s="12"/>
      <c r="CH2788" s="9"/>
    </row>
    <row r="2789" spans="6:86" x14ac:dyDescent="0.25">
      <c r="F2789" s="9"/>
      <c r="G2789" s="9"/>
      <c r="AA2789" s="10"/>
      <c r="AV2789" s="11"/>
      <c r="AW2789" s="11"/>
      <c r="BB2789" s="9"/>
      <c r="BC2789" s="11"/>
      <c r="BF2789" s="9"/>
      <c r="CF2789" s="12"/>
      <c r="CH2789" s="9"/>
    </row>
    <row r="2790" spans="6:86" x14ac:dyDescent="0.25">
      <c r="F2790" s="9"/>
      <c r="G2790" s="9"/>
      <c r="AA2790" s="10"/>
      <c r="AV2790" s="11"/>
      <c r="AW2790" s="11"/>
      <c r="BB2790" s="9"/>
      <c r="BC2790" s="11"/>
      <c r="BF2790" s="9"/>
      <c r="CF2790" s="12"/>
      <c r="CH2790" s="9"/>
    </row>
    <row r="2791" spans="6:86" x14ac:dyDescent="0.25">
      <c r="F2791" s="9"/>
      <c r="G2791" s="9"/>
      <c r="AA2791" s="10"/>
      <c r="AV2791" s="11"/>
      <c r="AW2791" s="11"/>
      <c r="BB2791" s="9"/>
      <c r="BC2791" s="11"/>
      <c r="BF2791" s="9"/>
      <c r="CF2791" s="12"/>
      <c r="CH2791" s="9"/>
    </row>
    <row r="2792" spans="6:86" x14ac:dyDescent="0.25">
      <c r="F2792" s="9"/>
      <c r="G2792" s="9"/>
      <c r="AA2792" s="10"/>
      <c r="AV2792" s="11"/>
      <c r="AW2792" s="11"/>
      <c r="BB2792" s="9"/>
      <c r="BC2792" s="11"/>
      <c r="BF2792" s="9"/>
      <c r="CF2792" s="12"/>
      <c r="CH2792" s="9"/>
    </row>
    <row r="2793" spans="6:86" x14ac:dyDescent="0.25">
      <c r="F2793" s="9"/>
      <c r="G2793" s="9"/>
      <c r="AA2793" s="10"/>
      <c r="AV2793" s="11"/>
      <c r="AW2793" s="11"/>
      <c r="BB2793" s="9"/>
      <c r="BC2793" s="11"/>
      <c r="BF2793" s="9"/>
      <c r="CF2793" s="12"/>
      <c r="CH2793" s="9"/>
    </row>
    <row r="2794" spans="6:86" x14ac:dyDescent="0.25">
      <c r="F2794" s="9"/>
      <c r="G2794" s="9"/>
      <c r="AA2794" s="10"/>
      <c r="AV2794" s="11"/>
      <c r="AW2794" s="11"/>
      <c r="BB2794" s="9"/>
      <c r="BC2794" s="11"/>
      <c r="BF2794" s="9"/>
      <c r="CF2794" s="12"/>
      <c r="CH2794" s="9"/>
    </row>
    <row r="2795" spans="6:86" x14ac:dyDescent="0.25">
      <c r="F2795" s="9"/>
      <c r="G2795" s="9"/>
      <c r="AA2795" s="10"/>
      <c r="AV2795" s="11"/>
      <c r="AW2795" s="11"/>
      <c r="BB2795" s="9"/>
      <c r="BC2795" s="11"/>
      <c r="BF2795" s="9"/>
      <c r="CF2795" s="12"/>
      <c r="CH2795" s="9"/>
    </row>
    <row r="2796" spans="6:86" x14ac:dyDescent="0.25">
      <c r="F2796" s="9"/>
      <c r="G2796" s="9"/>
      <c r="AA2796" s="10"/>
      <c r="AV2796" s="11"/>
      <c r="AW2796" s="11"/>
      <c r="BB2796" s="9"/>
      <c r="BC2796" s="11"/>
      <c r="BF2796" s="9"/>
      <c r="CF2796" s="12"/>
      <c r="CH2796" s="9"/>
    </row>
    <row r="2797" spans="6:86" x14ac:dyDescent="0.25">
      <c r="F2797" s="9"/>
      <c r="G2797" s="9"/>
      <c r="AA2797" s="10"/>
      <c r="AV2797" s="11"/>
      <c r="AW2797" s="11"/>
      <c r="BB2797" s="9"/>
      <c r="BC2797" s="11"/>
      <c r="BF2797" s="9"/>
      <c r="CF2797" s="12"/>
      <c r="CH2797" s="9"/>
    </row>
    <row r="2798" spans="6:86" x14ac:dyDescent="0.25">
      <c r="F2798" s="9"/>
      <c r="G2798" s="9"/>
      <c r="AA2798" s="10"/>
      <c r="AV2798" s="11"/>
      <c r="AW2798" s="11"/>
      <c r="BB2798" s="9"/>
      <c r="BC2798" s="11"/>
      <c r="BF2798" s="9"/>
      <c r="CF2798" s="12"/>
      <c r="CH2798" s="9"/>
    </row>
    <row r="2799" spans="6:86" x14ac:dyDescent="0.25">
      <c r="F2799" s="9"/>
      <c r="G2799" s="9"/>
      <c r="AA2799" s="10"/>
      <c r="AV2799" s="11"/>
      <c r="AW2799" s="11"/>
      <c r="BB2799" s="9"/>
      <c r="BC2799" s="11"/>
      <c r="BF2799" s="9"/>
      <c r="CF2799" s="12"/>
      <c r="CH2799" s="9"/>
    </row>
    <row r="2800" spans="6:86" x14ac:dyDescent="0.25">
      <c r="F2800" s="9"/>
      <c r="G2800" s="9"/>
      <c r="AA2800" s="10"/>
      <c r="AV2800" s="11"/>
      <c r="AW2800" s="11"/>
      <c r="BB2800" s="9"/>
      <c r="BC2800" s="11"/>
      <c r="BF2800" s="9"/>
      <c r="CF2800" s="12"/>
      <c r="CH2800" s="9"/>
    </row>
    <row r="2801" spans="6:86" x14ac:dyDescent="0.25">
      <c r="F2801" s="9"/>
      <c r="G2801" s="9"/>
      <c r="AA2801" s="10"/>
      <c r="AV2801" s="11"/>
      <c r="AW2801" s="11"/>
      <c r="BB2801" s="9"/>
      <c r="BC2801" s="11"/>
      <c r="BF2801" s="9"/>
      <c r="CF2801" s="12"/>
      <c r="CH2801" s="9"/>
    </row>
    <row r="2802" spans="6:86" x14ac:dyDescent="0.25">
      <c r="F2802" s="9"/>
      <c r="G2802" s="9"/>
      <c r="AA2802" s="10"/>
      <c r="AV2802" s="11"/>
      <c r="AW2802" s="11"/>
      <c r="BB2802" s="9"/>
      <c r="BC2802" s="11"/>
      <c r="BF2802" s="9"/>
      <c r="CF2802" s="12"/>
      <c r="CH2802" s="9"/>
    </row>
    <row r="2803" spans="6:86" x14ac:dyDescent="0.25">
      <c r="F2803" s="9"/>
      <c r="G2803" s="9"/>
      <c r="AA2803" s="10"/>
      <c r="AV2803" s="11"/>
      <c r="AW2803" s="11"/>
      <c r="BB2803" s="9"/>
      <c r="BC2803" s="11"/>
      <c r="BF2803" s="9"/>
      <c r="CF2803" s="12"/>
      <c r="CH2803" s="9"/>
    </row>
    <row r="2804" spans="6:86" x14ac:dyDescent="0.25">
      <c r="F2804" s="9"/>
      <c r="G2804" s="9"/>
      <c r="AA2804" s="10"/>
      <c r="AV2804" s="11"/>
      <c r="AW2804" s="11"/>
      <c r="BB2804" s="9"/>
      <c r="BC2804" s="11"/>
      <c r="BF2804" s="9"/>
      <c r="CF2804" s="12"/>
      <c r="CH2804" s="9"/>
    </row>
    <row r="2805" spans="6:86" x14ac:dyDescent="0.25">
      <c r="F2805" s="9"/>
      <c r="G2805" s="9"/>
      <c r="AA2805" s="10"/>
      <c r="AV2805" s="11"/>
      <c r="AW2805" s="11"/>
      <c r="BB2805" s="9"/>
      <c r="BC2805" s="11"/>
      <c r="BF2805" s="9"/>
      <c r="CH2805" s="9"/>
    </row>
    <row r="2806" spans="6:86" x14ac:dyDescent="0.25">
      <c r="F2806" s="9"/>
      <c r="G2806" s="9"/>
      <c r="AA2806" s="10"/>
      <c r="AV2806" s="11"/>
      <c r="AW2806" s="11"/>
      <c r="BB2806" s="9"/>
      <c r="BC2806" s="11"/>
      <c r="BF2806" s="9"/>
      <c r="CF2806" s="12"/>
      <c r="CH2806" s="9"/>
    </row>
    <row r="2807" spans="6:86" x14ac:dyDescent="0.25">
      <c r="F2807" s="9"/>
      <c r="G2807" s="9"/>
      <c r="AA2807" s="10"/>
      <c r="AV2807" s="11"/>
      <c r="AW2807" s="11"/>
      <c r="BB2807" s="9"/>
      <c r="BC2807" s="11"/>
      <c r="BF2807" s="9"/>
      <c r="CF2807" s="12"/>
      <c r="CH2807" s="9"/>
    </row>
    <row r="2808" spans="6:86" x14ac:dyDescent="0.25">
      <c r="F2808" s="9"/>
      <c r="G2808" s="9"/>
      <c r="AA2808" s="10"/>
      <c r="AV2808" s="11"/>
      <c r="AW2808" s="11"/>
      <c r="BB2808" s="9"/>
      <c r="BC2808" s="11"/>
      <c r="BF2808" s="9"/>
      <c r="CF2808" s="12"/>
      <c r="CH2808" s="9"/>
    </row>
    <row r="2809" spans="6:86" x14ac:dyDescent="0.25">
      <c r="F2809" s="9"/>
      <c r="G2809" s="9"/>
      <c r="AA2809" s="10"/>
      <c r="AV2809" s="11"/>
      <c r="AW2809" s="11"/>
      <c r="BB2809" s="9"/>
      <c r="BC2809" s="11"/>
      <c r="BF2809" s="9"/>
      <c r="CF2809" s="12"/>
      <c r="CH2809" s="9"/>
    </row>
    <row r="2810" spans="6:86" x14ac:dyDescent="0.25">
      <c r="F2810" s="9"/>
      <c r="G2810" s="9"/>
      <c r="AA2810" s="10"/>
      <c r="AV2810" s="11"/>
      <c r="AW2810" s="11"/>
      <c r="BB2810" s="9"/>
      <c r="BC2810" s="11"/>
      <c r="BF2810" s="9"/>
      <c r="CF2810" s="12"/>
      <c r="CH2810" s="9"/>
    </row>
    <row r="2811" spans="6:86" x14ac:dyDescent="0.25">
      <c r="F2811" s="9"/>
      <c r="G2811" s="9"/>
      <c r="AA2811" s="10"/>
      <c r="AV2811" s="11"/>
      <c r="AW2811" s="11"/>
      <c r="BB2811" s="9"/>
      <c r="BC2811" s="11"/>
      <c r="BF2811" s="9"/>
      <c r="CF2811" s="12"/>
      <c r="CH2811" s="9"/>
    </row>
    <row r="2812" spans="6:86" x14ac:dyDescent="0.25">
      <c r="F2812" s="9"/>
      <c r="G2812" s="9"/>
      <c r="AA2812" s="10"/>
      <c r="AV2812" s="11"/>
      <c r="AW2812" s="11"/>
      <c r="BB2812" s="9"/>
      <c r="BC2812" s="11"/>
      <c r="BF2812" s="9"/>
      <c r="CF2812" s="12"/>
      <c r="CH2812" s="9"/>
    </row>
    <row r="2813" spans="6:86" x14ac:dyDescent="0.25">
      <c r="F2813" s="9"/>
      <c r="G2813" s="9"/>
      <c r="AA2813" s="10"/>
      <c r="AV2813" s="11"/>
      <c r="AW2813" s="11"/>
      <c r="BB2813" s="9"/>
      <c r="BC2813" s="11"/>
      <c r="BF2813" s="9"/>
      <c r="CF2813" s="12"/>
      <c r="CH2813" s="9"/>
    </row>
    <row r="2814" spans="6:86" x14ac:dyDescent="0.25">
      <c r="F2814" s="9"/>
      <c r="G2814" s="9"/>
      <c r="AA2814" s="10"/>
      <c r="AV2814" s="11"/>
      <c r="AW2814" s="11"/>
      <c r="BB2814" s="9"/>
      <c r="BC2814" s="11"/>
      <c r="BF2814" s="9"/>
      <c r="CF2814" s="12"/>
      <c r="CH2814" s="9"/>
    </row>
    <row r="2815" spans="6:86" x14ac:dyDescent="0.25">
      <c r="F2815" s="9"/>
      <c r="G2815" s="9"/>
      <c r="AA2815" s="10"/>
      <c r="AV2815" s="11"/>
      <c r="AW2815" s="11"/>
      <c r="BB2815" s="9"/>
      <c r="BC2815" s="11"/>
      <c r="BF2815" s="9"/>
      <c r="CF2815" s="12"/>
      <c r="CH2815" s="9"/>
    </row>
    <row r="2816" spans="6:86" x14ac:dyDescent="0.25">
      <c r="F2816" s="9"/>
      <c r="G2816" s="9"/>
      <c r="AA2816" s="10"/>
      <c r="AV2816" s="11"/>
      <c r="AW2816" s="11"/>
      <c r="BB2816" s="9"/>
      <c r="BC2816" s="11"/>
      <c r="BF2816" s="9"/>
      <c r="CF2816" s="12"/>
      <c r="CH2816" s="9"/>
    </row>
    <row r="2817" spans="6:86" x14ac:dyDescent="0.25">
      <c r="F2817" s="9"/>
      <c r="G2817" s="9"/>
      <c r="AA2817" s="10"/>
      <c r="AV2817" s="11"/>
      <c r="AW2817" s="11"/>
      <c r="BB2817" s="9"/>
      <c r="BC2817" s="11"/>
      <c r="BF2817" s="9"/>
      <c r="CF2817" s="12"/>
      <c r="CH2817" s="9"/>
    </row>
    <row r="2818" spans="6:86" x14ac:dyDescent="0.25">
      <c r="F2818" s="9"/>
      <c r="G2818" s="9"/>
      <c r="AA2818" s="10"/>
      <c r="AV2818" s="11"/>
      <c r="AW2818" s="11"/>
      <c r="BB2818" s="9"/>
      <c r="BC2818" s="11"/>
      <c r="BF2818" s="9"/>
      <c r="CF2818" s="12"/>
      <c r="CH2818" s="9"/>
    </row>
    <row r="2819" spans="6:86" x14ac:dyDescent="0.25">
      <c r="F2819" s="9"/>
      <c r="G2819" s="9"/>
      <c r="AA2819" s="10"/>
      <c r="AV2819" s="11"/>
      <c r="AW2819" s="11"/>
      <c r="BB2819" s="9"/>
      <c r="BC2819" s="11"/>
      <c r="BF2819" s="9"/>
      <c r="CF2819" s="12"/>
      <c r="CH2819" s="9"/>
    </row>
    <row r="2820" spans="6:86" x14ac:dyDescent="0.25">
      <c r="F2820" s="9"/>
      <c r="G2820" s="9"/>
      <c r="AA2820" s="10"/>
      <c r="AV2820" s="11"/>
      <c r="AW2820" s="11"/>
      <c r="BB2820" s="9"/>
      <c r="BC2820" s="11"/>
      <c r="BF2820" s="9"/>
      <c r="CF2820" s="12"/>
      <c r="CH2820" s="9"/>
    </row>
    <row r="2821" spans="6:86" x14ac:dyDescent="0.25">
      <c r="F2821" s="9"/>
      <c r="G2821" s="9"/>
      <c r="AA2821" s="10"/>
      <c r="AV2821" s="11"/>
      <c r="AW2821" s="11"/>
      <c r="BB2821" s="9"/>
      <c r="BC2821" s="11"/>
      <c r="BF2821" s="9"/>
      <c r="CF2821" s="12"/>
      <c r="CH2821" s="9"/>
    </row>
    <row r="2822" spans="6:86" x14ac:dyDescent="0.25">
      <c r="F2822" s="9"/>
      <c r="G2822" s="9"/>
      <c r="AA2822" s="10"/>
      <c r="AV2822" s="11"/>
      <c r="AW2822" s="11"/>
      <c r="BB2822" s="9"/>
      <c r="BC2822" s="11"/>
      <c r="BF2822" s="9"/>
      <c r="CF2822" s="12"/>
      <c r="CH2822" s="9"/>
    </row>
    <row r="2823" spans="6:86" x14ac:dyDescent="0.25">
      <c r="F2823" s="9"/>
      <c r="G2823" s="9"/>
      <c r="AA2823" s="10"/>
      <c r="AV2823" s="11"/>
      <c r="AW2823" s="11"/>
      <c r="BB2823" s="9"/>
      <c r="BC2823" s="11"/>
      <c r="BF2823" s="9"/>
      <c r="CF2823" s="12"/>
      <c r="CH2823" s="9"/>
    </row>
    <row r="2824" spans="6:86" x14ac:dyDescent="0.25">
      <c r="F2824" s="9"/>
      <c r="G2824" s="9"/>
      <c r="AA2824" s="10"/>
      <c r="AV2824" s="11"/>
      <c r="AW2824" s="11"/>
      <c r="BB2824" s="9"/>
      <c r="BC2824" s="11"/>
      <c r="BF2824" s="9"/>
      <c r="CF2824" s="12"/>
      <c r="CH2824" s="9"/>
    </row>
    <row r="2825" spans="6:86" x14ac:dyDescent="0.25">
      <c r="F2825" s="9"/>
      <c r="G2825" s="9"/>
      <c r="AA2825" s="10"/>
      <c r="AV2825" s="11"/>
      <c r="AW2825" s="11"/>
      <c r="BB2825" s="9"/>
      <c r="BC2825" s="11"/>
      <c r="BF2825" s="9"/>
      <c r="CF2825" s="12"/>
      <c r="CH2825" s="9"/>
    </row>
    <row r="2826" spans="6:86" x14ac:dyDescent="0.25">
      <c r="F2826" s="9"/>
      <c r="G2826" s="9"/>
      <c r="AA2826" s="10"/>
      <c r="AV2826" s="11"/>
      <c r="AW2826" s="11"/>
      <c r="BB2826" s="9"/>
      <c r="BC2826" s="11"/>
      <c r="BF2826" s="9"/>
      <c r="CH2826" s="9"/>
    </row>
    <row r="2827" spans="6:86" x14ac:dyDescent="0.25">
      <c r="F2827" s="9"/>
      <c r="G2827" s="9"/>
      <c r="AA2827" s="10"/>
      <c r="AV2827" s="11"/>
      <c r="AW2827" s="11"/>
      <c r="BB2827" s="9"/>
      <c r="BC2827" s="11"/>
      <c r="BF2827" s="9"/>
      <c r="CF2827" s="12"/>
      <c r="CH2827" s="9"/>
    </row>
    <row r="2828" spans="6:86" x14ac:dyDescent="0.25">
      <c r="F2828" s="9"/>
      <c r="G2828" s="9"/>
      <c r="AA2828" s="10"/>
      <c r="AV2828" s="11"/>
      <c r="AW2828" s="11"/>
      <c r="BB2828" s="9"/>
      <c r="BC2828" s="11"/>
      <c r="BF2828" s="9"/>
      <c r="CF2828" s="12"/>
      <c r="CH2828" s="9"/>
    </row>
    <row r="2829" spans="6:86" x14ac:dyDescent="0.25">
      <c r="F2829" s="9"/>
      <c r="G2829" s="9"/>
      <c r="AA2829" s="10"/>
      <c r="AV2829" s="11"/>
      <c r="AW2829" s="11"/>
      <c r="BB2829" s="9"/>
      <c r="BC2829" s="11"/>
      <c r="BF2829" s="9"/>
      <c r="CF2829" s="12"/>
      <c r="CH2829" s="9"/>
    </row>
    <row r="2830" spans="6:86" x14ac:dyDescent="0.25">
      <c r="F2830" s="9"/>
      <c r="G2830" s="9"/>
      <c r="AA2830" s="10"/>
      <c r="AV2830" s="11"/>
      <c r="AW2830" s="11"/>
      <c r="BB2830" s="9"/>
      <c r="BC2830" s="11"/>
      <c r="BF2830" s="9"/>
      <c r="CF2830" s="12"/>
      <c r="CH2830" s="9"/>
    </row>
    <row r="2831" spans="6:86" x14ac:dyDescent="0.25">
      <c r="F2831" s="9"/>
      <c r="G2831" s="9"/>
      <c r="AA2831" s="10"/>
      <c r="AV2831" s="11"/>
      <c r="AW2831" s="11"/>
      <c r="BB2831" s="9"/>
      <c r="BC2831" s="11"/>
      <c r="BF2831" s="9"/>
      <c r="CF2831" s="12"/>
      <c r="CH2831" s="9"/>
    </row>
    <row r="2832" spans="6:86" x14ac:dyDescent="0.25">
      <c r="F2832" s="9"/>
      <c r="G2832" s="9"/>
      <c r="AA2832" s="10"/>
      <c r="AV2832" s="11"/>
      <c r="AW2832" s="11"/>
      <c r="BB2832" s="9"/>
      <c r="BC2832" s="11"/>
      <c r="BF2832" s="9"/>
      <c r="CF2832" s="12"/>
      <c r="CH2832" s="9"/>
    </row>
    <row r="2833" spans="6:86" x14ac:dyDescent="0.25">
      <c r="F2833" s="9"/>
      <c r="G2833" s="9"/>
      <c r="AA2833" s="10"/>
      <c r="AV2833" s="11"/>
      <c r="AW2833" s="11"/>
      <c r="BB2833" s="9"/>
      <c r="BC2833" s="11"/>
      <c r="BF2833" s="9"/>
      <c r="CF2833" s="12"/>
      <c r="CH2833" s="9"/>
    </row>
    <row r="2834" spans="6:86" x14ac:dyDescent="0.25">
      <c r="F2834" s="9"/>
      <c r="G2834" s="9"/>
      <c r="AA2834" s="10"/>
      <c r="AV2834" s="11"/>
      <c r="AW2834" s="11"/>
      <c r="BB2834" s="9"/>
      <c r="BC2834" s="11"/>
      <c r="BF2834" s="9"/>
      <c r="CF2834" s="12"/>
      <c r="CH2834" s="9"/>
    </row>
    <row r="2835" spans="6:86" x14ac:dyDescent="0.25">
      <c r="F2835" s="9"/>
      <c r="G2835" s="9"/>
      <c r="AA2835" s="10"/>
      <c r="AV2835" s="11"/>
      <c r="AW2835" s="11"/>
      <c r="BB2835" s="9"/>
      <c r="BC2835" s="11"/>
      <c r="BF2835" s="9"/>
      <c r="CF2835" s="12"/>
      <c r="CH2835" s="9"/>
    </row>
    <row r="2836" spans="6:86" x14ac:dyDescent="0.25">
      <c r="F2836" s="9"/>
      <c r="G2836" s="9"/>
      <c r="AA2836" s="10"/>
      <c r="AV2836" s="11"/>
      <c r="AW2836" s="11"/>
      <c r="BB2836" s="9"/>
      <c r="BC2836" s="11"/>
      <c r="BF2836" s="9"/>
      <c r="CF2836" s="12"/>
      <c r="CH2836" s="9"/>
    </row>
    <row r="2837" spans="6:86" x14ac:dyDescent="0.25">
      <c r="F2837" s="9"/>
      <c r="G2837" s="9"/>
      <c r="AA2837" s="10"/>
      <c r="AV2837" s="11"/>
      <c r="AW2837" s="11"/>
      <c r="BB2837" s="9"/>
      <c r="BC2837" s="11"/>
      <c r="BF2837" s="9"/>
      <c r="CF2837" s="12"/>
      <c r="CH2837" s="9"/>
    </row>
    <row r="2838" spans="6:86" x14ac:dyDescent="0.25">
      <c r="F2838" s="9"/>
      <c r="G2838" s="9"/>
      <c r="AA2838" s="10"/>
      <c r="AV2838" s="11"/>
      <c r="AW2838" s="11"/>
      <c r="BB2838" s="9"/>
      <c r="BC2838" s="11"/>
      <c r="BF2838" s="9"/>
      <c r="CF2838" s="12"/>
      <c r="CH2838" s="9"/>
    </row>
    <row r="2839" spans="6:86" x14ac:dyDescent="0.25">
      <c r="F2839" s="9"/>
      <c r="G2839" s="9"/>
      <c r="AA2839" s="10"/>
      <c r="AV2839" s="11"/>
      <c r="AW2839" s="11"/>
      <c r="BB2839" s="9"/>
      <c r="BC2839" s="11"/>
      <c r="BF2839" s="9"/>
      <c r="CH2839" s="9"/>
    </row>
    <row r="2840" spans="6:86" x14ac:dyDescent="0.25">
      <c r="F2840" s="9"/>
      <c r="G2840" s="9"/>
      <c r="AA2840" s="10"/>
      <c r="AV2840" s="11"/>
      <c r="AW2840" s="11"/>
      <c r="BB2840" s="9"/>
      <c r="BC2840" s="11"/>
      <c r="BF2840" s="9"/>
      <c r="CF2840" s="12"/>
      <c r="CH2840" s="9"/>
    </row>
    <row r="2841" spans="6:86" x14ac:dyDescent="0.25">
      <c r="F2841" s="9"/>
      <c r="G2841" s="9"/>
      <c r="AA2841" s="10"/>
      <c r="AV2841" s="11"/>
      <c r="AW2841" s="11"/>
      <c r="BB2841" s="9"/>
      <c r="BC2841" s="11"/>
      <c r="BF2841" s="9"/>
      <c r="CF2841" s="12"/>
      <c r="CH2841" s="9"/>
    </row>
    <row r="2842" spans="6:86" x14ac:dyDescent="0.25">
      <c r="F2842" s="9"/>
      <c r="G2842" s="9"/>
      <c r="AA2842" s="10"/>
      <c r="AV2842" s="11"/>
      <c r="AW2842" s="11"/>
      <c r="BB2842" s="9"/>
      <c r="BC2842" s="11"/>
      <c r="BF2842" s="9"/>
      <c r="CF2842" s="12"/>
      <c r="CH2842" s="9"/>
    </row>
    <row r="2843" spans="6:86" x14ac:dyDescent="0.25">
      <c r="F2843" s="9"/>
      <c r="G2843" s="9"/>
      <c r="AA2843" s="10"/>
      <c r="AV2843" s="11"/>
      <c r="AW2843" s="11"/>
      <c r="BB2843" s="9"/>
      <c r="BC2843" s="11"/>
      <c r="BF2843" s="9"/>
      <c r="CF2843" s="12"/>
      <c r="CH2843" s="9"/>
    </row>
    <row r="2844" spans="6:86" x14ac:dyDescent="0.25">
      <c r="F2844" s="9"/>
      <c r="G2844" s="9"/>
      <c r="AA2844" s="10"/>
      <c r="AV2844" s="11"/>
      <c r="AW2844" s="11"/>
      <c r="BB2844" s="9"/>
      <c r="BC2844" s="11"/>
      <c r="BF2844" s="9"/>
      <c r="CH2844" s="9"/>
    </row>
    <row r="2845" spans="6:86" x14ac:dyDescent="0.25">
      <c r="F2845" s="9"/>
      <c r="G2845" s="9"/>
      <c r="AA2845" s="10"/>
      <c r="AV2845" s="11"/>
      <c r="AW2845" s="11"/>
      <c r="BB2845" s="9"/>
      <c r="BC2845" s="11"/>
      <c r="BF2845" s="9"/>
      <c r="CF2845" s="12"/>
      <c r="CH2845" s="9"/>
    </row>
    <row r="2846" spans="6:86" x14ac:dyDescent="0.25">
      <c r="F2846" s="9"/>
      <c r="G2846" s="9"/>
      <c r="AA2846" s="10"/>
      <c r="AV2846" s="11"/>
      <c r="AW2846" s="11"/>
      <c r="BB2846" s="9"/>
      <c r="BC2846" s="11"/>
      <c r="BF2846" s="9"/>
      <c r="CF2846" s="12"/>
      <c r="CH2846" s="9"/>
    </row>
    <row r="2847" spans="6:86" x14ac:dyDescent="0.25">
      <c r="F2847" s="9"/>
      <c r="G2847" s="9"/>
      <c r="AA2847" s="10"/>
      <c r="AV2847" s="11"/>
      <c r="AW2847" s="11"/>
      <c r="BB2847" s="9"/>
      <c r="BC2847" s="11"/>
      <c r="BF2847" s="9"/>
      <c r="CF2847" s="12"/>
      <c r="CH2847" s="9"/>
    </row>
    <row r="2848" spans="6:86" x14ac:dyDescent="0.25">
      <c r="F2848" s="9"/>
      <c r="G2848" s="9"/>
      <c r="AA2848" s="10"/>
      <c r="AV2848" s="11"/>
      <c r="AW2848" s="11"/>
      <c r="BB2848" s="9"/>
      <c r="BC2848" s="11"/>
      <c r="BF2848" s="9"/>
      <c r="CF2848" s="12"/>
      <c r="CH2848" s="9"/>
    </row>
    <row r="2849" spans="6:92" x14ac:dyDescent="0.25">
      <c r="F2849" s="9"/>
      <c r="G2849" s="9"/>
      <c r="AA2849" s="10"/>
      <c r="AV2849" s="11"/>
      <c r="AW2849" s="11"/>
      <c r="BB2849" s="9"/>
      <c r="BC2849" s="11"/>
      <c r="BF2849" s="9"/>
      <c r="CF2849" s="12"/>
      <c r="CH2849" s="9"/>
    </row>
    <row r="2850" spans="6:92" x14ac:dyDescent="0.25">
      <c r="F2850" s="9"/>
      <c r="G2850" s="9"/>
      <c r="AA2850" s="10"/>
      <c r="AV2850" s="11"/>
      <c r="AW2850" s="11"/>
      <c r="BB2850" s="9"/>
      <c r="BC2850" s="11"/>
      <c r="BF2850" s="9"/>
      <c r="CF2850" s="12"/>
      <c r="CH2850" s="9"/>
    </row>
    <row r="2851" spans="6:92" x14ac:dyDescent="0.25">
      <c r="F2851" s="9"/>
      <c r="G2851" s="9"/>
      <c r="AA2851" s="10"/>
      <c r="AV2851" s="11"/>
      <c r="AW2851" s="11"/>
      <c r="BB2851" s="9"/>
      <c r="BC2851" s="11"/>
      <c r="BF2851" s="9"/>
      <c r="CF2851" s="12"/>
      <c r="CH2851" s="9"/>
    </row>
    <row r="2852" spans="6:92" x14ac:dyDescent="0.25">
      <c r="F2852" s="9"/>
      <c r="G2852" s="9"/>
      <c r="AA2852" s="10"/>
      <c r="AV2852" s="11"/>
      <c r="AW2852" s="11"/>
      <c r="BB2852" s="9"/>
      <c r="BC2852" s="11"/>
      <c r="BF2852" s="9"/>
      <c r="CH2852" s="9"/>
    </row>
    <row r="2853" spans="6:92" x14ac:dyDescent="0.25">
      <c r="F2853" s="9"/>
      <c r="G2853" s="9"/>
      <c r="AA2853" s="10"/>
      <c r="AV2853" s="11"/>
      <c r="AW2853" s="11"/>
      <c r="BB2853" s="9"/>
      <c r="BC2853" s="11"/>
      <c r="BF2853" s="9"/>
      <c r="CH2853" s="9"/>
    </row>
    <row r="2854" spans="6:92" x14ac:dyDescent="0.25">
      <c r="F2854" s="9"/>
      <c r="G2854" s="9"/>
      <c r="AA2854" s="10"/>
      <c r="AV2854" s="11"/>
      <c r="AW2854" s="11"/>
      <c r="BB2854" s="9"/>
      <c r="BC2854" s="11"/>
      <c r="BF2854" s="9"/>
      <c r="CF2854" s="12"/>
      <c r="CH2854" s="9"/>
    </row>
    <row r="2855" spans="6:92" x14ac:dyDescent="0.25">
      <c r="F2855" s="9"/>
      <c r="G2855" s="9"/>
      <c r="AA2855" s="10"/>
      <c r="AV2855" s="11"/>
      <c r="AW2855" s="11"/>
      <c r="BB2855" s="9"/>
      <c r="BC2855" s="11"/>
      <c r="BF2855" s="9"/>
      <c r="CF2855" s="12"/>
      <c r="CH2855" s="9"/>
    </row>
    <row r="2856" spans="6:92" x14ac:dyDescent="0.25">
      <c r="F2856" s="9"/>
      <c r="G2856" s="9"/>
      <c r="AA2856" s="10"/>
      <c r="AV2856" s="11"/>
      <c r="AW2856" s="11"/>
      <c r="BB2856" s="9"/>
      <c r="BC2856" s="11"/>
      <c r="BF2856" s="9"/>
      <c r="CF2856" s="12"/>
      <c r="CH2856" s="9"/>
    </row>
    <row r="2857" spans="6:92" x14ac:dyDescent="0.25">
      <c r="F2857" s="9"/>
      <c r="G2857" s="9"/>
      <c r="AA2857" s="10"/>
      <c r="AV2857" s="11"/>
      <c r="AW2857" s="11"/>
      <c r="BB2857" s="9"/>
      <c r="BC2857" s="11"/>
      <c r="BF2857" s="9"/>
      <c r="CF2857" s="12"/>
      <c r="CH2857" s="9"/>
    </row>
    <row r="2858" spans="6:92" x14ac:dyDescent="0.25">
      <c r="F2858" s="9"/>
      <c r="G2858" s="9"/>
      <c r="AA2858" s="10"/>
      <c r="AV2858" s="11"/>
      <c r="AW2858" s="11"/>
      <c r="BB2858" s="9"/>
      <c r="BC2858" s="11"/>
      <c r="BF2858" s="9"/>
      <c r="CF2858" s="12"/>
      <c r="CH2858" s="9"/>
    </row>
    <row r="2859" spans="6:92" x14ac:dyDescent="0.25">
      <c r="F2859" s="9"/>
      <c r="G2859" s="9"/>
      <c r="AA2859" s="10"/>
      <c r="AV2859" s="11"/>
      <c r="AW2859" s="11"/>
      <c r="BB2859" s="9"/>
      <c r="BC2859" s="11"/>
      <c r="BF2859" s="9"/>
      <c r="CF2859" s="12"/>
      <c r="CH2859" s="9"/>
    </row>
    <row r="2860" spans="6:92" x14ac:dyDescent="0.25">
      <c r="F2860" s="9"/>
      <c r="G2860" s="9"/>
      <c r="AA2860" s="10"/>
      <c r="AV2860" s="11"/>
      <c r="AW2860" s="11"/>
      <c r="BB2860" s="9"/>
      <c r="BC2860" s="11"/>
      <c r="BF2860" s="9"/>
      <c r="CF2860" s="12"/>
      <c r="CH2860" s="9"/>
    </row>
    <row r="2861" spans="6:92" x14ac:dyDescent="0.25">
      <c r="F2861" s="9"/>
      <c r="G2861" s="9"/>
      <c r="U2861" s="12"/>
      <c r="Z2861" s="12"/>
      <c r="AA2861" s="10"/>
      <c r="AV2861" s="11"/>
      <c r="AW2861" s="11"/>
      <c r="BB2861" s="9"/>
      <c r="BC2861" s="11"/>
      <c r="BF2861" s="9"/>
      <c r="CF2861" s="12"/>
      <c r="CH2861" s="9"/>
      <c r="CN2861" s="12"/>
    </row>
    <row r="2862" spans="6:92" x14ac:dyDescent="0.25">
      <c r="F2862" s="9"/>
      <c r="G2862" s="9"/>
      <c r="AA2862" s="10"/>
      <c r="AV2862" s="11"/>
      <c r="AW2862" s="11"/>
      <c r="BB2862" s="9"/>
      <c r="BC2862" s="11"/>
      <c r="BF2862" s="9"/>
      <c r="CH2862" s="9"/>
    </row>
    <row r="2863" spans="6:92" x14ac:dyDescent="0.25">
      <c r="F2863" s="9"/>
      <c r="G2863" s="9"/>
      <c r="AA2863" s="10"/>
      <c r="AV2863" s="11"/>
      <c r="AW2863" s="11"/>
      <c r="BB2863" s="9"/>
      <c r="BC2863" s="11"/>
      <c r="BF2863" s="9"/>
      <c r="CF2863" s="12"/>
      <c r="CH2863" s="9"/>
    </row>
    <row r="2864" spans="6:92" x14ac:dyDescent="0.25">
      <c r="F2864" s="9"/>
      <c r="G2864" s="9"/>
      <c r="AA2864" s="10"/>
      <c r="AV2864" s="11"/>
      <c r="AW2864" s="11"/>
      <c r="BB2864" s="9"/>
      <c r="BC2864" s="11"/>
      <c r="BF2864" s="9"/>
      <c r="CF2864" s="12"/>
      <c r="CH2864" s="9"/>
    </row>
    <row r="2865" spans="6:92" x14ac:dyDescent="0.25">
      <c r="F2865" s="9"/>
      <c r="G2865" s="9"/>
      <c r="AA2865" s="10"/>
      <c r="AV2865" s="11"/>
      <c r="AW2865" s="11"/>
      <c r="BB2865" s="9"/>
      <c r="BC2865" s="11"/>
      <c r="BF2865" s="9"/>
      <c r="CF2865" s="12"/>
      <c r="CH2865" s="9"/>
    </row>
    <row r="2866" spans="6:92" x14ac:dyDescent="0.25">
      <c r="F2866" s="9"/>
      <c r="G2866" s="9"/>
      <c r="AA2866" s="10"/>
      <c r="AV2866" s="11"/>
      <c r="AW2866" s="11"/>
      <c r="BB2866" s="9"/>
      <c r="BC2866" s="11"/>
      <c r="BF2866" s="9"/>
      <c r="CF2866" s="12"/>
      <c r="CH2866" s="9"/>
    </row>
    <row r="2867" spans="6:92" x14ac:dyDescent="0.25">
      <c r="F2867" s="9"/>
      <c r="G2867" s="9"/>
      <c r="AA2867" s="10"/>
      <c r="AV2867" s="11"/>
      <c r="AW2867" s="11"/>
      <c r="BB2867" s="9"/>
      <c r="BC2867" s="11"/>
      <c r="BF2867" s="9"/>
      <c r="CF2867" s="12"/>
      <c r="CH2867" s="9"/>
    </row>
    <row r="2868" spans="6:92" x14ac:dyDescent="0.25">
      <c r="F2868" s="9"/>
      <c r="G2868" s="9"/>
      <c r="AA2868" s="10"/>
      <c r="AV2868" s="11"/>
      <c r="AW2868" s="11"/>
      <c r="BB2868" s="9"/>
      <c r="BC2868" s="11"/>
      <c r="BF2868" s="9"/>
      <c r="CF2868" s="12"/>
      <c r="CH2868" s="9"/>
    </row>
    <row r="2869" spans="6:92" x14ac:dyDescent="0.25">
      <c r="F2869" s="9"/>
      <c r="G2869" s="9"/>
      <c r="AA2869" s="10"/>
      <c r="AV2869" s="11"/>
      <c r="AW2869" s="11"/>
      <c r="BB2869" s="9"/>
      <c r="BC2869" s="11"/>
      <c r="BF2869" s="9"/>
      <c r="CF2869" s="12"/>
      <c r="CH2869" s="9"/>
    </row>
    <row r="2870" spans="6:92" x14ac:dyDescent="0.25">
      <c r="F2870" s="9"/>
      <c r="G2870" s="9"/>
      <c r="AA2870" s="10"/>
      <c r="AV2870" s="11"/>
      <c r="AW2870" s="11"/>
      <c r="BB2870" s="9"/>
      <c r="BC2870" s="11"/>
      <c r="BF2870" s="9"/>
      <c r="CF2870" s="12"/>
      <c r="CH2870" s="9"/>
    </row>
    <row r="2871" spans="6:92" x14ac:dyDescent="0.25">
      <c r="F2871" s="9"/>
      <c r="G2871" s="9"/>
      <c r="AA2871" s="10"/>
      <c r="AV2871" s="11"/>
      <c r="AW2871" s="11"/>
      <c r="BB2871" s="9"/>
      <c r="BC2871" s="11"/>
      <c r="BF2871" s="9"/>
      <c r="CF2871" s="12"/>
      <c r="CH2871" s="9"/>
    </row>
    <row r="2872" spans="6:92" x14ac:dyDescent="0.25">
      <c r="F2872" s="9"/>
      <c r="G2872" s="9"/>
      <c r="AA2872" s="10"/>
      <c r="AV2872" s="11"/>
      <c r="AW2872" s="11"/>
      <c r="BB2872" s="9"/>
      <c r="BC2872" s="11"/>
      <c r="BF2872" s="9"/>
      <c r="CF2872" s="12"/>
      <c r="CH2872" s="9"/>
    </row>
    <row r="2873" spans="6:92" x14ac:dyDescent="0.25">
      <c r="F2873" s="9"/>
      <c r="G2873" s="9"/>
      <c r="AA2873" s="10"/>
      <c r="AV2873" s="11"/>
      <c r="AW2873" s="11"/>
      <c r="BB2873" s="9"/>
      <c r="BC2873" s="11"/>
      <c r="BF2873" s="9"/>
      <c r="CF2873" s="12"/>
      <c r="CH2873" s="9"/>
    </row>
    <row r="2874" spans="6:92" x14ac:dyDescent="0.25">
      <c r="F2874" s="9"/>
      <c r="G2874" s="9"/>
      <c r="AA2874" s="10"/>
      <c r="AV2874" s="11"/>
      <c r="AW2874" s="11"/>
      <c r="BB2874" s="9"/>
      <c r="BC2874" s="11"/>
      <c r="BF2874" s="9"/>
      <c r="CF2874" s="12"/>
      <c r="CH2874" s="9"/>
    </row>
    <row r="2875" spans="6:92" x14ac:dyDescent="0.25">
      <c r="F2875" s="9"/>
      <c r="G2875" s="9"/>
      <c r="AA2875" s="10"/>
      <c r="AV2875" s="11"/>
      <c r="AW2875" s="11"/>
      <c r="BB2875" s="9"/>
      <c r="BC2875" s="11"/>
      <c r="BF2875" s="9"/>
      <c r="CF2875" s="12"/>
      <c r="CH2875" s="9"/>
    </row>
    <row r="2876" spans="6:92" x14ac:dyDescent="0.25">
      <c r="F2876" s="9"/>
      <c r="G2876" s="9"/>
      <c r="AA2876" s="10"/>
      <c r="AV2876" s="11"/>
      <c r="AW2876" s="11"/>
      <c r="BB2876" s="9"/>
      <c r="BC2876" s="11"/>
      <c r="BF2876" s="9"/>
      <c r="CF2876" s="12"/>
      <c r="CH2876" s="9"/>
    </row>
    <row r="2877" spans="6:92" x14ac:dyDescent="0.25">
      <c r="F2877" s="9"/>
      <c r="G2877" s="9"/>
      <c r="AA2877" s="10"/>
      <c r="AV2877" s="11"/>
      <c r="AW2877" s="11"/>
      <c r="BB2877" s="9"/>
      <c r="BC2877" s="11"/>
      <c r="BF2877" s="9"/>
      <c r="CF2877" s="12"/>
      <c r="CH2877" s="9"/>
    </row>
    <row r="2878" spans="6:92" x14ac:dyDescent="0.25">
      <c r="F2878" s="9"/>
      <c r="G2878" s="9"/>
      <c r="AA2878" s="10"/>
      <c r="AV2878" s="11"/>
      <c r="AW2878" s="11"/>
      <c r="BB2878" s="9"/>
      <c r="BC2878" s="11"/>
      <c r="BF2878" s="9"/>
      <c r="CF2878" s="12"/>
      <c r="CH2878" s="9"/>
    </row>
    <row r="2879" spans="6:92" x14ac:dyDescent="0.25">
      <c r="F2879" s="9"/>
      <c r="G2879" s="9"/>
      <c r="AA2879" s="10"/>
      <c r="AV2879" s="11"/>
      <c r="AW2879" s="11"/>
      <c r="BB2879" s="9"/>
      <c r="BC2879" s="11"/>
      <c r="BF2879" s="9"/>
    </row>
    <row r="2880" spans="6:92" x14ac:dyDescent="0.25">
      <c r="F2880" s="9"/>
      <c r="G2880" s="9"/>
      <c r="AA2880" s="10"/>
      <c r="AV2880" s="11"/>
      <c r="AW2880" s="11"/>
      <c r="BB2880" s="9"/>
      <c r="BC2880" s="11"/>
      <c r="BF2880" s="9"/>
      <c r="CH2880" s="9"/>
      <c r="CN2880" s="12"/>
    </row>
    <row r="2881" spans="6:92" x14ac:dyDescent="0.25">
      <c r="F2881" s="9"/>
      <c r="G2881" s="9"/>
      <c r="AA2881" s="10"/>
      <c r="AV2881" s="11"/>
      <c r="AW2881" s="11"/>
      <c r="BB2881" s="9"/>
      <c r="BC2881" s="11"/>
      <c r="BF2881" s="9"/>
      <c r="CF2881" s="12"/>
      <c r="CH2881" s="9"/>
    </row>
    <row r="2882" spans="6:92" x14ac:dyDescent="0.25">
      <c r="F2882" s="9"/>
      <c r="G2882" s="9"/>
      <c r="AA2882" s="10"/>
      <c r="AV2882" s="11"/>
      <c r="AW2882" s="11"/>
      <c r="BB2882" s="9"/>
      <c r="BC2882" s="11"/>
      <c r="BF2882" s="9"/>
      <c r="CF2882" s="12"/>
      <c r="CH2882" s="9"/>
    </row>
    <row r="2883" spans="6:92" x14ac:dyDescent="0.25">
      <c r="F2883" s="9"/>
      <c r="G2883" s="9"/>
      <c r="AA2883" s="10"/>
      <c r="AV2883" s="11"/>
      <c r="AW2883" s="11"/>
      <c r="BB2883" s="9"/>
      <c r="BC2883" s="11"/>
      <c r="BF2883" s="9"/>
      <c r="CF2883" s="12"/>
      <c r="CH2883" s="9"/>
    </row>
    <row r="2884" spans="6:92" x14ac:dyDescent="0.25">
      <c r="F2884" s="9"/>
      <c r="G2884" s="9"/>
      <c r="U2884" s="12"/>
      <c r="Y2884" s="12"/>
      <c r="Z2884" s="12"/>
      <c r="AA2884" s="10"/>
      <c r="AV2884" s="11"/>
      <c r="AW2884" s="11"/>
      <c r="BB2884" s="9"/>
      <c r="BC2884" s="11"/>
      <c r="BF2884" s="9"/>
      <c r="CF2884" s="12"/>
      <c r="CH2884" s="9"/>
      <c r="CN2884" s="12"/>
    </row>
    <row r="2885" spans="6:92" x14ac:dyDescent="0.25">
      <c r="F2885" s="9"/>
      <c r="G2885" s="9"/>
      <c r="U2885" s="12"/>
      <c r="Y2885" s="12"/>
      <c r="Z2885" s="12"/>
      <c r="AA2885" s="10"/>
      <c r="AV2885" s="11"/>
      <c r="AW2885" s="11"/>
      <c r="BB2885" s="9"/>
      <c r="BC2885" s="11"/>
      <c r="BF2885" s="9"/>
      <c r="CF2885" s="12"/>
      <c r="CH2885" s="9"/>
      <c r="CN2885" s="12"/>
    </row>
    <row r="2886" spans="6:92" x14ac:dyDescent="0.25">
      <c r="F2886" s="9"/>
      <c r="G2886" s="9"/>
      <c r="U2886" s="12"/>
      <c r="Z2886" s="12"/>
      <c r="AA2886" s="10"/>
      <c r="AV2886" s="11"/>
      <c r="AW2886" s="11"/>
      <c r="BB2886" s="9"/>
      <c r="BC2886" s="11"/>
      <c r="BF2886" s="9"/>
    </row>
    <row r="2887" spans="6:92" x14ac:dyDescent="0.25">
      <c r="F2887" s="9"/>
      <c r="G2887" s="9"/>
      <c r="AA2887" s="10"/>
      <c r="AV2887" s="11"/>
      <c r="AW2887" s="11"/>
      <c r="BB2887" s="9"/>
      <c r="BC2887" s="11"/>
      <c r="BF2887" s="9"/>
    </row>
    <row r="2888" spans="6:92" x14ac:dyDescent="0.25">
      <c r="F2888" s="9"/>
      <c r="G2888" s="9"/>
      <c r="AA2888" s="10"/>
      <c r="AV2888" s="11"/>
      <c r="AW2888" s="11"/>
      <c r="BB2888" s="9"/>
      <c r="BC2888" s="11"/>
      <c r="BF2888" s="9"/>
    </row>
    <row r="2889" spans="6:92" x14ac:dyDescent="0.25">
      <c r="F2889" s="9"/>
      <c r="G2889" s="9"/>
      <c r="U2889" s="12"/>
      <c r="Z2889" s="12"/>
      <c r="AA2889" s="10"/>
      <c r="AV2889" s="11"/>
      <c r="AW2889" s="11"/>
      <c r="BB2889" s="9"/>
      <c r="BC2889" s="11"/>
      <c r="BF2889" s="9"/>
    </row>
    <row r="2890" spans="6:92" x14ac:dyDescent="0.25">
      <c r="F2890" s="9"/>
      <c r="G2890" s="9"/>
      <c r="T2890" s="10"/>
      <c r="U2890" s="12"/>
      <c r="Z2890" s="12"/>
      <c r="AA2890" s="10"/>
      <c r="AV2890" s="11"/>
      <c r="AW2890" s="11"/>
      <c r="BB2890" s="9"/>
      <c r="BC2890" s="11"/>
      <c r="BF2890" s="9"/>
    </row>
    <row r="2891" spans="6:92" x14ac:dyDescent="0.25">
      <c r="F2891" s="9"/>
      <c r="G2891" s="9"/>
      <c r="U2891" s="12"/>
      <c r="Z2891" s="12"/>
      <c r="AA2891" s="10"/>
      <c r="AV2891" s="11"/>
      <c r="AW2891" s="11"/>
      <c r="BB2891" s="9"/>
      <c r="BC2891" s="11"/>
      <c r="BF2891" s="9"/>
    </row>
    <row r="2892" spans="6:92" x14ac:dyDescent="0.25">
      <c r="F2892" s="9"/>
      <c r="G2892" s="9"/>
      <c r="T2892" s="10"/>
      <c r="U2892" s="12"/>
      <c r="Z2892" s="12"/>
      <c r="AA2892" s="10"/>
      <c r="AV2892" s="11"/>
      <c r="AW2892" s="11"/>
      <c r="BB2892" s="9"/>
      <c r="BC2892" s="11"/>
      <c r="BF2892" s="9"/>
    </row>
    <row r="2893" spans="6:92" x14ac:dyDescent="0.25">
      <c r="F2893" s="9"/>
      <c r="G2893" s="9"/>
      <c r="AA2893" s="10"/>
      <c r="AV2893" s="11"/>
      <c r="AW2893" s="11"/>
      <c r="BB2893" s="9"/>
      <c r="BC2893" s="11"/>
      <c r="BF2893" s="9"/>
      <c r="CF2893" s="12"/>
      <c r="CH2893" s="9"/>
    </row>
    <row r="2894" spans="6:92" x14ac:dyDescent="0.25">
      <c r="F2894" s="9"/>
      <c r="G2894" s="9"/>
      <c r="AA2894" s="10"/>
      <c r="AV2894" s="11"/>
      <c r="AW2894" s="11"/>
      <c r="BB2894" s="9"/>
      <c r="BC2894" s="11"/>
      <c r="BF2894" s="9"/>
      <c r="CF2894" s="12"/>
      <c r="CH2894" s="9"/>
    </row>
    <row r="2895" spans="6:92" x14ac:dyDescent="0.25">
      <c r="F2895" s="9"/>
      <c r="G2895" s="9"/>
      <c r="AA2895" s="10"/>
      <c r="AV2895" s="11"/>
      <c r="AW2895" s="11"/>
      <c r="BB2895" s="9"/>
      <c r="BC2895" s="11"/>
      <c r="BF2895" s="9"/>
      <c r="CF2895" s="12"/>
      <c r="CH2895" s="9"/>
    </row>
    <row r="2896" spans="6:92" x14ac:dyDescent="0.25">
      <c r="F2896" s="9"/>
      <c r="G2896" s="9"/>
      <c r="AA2896" s="10"/>
      <c r="AV2896" s="11"/>
      <c r="AW2896" s="11"/>
      <c r="BB2896" s="9"/>
      <c r="BC2896" s="11"/>
      <c r="BF2896" s="9"/>
      <c r="CF2896" s="12"/>
      <c r="CH2896" s="9"/>
    </row>
    <row r="2897" spans="6:86" x14ac:dyDescent="0.25">
      <c r="F2897" s="9"/>
      <c r="G2897" s="9"/>
      <c r="AA2897" s="10"/>
      <c r="AV2897" s="11"/>
      <c r="AW2897" s="11"/>
      <c r="BB2897" s="9"/>
      <c r="BC2897" s="11"/>
      <c r="BF2897" s="9"/>
      <c r="CF2897" s="12"/>
      <c r="CH2897" s="9"/>
    </row>
    <row r="2898" spans="6:86" x14ac:dyDescent="0.25">
      <c r="F2898" s="9"/>
      <c r="G2898" s="9"/>
      <c r="AA2898" s="10"/>
      <c r="AV2898" s="11"/>
      <c r="AW2898" s="11"/>
      <c r="BB2898" s="9"/>
      <c r="BC2898" s="11"/>
      <c r="BF2898" s="9"/>
      <c r="CF2898" s="12"/>
      <c r="CH2898" s="9"/>
    </row>
    <row r="2899" spans="6:86" x14ac:dyDescent="0.25">
      <c r="F2899" s="9"/>
      <c r="G2899" s="9"/>
      <c r="AA2899" s="10"/>
      <c r="AV2899" s="11"/>
      <c r="AW2899" s="11"/>
      <c r="BB2899" s="9"/>
      <c r="BC2899" s="11"/>
      <c r="BF2899" s="9"/>
      <c r="CH2899" s="9"/>
    </row>
    <row r="2900" spans="6:86" x14ac:dyDescent="0.25">
      <c r="F2900" s="9"/>
      <c r="G2900" s="9"/>
      <c r="AA2900" s="10"/>
      <c r="AV2900" s="11"/>
      <c r="AW2900" s="11"/>
      <c r="BB2900" s="9"/>
      <c r="BC2900" s="11"/>
      <c r="BF2900" s="9"/>
      <c r="CH2900" s="9"/>
    </row>
    <row r="2901" spans="6:86" x14ac:dyDescent="0.25">
      <c r="F2901" s="9"/>
      <c r="G2901" s="9"/>
      <c r="AA2901" s="10"/>
      <c r="AV2901" s="11"/>
      <c r="AW2901" s="11"/>
      <c r="BB2901" s="9"/>
      <c r="BC2901" s="11"/>
      <c r="BF2901" s="9"/>
      <c r="CF2901" s="12"/>
      <c r="CH2901" s="9"/>
    </row>
    <row r="2902" spans="6:86" x14ac:dyDescent="0.25">
      <c r="F2902" s="9"/>
      <c r="G2902" s="9"/>
      <c r="AA2902" s="10"/>
      <c r="AV2902" s="11"/>
      <c r="AW2902" s="11"/>
      <c r="BB2902" s="9"/>
      <c r="BC2902" s="11"/>
      <c r="BF2902" s="9"/>
      <c r="CH2902" s="9"/>
    </row>
    <row r="2903" spans="6:86" x14ac:dyDescent="0.25">
      <c r="F2903" s="9"/>
      <c r="G2903" s="9"/>
      <c r="AA2903" s="10"/>
      <c r="AV2903" s="11"/>
      <c r="AW2903" s="11"/>
      <c r="BB2903" s="9"/>
      <c r="BC2903" s="11"/>
      <c r="BF2903" s="9"/>
      <c r="CF2903" s="12"/>
      <c r="CH2903" s="9"/>
    </row>
    <row r="2904" spans="6:86" x14ac:dyDescent="0.25">
      <c r="F2904" s="9"/>
      <c r="G2904" s="9"/>
      <c r="AA2904" s="10"/>
      <c r="AV2904" s="11"/>
      <c r="AW2904" s="11"/>
      <c r="BB2904" s="9"/>
      <c r="BC2904" s="11"/>
      <c r="BF2904" s="9"/>
      <c r="CF2904" s="12"/>
      <c r="CH2904" s="9"/>
    </row>
    <row r="2905" spans="6:86" x14ac:dyDescent="0.25">
      <c r="F2905" s="9"/>
      <c r="G2905" s="9"/>
      <c r="AA2905" s="10"/>
      <c r="AV2905" s="11"/>
      <c r="AW2905" s="11"/>
      <c r="BB2905" s="9"/>
      <c r="BC2905" s="11"/>
      <c r="BF2905" s="9"/>
      <c r="CF2905" s="12"/>
      <c r="CH2905" s="9"/>
    </row>
    <row r="2906" spans="6:86" x14ac:dyDescent="0.25">
      <c r="F2906" s="9"/>
      <c r="G2906" s="9"/>
      <c r="AA2906" s="10"/>
      <c r="AV2906" s="11"/>
      <c r="AW2906" s="11"/>
      <c r="BB2906" s="9"/>
      <c r="BC2906" s="11"/>
      <c r="BF2906" s="9"/>
      <c r="CF2906" s="12"/>
      <c r="CH2906" s="9"/>
    </row>
    <row r="2907" spans="6:86" x14ac:dyDescent="0.25">
      <c r="F2907" s="9"/>
      <c r="G2907" s="9"/>
      <c r="AA2907" s="10"/>
      <c r="AV2907" s="11"/>
      <c r="AW2907" s="11"/>
      <c r="BB2907" s="9"/>
      <c r="BC2907" s="11"/>
      <c r="BF2907" s="9"/>
      <c r="CF2907" s="12"/>
      <c r="CH2907" s="9"/>
    </row>
    <row r="2908" spans="6:86" x14ac:dyDescent="0.25">
      <c r="F2908" s="9"/>
      <c r="G2908" s="9"/>
      <c r="AA2908" s="10"/>
      <c r="AV2908" s="11"/>
      <c r="AW2908" s="11"/>
      <c r="BB2908" s="9"/>
      <c r="BC2908" s="11"/>
      <c r="BF2908" s="9"/>
      <c r="CF2908" s="12"/>
      <c r="CH2908" s="9"/>
    </row>
    <row r="2909" spans="6:86" x14ac:dyDescent="0.25">
      <c r="F2909" s="9"/>
      <c r="G2909" s="9"/>
      <c r="AA2909" s="10"/>
      <c r="AV2909" s="11"/>
      <c r="AW2909" s="11"/>
      <c r="BB2909" s="9"/>
      <c r="BC2909" s="11"/>
      <c r="BF2909" s="9"/>
      <c r="CF2909" s="12"/>
      <c r="CH2909" s="9"/>
    </row>
    <row r="2910" spans="6:86" x14ac:dyDescent="0.25">
      <c r="F2910" s="9"/>
      <c r="G2910" s="9"/>
      <c r="AA2910" s="10"/>
      <c r="AV2910" s="11"/>
      <c r="AW2910" s="11"/>
      <c r="BB2910" s="9"/>
      <c r="BC2910" s="11"/>
      <c r="BF2910" s="9"/>
      <c r="CH2910" s="9"/>
    </row>
    <row r="2911" spans="6:86" x14ac:dyDescent="0.25">
      <c r="F2911" s="9"/>
      <c r="G2911" s="9"/>
      <c r="AA2911" s="10"/>
      <c r="AV2911" s="11"/>
      <c r="AW2911" s="11"/>
      <c r="BB2911" s="9"/>
      <c r="BC2911" s="11"/>
      <c r="BF2911" s="9"/>
      <c r="CH2911" s="9"/>
    </row>
    <row r="2912" spans="6:86" x14ac:dyDescent="0.25">
      <c r="F2912" s="9"/>
      <c r="G2912" s="9"/>
      <c r="AA2912" s="10"/>
      <c r="AV2912" s="11"/>
      <c r="AW2912" s="11"/>
      <c r="BB2912" s="9"/>
      <c r="BC2912" s="11"/>
      <c r="BF2912" s="9"/>
      <c r="CH2912" s="9"/>
    </row>
    <row r="2913" spans="6:92" x14ac:dyDescent="0.25">
      <c r="F2913" s="9"/>
      <c r="G2913" s="9"/>
      <c r="AA2913" s="10"/>
      <c r="AV2913" s="11"/>
      <c r="AW2913" s="11"/>
      <c r="BB2913" s="9"/>
      <c r="BC2913" s="11"/>
      <c r="BF2913" s="9"/>
      <c r="CF2913" s="12"/>
      <c r="CH2913" s="9"/>
    </row>
    <row r="2914" spans="6:92" x14ac:dyDescent="0.25">
      <c r="F2914" s="9"/>
      <c r="G2914" s="9"/>
      <c r="AA2914" s="10"/>
      <c r="AV2914" s="11"/>
      <c r="AW2914" s="11"/>
      <c r="BB2914" s="9"/>
      <c r="BC2914" s="11"/>
      <c r="BF2914" s="9"/>
      <c r="CF2914" s="12"/>
      <c r="CH2914" s="9"/>
    </row>
    <row r="2915" spans="6:92" x14ac:dyDescent="0.25">
      <c r="F2915" s="9"/>
      <c r="G2915" s="9"/>
      <c r="AA2915" s="10"/>
      <c r="AV2915" s="11"/>
      <c r="AW2915" s="11"/>
      <c r="BB2915" s="9"/>
      <c r="BC2915" s="11"/>
      <c r="BF2915" s="9"/>
      <c r="CF2915" s="12"/>
      <c r="CH2915" s="9"/>
    </row>
    <row r="2916" spans="6:92" x14ac:dyDescent="0.25">
      <c r="F2916" s="9"/>
      <c r="G2916" s="9"/>
      <c r="AA2916" s="10"/>
      <c r="AV2916" s="11"/>
      <c r="AW2916" s="11"/>
      <c r="BB2916" s="9"/>
      <c r="BC2916" s="11"/>
      <c r="BF2916" s="9"/>
      <c r="CF2916" s="12"/>
      <c r="CH2916" s="9"/>
    </row>
    <row r="2917" spans="6:92" x14ac:dyDescent="0.25">
      <c r="F2917" s="9"/>
      <c r="G2917" s="9"/>
      <c r="AA2917" s="10"/>
      <c r="AV2917" s="11"/>
      <c r="AW2917" s="11"/>
      <c r="BB2917" s="9"/>
      <c r="BC2917" s="11"/>
      <c r="BF2917" s="9"/>
      <c r="CF2917" s="12"/>
      <c r="CH2917" s="9"/>
    </row>
    <row r="2918" spans="6:92" x14ac:dyDescent="0.25">
      <c r="F2918" s="9"/>
      <c r="G2918" s="9"/>
      <c r="AA2918" s="10"/>
      <c r="AV2918" s="11"/>
      <c r="AW2918" s="11"/>
      <c r="BB2918" s="9"/>
      <c r="BC2918" s="11"/>
      <c r="BF2918" s="9"/>
      <c r="CF2918" s="12"/>
      <c r="CH2918" s="9"/>
    </row>
    <row r="2919" spans="6:92" x14ac:dyDescent="0.25">
      <c r="F2919" s="9"/>
      <c r="G2919" s="9"/>
      <c r="AA2919" s="10"/>
      <c r="AV2919" s="11"/>
      <c r="AW2919" s="11"/>
      <c r="BB2919" s="9"/>
      <c r="BC2919" s="11"/>
      <c r="BF2919" s="9"/>
      <c r="CF2919" s="12"/>
      <c r="CH2919" s="9"/>
    </row>
    <row r="2920" spans="6:92" x14ac:dyDescent="0.25">
      <c r="F2920" s="9"/>
      <c r="G2920" s="9"/>
      <c r="AA2920" s="10"/>
      <c r="AV2920" s="11"/>
      <c r="AW2920" s="11"/>
      <c r="BB2920" s="9"/>
      <c r="BC2920" s="11"/>
      <c r="BF2920" s="9"/>
      <c r="CF2920" s="12"/>
      <c r="CH2920" s="9"/>
    </row>
    <row r="2921" spans="6:92" x14ac:dyDescent="0.25">
      <c r="F2921" s="9"/>
      <c r="G2921" s="9"/>
      <c r="AA2921" s="10"/>
      <c r="AV2921" s="11"/>
      <c r="AW2921" s="11"/>
      <c r="BB2921" s="9"/>
      <c r="BC2921" s="11"/>
      <c r="BF2921" s="9"/>
      <c r="CF2921" s="12"/>
      <c r="CH2921" s="9"/>
    </row>
    <row r="2922" spans="6:92" x14ac:dyDescent="0.25">
      <c r="F2922" s="9"/>
      <c r="G2922" s="9"/>
      <c r="AA2922" s="10"/>
      <c r="AV2922" s="11"/>
      <c r="AW2922" s="11"/>
      <c r="BB2922" s="9"/>
      <c r="BC2922" s="11"/>
      <c r="BF2922" s="9"/>
      <c r="CF2922" s="12"/>
      <c r="CH2922" s="9"/>
    </row>
    <row r="2923" spans="6:92" x14ac:dyDescent="0.25">
      <c r="F2923" s="9"/>
      <c r="G2923" s="9"/>
      <c r="AA2923" s="10"/>
      <c r="AV2923" s="11"/>
      <c r="AW2923" s="11"/>
      <c r="BB2923" s="9"/>
      <c r="BC2923" s="11"/>
      <c r="BF2923" s="9"/>
      <c r="CF2923" s="12"/>
      <c r="CH2923" s="9"/>
    </row>
    <row r="2924" spans="6:92" x14ac:dyDescent="0.25">
      <c r="F2924" s="9"/>
      <c r="G2924" s="9"/>
      <c r="AA2924" s="10"/>
      <c r="AV2924" s="11"/>
      <c r="AW2924" s="11"/>
      <c r="BB2924" s="9"/>
      <c r="BC2924" s="11"/>
      <c r="BF2924" s="9"/>
      <c r="CH2924" s="9"/>
    </row>
    <row r="2925" spans="6:92" x14ac:dyDescent="0.25">
      <c r="F2925" s="9"/>
      <c r="G2925" s="9"/>
      <c r="AA2925" s="10"/>
      <c r="AV2925" s="11"/>
      <c r="AW2925" s="11"/>
      <c r="BB2925" s="9"/>
      <c r="BC2925" s="11"/>
      <c r="BF2925" s="9"/>
      <c r="CF2925" s="12"/>
      <c r="CH2925" s="9"/>
    </row>
    <row r="2926" spans="6:92" x14ac:dyDescent="0.25">
      <c r="F2926" s="9"/>
      <c r="G2926" s="9"/>
      <c r="AA2926" s="10"/>
      <c r="AV2926" s="11"/>
      <c r="AW2926" s="11"/>
      <c r="BB2926" s="9"/>
      <c r="BC2926" s="11"/>
      <c r="BF2926" s="9"/>
      <c r="CF2926" s="12"/>
      <c r="CH2926" s="9"/>
    </row>
    <row r="2927" spans="6:92" x14ac:dyDescent="0.25">
      <c r="F2927" s="9"/>
      <c r="G2927" s="9"/>
      <c r="AA2927" s="10"/>
      <c r="AV2927" s="11"/>
      <c r="AW2927" s="11"/>
      <c r="BB2927" s="9"/>
      <c r="BC2927" s="11"/>
      <c r="BF2927" s="9"/>
      <c r="CF2927" s="12"/>
      <c r="CH2927" s="9"/>
    </row>
    <row r="2928" spans="6:92" x14ac:dyDescent="0.25">
      <c r="F2928" s="9"/>
      <c r="G2928" s="9"/>
      <c r="U2928" s="12"/>
      <c r="Z2928" s="12"/>
      <c r="AA2928" s="10"/>
      <c r="AV2928" s="11"/>
      <c r="AW2928" s="11"/>
      <c r="BB2928" s="9"/>
      <c r="BC2928" s="11"/>
      <c r="BF2928" s="9"/>
      <c r="CF2928" s="12"/>
      <c r="CH2928" s="9"/>
      <c r="CN2928" s="12"/>
    </row>
    <row r="2929" spans="6:86" x14ac:dyDescent="0.25">
      <c r="F2929" s="9"/>
      <c r="G2929" s="9"/>
      <c r="AA2929" s="10"/>
      <c r="AV2929" s="11"/>
      <c r="AW2929" s="11"/>
      <c r="BB2929" s="9"/>
      <c r="BC2929" s="11"/>
      <c r="BF2929" s="9"/>
      <c r="CF2929" s="12"/>
      <c r="CH2929" s="9"/>
    </row>
    <row r="2930" spans="6:86" x14ac:dyDescent="0.25">
      <c r="F2930" s="9"/>
      <c r="G2930" s="9"/>
      <c r="AA2930" s="10"/>
      <c r="AV2930" s="11"/>
      <c r="AW2930" s="11"/>
      <c r="BB2930" s="9"/>
      <c r="BC2930" s="11"/>
      <c r="BF2930" s="9"/>
      <c r="CF2930" s="12"/>
      <c r="CH2930" s="9"/>
    </row>
    <row r="2931" spans="6:86" x14ac:dyDescent="0.25">
      <c r="F2931" s="9"/>
      <c r="G2931" s="9"/>
      <c r="AA2931" s="10"/>
      <c r="AV2931" s="11"/>
      <c r="AW2931" s="11"/>
      <c r="BB2931" s="9"/>
      <c r="BC2931" s="11"/>
      <c r="BF2931" s="9"/>
      <c r="CF2931" s="12"/>
      <c r="CH2931" s="9"/>
    </row>
    <row r="2932" spans="6:86" x14ac:dyDescent="0.25">
      <c r="F2932" s="9"/>
      <c r="G2932" s="9"/>
      <c r="AA2932" s="10"/>
      <c r="AV2932" s="11"/>
      <c r="AW2932" s="11"/>
      <c r="BB2932" s="9"/>
      <c r="BC2932" s="11"/>
      <c r="BF2932" s="9"/>
      <c r="CF2932" s="12"/>
      <c r="CH2932" s="9"/>
    </row>
    <row r="2933" spans="6:86" x14ac:dyDescent="0.25">
      <c r="F2933" s="9"/>
      <c r="G2933" s="9"/>
      <c r="AA2933" s="10"/>
      <c r="AV2933" s="11"/>
      <c r="AW2933" s="11"/>
      <c r="BB2933" s="9"/>
      <c r="BC2933" s="11"/>
      <c r="BF2933" s="9"/>
      <c r="CH2933" s="9"/>
    </row>
    <row r="2934" spans="6:86" x14ac:dyDescent="0.25">
      <c r="F2934" s="9"/>
      <c r="G2934" s="9"/>
      <c r="AA2934" s="10"/>
      <c r="AV2934" s="11"/>
      <c r="AW2934" s="11"/>
      <c r="BB2934" s="9"/>
      <c r="BC2934" s="11"/>
      <c r="BF2934" s="9"/>
      <c r="CH2934" s="9"/>
    </row>
    <row r="2935" spans="6:86" x14ac:dyDescent="0.25">
      <c r="F2935" s="9"/>
      <c r="G2935" s="9"/>
      <c r="AA2935" s="10"/>
      <c r="AV2935" s="11"/>
      <c r="AW2935" s="11"/>
      <c r="BB2935" s="9"/>
      <c r="BC2935" s="11"/>
      <c r="BF2935" s="9"/>
      <c r="CF2935" s="12"/>
      <c r="CH2935" s="9"/>
    </row>
    <row r="2936" spans="6:86" x14ac:dyDescent="0.25">
      <c r="F2936" s="9"/>
      <c r="G2936" s="9"/>
      <c r="AA2936" s="10"/>
      <c r="AV2936" s="11"/>
      <c r="AW2936" s="11"/>
      <c r="BB2936" s="9"/>
      <c r="BC2936" s="11"/>
      <c r="BF2936" s="9"/>
      <c r="CF2936" s="12"/>
      <c r="CH2936" s="9"/>
    </row>
    <row r="2937" spans="6:86" x14ac:dyDescent="0.25">
      <c r="F2937" s="9"/>
      <c r="G2937" s="9"/>
      <c r="AA2937" s="10"/>
      <c r="AV2937" s="11"/>
      <c r="AW2937" s="11"/>
      <c r="BB2937" s="9"/>
      <c r="BC2937" s="11"/>
      <c r="BF2937" s="9"/>
      <c r="CF2937" s="12"/>
      <c r="CH2937" s="9"/>
    </row>
    <row r="2938" spans="6:86" x14ac:dyDescent="0.25">
      <c r="F2938" s="9"/>
      <c r="G2938" s="9"/>
      <c r="AA2938" s="10"/>
      <c r="AV2938" s="11"/>
      <c r="AW2938" s="11"/>
      <c r="BB2938" s="9"/>
      <c r="BC2938" s="11"/>
      <c r="BF2938" s="9"/>
      <c r="CF2938" s="12"/>
      <c r="CH2938" s="9"/>
    </row>
    <row r="2939" spans="6:86" x14ac:dyDescent="0.25">
      <c r="F2939" s="9"/>
      <c r="G2939" s="9"/>
      <c r="AA2939" s="10"/>
      <c r="AV2939" s="11"/>
      <c r="AW2939" s="11"/>
      <c r="BB2939" s="9"/>
      <c r="BC2939" s="11"/>
      <c r="BF2939" s="9"/>
      <c r="CF2939" s="12"/>
      <c r="CH2939" s="9"/>
    </row>
    <row r="2940" spans="6:86" x14ac:dyDescent="0.25">
      <c r="F2940" s="9"/>
      <c r="G2940" s="9"/>
      <c r="AA2940" s="10"/>
      <c r="AV2940" s="11"/>
      <c r="AW2940" s="11"/>
      <c r="BB2940" s="9"/>
      <c r="BC2940" s="11"/>
      <c r="BF2940" s="9"/>
      <c r="CH2940" s="9"/>
    </row>
    <row r="2941" spans="6:86" x14ac:dyDescent="0.25">
      <c r="F2941" s="9"/>
      <c r="G2941" s="9"/>
      <c r="AA2941" s="10"/>
      <c r="AV2941" s="11"/>
      <c r="AW2941" s="11"/>
      <c r="BB2941" s="9"/>
      <c r="BC2941" s="11"/>
      <c r="BF2941" s="9"/>
      <c r="CH2941" s="9"/>
    </row>
    <row r="2942" spans="6:86" x14ac:dyDescent="0.25">
      <c r="F2942" s="9"/>
      <c r="G2942" s="9"/>
      <c r="AA2942" s="10"/>
      <c r="AV2942" s="11"/>
      <c r="AW2942" s="11"/>
      <c r="BB2942" s="9"/>
      <c r="BC2942" s="11"/>
      <c r="BF2942" s="9"/>
      <c r="CH2942" s="9"/>
    </row>
    <row r="2943" spans="6:86" x14ac:dyDescent="0.25">
      <c r="F2943" s="9"/>
      <c r="G2943" s="9"/>
      <c r="AA2943" s="10"/>
      <c r="AV2943" s="11"/>
      <c r="AW2943" s="11"/>
      <c r="BB2943" s="9"/>
      <c r="BC2943" s="11"/>
      <c r="BF2943" s="9"/>
      <c r="CF2943" s="12"/>
      <c r="CH2943" s="9"/>
    </row>
    <row r="2944" spans="6:86" x14ac:dyDescent="0.25">
      <c r="F2944" s="9"/>
      <c r="G2944" s="9"/>
      <c r="AA2944" s="10"/>
      <c r="AV2944" s="11"/>
      <c r="AW2944" s="11"/>
      <c r="BB2944" s="9"/>
      <c r="BC2944" s="11"/>
      <c r="BF2944" s="9"/>
      <c r="CF2944" s="12"/>
      <c r="CH2944" s="9"/>
    </row>
    <row r="2945" spans="6:86" x14ac:dyDescent="0.25">
      <c r="F2945" s="9"/>
      <c r="G2945" s="9"/>
      <c r="AA2945" s="10"/>
      <c r="AV2945" s="11"/>
      <c r="AW2945" s="11"/>
      <c r="BB2945" s="9"/>
      <c r="BC2945" s="11"/>
      <c r="BF2945" s="9"/>
      <c r="CF2945" s="12"/>
      <c r="CH2945" s="9"/>
    </row>
    <row r="2946" spans="6:86" x14ac:dyDescent="0.25">
      <c r="F2946" s="9"/>
      <c r="G2946" s="9"/>
      <c r="AA2946" s="10"/>
      <c r="AV2946" s="11"/>
      <c r="AW2946" s="11"/>
      <c r="BB2946" s="9"/>
      <c r="BC2946" s="11"/>
      <c r="BF2946" s="9"/>
      <c r="CF2946" s="12"/>
      <c r="CH2946" s="9"/>
    </row>
    <row r="2947" spans="6:86" x14ac:dyDescent="0.25">
      <c r="F2947" s="9"/>
      <c r="G2947" s="9"/>
      <c r="AA2947" s="10"/>
      <c r="AV2947" s="11"/>
      <c r="AW2947" s="11"/>
      <c r="BB2947" s="9"/>
      <c r="BC2947" s="11"/>
      <c r="BF2947" s="9"/>
      <c r="CF2947" s="12"/>
      <c r="CH2947" s="9"/>
    </row>
    <row r="2948" spans="6:86" x14ac:dyDescent="0.25">
      <c r="F2948" s="9"/>
      <c r="G2948" s="9"/>
      <c r="AA2948" s="10"/>
      <c r="AV2948" s="11"/>
      <c r="AW2948" s="11"/>
      <c r="BB2948" s="9"/>
      <c r="BC2948" s="11"/>
      <c r="BF2948" s="9"/>
      <c r="CF2948" s="12"/>
      <c r="CH2948" s="9"/>
    </row>
    <row r="2949" spans="6:86" x14ac:dyDescent="0.25">
      <c r="F2949" s="9"/>
      <c r="G2949" s="9"/>
      <c r="AA2949" s="10"/>
      <c r="AV2949" s="11"/>
      <c r="AW2949" s="11"/>
      <c r="BB2949" s="9"/>
      <c r="BC2949" s="11"/>
      <c r="BF2949" s="9"/>
      <c r="CF2949" s="12"/>
      <c r="CH2949" s="9"/>
    </row>
    <row r="2950" spans="6:86" x14ac:dyDescent="0.25">
      <c r="F2950" s="9"/>
      <c r="G2950" s="9"/>
      <c r="AA2950" s="10"/>
      <c r="AV2950" s="11"/>
      <c r="AW2950" s="11"/>
      <c r="BB2950" s="9"/>
      <c r="BC2950" s="11"/>
      <c r="BF2950" s="9"/>
      <c r="CH2950" s="9"/>
    </row>
    <row r="2951" spans="6:86" x14ac:dyDescent="0.25">
      <c r="F2951" s="9"/>
      <c r="G2951" s="9"/>
      <c r="AA2951" s="10"/>
      <c r="AV2951" s="11"/>
      <c r="AW2951" s="11"/>
      <c r="BB2951" s="9"/>
      <c r="BC2951" s="11"/>
      <c r="BF2951" s="9"/>
      <c r="CH2951" s="9"/>
    </row>
    <row r="2952" spans="6:86" x14ac:dyDescent="0.25">
      <c r="F2952" s="9"/>
      <c r="G2952" s="9"/>
      <c r="AA2952" s="10"/>
      <c r="AV2952" s="11"/>
      <c r="AW2952" s="11"/>
      <c r="BB2952" s="9"/>
      <c r="BC2952" s="11"/>
      <c r="BF2952" s="9"/>
      <c r="CF2952" s="12"/>
      <c r="CH2952" s="9"/>
    </row>
    <row r="2953" spans="6:86" x14ac:dyDescent="0.25">
      <c r="F2953" s="9"/>
      <c r="G2953" s="9"/>
      <c r="AA2953" s="10"/>
      <c r="AV2953" s="11"/>
      <c r="AW2953" s="11"/>
      <c r="BB2953" s="9"/>
      <c r="BC2953" s="11"/>
      <c r="BF2953" s="9"/>
      <c r="CF2953" s="12"/>
      <c r="CH2953" s="9"/>
    </row>
    <row r="2954" spans="6:86" x14ac:dyDescent="0.25">
      <c r="F2954" s="9"/>
      <c r="G2954" s="9"/>
      <c r="AA2954" s="10"/>
      <c r="AV2954" s="11"/>
      <c r="AW2954" s="11"/>
      <c r="BB2954" s="9"/>
      <c r="BC2954" s="11"/>
      <c r="BF2954" s="9"/>
      <c r="CF2954" s="12"/>
      <c r="CH2954" s="9"/>
    </row>
    <row r="2955" spans="6:86" x14ac:dyDescent="0.25">
      <c r="F2955" s="9"/>
      <c r="G2955" s="9"/>
      <c r="AA2955" s="10"/>
      <c r="AV2955" s="11"/>
      <c r="AW2955" s="11"/>
      <c r="BB2955" s="9"/>
      <c r="BC2955" s="11"/>
      <c r="BF2955" s="9"/>
      <c r="CF2955" s="12"/>
      <c r="CH2955" s="9"/>
    </row>
    <row r="2956" spans="6:86" x14ac:dyDescent="0.25">
      <c r="F2956" s="9"/>
      <c r="G2956" s="9"/>
      <c r="AA2956" s="10"/>
      <c r="AV2956" s="11"/>
      <c r="AW2956" s="11"/>
      <c r="BB2956" s="9"/>
      <c r="BC2956" s="11"/>
      <c r="BF2956" s="9"/>
      <c r="CF2956" s="12"/>
      <c r="CH2956" s="9"/>
    </row>
    <row r="2957" spans="6:86" x14ac:dyDescent="0.25">
      <c r="F2957" s="9"/>
      <c r="G2957" s="9"/>
      <c r="AA2957" s="10"/>
      <c r="AV2957" s="11"/>
      <c r="AW2957" s="11"/>
      <c r="BB2957" s="9"/>
      <c r="BC2957" s="11"/>
      <c r="BF2957" s="9"/>
      <c r="CH2957" s="9"/>
    </row>
    <row r="2958" spans="6:86" x14ac:dyDescent="0.25">
      <c r="F2958" s="9"/>
      <c r="G2958" s="9"/>
      <c r="AA2958" s="10"/>
      <c r="AV2958" s="11"/>
      <c r="AW2958" s="11"/>
      <c r="BB2958" s="9"/>
      <c r="BC2958" s="11"/>
      <c r="BF2958" s="9"/>
      <c r="CF2958" s="12"/>
      <c r="CH2958" s="9"/>
    </row>
    <row r="2959" spans="6:86" x14ac:dyDescent="0.25">
      <c r="F2959" s="9"/>
      <c r="G2959" s="9"/>
      <c r="AA2959" s="10"/>
      <c r="AV2959" s="11"/>
      <c r="AW2959" s="11"/>
      <c r="BB2959" s="9"/>
      <c r="BC2959" s="11"/>
      <c r="BF2959" s="9"/>
      <c r="CF2959" s="12"/>
      <c r="CH2959" s="9"/>
    </row>
    <row r="2960" spans="6:86" x14ac:dyDescent="0.25">
      <c r="F2960" s="9"/>
      <c r="G2960" s="9"/>
      <c r="AA2960" s="10"/>
      <c r="AV2960" s="11"/>
      <c r="AW2960" s="11"/>
      <c r="BB2960" s="9"/>
      <c r="BC2960" s="11"/>
      <c r="BF2960" s="9"/>
      <c r="CF2960" s="12"/>
      <c r="CH2960" s="9"/>
    </row>
    <row r="2961" spans="6:86" x14ac:dyDescent="0.25">
      <c r="F2961" s="9"/>
      <c r="G2961" s="9"/>
      <c r="AA2961" s="10"/>
      <c r="AV2961" s="11"/>
      <c r="AW2961" s="11"/>
      <c r="BB2961" s="9"/>
      <c r="BC2961" s="11"/>
      <c r="BF2961" s="9"/>
      <c r="CF2961" s="12"/>
      <c r="CH2961" s="9"/>
    </row>
    <row r="2962" spans="6:86" x14ac:dyDescent="0.25">
      <c r="F2962" s="9"/>
      <c r="G2962" s="9"/>
      <c r="AA2962" s="10"/>
      <c r="AV2962" s="11"/>
      <c r="AW2962" s="11"/>
      <c r="BB2962" s="9"/>
      <c r="BC2962" s="11"/>
      <c r="BF2962" s="9"/>
      <c r="CF2962" s="12"/>
      <c r="CH2962" s="9"/>
    </row>
    <row r="2963" spans="6:86" x14ac:dyDescent="0.25">
      <c r="F2963" s="9"/>
      <c r="G2963" s="9"/>
      <c r="AA2963" s="10"/>
      <c r="AV2963" s="11"/>
      <c r="AW2963" s="11"/>
      <c r="BB2963" s="9"/>
      <c r="BC2963" s="11"/>
      <c r="BF2963" s="9"/>
      <c r="CF2963" s="12"/>
      <c r="CH2963" s="9"/>
    </row>
    <row r="2964" spans="6:86" x14ac:dyDescent="0.25">
      <c r="F2964" s="9"/>
      <c r="G2964" s="9"/>
      <c r="AA2964" s="10"/>
      <c r="AV2964" s="11"/>
      <c r="AW2964" s="11"/>
      <c r="BB2964" s="9"/>
      <c r="BC2964" s="11"/>
      <c r="BF2964" s="9"/>
      <c r="CF2964" s="12"/>
      <c r="CH2964" s="9"/>
    </row>
    <row r="2965" spans="6:86" x14ac:dyDescent="0.25">
      <c r="F2965" s="9"/>
      <c r="G2965" s="9"/>
      <c r="AA2965" s="10"/>
      <c r="AV2965" s="11"/>
      <c r="AW2965" s="11"/>
      <c r="BB2965" s="9"/>
      <c r="BC2965" s="11"/>
      <c r="BF2965" s="9"/>
      <c r="CF2965" s="12"/>
      <c r="CH2965" s="9"/>
    </row>
    <row r="2966" spans="6:86" x14ac:dyDescent="0.25">
      <c r="F2966" s="9"/>
      <c r="G2966" s="9"/>
      <c r="AA2966" s="10"/>
      <c r="AV2966" s="11"/>
      <c r="AW2966" s="11"/>
      <c r="BB2966" s="9"/>
      <c r="BC2966" s="11"/>
      <c r="BF2966" s="9"/>
      <c r="CF2966" s="12"/>
      <c r="CH2966" s="9"/>
    </row>
    <row r="2967" spans="6:86" x14ac:dyDescent="0.25">
      <c r="F2967" s="9"/>
      <c r="G2967" s="9"/>
      <c r="AA2967" s="10"/>
      <c r="AV2967" s="11"/>
      <c r="AW2967" s="11"/>
      <c r="BB2967" s="9"/>
      <c r="BC2967" s="11"/>
      <c r="BF2967" s="9"/>
      <c r="CF2967" s="12"/>
      <c r="CH2967" s="9"/>
    </row>
    <row r="2968" spans="6:86" x14ac:dyDescent="0.25">
      <c r="F2968" s="9"/>
      <c r="G2968" s="9"/>
      <c r="AA2968" s="10"/>
      <c r="AV2968" s="11"/>
      <c r="AW2968" s="11"/>
      <c r="BB2968" s="9"/>
      <c r="BC2968" s="11"/>
      <c r="BF2968" s="9"/>
      <c r="CF2968" s="12"/>
      <c r="CH2968" s="9"/>
    </row>
    <row r="2969" spans="6:86" x14ac:dyDescent="0.25">
      <c r="F2969" s="9"/>
      <c r="G2969" s="9"/>
      <c r="AA2969" s="10"/>
      <c r="AV2969" s="11"/>
      <c r="AW2969" s="11"/>
      <c r="BB2969" s="9"/>
      <c r="BC2969" s="11"/>
      <c r="BF2969" s="9"/>
      <c r="CH2969" s="9"/>
    </row>
    <row r="2970" spans="6:86" x14ac:dyDescent="0.25">
      <c r="F2970" s="9"/>
      <c r="G2970" s="9"/>
      <c r="AA2970" s="10"/>
      <c r="AV2970" s="11"/>
      <c r="AW2970" s="11"/>
      <c r="BB2970" s="9"/>
      <c r="BC2970" s="11"/>
      <c r="BF2970" s="9"/>
      <c r="CH2970" s="9"/>
    </row>
    <row r="2971" spans="6:86" x14ac:dyDescent="0.25">
      <c r="F2971" s="9"/>
      <c r="G2971" s="9"/>
      <c r="AA2971" s="10"/>
      <c r="AV2971" s="11"/>
      <c r="AW2971" s="11"/>
      <c r="BB2971" s="9"/>
      <c r="BC2971" s="11"/>
      <c r="BF2971" s="9"/>
      <c r="CF2971" s="12"/>
      <c r="CH2971" s="9"/>
    </row>
    <row r="2972" spans="6:86" x14ac:dyDescent="0.25">
      <c r="F2972" s="9"/>
      <c r="G2972" s="9"/>
      <c r="AA2972" s="10"/>
      <c r="AV2972" s="11"/>
      <c r="AW2972" s="11"/>
      <c r="BB2972" s="9"/>
      <c r="BC2972" s="11"/>
      <c r="BF2972" s="9"/>
      <c r="CF2972" s="12"/>
      <c r="CH2972" s="9"/>
    </row>
    <row r="2973" spans="6:86" x14ac:dyDescent="0.25">
      <c r="F2973" s="9"/>
      <c r="G2973" s="9"/>
      <c r="AA2973" s="10"/>
      <c r="AV2973" s="11"/>
      <c r="AW2973" s="11"/>
      <c r="BB2973" s="9"/>
      <c r="BC2973" s="11"/>
      <c r="BF2973" s="9"/>
      <c r="CF2973" s="12"/>
      <c r="CH2973" s="9"/>
    </row>
    <row r="2974" spans="6:86" x14ac:dyDescent="0.25">
      <c r="F2974" s="9"/>
      <c r="G2974" s="9"/>
      <c r="AA2974" s="10"/>
      <c r="AV2974" s="11"/>
      <c r="AW2974" s="11"/>
      <c r="BB2974" s="9"/>
      <c r="BC2974" s="11"/>
      <c r="BF2974" s="9"/>
      <c r="CF2974" s="12"/>
      <c r="CH2974" s="9"/>
    </row>
    <row r="2975" spans="6:86" x14ac:dyDescent="0.25">
      <c r="F2975" s="9"/>
      <c r="G2975" s="9"/>
      <c r="AA2975" s="10"/>
      <c r="AV2975" s="11"/>
      <c r="AW2975" s="11"/>
      <c r="BB2975" s="9"/>
      <c r="BC2975" s="11"/>
      <c r="BF2975" s="9"/>
      <c r="CF2975" s="12"/>
      <c r="CH2975" s="9"/>
    </row>
    <row r="2976" spans="6:86" x14ac:dyDescent="0.25">
      <c r="F2976" s="9"/>
      <c r="G2976" s="9"/>
      <c r="AA2976" s="10"/>
      <c r="AV2976" s="11"/>
      <c r="AW2976" s="11"/>
      <c r="BB2976" s="9"/>
      <c r="BC2976" s="11"/>
      <c r="BF2976" s="9"/>
      <c r="CF2976" s="12"/>
      <c r="CH2976" s="9"/>
    </row>
    <row r="2977" spans="6:92" x14ac:dyDescent="0.25">
      <c r="F2977" s="9"/>
      <c r="G2977" s="9"/>
      <c r="U2977" s="12"/>
      <c r="Y2977" s="12"/>
      <c r="Z2977" s="12"/>
      <c r="AA2977" s="10"/>
      <c r="AV2977" s="11"/>
      <c r="AW2977" s="11"/>
      <c r="BB2977" s="9"/>
      <c r="BC2977" s="11"/>
      <c r="BF2977" s="9"/>
      <c r="CF2977" s="12"/>
      <c r="CH2977" s="9"/>
      <c r="CN2977" s="12"/>
    </row>
    <row r="2978" spans="6:92" x14ac:dyDescent="0.25">
      <c r="F2978" s="9"/>
      <c r="G2978" s="9"/>
      <c r="AA2978" s="10"/>
      <c r="AV2978" s="11"/>
      <c r="AW2978" s="11"/>
      <c r="BB2978" s="9"/>
      <c r="BC2978" s="11"/>
      <c r="BF2978" s="9"/>
      <c r="CF2978" s="12"/>
      <c r="CH2978" s="9"/>
    </row>
    <row r="2979" spans="6:92" x14ac:dyDescent="0.25">
      <c r="F2979" s="9"/>
      <c r="G2979" s="9"/>
      <c r="AA2979" s="10"/>
      <c r="AV2979" s="11"/>
      <c r="AW2979" s="11"/>
      <c r="BB2979" s="9"/>
      <c r="BC2979" s="11"/>
      <c r="BF2979" s="9"/>
      <c r="CF2979" s="12"/>
      <c r="CH2979" s="9"/>
    </row>
    <row r="2980" spans="6:92" x14ac:dyDescent="0.25">
      <c r="F2980" s="9"/>
      <c r="G2980" s="9"/>
      <c r="AA2980" s="10"/>
      <c r="AV2980" s="11"/>
      <c r="AW2980" s="11"/>
      <c r="BB2980" s="9"/>
      <c r="BC2980" s="11"/>
      <c r="BF2980" s="9"/>
      <c r="CF2980" s="12"/>
      <c r="CH2980" s="9"/>
    </row>
    <row r="2981" spans="6:92" x14ac:dyDescent="0.25">
      <c r="F2981" s="9"/>
      <c r="G2981" s="9"/>
      <c r="AA2981" s="10"/>
      <c r="AV2981" s="11"/>
      <c r="AW2981" s="11"/>
      <c r="BB2981" s="9"/>
      <c r="BC2981" s="11"/>
      <c r="BF2981" s="9"/>
      <c r="CF2981" s="12"/>
      <c r="CH2981" s="9"/>
    </row>
    <row r="2982" spans="6:92" x14ac:dyDescent="0.25">
      <c r="F2982" s="9"/>
      <c r="G2982" s="9"/>
      <c r="U2982" s="12"/>
      <c r="Y2982" s="12"/>
      <c r="Z2982" s="12"/>
      <c r="AA2982" s="10"/>
      <c r="AV2982" s="11"/>
      <c r="AW2982" s="11"/>
      <c r="BB2982" s="9"/>
      <c r="BC2982" s="11"/>
      <c r="BF2982" s="9"/>
      <c r="CF2982" s="12"/>
      <c r="CH2982" s="9"/>
      <c r="CN2982" s="12"/>
    </row>
    <row r="2983" spans="6:92" x14ac:dyDescent="0.25">
      <c r="F2983" s="9"/>
      <c r="G2983" s="9"/>
      <c r="U2983" s="12"/>
      <c r="Z2983" s="12"/>
      <c r="AA2983" s="10"/>
      <c r="AV2983" s="11"/>
      <c r="AW2983" s="11"/>
      <c r="BB2983" s="9"/>
      <c r="BC2983" s="11"/>
      <c r="BF2983" s="9"/>
      <c r="CF2983" s="12"/>
      <c r="CH2983" s="9"/>
      <c r="CN2983" s="12"/>
    </row>
    <row r="2984" spans="6:92" x14ac:dyDescent="0.25">
      <c r="F2984" s="9"/>
      <c r="G2984" s="9"/>
      <c r="AA2984" s="10"/>
      <c r="AV2984" s="11"/>
      <c r="AW2984" s="11"/>
      <c r="BB2984" s="9"/>
      <c r="BC2984" s="11"/>
      <c r="BF2984" s="9"/>
      <c r="CF2984" s="12"/>
      <c r="CH2984" s="9"/>
    </row>
    <row r="2985" spans="6:92" x14ac:dyDescent="0.25">
      <c r="F2985" s="9"/>
      <c r="G2985" s="9"/>
      <c r="AA2985" s="10"/>
      <c r="AV2985" s="11"/>
      <c r="AW2985" s="11"/>
      <c r="BB2985" s="9"/>
      <c r="BC2985" s="11"/>
      <c r="BF2985" s="9"/>
      <c r="CF2985" s="12"/>
      <c r="CH2985" s="9"/>
    </row>
    <row r="2986" spans="6:92" x14ac:dyDescent="0.25">
      <c r="F2986" s="9"/>
      <c r="G2986" s="9"/>
      <c r="AA2986" s="10"/>
      <c r="AV2986" s="11"/>
      <c r="AW2986" s="11"/>
      <c r="BB2986" s="9"/>
      <c r="BC2986" s="11"/>
      <c r="BF2986" s="9"/>
      <c r="CF2986" s="12"/>
      <c r="CH2986" s="9"/>
    </row>
    <row r="2987" spans="6:92" x14ac:dyDescent="0.25">
      <c r="F2987" s="9"/>
      <c r="G2987" s="9"/>
      <c r="AA2987" s="10"/>
      <c r="AV2987" s="11"/>
      <c r="AW2987" s="11"/>
      <c r="BB2987" s="9"/>
      <c r="BC2987" s="11"/>
      <c r="BF2987" s="9"/>
      <c r="CF2987" s="12"/>
      <c r="CH2987" s="9"/>
    </row>
    <row r="2988" spans="6:92" x14ac:dyDescent="0.25">
      <c r="F2988" s="9"/>
      <c r="G2988" s="9"/>
      <c r="AA2988" s="10"/>
      <c r="AV2988" s="11"/>
      <c r="AW2988" s="11"/>
      <c r="BB2988" s="9"/>
      <c r="BC2988" s="11"/>
      <c r="BF2988" s="9"/>
      <c r="CF2988" s="12"/>
      <c r="CH2988" s="9"/>
    </row>
    <row r="2989" spans="6:92" x14ac:dyDescent="0.25">
      <c r="F2989" s="9"/>
      <c r="G2989" s="9"/>
      <c r="AA2989" s="10"/>
      <c r="AV2989" s="11"/>
      <c r="AW2989" s="11"/>
      <c r="BB2989" s="9"/>
      <c r="BC2989" s="11"/>
      <c r="BF2989" s="9"/>
      <c r="CF2989" s="12"/>
      <c r="CH2989" s="9"/>
    </row>
    <row r="2990" spans="6:92" x14ac:dyDescent="0.25">
      <c r="F2990" s="9"/>
      <c r="G2990" s="9"/>
      <c r="U2990" s="12"/>
      <c r="Z2990" s="12"/>
      <c r="AA2990" s="10"/>
      <c r="AV2990" s="11"/>
      <c r="AW2990" s="11"/>
      <c r="BB2990" s="9"/>
      <c r="BC2990" s="11"/>
      <c r="BF2990" s="9"/>
      <c r="CF2990" s="12"/>
      <c r="CH2990" s="9"/>
      <c r="CN2990" s="12"/>
    </row>
    <row r="2991" spans="6:92" x14ac:dyDescent="0.25">
      <c r="F2991" s="9"/>
      <c r="G2991" s="9"/>
      <c r="AA2991" s="10"/>
      <c r="AV2991" s="11"/>
      <c r="AW2991" s="11"/>
      <c r="BB2991" s="9"/>
      <c r="BC2991" s="11"/>
      <c r="BF2991" s="9"/>
      <c r="CH2991" s="9"/>
    </row>
    <row r="2992" spans="6:92" x14ac:dyDescent="0.25">
      <c r="F2992" s="9"/>
      <c r="G2992" s="9"/>
      <c r="AA2992" s="10"/>
      <c r="AV2992" s="11"/>
      <c r="AW2992" s="11"/>
      <c r="BB2992" s="9"/>
      <c r="BC2992" s="11"/>
      <c r="BF2992" s="9"/>
      <c r="CF2992" s="12"/>
      <c r="CH2992" s="9"/>
    </row>
    <row r="2993" spans="6:92" x14ac:dyDescent="0.25">
      <c r="F2993" s="9"/>
      <c r="G2993" s="9"/>
      <c r="AA2993" s="10"/>
      <c r="AV2993" s="11"/>
      <c r="AW2993" s="11"/>
      <c r="BB2993" s="9"/>
      <c r="BC2993" s="11"/>
      <c r="BF2993" s="9"/>
      <c r="CF2993" s="12"/>
      <c r="CH2993" s="9"/>
    </row>
    <row r="2994" spans="6:92" x14ac:dyDescent="0.25">
      <c r="F2994" s="9"/>
      <c r="G2994" s="9"/>
      <c r="AA2994" s="10"/>
      <c r="AV2994" s="11"/>
      <c r="AW2994" s="11"/>
      <c r="BB2994" s="9"/>
      <c r="BC2994" s="11"/>
      <c r="BF2994" s="9"/>
      <c r="CF2994" s="12"/>
      <c r="CH2994" s="9"/>
    </row>
    <row r="2995" spans="6:92" x14ac:dyDescent="0.25">
      <c r="F2995" s="9"/>
      <c r="G2995" s="9"/>
      <c r="AA2995" s="10"/>
      <c r="AV2995" s="11"/>
      <c r="AW2995" s="11"/>
      <c r="BB2995" s="9"/>
      <c r="BC2995" s="11"/>
      <c r="BF2995" s="9"/>
      <c r="CF2995" s="12"/>
      <c r="CH2995" s="9"/>
    </row>
    <row r="2996" spans="6:92" x14ac:dyDescent="0.25">
      <c r="F2996" s="9"/>
      <c r="G2996" s="9"/>
      <c r="AA2996" s="10"/>
      <c r="AV2996" s="11"/>
      <c r="AW2996" s="11"/>
      <c r="BB2996" s="9"/>
      <c r="BC2996" s="11"/>
      <c r="BF2996" s="9"/>
      <c r="CF2996" s="12"/>
      <c r="CH2996" s="9"/>
    </row>
    <row r="2997" spans="6:92" x14ac:dyDescent="0.25">
      <c r="F2997" s="9"/>
      <c r="G2997" s="9"/>
      <c r="AA2997" s="10"/>
      <c r="AV2997" s="11"/>
      <c r="AW2997" s="11"/>
      <c r="BB2997" s="9"/>
      <c r="BC2997" s="11"/>
      <c r="BF2997" s="9"/>
      <c r="CF2997" s="12"/>
      <c r="CH2997" s="9"/>
    </row>
    <row r="2998" spans="6:92" x14ac:dyDescent="0.25">
      <c r="F2998" s="9"/>
      <c r="G2998" s="9"/>
      <c r="AA2998" s="10"/>
      <c r="AV2998" s="11"/>
      <c r="AW2998" s="11"/>
      <c r="BB2998" s="9"/>
      <c r="BC2998" s="11"/>
      <c r="BF2998" s="9"/>
      <c r="CF2998" s="12"/>
      <c r="CH2998" s="9"/>
    </row>
    <row r="2999" spans="6:92" x14ac:dyDescent="0.25">
      <c r="F2999" s="9"/>
      <c r="G2999" s="9"/>
      <c r="AA2999" s="10"/>
      <c r="AV2999" s="11"/>
      <c r="AW2999" s="11"/>
      <c r="BB2999" s="9"/>
      <c r="BC2999" s="11"/>
      <c r="BF2999" s="9"/>
      <c r="CF2999" s="12"/>
      <c r="CH2999" s="9"/>
    </row>
    <row r="3000" spans="6:92" x14ac:dyDescent="0.25">
      <c r="F3000" s="9"/>
      <c r="G3000" s="9"/>
      <c r="AA3000" s="10"/>
      <c r="AV3000" s="11"/>
      <c r="AW3000" s="11"/>
      <c r="BB3000" s="9"/>
      <c r="BC3000" s="11"/>
      <c r="BF3000" s="9"/>
      <c r="CF3000" s="12"/>
      <c r="CH3000" s="9"/>
    </row>
    <row r="3001" spans="6:92" x14ac:dyDescent="0.25">
      <c r="F3001" s="9"/>
      <c r="G3001" s="9"/>
      <c r="U3001" s="12"/>
      <c r="AA3001" s="10"/>
      <c r="AV3001" s="11"/>
      <c r="AW3001" s="11"/>
      <c r="BB3001" s="9"/>
      <c r="BC3001" s="11"/>
      <c r="BF3001" s="9"/>
      <c r="CF3001" s="12"/>
      <c r="CH3001" s="9"/>
      <c r="CN3001" s="12"/>
    </row>
    <row r="3002" spans="6:92" x14ac:dyDescent="0.25">
      <c r="F3002" s="9"/>
      <c r="G3002" s="9"/>
      <c r="U3002" s="12"/>
      <c r="Y3002" s="12"/>
      <c r="Z3002" s="12"/>
      <c r="AA3002" s="10"/>
      <c r="AV3002" s="11"/>
      <c r="AW3002" s="11"/>
      <c r="BB3002" s="9"/>
      <c r="BC3002" s="11"/>
      <c r="BF3002" s="9"/>
      <c r="CF3002" s="12"/>
      <c r="CH3002" s="9"/>
      <c r="CN3002" s="12"/>
    </row>
    <row r="3003" spans="6:92" x14ac:dyDescent="0.25">
      <c r="F3003" s="9"/>
      <c r="G3003" s="9"/>
      <c r="AA3003" s="10"/>
      <c r="AV3003" s="11"/>
      <c r="AW3003" s="11"/>
      <c r="BB3003" s="9"/>
      <c r="BC3003" s="11"/>
      <c r="BF3003" s="9"/>
      <c r="CF3003" s="12"/>
      <c r="CH3003" s="9"/>
    </row>
    <row r="3004" spans="6:92" x14ac:dyDescent="0.25">
      <c r="F3004" s="9"/>
      <c r="G3004" s="9"/>
      <c r="AA3004" s="10"/>
      <c r="AV3004" s="11"/>
      <c r="AW3004" s="11"/>
      <c r="BB3004" s="9"/>
      <c r="BC3004" s="11"/>
      <c r="BF3004" s="9"/>
      <c r="CF3004" s="12"/>
      <c r="CH3004" s="9"/>
    </row>
    <row r="3005" spans="6:92" x14ac:dyDescent="0.25">
      <c r="F3005" s="9"/>
      <c r="G3005" s="9"/>
      <c r="U3005" s="12"/>
      <c r="AA3005" s="10"/>
      <c r="AV3005" s="11"/>
      <c r="AW3005" s="11"/>
      <c r="BB3005" s="9"/>
      <c r="BC3005" s="11"/>
      <c r="BF3005" s="9"/>
      <c r="CF3005" s="12"/>
      <c r="CH3005" s="9"/>
    </row>
    <row r="3006" spans="6:92" x14ac:dyDescent="0.25">
      <c r="F3006" s="9"/>
      <c r="G3006" s="9"/>
      <c r="AA3006" s="10"/>
      <c r="AV3006" s="11"/>
      <c r="AW3006" s="11"/>
      <c r="BB3006" s="9"/>
      <c r="BC3006" s="11"/>
      <c r="BF3006" s="9"/>
      <c r="CF3006" s="12"/>
      <c r="CH3006" s="9"/>
    </row>
    <row r="3007" spans="6:92" x14ac:dyDescent="0.25">
      <c r="F3007" s="9"/>
      <c r="G3007" s="9"/>
      <c r="AA3007" s="10"/>
      <c r="AV3007" s="11"/>
      <c r="AW3007" s="11"/>
      <c r="BB3007" s="9"/>
      <c r="BC3007" s="11"/>
      <c r="BF3007" s="9"/>
      <c r="CF3007" s="12"/>
      <c r="CH3007" s="9"/>
    </row>
    <row r="3008" spans="6:92" x14ac:dyDescent="0.25">
      <c r="F3008" s="9"/>
      <c r="G3008" s="9"/>
      <c r="AA3008" s="10"/>
      <c r="AV3008" s="11"/>
      <c r="AW3008" s="11"/>
      <c r="BB3008" s="9"/>
      <c r="BC3008" s="11"/>
      <c r="BF3008" s="9"/>
      <c r="CF3008" s="12"/>
      <c r="CH3008" s="9"/>
    </row>
    <row r="3009" spans="6:92" x14ac:dyDescent="0.25">
      <c r="F3009" s="9"/>
      <c r="G3009" s="9"/>
      <c r="AA3009" s="10"/>
      <c r="AV3009" s="11"/>
      <c r="AW3009" s="11"/>
      <c r="BB3009" s="9"/>
      <c r="BC3009" s="11"/>
      <c r="BF3009" s="9"/>
      <c r="CF3009" s="12"/>
      <c r="CH3009" s="9"/>
    </row>
    <row r="3010" spans="6:92" x14ac:dyDescent="0.25">
      <c r="F3010" s="9"/>
      <c r="G3010" s="9"/>
      <c r="AA3010" s="10"/>
      <c r="AV3010" s="11"/>
      <c r="AW3010" s="11"/>
      <c r="BB3010" s="9"/>
      <c r="BC3010" s="11"/>
      <c r="BF3010" s="9"/>
      <c r="CH3010" s="9"/>
    </row>
    <row r="3011" spans="6:92" x14ac:dyDescent="0.25">
      <c r="F3011" s="9"/>
      <c r="G3011" s="9"/>
      <c r="AA3011" s="10"/>
      <c r="AV3011" s="11"/>
      <c r="AW3011" s="11"/>
      <c r="BB3011" s="9"/>
      <c r="BC3011" s="11"/>
      <c r="BF3011" s="9"/>
      <c r="CF3011" s="12"/>
      <c r="CH3011" s="9"/>
    </row>
    <row r="3012" spans="6:92" x14ac:dyDescent="0.25">
      <c r="F3012" s="9"/>
      <c r="G3012" s="9"/>
      <c r="AA3012" s="10"/>
      <c r="AV3012" s="11"/>
      <c r="AW3012" s="11"/>
      <c r="BB3012" s="9"/>
      <c r="BC3012" s="11"/>
      <c r="BF3012" s="9"/>
      <c r="CF3012" s="12"/>
      <c r="CH3012" s="9"/>
    </row>
    <row r="3013" spans="6:92" x14ac:dyDescent="0.25">
      <c r="F3013" s="9"/>
      <c r="G3013" s="9"/>
      <c r="U3013" s="12"/>
      <c r="Z3013" s="12"/>
      <c r="AA3013" s="10"/>
      <c r="AV3013" s="11"/>
      <c r="AW3013" s="11"/>
      <c r="BB3013" s="9"/>
      <c r="BC3013" s="11"/>
      <c r="BF3013" s="9"/>
      <c r="CF3013" s="12"/>
      <c r="CH3013" s="9"/>
    </row>
    <row r="3014" spans="6:92" x14ac:dyDescent="0.25">
      <c r="F3014" s="9"/>
      <c r="G3014" s="9"/>
      <c r="U3014" s="12"/>
      <c r="AA3014" s="10"/>
      <c r="AV3014" s="11"/>
      <c r="AW3014" s="11"/>
      <c r="BB3014" s="9"/>
      <c r="BC3014" s="11"/>
      <c r="BF3014" s="9"/>
      <c r="CF3014" s="12"/>
      <c r="CH3014" s="9"/>
    </row>
    <row r="3015" spans="6:92" x14ac:dyDescent="0.25">
      <c r="F3015" s="9"/>
      <c r="G3015" s="9"/>
      <c r="AA3015" s="10"/>
      <c r="AV3015" s="11"/>
      <c r="AW3015" s="11"/>
      <c r="BB3015" s="9"/>
      <c r="BC3015" s="11"/>
      <c r="BF3015" s="9"/>
      <c r="CF3015" s="12"/>
      <c r="CH3015" s="9"/>
    </row>
    <row r="3016" spans="6:92" x14ac:dyDescent="0.25">
      <c r="F3016" s="9"/>
      <c r="G3016" s="9"/>
      <c r="AA3016" s="10"/>
      <c r="AV3016" s="11"/>
      <c r="AW3016" s="11"/>
      <c r="BB3016" s="9"/>
      <c r="BC3016" s="11"/>
      <c r="BF3016" s="9"/>
      <c r="CF3016" s="12"/>
      <c r="CH3016" s="9"/>
    </row>
    <row r="3017" spans="6:92" x14ac:dyDescent="0.25">
      <c r="F3017" s="9"/>
      <c r="G3017" s="9"/>
      <c r="AA3017" s="10"/>
      <c r="AV3017" s="11"/>
      <c r="AW3017" s="11"/>
      <c r="BB3017" s="9"/>
      <c r="BC3017" s="11"/>
      <c r="BF3017" s="9"/>
      <c r="CF3017" s="12"/>
      <c r="CH3017" s="9"/>
    </row>
    <row r="3018" spans="6:92" x14ac:dyDescent="0.25">
      <c r="F3018" s="9"/>
      <c r="G3018" s="9"/>
      <c r="AA3018" s="10"/>
      <c r="AV3018" s="11"/>
      <c r="AW3018" s="11"/>
      <c r="BB3018" s="9"/>
      <c r="BC3018" s="11"/>
      <c r="BF3018" s="9"/>
      <c r="CF3018" s="12"/>
      <c r="CH3018" s="9"/>
    </row>
    <row r="3019" spans="6:92" x14ac:dyDescent="0.25">
      <c r="F3019" s="9"/>
      <c r="G3019" s="9"/>
      <c r="AA3019" s="10"/>
      <c r="AV3019" s="11"/>
      <c r="AW3019" s="11"/>
      <c r="BB3019" s="9"/>
      <c r="BC3019" s="11"/>
      <c r="BF3019" s="9"/>
      <c r="CF3019" s="12"/>
      <c r="CH3019" s="9"/>
    </row>
    <row r="3020" spans="6:92" x14ac:dyDescent="0.25">
      <c r="F3020" s="9"/>
      <c r="G3020" s="9"/>
      <c r="AA3020" s="10"/>
      <c r="AV3020" s="11"/>
      <c r="AW3020" s="11"/>
      <c r="BB3020" s="9"/>
      <c r="BC3020" s="11"/>
      <c r="BF3020" s="9"/>
      <c r="CF3020" s="12"/>
      <c r="CH3020" s="9"/>
    </row>
    <row r="3021" spans="6:92" x14ac:dyDescent="0.25">
      <c r="F3021" s="9"/>
      <c r="G3021" s="9"/>
      <c r="AA3021" s="10"/>
      <c r="AV3021" s="11"/>
      <c r="AW3021" s="11"/>
      <c r="BB3021" s="9"/>
      <c r="BC3021" s="11"/>
      <c r="BF3021" s="9"/>
      <c r="CF3021" s="12"/>
      <c r="CH3021" s="9"/>
    </row>
    <row r="3022" spans="6:92" x14ac:dyDescent="0.25">
      <c r="F3022" s="9"/>
      <c r="G3022" s="9"/>
      <c r="AA3022" s="10"/>
      <c r="AV3022" s="11"/>
      <c r="AW3022" s="11"/>
      <c r="BB3022" s="9"/>
      <c r="BC3022" s="11"/>
      <c r="BF3022" s="9"/>
      <c r="CF3022" s="12"/>
      <c r="CH3022" s="9"/>
    </row>
    <row r="3023" spans="6:92" x14ac:dyDescent="0.25">
      <c r="F3023" s="9"/>
      <c r="G3023" s="9"/>
      <c r="AA3023" s="10"/>
      <c r="AV3023" s="11"/>
      <c r="AW3023" s="11"/>
      <c r="BB3023" s="9"/>
      <c r="BC3023" s="11"/>
      <c r="BF3023" s="9"/>
      <c r="CF3023" s="12"/>
      <c r="CH3023" s="9"/>
    </row>
    <row r="3024" spans="6:92" x14ac:dyDescent="0.25">
      <c r="F3024" s="9"/>
      <c r="G3024" s="9"/>
      <c r="U3024" s="12"/>
      <c r="Z3024" s="12"/>
      <c r="AA3024" s="10"/>
      <c r="AV3024" s="11"/>
      <c r="AW3024" s="11"/>
      <c r="BB3024" s="9"/>
      <c r="BC3024" s="11"/>
      <c r="BF3024" s="9"/>
      <c r="CF3024" s="12"/>
      <c r="CH3024" s="9"/>
      <c r="CN3024" s="12"/>
    </row>
    <row r="3025" spans="6:86" x14ac:dyDescent="0.25">
      <c r="F3025" s="9"/>
      <c r="G3025" s="9"/>
      <c r="AA3025" s="10"/>
      <c r="AV3025" s="11"/>
      <c r="AW3025" s="11"/>
      <c r="BB3025" s="9"/>
      <c r="BC3025" s="11"/>
      <c r="BF3025" s="9"/>
      <c r="CF3025" s="12"/>
      <c r="CH3025" s="9"/>
    </row>
    <row r="3026" spans="6:86" x14ac:dyDescent="0.25">
      <c r="F3026" s="9"/>
      <c r="G3026" s="9"/>
      <c r="AA3026" s="10"/>
      <c r="AV3026" s="11"/>
      <c r="AW3026" s="11"/>
      <c r="BB3026" s="9"/>
      <c r="BC3026" s="11"/>
      <c r="BF3026" s="9"/>
      <c r="CF3026" s="12"/>
      <c r="CH3026" s="9"/>
    </row>
    <row r="3027" spans="6:86" x14ac:dyDescent="0.25">
      <c r="F3027" s="9"/>
      <c r="G3027" s="9"/>
      <c r="AA3027" s="10"/>
      <c r="AV3027" s="11"/>
      <c r="AW3027" s="11"/>
      <c r="BB3027" s="9"/>
      <c r="BC3027" s="11"/>
      <c r="BF3027" s="9"/>
      <c r="CF3027" s="12"/>
      <c r="CH3027" s="9"/>
    </row>
    <row r="3028" spans="6:86" x14ac:dyDescent="0.25">
      <c r="F3028" s="9"/>
      <c r="G3028" s="9"/>
      <c r="AA3028" s="10"/>
      <c r="AV3028" s="11"/>
      <c r="AW3028" s="11"/>
      <c r="BB3028" s="9"/>
      <c r="BC3028" s="11"/>
      <c r="BF3028" s="9"/>
      <c r="CF3028" s="12"/>
      <c r="CH3028" s="9"/>
    </row>
    <row r="3029" spans="6:86" x14ac:dyDescent="0.25">
      <c r="F3029" s="9"/>
      <c r="G3029" s="9"/>
      <c r="AA3029" s="10"/>
      <c r="AV3029" s="11"/>
      <c r="AW3029" s="11"/>
      <c r="BB3029" s="9"/>
      <c r="BC3029" s="11"/>
      <c r="BF3029" s="9"/>
      <c r="CF3029" s="12"/>
      <c r="CH3029" s="9"/>
    </row>
    <row r="3030" spans="6:86" x14ac:dyDescent="0.25">
      <c r="F3030" s="9"/>
      <c r="G3030" s="9"/>
      <c r="AA3030" s="10"/>
      <c r="AV3030" s="11"/>
      <c r="AW3030" s="11"/>
      <c r="BB3030" s="9"/>
      <c r="BC3030" s="11"/>
      <c r="BF3030" s="9"/>
      <c r="CF3030" s="12"/>
      <c r="CH3030" s="9"/>
    </row>
    <row r="3031" spans="6:86" x14ac:dyDescent="0.25">
      <c r="F3031" s="9"/>
      <c r="G3031" s="9"/>
      <c r="AA3031" s="10"/>
      <c r="AV3031" s="11"/>
      <c r="AW3031" s="11"/>
      <c r="BB3031" s="9"/>
      <c r="BC3031" s="11"/>
      <c r="BF3031" s="9"/>
      <c r="CF3031" s="12"/>
      <c r="CH3031" s="9"/>
    </row>
    <row r="3032" spans="6:86" x14ac:dyDescent="0.25">
      <c r="F3032" s="9"/>
      <c r="G3032" s="9"/>
      <c r="AA3032" s="10"/>
      <c r="AV3032" s="11"/>
      <c r="AW3032" s="11"/>
      <c r="BB3032" s="9"/>
      <c r="BC3032" s="11"/>
      <c r="BF3032" s="9"/>
      <c r="CF3032" s="12"/>
      <c r="CH3032" s="9"/>
    </row>
    <row r="3033" spans="6:86" x14ac:dyDescent="0.25">
      <c r="F3033" s="9"/>
      <c r="G3033" s="9"/>
      <c r="AA3033" s="10"/>
      <c r="AV3033" s="11"/>
      <c r="AW3033" s="11"/>
      <c r="BB3033" s="9"/>
      <c r="BC3033" s="11"/>
      <c r="BF3033" s="9"/>
      <c r="CF3033" s="12"/>
      <c r="CH3033" s="9"/>
    </row>
    <row r="3034" spans="6:86" x14ac:dyDescent="0.25">
      <c r="F3034" s="9"/>
      <c r="G3034" s="9"/>
      <c r="AA3034" s="10"/>
      <c r="AV3034" s="11"/>
      <c r="AW3034" s="11"/>
      <c r="BB3034" s="9"/>
      <c r="BC3034" s="11"/>
      <c r="BF3034" s="9"/>
      <c r="CF3034" s="12"/>
      <c r="CH3034" s="9"/>
    </row>
    <row r="3035" spans="6:86" x14ac:dyDescent="0.25">
      <c r="F3035" s="9"/>
      <c r="G3035" s="9"/>
      <c r="AA3035" s="10"/>
      <c r="AV3035" s="11"/>
      <c r="AW3035" s="11"/>
      <c r="BB3035" s="9"/>
      <c r="BC3035" s="11"/>
      <c r="BF3035" s="9"/>
      <c r="CF3035" s="12"/>
      <c r="CH3035" s="9"/>
    </row>
    <row r="3036" spans="6:86" x14ac:dyDescent="0.25">
      <c r="F3036" s="9"/>
      <c r="G3036" s="9"/>
      <c r="AA3036" s="10"/>
      <c r="AV3036" s="11"/>
      <c r="AW3036" s="11"/>
      <c r="BB3036" s="9"/>
      <c r="BC3036" s="11"/>
      <c r="BF3036" s="9"/>
      <c r="CF3036" s="12"/>
      <c r="CH3036" s="9"/>
    </row>
    <row r="3037" spans="6:86" x14ac:dyDescent="0.25">
      <c r="F3037" s="9"/>
      <c r="G3037" s="9"/>
      <c r="AA3037" s="10"/>
      <c r="AV3037" s="11"/>
      <c r="AW3037" s="11"/>
      <c r="BB3037" s="9"/>
      <c r="BC3037" s="11"/>
      <c r="BF3037" s="9"/>
      <c r="CF3037" s="12"/>
      <c r="CH3037" s="9"/>
    </row>
    <row r="3038" spans="6:86" x14ac:dyDescent="0.25">
      <c r="F3038" s="9"/>
      <c r="G3038" s="9"/>
      <c r="AA3038" s="10"/>
      <c r="AV3038" s="11"/>
      <c r="AW3038" s="11"/>
      <c r="BB3038" s="9"/>
      <c r="BC3038" s="11"/>
      <c r="BF3038" s="9"/>
      <c r="CH3038" s="9"/>
    </row>
    <row r="3039" spans="6:86" x14ac:dyDescent="0.25">
      <c r="F3039" s="9"/>
      <c r="G3039" s="9"/>
      <c r="AA3039" s="10"/>
      <c r="AV3039" s="11"/>
      <c r="AW3039" s="11"/>
      <c r="BB3039" s="9"/>
      <c r="BC3039" s="11"/>
      <c r="BF3039" s="9"/>
      <c r="CF3039" s="12"/>
      <c r="CH3039" s="9"/>
    </row>
    <row r="3040" spans="6:86" x14ac:dyDescent="0.25">
      <c r="F3040" s="9"/>
      <c r="G3040" s="9"/>
      <c r="AA3040" s="10"/>
      <c r="AV3040" s="11"/>
      <c r="AW3040" s="11"/>
      <c r="BB3040" s="9"/>
      <c r="BC3040" s="11"/>
      <c r="BF3040" s="9"/>
      <c r="CF3040" s="12"/>
      <c r="CH3040" s="9"/>
    </row>
    <row r="3041" spans="6:86" x14ac:dyDescent="0.25">
      <c r="F3041" s="9"/>
      <c r="G3041" s="9"/>
      <c r="AA3041" s="10"/>
      <c r="AV3041" s="11"/>
      <c r="AW3041" s="11"/>
      <c r="BB3041" s="9"/>
      <c r="BC3041" s="11"/>
      <c r="BF3041" s="9"/>
      <c r="CF3041" s="12"/>
      <c r="CH3041" s="9"/>
    </row>
    <row r="3042" spans="6:86" x14ac:dyDescent="0.25">
      <c r="F3042" s="9"/>
      <c r="G3042" s="9"/>
      <c r="AA3042" s="10"/>
      <c r="AV3042" s="11"/>
      <c r="AW3042" s="11"/>
      <c r="BB3042" s="9"/>
      <c r="BC3042" s="11"/>
      <c r="BF3042" s="9"/>
      <c r="CF3042" s="12"/>
      <c r="CH3042" s="9"/>
    </row>
    <row r="3043" spans="6:86" x14ac:dyDescent="0.25">
      <c r="F3043" s="9"/>
      <c r="G3043" s="9"/>
      <c r="AA3043" s="10"/>
      <c r="AV3043" s="11"/>
      <c r="AW3043" s="11"/>
      <c r="BB3043" s="9"/>
      <c r="BC3043" s="11"/>
      <c r="BF3043" s="9"/>
      <c r="CF3043" s="12"/>
      <c r="CH3043" s="9"/>
    </row>
    <row r="3044" spans="6:86" x14ac:dyDescent="0.25">
      <c r="F3044" s="9"/>
      <c r="G3044" s="9"/>
      <c r="AA3044" s="10"/>
      <c r="AV3044" s="11"/>
      <c r="AW3044" s="11"/>
      <c r="BB3044" s="9"/>
      <c r="BC3044" s="11"/>
      <c r="BF3044" s="9"/>
      <c r="CF3044" s="12"/>
      <c r="CH3044" s="9"/>
    </row>
    <row r="3045" spans="6:86" x14ac:dyDescent="0.25">
      <c r="F3045" s="9"/>
      <c r="G3045" s="9"/>
      <c r="AA3045" s="10"/>
      <c r="AV3045" s="11"/>
      <c r="AW3045" s="11"/>
      <c r="BB3045" s="9"/>
      <c r="BC3045" s="11"/>
      <c r="BF3045" s="9"/>
      <c r="CF3045" s="12"/>
      <c r="CH3045" s="9"/>
    </row>
    <row r="3046" spans="6:86" x14ac:dyDescent="0.25">
      <c r="F3046" s="9"/>
      <c r="G3046" s="9"/>
      <c r="AA3046" s="10"/>
      <c r="AV3046" s="11"/>
      <c r="AW3046" s="11"/>
      <c r="BB3046" s="9"/>
      <c r="BC3046" s="11"/>
      <c r="BF3046" s="9"/>
      <c r="CF3046" s="12"/>
      <c r="CH3046" s="9"/>
    </row>
    <row r="3047" spans="6:86" x14ac:dyDescent="0.25">
      <c r="F3047" s="9"/>
      <c r="G3047" s="9"/>
      <c r="AA3047" s="10"/>
      <c r="AV3047" s="11"/>
      <c r="AW3047" s="11"/>
      <c r="BB3047" s="9"/>
      <c r="BC3047" s="11"/>
      <c r="BF3047" s="9"/>
      <c r="CF3047" s="12"/>
      <c r="CH3047" s="9"/>
    </row>
    <row r="3048" spans="6:86" x14ac:dyDescent="0.25">
      <c r="F3048" s="9"/>
      <c r="G3048" s="9"/>
      <c r="AA3048" s="10"/>
      <c r="AV3048" s="11"/>
      <c r="AW3048" s="11"/>
      <c r="BB3048" s="9"/>
      <c r="BC3048" s="11"/>
      <c r="BF3048" s="9"/>
      <c r="CF3048" s="12"/>
      <c r="CH3048" s="9"/>
    </row>
    <row r="3049" spans="6:86" x14ac:dyDescent="0.25">
      <c r="F3049" s="9"/>
      <c r="G3049" s="9"/>
      <c r="AA3049" s="10"/>
      <c r="AV3049" s="11"/>
      <c r="AW3049" s="11"/>
      <c r="BB3049" s="9"/>
      <c r="BC3049" s="11"/>
      <c r="BF3049" s="9"/>
      <c r="CF3049" s="12"/>
      <c r="CH3049" s="9"/>
    </row>
    <row r="3050" spans="6:86" x14ac:dyDescent="0.25">
      <c r="F3050" s="9"/>
      <c r="G3050" s="9"/>
      <c r="AA3050" s="10"/>
      <c r="AV3050" s="11"/>
      <c r="AW3050" s="11"/>
      <c r="BB3050" s="9"/>
      <c r="BC3050" s="11"/>
      <c r="BF3050" s="9"/>
      <c r="CF3050" s="12"/>
      <c r="CH3050" s="9"/>
    </row>
    <row r="3051" spans="6:86" x14ac:dyDescent="0.25">
      <c r="F3051" s="9"/>
      <c r="G3051" s="9"/>
      <c r="AA3051" s="10"/>
      <c r="AV3051" s="11"/>
      <c r="AW3051" s="11"/>
      <c r="BB3051" s="9"/>
      <c r="BC3051" s="11"/>
      <c r="BF3051" s="9"/>
      <c r="CF3051" s="12"/>
      <c r="CH3051" s="9"/>
    </row>
    <row r="3052" spans="6:86" x14ac:dyDescent="0.25">
      <c r="F3052" s="9"/>
      <c r="G3052" s="9"/>
      <c r="AA3052" s="10"/>
      <c r="AV3052" s="11"/>
      <c r="AW3052" s="11"/>
      <c r="BB3052" s="9"/>
      <c r="BC3052" s="11"/>
      <c r="BF3052" s="9"/>
      <c r="CF3052" s="12"/>
      <c r="CH3052" s="9"/>
    </row>
    <row r="3053" spans="6:86" x14ac:dyDescent="0.25">
      <c r="F3053" s="9"/>
      <c r="G3053" s="9"/>
      <c r="AA3053" s="10"/>
      <c r="AV3053" s="11"/>
      <c r="AW3053" s="11"/>
      <c r="BB3053" s="9"/>
      <c r="BC3053" s="11"/>
      <c r="BF3053" s="9"/>
      <c r="CF3053" s="12"/>
      <c r="CH3053" s="9"/>
    </row>
    <row r="3054" spans="6:86" x14ac:dyDescent="0.25">
      <c r="F3054" s="9"/>
      <c r="G3054" s="9"/>
      <c r="AA3054" s="10"/>
      <c r="AV3054" s="11"/>
      <c r="AW3054" s="11"/>
      <c r="BB3054" s="9"/>
      <c r="BC3054" s="11"/>
      <c r="BF3054" s="9"/>
      <c r="CF3054" s="12"/>
      <c r="CH3054" s="9"/>
    </row>
    <row r="3055" spans="6:86" x14ac:dyDescent="0.25">
      <c r="F3055" s="9"/>
      <c r="G3055" s="9"/>
      <c r="AA3055" s="10"/>
      <c r="AV3055" s="11"/>
      <c r="AW3055" s="11"/>
      <c r="BB3055" s="9"/>
      <c r="BC3055" s="11"/>
      <c r="BF3055" s="9"/>
      <c r="CF3055" s="12"/>
      <c r="CH3055" s="9"/>
    </row>
    <row r="3056" spans="6:86" x14ac:dyDescent="0.25">
      <c r="F3056" s="9"/>
      <c r="G3056" s="9"/>
      <c r="AA3056" s="10"/>
      <c r="AV3056" s="11"/>
      <c r="AW3056" s="11"/>
      <c r="BB3056" s="9"/>
      <c r="BC3056" s="11"/>
      <c r="BF3056" s="9"/>
      <c r="CF3056" s="12"/>
      <c r="CH3056" s="9"/>
    </row>
    <row r="3057" spans="6:86" x14ac:dyDescent="0.25">
      <c r="F3057" s="9"/>
      <c r="G3057" s="9"/>
      <c r="AA3057" s="10"/>
      <c r="AV3057" s="11"/>
      <c r="AW3057" s="11"/>
      <c r="BB3057" s="9"/>
      <c r="BC3057" s="11"/>
      <c r="BF3057" s="9"/>
      <c r="CF3057" s="12"/>
      <c r="CH3057" s="9"/>
    </row>
    <row r="3058" spans="6:86" x14ac:dyDescent="0.25">
      <c r="F3058" s="9"/>
      <c r="G3058" s="9"/>
      <c r="AA3058" s="10"/>
      <c r="AV3058" s="11"/>
      <c r="AW3058" s="11"/>
      <c r="BB3058" s="9"/>
      <c r="BC3058" s="11"/>
      <c r="BF3058" s="9"/>
      <c r="CF3058" s="12"/>
      <c r="CH3058" s="9"/>
    </row>
    <row r="3059" spans="6:86" x14ac:dyDescent="0.25">
      <c r="F3059" s="9"/>
      <c r="G3059" s="9"/>
      <c r="AA3059" s="10"/>
      <c r="AV3059" s="11"/>
      <c r="AW3059" s="11"/>
      <c r="BB3059" s="9"/>
      <c r="BC3059" s="11"/>
      <c r="BF3059" s="9"/>
      <c r="CF3059" s="12"/>
      <c r="CH3059" s="9"/>
    </row>
    <row r="3060" spans="6:86" x14ac:dyDescent="0.25">
      <c r="F3060" s="9"/>
      <c r="G3060" s="9"/>
      <c r="AA3060" s="10"/>
      <c r="AV3060" s="11"/>
      <c r="AW3060" s="11"/>
      <c r="BB3060" s="9"/>
      <c r="BC3060" s="11"/>
      <c r="BF3060" s="9"/>
      <c r="CF3060" s="12"/>
      <c r="CH3060" s="9"/>
    </row>
    <row r="3061" spans="6:86" x14ac:dyDescent="0.25">
      <c r="F3061" s="9"/>
      <c r="G3061" s="9"/>
      <c r="AA3061" s="10"/>
      <c r="AV3061" s="11"/>
      <c r="AW3061" s="11"/>
      <c r="BB3061" s="9"/>
      <c r="BC3061" s="11"/>
      <c r="BF3061" s="9"/>
      <c r="CH3061" s="9"/>
    </row>
    <row r="3062" spans="6:86" x14ac:dyDescent="0.25">
      <c r="F3062" s="9"/>
      <c r="G3062" s="9"/>
      <c r="AA3062" s="10"/>
      <c r="AV3062" s="11"/>
      <c r="AW3062" s="11"/>
      <c r="BB3062" s="9"/>
      <c r="BC3062" s="11"/>
      <c r="BF3062" s="9"/>
      <c r="CF3062" s="12"/>
      <c r="CH3062" s="9"/>
    </row>
    <row r="3063" spans="6:86" x14ac:dyDescent="0.25">
      <c r="F3063" s="9"/>
      <c r="G3063" s="9"/>
      <c r="AA3063" s="10"/>
      <c r="AV3063" s="11"/>
      <c r="AW3063" s="11"/>
      <c r="BB3063" s="9"/>
      <c r="BC3063" s="11"/>
      <c r="BF3063" s="9"/>
      <c r="CF3063" s="12"/>
      <c r="CH3063" s="9"/>
    </row>
    <row r="3064" spans="6:86" x14ac:dyDescent="0.25">
      <c r="F3064" s="9"/>
      <c r="G3064" s="9"/>
      <c r="AA3064" s="10"/>
      <c r="AV3064" s="11"/>
      <c r="AW3064" s="11"/>
      <c r="BB3064" s="9"/>
      <c r="BC3064" s="11"/>
      <c r="BF3064" s="9"/>
      <c r="CF3064" s="12"/>
      <c r="CH3064" s="9"/>
    </row>
    <row r="3065" spans="6:86" x14ac:dyDescent="0.25">
      <c r="F3065" s="9"/>
      <c r="G3065" s="9"/>
      <c r="AA3065" s="10"/>
      <c r="AV3065" s="11"/>
      <c r="AW3065" s="11"/>
      <c r="BB3065" s="9"/>
      <c r="BC3065" s="11"/>
      <c r="BF3065" s="9"/>
      <c r="CH3065" s="9"/>
    </row>
    <row r="3066" spans="6:86" x14ac:dyDescent="0.25">
      <c r="F3066" s="9"/>
      <c r="G3066" s="9"/>
      <c r="AA3066" s="10"/>
      <c r="AV3066" s="11"/>
      <c r="AW3066" s="11"/>
      <c r="BB3066" s="9"/>
      <c r="BC3066" s="11"/>
      <c r="BF3066" s="9"/>
      <c r="CF3066" s="12"/>
      <c r="CH3066" s="9"/>
    </row>
    <row r="3067" spans="6:86" x14ac:dyDescent="0.25">
      <c r="F3067" s="9"/>
      <c r="G3067" s="9"/>
      <c r="AA3067" s="10"/>
      <c r="AV3067" s="11"/>
      <c r="AW3067" s="11"/>
      <c r="BB3067" s="9"/>
      <c r="BC3067" s="11"/>
      <c r="BF3067" s="9"/>
      <c r="CF3067" s="12"/>
      <c r="CH3067" s="9"/>
    </row>
    <row r="3068" spans="6:86" x14ac:dyDescent="0.25">
      <c r="F3068" s="9"/>
      <c r="G3068" s="9"/>
      <c r="AA3068" s="10"/>
      <c r="AV3068" s="11"/>
      <c r="AW3068" s="11"/>
      <c r="BB3068" s="9"/>
      <c r="BC3068" s="11"/>
      <c r="BF3068" s="9"/>
      <c r="CF3068" s="12"/>
      <c r="CH3068" s="9"/>
    </row>
    <row r="3069" spans="6:86" x14ac:dyDescent="0.25">
      <c r="F3069" s="9"/>
      <c r="G3069" s="9"/>
      <c r="AA3069" s="10"/>
      <c r="AV3069" s="11"/>
      <c r="AW3069" s="11"/>
      <c r="BB3069" s="9"/>
      <c r="BC3069" s="11"/>
      <c r="BF3069" s="9"/>
      <c r="CF3069" s="12"/>
      <c r="CH3069" s="9"/>
    </row>
    <row r="3070" spans="6:86" x14ac:dyDescent="0.25">
      <c r="F3070" s="9"/>
      <c r="G3070" s="9"/>
      <c r="AA3070" s="10"/>
      <c r="AV3070" s="11"/>
      <c r="AW3070" s="11"/>
      <c r="BB3070" s="9"/>
      <c r="BC3070" s="11"/>
      <c r="BF3070" s="9"/>
      <c r="CH3070" s="9"/>
    </row>
    <row r="3071" spans="6:86" x14ac:dyDescent="0.25">
      <c r="F3071" s="9"/>
      <c r="G3071" s="9"/>
      <c r="AA3071" s="10"/>
      <c r="AV3071" s="11"/>
      <c r="AW3071" s="11"/>
      <c r="BB3071" s="9"/>
      <c r="BC3071" s="11"/>
      <c r="BF3071" s="9"/>
      <c r="CF3071" s="12"/>
      <c r="CH3071" s="9"/>
    </row>
    <row r="3072" spans="6:86" x14ac:dyDescent="0.25">
      <c r="F3072" s="9"/>
      <c r="G3072" s="9"/>
      <c r="AA3072" s="10"/>
      <c r="AV3072" s="11"/>
      <c r="AW3072" s="11"/>
      <c r="BB3072" s="9"/>
      <c r="BC3072" s="11"/>
      <c r="BF3072" s="9"/>
      <c r="CF3072" s="12"/>
      <c r="CH3072" s="9"/>
    </row>
    <row r="3073" spans="6:86" x14ac:dyDescent="0.25">
      <c r="F3073" s="9"/>
      <c r="G3073" s="9"/>
      <c r="AA3073" s="10"/>
      <c r="AV3073" s="11"/>
      <c r="AW3073" s="11"/>
      <c r="BB3073" s="9"/>
      <c r="BC3073" s="11"/>
      <c r="BF3073" s="9"/>
      <c r="CF3073" s="12"/>
      <c r="CH3073" s="9"/>
    </row>
    <row r="3074" spans="6:86" x14ac:dyDescent="0.25">
      <c r="F3074" s="9"/>
      <c r="G3074" s="9"/>
      <c r="AA3074" s="10"/>
      <c r="AV3074" s="11"/>
      <c r="AW3074" s="11"/>
      <c r="BB3074" s="9"/>
      <c r="BC3074" s="11"/>
      <c r="BF3074" s="9"/>
      <c r="CF3074" s="12"/>
      <c r="CH3074" s="9"/>
    </row>
    <row r="3075" spans="6:86" x14ac:dyDescent="0.25">
      <c r="F3075" s="9"/>
      <c r="G3075" s="9"/>
      <c r="AA3075" s="10"/>
      <c r="AV3075" s="11"/>
      <c r="AW3075" s="11"/>
      <c r="BB3075" s="9"/>
      <c r="BC3075" s="11"/>
      <c r="BF3075" s="9"/>
      <c r="CF3075" s="12"/>
      <c r="CH3075" s="9"/>
    </row>
    <row r="3076" spans="6:86" x14ac:dyDescent="0.25">
      <c r="F3076" s="9"/>
      <c r="G3076" s="9"/>
      <c r="AA3076" s="10"/>
      <c r="AV3076" s="11"/>
      <c r="AW3076" s="11"/>
      <c r="BB3076" s="9"/>
      <c r="BC3076" s="11"/>
      <c r="BF3076" s="9"/>
      <c r="CF3076" s="12"/>
      <c r="CH3076" s="9"/>
    </row>
    <row r="3077" spans="6:86" x14ac:dyDescent="0.25">
      <c r="F3077" s="9"/>
      <c r="G3077" s="9"/>
      <c r="AA3077" s="10"/>
      <c r="AV3077" s="11"/>
      <c r="AW3077" s="11"/>
      <c r="BB3077" s="9"/>
      <c r="BC3077" s="11"/>
      <c r="BF3077" s="9"/>
      <c r="CF3077" s="12"/>
      <c r="CH3077" s="9"/>
    </row>
    <row r="3078" spans="6:86" x14ac:dyDescent="0.25">
      <c r="F3078" s="9"/>
      <c r="G3078" s="9"/>
      <c r="AA3078" s="10"/>
      <c r="AV3078" s="11"/>
      <c r="AW3078" s="11"/>
      <c r="BB3078" s="9"/>
      <c r="BC3078" s="11"/>
      <c r="BF3078" s="9"/>
      <c r="CF3078" s="12"/>
      <c r="CH3078" s="9"/>
    </row>
    <row r="3079" spans="6:86" x14ac:dyDescent="0.25">
      <c r="F3079" s="9"/>
      <c r="G3079" s="9"/>
      <c r="AA3079" s="10"/>
      <c r="AV3079" s="11"/>
      <c r="AW3079" s="11"/>
      <c r="BB3079" s="9"/>
      <c r="BC3079" s="11"/>
      <c r="BF3079" s="9"/>
      <c r="CF3079" s="12"/>
      <c r="CH3079" s="9"/>
    </row>
    <row r="3080" spans="6:86" x14ac:dyDescent="0.25">
      <c r="F3080" s="9"/>
      <c r="G3080" s="9"/>
      <c r="AA3080" s="10"/>
      <c r="AV3080" s="11"/>
      <c r="AW3080" s="11"/>
      <c r="BB3080" s="9"/>
      <c r="BC3080" s="11"/>
      <c r="BF3080" s="9"/>
      <c r="CF3080" s="12"/>
      <c r="CH3080" s="9"/>
    </row>
    <row r="3081" spans="6:86" x14ac:dyDescent="0.25">
      <c r="F3081" s="9"/>
      <c r="G3081" s="9"/>
      <c r="AA3081" s="10"/>
      <c r="AV3081" s="11"/>
      <c r="AW3081" s="11"/>
      <c r="BB3081" s="9"/>
      <c r="BC3081" s="11"/>
      <c r="BF3081" s="9"/>
      <c r="CF3081" s="12"/>
      <c r="CH3081" s="9"/>
    </row>
    <row r="3082" spans="6:86" x14ac:dyDescent="0.25">
      <c r="F3082" s="9"/>
      <c r="G3082" s="9"/>
      <c r="AA3082" s="10"/>
      <c r="AV3082" s="11"/>
      <c r="AW3082" s="11"/>
      <c r="BB3082" s="9"/>
      <c r="BC3082" s="11"/>
      <c r="BF3082" s="9"/>
      <c r="CH3082" s="9"/>
    </row>
    <row r="3083" spans="6:86" x14ac:dyDescent="0.25">
      <c r="F3083" s="9"/>
      <c r="G3083" s="9"/>
      <c r="AA3083" s="10"/>
      <c r="AV3083" s="11"/>
      <c r="AW3083" s="11"/>
      <c r="BB3083" s="9"/>
      <c r="BC3083" s="11"/>
      <c r="BF3083" s="9"/>
      <c r="CF3083" s="12"/>
      <c r="CH3083" s="9"/>
    </row>
    <row r="3084" spans="6:86" x14ac:dyDescent="0.25">
      <c r="F3084" s="9"/>
      <c r="G3084" s="9"/>
      <c r="AA3084" s="10"/>
      <c r="AV3084" s="11"/>
      <c r="AW3084" s="11"/>
      <c r="BB3084" s="9"/>
      <c r="BC3084" s="11"/>
      <c r="BF3084" s="9"/>
      <c r="CF3084" s="12"/>
      <c r="CH3084" s="9"/>
    </row>
    <row r="3085" spans="6:86" x14ac:dyDescent="0.25">
      <c r="F3085" s="9"/>
      <c r="G3085" s="9"/>
      <c r="AA3085" s="10"/>
      <c r="AV3085" s="11"/>
      <c r="AW3085" s="11"/>
      <c r="BB3085" s="9"/>
      <c r="BC3085" s="11"/>
      <c r="BF3085" s="9"/>
      <c r="CF3085" s="12"/>
      <c r="CH3085" s="9"/>
    </row>
    <row r="3086" spans="6:86" x14ac:dyDescent="0.25">
      <c r="F3086" s="9"/>
      <c r="G3086" s="9"/>
      <c r="AA3086" s="10"/>
      <c r="AV3086" s="11"/>
      <c r="AW3086" s="11"/>
      <c r="BB3086" s="9"/>
      <c r="BC3086" s="11"/>
      <c r="BF3086" s="9"/>
      <c r="CF3086" s="12"/>
      <c r="CH3086" s="9"/>
    </row>
    <row r="3087" spans="6:86" x14ac:dyDescent="0.25">
      <c r="F3087" s="9"/>
      <c r="G3087" s="9"/>
      <c r="AA3087" s="10"/>
      <c r="AV3087" s="11"/>
      <c r="AW3087" s="11"/>
      <c r="BB3087" s="9"/>
      <c r="BC3087" s="11"/>
      <c r="BF3087" s="9"/>
      <c r="CF3087" s="12"/>
      <c r="CH3087" s="9"/>
    </row>
    <row r="3088" spans="6:86" x14ac:dyDescent="0.25">
      <c r="F3088" s="9"/>
      <c r="G3088" s="9"/>
      <c r="AA3088" s="10"/>
      <c r="AV3088" s="11"/>
      <c r="AW3088" s="11"/>
      <c r="BB3088" s="9"/>
      <c r="BC3088" s="11"/>
      <c r="BF3088" s="9"/>
      <c r="CF3088" s="12"/>
      <c r="CH3088" s="9"/>
    </row>
    <row r="3089" spans="6:86" x14ac:dyDescent="0.25">
      <c r="F3089" s="9"/>
      <c r="G3089" s="9"/>
      <c r="AA3089" s="10"/>
      <c r="AV3089" s="11"/>
      <c r="AW3089" s="11"/>
      <c r="BB3089" s="9"/>
      <c r="BC3089" s="11"/>
      <c r="BF3089" s="9"/>
      <c r="CF3089" s="12"/>
      <c r="CH3089" s="9"/>
    </row>
    <row r="3090" spans="6:86" x14ac:dyDescent="0.25">
      <c r="F3090" s="9"/>
      <c r="G3090" s="9"/>
      <c r="AA3090" s="10"/>
      <c r="AV3090" s="11"/>
      <c r="AW3090" s="11"/>
      <c r="BB3090" s="9"/>
      <c r="BC3090" s="11"/>
      <c r="BF3090" s="9"/>
      <c r="CF3090" s="12"/>
      <c r="CH3090" s="9"/>
    </row>
    <row r="3091" spans="6:86" x14ac:dyDescent="0.25">
      <c r="F3091" s="9"/>
      <c r="G3091" s="9"/>
      <c r="AA3091" s="10"/>
      <c r="AV3091" s="11"/>
      <c r="AW3091" s="11"/>
      <c r="BB3091" s="9"/>
      <c r="BC3091" s="11"/>
      <c r="BF3091" s="9"/>
      <c r="CF3091" s="12"/>
      <c r="CH3091" s="9"/>
    </row>
    <row r="3092" spans="6:86" x14ac:dyDescent="0.25">
      <c r="F3092" s="9"/>
      <c r="G3092" s="9"/>
      <c r="AA3092" s="10"/>
      <c r="AV3092" s="11"/>
      <c r="AW3092" s="11"/>
      <c r="BB3092" s="9"/>
      <c r="BC3092" s="11"/>
      <c r="BF3092" s="9"/>
      <c r="CH3092" s="9"/>
    </row>
    <row r="3093" spans="6:86" x14ac:dyDescent="0.25">
      <c r="F3093" s="9"/>
      <c r="G3093" s="9"/>
      <c r="AA3093" s="10"/>
      <c r="AV3093" s="11"/>
      <c r="AW3093" s="11"/>
      <c r="BB3093" s="9"/>
      <c r="BC3093" s="11"/>
      <c r="BF3093" s="9"/>
      <c r="CH3093" s="9"/>
    </row>
    <row r="3094" spans="6:86" x14ac:dyDescent="0.25">
      <c r="F3094" s="9"/>
      <c r="G3094" s="9"/>
      <c r="AA3094" s="10"/>
      <c r="AV3094" s="11"/>
      <c r="AW3094" s="11"/>
      <c r="BB3094" s="9"/>
      <c r="BC3094" s="11"/>
      <c r="BF3094" s="9"/>
      <c r="CF3094" s="12"/>
      <c r="CH3094" s="9"/>
    </row>
    <row r="3095" spans="6:86" x14ac:dyDescent="0.25">
      <c r="F3095" s="9"/>
      <c r="G3095" s="9"/>
      <c r="AA3095" s="10"/>
      <c r="AV3095" s="11"/>
      <c r="AW3095" s="11"/>
      <c r="BB3095" s="9"/>
      <c r="BC3095" s="11"/>
      <c r="BF3095" s="9"/>
      <c r="CF3095" s="12"/>
      <c r="CH3095" s="9"/>
    </row>
    <row r="3096" spans="6:86" x14ac:dyDescent="0.25">
      <c r="F3096" s="9"/>
      <c r="G3096" s="9"/>
      <c r="AA3096" s="10"/>
      <c r="AV3096" s="11"/>
      <c r="AW3096" s="11"/>
      <c r="BB3096" s="9"/>
      <c r="BC3096" s="11"/>
      <c r="BF3096" s="9"/>
      <c r="CF3096" s="12"/>
      <c r="CH3096" s="9"/>
    </row>
    <row r="3097" spans="6:86" x14ac:dyDescent="0.25">
      <c r="F3097" s="9"/>
      <c r="G3097" s="9"/>
      <c r="AA3097" s="10"/>
      <c r="AV3097" s="11"/>
      <c r="AW3097" s="11"/>
      <c r="BB3097" s="9"/>
      <c r="BC3097" s="11"/>
      <c r="BF3097" s="9"/>
      <c r="CF3097" s="12"/>
      <c r="CH3097" s="9"/>
    </row>
    <row r="3098" spans="6:86" x14ac:dyDescent="0.25">
      <c r="F3098" s="9"/>
      <c r="G3098" s="9"/>
      <c r="AA3098" s="10"/>
      <c r="AV3098" s="11"/>
      <c r="AW3098" s="11"/>
      <c r="BB3098" s="9"/>
      <c r="BC3098" s="11"/>
      <c r="BF3098" s="9"/>
      <c r="CF3098" s="12"/>
      <c r="CH3098" s="9"/>
    </row>
    <row r="3099" spans="6:86" x14ac:dyDescent="0.25">
      <c r="F3099" s="9"/>
      <c r="G3099" s="9"/>
      <c r="AA3099" s="10"/>
      <c r="AV3099" s="11"/>
      <c r="AW3099" s="11"/>
      <c r="BB3099" s="9"/>
      <c r="BC3099" s="11"/>
      <c r="BF3099" s="9"/>
      <c r="CF3099" s="12"/>
      <c r="CH3099" s="9"/>
    </row>
    <row r="3100" spans="6:86" x14ac:dyDescent="0.25">
      <c r="F3100" s="9"/>
      <c r="G3100" s="9"/>
      <c r="AA3100" s="10"/>
      <c r="AV3100" s="11"/>
      <c r="AW3100" s="11"/>
      <c r="BB3100" s="9"/>
      <c r="BC3100" s="11"/>
      <c r="BF3100" s="9"/>
      <c r="CF3100" s="12"/>
      <c r="CH3100" s="9"/>
    </row>
    <row r="3101" spans="6:86" x14ac:dyDescent="0.25">
      <c r="F3101" s="9"/>
      <c r="G3101" s="9"/>
      <c r="AA3101" s="10"/>
      <c r="AV3101" s="11"/>
      <c r="AW3101" s="11"/>
      <c r="BB3101" s="9"/>
      <c r="BC3101" s="11"/>
      <c r="BF3101" s="9"/>
      <c r="CF3101" s="12"/>
      <c r="CH3101" s="9"/>
    </row>
    <row r="3102" spans="6:86" x14ac:dyDescent="0.25">
      <c r="F3102" s="9"/>
      <c r="G3102" s="9"/>
      <c r="AA3102" s="10"/>
      <c r="AV3102" s="11"/>
      <c r="AW3102" s="11"/>
      <c r="BB3102" s="9"/>
      <c r="BC3102" s="11"/>
      <c r="BF3102" s="9"/>
      <c r="CF3102" s="12"/>
      <c r="CH3102" s="9"/>
    </row>
    <row r="3103" spans="6:86" x14ac:dyDescent="0.25">
      <c r="F3103" s="9"/>
      <c r="G3103" s="9"/>
      <c r="AA3103" s="10"/>
      <c r="AV3103" s="11"/>
      <c r="AW3103" s="11"/>
      <c r="BB3103" s="9"/>
      <c r="BC3103" s="11"/>
      <c r="BF3103" s="9"/>
      <c r="CH3103" s="9"/>
    </row>
    <row r="3104" spans="6:86" x14ac:dyDescent="0.25">
      <c r="F3104" s="9"/>
      <c r="G3104" s="9"/>
      <c r="AA3104" s="10"/>
      <c r="AV3104" s="11"/>
      <c r="AW3104" s="11"/>
      <c r="BB3104" s="9"/>
      <c r="BC3104" s="11"/>
      <c r="BF3104" s="9"/>
      <c r="CH3104" s="9"/>
    </row>
    <row r="3105" spans="6:86" x14ac:dyDescent="0.25">
      <c r="F3105" s="9"/>
      <c r="G3105" s="9"/>
      <c r="AA3105" s="10"/>
      <c r="AV3105" s="11"/>
      <c r="AW3105" s="11"/>
      <c r="BB3105" s="9"/>
      <c r="BC3105" s="11"/>
      <c r="BF3105" s="9"/>
      <c r="CF3105" s="12"/>
      <c r="CH3105" s="9"/>
    </row>
    <row r="3106" spans="6:86" x14ac:dyDescent="0.25">
      <c r="F3106" s="9"/>
      <c r="G3106" s="9"/>
      <c r="AA3106" s="10"/>
      <c r="AV3106" s="11"/>
      <c r="AW3106" s="11"/>
      <c r="BB3106" s="9"/>
      <c r="BC3106" s="11"/>
      <c r="BF3106" s="9"/>
      <c r="CF3106" s="12"/>
      <c r="CH3106" s="9"/>
    </row>
    <row r="3107" spans="6:86" x14ac:dyDescent="0.25">
      <c r="F3107" s="9"/>
      <c r="G3107" s="9"/>
      <c r="AA3107" s="10"/>
      <c r="AV3107" s="11"/>
      <c r="AW3107" s="11"/>
      <c r="BB3107" s="9"/>
      <c r="BC3107" s="11"/>
      <c r="BF3107" s="9"/>
      <c r="CF3107" s="12"/>
      <c r="CH3107" s="9"/>
    </row>
    <row r="3108" spans="6:86" x14ac:dyDescent="0.25">
      <c r="F3108" s="9"/>
      <c r="G3108" s="9"/>
      <c r="AA3108" s="10"/>
      <c r="AV3108" s="11"/>
      <c r="AW3108" s="11"/>
      <c r="BB3108" s="9"/>
      <c r="BC3108" s="11"/>
      <c r="BF3108" s="9"/>
      <c r="CH3108" s="9"/>
    </row>
    <row r="3109" spans="6:86" x14ac:dyDescent="0.25">
      <c r="F3109" s="9"/>
      <c r="G3109" s="9"/>
      <c r="AA3109" s="10"/>
      <c r="AV3109" s="11"/>
      <c r="AW3109" s="11"/>
      <c r="BB3109" s="9"/>
      <c r="BC3109" s="11"/>
      <c r="BF3109" s="9"/>
      <c r="CF3109" s="12"/>
      <c r="CH3109" s="9"/>
    </row>
    <row r="3110" spans="6:86" x14ac:dyDescent="0.25">
      <c r="F3110" s="9"/>
      <c r="G3110" s="9"/>
      <c r="AA3110" s="10"/>
      <c r="AV3110" s="11"/>
      <c r="AW3110" s="11"/>
      <c r="BB3110" s="9"/>
      <c r="BC3110" s="11"/>
      <c r="BF3110" s="9"/>
      <c r="CF3110" s="12"/>
      <c r="CH3110" s="9"/>
    </row>
    <row r="3111" spans="6:86" x14ac:dyDescent="0.25">
      <c r="F3111" s="9"/>
      <c r="G3111" s="9"/>
      <c r="U3111" s="12"/>
      <c r="AA3111" s="10"/>
      <c r="AV3111" s="11"/>
      <c r="AW3111" s="11"/>
      <c r="BB3111" s="9"/>
      <c r="BC3111" s="11"/>
      <c r="BF3111" s="9"/>
      <c r="CF3111" s="12"/>
      <c r="CH3111" s="9"/>
    </row>
    <row r="3112" spans="6:86" x14ac:dyDescent="0.25">
      <c r="F3112" s="9"/>
      <c r="G3112" s="9"/>
      <c r="AA3112" s="10"/>
      <c r="AV3112" s="11"/>
      <c r="AW3112" s="11"/>
      <c r="BB3112" s="9"/>
      <c r="BC3112" s="11"/>
      <c r="BF3112" s="9"/>
      <c r="CF3112" s="12"/>
      <c r="CH3112" s="9"/>
    </row>
    <row r="3113" spans="6:86" x14ac:dyDescent="0.25">
      <c r="F3113" s="9"/>
      <c r="G3113" s="9"/>
      <c r="AA3113" s="10"/>
      <c r="AV3113" s="11"/>
      <c r="AW3113" s="11"/>
      <c r="BB3113" s="9"/>
      <c r="BC3113" s="11"/>
      <c r="BF3113" s="9"/>
      <c r="CH3113" s="9"/>
    </row>
    <row r="3114" spans="6:86" x14ac:dyDescent="0.25">
      <c r="F3114" s="9"/>
      <c r="G3114" s="9"/>
      <c r="AA3114" s="10"/>
      <c r="AV3114" s="11"/>
      <c r="AW3114" s="11"/>
      <c r="BB3114" s="9"/>
      <c r="BC3114" s="11"/>
      <c r="BF3114" s="9"/>
      <c r="CH3114" s="9"/>
    </row>
    <row r="3115" spans="6:86" x14ac:dyDescent="0.25">
      <c r="F3115" s="9"/>
      <c r="G3115" s="9"/>
      <c r="AA3115" s="10"/>
      <c r="AV3115" s="11"/>
      <c r="AW3115" s="11"/>
      <c r="BB3115" s="9"/>
      <c r="BC3115" s="11"/>
      <c r="BF3115" s="9"/>
      <c r="CF3115" s="12"/>
      <c r="CH3115" s="9"/>
    </row>
    <row r="3116" spans="6:86" x14ac:dyDescent="0.25">
      <c r="F3116" s="9"/>
      <c r="G3116" s="9"/>
      <c r="AA3116" s="10"/>
      <c r="AV3116" s="11"/>
      <c r="AW3116" s="11"/>
      <c r="BB3116" s="9"/>
      <c r="BC3116" s="11"/>
      <c r="BF3116" s="9"/>
      <c r="CF3116" s="12"/>
      <c r="CH3116" s="9"/>
    </row>
    <row r="3117" spans="6:86" x14ac:dyDescent="0.25">
      <c r="F3117" s="9"/>
      <c r="G3117" s="9"/>
      <c r="AA3117" s="10"/>
      <c r="AV3117" s="11"/>
      <c r="AW3117" s="11"/>
      <c r="BB3117" s="9"/>
      <c r="BC3117" s="11"/>
      <c r="BF3117" s="9"/>
      <c r="CF3117" s="12"/>
      <c r="CH3117" s="9"/>
    </row>
    <row r="3118" spans="6:86" x14ac:dyDescent="0.25">
      <c r="F3118" s="9"/>
      <c r="G3118" s="9"/>
      <c r="AA3118" s="10"/>
      <c r="AV3118" s="11"/>
      <c r="AW3118" s="11"/>
      <c r="BB3118" s="9"/>
      <c r="BC3118" s="11"/>
      <c r="BF3118" s="9"/>
      <c r="CF3118" s="12"/>
      <c r="CH3118" s="9"/>
    </row>
    <row r="3119" spans="6:86" x14ac:dyDescent="0.25">
      <c r="F3119" s="9"/>
      <c r="G3119" s="9"/>
      <c r="AA3119" s="10"/>
      <c r="AV3119" s="11"/>
      <c r="AW3119" s="11"/>
      <c r="BB3119" s="9"/>
      <c r="BC3119" s="11"/>
      <c r="BF3119" s="9"/>
      <c r="CF3119" s="12"/>
      <c r="CH3119" s="9"/>
    </row>
    <row r="3120" spans="6:86" x14ac:dyDescent="0.25">
      <c r="F3120" s="9"/>
      <c r="G3120" s="9"/>
      <c r="AA3120" s="10"/>
      <c r="AV3120" s="11"/>
      <c r="AW3120" s="11"/>
      <c r="BB3120" s="9"/>
      <c r="BC3120" s="11"/>
      <c r="BF3120" s="9"/>
      <c r="CF3120" s="12"/>
      <c r="CH3120" s="9"/>
    </row>
    <row r="3121" spans="6:92" x14ac:dyDescent="0.25">
      <c r="F3121" s="9"/>
      <c r="G3121" s="9"/>
      <c r="AA3121" s="10"/>
      <c r="AV3121" s="11"/>
      <c r="AW3121" s="11"/>
      <c r="BB3121" s="9"/>
      <c r="BC3121" s="11"/>
      <c r="BF3121" s="9"/>
      <c r="CF3121" s="12"/>
      <c r="CH3121" s="9"/>
    </row>
    <row r="3122" spans="6:92" x14ac:dyDescent="0.25">
      <c r="F3122" s="9"/>
      <c r="G3122" s="9"/>
      <c r="AA3122" s="10"/>
      <c r="AV3122" s="11"/>
      <c r="AW3122" s="11"/>
      <c r="BB3122" s="9"/>
      <c r="BC3122" s="11"/>
      <c r="BF3122" s="9"/>
      <c r="CF3122" s="12"/>
      <c r="CH3122" s="9"/>
    </row>
    <row r="3123" spans="6:92" x14ac:dyDescent="0.25">
      <c r="F3123" s="9"/>
      <c r="G3123" s="9"/>
      <c r="AA3123" s="10"/>
      <c r="AV3123" s="11"/>
      <c r="AW3123" s="11"/>
      <c r="BB3123" s="9"/>
      <c r="BC3123" s="11"/>
      <c r="BF3123" s="9"/>
      <c r="CF3123" s="12"/>
      <c r="CH3123" s="9"/>
    </row>
    <row r="3124" spans="6:92" x14ac:dyDescent="0.25">
      <c r="F3124" s="9"/>
      <c r="G3124" s="9"/>
      <c r="AA3124" s="10"/>
      <c r="AV3124" s="11"/>
      <c r="AW3124" s="11"/>
      <c r="BB3124" s="9"/>
      <c r="BC3124" s="11"/>
      <c r="BF3124" s="9"/>
      <c r="CF3124" s="12"/>
      <c r="CH3124" s="9"/>
    </row>
    <row r="3125" spans="6:92" x14ac:dyDescent="0.25">
      <c r="F3125" s="9"/>
      <c r="G3125" s="9"/>
      <c r="AA3125" s="10"/>
      <c r="AV3125" s="11"/>
      <c r="AW3125" s="11"/>
      <c r="BB3125" s="9"/>
      <c r="BC3125" s="11"/>
      <c r="BF3125" s="9"/>
      <c r="CF3125" s="12"/>
      <c r="CH3125" s="9"/>
    </row>
    <row r="3126" spans="6:92" x14ac:dyDescent="0.25">
      <c r="F3126" s="9"/>
      <c r="G3126" s="9"/>
      <c r="U3126" s="12"/>
      <c r="Z3126" s="12"/>
      <c r="AA3126" s="10"/>
      <c r="AV3126" s="11"/>
      <c r="AW3126" s="11"/>
      <c r="BB3126" s="9"/>
      <c r="BC3126" s="11"/>
      <c r="BF3126" s="9"/>
      <c r="CF3126" s="12"/>
      <c r="CH3126" s="9"/>
      <c r="CN3126" s="12"/>
    </row>
    <row r="3127" spans="6:92" x14ac:dyDescent="0.25">
      <c r="F3127" s="9"/>
      <c r="G3127" s="9"/>
      <c r="AA3127" s="10"/>
      <c r="AV3127" s="11"/>
      <c r="AW3127" s="11"/>
      <c r="BB3127" s="9"/>
      <c r="BC3127" s="11"/>
      <c r="BF3127" s="9"/>
      <c r="CH3127" s="9"/>
    </row>
    <row r="3128" spans="6:92" x14ac:dyDescent="0.25">
      <c r="F3128" s="9"/>
      <c r="G3128" s="9"/>
      <c r="U3128" s="12"/>
      <c r="Y3128" s="12"/>
      <c r="Z3128" s="12"/>
      <c r="AA3128" s="10"/>
      <c r="AV3128" s="11"/>
      <c r="AW3128" s="11"/>
      <c r="BB3128" s="9"/>
      <c r="BC3128" s="11"/>
      <c r="BF3128" s="9"/>
      <c r="CF3128" s="12"/>
      <c r="CH3128" s="9"/>
      <c r="CN3128" s="12"/>
    </row>
    <row r="3129" spans="6:92" x14ac:dyDescent="0.25">
      <c r="F3129" s="9"/>
      <c r="G3129" s="9"/>
      <c r="AA3129" s="10"/>
      <c r="AV3129" s="11"/>
      <c r="AW3129" s="11"/>
      <c r="BB3129" s="9"/>
      <c r="BC3129" s="11"/>
      <c r="BF3129" s="9"/>
      <c r="CF3129" s="12"/>
      <c r="CH3129" s="9"/>
    </row>
    <row r="3130" spans="6:92" x14ac:dyDescent="0.25">
      <c r="F3130" s="9"/>
      <c r="G3130" s="9"/>
      <c r="AA3130" s="10"/>
      <c r="AV3130" s="11"/>
      <c r="AW3130" s="11"/>
      <c r="BB3130" s="9"/>
      <c r="BC3130" s="11"/>
      <c r="BF3130" s="9"/>
      <c r="CF3130" s="12"/>
      <c r="CH3130" s="9"/>
    </row>
    <row r="3131" spans="6:92" x14ac:dyDescent="0.25">
      <c r="F3131" s="9"/>
      <c r="G3131" s="9"/>
      <c r="AA3131" s="10"/>
      <c r="AV3131" s="11"/>
      <c r="AW3131" s="11"/>
      <c r="BB3131" s="9"/>
      <c r="BC3131" s="11"/>
      <c r="BF3131" s="9"/>
      <c r="CF3131" s="12"/>
      <c r="CH3131" s="9"/>
    </row>
    <row r="3132" spans="6:92" x14ac:dyDescent="0.25">
      <c r="F3132" s="9"/>
      <c r="G3132" s="9"/>
      <c r="AA3132" s="10"/>
      <c r="AV3132" s="11"/>
      <c r="AW3132" s="11"/>
      <c r="BB3132" s="9"/>
      <c r="BC3132" s="11"/>
      <c r="BF3132" s="9"/>
      <c r="CF3132" s="12"/>
      <c r="CH3132" s="9"/>
    </row>
    <row r="3133" spans="6:92" x14ac:dyDescent="0.25">
      <c r="F3133" s="9"/>
      <c r="G3133" s="9"/>
      <c r="U3133" s="12"/>
      <c r="AA3133" s="10"/>
      <c r="AV3133" s="11"/>
      <c r="AW3133" s="11"/>
      <c r="BB3133" s="9"/>
      <c r="BC3133" s="11"/>
      <c r="BF3133" s="9"/>
      <c r="CF3133" s="12"/>
      <c r="CH3133" s="9"/>
    </row>
    <row r="3134" spans="6:92" x14ac:dyDescent="0.25">
      <c r="F3134" s="9"/>
      <c r="G3134" s="9"/>
      <c r="AA3134" s="10"/>
      <c r="AV3134" s="11"/>
      <c r="AW3134" s="11"/>
      <c r="BB3134" s="9"/>
      <c r="BC3134" s="11"/>
      <c r="BF3134" s="9"/>
      <c r="CF3134" s="12"/>
      <c r="CH3134" s="9"/>
    </row>
    <row r="3135" spans="6:92" x14ac:dyDescent="0.25">
      <c r="F3135" s="9"/>
      <c r="G3135" s="9"/>
      <c r="U3135" s="12"/>
      <c r="Z3135" s="12"/>
      <c r="AA3135" s="10"/>
      <c r="AV3135" s="11"/>
      <c r="AW3135" s="11"/>
      <c r="BB3135" s="9"/>
      <c r="BC3135" s="11"/>
      <c r="BF3135" s="9"/>
      <c r="CF3135" s="12"/>
      <c r="CH3135" s="9"/>
    </row>
    <row r="3136" spans="6:92" x14ac:dyDescent="0.25">
      <c r="F3136" s="9"/>
      <c r="G3136" s="9"/>
      <c r="AA3136" s="10"/>
      <c r="AV3136" s="11"/>
      <c r="AW3136" s="11"/>
      <c r="BB3136" s="9"/>
      <c r="BC3136" s="11"/>
      <c r="BF3136" s="9"/>
      <c r="CF3136" s="12"/>
      <c r="CH3136" s="9"/>
    </row>
    <row r="3137" spans="6:86" x14ac:dyDescent="0.25">
      <c r="F3137" s="9"/>
      <c r="G3137" s="9"/>
      <c r="AA3137" s="10"/>
      <c r="AV3137" s="11"/>
      <c r="AW3137" s="11"/>
      <c r="BB3137" s="9"/>
      <c r="BC3137" s="11"/>
      <c r="BF3137" s="9"/>
      <c r="CF3137" s="12"/>
      <c r="CH3137" s="9"/>
    </row>
    <row r="3138" spans="6:86" x14ac:dyDescent="0.25">
      <c r="F3138" s="9"/>
      <c r="G3138" s="9"/>
      <c r="AA3138" s="10"/>
      <c r="AV3138" s="11"/>
      <c r="AW3138" s="11"/>
      <c r="BB3138" s="9"/>
      <c r="BC3138" s="11"/>
      <c r="BF3138" s="9"/>
      <c r="CF3138" s="12"/>
      <c r="CH3138" s="9"/>
    </row>
    <row r="3139" spans="6:86" x14ac:dyDescent="0.25">
      <c r="F3139" s="9"/>
      <c r="G3139" s="9"/>
      <c r="AA3139" s="10"/>
      <c r="AV3139" s="11"/>
      <c r="AW3139" s="11"/>
      <c r="BB3139" s="9"/>
      <c r="BC3139" s="11"/>
      <c r="BF3139" s="9"/>
      <c r="CF3139" s="12"/>
      <c r="CH3139" s="9"/>
    </row>
    <row r="3140" spans="6:86" x14ac:dyDescent="0.25">
      <c r="F3140" s="9"/>
      <c r="G3140" s="9"/>
      <c r="AA3140" s="10"/>
      <c r="AV3140" s="11"/>
      <c r="AW3140" s="11"/>
      <c r="BB3140" s="9"/>
      <c r="BC3140" s="11"/>
      <c r="BF3140" s="9"/>
      <c r="CF3140" s="12"/>
      <c r="CH3140" s="9"/>
    </row>
    <row r="3141" spans="6:86" x14ac:dyDescent="0.25">
      <c r="F3141" s="9"/>
      <c r="G3141" s="9"/>
      <c r="AA3141" s="10"/>
      <c r="AV3141" s="11"/>
      <c r="AW3141" s="11"/>
      <c r="BB3141" s="9"/>
      <c r="BC3141" s="11"/>
      <c r="BF3141" s="9"/>
      <c r="CF3141" s="12"/>
      <c r="CH3141" s="9"/>
    </row>
    <row r="3142" spans="6:86" x14ac:dyDescent="0.25">
      <c r="F3142" s="9"/>
      <c r="G3142" s="9"/>
      <c r="AA3142" s="10"/>
      <c r="AV3142" s="11"/>
      <c r="AW3142" s="11"/>
      <c r="BB3142" s="9"/>
      <c r="BC3142" s="11"/>
      <c r="BF3142" s="9"/>
      <c r="CF3142" s="12"/>
      <c r="CH3142" s="9"/>
    </row>
    <row r="3143" spans="6:86" x14ac:dyDescent="0.25">
      <c r="F3143" s="9"/>
      <c r="G3143" s="9"/>
      <c r="AA3143" s="10"/>
      <c r="AV3143" s="11"/>
      <c r="AW3143" s="11"/>
      <c r="BB3143" s="9"/>
      <c r="BC3143" s="11"/>
      <c r="BF3143" s="9"/>
      <c r="CF3143" s="12"/>
      <c r="CH3143" s="9"/>
    </row>
    <row r="3144" spans="6:86" x14ac:dyDescent="0.25">
      <c r="F3144" s="9"/>
      <c r="G3144" s="9"/>
      <c r="AA3144" s="10"/>
      <c r="AV3144" s="11"/>
      <c r="AW3144" s="11"/>
      <c r="BB3144" s="9"/>
      <c r="BC3144" s="11"/>
      <c r="BF3144" s="9"/>
      <c r="CF3144" s="12"/>
      <c r="CH3144" s="9"/>
    </row>
    <row r="3145" spans="6:86" x14ac:dyDescent="0.25">
      <c r="F3145" s="9"/>
      <c r="G3145" s="9"/>
      <c r="AA3145" s="10"/>
      <c r="AV3145" s="11"/>
      <c r="AW3145" s="11"/>
      <c r="BB3145" s="9"/>
      <c r="BC3145" s="11"/>
      <c r="BF3145" s="9"/>
      <c r="CF3145" s="12"/>
      <c r="CH3145" s="9"/>
    </row>
    <row r="3146" spans="6:86" x14ac:dyDescent="0.25">
      <c r="F3146" s="9"/>
      <c r="G3146" s="9"/>
      <c r="AA3146" s="10"/>
      <c r="AV3146" s="11"/>
      <c r="AW3146" s="11"/>
      <c r="BB3146" s="9"/>
      <c r="BC3146" s="11"/>
      <c r="BF3146" s="9"/>
      <c r="CF3146" s="12"/>
      <c r="CH3146" s="9"/>
    </row>
    <row r="3147" spans="6:86" x14ac:dyDescent="0.25">
      <c r="F3147" s="9"/>
      <c r="G3147" s="9"/>
      <c r="AA3147" s="10"/>
      <c r="AV3147" s="11"/>
      <c r="AW3147" s="11"/>
      <c r="BB3147" s="9"/>
      <c r="BC3147" s="11"/>
      <c r="BF3147" s="9"/>
      <c r="CF3147" s="12"/>
      <c r="CH3147" s="9"/>
    </row>
    <row r="3148" spans="6:86" x14ac:dyDescent="0.25">
      <c r="F3148" s="9"/>
      <c r="G3148" s="9"/>
      <c r="AA3148" s="10"/>
      <c r="AV3148" s="11"/>
      <c r="AW3148" s="11"/>
      <c r="BB3148" s="9"/>
      <c r="BC3148" s="11"/>
      <c r="BF3148" s="9"/>
      <c r="CF3148" s="12"/>
      <c r="CH3148" s="9"/>
    </row>
    <row r="3149" spans="6:86" x14ac:dyDescent="0.25">
      <c r="F3149" s="9"/>
      <c r="G3149" s="9"/>
      <c r="AA3149" s="10"/>
      <c r="AV3149" s="11"/>
      <c r="AW3149" s="11"/>
      <c r="BB3149" s="9"/>
      <c r="BC3149" s="11"/>
      <c r="BF3149" s="9"/>
      <c r="CF3149" s="12"/>
      <c r="CH3149" s="9"/>
    </row>
    <row r="3150" spans="6:86" x14ac:dyDescent="0.25">
      <c r="F3150" s="9"/>
      <c r="G3150" s="9"/>
      <c r="AA3150" s="10"/>
      <c r="AV3150" s="11"/>
      <c r="AW3150" s="11"/>
      <c r="BB3150" s="9"/>
      <c r="BC3150" s="11"/>
      <c r="BF3150" s="9"/>
      <c r="CF3150" s="12"/>
      <c r="CH3150" s="9"/>
    </row>
    <row r="3151" spans="6:86" x14ac:dyDescent="0.25">
      <c r="F3151" s="9"/>
      <c r="G3151" s="9"/>
      <c r="AA3151" s="10"/>
      <c r="AV3151" s="11"/>
      <c r="AW3151" s="11"/>
      <c r="BB3151" s="9"/>
      <c r="BC3151" s="11"/>
      <c r="BF3151" s="9"/>
      <c r="CF3151" s="12"/>
      <c r="CH3151" s="9"/>
    </row>
    <row r="3152" spans="6:86" x14ac:dyDescent="0.25">
      <c r="F3152" s="9"/>
      <c r="G3152" s="9"/>
      <c r="AA3152" s="10"/>
      <c r="AV3152" s="11"/>
      <c r="AW3152" s="11"/>
      <c r="BB3152" s="9"/>
      <c r="BC3152" s="11"/>
      <c r="BF3152" s="9"/>
      <c r="CH3152" s="9"/>
    </row>
    <row r="3153" spans="6:92" x14ac:dyDescent="0.25">
      <c r="F3153" s="9"/>
      <c r="G3153" s="9"/>
      <c r="AA3153" s="10"/>
      <c r="AV3153" s="11"/>
      <c r="AW3153" s="11"/>
      <c r="BB3153" s="9"/>
      <c r="BC3153" s="11"/>
      <c r="BF3153" s="9"/>
      <c r="CF3153" s="12"/>
      <c r="CH3153" s="9"/>
    </row>
    <row r="3154" spans="6:92" x14ac:dyDescent="0.25">
      <c r="F3154" s="9"/>
      <c r="G3154" s="9"/>
      <c r="AA3154" s="10"/>
      <c r="AV3154" s="11"/>
      <c r="AW3154" s="11"/>
      <c r="BB3154" s="9"/>
      <c r="BC3154" s="11"/>
      <c r="BF3154" s="9"/>
      <c r="CF3154" s="12"/>
      <c r="CH3154" s="9"/>
    </row>
    <row r="3155" spans="6:92" x14ac:dyDescent="0.25">
      <c r="F3155" s="9"/>
      <c r="G3155" s="9"/>
      <c r="AA3155" s="10"/>
      <c r="AV3155" s="11"/>
      <c r="AW3155" s="11"/>
      <c r="BB3155" s="9"/>
      <c r="BC3155" s="11"/>
      <c r="BF3155" s="9"/>
      <c r="CF3155" s="12"/>
      <c r="CH3155" s="9"/>
    </row>
    <row r="3156" spans="6:92" x14ac:dyDescent="0.25">
      <c r="F3156" s="9"/>
      <c r="G3156" s="9"/>
      <c r="AA3156" s="10"/>
      <c r="AV3156" s="11"/>
      <c r="AW3156" s="11"/>
      <c r="BB3156" s="9"/>
      <c r="BC3156" s="11"/>
      <c r="BF3156" s="9"/>
      <c r="CF3156" s="12"/>
      <c r="CH3156" s="9"/>
    </row>
    <row r="3157" spans="6:92" x14ac:dyDescent="0.25">
      <c r="F3157" s="9"/>
      <c r="G3157" s="9"/>
      <c r="AA3157" s="10"/>
      <c r="AV3157" s="11"/>
      <c r="AW3157" s="11"/>
      <c r="BB3157" s="9"/>
      <c r="BC3157" s="11"/>
      <c r="BF3157" s="9"/>
      <c r="CF3157" s="12"/>
      <c r="CH3157" s="9"/>
    </row>
    <row r="3158" spans="6:92" x14ac:dyDescent="0.25">
      <c r="F3158" s="9"/>
      <c r="G3158" s="9"/>
      <c r="AA3158" s="10"/>
      <c r="AV3158" s="11"/>
      <c r="AW3158" s="11"/>
      <c r="BB3158" s="9"/>
      <c r="BC3158" s="11"/>
      <c r="BF3158" s="9"/>
      <c r="CF3158" s="12"/>
      <c r="CH3158" s="9"/>
    </row>
    <row r="3159" spans="6:92" x14ac:dyDescent="0.25">
      <c r="F3159" s="9"/>
      <c r="G3159" s="9"/>
      <c r="AA3159" s="10"/>
      <c r="AV3159" s="11"/>
      <c r="AW3159" s="11"/>
      <c r="BB3159" s="9"/>
      <c r="BC3159" s="11"/>
      <c r="BF3159" s="9"/>
      <c r="CF3159" s="12"/>
      <c r="CH3159" s="9"/>
    </row>
    <row r="3160" spans="6:92" x14ac:dyDescent="0.25">
      <c r="F3160" s="9"/>
      <c r="G3160" s="9"/>
      <c r="U3160" s="12"/>
      <c r="AA3160" s="10"/>
      <c r="AV3160" s="11"/>
      <c r="AW3160" s="11"/>
      <c r="BB3160" s="9"/>
      <c r="BC3160" s="11"/>
      <c r="BF3160" s="9"/>
      <c r="CF3160" s="12"/>
      <c r="CH3160" s="9"/>
    </row>
    <row r="3161" spans="6:92" x14ac:dyDescent="0.25">
      <c r="F3161" s="9"/>
      <c r="G3161" s="9"/>
      <c r="AA3161" s="10"/>
      <c r="AV3161" s="11"/>
      <c r="AW3161" s="11"/>
      <c r="BB3161" s="9"/>
      <c r="BC3161" s="11"/>
      <c r="BF3161" s="9"/>
      <c r="CF3161" s="12"/>
      <c r="CH3161" s="9"/>
    </row>
    <row r="3162" spans="6:92" x14ac:dyDescent="0.25">
      <c r="F3162" s="9"/>
      <c r="G3162" s="9"/>
      <c r="AA3162" s="10"/>
      <c r="AV3162" s="11"/>
      <c r="AW3162" s="11"/>
      <c r="BB3162" s="9"/>
      <c r="BC3162" s="11"/>
      <c r="BF3162" s="9"/>
      <c r="CF3162" s="12"/>
      <c r="CH3162" s="9"/>
    </row>
    <row r="3163" spans="6:92" x14ac:dyDescent="0.25">
      <c r="F3163" s="9"/>
      <c r="G3163" s="9"/>
      <c r="AA3163" s="10"/>
      <c r="AV3163" s="11"/>
      <c r="AW3163" s="11"/>
      <c r="BB3163" s="9"/>
      <c r="BC3163" s="11"/>
      <c r="BF3163" s="9"/>
      <c r="CF3163" s="12"/>
      <c r="CH3163" s="9"/>
    </row>
    <row r="3164" spans="6:92" x14ac:dyDescent="0.25">
      <c r="F3164" s="9"/>
      <c r="G3164" s="9"/>
      <c r="AA3164" s="10"/>
      <c r="AV3164" s="11"/>
      <c r="AW3164" s="11"/>
      <c r="BB3164" s="9"/>
      <c r="BC3164" s="11"/>
      <c r="BF3164" s="9"/>
      <c r="CF3164" s="12"/>
      <c r="CH3164" s="9"/>
    </row>
    <row r="3165" spans="6:92" x14ac:dyDescent="0.25">
      <c r="F3165" s="9"/>
      <c r="G3165" s="9"/>
      <c r="U3165" s="12"/>
      <c r="Z3165" s="12"/>
      <c r="AA3165" s="10"/>
      <c r="AV3165" s="11"/>
      <c r="AW3165" s="11"/>
      <c r="BB3165" s="9"/>
      <c r="BC3165" s="11"/>
      <c r="BF3165" s="9"/>
      <c r="CF3165" s="12"/>
      <c r="CH3165" s="9"/>
      <c r="CN3165" s="12"/>
    </row>
    <row r="3166" spans="6:92" x14ac:dyDescent="0.25">
      <c r="F3166" s="9"/>
      <c r="G3166" s="9"/>
      <c r="AA3166" s="10"/>
      <c r="AV3166" s="11"/>
      <c r="AW3166" s="11"/>
      <c r="BB3166" s="9"/>
      <c r="BC3166" s="11"/>
      <c r="BF3166" s="9"/>
      <c r="CF3166" s="12"/>
      <c r="CH3166" s="9"/>
    </row>
    <row r="3167" spans="6:92" x14ac:dyDescent="0.25">
      <c r="F3167" s="9"/>
      <c r="G3167" s="9"/>
      <c r="AA3167" s="10"/>
      <c r="AV3167" s="11"/>
      <c r="AW3167" s="11"/>
      <c r="BB3167" s="9"/>
      <c r="BC3167" s="11"/>
      <c r="BF3167" s="9"/>
      <c r="CF3167" s="12"/>
      <c r="CH3167" s="9"/>
    </row>
    <row r="3168" spans="6:92" x14ac:dyDescent="0.25">
      <c r="F3168" s="9"/>
      <c r="G3168" s="9"/>
      <c r="AA3168" s="10"/>
      <c r="AV3168" s="11"/>
      <c r="AW3168" s="11"/>
      <c r="BB3168" s="9"/>
      <c r="BC3168" s="11"/>
      <c r="BF3168" s="9"/>
      <c r="CF3168" s="12"/>
      <c r="CH3168" s="9"/>
    </row>
    <row r="3169" spans="6:92" x14ac:dyDescent="0.25">
      <c r="F3169" s="9"/>
      <c r="G3169" s="9"/>
      <c r="AA3169" s="10"/>
      <c r="AV3169" s="11"/>
      <c r="AW3169" s="11"/>
      <c r="BB3169" s="9"/>
      <c r="BC3169" s="11"/>
      <c r="BF3169" s="9"/>
      <c r="CF3169" s="12"/>
      <c r="CH3169" s="9"/>
    </row>
    <row r="3170" spans="6:92" x14ac:dyDescent="0.25">
      <c r="F3170" s="9"/>
      <c r="G3170" s="9"/>
      <c r="AA3170" s="10"/>
      <c r="AV3170" s="11"/>
      <c r="AW3170" s="11"/>
      <c r="BB3170" s="9"/>
      <c r="BC3170" s="11"/>
      <c r="BF3170" s="9"/>
      <c r="CF3170" s="12"/>
      <c r="CH3170" s="9"/>
    </row>
    <row r="3171" spans="6:92" x14ac:dyDescent="0.25">
      <c r="F3171" s="9"/>
      <c r="G3171" s="9"/>
      <c r="U3171" s="12"/>
      <c r="Z3171" s="12"/>
      <c r="AA3171" s="10"/>
      <c r="AV3171" s="11"/>
      <c r="AW3171" s="11"/>
      <c r="BB3171" s="9"/>
      <c r="BC3171" s="11"/>
      <c r="BF3171" s="9"/>
      <c r="CF3171" s="12"/>
      <c r="CH3171" s="9"/>
      <c r="CN3171" s="12"/>
    </row>
    <row r="3172" spans="6:92" x14ac:dyDescent="0.25">
      <c r="F3172" s="9"/>
      <c r="G3172" s="9"/>
      <c r="U3172" s="12"/>
      <c r="Y3172" s="12"/>
      <c r="Z3172" s="12"/>
      <c r="AA3172" s="10"/>
      <c r="AV3172" s="11"/>
      <c r="AW3172" s="11"/>
      <c r="BB3172" s="9"/>
      <c r="BC3172" s="11"/>
      <c r="BF3172" s="9"/>
      <c r="CF3172" s="12"/>
      <c r="CH3172" s="9"/>
      <c r="CN3172" s="12"/>
    </row>
    <row r="3173" spans="6:92" x14ac:dyDescent="0.25">
      <c r="F3173" s="9"/>
      <c r="G3173" s="9"/>
      <c r="AA3173" s="10"/>
      <c r="AV3173" s="11"/>
      <c r="AW3173" s="11"/>
      <c r="BB3173" s="9"/>
      <c r="BC3173" s="11"/>
      <c r="BF3173" s="9"/>
      <c r="CF3173" s="12"/>
      <c r="CH3173" s="9"/>
    </row>
    <row r="3174" spans="6:92" x14ac:dyDescent="0.25">
      <c r="F3174" s="9"/>
      <c r="G3174" s="9"/>
      <c r="AA3174" s="10"/>
      <c r="AV3174" s="11"/>
      <c r="AW3174" s="11"/>
      <c r="BB3174" s="9"/>
      <c r="BC3174" s="11"/>
      <c r="BF3174" s="9"/>
      <c r="CF3174" s="12"/>
      <c r="CH3174" s="9"/>
    </row>
    <row r="3175" spans="6:92" x14ac:dyDescent="0.25">
      <c r="F3175" s="9"/>
      <c r="G3175" s="9"/>
      <c r="AA3175" s="10"/>
      <c r="AV3175" s="11"/>
      <c r="AW3175" s="11"/>
      <c r="BB3175" s="9"/>
      <c r="BC3175" s="11"/>
      <c r="BF3175" s="9"/>
      <c r="CF3175" s="12"/>
      <c r="CH3175" s="9"/>
    </row>
    <row r="3176" spans="6:92" x14ac:dyDescent="0.25">
      <c r="F3176" s="9"/>
      <c r="G3176" s="9"/>
      <c r="AA3176" s="10"/>
      <c r="AV3176" s="11"/>
      <c r="AW3176" s="11"/>
      <c r="BB3176" s="9"/>
      <c r="BC3176" s="11"/>
      <c r="BF3176" s="9"/>
      <c r="CH3176" s="9"/>
    </row>
    <row r="3177" spans="6:92" x14ac:dyDescent="0.25">
      <c r="F3177" s="9"/>
      <c r="G3177" s="9"/>
      <c r="AA3177" s="10"/>
      <c r="AV3177" s="11"/>
      <c r="AW3177" s="11"/>
      <c r="BB3177" s="9"/>
      <c r="BC3177" s="11"/>
      <c r="BF3177" s="9"/>
      <c r="CH3177" s="9"/>
    </row>
    <row r="3178" spans="6:92" x14ac:dyDescent="0.25">
      <c r="F3178" s="9"/>
      <c r="G3178" s="9"/>
      <c r="AA3178" s="10"/>
      <c r="AV3178" s="11"/>
      <c r="AW3178" s="11"/>
      <c r="BB3178" s="9"/>
      <c r="BC3178" s="11"/>
      <c r="BF3178" s="9"/>
      <c r="CH3178" s="9"/>
    </row>
    <row r="3179" spans="6:92" x14ac:dyDescent="0.25">
      <c r="F3179" s="9"/>
      <c r="G3179" s="9"/>
      <c r="AA3179" s="10"/>
      <c r="AV3179" s="11"/>
      <c r="AW3179" s="11"/>
      <c r="BB3179" s="9"/>
      <c r="BC3179" s="11"/>
      <c r="BF3179" s="9"/>
      <c r="CF3179" s="12"/>
      <c r="CH3179" s="9"/>
    </row>
    <row r="3180" spans="6:92" x14ac:dyDescent="0.25">
      <c r="F3180" s="9"/>
      <c r="G3180" s="9"/>
      <c r="AA3180" s="10"/>
      <c r="AV3180" s="11"/>
      <c r="AW3180" s="11"/>
      <c r="BB3180" s="9"/>
      <c r="BC3180" s="11"/>
      <c r="BF3180" s="9"/>
      <c r="CF3180" s="12"/>
      <c r="CH3180" s="9"/>
    </row>
    <row r="3181" spans="6:92" x14ac:dyDescent="0.25">
      <c r="F3181" s="9"/>
      <c r="G3181" s="9"/>
      <c r="AA3181" s="10"/>
      <c r="AV3181" s="11"/>
      <c r="AW3181" s="11"/>
      <c r="BB3181" s="9"/>
      <c r="BC3181" s="11"/>
      <c r="BF3181" s="9"/>
      <c r="CF3181" s="12"/>
      <c r="CH3181" s="9"/>
    </row>
    <row r="3182" spans="6:92" x14ac:dyDescent="0.25">
      <c r="F3182" s="9"/>
      <c r="G3182" s="9"/>
      <c r="AA3182" s="10"/>
      <c r="AV3182" s="11"/>
      <c r="AW3182" s="11"/>
      <c r="BB3182" s="9"/>
      <c r="BC3182" s="11"/>
      <c r="BF3182" s="9"/>
      <c r="CF3182" s="12"/>
      <c r="CH3182" s="9"/>
    </row>
    <row r="3183" spans="6:92" x14ac:dyDescent="0.25">
      <c r="F3183" s="9"/>
      <c r="G3183" s="9"/>
      <c r="AA3183" s="10"/>
      <c r="AV3183" s="11"/>
      <c r="AW3183" s="11"/>
      <c r="BB3183" s="9"/>
      <c r="BC3183" s="11"/>
      <c r="BF3183" s="9"/>
      <c r="CF3183" s="12"/>
      <c r="CH3183" s="9"/>
    </row>
    <row r="3184" spans="6:92" x14ac:dyDescent="0.25">
      <c r="F3184" s="9"/>
      <c r="G3184" s="9"/>
      <c r="AA3184" s="10"/>
      <c r="AV3184" s="11"/>
      <c r="AW3184" s="11"/>
      <c r="BB3184" s="9"/>
      <c r="BC3184" s="11"/>
      <c r="BF3184" s="9"/>
      <c r="CF3184" s="12"/>
      <c r="CH3184" s="9"/>
    </row>
    <row r="3185" spans="6:86" x14ac:dyDescent="0.25">
      <c r="F3185" s="9"/>
      <c r="G3185" s="9"/>
      <c r="AA3185" s="10"/>
      <c r="AV3185" s="11"/>
      <c r="AW3185" s="11"/>
      <c r="BB3185" s="9"/>
      <c r="BC3185" s="11"/>
      <c r="BF3185" s="9"/>
      <c r="CF3185" s="12"/>
      <c r="CH3185" s="9"/>
    </row>
    <row r="3186" spans="6:86" x14ac:dyDescent="0.25">
      <c r="F3186" s="9"/>
      <c r="G3186" s="9"/>
      <c r="AA3186" s="10"/>
      <c r="AV3186" s="11"/>
      <c r="AW3186" s="11"/>
      <c r="BB3186" s="9"/>
      <c r="BC3186" s="11"/>
      <c r="BF3186" s="9"/>
      <c r="CH3186" s="9"/>
    </row>
    <row r="3187" spans="6:86" x14ac:dyDescent="0.25">
      <c r="F3187" s="9"/>
      <c r="G3187" s="9"/>
      <c r="AA3187" s="10"/>
      <c r="AV3187" s="11"/>
      <c r="AW3187" s="11"/>
      <c r="BB3187" s="9"/>
      <c r="BC3187" s="11"/>
      <c r="BF3187" s="9"/>
      <c r="CF3187" s="12"/>
      <c r="CH3187" s="9"/>
    </row>
    <row r="3188" spans="6:86" x14ac:dyDescent="0.25">
      <c r="F3188" s="9"/>
      <c r="G3188" s="9"/>
      <c r="AA3188" s="10"/>
      <c r="AV3188" s="11"/>
      <c r="AW3188" s="11"/>
      <c r="BB3188" s="9"/>
      <c r="BC3188" s="11"/>
      <c r="BF3188" s="9"/>
      <c r="CH3188" s="9"/>
    </row>
    <row r="3189" spans="6:86" x14ac:dyDescent="0.25">
      <c r="F3189" s="9"/>
      <c r="G3189" s="9"/>
      <c r="AA3189" s="10"/>
      <c r="AV3189" s="11"/>
      <c r="AW3189" s="11"/>
      <c r="BB3189" s="9"/>
      <c r="BC3189" s="11"/>
      <c r="BF3189" s="9"/>
      <c r="CH3189" s="9"/>
    </row>
    <row r="3190" spans="6:86" x14ac:dyDescent="0.25">
      <c r="F3190" s="9"/>
      <c r="G3190" s="9"/>
      <c r="AA3190" s="10"/>
      <c r="AV3190" s="11"/>
      <c r="AW3190" s="11"/>
      <c r="BB3190" s="9"/>
      <c r="BC3190" s="11"/>
      <c r="BF3190" s="9"/>
      <c r="CF3190" s="12"/>
      <c r="CH3190" s="9"/>
    </row>
    <row r="3191" spans="6:86" x14ac:dyDescent="0.25">
      <c r="F3191" s="9"/>
      <c r="G3191" s="9"/>
      <c r="AA3191" s="10"/>
      <c r="AV3191" s="11"/>
      <c r="AW3191" s="11"/>
      <c r="BB3191" s="9"/>
      <c r="BC3191" s="11"/>
      <c r="BF3191" s="9"/>
      <c r="CF3191" s="12"/>
      <c r="CH3191" s="9"/>
    </row>
    <row r="3192" spans="6:86" x14ac:dyDescent="0.25">
      <c r="F3192" s="9"/>
      <c r="G3192" s="9"/>
      <c r="AA3192" s="10"/>
      <c r="AV3192" s="11"/>
      <c r="AW3192" s="11"/>
      <c r="BB3192" s="9"/>
      <c r="BC3192" s="11"/>
      <c r="BF3192" s="9"/>
      <c r="CF3192" s="12"/>
      <c r="CH3192" s="9"/>
    </row>
    <row r="3193" spans="6:86" x14ac:dyDescent="0.25">
      <c r="F3193" s="9"/>
      <c r="G3193" s="9"/>
      <c r="AA3193" s="10"/>
      <c r="AV3193" s="11"/>
      <c r="AW3193" s="11"/>
      <c r="BB3193" s="9"/>
      <c r="BC3193" s="11"/>
      <c r="BF3193" s="9"/>
      <c r="CH3193" s="9"/>
    </row>
    <row r="3194" spans="6:86" x14ac:dyDescent="0.25">
      <c r="F3194" s="9"/>
      <c r="G3194" s="9"/>
      <c r="AA3194" s="10"/>
      <c r="AV3194" s="11"/>
      <c r="AW3194" s="11"/>
      <c r="BB3194" s="9"/>
      <c r="BC3194" s="11"/>
      <c r="BF3194" s="9"/>
      <c r="CF3194" s="12"/>
      <c r="CH3194" s="9"/>
    </row>
    <row r="3195" spans="6:86" x14ac:dyDescent="0.25">
      <c r="F3195" s="9"/>
      <c r="G3195" s="9"/>
      <c r="AA3195" s="10"/>
      <c r="AV3195" s="11"/>
      <c r="AW3195" s="11"/>
      <c r="BB3195" s="9"/>
      <c r="BC3195" s="11"/>
      <c r="BF3195" s="9"/>
      <c r="CH3195" s="9"/>
    </row>
    <row r="3196" spans="6:86" x14ac:dyDescent="0.25">
      <c r="F3196" s="9"/>
      <c r="G3196" s="9"/>
      <c r="AA3196" s="10"/>
      <c r="AV3196" s="11"/>
      <c r="AW3196" s="11"/>
      <c r="BB3196" s="9"/>
      <c r="BC3196" s="11"/>
      <c r="BF3196" s="9"/>
      <c r="CF3196" s="12"/>
      <c r="CH3196" s="9"/>
    </row>
    <row r="3197" spans="6:86" x14ac:dyDescent="0.25">
      <c r="F3197" s="9"/>
      <c r="G3197" s="9"/>
      <c r="AA3197" s="10"/>
      <c r="AV3197" s="11"/>
      <c r="AW3197" s="11"/>
      <c r="BB3197" s="9"/>
      <c r="BC3197" s="11"/>
      <c r="BF3197" s="9"/>
      <c r="CF3197" s="12"/>
      <c r="CH3197" s="9"/>
    </row>
    <row r="3198" spans="6:86" x14ac:dyDescent="0.25">
      <c r="F3198" s="9"/>
      <c r="G3198" s="9"/>
      <c r="U3198" s="12"/>
      <c r="AA3198" s="10"/>
      <c r="AV3198" s="11"/>
      <c r="AW3198" s="11"/>
      <c r="BB3198" s="9"/>
      <c r="BC3198" s="11"/>
      <c r="BF3198" s="9"/>
      <c r="CF3198" s="12"/>
      <c r="CH3198" s="9"/>
    </row>
    <row r="3199" spans="6:86" x14ac:dyDescent="0.25">
      <c r="F3199" s="9"/>
      <c r="G3199" s="9"/>
      <c r="AA3199" s="10"/>
      <c r="AV3199" s="11"/>
      <c r="AW3199" s="11"/>
      <c r="BB3199" s="9"/>
      <c r="BC3199" s="11"/>
      <c r="BF3199" s="9"/>
      <c r="CF3199" s="12"/>
      <c r="CH3199" s="9"/>
    </row>
    <row r="3200" spans="6:86" x14ac:dyDescent="0.25">
      <c r="F3200" s="9"/>
      <c r="G3200" s="9"/>
      <c r="AA3200" s="10"/>
      <c r="AV3200" s="11"/>
      <c r="AW3200" s="11"/>
      <c r="BB3200" s="9"/>
      <c r="BC3200" s="11"/>
      <c r="BF3200" s="9"/>
      <c r="CH3200" s="9"/>
    </row>
    <row r="3201" spans="6:86" x14ac:dyDescent="0.25">
      <c r="F3201" s="9"/>
      <c r="G3201" s="9"/>
      <c r="AA3201" s="10"/>
      <c r="AV3201" s="11"/>
      <c r="AW3201" s="11"/>
      <c r="BB3201" s="9"/>
      <c r="BC3201" s="11"/>
      <c r="BF3201" s="9"/>
      <c r="CF3201" s="12"/>
      <c r="CH3201" s="9"/>
    </row>
    <row r="3202" spans="6:86" x14ac:dyDescent="0.25">
      <c r="F3202" s="9"/>
      <c r="G3202" s="9"/>
      <c r="AA3202" s="10"/>
      <c r="AV3202" s="11"/>
      <c r="AW3202" s="11"/>
      <c r="BB3202" s="9"/>
      <c r="BC3202" s="11"/>
      <c r="BF3202" s="9"/>
      <c r="CF3202" s="12"/>
      <c r="CH3202" s="9"/>
    </row>
    <row r="3203" spans="6:86" x14ac:dyDescent="0.25">
      <c r="F3203" s="9"/>
      <c r="G3203" s="9"/>
      <c r="AA3203" s="10"/>
      <c r="AV3203" s="11"/>
      <c r="AW3203" s="11"/>
      <c r="BB3203" s="9"/>
      <c r="BC3203" s="11"/>
      <c r="BF3203" s="9"/>
      <c r="CF3203" s="12"/>
      <c r="CH3203" s="9"/>
    </row>
    <row r="3204" spans="6:86" x14ac:dyDescent="0.25">
      <c r="F3204" s="9"/>
      <c r="G3204" s="9"/>
      <c r="AA3204" s="10"/>
      <c r="AV3204" s="11"/>
      <c r="AW3204" s="11"/>
      <c r="BB3204" s="9"/>
      <c r="BC3204" s="11"/>
      <c r="BF3204" s="9"/>
      <c r="CF3204" s="12"/>
      <c r="CH3204" s="9"/>
    </row>
    <row r="3205" spans="6:86" x14ac:dyDescent="0.25">
      <c r="F3205" s="9"/>
      <c r="G3205" s="9"/>
      <c r="AA3205" s="10"/>
      <c r="AV3205" s="11"/>
      <c r="AW3205" s="11"/>
      <c r="BB3205" s="9"/>
      <c r="BC3205" s="11"/>
      <c r="BF3205" s="9"/>
      <c r="CF3205" s="12"/>
      <c r="CH3205" s="9"/>
    </row>
    <row r="3206" spans="6:86" x14ac:dyDescent="0.25">
      <c r="F3206" s="9"/>
      <c r="G3206" s="9"/>
      <c r="AA3206" s="10"/>
      <c r="AV3206" s="11"/>
      <c r="AW3206" s="11"/>
      <c r="BB3206" s="9"/>
      <c r="BC3206" s="11"/>
      <c r="BF3206" s="9"/>
      <c r="CF3206" s="12"/>
      <c r="CH3206" s="9"/>
    </row>
    <row r="3207" spans="6:86" x14ac:dyDescent="0.25">
      <c r="F3207" s="9"/>
      <c r="G3207" s="9"/>
      <c r="AA3207" s="10"/>
      <c r="AV3207" s="11"/>
      <c r="AW3207" s="11"/>
      <c r="BB3207" s="9"/>
      <c r="BC3207" s="11"/>
      <c r="BF3207" s="9"/>
      <c r="CF3207" s="12"/>
      <c r="CH3207" s="9"/>
    </row>
    <row r="3208" spans="6:86" x14ac:dyDescent="0.25">
      <c r="F3208" s="9"/>
      <c r="G3208" s="9"/>
      <c r="AA3208" s="10"/>
      <c r="AV3208" s="11"/>
      <c r="AW3208" s="11"/>
      <c r="BB3208" s="9"/>
      <c r="BC3208" s="11"/>
      <c r="BF3208" s="9"/>
      <c r="CH3208" s="9"/>
    </row>
    <row r="3209" spans="6:86" x14ac:dyDescent="0.25">
      <c r="F3209" s="9"/>
      <c r="G3209" s="9"/>
      <c r="AA3209" s="10"/>
      <c r="AV3209" s="11"/>
      <c r="AW3209" s="11"/>
      <c r="BB3209" s="9"/>
      <c r="BC3209" s="11"/>
      <c r="BF3209" s="9"/>
      <c r="CF3209" s="12"/>
      <c r="CH3209" s="9"/>
    </row>
    <row r="3210" spans="6:86" x14ac:dyDescent="0.25">
      <c r="F3210" s="9"/>
      <c r="G3210" s="9"/>
      <c r="AA3210" s="10"/>
      <c r="AV3210" s="11"/>
      <c r="AW3210" s="11"/>
      <c r="BB3210" s="9"/>
      <c r="BC3210" s="11"/>
      <c r="BF3210" s="9"/>
      <c r="CF3210" s="12"/>
      <c r="CH3210" s="9"/>
    </row>
    <row r="3211" spans="6:86" x14ac:dyDescent="0.25">
      <c r="F3211" s="9"/>
      <c r="G3211" s="9"/>
      <c r="AA3211" s="10"/>
      <c r="AV3211" s="11"/>
      <c r="AW3211" s="11"/>
      <c r="BB3211" s="9"/>
      <c r="BC3211" s="11"/>
      <c r="BF3211" s="9"/>
      <c r="CH3211" s="9"/>
    </row>
    <row r="3212" spans="6:86" x14ac:dyDescent="0.25">
      <c r="F3212" s="9"/>
      <c r="G3212" s="9"/>
      <c r="AA3212" s="10"/>
      <c r="AV3212" s="11"/>
      <c r="AW3212" s="11"/>
      <c r="BB3212" s="9"/>
      <c r="BC3212" s="11"/>
      <c r="BF3212" s="9"/>
      <c r="CH3212" s="9"/>
    </row>
    <row r="3213" spans="6:86" x14ac:dyDescent="0.25">
      <c r="F3213" s="9"/>
      <c r="G3213" s="9"/>
      <c r="AA3213" s="10"/>
      <c r="AV3213" s="11"/>
      <c r="AW3213" s="11"/>
      <c r="BB3213" s="9"/>
      <c r="BC3213" s="11"/>
      <c r="BF3213" s="9"/>
      <c r="CF3213" s="12"/>
      <c r="CH3213" s="9"/>
    </row>
    <row r="3214" spans="6:86" x14ac:dyDescent="0.25">
      <c r="F3214" s="9"/>
      <c r="G3214" s="9"/>
      <c r="AA3214" s="10"/>
      <c r="AV3214" s="11"/>
      <c r="AW3214" s="11"/>
      <c r="BB3214" s="9"/>
      <c r="BC3214" s="11"/>
      <c r="BF3214" s="9"/>
      <c r="CF3214" s="12"/>
      <c r="CH3214" s="9"/>
    </row>
    <row r="3215" spans="6:86" x14ac:dyDescent="0.25">
      <c r="F3215" s="9"/>
      <c r="G3215" s="9"/>
      <c r="AA3215" s="10"/>
      <c r="AV3215" s="11"/>
      <c r="AW3215" s="11"/>
      <c r="BB3215" s="9"/>
      <c r="BC3215" s="11"/>
      <c r="BF3215" s="9"/>
      <c r="CH3215" s="9"/>
    </row>
    <row r="3216" spans="6:86" x14ac:dyDescent="0.25">
      <c r="F3216" s="9"/>
      <c r="G3216" s="9"/>
      <c r="AA3216" s="10"/>
      <c r="AV3216" s="11"/>
      <c r="AW3216" s="11"/>
      <c r="BB3216" s="9"/>
      <c r="BC3216" s="11"/>
      <c r="BF3216" s="9"/>
      <c r="CH3216" s="9"/>
    </row>
    <row r="3217" spans="6:86" x14ac:dyDescent="0.25">
      <c r="F3217" s="9"/>
      <c r="G3217" s="9"/>
      <c r="AA3217" s="10"/>
      <c r="AV3217" s="11"/>
      <c r="AW3217" s="11"/>
      <c r="BB3217" s="9"/>
      <c r="BC3217" s="11"/>
      <c r="BF3217" s="9"/>
      <c r="CH3217" s="9"/>
    </row>
    <row r="3218" spans="6:86" x14ac:dyDescent="0.25">
      <c r="F3218" s="9"/>
      <c r="G3218" s="9"/>
      <c r="AA3218" s="10"/>
      <c r="AV3218" s="11"/>
      <c r="AW3218" s="11"/>
      <c r="BB3218" s="9"/>
      <c r="BC3218" s="11"/>
      <c r="BF3218" s="9"/>
      <c r="CF3218" s="12"/>
      <c r="CH3218" s="9"/>
    </row>
    <row r="3219" spans="6:86" x14ac:dyDescent="0.25">
      <c r="F3219" s="9"/>
      <c r="G3219" s="9"/>
      <c r="AA3219" s="10"/>
      <c r="AV3219" s="11"/>
      <c r="AW3219" s="11"/>
      <c r="BB3219" s="9"/>
      <c r="BC3219" s="11"/>
      <c r="BF3219" s="9"/>
      <c r="CF3219" s="12"/>
      <c r="CH3219" s="9"/>
    </row>
    <row r="3220" spans="6:86" x14ac:dyDescent="0.25">
      <c r="F3220" s="9"/>
      <c r="G3220" s="9"/>
      <c r="AA3220" s="10"/>
      <c r="AV3220" s="11"/>
      <c r="AW3220" s="11"/>
      <c r="BB3220" s="9"/>
      <c r="BC3220" s="11"/>
      <c r="BF3220" s="9"/>
      <c r="CF3220" s="12"/>
      <c r="CH3220" s="9"/>
    </row>
    <row r="3221" spans="6:86" x14ac:dyDescent="0.25">
      <c r="F3221" s="9"/>
      <c r="G3221" s="9"/>
      <c r="AA3221" s="10"/>
      <c r="AV3221" s="11"/>
      <c r="AW3221" s="11"/>
      <c r="BB3221" s="9"/>
      <c r="BC3221" s="11"/>
      <c r="BF3221" s="9"/>
      <c r="CH3221" s="9"/>
    </row>
    <row r="3222" spans="6:86" x14ac:dyDescent="0.25">
      <c r="F3222" s="9"/>
      <c r="G3222" s="9"/>
      <c r="AA3222" s="10"/>
      <c r="AV3222" s="11"/>
      <c r="AW3222" s="11"/>
      <c r="BB3222" s="9"/>
      <c r="BC3222" s="11"/>
      <c r="BF3222" s="9"/>
      <c r="CF3222" s="12"/>
      <c r="CH3222" s="9"/>
    </row>
    <row r="3223" spans="6:86" x14ac:dyDescent="0.25">
      <c r="F3223" s="9"/>
      <c r="G3223" s="9"/>
      <c r="AA3223" s="10"/>
      <c r="AV3223" s="11"/>
      <c r="AW3223" s="11"/>
      <c r="BB3223" s="9"/>
      <c r="BC3223" s="11"/>
      <c r="BF3223" s="9"/>
      <c r="CH3223" s="9"/>
    </row>
    <row r="3224" spans="6:86" x14ac:dyDescent="0.25">
      <c r="F3224" s="9"/>
      <c r="G3224" s="9"/>
      <c r="AA3224" s="10"/>
      <c r="AV3224" s="11"/>
      <c r="AW3224" s="11"/>
      <c r="BB3224" s="9"/>
      <c r="BC3224" s="11"/>
      <c r="BF3224" s="9"/>
      <c r="CH3224" s="9"/>
    </row>
    <row r="3225" spans="6:86" x14ac:dyDescent="0.25">
      <c r="F3225" s="9"/>
      <c r="G3225" s="9"/>
      <c r="AA3225" s="10"/>
      <c r="AV3225" s="11"/>
      <c r="AW3225" s="11"/>
      <c r="BB3225" s="9"/>
      <c r="BC3225" s="11"/>
      <c r="BF3225" s="9"/>
    </row>
    <row r="3226" spans="6:86" x14ac:dyDescent="0.25">
      <c r="F3226" s="9"/>
      <c r="G3226" s="9"/>
      <c r="AA3226" s="10"/>
      <c r="AV3226" s="11"/>
      <c r="AW3226" s="11"/>
      <c r="BB3226" s="9"/>
      <c r="BC3226" s="11"/>
      <c r="BF3226" s="9"/>
      <c r="CF3226" s="12"/>
      <c r="CH3226" s="9"/>
    </row>
    <row r="3227" spans="6:86" x14ac:dyDescent="0.25">
      <c r="F3227" s="9"/>
      <c r="G3227" s="9"/>
      <c r="AA3227" s="10"/>
      <c r="AV3227" s="11"/>
      <c r="AW3227" s="11"/>
      <c r="BB3227" s="9"/>
      <c r="BC3227" s="11"/>
      <c r="BF3227" s="9"/>
      <c r="CF3227" s="12"/>
      <c r="CH3227" s="9"/>
    </row>
    <row r="3228" spans="6:86" x14ac:dyDescent="0.25">
      <c r="F3228" s="9"/>
      <c r="G3228" s="9"/>
      <c r="AA3228" s="10"/>
      <c r="AV3228" s="11"/>
      <c r="AW3228" s="11"/>
      <c r="BB3228" s="9"/>
      <c r="BC3228" s="11"/>
      <c r="BF3228" s="9"/>
      <c r="CH3228" s="9"/>
    </row>
    <row r="3229" spans="6:86" x14ac:dyDescent="0.25">
      <c r="F3229" s="9"/>
      <c r="G3229" s="9"/>
      <c r="AA3229" s="10"/>
      <c r="AV3229" s="11"/>
      <c r="AW3229" s="11"/>
      <c r="BB3229" s="9"/>
      <c r="BC3229" s="11"/>
      <c r="BF3229" s="9"/>
      <c r="CH3229" s="9"/>
    </row>
    <row r="3230" spans="6:86" x14ac:dyDescent="0.25">
      <c r="F3230" s="9"/>
      <c r="G3230" s="9"/>
      <c r="AA3230" s="10"/>
      <c r="AV3230" s="11"/>
      <c r="AW3230" s="11"/>
      <c r="BB3230" s="9"/>
      <c r="BC3230" s="11"/>
      <c r="BF3230" s="9"/>
      <c r="CH3230" s="9"/>
    </row>
    <row r="3231" spans="6:86" x14ac:dyDescent="0.25">
      <c r="F3231" s="9"/>
      <c r="G3231" s="9"/>
      <c r="AA3231" s="10"/>
      <c r="AV3231" s="11"/>
      <c r="AW3231" s="11"/>
      <c r="BB3231" s="9"/>
      <c r="BC3231" s="11"/>
      <c r="BF3231" s="9"/>
      <c r="CF3231" s="12"/>
      <c r="CH3231" s="9"/>
    </row>
    <row r="3232" spans="6:86" x14ac:dyDescent="0.25">
      <c r="F3232" s="9"/>
      <c r="G3232" s="9"/>
      <c r="AA3232" s="10"/>
      <c r="AV3232" s="11"/>
      <c r="AW3232" s="11"/>
      <c r="BB3232" s="9"/>
      <c r="BC3232" s="11"/>
      <c r="BF3232" s="9"/>
      <c r="CF3232" s="12"/>
      <c r="CH3232" s="9"/>
    </row>
    <row r="3233" spans="6:92" x14ac:dyDescent="0.25">
      <c r="F3233" s="9"/>
      <c r="G3233" s="9"/>
      <c r="AA3233" s="10"/>
      <c r="AV3233" s="11"/>
      <c r="AW3233" s="11"/>
      <c r="BB3233" s="9"/>
      <c r="BC3233" s="11"/>
      <c r="BF3233" s="9"/>
      <c r="CF3233" s="12"/>
      <c r="CH3233" s="9"/>
    </row>
    <row r="3234" spans="6:92" x14ac:dyDescent="0.25">
      <c r="F3234" s="9"/>
      <c r="G3234" s="9"/>
      <c r="AA3234" s="10"/>
      <c r="AV3234" s="11"/>
      <c r="AW3234" s="11"/>
      <c r="BB3234" s="9"/>
      <c r="BC3234" s="11"/>
      <c r="BF3234" s="9"/>
      <c r="CF3234" s="12"/>
      <c r="CH3234" s="9"/>
    </row>
    <row r="3235" spans="6:92" x14ac:dyDescent="0.25">
      <c r="F3235" s="9"/>
      <c r="G3235" s="9"/>
      <c r="AA3235" s="10"/>
      <c r="AV3235" s="11"/>
      <c r="AW3235" s="11"/>
      <c r="BB3235" s="9"/>
      <c r="BC3235" s="11"/>
      <c r="BF3235" s="9"/>
      <c r="CH3235" s="9"/>
    </row>
    <row r="3236" spans="6:92" x14ac:dyDescent="0.25">
      <c r="F3236" s="9"/>
      <c r="G3236" s="9"/>
      <c r="AA3236" s="10"/>
      <c r="AV3236" s="11"/>
      <c r="AW3236" s="11"/>
      <c r="BB3236" s="9"/>
      <c r="BC3236" s="11"/>
      <c r="BF3236" s="9"/>
      <c r="CF3236" s="12"/>
      <c r="CH3236" s="9"/>
    </row>
    <row r="3237" spans="6:92" x14ac:dyDescent="0.25">
      <c r="F3237" s="9"/>
      <c r="G3237" s="9"/>
      <c r="AA3237" s="10"/>
      <c r="AV3237" s="11"/>
      <c r="AW3237" s="11"/>
      <c r="BB3237" s="9"/>
      <c r="BC3237" s="11"/>
      <c r="BF3237" s="9"/>
      <c r="CF3237" s="12"/>
      <c r="CH3237" s="9"/>
    </row>
    <row r="3238" spans="6:92" x14ac:dyDescent="0.25">
      <c r="F3238" s="9"/>
      <c r="G3238" s="9"/>
      <c r="AA3238" s="10"/>
      <c r="AV3238" s="11"/>
      <c r="AW3238" s="11"/>
      <c r="BB3238" s="9"/>
      <c r="BC3238" s="11"/>
      <c r="BF3238" s="9"/>
      <c r="CF3238" s="12"/>
      <c r="CH3238" s="9"/>
    </row>
    <row r="3239" spans="6:92" x14ac:dyDescent="0.25">
      <c r="F3239" s="9"/>
      <c r="G3239" s="9"/>
      <c r="AA3239" s="10"/>
      <c r="AV3239" s="11"/>
      <c r="AW3239" s="11"/>
      <c r="BB3239" s="9"/>
      <c r="BC3239" s="11"/>
      <c r="BF3239" s="9"/>
      <c r="CF3239" s="12"/>
      <c r="CH3239" s="9"/>
    </row>
    <row r="3240" spans="6:92" x14ac:dyDescent="0.25">
      <c r="F3240" s="9"/>
      <c r="G3240" s="9"/>
      <c r="AA3240" s="10"/>
      <c r="AV3240" s="11"/>
      <c r="AW3240" s="11"/>
      <c r="BB3240" s="9"/>
      <c r="BC3240" s="11"/>
      <c r="BF3240" s="9"/>
      <c r="CF3240" s="12"/>
      <c r="CH3240" s="9"/>
    </row>
    <row r="3241" spans="6:92" x14ac:dyDescent="0.25">
      <c r="F3241" s="9"/>
      <c r="G3241" s="9"/>
      <c r="AA3241" s="10"/>
      <c r="AV3241" s="11"/>
      <c r="AW3241" s="11"/>
      <c r="BB3241" s="9"/>
      <c r="BC3241" s="11"/>
      <c r="BF3241" s="9"/>
      <c r="CH3241" s="9"/>
    </row>
    <row r="3242" spans="6:92" x14ac:dyDescent="0.25">
      <c r="F3242" s="9"/>
      <c r="G3242" s="9"/>
      <c r="AA3242" s="10"/>
      <c r="AV3242" s="11"/>
      <c r="AW3242" s="11"/>
      <c r="BB3242" s="9"/>
      <c r="BC3242" s="11"/>
      <c r="BF3242" s="9"/>
      <c r="CF3242" s="12"/>
      <c r="CH3242" s="9"/>
    </row>
    <row r="3243" spans="6:92" x14ac:dyDescent="0.25">
      <c r="F3243" s="9"/>
      <c r="G3243" s="9"/>
      <c r="AA3243" s="10"/>
      <c r="AV3243" s="11"/>
      <c r="AW3243" s="11"/>
      <c r="BB3243" s="9"/>
      <c r="BC3243" s="11"/>
      <c r="BF3243" s="9"/>
      <c r="CF3243" s="12"/>
      <c r="CH3243" s="9"/>
    </row>
    <row r="3244" spans="6:92" x14ac:dyDescent="0.25">
      <c r="F3244" s="9"/>
      <c r="G3244" s="9"/>
      <c r="AA3244" s="10"/>
      <c r="AV3244" s="11"/>
      <c r="AW3244" s="11"/>
      <c r="BB3244" s="9"/>
      <c r="BC3244" s="11"/>
      <c r="BF3244" s="9"/>
      <c r="CF3244" s="12"/>
      <c r="CH3244" s="9"/>
    </row>
    <row r="3245" spans="6:92" x14ac:dyDescent="0.25">
      <c r="F3245" s="9"/>
      <c r="G3245" s="9"/>
      <c r="AA3245" s="10"/>
      <c r="AV3245" s="11"/>
      <c r="AW3245" s="11"/>
      <c r="BB3245" s="9"/>
      <c r="BC3245" s="11"/>
      <c r="BF3245" s="9"/>
      <c r="CF3245" s="12"/>
      <c r="CH3245" s="9"/>
    </row>
    <row r="3246" spans="6:92" x14ac:dyDescent="0.25">
      <c r="F3246" s="9"/>
      <c r="G3246" s="9"/>
      <c r="U3246" s="12"/>
      <c r="Z3246" s="12"/>
      <c r="AA3246" s="10"/>
      <c r="AV3246" s="11"/>
      <c r="AW3246" s="11"/>
      <c r="BB3246" s="9"/>
      <c r="BC3246" s="11"/>
      <c r="BF3246" s="9"/>
      <c r="CF3246" s="12"/>
      <c r="CH3246" s="9"/>
      <c r="CN3246" s="12"/>
    </row>
    <row r="3247" spans="6:92" x14ac:dyDescent="0.25">
      <c r="F3247" s="9"/>
      <c r="G3247" s="9"/>
      <c r="AA3247" s="10"/>
      <c r="AV3247" s="11"/>
      <c r="AW3247" s="11"/>
      <c r="BB3247" s="9"/>
      <c r="BC3247" s="11"/>
      <c r="BF3247" s="9"/>
      <c r="CF3247" s="12"/>
      <c r="CH3247" s="9"/>
    </row>
    <row r="3248" spans="6:92" x14ac:dyDescent="0.25">
      <c r="F3248" s="9"/>
      <c r="G3248" s="9"/>
      <c r="AA3248" s="10"/>
      <c r="AV3248" s="11"/>
      <c r="AW3248" s="11"/>
      <c r="BB3248" s="9"/>
      <c r="BC3248" s="11"/>
      <c r="BF3248" s="9"/>
      <c r="CH3248" s="9"/>
    </row>
    <row r="3249" spans="6:86" x14ac:dyDescent="0.25">
      <c r="F3249" s="9"/>
      <c r="G3249" s="9"/>
      <c r="AA3249" s="10"/>
      <c r="AV3249" s="11"/>
      <c r="AW3249" s="11"/>
      <c r="BB3249" s="9"/>
      <c r="BC3249" s="11"/>
      <c r="BF3249" s="9"/>
      <c r="CH3249" s="9"/>
    </row>
    <row r="3250" spans="6:86" x14ac:dyDescent="0.25">
      <c r="F3250" s="9"/>
      <c r="G3250" s="9"/>
      <c r="AA3250" s="10"/>
      <c r="AV3250" s="11"/>
      <c r="AW3250" s="11"/>
      <c r="BB3250" s="9"/>
      <c r="BC3250" s="11"/>
      <c r="BF3250" s="9"/>
      <c r="CH3250" s="9"/>
    </row>
    <row r="3251" spans="6:86" x14ac:dyDescent="0.25">
      <c r="F3251" s="9"/>
      <c r="G3251" s="9"/>
      <c r="AA3251" s="10"/>
      <c r="AV3251" s="11"/>
      <c r="AW3251" s="11"/>
      <c r="BB3251" s="9"/>
      <c r="BC3251" s="11"/>
      <c r="BF3251" s="9"/>
      <c r="CF3251" s="12"/>
      <c r="CH3251" s="9"/>
    </row>
    <row r="3252" spans="6:86" x14ac:dyDescent="0.25">
      <c r="F3252" s="9"/>
      <c r="G3252" s="9"/>
      <c r="AA3252" s="10"/>
      <c r="AV3252" s="11"/>
      <c r="AW3252" s="11"/>
      <c r="BB3252" s="9"/>
      <c r="BC3252" s="11"/>
      <c r="BF3252" s="9"/>
      <c r="CF3252" s="12"/>
      <c r="CH3252" s="9"/>
    </row>
    <row r="3253" spans="6:86" x14ac:dyDescent="0.25">
      <c r="F3253" s="9"/>
      <c r="G3253" s="9"/>
      <c r="AA3253" s="10"/>
      <c r="AV3253" s="11"/>
      <c r="AW3253" s="11"/>
      <c r="BB3253" s="9"/>
      <c r="BC3253" s="11"/>
      <c r="BF3253" s="9"/>
      <c r="CF3253" s="12"/>
      <c r="CH3253" s="9"/>
    </row>
    <row r="3254" spans="6:86" x14ac:dyDescent="0.25">
      <c r="F3254" s="9"/>
      <c r="G3254" s="9"/>
      <c r="AA3254" s="10"/>
      <c r="AV3254" s="11"/>
      <c r="AW3254" s="11"/>
      <c r="BB3254" s="9"/>
      <c r="BC3254" s="11"/>
      <c r="BF3254" s="9"/>
      <c r="CF3254" s="12"/>
      <c r="CH3254" s="9"/>
    </row>
    <row r="3255" spans="6:86" x14ac:dyDescent="0.25">
      <c r="F3255" s="9"/>
      <c r="G3255" s="9"/>
      <c r="AA3255" s="10"/>
      <c r="AV3255" s="11"/>
      <c r="AW3255" s="11"/>
      <c r="BB3255" s="9"/>
      <c r="BC3255" s="11"/>
      <c r="BF3255" s="9"/>
      <c r="CF3255" s="12"/>
      <c r="CH3255" s="9"/>
    </row>
    <row r="3256" spans="6:86" x14ac:dyDescent="0.25">
      <c r="F3256" s="9"/>
      <c r="G3256" s="9"/>
      <c r="AA3256" s="10"/>
      <c r="AV3256" s="11"/>
      <c r="AW3256" s="11"/>
      <c r="BB3256" s="9"/>
      <c r="BC3256" s="11"/>
      <c r="BF3256" s="9"/>
      <c r="CF3256" s="12"/>
      <c r="CH3256" s="9"/>
    </row>
    <row r="3257" spans="6:86" x14ac:dyDescent="0.25">
      <c r="F3257" s="9"/>
      <c r="G3257" s="9"/>
      <c r="AA3257" s="10"/>
      <c r="AV3257" s="11"/>
      <c r="AW3257" s="11"/>
      <c r="BB3257" s="9"/>
      <c r="BC3257" s="11"/>
      <c r="BF3257" s="9"/>
      <c r="CF3257" s="12"/>
      <c r="CH3257" s="9"/>
    </row>
    <row r="3258" spans="6:86" x14ac:dyDescent="0.25">
      <c r="F3258" s="9"/>
      <c r="G3258" s="9"/>
      <c r="AA3258" s="10"/>
      <c r="AV3258" s="11"/>
      <c r="AW3258" s="11"/>
      <c r="BB3258" s="9"/>
      <c r="BC3258" s="11"/>
      <c r="BF3258" s="9"/>
      <c r="CF3258" s="12"/>
      <c r="CH3258" s="9"/>
    </row>
    <row r="3259" spans="6:86" x14ac:dyDescent="0.25">
      <c r="F3259" s="9"/>
      <c r="G3259" s="9"/>
      <c r="AA3259" s="10"/>
      <c r="AV3259" s="11"/>
      <c r="AW3259" s="11"/>
      <c r="BB3259" s="9"/>
      <c r="BC3259" s="11"/>
      <c r="BF3259" s="9"/>
      <c r="CF3259" s="12"/>
      <c r="CH3259" s="9"/>
    </row>
    <row r="3260" spans="6:86" x14ac:dyDescent="0.25">
      <c r="F3260" s="9"/>
      <c r="G3260" s="9"/>
      <c r="AA3260" s="10"/>
      <c r="AV3260" s="11"/>
      <c r="AW3260" s="11"/>
      <c r="BB3260" s="9"/>
      <c r="BC3260" s="11"/>
      <c r="BF3260" s="9"/>
      <c r="CF3260" s="12"/>
      <c r="CH3260" s="9"/>
    </row>
    <row r="3261" spans="6:86" x14ac:dyDescent="0.25">
      <c r="F3261" s="9"/>
      <c r="G3261" s="9"/>
      <c r="AA3261" s="10"/>
      <c r="AV3261" s="11"/>
      <c r="AW3261" s="11"/>
      <c r="BB3261" s="9"/>
      <c r="BC3261" s="11"/>
      <c r="BF3261" s="9"/>
      <c r="CF3261" s="12"/>
      <c r="CH3261" s="9"/>
    </row>
    <row r="3262" spans="6:86" x14ac:dyDescent="0.25">
      <c r="F3262" s="9"/>
      <c r="G3262" s="9"/>
      <c r="AA3262" s="10"/>
      <c r="AV3262" s="11"/>
      <c r="AW3262" s="11"/>
      <c r="BB3262" s="9"/>
      <c r="BC3262" s="11"/>
      <c r="BF3262" s="9"/>
      <c r="CF3262" s="12"/>
      <c r="CH3262" s="9"/>
    </row>
    <row r="3263" spans="6:86" x14ac:dyDescent="0.25">
      <c r="F3263" s="9"/>
      <c r="G3263" s="9"/>
      <c r="AA3263" s="10"/>
      <c r="AV3263" s="11"/>
      <c r="AW3263" s="11"/>
      <c r="BB3263" s="9"/>
      <c r="BC3263" s="11"/>
      <c r="BF3263" s="9"/>
      <c r="CH3263" s="9"/>
    </row>
    <row r="3264" spans="6:86" x14ac:dyDescent="0.25">
      <c r="F3264" s="9"/>
      <c r="G3264" s="9"/>
      <c r="AA3264" s="10"/>
      <c r="AV3264" s="11"/>
      <c r="AW3264" s="11"/>
      <c r="BB3264" s="9"/>
      <c r="BC3264" s="11"/>
      <c r="BF3264" s="9"/>
      <c r="CF3264" s="12"/>
      <c r="CH3264" s="9"/>
    </row>
    <row r="3265" spans="6:86" x14ac:dyDescent="0.25">
      <c r="F3265" s="9"/>
      <c r="G3265" s="9"/>
      <c r="AA3265" s="10"/>
      <c r="AV3265" s="11"/>
      <c r="AW3265" s="11"/>
      <c r="BB3265" s="9"/>
      <c r="BC3265" s="11"/>
      <c r="BF3265" s="9"/>
      <c r="CF3265" s="12"/>
      <c r="CH3265" s="9"/>
    </row>
    <row r="3266" spans="6:86" x14ac:dyDescent="0.25">
      <c r="F3266" s="9"/>
      <c r="G3266" s="9"/>
      <c r="AA3266" s="10"/>
      <c r="AV3266" s="11"/>
      <c r="AW3266" s="11"/>
      <c r="BB3266" s="9"/>
      <c r="BC3266" s="11"/>
      <c r="BF3266" s="9"/>
      <c r="CF3266" s="12"/>
      <c r="CH3266" s="9"/>
    </row>
    <row r="3267" spans="6:86" x14ac:dyDescent="0.25">
      <c r="F3267" s="9"/>
      <c r="G3267" s="9"/>
      <c r="AA3267" s="10"/>
      <c r="AV3267" s="11"/>
      <c r="AW3267" s="11"/>
      <c r="BB3267" s="9"/>
      <c r="BC3267" s="11"/>
      <c r="BF3267" s="9"/>
      <c r="CF3267" s="12"/>
      <c r="CH3267" s="9"/>
    </row>
    <row r="3268" spans="6:86" x14ac:dyDescent="0.25">
      <c r="F3268" s="9"/>
      <c r="G3268" s="9"/>
      <c r="AA3268" s="10"/>
      <c r="AV3268" s="11"/>
      <c r="AW3268" s="11"/>
      <c r="BB3268" s="9"/>
      <c r="BC3268" s="11"/>
      <c r="BF3268" s="9"/>
      <c r="CF3268" s="12"/>
      <c r="CH3268" s="9"/>
    </row>
    <row r="3269" spans="6:86" x14ac:dyDescent="0.25">
      <c r="F3269" s="9"/>
      <c r="G3269" s="9"/>
      <c r="AA3269" s="10"/>
      <c r="AV3269" s="11"/>
      <c r="AW3269" s="11"/>
      <c r="BB3269" s="9"/>
      <c r="BC3269" s="11"/>
      <c r="BF3269" s="9"/>
      <c r="CF3269" s="12"/>
      <c r="CH3269" s="9"/>
    </row>
    <row r="3270" spans="6:86" x14ac:dyDescent="0.25">
      <c r="F3270" s="9"/>
      <c r="G3270" s="9"/>
      <c r="AA3270" s="10"/>
      <c r="AV3270" s="11"/>
      <c r="AW3270" s="11"/>
      <c r="BB3270" s="9"/>
      <c r="BC3270" s="11"/>
      <c r="BF3270" s="9"/>
      <c r="CH3270" s="9"/>
    </row>
    <row r="3271" spans="6:86" x14ac:dyDescent="0.25">
      <c r="F3271" s="9"/>
      <c r="G3271" s="9"/>
      <c r="AA3271" s="10"/>
      <c r="AV3271" s="11"/>
      <c r="AW3271" s="11"/>
      <c r="BB3271" s="9"/>
      <c r="BC3271" s="11"/>
      <c r="BF3271" s="9"/>
      <c r="CH3271" s="9"/>
    </row>
    <row r="3272" spans="6:86" x14ac:dyDescent="0.25">
      <c r="F3272" s="9"/>
      <c r="G3272" s="9"/>
      <c r="AA3272" s="10"/>
      <c r="AV3272" s="11"/>
      <c r="AW3272" s="11"/>
      <c r="BB3272" s="9"/>
      <c r="BC3272" s="11"/>
      <c r="BF3272" s="9"/>
      <c r="CF3272" s="12"/>
      <c r="CH3272" s="9"/>
    </row>
    <row r="3273" spans="6:86" x14ac:dyDescent="0.25">
      <c r="F3273" s="9"/>
      <c r="G3273" s="9"/>
      <c r="AA3273" s="10"/>
      <c r="AV3273" s="11"/>
      <c r="AW3273" s="11"/>
      <c r="BB3273" s="9"/>
      <c r="BC3273" s="11"/>
      <c r="BF3273" s="9"/>
      <c r="CF3273" s="12"/>
      <c r="CH3273" s="9"/>
    </row>
    <row r="3274" spans="6:86" x14ac:dyDescent="0.25">
      <c r="F3274" s="9"/>
      <c r="G3274" s="9"/>
      <c r="AA3274" s="10"/>
      <c r="AV3274" s="11"/>
      <c r="AW3274" s="11"/>
      <c r="BB3274" s="9"/>
      <c r="BC3274" s="11"/>
      <c r="BF3274" s="9"/>
      <c r="CH3274" s="9"/>
    </row>
    <row r="3275" spans="6:86" x14ac:dyDescent="0.25">
      <c r="F3275" s="9"/>
      <c r="G3275" s="9"/>
      <c r="AA3275" s="10"/>
      <c r="AV3275" s="11"/>
      <c r="AW3275" s="11"/>
      <c r="BB3275" s="9"/>
      <c r="BC3275" s="11"/>
      <c r="BF3275" s="9"/>
      <c r="CF3275" s="12"/>
      <c r="CH3275" s="9"/>
    </row>
    <row r="3276" spans="6:86" x14ac:dyDescent="0.25">
      <c r="F3276" s="9"/>
      <c r="G3276" s="9"/>
      <c r="AA3276" s="10"/>
      <c r="AV3276" s="11"/>
      <c r="AW3276" s="11"/>
      <c r="BB3276" s="9"/>
      <c r="BC3276" s="11"/>
      <c r="BF3276" s="9"/>
      <c r="CF3276" s="12"/>
      <c r="CH3276" s="9"/>
    </row>
    <row r="3277" spans="6:86" x14ac:dyDescent="0.25">
      <c r="F3277" s="9"/>
      <c r="G3277" s="9"/>
      <c r="AA3277" s="10"/>
      <c r="AV3277" s="11"/>
      <c r="AW3277" s="11"/>
      <c r="BB3277" s="9"/>
      <c r="BC3277" s="11"/>
      <c r="BF3277" s="9"/>
      <c r="CF3277" s="12"/>
      <c r="CH3277" s="9"/>
    </row>
    <row r="3278" spans="6:86" x14ac:dyDescent="0.25">
      <c r="F3278" s="9"/>
      <c r="G3278" s="9"/>
      <c r="U3278" s="12"/>
      <c r="Y3278" s="12"/>
      <c r="AA3278" s="10"/>
      <c r="AV3278" s="11"/>
      <c r="AW3278" s="11"/>
      <c r="BB3278" s="9"/>
      <c r="BC3278" s="11"/>
      <c r="BF3278" s="9"/>
      <c r="CH3278" s="9"/>
    </row>
    <row r="3279" spans="6:86" x14ac:dyDescent="0.25">
      <c r="F3279" s="9"/>
      <c r="G3279" s="9"/>
      <c r="AA3279" s="10"/>
      <c r="AV3279" s="11"/>
      <c r="AW3279" s="11"/>
      <c r="BB3279" s="9"/>
      <c r="BC3279" s="11"/>
      <c r="BF3279" s="9"/>
      <c r="CF3279" s="12"/>
      <c r="CH3279" s="9"/>
    </row>
    <row r="3280" spans="6:86" x14ac:dyDescent="0.25">
      <c r="F3280" s="9"/>
      <c r="G3280" s="9"/>
      <c r="AA3280" s="10"/>
      <c r="AV3280" s="11"/>
      <c r="AW3280" s="11"/>
      <c r="BB3280" s="9"/>
      <c r="BC3280" s="11"/>
      <c r="BF3280" s="9"/>
      <c r="CF3280" s="12"/>
      <c r="CH3280" s="9"/>
    </row>
    <row r="3281" spans="6:86" x14ac:dyDescent="0.25">
      <c r="F3281" s="9"/>
      <c r="G3281" s="9"/>
      <c r="AA3281" s="10"/>
      <c r="AV3281" s="11"/>
      <c r="AW3281" s="11"/>
      <c r="BB3281" s="9"/>
      <c r="BC3281" s="11"/>
      <c r="BF3281" s="9"/>
      <c r="CF3281" s="12"/>
      <c r="CH3281" s="9"/>
    </row>
    <row r="3282" spans="6:86" x14ac:dyDescent="0.25">
      <c r="F3282" s="9"/>
      <c r="G3282" s="9"/>
      <c r="AA3282" s="10"/>
      <c r="AV3282" s="11"/>
      <c r="AW3282" s="11"/>
      <c r="BB3282" s="9"/>
      <c r="BC3282" s="11"/>
      <c r="BF3282" s="9"/>
      <c r="CF3282" s="12"/>
      <c r="CH3282" s="9"/>
    </row>
    <row r="3283" spans="6:86" x14ac:dyDescent="0.25">
      <c r="F3283" s="9"/>
      <c r="G3283" s="9"/>
      <c r="U3283" s="12"/>
      <c r="AA3283" s="10"/>
      <c r="AV3283" s="11"/>
      <c r="AW3283" s="11"/>
      <c r="BB3283" s="9"/>
      <c r="BC3283" s="11"/>
      <c r="BF3283" s="9"/>
      <c r="CF3283" s="12"/>
      <c r="CH3283" s="9"/>
    </row>
    <row r="3284" spans="6:86" x14ac:dyDescent="0.25">
      <c r="F3284" s="9"/>
      <c r="G3284" s="9"/>
      <c r="AA3284" s="10"/>
      <c r="AV3284" s="11"/>
      <c r="AW3284" s="11"/>
      <c r="BB3284" s="9"/>
      <c r="BC3284" s="11"/>
      <c r="BF3284" s="9"/>
      <c r="CF3284" s="12"/>
      <c r="CH3284" s="9"/>
    </row>
    <row r="3285" spans="6:86" x14ac:dyDescent="0.25">
      <c r="F3285" s="9"/>
      <c r="G3285" s="9"/>
      <c r="AA3285" s="10"/>
      <c r="AV3285" s="11"/>
      <c r="AW3285" s="11"/>
      <c r="BB3285" s="9"/>
      <c r="BC3285" s="11"/>
      <c r="BF3285" s="9"/>
      <c r="CF3285" s="12"/>
      <c r="CH3285" s="9"/>
    </row>
    <row r="3286" spans="6:86" x14ac:dyDescent="0.25">
      <c r="F3286" s="9"/>
      <c r="G3286" s="9"/>
      <c r="AA3286" s="10"/>
      <c r="AV3286" s="11"/>
      <c r="AW3286" s="11"/>
      <c r="BB3286" s="9"/>
      <c r="BC3286" s="11"/>
      <c r="BF3286" s="9"/>
      <c r="CF3286" s="12"/>
      <c r="CH3286" s="9"/>
    </row>
    <row r="3287" spans="6:86" x14ac:dyDescent="0.25">
      <c r="F3287" s="9"/>
      <c r="G3287" s="9"/>
      <c r="AA3287" s="10"/>
      <c r="AV3287" s="11"/>
      <c r="AW3287" s="11"/>
      <c r="BB3287" s="9"/>
      <c r="BC3287" s="11"/>
      <c r="BF3287" s="9"/>
      <c r="CF3287" s="12"/>
      <c r="CH3287" s="9"/>
    </row>
    <row r="3288" spans="6:86" x14ac:dyDescent="0.25">
      <c r="F3288" s="9"/>
      <c r="G3288" s="9"/>
      <c r="AA3288" s="10"/>
      <c r="AV3288" s="11"/>
      <c r="AW3288" s="11"/>
      <c r="BB3288" s="9"/>
      <c r="BC3288" s="11"/>
      <c r="BF3288" s="9"/>
      <c r="CF3288" s="12"/>
      <c r="CH3288" s="9"/>
    </row>
    <row r="3289" spans="6:86" x14ac:dyDescent="0.25">
      <c r="F3289" s="9"/>
      <c r="G3289" s="9"/>
      <c r="AA3289" s="10"/>
      <c r="AV3289" s="11"/>
      <c r="AW3289" s="11"/>
      <c r="BB3289" s="9"/>
      <c r="BC3289" s="11"/>
      <c r="BF3289" s="9"/>
      <c r="CF3289" s="12"/>
      <c r="CH3289" s="9"/>
    </row>
    <row r="3290" spans="6:86" x14ac:dyDescent="0.25">
      <c r="F3290" s="9"/>
      <c r="G3290" s="9"/>
      <c r="AA3290" s="10"/>
      <c r="AV3290" s="11"/>
      <c r="AW3290" s="11"/>
      <c r="BB3290" s="9"/>
      <c r="BC3290" s="11"/>
      <c r="BF3290" s="9"/>
      <c r="CF3290" s="12"/>
      <c r="CH3290" s="9"/>
    </row>
    <row r="3291" spans="6:86" x14ac:dyDescent="0.25">
      <c r="F3291" s="9"/>
      <c r="G3291" s="9"/>
      <c r="AA3291" s="10"/>
      <c r="AV3291" s="11"/>
      <c r="AW3291" s="11"/>
      <c r="BB3291" s="9"/>
      <c r="BC3291" s="11"/>
      <c r="BF3291" s="9"/>
      <c r="CF3291" s="12"/>
      <c r="CH3291" s="9"/>
    </row>
    <row r="3292" spans="6:86" x14ac:dyDescent="0.25">
      <c r="F3292" s="9"/>
      <c r="G3292" s="9"/>
      <c r="AA3292" s="10"/>
      <c r="AV3292" s="11"/>
      <c r="AW3292" s="11"/>
      <c r="BB3292" s="9"/>
      <c r="BC3292" s="11"/>
      <c r="BF3292" s="9"/>
      <c r="CF3292" s="12"/>
      <c r="CH3292" s="9"/>
    </row>
    <row r="3293" spans="6:86" x14ac:dyDescent="0.25">
      <c r="F3293" s="9"/>
      <c r="G3293" s="9"/>
      <c r="AA3293" s="10"/>
      <c r="AV3293" s="11"/>
      <c r="AW3293" s="11"/>
      <c r="BB3293" s="9"/>
      <c r="BC3293" s="11"/>
      <c r="BF3293" s="9"/>
      <c r="CF3293" s="12"/>
      <c r="CH3293" s="9"/>
    </row>
    <row r="3294" spans="6:86" x14ac:dyDescent="0.25">
      <c r="F3294" s="9"/>
      <c r="G3294" s="9"/>
      <c r="AA3294" s="10"/>
      <c r="AV3294" s="11"/>
      <c r="AW3294" s="11"/>
      <c r="BB3294" s="9"/>
      <c r="BC3294" s="11"/>
      <c r="BF3294" s="9"/>
      <c r="CF3294" s="12"/>
      <c r="CH3294" s="9"/>
    </row>
    <row r="3295" spans="6:86" x14ac:dyDescent="0.25">
      <c r="F3295" s="9"/>
      <c r="G3295" s="9"/>
      <c r="AA3295" s="10"/>
      <c r="AV3295" s="11"/>
      <c r="AW3295" s="11"/>
      <c r="BB3295" s="9"/>
      <c r="BC3295" s="11"/>
      <c r="BF3295" s="9"/>
      <c r="CF3295" s="12"/>
      <c r="CH3295" s="9"/>
    </row>
    <row r="3296" spans="6:86" x14ac:dyDescent="0.25">
      <c r="F3296" s="9"/>
      <c r="G3296" s="9"/>
      <c r="U3296" s="12"/>
      <c r="AA3296" s="10"/>
      <c r="AV3296" s="11"/>
      <c r="AW3296" s="11"/>
      <c r="BB3296" s="9"/>
      <c r="BC3296" s="11"/>
      <c r="BF3296" s="9"/>
      <c r="CF3296" s="12"/>
      <c r="CH3296" s="9"/>
    </row>
    <row r="3297" spans="6:92" x14ac:dyDescent="0.25">
      <c r="F3297" s="9"/>
      <c r="G3297" s="9"/>
      <c r="AA3297" s="10"/>
      <c r="AV3297" s="11"/>
      <c r="AW3297" s="11"/>
      <c r="BB3297" s="9"/>
      <c r="BC3297" s="11"/>
      <c r="BF3297" s="9"/>
      <c r="CF3297" s="12"/>
      <c r="CH3297" s="9"/>
    </row>
    <row r="3298" spans="6:92" x14ac:dyDescent="0.25">
      <c r="F3298" s="9"/>
      <c r="G3298" s="9"/>
      <c r="AA3298" s="10"/>
      <c r="AV3298" s="11"/>
      <c r="AW3298" s="11"/>
      <c r="BB3298" s="9"/>
      <c r="BC3298" s="11"/>
      <c r="BF3298" s="9"/>
      <c r="CF3298" s="12"/>
      <c r="CH3298" s="9"/>
    </row>
    <row r="3299" spans="6:92" x14ac:dyDescent="0.25">
      <c r="F3299" s="9"/>
      <c r="G3299" s="9"/>
      <c r="AA3299" s="10"/>
      <c r="AV3299" s="11"/>
      <c r="AW3299" s="11"/>
      <c r="BB3299" s="9"/>
      <c r="BC3299" s="11"/>
      <c r="BF3299" s="9"/>
      <c r="CF3299" s="12"/>
      <c r="CH3299" s="9"/>
    </row>
    <row r="3300" spans="6:92" x14ac:dyDescent="0.25">
      <c r="F3300" s="9"/>
      <c r="G3300" s="9"/>
      <c r="U3300" s="12"/>
      <c r="Y3300" s="12"/>
      <c r="AA3300" s="10"/>
      <c r="AV3300" s="11"/>
      <c r="AW3300" s="11"/>
      <c r="BB3300" s="9"/>
      <c r="BC3300" s="11"/>
      <c r="BF3300" s="9"/>
      <c r="CF3300" s="12"/>
      <c r="CH3300" s="9"/>
      <c r="CN3300" s="12"/>
    </row>
    <row r="3301" spans="6:92" x14ac:dyDescent="0.25">
      <c r="F3301" s="9"/>
      <c r="G3301" s="9"/>
      <c r="AA3301" s="10"/>
      <c r="AV3301" s="11"/>
      <c r="AW3301" s="11"/>
      <c r="BB3301" s="9"/>
      <c r="BC3301" s="11"/>
      <c r="BF3301" s="9"/>
      <c r="CH3301" s="9"/>
    </row>
    <row r="3302" spans="6:92" x14ac:dyDescent="0.25">
      <c r="F3302" s="9"/>
      <c r="G3302" s="9"/>
      <c r="AA3302" s="10"/>
      <c r="AV3302" s="11"/>
      <c r="AW3302" s="11"/>
      <c r="BB3302" s="9"/>
      <c r="BC3302" s="11"/>
      <c r="BF3302" s="9"/>
      <c r="CF3302" s="12"/>
      <c r="CH3302" s="9"/>
    </row>
    <row r="3303" spans="6:92" x14ac:dyDescent="0.25">
      <c r="F3303" s="9"/>
      <c r="G3303" s="9"/>
      <c r="AA3303" s="10"/>
      <c r="AV3303" s="11"/>
      <c r="AW3303" s="11"/>
      <c r="BB3303" s="9"/>
      <c r="BC3303" s="11"/>
      <c r="BF3303" s="9"/>
      <c r="CF3303" s="12"/>
      <c r="CH3303" s="9"/>
    </row>
    <row r="3304" spans="6:92" x14ac:dyDescent="0.25">
      <c r="F3304" s="9"/>
      <c r="G3304" s="9"/>
      <c r="AA3304" s="10"/>
      <c r="AV3304" s="11"/>
      <c r="AW3304" s="11"/>
      <c r="BB3304" s="9"/>
      <c r="BC3304" s="11"/>
      <c r="BF3304" s="9"/>
      <c r="CH3304" s="9"/>
    </row>
    <row r="3305" spans="6:92" x14ac:dyDescent="0.25">
      <c r="F3305" s="9"/>
      <c r="G3305" s="9"/>
      <c r="AA3305" s="10"/>
      <c r="AV3305" s="11"/>
      <c r="AW3305" s="11"/>
      <c r="BB3305" s="9"/>
      <c r="BC3305" s="11"/>
      <c r="BF3305" s="9"/>
      <c r="CH3305" s="9"/>
    </row>
    <row r="3306" spans="6:92" x14ac:dyDescent="0.25">
      <c r="F3306" s="9"/>
      <c r="G3306" s="9"/>
      <c r="AA3306" s="10"/>
      <c r="AV3306" s="11"/>
      <c r="AW3306" s="11"/>
      <c r="BB3306" s="9"/>
      <c r="BC3306" s="11"/>
      <c r="BF3306" s="9"/>
      <c r="CH3306" s="9"/>
    </row>
    <row r="3307" spans="6:92" x14ac:dyDescent="0.25">
      <c r="F3307" s="9"/>
      <c r="G3307" s="9"/>
      <c r="AA3307" s="10"/>
      <c r="AV3307" s="11"/>
      <c r="AW3307" s="11"/>
      <c r="BB3307" s="9"/>
      <c r="BC3307" s="11"/>
      <c r="BF3307" s="9"/>
      <c r="CH3307" s="9"/>
    </row>
    <row r="3308" spans="6:92" x14ac:dyDescent="0.25">
      <c r="F3308" s="9"/>
      <c r="G3308" s="9"/>
      <c r="AA3308" s="10"/>
      <c r="AV3308" s="11"/>
      <c r="AW3308" s="11"/>
      <c r="BB3308" s="9"/>
      <c r="BC3308" s="11"/>
      <c r="BF3308" s="9"/>
      <c r="CF3308" s="12"/>
      <c r="CH3308" s="9"/>
    </row>
    <row r="3309" spans="6:92" x14ac:dyDescent="0.25">
      <c r="F3309" s="9"/>
      <c r="G3309" s="9"/>
      <c r="AA3309" s="10"/>
      <c r="AV3309" s="11"/>
      <c r="AW3309" s="11"/>
      <c r="BB3309" s="9"/>
      <c r="BC3309" s="11"/>
      <c r="BF3309" s="9"/>
      <c r="CF3309" s="12"/>
      <c r="CH3309" s="9"/>
    </row>
    <row r="3310" spans="6:92" x14ac:dyDescent="0.25">
      <c r="F3310" s="9"/>
      <c r="G3310" s="9"/>
      <c r="AA3310" s="10"/>
      <c r="AV3310" s="11"/>
      <c r="AW3310" s="11"/>
      <c r="BB3310" s="9"/>
      <c r="BC3310" s="11"/>
      <c r="BF3310" s="9"/>
      <c r="CF3310" s="12"/>
      <c r="CH3310" s="9"/>
    </row>
    <row r="3311" spans="6:92" x14ac:dyDescent="0.25">
      <c r="F3311" s="9"/>
      <c r="G3311" s="9"/>
      <c r="AA3311" s="10"/>
      <c r="AV3311" s="11"/>
      <c r="AW3311" s="11"/>
      <c r="BB3311" s="9"/>
      <c r="BC3311" s="11"/>
      <c r="BF3311" s="9"/>
      <c r="CF3311" s="12"/>
      <c r="CH3311" s="9"/>
    </row>
    <row r="3312" spans="6:92" x14ac:dyDescent="0.25">
      <c r="F3312" s="9"/>
      <c r="G3312" s="9"/>
      <c r="AA3312" s="10"/>
      <c r="AV3312" s="11"/>
      <c r="AW3312" s="11"/>
      <c r="BB3312" s="9"/>
      <c r="BC3312" s="11"/>
      <c r="BF3312" s="9"/>
      <c r="CF3312" s="12"/>
      <c r="CH3312" s="9"/>
    </row>
    <row r="3313" spans="6:86" x14ac:dyDescent="0.25">
      <c r="F3313" s="9"/>
      <c r="G3313" s="9"/>
      <c r="AA3313" s="10"/>
      <c r="AV3313" s="11"/>
      <c r="AW3313" s="11"/>
      <c r="BB3313" s="9"/>
      <c r="BC3313" s="11"/>
      <c r="BF3313" s="9"/>
      <c r="CF3313" s="12"/>
      <c r="CH3313" s="9"/>
    </row>
    <row r="3314" spans="6:86" x14ac:dyDescent="0.25">
      <c r="F3314" s="9"/>
      <c r="G3314" s="9"/>
      <c r="AA3314" s="10"/>
      <c r="AV3314" s="11"/>
      <c r="AW3314" s="11"/>
      <c r="BB3314" s="9"/>
      <c r="BC3314" s="11"/>
      <c r="BF3314" s="9"/>
      <c r="CF3314" s="12"/>
      <c r="CH3314" s="9"/>
    </row>
    <row r="3315" spans="6:86" x14ac:dyDescent="0.25">
      <c r="F3315" s="9"/>
      <c r="G3315" s="9"/>
      <c r="AA3315" s="10"/>
      <c r="AV3315" s="11"/>
      <c r="AW3315" s="11"/>
      <c r="BB3315" s="9"/>
      <c r="BC3315" s="11"/>
      <c r="BF3315" s="9"/>
      <c r="CF3315" s="12"/>
      <c r="CH3315" s="9"/>
    </row>
    <row r="3316" spans="6:86" x14ac:dyDescent="0.25">
      <c r="F3316" s="9"/>
      <c r="G3316" s="9"/>
      <c r="AA3316" s="10"/>
      <c r="AV3316" s="11"/>
      <c r="AW3316" s="11"/>
      <c r="BB3316" s="9"/>
      <c r="BC3316" s="11"/>
      <c r="BF3316" s="9"/>
      <c r="CH3316" s="9"/>
    </row>
    <row r="3317" spans="6:86" x14ac:dyDescent="0.25">
      <c r="F3317" s="9"/>
      <c r="G3317" s="9"/>
      <c r="AA3317" s="10"/>
      <c r="AV3317" s="11"/>
      <c r="AW3317" s="11"/>
      <c r="BB3317" s="9"/>
      <c r="BC3317" s="11"/>
      <c r="BF3317" s="9"/>
      <c r="CH3317" s="9"/>
    </row>
    <row r="3318" spans="6:86" x14ac:dyDescent="0.25">
      <c r="F3318" s="9"/>
      <c r="G3318" s="9"/>
      <c r="AA3318" s="10"/>
      <c r="AV3318" s="11"/>
      <c r="AW3318" s="11"/>
      <c r="BB3318" s="9"/>
      <c r="BC3318" s="11"/>
      <c r="BF3318" s="9"/>
      <c r="CF3318" s="12"/>
      <c r="CH3318" s="9"/>
    </row>
    <row r="3319" spans="6:86" x14ac:dyDescent="0.25">
      <c r="F3319" s="9"/>
      <c r="G3319" s="9"/>
      <c r="AA3319" s="10"/>
      <c r="AV3319" s="11"/>
      <c r="AW3319" s="11"/>
      <c r="BB3319" s="9"/>
      <c r="BC3319" s="11"/>
      <c r="BF3319" s="9"/>
      <c r="CF3319" s="12"/>
      <c r="CH3319" s="9"/>
    </row>
    <row r="3320" spans="6:86" x14ac:dyDescent="0.25">
      <c r="F3320" s="9"/>
      <c r="G3320" s="9"/>
      <c r="AA3320" s="10"/>
      <c r="AV3320" s="11"/>
      <c r="AW3320" s="11"/>
      <c r="BB3320" s="9"/>
      <c r="BC3320" s="11"/>
      <c r="BF3320" s="9"/>
      <c r="CF3320" s="12"/>
      <c r="CH3320" s="9"/>
    </row>
    <row r="3321" spans="6:86" x14ac:dyDescent="0.25">
      <c r="F3321" s="9"/>
      <c r="G3321" s="9"/>
      <c r="AA3321" s="10"/>
      <c r="AV3321" s="11"/>
      <c r="AW3321" s="11"/>
      <c r="BB3321" s="9"/>
      <c r="BC3321" s="11"/>
      <c r="BF3321" s="9"/>
      <c r="CF3321" s="12"/>
      <c r="CH3321" s="9"/>
    </row>
    <row r="3322" spans="6:86" x14ac:dyDescent="0.25">
      <c r="F3322" s="9"/>
      <c r="G3322" s="9"/>
      <c r="AA3322" s="10"/>
      <c r="AV3322" s="11"/>
      <c r="AW3322" s="11"/>
      <c r="BB3322" s="9"/>
      <c r="BC3322" s="11"/>
      <c r="BF3322" s="9"/>
      <c r="CF3322" s="12"/>
      <c r="CH3322" s="9"/>
    </row>
    <row r="3323" spans="6:86" x14ac:dyDescent="0.25">
      <c r="F3323" s="9"/>
      <c r="G3323" s="9"/>
      <c r="AA3323" s="10"/>
      <c r="AV3323" s="11"/>
      <c r="AW3323" s="11"/>
      <c r="BB3323" s="9"/>
      <c r="BC3323" s="11"/>
      <c r="BF3323" s="9"/>
      <c r="CF3323" s="12"/>
      <c r="CH3323" s="9"/>
    </row>
    <row r="3324" spans="6:86" x14ac:dyDescent="0.25">
      <c r="F3324" s="9"/>
      <c r="G3324" s="9"/>
      <c r="AA3324" s="10"/>
      <c r="AV3324" s="11"/>
      <c r="AW3324" s="11"/>
      <c r="BB3324" s="9"/>
      <c r="BC3324" s="11"/>
      <c r="BF3324" s="9"/>
      <c r="CF3324" s="12"/>
      <c r="CH3324" s="9"/>
    </row>
    <row r="3325" spans="6:86" x14ac:dyDescent="0.25">
      <c r="F3325" s="9"/>
      <c r="G3325" s="9"/>
      <c r="AA3325" s="10"/>
      <c r="AV3325" s="11"/>
      <c r="AW3325" s="11"/>
      <c r="BB3325" s="9"/>
      <c r="BC3325" s="11"/>
      <c r="BF3325" s="9"/>
      <c r="CF3325" s="12"/>
      <c r="CH3325" s="9"/>
    </row>
    <row r="3326" spans="6:86" x14ac:dyDescent="0.25">
      <c r="F3326" s="9"/>
      <c r="G3326" s="9"/>
      <c r="AA3326" s="10"/>
      <c r="AV3326" s="11"/>
      <c r="AW3326" s="11"/>
      <c r="BB3326" s="9"/>
      <c r="BC3326" s="11"/>
      <c r="BF3326" s="9"/>
      <c r="CF3326" s="12"/>
      <c r="CH3326" s="9"/>
    </row>
    <row r="3327" spans="6:86" x14ac:dyDescent="0.25">
      <c r="F3327" s="9"/>
      <c r="G3327" s="9"/>
      <c r="AA3327" s="10"/>
      <c r="AV3327" s="11"/>
      <c r="AW3327" s="11"/>
      <c r="BB3327" s="9"/>
      <c r="BC3327" s="11"/>
      <c r="BF3327" s="9"/>
      <c r="CF3327" s="12"/>
      <c r="CH3327" s="9"/>
    </row>
    <row r="3328" spans="6:86" x14ac:dyDescent="0.25">
      <c r="F3328" s="9"/>
      <c r="G3328" s="9"/>
      <c r="AA3328" s="10"/>
      <c r="AV3328" s="11"/>
      <c r="AW3328" s="11"/>
      <c r="BB3328" s="9"/>
      <c r="BC3328" s="11"/>
      <c r="BF3328" s="9"/>
      <c r="CF3328" s="12"/>
      <c r="CH3328" s="9"/>
    </row>
    <row r="3329" spans="6:86" x14ac:dyDescent="0.25">
      <c r="F3329" s="9"/>
      <c r="G3329" s="9"/>
      <c r="AA3329" s="10"/>
      <c r="AV3329" s="11"/>
      <c r="AW3329" s="11"/>
      <c r="BB3329" s="9"/>
      <c r="BC3329" s="11"/>
      <c r="BF3329" s="9"/>
      <c r="CF3329" s="12"/>
      <c r="CH3329" s="9"/>
    </row>
    <row r="3330" spans="6:86" x14ac:dyDescent="0.25">
      <c r="F3330" s="9"/>
      <c r="G3330" s="9"/>
      <c r="AA3330" s="10"/>
      <c r="AV3330" s="11"/>
      <c r="AW3330" s="11"/>
      <c r="BB3330" s="9"/>
      <c r="BC3330" s="11"/>
      <c r="BF3330" s="9"/>
      <c r="CF3330" s="12"/>
      <c r="CH3330" s="9"/>
    </row>
    <row r="3331" spans="6:86" x14ac:dyDescent="0.25">
      <c r="F3331" s="9"/>
      <c r="G3331" s="9"/>
      <c r="AA3331" s="10"/>
      <c r="AV3331" s="11"/>
      <c r="AW3331" s="11"/>
      <c r="BB3331" s="9"/>
      <c r="BC3331" s="11"/>
      <c r="BF3331" s="9"/>
      <c r="CF3331" s="12"/>
      <c r="CH3331" s="9"/>
    </row>
    <row r="3332" spans="6:86" x14ac:dyDescent="0.25">
      <c r="F3332" s="9"/>
      <c r="G3332" s="9"/>
      <c r="AA3332" s="10"/>
      <c r="AV3332" s="11"/>
      <c r="AW3332" s="11"/>
      <c r="BB3332" s="9"/>
      <c r="BC3332" s="11"/>
      <c r="BF3332" s="9"/>
      <c r="CF3332" s="12"/>
      <c r="CH3332" s="9"/>
    </row>
    <row r="3333" spans="6:86" x14ac:dyDescent="0.25">
      <c r="F3333" s="9"/>
      <c r="G3333" s="9"/>
      <c r="AA3333" s="10"/>
      <c r="AV3333" s="11"/>
      <c r="AW3333" s="11"/>
      <c r="BB3333" s="9"/>
      <c r="BC3333" s="11"/>
      <c r="BF3333" s="9"/>
      <c r="CF3333" s="12"/>
      <c r="CH3333" s="9"/>
    </row>
    <row r="3334" spans="6:86" x14ac:dyDescent="0.25">
      <c r="F3334" s="9"/>
      <c r="G3334" s="9"/>
      <c r="AA3334" s="10"/>
      <c r="AV3334" s="11"/>
      <c r="AW3334" s="11"/>
      <c r="BB3334" s="9"/>
      <c r="BC3334" s="11"/>
      <c r="BF3334" s="9"/>
      <c r="CF3334" s="12"/>
      <c r="CH3334" s="9"/>
    </row>
    <row r="3335" spans="6:86" x14ac:dyDescent="0.25">
      <c r="F3335" s="9"/>
      <c r="G3335" s="9"/>
      <c r="AA3335" s="10"/>
      <c r="AV3335" s="11"/>
      <c r="AW3335" s="11"/>
      <c r="BB3335" s="9"/>
      <c r="BC3335" s="11"/>
      <c r="BF3335" s="9"/>
      <c r="CF3335" s="12"/>
      <c r="CH3335" s="9"/>
    </row>
    <row r="3336" spans="6:86" x14ac:dyDescent="0.25">
      <c r="F3336" s="9"/>
      <c r="G3336" s="9"/>
      <c r="AA3336" s="10"/>
      <c r="AV3336" s="11"/>
      <c r="AW3336" s="11"/>
      <c r="BB3336" s="9"/>
      <c r="BC3336" s="11"/>
      <c r="BF3336" s="9"/>
      <c r="CF3336" s="12"/>
      <c r="CH3336" s="9"/>
    </row>
    <row r="3337" spans="6:86" x14ac:dyDescent="0.25">
      <c r="F3337" s="9"/>
      <c r="G3337" s="9"/>
      <c r="AA3337" s="10"/>
      <c r="AV3337" s="11"/>
      <c r="AW3337" s="11"/>
      <c r="BB3337" s="9"/>
      <c r="BC3337" s="11"/>
      <c r="BF3337" s="9"/>
      <c r="CH3337" s="9"/>
    </row>
    <row r="3338" spans="6:86" x14ac:dyDescent="0.25">
      <c r="F3338" s="9"/>
      <c r="G3338" s="9"/>
      <c r="AA3338" s="10"/>
      <c r="AV3338" s="11"/>
      <c r="AW3338" s="11"/>
      <c r="BB3338" s="9"/>
      <c r="BC3338" s="11"/>
      <c r="BF3338" s="9"/>
      <c r="CH3338" s="9"/>
    </row>
    <row r="3339" spans="6:86" x14ac:dyDescent="0.25">
      <c r="F3339" s="9"/>
      <c r="G3339" s="9"/>
      <c r="AA3339" s="10"/>
      <c r="AV3339" s="11"/>
      <c r="AW3339" s="11"/>
      <c r="BB3339" s="9"/>
      <c r="BC3339" s="11"/>
      <c r="BF3339" s="9"/>
      <c r="CF3339" s="12"/>
      <c r="CH3339" s="9"/>
    </row>
    <row r="3340" spans="6:86" x14ac:dyDescent="0.25">
      <c r="F3340" s="9"/>
      <c r="G3340" s="9"/>
      <c r="AA3340" s="10"/>
      <c r="AV3340" s="11"/>
      <c r="AW3340" s="11"/>
      <c r="BB3340" s="9"/>
      <c r="BC3340" s="11"/>
      <c r="BF3340" s="9"/>
      <c r="CF3340" s="12"/>
      <c r="CH3340" s="9"/>
    </row>
    <row r="3341" spans="6:86" x14ac:dyDescent="0.25">
      <c r="F3341" s="9"/>
      <c r="G3341" s="9"/>
      <c r="AA3341" s="10"/>
      <c r="AV3341" s="11"/>
      <c r="AW3341" s="11"/>
      <c r="BB3341" s="9"/>
      <c r="BC3341" s="11"/>
      <c r="BF3341" s="9"/>
      <c r="CF3341" s="12"/>
      <c r="CH3341" s="9"/>
    </row>
    <row r="3342" spans="6:86" x14ac:dyDescent="0.25">
      <c r="F3342" s="9"/>
      <c r="G3342" s="9"/>
      <c r="U3342" s="12"/>
      <c r="AA3342" s="10"/>
      <c r="AV3342" s="11"/>
      <c r="AW3342" s="11"/>
      <c r="BB3342" s="9"/>
      <c r="BC3342" s="11"/>
      <c r="BF3342" s="9"/>
      <c r="CF3342" s="12"/>
      <c r="CH3342" s="9"/>
    </row>
    <row r="3343" spans="6:86" x14ac:dyDescent="0.25">
      <c r="F3343" s="9"/>
      <c r="G3343" s="9"/>
      <c r="AA3343" s="10"/>
      <c r="AV3343" s="11"/>
      <c r="AW3343" s="11"/>
      <c r="BB3343" s="9"/>
      <c r="BC3343" s="11"/>
      <c r="BF3343" s="9"/>
      <c r="CF3343" s="12"/>
      <c r="CH3343" s="9"/>
    </row>
    <row r="3344" spans="6:86" x14ac:dyDescent="0.25">
      <c r="F3344" s="9"/>
      <c r="G3344" s="9"/>
      <c r="AA3344" s="10"/>
      <c r="AV3344" s="11"/>
      <c r="AW3344" s="11"/>
      <c r="BB3344" s="9"/>
      <c r="BC3344" s="11"/>
      <c r="BF3344" s="9"/>
      <c r="CF3344" s="12"/>
      <c r="CH3344" s="9"/>
    </row>
    <row r="3345" spans="6:86" x14ac:dyDescent="0.25">
      <c r="F3345" s="9"/>
      <c r="G3345" s="9"/>
      <c r="AA3345" s="10"/>
      <c r="AV3345" s="11"/>
      <c r="AW3345" s="11"/>
      <c r="BB3345" s="9"/>
      <c r="BC3345" s="11"/>
      <c r="BF3345" s="9"/>
      <c r="CH3345" s="9"/>
    </row>
    <row r="3346" spans="6:86" x14ac:dyDescent="0.25">
      <c r="F3346" s="9"/>
      <c r="G3346" s="9"/>
      <c r="AA3346" s="10"/>
      <c r="AV3346" s="11"/>
      <c r="AW3346" s="11"/>
      <c r="BB3346" s="9"/>
      <c r="BC3346" s="11"/>
      <c r="BF3346" s="9"/>
      <c r="CF3346" s="12"/>
      <c r="CH3346" s="9"/>
    </row>
    <row r="3347" spans="6:86" x14ac:dyDescent="0.25">
      <c r="F3347" s="9"/>
      <c r="G3347" s="9"/>
      <c r="AA3347" s="10"/>
      <c r="AV3347" s="11"/>
      <c r="AW3347" s="11"/>
      <c r="BB3347" s="9"/>
      <c r="BC3347" s="11"/>
      <c r="BF3347" s="9"/>
      <c r="CF3347" s="12"/>
      <c r="CH3347" s="9"/>
    </row>
    <row r="3348" spans="6:86" x14ac:dyDescent="0.25">
      <c r="F3348" s="9"/>
      <c r="G3348" s="9"/>
      <c r="AA3348" s="10"/>
      <c r="AV3348" s="11"/>
      <c r="AW3348" s="11"/>
      <c r="BB3348" s="9"/>
      <c r="BC3348" s="11"/>
      <c r="BF3348" s="9"/>
      <c r="CF3348" s="12"/>
      <c r="CH3348" s="9"/>
    </row>
    <row r="3349" spans="6:86" x14ac:dyDescent="0.25">
      <c r="F3349" s="9"/>
      <c r="G3349" s="9"/>
      <c r="AA3349" s="10"/>
      <c r="AV3349" s="11"/>
      <c r="AW3349" s="11"/>
      <c r="BB3349" s="9"/>
      <c r="BC3349" s="11"/>
      <c r="BF3349" s="9"/>
      <c r="CF3349" s="12"/>
      <c r="CH3349" s="9"/>
    </row>
    <row r="3350" spans="6:86" x14ac:dyDescent="0.25">
      <c r="F3350" s="9"/>
      <c r="G3350" s="9"/>
      <c r="AA3350" s="10"/>
      <c r="AV3350" s="11"/>
      <c r="AW3350" s="11"/>
      <c r="BB3350" s="9"/>
      <c r="BC3350" s="11"/>
      <c r="BF3350" s="9"/>
      <c r="CF3350" s="12"/>
      <c r="CH3350" s="9"/>
    </row>
    <row r="3351" spans="6:86" x14ac:dyDescent="0.25">
      <c r="F3351" s="9"/>
      <c r="G3351" s="9"/>
      <c r="AA3351" s="10"/>
      <c r="AV3351" s="11"/>
      <c r="AW3351" s="11"/>
      <c r="BB3351" s="9"/>
      <c r="BC3351" s="11"/>
      <c r="BF3351" s="9"/>
      <c r="CF3351" s="12"/>
      <c r="CH3351" s="9"/>
    </row>
    <row r="3352" spans="6:86" x14ac:dyDescent="0.25">
      <c r="F3352" s="9"/>
      <c r="G3352" s="9"/>
      <c r="AA3352" s="10"/>
      <c r="AV3352" s="11"/>
      <c r="AW3352" s="11"/>
      <c r="BB3352" s="9"/>
      <c r="BC3352" s="11"/>
      <c r="BF3352" s="9"/>
      <c r="CH3352" s="9"/>
    </row>
    <row r="3353" spans="6:86" x14ac:dyDescent="0.25">
      <c r="F3353" s="9"/>
      <c r="G3353" s="9"/>
      <c r="AA3353" s="10"/>
      <c r="AV3353" s="11"/>
      <c r="AW3353" s="11"/>
      <c r="BB3353" s="9"/>
      <c r="BC3353" s="11"/>
      <c r="BF3353" s="9"/>
      <c r="CH3353" s="9"/>
    </row>
    <row r="3354" spans="6:86" x14ac:dyDescent="0.25">
      <c r="F3354" s="9"/>
      <c r="G3354" s="9"/>
      <c r="AA3354" s="10"/>
      <c r="AV3354" s="11"/>
      <c r="AW3354" s="11"/>
      <c r="BB3354" s="9"/>
      <c r="BC3354" s="11"/>
      <c r="BF3354" s="9"/>
      <c r="CH3354" s="9"/>
    </row>
    <row r="3355" spans="6:86" x14ac:dyDescent="0.25">
      <c r="F3355" s="9"/>
      <c r="G3355" s="9"/>
      <c r="AA3355" s="10"/>
      <c r="AV3355" s="11"/>
      <c r="AW3355" s="11"/>
      <c r="BB3355" s="9"/>
      <c r="BC3355" s="11"/>
      <c r="BF3355" s="9"/>
      <c r="CH3355" s="9"/>
    </row>
    <row r="3356" spans="6:86" x14ac:dyDescent="0.25">
      <c r="F3356" s="9"/>
      <c r="G3356" s="9"/>
      <c r="AA3356" s="10"/>
      <c r="AV3356" s="11"/>
      <c r="AW3356" s="11"/>
      <c r="BB3356" s="9"/>
      <c r="BC3356" s="11"/>
      <c r="BF3356" s="9"/>
      <c r="CF3356" s="12"/>
      <c r="CH3356" s="9"/>
    </row>
    <row r="3357" spans="6:86" x14ac:dyDescent="0.25">
      <c r="F3357" s="9"/>
      <c r="G3357" s="9"/>
      <c r="AA3357" s="10"/>
      <c r="AV3357" s="11"/>
      <c r="AW3357" s="11"/>
      <c r="BB3357" s="9"/>
      <c r="BC3357" s="11"/>
      <c r="BF3357" s="9"/>
      <c r="CF3357" s="12"/>
      <c r="CH3357" s="9"/>
    </row>
    <row r="3358" spans="6:86" x14ac:dyDescent="0.25">
      <c r="F3358" s="9"/>
      <c r="G3358" s="9"/>
      <c r="AA3358" s="10"/>
      <c r="AV3358" s="11"/>
      <c r="AW3358" s="11"/>
      <c r="BB3358" s="9"/>
      <c r="BC3358" s="11"/>
      <c r="BF3358" s="9"/>
      <c r="CF3358" s="12"/>
      <c r="CH3358" s="9"/>
    </row>
    <row r="3359" spans="6:86" x14ac:dyDescent="0.25">
      <c r="F3359" s="9"/>
      <c r="G3359" s="9"/>
      <c r="AA3359" s="10"/>
      <c r="AV3359" s="11"/>
      <c r="AW3359" s="11"/>
      <c r="BB3359" s="9"/>
      <c r="BC3359" s="11"/>
      <c r="BF3359" s="9"/>
      <c r="CF3359" s="12"/>
      <c r="CH3359" s="9"/>
    </row>
    <row r="3360" spans="6:86" x14ac:dyDescent="0.25">
      <c r="F3360" s="9"/>
      <c r="G3360" s="9"/>
      <c r="AA3360" s="10"/>
      <c r="AV3360" s="11"/>
      <c r="AW3360" s="11"/>
      <c r="BB3360" s="9"/>
      <c r="BC3360" s="11"/>
      <c r="BF3360" s="9"/>
      <c r="CF3360" s="12"/>
      <c r="CH3360" s="9"/>
    </row>
    <row r="3361" spans="6:86" x14ac:dyDescent="0.25">
      <c r="F3361" s="9"/>
      <c r="G3361" s="9"/>
      <c r="AA3361" s="10"/>
      <c r="AV3361" s="11"/>
      <c r="AW3361" s="11"/>
      <c r="BB3361" s="9"/>
      <c r="BC3361" s="11"/>
      <c r="BF3361" s="9"/>
      <c r="CF3361" s="12"/>
      <c r="CH3361" s="9"/>
    </row>
    <row r="3362" spans="6:86" x14ac:dyDescent="0.25">
      <c r="F3362" s="9"/>
      <c r="G3362" s="9"/>
      <c r="AA3362" s="10"/>
      <c r="AV3362" s="11"/>
      <c r="AW3362" s="11"/>
      <c r="BB3362" s="9"/>
      <c r="BC3362" s="11"/>
      <c r="BF3362" s="9"/>
      <c r="CF3362" s="12"/>
      <c r="CH3362" s="9"/>
    </row>
    <row r="3363" spans="6:86" x14ac:dyDescent="0.25">
      <c r="F3363" s="9"/>
      <c r="G3363" s="9"/>
      <c r="AA3363" s="10"/>
      <c r="AV3363" s="11"/>
      <c r="AW3363" s="11"/>
      <c r="BB3363" s="9"/>
      <c r="BC3363" s="11"/>
      <c r="BF3363" s="9"/>
      <c r="CF3363" s="12"/>
      <c r="CH3363" s="9"/>
    </row>
    <row r="3364" spans="6:86" x14ac:dyDescent="0.25">
      <c r="F3364" s="9"/>
      <c r="G3364" s="9"/>
      <c r="AA3364" s="10"/>
      <c r="AV3364" s="11"/>
      <c r="AW3364" s="11"/>
      <c r="BB3364" s="9"/>
      <c r="BC3364" s="11"/>
      <c r="BF3364" s="9"/>
      <c r="CF3364" s="12"/>
      <c r="CH3364" s="9"/>
    </row>
    <row r="3365" spans="6:86" x14ac:dyDescent="0.25">
      <c r="F3365" s="9"/>
      <c r="G3365" s="9"/>
      <c r="AA3365" s="10"/>
      <c r="AV3365" s="11"/>
      <c r="AW3365" s="11"/>
      <c r="BB3365" s="9"/>
      <c r="BC3365" s="11"/>
      <c r="BF3365" s="9"/>
      <c r="CF3365" s="12"/>
      <c r="CH3365" s="9"/>
    </row>
    <row r="3366" spans="6:86" x14ac:dyDescent="0.25">
      <c r="F3366" s="9"/>
      <c r="G3366" s="9"/>
      <c r="AA3366" s="10"/>
      <c r="AV3366" s="11"/>
      <c r="AW3366" s="11"/>
      <c r="BB3366" s="9"/>
      <c r="BC3366" s="11"/>
      <c r="BF3366" s="9"/>
      <c r="CF3366" s="12"/>
      <c r="CH3366" s="9"/>
    </row>
    <row r="3367" spans="6:86" x14ac:dyDescent="0.25">
      <c r="F3367" s="9"/>
      <c r="G3367" s="9"/>
      <c r="AA3367" s="10"/>
      <c r="AV3367" s="11"/>
      <c r="AW3367" s="11"/>
      <c r="BB3367" s="9"/>
      <c r="BC3367" s="11"/>
      <c r="BF3367" s="9"/>
      <c r="CF3367" s="12"/>
      <c r="CH3367" s="9"/>
    </row>
    <row r="3368" spans="6:86" x14ac:dyDescent="0.25">
      <c r="F3368" s="9"/>
      <c r="G3368" s="9"/>
      <c r="AA3368" s="10"/>
      <c r="AV3368" s="11"/>
      <c r="AW3368" s="11"/>
      <c r="BB3368" s="9"/>
      <c r="BC3368" s="11"/>
      <c r="BF3368" s="9"/>
      <c r="CF3368" s="12"/>
      <c r="CH3368" s="9"/>
    </row>
    <row r="3369" spans="6:86" x14ac:dyDescent="0.25">
      <c r="F3369" s="9"/>
      <c r="G3369" s="9"/>
      <c r="AA3369" s="10"/>
      <c r="AV3369" s="11"/>
      <c r="AW3369" s="11"/>
      <c r="BB3369" s="9"/>
      <c r="BC3369" s="11"/>
      <c r="BF3369" s="9"/>
      <c r="CF3369" s="12"/>
      <c r="CH3369" s="9"/>
    </row>
    <row r="3370" spans="6:86" x14ac:dyDescent="0.25">
      <c r="F3370" s="9"/>
      <c r="G3370" s="9"/>
      <c r="AA3370" s="10"/>
      <c r="AV3370" s="11"/>
      <c r="AW3370" s="11"/>
      <c r="BB3370" s="9"/>
      <c r="BC3370" s="11"/>
      <c r="BF3370" s="9"/>
      <c r="CF3370" s="12"/>
      <c r="CH3370" s="9"/>
    </row>
    <row r="3371" spans="6:86" x14ac:dyDescent="0.25">
      <c r="F3371" s="9"/>
      <c r="G3371" s="9"/>
      <c r="AA3371" s="10"/>
      <c r="AV3371" s="11"/>
      <c r="AW3371" s="11"/>
      <c r="BB3371" s="9"/>
      <c r="BC3371" s="11"/>
      <c r="BF3371" s="9"/>
      <c r="CF3371" s="12"/>
      <c r="CH3371" s="9"/>
    </row>
    <row r="3372" spans="6:86" x14ac:dyDescent="0.25">
      <c r="F3372" s="9"/>
      <c r="G3372" s="9"/>
      <c r="AA3372" s="10"/>
      <c r="AV3372" s="11"/>
      <c r="AW3372" s="11"/>
      <c r="BB3372" s="9"/>
      <c r="BC3372" s="11"/>
      <c r="BF3372" s="9"/>
      <c r="CF3372" s="12"/>
      <c r="CH3372" s="9"/>
    </row>
    <row r="3373" spans="6:86" x14ac:dyDescent="0.25">
      <c r="F3373" s="9"/>
      <c r="G3373" s="9"/>
      <c r="AA3373" s="10"/>
      <c r="AV3373" s="11"/>
      <c r="AW3373" s="11"/>
      <c r="BB3373" s="9"/>
      <c r="BC3373" s="11"/>
      <c r="BF3373" s="9"/>
      <c r="CF3373" s="12"/>
      <c r="CH3373" s="9"/>
    </row>
    <row r="3374" spans="6:86" x14ac:dyDescent="0.25">
      <c r="F3374" s="9"/>
      <c r="G3374" s="9"/>
      <c r="AA3374" s="10"/>
      <c r="AV3374" s="11"/>
      <c r="AW3374" s="11"/>
      <c r="BB3374" s="9"/>
      <c r="BC3374" s="11"/>
      <c r="BF3374" s="9"/>
      <c r="CF3374" s="12"/>
      <c r="CH3374" s="9"/>
    </row>
    <row r="3375" spans="6:86" x14ac:dyDescent="0.25">
      <c r="F3375" s="9"/>
      <c r="G3375" s="9"/>
      <c r="AA3375" s="10"/>
      <c r="AV3375" s="11"/>
      <c r="AW3375" s="11"/>
      <c r="BB3375" s="9"/>
      <c r="BC3375" s="11"/>
      <c r="BF3375" s="9"/>
      <c r="CF3375" s="12"/>
      <c r="CH3375" s="9"/>
    </row>
    <row r="3376" spans="6:86" x14ac:dyDescent="0.25">
      <c r="F3376" s="9"/>
      <c r="G3376" s="9"/>
      <c r="AA3376" s="10"/>
      <c r="AV3376" s="11"/>
      <c r="AW3376" s="11"/>
      <c r="BB3376" s="9"/>
      <c r="BC3376" s="11"/>
      <c r="BF3376" s="9"/>
      <c r="CH3376" s="9"/>
    </row>
    <row r="3377" spans="6:86" x14ac:dyDescent="0.25">
      <c r="F3377" s="9"/>
      <c r="G3377" s="9"/>
      <c r="AA3377" s="10"/>
      <c r="AV3377" s="11"/>
      <c r="AW3377" s="11"/>
      <c r="BB3377" s="9"/>
      <c r="BC3377" s="11"/>
      <c r="BF3377" s="9"/>
      <c r="CF3377" s="12"/>
      <c r="CH3377" s="9"/>
    </row>
    <row r="3378" spans="6:86" x14ac:dyDescent="0.25">
      <c r="F3378" s="9"/>
      <c r="G3378" s="9"/>
      <c r="AA3378" s="10"/>
      <c r="AV3378" s="11"/>
      <c r="AW3378" s="11"/>
      <c r="BB3378" s="9"/>
      <c r="BC3378" s="11"/>
      <c r="BF3378" s="9"/>
      <c r="CF3378" s="12"/>
      <c r="CH3378" s="9"/>
    </row>
    <row r="3379" spans="6:86" x14ac:dyDescent="0.25">
      <c r="F3379" s="9"/>
      <c r="G3379" s="9"/>
      <c r="AA3379" s="10"/>
      <c r="AV3379" s="11"/>
      <c r="AW3379" s="11"/>
      <c r="BB3379" s="9"/>
      <c r="BC3379" s="11"/>
      <c r="BF3379" s="9"/>
      <c r="CF3379" s="12"/>
      <c r="CH3379" s="9"/>
    </row>
    <row r="3380" spans="6:86" x14ac:dyDescent="0.25">
      <c r="F3380" s="9"/>
      <c r="G3380" s="9"/>
      <c r="AA3380" s="10"/>
      <c r="AV3380" s="11"/>
      <c r="AW3380" s="11"/>
      <c r="BB3380" s="9"/>
      <c r="BC3380" s="11"/>
      <c r="BF3380" s="9"/>
      <c r="CF3380" s="12"/>
      <c r="CH3380" s="9"/>
    </row>
    <row r="3381" spans="6:86" x14ac:dyDescent="0.25">
      <c r="F3381" s="9"/>
      <c r="G3381" s="9"/>
      <c r="AA3381" s="10"/>
      <c r="AV3381" s="11"/>
      <c r="AW3381" s="11"/>
      <c r="BB3381" s="9"/>
      <c r="BC3381" s="11"/>
      <c r="BF3381" s="9"/>
      <c r="CF3381" s="12"/>
      <c r="CH3381" s="9"/>
    </row>
    <row r="3382" spans="6:86" x14ac:dyDescent="0.25">
      <c r="F3382" s="9"/>
      <c r="G3382" s="9"/>
      <c r="AA3382" s="10"/>
      <c r="AV3382" s="11"/>
      <c r="AW3382" s="11"/>
      <c r="BB3382" s="9"/>
      <c r="BC3382" s="11"/>
      <c r="BF3382" s="9"/>
      <c r="CF3382" s="12"/>
      <c r="CH3382" s="9"/>
    </row>
    <row r="3383" spans="6:86" x14ac:dyDescent="0.25">
      <c r="F3383" s="9"/>
      <c r="G3383" s="9"/>
      <c r="AA3383" s="10"/>
      <c r="AV3383" s="11"/>
      <c r="AW3383" s="11"/>
      <c r="BB3383" s="9"/>
      <c r="BC3383" s="11"/>
      <c r="BF3383" s="9"/>
      <c r="CF3383" s="12"/>
      <c r="CH3383" s="9"/>
    </row>
    <row r="3384" spans="6:86" x14ac:dyDescent="0.25">
      <c r="F3384" s="9"/>
      <c r="G3384" s="9"/>
      <c r="AA3384" s="10"/>
      <c r="AV3384" s="11"/>
      <c r="AW3384" s="11"/>
      <c r="BB3384" s="9"/>
      <c r="BC3384" s="11"/>
      <c r="BF3384" s="9"/>
      <c r="CF3384" s="12"/>
      <c r="CH3384" s="9"/>
    </row>
    <row r="3385" spans="6:86" x14ac:dyDescent="0.25">
      <c r="F3385" s="9"/>
      <c r="G3385" s="9"/>
      <c r="AA3385" s="10"/>
      <c r="AV3385" s="11"/>
      <c r="AW3385" s="11"/>
      <c r="BB3385" s="9"/>
      <c r="BC3385" s="11"/>
      <c r="BF3385" s="9"/>
      <c r="CF3385" s="12"/>
      <c r="CH3385" s="9"/>
    </row>
    <row r="3386" spans="6:86" x14ac:dyDescent="0.25">
      <c r="F3386" s="9"/>
      <c r="G3386" s="9"/>
      <c r="AA3386" s="10"/>
      <c r="AV3386" s="11"/>
      <c r="AW3386" s="11"/>
      <c r="BB3386" s="9"/>
      <c r="BC3386" s="11"/>
      <c r="BF3386" s="9"/>
      <c r="CF3386" s="12"/>
      <c r="CH3386" s="9"/>
    </row>
    <row r="3387" spans="6:86" x14ac:dyDescent="0.25">
      <c r="F3387" s="9"/>
      <c r="G3387" s="9"/>
      <c r="AA3387" s="10"/>
      <c r="AV3387" s="11"/>
      <c r="AW3387" s="11"/>
      <c r="BB3387" s="9"/>
      <c r="BC3387" s="11"/>
      <c r="BF3387" s="9"/>
      <c r="CF3387" s="12"/>
      <c r="CH3387" s="9"/>
    </row>
    <row r="3388" spans="6:86" x14ac:dyDescent="0.25">
      <c r="F3388" s="9"/>
      <c r="G3388" s="9"/>
      <c r="AA3388" s="10"/>
      <c r="AV3388" s="11"/>
      <c r="AW3388" s="11"/>
      <c r="BB3388" s="9"/>
      <c r="BC3388" s="11"/>
      <c r="BF3388" s="9"/>
      <c r="CH3388" s="9"/>
    </row>
    <row r="3389" spans="6:86" x14ac:dyDescent="0.25">
      <c r="F3389" s="9"/>
      <c r="G3389" s="9"/>
      <c r="AA3389" s="10"/>
      <c r="AV3389" s="11"/>
      <c r="AW3389" s="11"/>
      <c r="BB3389" s="9"/>
      <c r="BC3389" s="11"/>
      <c r="BF3389" s="9"/>
      <c r="CF3389" s="12"/>
      <c r="CH3389" s="9"/>
    </row>
    <row r="3390" spans="6:86" x14ac:dyDescent="0.25">
      <c r="F3390" s="9"/>
      <c r="G3390" s="9"/>
      <c r="AA3390" s="10"/>
      <c r="AV3390" s="11"/>
      <c r="AW3390" s="11"/>
      <c r="BB3390" s="9"/>
      <c r="BC3390" s="11"/>
      <c r="BF3390" s="9"/>
      <c r="CF3390" s="12"/>
      <c r="CH3390" s="9"/>
    </row>
    <row r="3391" spans="6:86" x14ac:dyDescent="0.25">
      <c r="F3391" s="9"/>
      <c r="G3391" s="9"/>
      <c r="AA3391" s="10"/>
      <c r="AV3391" s="11"/>
      <c r="AW3391" s="11"/>
      <c r="BB3391" s="9"/>
      <c r="BC3391" s="11"/>
      <c r="BF3391" s="9"/>
      <c r="CF3391" s="12"/>
      <c r="CH3391" s="9"/>
    </row>
    <row r="3392" spans="6:86" x14ac:dyDescent="0.25">
      <c r="F3392" s="9"/>
      <c r="G3392" s="9"/>
      <c r="AA3392" s="10"/>
      <c r="AV3392" s="11"/>
      <c r="AW3392" s="11"/>
      <c r="BB3392" s="9"/>
      <c r="BC3392" s="11"/>
      <c r="BF3392" s="9"/>
      <c r="CF3392" s="12"/>
      <c r="CH3392" s="9"/>
    </row>
    <row r="3393" spans="6:92" x14ac:dyDescent="0.25">
      <c r="F3393" s="9"/>
      <c r="G3393" s="9"/>
      <c r="AA3393" s="10"/>
      <c r="AV3393" s="11"/>
      <c r="AW3393" s="11"/>
      <c r="BB3393" s="9"/>
      <c r="BC3393" s="11"/>
      <c r="BF3393" s="9"/>
      <c r="CF3393" s="12"/>
      <c r="CH3393" s="9"/>
    </row>
    <row r="3394" spans="6:92" x14ac:dyDescent="0.25">
      <c r="F3394" s="9"/>
      <c r="G3394" s="9"/>
      <c r="AA3394" s="10"/>
      <c r="AV3394" s="11"/>
      <c r="AW3394" s="11"/>
      <c r="BB3394" s="9"/>
      <c r="BC3394" s="11"/>
      <c r="BF3394" s="9"/>
      <c r="CH3394" s="9"/>
    </row>
    <row r="3395" spans="6:92" x14ac:dyDescent="0.25">
      <c r="F3395" s="9"/>
      <c r="G3395" s="9"/>
      <c r="AA3395" s="10"/>
      <c r="AV3395" s="11"/>
      <c r="AW3395" s="11"/>
      <c r="BB3395" s="9"/>
      <c r="BC3395" s="11"/>
      <c r="BF3395" s="9"/>
      <c r="CF3395" s="12"/>
      <c r="CH3395" s="9"/>
    </row>
    <row r="3396" spans="6:92" x14ac:dyDescent="0.25">
      <c r="F3396" s="9"/>
      <c r="G3396" s="9"/>
      <c r="U3396" s="12"/>
      <c r="Z3396" s="12"/>
      <c r="AA3396" s="10"/>
      <c r="AV3396" s="11"/>
      <c r="AW3396" s="11"/>
      <c r="BB3396" s="9"/>
      <c r="BC3396" s="11"/>
      <c r="BF3396" s="9"/>
      <c r="CF3396" s="12"/>
      <c r="CH3396" s="9"/>
      <c r="CN3396" s="12"/>
    </row>
    <row r="3397" spans="6:92" x14ac:dyDescent="0.25">
      <c r="F3397" s="9"/>
      <c r="G3397" s="9"/>
      <c r="AA3397" s="10"/>
      <c r="AV3397" s="11"/>
      <c r="AW3397" s="11"/>
      <c r="BB3397" s="9"/>
      <c r="BC3397" s="11"/>
      <c r="BF3397" s="9"/>
      <c r="CH3397" s="9"/>
    </row>
    <row r="3398" spans="6:92" x14ac:dyDescent="0.25">
      <c r="F3398" s="9"/>
      <c r="G3398" s="9"/>
      <c r="AA3398" s="10"/>
      <c r="AV3398" s="11"/>
      <c r="AW3398" s="11"/>
      <c r="BB3398" s="9"/>
      <c r="BC3398" s="11"/>
      <c r="BF3398" s="9"/>
      <c r="CH3398" s="9"/>
    </row>
    <row r="3399" spans="6:92" x14ac:dyDescent="0.25">
      <c r="F3399" s="9"/>
      <c r="G3399" s="9"/>
      <c r="AA3399" s="10"/>
      <c r="AV3399" s="11"/>
      <c r="AW3399" s="11"/>
      <c r="BB3399" s="9"/>
      <c r="BC3399" s="11"/>
      <c r="BF3399" s="9"/>
      <c r="CF3399" s="12"/>
      <c r="CH3399" s="9"/>
    </row>
    <row r="3400" spans="6:92" x14ac:dyDescent="0.25">
      <c r="F3400" s="9"/>
      <c r="G3400" s="9"/>
      <c r="AA3400" s="10"/>
      <c r="AV3400" s="11"/>
      <c r="AW3400" s="11"/>
      <c r="BB3400" s="9"/>
      <c r="BC3400" s="11"/>
      <c r="BF3400" s="9"/>
      <c r="CF3400" s="12"/>
      <c r="CH3400" s="9"/>
    </row>
    <row r="3401" spans="6:92" x14ac:dyDescent="0.25">
      <c r="F3401" s="9"/>
      <c r="G3401" s="9"/>
      <c r="U3401" s="12"/>
      <c r="AA3401" s="10"/>
      <c r="AV3401" s="11"/>
      <c r="AW3401" s="11"/>
      <c r="BB3401" s="9"/>
      <c r="BC3401" s="11"/>
      <c r="BF3401" s="9"/>
      <c r="CF3401" s="12"/>
      <c r="CH3401" s="9"/>
    </row>
    <row r="3402" spans="6:92" x14ac:dyDescent="0.25">
      <c r="F3402" s="9"/>
      <c r="G3402" s="9"/>
      <c r="AA3402" s="10"/>
      <c r="AV3402" s="11"/>
      <c r="AW3402" s="11"/>
      <c r="BB3402" s="9"/>
      <c r="BC3402" s="11"/>
      <c r="BF3402" s="9"/>
      <c r="CF3402" s="12"/>
      <c r="CH3402" s="9"/>
    </row>
    <row r="3403" spans="6:92" x14ac:dyDescent="0.25">
      <c r="F3403" s="9"/>
      <c r="G3403" s="9"/>
      <c r="AA3403" s="10"/>
      <c r="AV3403" s="11"/>
      <c r="AW3403" s="11"/>
      <c r="BB3403" s="9"/>
      <c r="BC3403" s="11"/>
      <c r="BF3403" s="9"/>
      <c r="CF3403" s="12"/>
      <c r="CH3403" s="9"/>
    </row>
    <row r="3404" spans="6:92" x14ac:dyDescent="0.25">
      <c r="F3404" s="9"/>
      <c r="G3404" s="9"/>
      <c r="AA3404" s="10"/>
      <c r="AV3404" s="11"/>
      <c r="AW3404" s="11"/>
      <c r="BB3404" s="9"/>
      <c r="BC3404" s="11"/>
      <c r="BF3404" s="9"/>
      <c r="CF3404" s="12"/>
      <c r="CH3404" s="9"/>
    </row>
    <row r="3405" spans="6:92" x14ac:dyDescent="0.25">
      <c r="F3405" s="9"/>
      <c r="G3405" s="9"/>
      <c r="AA3405" s="10"/>
      <c r="AV3405" s="11"/>
      <c r="AW3405" s="11"/>
      <c r="BB3405" s="9"/>
      <c r="BC3405" s="11"/>
      <c r="BF3405" s="9"/>
      <c r="CF3405" s="12"/>
      <c r="CH3405" s="9"/>
    </row>
    <row r="3406" spans="6:92" x14ac:dyDescent="0.25">
      <c r="F3406" s="9"/>
      <c r="G3406" s="9"/>
      <c r="AA3406" s="10"/>
      <c r="AV3406" s="11"/>
      <c r="AW3406" s="11"/>
      <c r="BB3406" s="9"/>
      <c r="BC3406" s="11"/>
      <c r="BF3406" s="9"/>
      <c r="CF3406" s="12"/>
      <c r="CH3406" s="9"/>
    </row>
    <row r="3407" spans="6:92" x14ac:dyDescent="0.25">
      <c r="F3407" s="9"/>
      <c r="G3407" s="9"/>
      <c r="AA3407" s="10"/>
      <c r="AV3407" s="11"/>
      <c r="AW3407" s="11"/>
      <c r="BB3407" s="9"/>
      <c r="BC3407" s="11"/>
      <c r="BF3407" s="9"/>
      <c r="CF3407" s="12"/>
      <c r="CH3407" s="9"/>
    </row>
    <row r="3408" spans="6:92" x14ac:dyDescent="0.25">
      <c r="F3408" s="9"/>
      <c r="G3408" s="9"/>
      <c r="AA3408" s="10"/>
      <c r="AV3408" s="11"/>
      <c r="AW3408" s="11"/>
      <c r="BB3408" s="9"/>
      <c r="BC3408" s="11"/>
      <c r="BF3408" s="9"/>
      <c r="CF3408" s="12"/>
      <c r="CH3408" s="9"/>
    </row>
    <row r="3409" spans="6:86" x14ac:dyDescent="0.25">
      <c r="F3409" s="9"/>
      <c r="G3409" s="9"/>
      <c r="AA3409" s="10"/>
      <c r="AV3409" s="11"/>
      <c r="AW3409" s="11"/>
      <c r="BB3409" s="9"/>
      <c r="BC3409" s="11"/>
      <c r="BF3409" s="9"/>
      <c r="CF3409" s="12"/>
      <c r="CH3409" s="9"/>
    </row>
    <row r="3410" spans="6:86" x14ac:dyDescent="0.25">
      <c r="F3410" s="9"/>
      <c r="G3410" s="9"/>
      <c r="AA3410" s="10"/>
      <c r="AV3410" s="11"/>
      <c r="AW3410" s="11"/>
      <c r="BB3410" s="9"/>
      <c r="BC3410" s="11"/>
      <c r="BF3410" s="9"/>
      <c r="CF3410" s="12"/>
      <c r="CH3410" s="9"/>
    </row>
    <row r="3411" spans="6:86" x14ac:dyDescent="0.25">
      <c r="F3411" s="9"/>
      <c r="G3411" s="9"/>
      <c r="AA3411" s="10"/>
      <c r="AV3411" s="11"/>
      <c r="AW3411" s="11"/>
      <c r="BB3411" s="9"/>
      <c r="BC3411" s="11"/>
      <c r="BF3411" s="9"/>
      <c r="CH3411" s="9"/>
    </row>
    <row r="3412" spans="6:86" x14ac:dyDescent="0.25">
      <c r="F3412" s="9"/>
      <c r="G3412" s="9"/>
      <c r="AA3412" s="10"/>
      <c r="AV3412" s="11"/>
      <c r="AW3412" s="11"/>
      <c r="BB3412" s="9"/>
      <c r="BC3412" s="11"/>
      <c r="BF3412" s="9"/>
      <c r="CH3412" s="9"/>
    </row>
    <row r="3413" spans="6:86" x14ac:dyDescent="0.25">
      <c r="F3413" s="9"/>
      <c r="G3413" s="9"/>
      <c r="AA3413" s="10"/>
      <c r="AV3413" s="11"/>
      <c r="AW3413" s="11"/>
      <c r="BB3413" s="9"/>
      <c r="BC3413" s="11"/>
      <c r="BF3413" s="9"/>
      <c r="CF3413" s="12"/>
      <c r="CH3413" s="9"/>
    </row>
    <row r="3414" spans="6:86" x14ac:dyDescent="0.25">
      <c r="F3414" s="9"/>
      <c r="G3414" s="9"/>
      <c r="AA3414" s="10"/>
      <c r="AV3414" s="11"/>
      <c r="AW3414" s="11"/>
      <c r="BB3414" s="9"/>
      <c r="BC3414" s="11"/>
      <c r="BF3414" s="9"/>
      <c r="CF3414" s="12"/>
      <c r="CH3414" s="9"/>
    </row>
    <row r="3415" spans="6:86" x14ac:dyDescent="0.25">
      <c r="F3415" s="9"/>
      <c r="G3415" s="9"/>
      <c r="AA3415" s="10"/>
      <c r="AV3415" s="11"/>
      <c r="AW3415" s="11"/>
      <c r="BB3415" s="9"/>
      <c r="BC3415" s="11"/>
      <c r="BF3415" s="9"/>
      <c r="CF3415" s="12"/>
      <c r="CH3415" s="9"/>
    </row>
    <row r="3416" spans="6:86" x14ac:dyDescent="0.25">
      <c r="F3416" s="9"/>
      <c r="G3416" s="9"/>
      <c r="AA3416" s="10"/>
      <c r="AV3416" s="11"/>
      <c r="AW3416" s="11"/>
      <c r="BB3416" s="9"/>
      <c r="BC3416" s="11"/>
      <c r="BF3416" s="9"/>
      <c r="CF3416" s="12"/>
      <c r="CH3416" s="9"/>
    </row>
    <row r="3417" spans="6:86" x14ac:dyDescent="0.25">
      <c r="F3417" s="9"/>
      <c r="G3417" s="9"/>
      <c r="AA3417" s="10"/>
      <c r="AV3417" s="11"/>
      <c r="AW3417" s="11"/>
      <c r="BB3417" s="9"/>
      <c r="BC3417" s="11"/>
      <c r="BF3417" s="9"/>
      <c r="CF3417" s="12"/>
      <c r="CH3417" s="9"/>
    </row>
    <row r="3418" spans="6:86" x14ac:dyDescent="0.25">
      <c r="F3418" s="9"/>
      <c r="G3418" s="9"/>
      <c r="AA3418" s="10"/>
      <c r="AV3418" s="11"/>
      <c r="AW3418" s="11"/>
      <c r="BB3418" s="9"/>
      <c r="BC3418" s="11"/>
      <c r="BF3418" s="9"/>
      <c r="CF3418" s="12"/>
      <c r="CH3418" s="9"/>
    </row>
    <row r="3419" spans="6:86" x14ac:dyDescent="0.25">
      <c r="F3419" s="9"/>
      <c r="G3419" s="9"/>
      <c r="AA3419" s="10"/>
      <c r="AV3419" s="11"/>
      <c r="AW3419" s="11"/>
      <c r="BB3419" s="9"/>
      <c r="BC3419" s="11"/>
      <c r="BF3419" s="9"/>
      <c r="CF3419" s="12"/>
      <c r="CH3419" s="9"/>
    </row>
    <row r="3420" spans="6:86" x14ac:dyDescent="0.25">
      <c r="F3420" s="9"/>
      <c r="G3420" s="9"/>
      <c r="AA3420" s="10"/>
      <c r="AV3420" s="11"/>
      <c r="AW3420" s="11"/>
      <c r="BB3420" s="9"/>
      <c r="BC3420" s="11"/>
      <c r="BF3420" s="9"/>
      <c r="CH3420" s="9"/>
    </row>
    <row r="3421" spans="6:86" x14ac:dyDescent="0.25">
      <c r="F3421" s="9"/>
      <c r="G3421" s="9"/>
      <c r="AA3421" s="10"/>
      <c r="AV3421" s="11"/>
      <c r="AW3421" s="11"/>
      <c r="BB3421" s="9"/>
      <c r="BC3421" s="11"/>
      <c r="BF3421" s="9"/>
      <c r="CF3421" s="12"/>
      <c r="CH3421" s="9"/>
    </row>
    <row r="3422" spans="6:86" x14ac:dyDescent="0.25">
      <c r="F3422" s="9"/>
      <c r="G3422" s="9"/>
      <c r="AA3422" s="10"/>
      <c r="AV3422" s="11"/>
      <c r="AW3422" s="11"/>
      <c r="BB3422" s="9"/>
      <c r="BC3422" s="11"/>
      <c r="BF3422" s="9"/>
      <c r="CF3422" s="12"/>
      <c r="CH3422" s="9"/>
    </row>
    <row r="3423" spans="6:86" x14ac:dyDescent="0.25">
      <c r="F3423" s="9"/>
      <c r="G3423" s="9"/>
      <c r="AA3423" s="10"/>
      <c r="AV3423" s="11"/>
      <c r="AW3423" s="11"/>
      <c r="BB3423" s="9"/>
      <c r="BC3423" s="11"/>
      <c r="BF3423" s="9"/>
      <c r="CF3423" s="12"/>
      <c r="CH3423" s="9"/>
    </row>
    <row r="3424" spans="6:86" x14ac:dyDescent="0.25">
      <c r="F3424" s="9"/>
      <c r="G3424" s="9"/>
      <c r="AA3424" s="10"/>
      <c r="AV3424" s="11"/>
      <c r="AW3424" s="11"/>
      <c r="BB3424" s="9"/>
      <c r="BC3424" s="11"/>
      <c r="BF3424" s="9"/>
      <c r="CF3424" s="12"/>
      <c r="CH3424" s="9"/>
    </row>
    <row r="3425" spans="6:86" x14ac:dyDescent="0.25">
      <c r="F3425" s="9"/>
      <c r="G3425" s="9"/>
      <c r="AA3425" s="10"/>
      <c r="AV3425" s="11"/>
      <c r="AW3425" s="11"/>
      <c r="BB3425" s="9"/>
      <c r="BC3425" s="11"/>
      <c r="BF3425" s="9"/>
      <c r="CF3425" s="12"/>
      <c r="CH3425" s="9"/>
    </row>
    <row r="3426" spans="6:86" x14ac:dyDescent="0.25">
      <c r="F3426" s="9"/>
      <c r="G3426" s="9"/>
      <c r="AA3426" s="10"/>
      <c r="AV3426" s="11"/>
      <c r="AW3426" s="11"/>
      <c r="BB3426" s="9"/>
      <c r="BC3426" s="11"/>
      <c r="BF3426" s="9"/>
      <c r="CH3426" s="9"/>
    </row>
    <row r="3427" spans="6:86" x14ac:dyDescent="0.25">
      <c r="F3427" s="9"/>
      <c r="G3427" s="9"/>
      <c r="AA3427" s="10"/>
      <c r="AV3427" s="11"/>
      <c r="AW3427" s="11"/>
      <c r="BB3427" s="9"/>
      <c r="BC3427" s="11"/>
      <c r="BF3427" s="9"/>
      <c r="CF3427" s="12"/>
      <c r="CH3427" s="9"/>
    </row>
    <row r="3428" spans="6:86" x14ac:dyDescent="0.25">
      <c r="F3428" s="9"/>
      <c r="G3428" s="9"/>
      <c r="AA3428" s="10"/>
      <c r="AV3428" s="11"/>
      <c r="AW3428" s="11"/>
      <c r="BB3428" s="9"/>
      <c r="BC3428" s="11"/>
      <c r="BF3428" s="9"/>
      <c r="CF3428" s="12"/>
      <c r="CH3428" s="9"/>
    </row>
    <row r="3429" spans="6:86" x14ac:dyDescent="0.25">
      <c r="F3429" s="9"/>
      <c r="G3429" s="9"/>
      <c r="AA3429" s="10"/>
      <c r="AV3429" s="11"/>
      <c r="AW3429" s="11"/>
      <c r="BB3429" s="9"/>
      <c r="BC3429" s="11"/>
      <c r="BF3429" s="9"/>
      <c r="CF3429" s="12"/>
      <c r="CH3429" s="9"/>
    </row>
    <row r="3430" spans="6:86" x14ac:dyDescent="0.25">
      <c r="F3430" s="9"/>
      <c r="G3430" s="9"/>
      <c r="AA3430" s="10"/>
      <c r="AV3430" s="11"/>
      <c r="AW3430" s="11"/>
      <c r="BB3430" s="9"/>
      <c r="BC3430" s="11"/>
      <c r="BF3430" s="9"/>
      <c r="CF3430" s="12"/>
      <c r="CH3430" s="9"/>
    </row>
    <row r="3431" spans="6:86" x14ac:dyDescent="0.25">
      <c r="F3431" s="9"/>
      <c r="G3431" s="9"/>
      <c r="U3431" s="12"/>
      <c r="AA3431" s="10"/>
      <c r="AV3431" s="11"/>
      <c r="AW3431" s="11"/>
      <c r="BB3431" s="9"/>
      <c r="BC3431" s="11"/>
      <c r="BF3431" s="9"/>
      <c r="CF3431" s="12"/>
      <c r="CH3431" s="9"/>
    </row>
    <row r="3432" spans="6:86" x14ac:dyDescent="0.25">
      <c r="F3432" s="9"/>
      <c r="G3432" s="9"/>
      <c r="AA3432" s="10"/>
      <c r="AV3432" s="11"/>
      <c r="AW3432" s="11"/>
      <c r="BB3432" s="9"/>
      <c r="BC3432" s="11"/>
      <c r="BF3432" s="9"/>
      <c r="CF3432" s="12"/>
      <c r="CH3432" s="9"/>
    </row>
    <row r="3433" spans="6:86" x14ac:dyDescent="0.25">
      <c r="F3433" s="9"/>
      <c r="G3433" s="9"/>
      <c r="AA3433" s="10"/>
      <c r="AV3433" s="11"/>
      <c r="AW3433" s="11"/>
      <c r="BB3433" s="9"/>
      <c r="BC3433" s="11"/>
      <c r="BF3433" s="9"/>
      <c r="CF3433" s="12"/>
      <c r="CH3433" s="9"/>
    </row>
    <row r="3434" spans="6:86" x14ac:dyDescent="0.25">
      <c r="F3434" s="9"/>
      <c r="G3434" s="9"/>
      <c r="AA3434" s="10"/>
      <c r="AV3434" s="11"/>
      <c r="AW3434" s="11"/>
      <c r="BB3434" s="9"/>
      <c r="BC3434" s="11"/>
      <c r="BF3434" s="9"/>
      <c r="CF3434" s="12"/>
      <c r="CH3434" s="9"/>
    </row>
    <row r="3435" spans="6:86" x14ac:dyDescent="0.25">
      <c r="F3435" s="9"/>
      <c r="G3435" s="9"/>
      <c r="AA3435" s="10"/>
      <c r="AV3435" s="11"/>
      <c r="AW3435" s="11"/>
      <c r="BB3435" s="9"/>
      <c r="BC3435" s="11"/>
      <c r="BF3435" s="9"/>
      <c r="CF3435" s="12"/>
      <c r="CH3435" s="9"/>
    </row>
    <row r="3436" spans="6:86" x14ac:dyDescent="0.25">
      <c r="F3436" s="9"/>
      <c r="G3436" s="9"/>
      <c r="AA3436" s="10"/>
      <c r="AV3436" s="11"/>
      <c r="AW3436" s="11"/>
      <c r="BB3436" s="9"/>
      <c r="BC3436" s="11"/>
      <c r="BF3436" s="9"/>
      <c r="CF3436" s="12"/>
      <c r="CH3436" s="9"/>
    </row>
    <row r="3437" spans="6:86" x14ac:dyDescent="0.25">
      <c r="F3437" s="9"/>
      <c r="G3437" s="9"/>
      <c r="AA3437" s="10"/>
      <c r="AV3437" s="11"/>
      <c r="AW3437" s="11"/>
      <c r="BB3437" s="9"/>
      <c r="BC3437" s="11"/>
      <c r="BF3437" s="9"/>
      <c r="CF3437" s="12"/>
      <c r="CH3437" s="9"/>
    </row>
    <row r="3438" spans="6:86" x14ac:dyDescent="0.25">
      <c r="F3438" s="9"/>
      <c r="G3438" s="9"/>
      <c r="AA3438" s="10"/>
      <c r="AV3438" s="11"/>
      <c r="AW3438" s="11"/>
      <c r="BB3438" s="9"/>
      <c r="BC3438" s="11"/>
      <c r="BF3438" s="9"/>
      <c r="CF3438" s="12"/>
      <c r="CH3438" s="9"/>
    </row>
    <row r="3439" spans="6:86" x14ac:dyDescent="0.25">
      <c r="F3439" s="9"/>
      <c r="G3439" s="9"/>
      <c r="AA3439" s="10"/>
      <c r="AV3439" s="11"/>
      <c r="AW3439" s="11"/>
      <c r="BB3439" s="9"/>
      <c r="BC3439" s="11"/>
      <c r="BF3439" s="9"/>
      <c r="CF3439" s="12"/>
      <c r="CH3439" s="9"/>
    </row>
    <row r="3440" spans="6:86" x14ac:dyDescent="0.25">
      <c r="F3440" s="9"/>
      <c r="G3440" s="9"/>
      <c r="AA3440" s="10"/>
      <c r="AV3440" s="11"/>
      <c r="AW3440" s="11"/>
      <c r="BB3440" s="9"/>
      <c r="BC3440" s="11"/>
      <c r="BF3440" s="9"/>
      <c r="CF3440" s="12"/>
      <c r="CH3440" s="9"/>
    </row>
    <row r="3441" spans="6:92" x14ac:dyDescent="0.25">
      <c r="F3441" s="9"/>
      <c r="G3441" s="9"/>
      <c r="AA3441" s="10"/>
      <c r="AV3441" s="11"/>
      <c r="AW3441" s="11"/>
      <c r="BB3441" s="9"/>
      <c r="BC3441" s="11"/>
      <c r="BF3441" s="9"/>
      <c r="CH3441" s="9"/>
    </row>
    <row r="3442" spans="6:92" x14ac:dyDescent="0.25">
      <c r="F3442" s="9"/>
      <c r="G3442" s="9"/>
      <c r="AA3442" s="10"/>
      <c r="AV3442" s="11"/>
      <c r="AW3442" s="11"/>
      <c r="BB3442" s="9"/>
      <c r="BC3442" s="11"/>
      <c r="BF3442" s="9"/>
      <c r="CF3442" s="12"/>
      <c r="CH3442" s="9"/>
    </row>
    <row r="3443" spans="6:92" x14ac:dyDescent="0.25">
      <c r="F3443" s="9"/>
      <c r="G3443" s="9"/>
      <c r="AA3443" s="10"/>
      <c r="AV3443" s="11"/>
      <c r="AW3443" s="11"/>
      <c r="BB3443" s="9"/>
      <c r="BC3443" s="11"/>
      <c r="BF3443" s="9"/>
      <c r="CF3443" s="12"/>
      <c r="CH3443" s="9"/>
    </row>
    <row r="3444" spans="6:92" x14ac:dyDescent="0.25">
      <c r="F3444" s="9"/>
      <c r="G3444" s="9"/>
      <c r="AA3444" s="10"/>
      <c r="AV3444" s="11"/>
      <c r="AW3444" s="11"/>
      <c r="BB3444" s="9"/>
      <c r="BC3444" s="11"/>
      <c r="BF3444" s="9"/>
      <c r="CF3444" s="12"/>
      <c r="CH3444" s="9"/>
    </row>
    <row r="3445" spans="6:92" x14ac:dyDescent="0.25">
      <c r="F3445" s="9"/>
      <c r="G3445" s="9"/>
      <c r="AA3445" s="10"/>
      <c r="AV3445" s="11"/>
      <c r="AW3445" s="11"/>
      <c r="BB3445" s="9"/>
      <c r="BC3445" s="11"/>
      <c r="BF3445" s="9"/>
      <c r="CF3445" s="12"/>
      <c r="CH3445" s="9"/>
    </row>
    <row r="3446" spans="6:92" x14ac:dyDescent="0.25">
      <c r="F3446" s="9"/>
      <c r="G3446" s="9"/>
      <c r="AA3446" s="10"/>
      <c r="AV3446" s="11"/>
      <c r="AW3446" s="11"/>
      <c r="BB3446" s="9"/>
      <c r="BC3446" s="11"/>
      <c r="BF3446" s="9"/>
      <c r="CF3446" s="12"/>
      <c r="CH3446" s="9"/>
    </row>
    <row r="3447" spans="6:92" x14ac:dyDescent="0.25">
      <c r="F3447" s="9"/>
      <c r="G3447" s="9"/>
      <c r="AA3447" s="10"/>
      <c r="AV3447" s="11"/>
      <c r="AW3447" s="11"/>
      <c r="BB3447" s="9"/>
      <c r="BC3447" s="11"/>
      <c r="BF3447" s="9"/>
      <c r="CF3447" s="12"/>
      <c r="CH3447" s="9"/>
    </row>
    <row r="3448" spans="6:92" x14ac:dyDescent="0.25">
      <c r="F3448" s="9"/>
      <c r="G3448" s="9"/>
      <c r="AA3448" s="10"/>
      <c r="AV3448" s="11"/>
      <c r="AW3448" s="11"/>
      <c r="BB3448" s="9"/>
      <c r="BC3448" s="11"/>
      <c r="BF3448" s="9"/>
      <c r="CF3448" s="12"/>
      <c r="CH3448" s="9"/>
    </row>
    <row r="3449" spans="6:92" x14ac:dyDescent="0.25">
      <c r="F3449" s="9"/>
      <c r="G3449" s="9"/>
      <c r="U3449" s="12"/>
      <c r="Z3449" s="12"/>
      <c r="AA3449" s="10"/>
      <c r="AV3449" s="11"/>
      <c r="AW3449" s="11"/>
      <c r="BB3449" s="9"/>
      <c r="BC3449" s="11"/>
      <c r="BF3449" s="9"/>
      <c r="CF3449" s="12"/>
      <c r="CH3449" s="9"/>
      <c r="CN3449" s="12"/>
    </row>
    <row r="3450" spans="6:92" x14ac:dyDescent="0.25">
      <c r="F3450" s="9"/>
      <c r="G3450" s="9"/>
      <c r="AA3450" s="10"/>
      <c r="AV3450" s="11"/>
      <c r="AW3450" s="11"/>
      <c r="BB3450" s="9"/>
      <c r="BC3450" s="11"/>
      <c r="BF3450" s="9"/>
      <c r="CH3450" s="9"/>
    </row>
    <row r="3451" spans="6:92" x14ac:dyDescent="0.25">
      <c r="F3451" s="9"/>
      <c r="G3451" s="9"/>
      <c r="AA3451" s="10"/>
      <c r="AV3451" s="11"/>
      <c r="AW3451" s="11"/>
      <c r="BB3451" s="9"/>
      <c r="BC3451" s="11"/>
      <c r="BF3451" s="9"/>
      <c r="CF3451" s="12"/>
      <c r="CH3451" s="9"/>
    </row>
    <row r="3452" spans="6:92" x14ac:dyDescent="0.25">
      <c r="F3452" s="9"/>
      <c r="G3452" s="9"/>
      <c r="AA3452" s="10"/>
      <c r="AV3452" s="11"/>
      <c r="AW3452" s="11"/>
      <c r="BB3452" s="9"/>
      <c r="BC3452" s="11"/>
      <c r="BF3452" s="9"/>
      <c r="CF3452" s="12"/>
      <c r="CH3452" s="9"/>
    </row>
    <row r="3453" spans="6:92" x14ac:dyDescent="0.25">
      <c r="F3453" s="9"/>
      <c r="G3453" s="9"/>
      <c r="AA3453" s="10"/>
      <c r="AV3453" s="11"/>
      <c r="AW3453" s="11"/>
      <c r="BB3453" s="9"/>
      <c r="BC3453" s="11"/>
      <c r="BF3453" s="9"/>
      <c r="CF3453" s="12"/>
      <c r="CH3453" s="9"/>
    </row>
    <row r="3454" spans="6:92" x14ac:dyDescent="0.25">
      <c r="F3454" s="9"/>
      <c r="G3454" s="9"/>
      <c r="AA3454" s="10"/>
      <c r="AV3454" s="11"/>
      <c r="AW3454" s="11"/>
      <c r="BB3454" s="9"/>
      <c r="BC3454" s="11"/>
      <c r="BF3454" s="9"/>
      <c r="CF3454" s="12"/>
      <c r="CH3454" s="9"/>
    </row>
    <row r="3455" spans="6:92" x14ac:dyDescent="0.25">
      <c r="F3455" s="9"/>
      <c r="G3455" s="9"/>
      <c r="U3455" s="12"/>
      <c r="Z3455" s="12"/>
      <c r="AA3455" s="10"/>
      <c r="AV3455" s="11"/>
      <c r="AW3455" s="11"/>
      <c r="BB3455" s="9"/>
      <c r="BC3455" s="11"/>
      <c r="BF3455" s="9"/>
      <c r="CF3455" s="12"/>
      <c r="CH3455" s="9"/>
    </row>
    <row r="3456" spans="6:92" x14ac:dyDescent="0.25">
      <c r="F3456" s="9"/>
      <c r="G3456" s="9"/>
      <c r="AA3456" s="10"/>
      <c r="AV3456" s="11"/>
      <c r="AW3456" s="11"/>
      <c r="BB3456" s="9"/>
      <c r="BC3456" s="11"/>
      <c r="BF3456" s="9"/>
      <c r="CF3456" s="12"/>
      <c r="CH3456" s="9"/>
    </row>
    <row r="3457" spans="6:86" x14ac:dyDescent="0.25">
      <c r="F3457" s="9"/>
      <c r="G3457" s="9"/>
      <c r="AA3457" s="10"/>
      <c r="AV3457" s="11"/>
      <c r="AW3457" s="11"/>
      <c r="BB3457" s="9"/>
      <c r="BC3457" s="11"/>
      <c r="BF3457" s="9"/>
      <c r="CF3457" s="12"/>
      <c r="CH3457" s="9"/>
    </row>
    <row r="3458" spans="6:86" x14ac:dyDescent="0.25">
      <c r="F3458" s="9"/>
      <c r="G3458" s="9"/>
      <c r="AA3458" s="10"/>
      <c r="AV3458" s="11"/>
      <c r="AW3458" s="11"/>
      <c r="BB3458" s="9"/>
      <c r="BC3458" s="11"/>
      <c r="BF3458" s="9"/>
      <c r="CF3458" s="12"/>
      <c r="CH3458" s="9"/>
    </row>
    <row r="3459" spans="6:86" x14ac:dyDescent="0.25">
      <c r="F3459" s="9"/>
      <c r="G3459" s="9"/>
      <c r="U3459" s="12"/>
      <c r="AA3459" s="10"/>
      <c r="AV3459" s="11"/>
      <c r="AW3459" s="11"/>
      <c r="BB3459" s="9"/>
      <c r="BC3459" s="11"/>
      <c r="BF3459" s="9"/>
      <c r="CF3459" s="12"/>
      <c r="CH3459" s="9"/>
    </row>
    <row r="3460" spans="6:86" x14ac:dyDescent="0.25">
      <c r="F3460" s="9"/>
      <c r="G3460" s="9"/>
      <c r="AA3460" s="10"/>
      <c r="AV3460" s="11"/>
      <c r="AW3460" s="11"/>
      <c r="BB3460" s="9"/>
      <c r="BC3460" s="11"/>
      <c r="BF3460" s="9"/>
      <c r="CF3460" s="12"/>
      <c r="CH3460" s="9"/>
    </row>
    <row r="3461" spans="6:86" x14ac:dyDescent="0.25">
      <c r="F3461" s="9"/>
      <c r="G3461" s="9"/>
      <c r="AA3461" s="10"/>
      <c r="AV3461" s="11"/>
      <c r="AW3461" s="11"/>
      <c r="BB3461" s="9"/>
      <c r="BC3461" s="11"/>
      <c r="BF3461" s="9"/>
      <c r="CF3461" s="12"/>
      <c r="CH3461" s="9"/>
    </row>
    <row r="3462" spans="6:86" x14ac:dyDescent="0.25">
      <c r="F3462" s="9"/>
      <c r="G3462" s="9"/>
      <c r="AA3462" s="10"/>
      <c r="AV3462" s="11"/>
      <c r="AW3462" s="11"/>
      <c r="BB3462" s="9"/>
      <c r="BC3462" s="11"/>
      <c r="BF3462" s="9"/>
      <c r="CF3462" s="12"/>
      <c r="CH3462" s="9"/>
    </row>
    <row r="3463" spans="6:86" x14ac:dyDescent="0.25">
      <c r="F3463" s="9"/>
      <c r="G3463" s="9"/>
      <c r="AA3463" s="10"/>
      <c r="AV3463" s="11"/>
      <c r="AW3463" s="11"/>
      <c r="BB3463" s="9"/>
      <c r="BC3463" s="11"/>
      <c r="BF3463" s="9"/>
      <c r="CF3463" s="12"/>
      <c r="CH3463" s="9"/>
    </row>
    <row r="3464" spans="6:86" x14ac:dyDescent="0.25">
      <c r="F3464" s="9"/>
      <c r="G3464" s="9"/>
      <c r="AA3464" s="10"/>
      <c r="AV3464" s="11"/>
      <c r="AW3464" s="11"/>
      <c r="BB3464" s="9"/>
      <c r="BC3464" s="11"/>
      <c r="BF3464" s="9"/>
      <c r="CF3464" s="12"/>
      <c r="CH3464" s="9"/>
    </row>
    <row r="3465" spans="6:86" x14ac:dyDescent="0.25">
      <c r="F3465" s="9"/>
      <c r="G3465" s="9"/>
      <c r="AA3465" s="10"/>
      <c r="AV3465" s="11"/>
      <c r="AW3465" s="11"/>
      <c r="BB3465" s="9"/>
      <c r="BC3465" s="11"/>
      <c r="BF3465" s="9"/>
      <c r="CF3465" s="12"/>
      <c r="CH3465" s="9"/>
    </row>
    <row r="3466" spans="6:86" x14ac:dyDescent="0.25">
      <c r="F3466" s="9"/>
      <c r="G3466" s="9"/>
      <c r="AA3466" s="10"/>
      <c r="AV3466" s="11"/>
      <c r="AW3466" s="11"/>
      <c r="BB3466" s="9"/>
      <c r="BC3466" s="11"/>
      <c r="BF3466" s="9"/>
      <c r="CF3466" s="12"/>
      <c r="CH3466" s="9"/>
    </row>
    <row r="3467" spans="6:86" x14ac:dyDescent="0.25">
      <c r="F3467" s="9"/>
      <c r="G3467" s="9"/>
      <c r="AA3467" s="10"/>
      <c r="AV3467" s="11"/>
      <c r="AW3467" s="11"/>
      <c r="BB3467" s="9"/>
      <c r="BC3467" s="11"/>
      <c r="BF3467" s="9"/>
      <c r="CF3467" s="12"/>
      <c r="CH3467" s="9"/>
    </row>
    <row r="3468" spans="6:86" x14ac:dyDescent="0.25">
      <c r="F3468" s="9"/>
      <c r="G3468" s="9"/>
      <c r="AA3468" s="10"/>
      <c r="AV3468" s="11"/>
      <c r="AW3468" s="11"/>
      <c r="BB3468" s="9"/>
      <c r="BC3468" s="11"/>
      <c r="BF3468" s="9"/>
      <c r="CF3468" s="12"/>
      <c r="CH3468" s="9"/>
    </row>
    <row r="3469" spans="6:86" x14ac:dyDescent="0.25">
      <c r="F3469" s="9"/>
      <c r="G3469" s="9"/>
      <c r="AA3469" s="10"/>
      <c r="AV3469" s="11"/>
      <c r="AW3469" s="11"/>
      <c r="BB3469" s="9"/>
      <c r="BC3469" s="11"/>
      <c r="BF3469" s="9"/>
      <c r="CH3469" s="9"/>
    </row>
    <row r="3470" spans="6:86" x14ac:dyDescent="0.25">
      <c r="F3470" s="9"/>
      <c r="G3470" s="9"/>
      <c r="AA3470" s="10"/>
      <c r="AV3470" s="11"/>
      <c r="AW3470" s="11"/>
      <c r="BB3470" s="9"/>
      <c r="BC3470" s="11"/>
      <c r="BF3470" s="9"/>
      <c r="CF3470" s="12"/>
      <c r="CH3470" s="9"/>
    </row>
    <row r="3471" spans="6:86" x14ac:dyDescent="0.25">
      <c r="F3471" s="9"/>
      <c r="G3471" s="9"/>
      <c r="AA3471" s="10"/>
      <c r="AV3471" s="11"/>
      <c r="AW3471" s="11"/>
      <c r="BB3471" s="9"/>
      <c r="BC3471" s="11"/>
      <c r="BF3471" s="9"/>
      <c r="CF3471" s="12"/>
      <c r="CH3471" s="9"/>
    </row>
    <row r="3472" spans="6:86" x14ac:dyDescent="0.25">
      <c r="F3472" s="9"/>
      <c r="G3472" s="9"/>
      <c r="AA3472" s="10"/>
      <c r="AV3472" s="11"/>
      <c r="AW3472" s="11"/>
      <c r="BB3472" s="9"/>
      <c r="BC3472" s="11"/>
      <c r="BF3472" s="9"/>
      <c r="CF3472" s="12"/>
      <c r="CH3472" s="9"/>
    </row>
    <row r="3473" spans="6:92" x14ac:dyDescent="0.25">
      <c r="F3473" s="9"/>
      <c r="G3473" s="9"/>
      <c r="AA3473" s="10"/>
      <c r="AV3473" s="11"/>
      <c r="AW3473" s="11"/>
      <c r="BB3473" s="9"/>
      <c r="BC3473" s="11"/>
      <c r="BF3473" s="9"/>
      <c r="CF3473" s="12"/>
      <c r="CH3473" s="9"/>
    </row>
    <row r="3474" spans="6:92" x14ac:dyDescent="0.25">
      <c r="F3474" s="9"/>
      <c r="G3474" s="9"/>
      <c r="AA3474" s="10"/>
      <c r="AV3474" s="11"/>
      <c r="AW3474" s="11"/>
      <c r="BB3474" s="9"/>
      <c r="BC3474" s="11"/>
      <c r="BF3474" s="9"/>
      <c r="CF3474" s="12"/>
      <c r="CH3474" s="9"/>
    </row>
    <row r="3475" spans="6:92" x14ac:dyDescent="0.25">
      <c r="F3475" s="9"/>
      <c r="G3475" s="9"/>
      <c r="AA3475" s="10"/>
      <c r="AV3475" s="11"/>
      <c r="AW3475" s="11"/>
      <c r="BB3475" s="9"/>
      <c r="BC3475" s="11"/>
      <c r="BF3475" s="9"/>
      <c r="CF3475" s="12"/>
      <c r="CH3475" s="9"/>
    </row>
    <row r="3476" spans="6:92" x14ac:dyDescent="0.25">
      <c r="F3476" s="9"/>
      <c r="G3476" s="9"/>
      <c r="AA3476" s="10"/>
      <c r="AV3476" s="11"/>
      <c r="AW3476" s="11"/>
      <c r="BB3476" s="9"/>
      <c r="BC3476" s="11"/>
      <c r="BF3476" s="9"/>
      <c r="CF3476" s="12"/>
      <c r="CH3476" s="9"/>
    </row>
    <row r="3477" spans="6:92" x14ac:dyDescent="0.25">
      <c r="F3477" s="9"/>
      <c r="G3477" s="9"/>
      <c r="AA3477" s="10"/>
      <c r="AV3477" s="11"/>
      <c r="AW3477" s="11"/>
      <c r="BB3477" s="9"/>
      <c r="BC3477" s="11"/>
      <c r="BF3477" s="9"/>
      <c r="CF3477" s="12"/>
      <c r="CH3477" s="9"/>
    </row>
    <row r="3478" spans="6:92" x14ac:dyDescent="0.25">
      <c r="F3478" s="9"/>
      <c r="G3478" s="9"/>
      <c r="AA3478" s="10"/>
      <c r="AV3478" s="11"/>
      <c r="AW3478" s="11"/>
      <c r="BB3478" s="9"/>
      <c r="BC3478" s="11"/>
      <c r="BF3478" s="9"/>
      <c r="CF3478" s="12"/>
      <c r="CH3478" s="9"/>
    </row>
    <row r="3479" spans="6:92" x14ac:dyDescent="0.25">
      <c r="F3479" s="9"/>
      <c r="G3479" s="9"/>
      <c r="AA3479" s="10"/>
      <c r="AV3479" s="11"/>
      <c r="AW3479" s="11"/>
      <c r="BB3479" s="9"/>
      <c r="BC3479" s="11"/>
      <c r="BF3479" s="9"/>
      <c r="CF3479" s="12"/>
      <c r="CH3479" s="9"/>
    </row>
    <row r="3480" spans="6:92" x14ac:dyDescent="0.25">
      <c r="F3480" s="9"/>
      <c r="G3480" s="9"/>
      <c r="AA3480" s="10"/>
      <c r="AV3480" s="11"/>
      <c r="AW3480" s="11"/>
      <c r="BB3480" s="9"/>
      <c r="BC3480" s="11"/>
      <c r="BF3480" s="9"/>
      <c r="CF3480" s="12"/>
      <c r="CH3480" s="9"/>
    </row>
    <row r="3481" spans="6:92" x14ac:dyDescent="0.25">
      <c r="F3481" s="9"/>
      <c r="G3481" s="9"/>
      <c r="AA3481" s="10"/>
      <c r="AV3481" s="11"/>
      <c r="AW3481" s="11"/>
      <c r="BB3481" s="9"/>
      <c r="BC3481" s="11"/>
      <c r="BF3481" s="9"/>
      <c r="CF3481" s="12"/>
      <c r="CH3481" s="9"/>
    </row>
    <row r="3482" spans="6:92" x14ac:dyDescent="0.25">
      <c r="F3482" s="9"/>
      <c r="G3482" s="9"/>
      <c r="U3482" s="12"/>
      <c r="Z3482" s="12"/>
      <c r="AA3482" s="10"/>
      <c r="AV3482" s="11"/>
      <c r="AW3482" s="11"/>
      <c r="BB3482" s="9"/>
      <c r="BC3482" s="11"/>
      <c r="BF3482" s="9"/>
      <c r="CF3482" s="12"/>
      <c r="CH3482" s="9"/>
      <c r="CN3482" s="12"/>
    </row>
    <row r="3483" spans="6:92" x14ac:dyDescent="0.25">
      <c r="F3483" s="9"/>
      <c r="G3483" s="9"/>
      <c r="U3483" s="12"/>
      <c r="Z3483" s="12"/>
      <c r="AA3483" s="10"/>
      <c r="AV3483" s="11"/>
      <c r="AW3483" s="11"/>
      <c r="BB3483" s="9"/>
      <c r="BC3483" s="11"/>
      <c r="BF3483" s="9"/>
      <c r="CF3483" s="12"/>
      <c r="CH3483" s="9"/>
    </row>
    <row r="3484" spans="6:92" x14ac:dyDescent="0.25">
      <c r="F3484" s="9"/>
      <c r="G3484" s="9"/>
      <c r="AA3484" s="10"/>
      <c r="AV3484" s="11"/>
      <c r="AW3484" s="11"/>
      <c r="BB3484" s="9"/>
      <c r="BC3484" s="11"/>
      <c r="BF3484" s="9"/>
      <c r="CF3484" s="12"/>
      <c r="CH3484" s="9"/>
    </row>
    <row r="3485" spans="6:92" x14ac:dyDescent="0.25">
      <c r="F3485" s="9"/>
      <c r="G3485" s="9"/>
      <c r="U3485" s="12"/>
      <c r="Y3485" s="12"/>
      <c r="Z3485" s="12"/>
      <c r="AA3485" s="10"/>
      <c r="AV3485" s="11"/>
      <c r="AW3485" s="11"/>
      <c r="BB3485" s="9"/>
      <c r="BC3485" s="11"/>
      <c r="BF3485" s="9"/>
      <c r="CF3485" s="12"/>
      <c r="CH3485" s="9"/>
      <c r="CN3485" s="12"/>
    </row>
    <row r="3486" spans="6:92" x14ac:dyDescent="0.25">
      <c r="F3486" s="9"/>
      <c r="G3486" s="9"/>
      <c r="AA3486" s="10"/>
      <c r="AV3486" s="11"/>
      <c r="AW3486" s="11"/>
      <c r="BB3486" s="9"/>
      <c r="BC3486" s="11"/>
      <c r="BF3486" s="9"/>
      <c r="CF3486" s="12"/>
      <c r="CH3486" s="9"/>
    </row>
    <row r="3487" spans="6:92" x14ac:dyDescent="0.25">
      <c r="F3487" s="9"/>
      <c r="G3487" s="9"/>
      <c r="AA3487" s="10"/>
      <c r="AV3487" s="11"/>
      <c r="AW3487" s="11"/>
      <c r="BB3487" s="9"/>
      <c r="BC3487" s="11"/>
      <c r="BF3487" s="9"/>
      <c r="CF3487" s="12"/>
      <c r="CH3487" s="9"/>
    </row>
    <row r="3488" spans="6:92" x14ac:dyDescent="0.25">
      <c r="F3488" s="9"/>
      <c r="G3488" s="9"/>
      <c r="AA3488" s="10"/>
      <c r="AV3488" s="11"/>
      <c r="AW3488" s="11"/>
      <c r="BB3488" s="9"/>
      <c r="BC3488" s="11"/>
      <c r="BF3488" s="9"/>
      <c r="CF3488" s="12"/>
      <c r="CH3488" s="9"/>
    </row>
    <row r="3489" spans="6:92" x14ac:dyDescent="0.25">
      <c r="F3489" s="9"/>
      <c r="G3489" s="9"/>
      <c r="AA3489" s="10"/>
      <c r="AV3489" s="11"/>
      <c r="AW3489" s="11"/>
      <c r="BB3489" s="9"/>
      <c r="BC3489" s="11"/>
      <c r="BF3489" s="9"/>
      <c r="CF3489" s="12"/>
      <c r="CH3489" s="9"/>
    </row>
    <row r="3490" spans="6:92" x14ac:dyDescent="0.25">
      <c r="F3490" s="9"/>
      <c r="G3490" s="9"/>
      <c r="AA3490" s="10"/>
      <c r="AV3490" s="11"/>
      <c r="AW3490" s="11"/>
      <c r="BB3490" s="9"/>
      <c r="BC3490" s="11"/>
      <c r="BF3490" s="9"/>
      <c r="CF3490" s="12"/>
      <c r="CH3490" s="9"/>
    </row>
    <row r="3491" spans="6:92" x14ac:dyDescent="0.25">
      <c r="F3491" s="9"/>
      <c r="G3491" s="9"/>
      <c r="AA3491" s="10"/>
      <c r="AV3491" s="11"/>
      <c r="AW3491" s="11"/>
      <c r="BB3491" s="9"/>
      <c r="BC3491" s="11"/>
      <c r="BF3491" s="9"/>
      <c r="CF3491" s="12"/>
      <c r="CH3491" s="9"/>
    </row>
    <row r="3492" spans="6:92" x14ac:dyDescent="0.25">
      <c r="F3492" s="9"/>
      <c r="G3492" s="9"/>
      <c r="AA3492" s="10"/>
      <c r="AV3492" s="11"/>
      <c r="AW3492" s="11"/>
      <c r="BB3492" s="9"/>
      <c r="BC3492" s="11"/>
      <c r="BF3492" s="9"/>
      <c r="CF3492" s="12"/>
      <c r="CH3492" s="9"/>
    </row>
    <row r="3493" spans="6:92" x14ac:dyDescent="0.25">
      <c r="F3493" s="9"/>
      <c r="G3493" s="9"/>
      <c r="AA3493" s="10"/>
      <c r="AV3493" s="11"/>
      <c r="AW3493" s="11"/>
      <c r="BB3493" s="9"/>
      <c r="BC3493" s="11"/>
      <c r="BF3493" s="9"/>
      <c r="CF3493" s="12"/>
      <c r="CH3493" s="9"/>
    </row>
    <row r="3494" spans="6:92" x14ac:dyDescent="0.25">
      <c r="F3494" s="9"/>
      <c r="G3494" s="9"/>
      <c r="AA3494" s="10"/>
      <c r="AV3494" s="11"/>
      <c r="AW3494" s="11"/>
      <c r="BB3494" s="9"/>
      <c r="BC3494" s="11"/>
      <c r="BF3494" s="9"/>
      <c r="CF3494" s="12"/>
      <c r="CH3494" s="9"/>
    </row>
    <row r="3495" spans="6:92" x14ac:dyDescent="0.25">
      <c r="F3495" s="9"/>
      <c r="G3495" s="9"/>
      <c r="AA3495" s="10"/>
      <c r="AV3495" s="11"/>
      <c r="AW3495" s="11"/>
      <c r="BB3495" s="9"/>
      <c r="BC3495" s="11"/>
      <c r="BF3495" s="9"/>
      <c r="CF3495" s="12"/>
      <c r="CH3495" s="9"/>
    </row>
    <row r="3496" spans="6:92" x14ac:dyDescent="0.25">
      <c r="F3496" s="9"/>
      <c r="G3496" s="9"/>
      <c r="AA3496" s="10"/>
      <c r="AV3496" s="11"/>
      <c r="AW3496" s="11"/>
      <c r="BB3496" s="9"/>
      <c r="BC3496" s="11"/>
      <c r="BF3496" s="9"/>
      <c r="CF3496" s="12"/>
      <c r="CH3496" s="9"/>
    </row>
    <row r="3497" spans="6:92" x14ac:dyDescent="0.25">
      <c r="F3497" s="9"/>
      <c r="G3497" s="9"/>
      <c r="AA3497" s="10"/>
      <c r="AV3497" s="11"/>
      <c r="AW3497" s="11"/>
      <c r="BB3497" s="9"/>
      <c r="BC3497" s="11"/>
      <c r="BF3497" s="9"/>
      <c r="CF3497" s="12"/>
      <c r="CH3497" s="9"/>
    </row>
    <row r="3498" spans="6:92" x14ac:dyDescent="0.25">
      <c r="F3498" s="9"/>
      <c r="G3498" s="9"/>
      <c r="AA3498" s="10"/>
      <c r="AV3498" s="11"/>
      <c r="AW3498" s="11"/>
      <c r="BB3498" s="9"/>
      <c r="BC3498" s="11"/>
      <c r="BF3498" s="9"/>
      <c r="CF3498" s="12"/>
      <c r="CH3498" s="9"/>
    </row>
    <row r="3499" spans="6:92" x14ac:dyDescent="0.25">
      <c r="F3499" s="9"/>
      <c r="G3499" s="9"/>
      <c r="AA3499" s="10"/>
      <c r="AV3499" s="11"/>
      <c r="AW3499" s="11"/>
      <c r="BB3499" s="9"/>
      <c r="BC3499" s="11"/>
      <c r="BF3499" s="9"/>
      <c r="CF3499" s="12"/>
      <c r="CH3499" s="9"/>
    </row>
    <row r="3500" spans="6:92" x14ac:dyDescent="0.25">
      <c r="F3500" s="9"/>
      <c r="G3500" s="9"/>
      <c r="AA3500" s="10"/>
      <c r="AV3500" s="11"/>
      <c r="AW3500" s="11"/>
      <c r="BB3500" s="9"/>
      <c r="BC3500" s="11"/>
      <c r="BF3500" s="9"/>
      <c r="CF3500" s="12"/>
      <c r="CH3500" s="9"/>
    </row>
    <row r="3501" spans="6:92" x14ac:dyDescent="0.25">
      <c r="F3501" s="9"/>
      <c r="G3501" s="9"/>
      <c r="AA3501" s="10"/>
      <c r="AV3501" s="11"/>
      <c r="AW3501" s="11"/>
      <c r="BB3501" s="9"/>
      <c r="BC3501" s="11"/>
      <c r="BF3501" s="9"/>
      <c r="CF3501" s="12"/>
      <c r="CH3501" s="9"/>
    </row>
    <row r="3502" spans="6:92" x14ac:dyDescent="0.25">
      <c r="F3502" s="9"/>
      <c r="G3502" s="9"/>
      <c r="AA3502" s="10"/>
      <c r="AV3502" s="11"/>
      <c r="AW3502" s="11"/>
      <c r="BB3502" s="9"/>
      <c r="BC3502" s="11"/>
      <c r="BF3502" s="9"/>
      <c r="CF3502" s="12"/>
      <c r="CH3502" s="9"/>
    </row>
    <row r="3503" spans="6:92" x14ac:dyDescent="0.25">
      <c r="F3503" s="9"/>
      <c r="G3503" s="9"/>
      <c r="U3503" s="12"/>
      <c r="Y3503" s="12"/>
      <c r="AA3503" s="10"/>
      <c r="AV3503" s="11"/>
      <c r="AW3503" s="11"/>
      <c r="BB3503" s="9"/>
      <c r="BC3503" s="11"/>
      <c r="BF3503" s="9"/>
      <c r="CF3503" s="12"/>
      <c r="CH3503" s="9"/>
      <c r="CN3503" s="12"/>
    </row>
    <row r="3504" spans="6:92" x14ac:dyDescent="0.25">
      <c r="F3504" s="9"/>
      <c r="G3504" s="9"/>
      <c r="AA3504" s="10"/>
      <c r="AV3504" s="11"/>
      <c r="AW3504" s="11"/>
      <c r="BB3504" s="9"/>
      <c r="BC3504" s="11"/>
      <c r="BF3504" s="9"/>
      <c r="CF3504" s="12"/>
      <c r="CH3504" s="9"/>
    </row>
    <row r="3505" spans="6:86" x14ac:dyDescent="0.25">
      <c r="F3505" s="9"/>
      <c r="G3505" s="9"/>
      <c r="AA3505" s="10"/>
      <c r="AV3505" s="11"/>
      <c r="AW3505" s="11"/>
      <c r="BB3505" s="9"/>
      <c r="BC3505" s="11"/>
      <c r="BF3505" s="9"/>
      <c r="CH3505" s="9"/>
    </row>
    <row r="3506" spans="6:86" x14ac:dyDescent="0.25">
      <c r="F3506" s="9"/>
      <c r="G3506" s="9"/>
      <c r="AA3506" s="10"/>
      <c r="AV3506" s="11"/>
      <c r="AW3506" s="11"/>
      <c r="BB3506" s="9"/>
      <c r="BC3506" s="11"/>
      <c r="BF3506" s="9"/>
      <c r="CF3506" s="12"/>
      <c r="CH3506" s="9"/>
    </row>
    <row r="3507" spans="6:86" x14ac:dyDescent="0.25">
      <c r="F3507" s="9"/>
      <c r="G3507" s="9"/>
      <c r="AA3507" s="10"/>
      <c r="AV3507" s="11"/>
      <c r="AW3507" s="11"/>
      <c r="BB3507" s="9"/>
      <c r="BC3507" s="11"/>
      <c r="BF3507" s="9"/>
      <c r="CF3507" s="12"/>
      <c r="CH3507" s="9"/>
    </row>
    <row r="3508" spans="6:86" x14ac:dyDescent="0.25">
      <c r="F3508" s="9"/>
      <c r="G3508" s="9"/>
      <c r="AA3508" s="10"/>
      <c r="AV3508" s="11"/>
      <c r="AW3508" s="11"/>
      <c r="BB3508" s="9"/>
      <c r="BC3508" s="11"/>
      <c r="BF3508" s="9"/>
      <c r="CF3508" s="12"/>
      <c r="CH3508" s="9"/>
    </row>
    <row r="3509" spans="6:86" x14ac:dyDescent="0.25">
      <c r="F3509" s="9"/>
      <c r="G3509" s="9"/>
      <c r="AA3509" s="10"/>
      <c r="AV3509" s="11"/>
      <c r="AW3509" s="11"/>
      <c r="BB3509" s="9"/>
      <c r="BC3509" s="11"/>
      <c r="BF3509" s="9"/>
      <c r="CF3509" s="12"/>
      <c r="CH3509" s="9"/>
    </row>
    <row r="3510" spans="6:86" x14ac:dyDescent="0.25">
      <c r="F3510" s="9"/>
      <c r="G3510" s="9"/>
      <c r="AA3510" s="10"/>
      <c r="AV3510" s="11"/>
      <c r="AW3510" s="11"/>
      <c r="BB3510" s="9"/>
      <c r="BC3510" s="11"/>
      <c r="BF3510" s="9"/>
      <c r="CF3510" s="12"/>
      <c r="CH3510" s="9"/>
    </row>
    <row r="3511" spans="6:86" x14ac:dyDescent="0.25">
      <c r="F3511" s="9"/>
      <c r="G3511" s="9"/>
      <c r="AA3511" s="10"/>
      <c r="AV3511" s="11"/>
      <c r="AW3511" s="11"/>
      <c r="BB3511" s="9"/>
      <c r="BC3511" s="11"/>
      <c r="BF3511" s="9"/>
      <c r="CF3511" s="12"/>
      <c r="CH3511" s="9"/>
    </row>
    <row r="3512" spans="6:86" x14ac:dyDescent="0.25">
      <c r="F3512" s="9"/>
      <c r="G3512" s="9"/>
      <c r="AA3512" s="10"/>
      <c r="AV3512" s="11"/>
      <c r="AW3512" s="11"/>
      <c r="BB3512" s="9"/>
      <c r="BC3512" s="11"/>
      <c r="BF3512" s="9"/>
      <c r="CF3512" s="12"/>
      <c r="CH3512" s="9"/>
    </row>
    <row r="3513" spans="6:86" x14ac:dyDescent="0.25">
      <c r="F3513" s="9"/>
      <c r="G3513" s="9"/>
      <c r="AA3513" s="10"/>
      <c r="AV3513" s="11"/>
      <c r="AW3513" s="11"/>
      <c r="BB3513" s="9"/>
      <c r="BC3513" s="11"/>
      <c r="BF3513" s="9"/>
      <c r="CF3513" s="12"/>
      <c r="CH3513" s="9"/>
    </row>
    <row r="3514" spans="6:86" x14ac:dyDescent="0.25">
      <c r="F3514" s="9"/>
      <c r="G3514" s="9"/>
      <c r="AA3514" s="10"/>
      <c r="AV3514" s="11"/>
      <c r="AW3514" s="11"/>
      <c r="BB3514" s="9"/>
      <c r="BC3514" s="11"/>
      <c r="BF3514" s="9"/>
      <c r="CF3514" s="12"/>
      <c r="CH3514" s="9"/>
    </row>
    <row r="3515" spans="6:86" x14ac:dyDescent="0.25">
      <c r="F3515" s="9"/>
      <c r="G3515" s="9"/>
      <c r="AA3515" s="10"/>
      <c r="AV3515" s="11"/>
      <c r="AW3515" s="11"/>
      <c r="BB3515" s="9"/>
      <c r="BC3515" s="11"/>
      <c r="BF3515" s="9"/>
      <c r="CF3515" s="12"/>
      <c r="CH3515" s="9"/>
    </row>
    <row r="3516" spans="6:86" x14ac:dyDescent="0.25">
      <c r="F3516" s="9"/>
      <c r="G3516" s="9"/>
      <c r="AA3516" s="10"/>
      <c r="AV3516" s="11"/>
      <c r="AW3516" s="11"/>
      <c r="BB3516" s="9"/>
      <c r="BC3516" s="11"/>
      <c r="BF3516" s="9"/>
      <c r="CF3516" s="12"/>
      <c r="CH3516" s="9"/>
    </row>
    <row r="3517" spans="6:86" x14ac:dyDescent="0.25">
      <c r="F3517" s="9"/>
      <c r="G3517" s="9"/>
      <c r="AA3517" s="10"/>
      <c r="AV3517" s="11"/>
      <c r="AW3517" s="11"/>
      <c r="BB3517" s="9"/>
      <c r="BC3517" s="11"/>
      <c r="BF3517" s="9"/>
      <c r="CF3517" s="12"/>
      <c r="CH3517" s="9"/>
    </row>
    <row r="3518" spans="6:86" x14ac:dyDescent="0.25">
      <c r="F3518" s="9"/>
      <c r="G3518" s="9"/>
      <c r="AA3518" s="10"/>
      <c r="AV3518" s="11"/>
      <c r="AW3518" s="11"/>
      <c r="BB3518" s="9"/>
      <c r="BC3518" s="11"/>
      <c r="BF3518" s="9"/>
      <c r="CF3518" s="12"/>
      <c r="CH3518" s="9"/>
    </row>
    <row r="3519" spans="6:86" x14ac:dyDescent="0.25">
      <c r="F3519" s="9"/>
      <c r="G3519" s="9"/>
      <c r="AA3519" s="10"/>
      <c r="AV3519" s="11"/>
      <c r="AW3519" s="11"/>
      <c r="BB3519" s="9"/>
      <c r="BC3519" s="11"/>
      <c r="BF3519" s="9"/>
      <c r="CF3519" s="12"/>
      <c r="CH3519" s="9"/>
    </row>
    <row r="3520" spans="6:86" x14ac:dyDescent="0.25">
      <c r="F3520" s="9"/>
      <c r="G3520" s="9"/>
      <c r="AA3520" s="10"/>
      <c r="AV3520" s="11"/>
      <c r="AW3520" s="11"/>
      <c r="BB3520" s="9"/>
      <c r="BC3520" s="11"/>
      <c r="BF3520" s="9"/>
      <c r="CF3520" s="12"/>
      <c r="CH3520" s="9"/>
    </row>
    <row r="3521" spans="6:86" x14ac:dyDescent="0.25">
      <c r="F3521" s="9"/>
      <c r="G3521" s="9"/>
      <c r="AA3521" s="10"/>
      <c r="AV3521" s="11"/>
      <c r="AW3521" s="11"/>
      <c r="BB3521" s="9"/>
      <c r="BC3521" s="11"/>
      <c r="BF3521" s="9"/>
      <c r="CF3521" s="12"/>
      <c r="CH3521" s="9"/>
    </row>
    <row r="3522" spans="6:86" x14ac:dyDescent="0.25">
      <c r="F3522" s="9"/>
      <c r="G3522" s="9"/>
      <c r="AA3522" s="10"/>
      <c r="AV3522" s="11"/>
      <c r="AW3522" s="11"/>
      <c r="BB3522" s="9"/>
      <c r="BC3522" s="11"/>
      <c r="BF3522" s="9"/>
      <c r="CF3522" s="12"/>
      <c r="CH3522" s="9"/>
    </row>
    <row r="3523" spans="6:86" x14ac:dyDescent="0.25">
      <c r="F3523" s="9"/>
      <c r="G3523" s="9"/>
      <c r="AA3523" s="10"/>
      <c r="AV3523" s="11"/>
      <c r="AW3523" s="11"/>
      <c r="BB3523" s="9"/>
      <c r="BC3523" s="11"/>
      <c r="BF3523" s="9"/>
      <c r="CH3523" s="9"/>
    </row>
    <row r="3524" spans="6:86" x14ac:dyDescent="0.25">
      <c r="F3524" s="9"/>
      <c r="G3524" s="9"/>
      <c r="AA3524" s="10"/>
      <c r="AV3524" s="11"/>
      <c r="AW3524" s="11"/>
      <c r="BB3524" s="9"/>
      <c r="BC3524" s="11"/>
      <c r="BF3524" s="9"/>
      <c r="CF3524" s="12"/>
      <c r="CH3524" s="9"/>
    </row>
    <row r="3525" spans="6:86" x14ac:dyDescent="0.25">
      <c r="F3525" s="9"/>
      <c r="G3525" s="9"/>
      <c r="AA3525" s="10"/>
      <c r="AV3525" s="11"/>
      <c r="AW3525" s="11"/>
      <c r="BB3525" s="9"/>
      <c r="BC3525" s="11"/>
      <c r="BF3525" s="9"/>
      <c r="CF3525" s="12"/>
      <c r="CH3525" s="9"/>
    </row>
    <row r="3526" spans="6:86" x14ac:dyDescent="0.25">
      <c r="F3526" s="9"/>
      <c r="G3526" s="9"/>
      <c r="AA3526" s="10"/>
      <c r="AV3526" s="11"/>
      <c r="AW3526" s="11"/>
      <c r="BB3526" s="9"/>
      <c r="BC3526" s="11"/>
      <c r="BF3526" s="9"/>
      <c r="CF3526" s="12"/>
      <c r="CH3526" s="9"/>
    </row>
    <row r="3527" spans="6:86" x14ac:dyDescent="0.25">
      <c r="F3527" s="9"/>
      <c r="G3527" s="9"/>
      <c r="AA3527" s="10"/>
      <c r="AV3527" s="11"/>
      <c r="AW3527" s="11"/>
      <c r="BB3527" s="9"/>
      <c r="BC3527" s="11"/>
      <c r="BF3527" s="9"/>
      <c r="CF3527" s="12"/>
      <c r="CH3527" s="9"/>
    </row>
    <row r="3528" spans="6:86" x14ac:dyDescent="0.25">
      <c r="F3528" s="9"/>
      <c r="G3528" s="9"/>
      <c r="AA3528" s="10"/>
      <c r="AV3528" s="11"/>
      <c r="AW3528" s="11"/>
      <c r="BB3528" s="9"/>
      <c r="BC3528" s="11"/>
      <c r="BF3528" s="9"/>
      <c r="CF3528" s="12"/>
      <c r="CH3528" s="9"/>
    </row>
    <row r="3529" spans="6:86" x14ac:dyDescent="0.25">
      <c r="F3529" s="9"/>
      <c r="G3529" s="9"/>
      <c r="AA3529" s="10"/>
      <c r="AV3529" s="11"/>
      <c r="AW3529" s="11"/>
      <c r="BB3529" s="9"/>
      <c r="BC3529" s="11"/>
      <c r="BF3529" s="9"/>
      <c r="CF3529" s="12"/>
      <c r="CH3529" s="9"/>
    </row>
    <row r="3530" spans="6:86" x14ac:dyDescent="0.25">
      <c r="F3530" s="9"/>
      <c r="G3530" s="9"/>
      <c r="AA3530" s="10"/>
      <c r="AV3530" s="11"/>
      <c r="AW3530" s="11"/>
      <c r="BB3530" s="9"/>
      <c r="BC3530" s="11"/>
      <c r="BF3530" s="9"/>
      <c r="CF3530" s="12"/>
      <c r="CH3530" s="9"/>
    </row>
    <row r="3531" spans="6:86" x14ac:dyDescent="0.25">
      <c r="F3531" s="9"/>
      <c r="G3531" s="9"/>
      <c r="AA3531" s="10"/>
      <c r="AV3531" s="11"/>
      <c r="AW3531" s="11"/>
      <c r="BB3531" s="9"/>
      <c r="BC3531" s="11"/>
      <c r="BF3531" s="9"/>
      <c r="CF3531" s="12"/>
      <c r="CH3531" s="9"/>
    </row>
    <row r="3532" spans="6:86" x14ac:dyDescent="0.25">
      <c r="F3532" s="9"/>
      <c r="G3532" s="9"/>
      <c r="AA3532" s="10"/>
      <c r="AV3532" s="11"/>
      <c r="AW3532" s="11"/>
      <c r="BB3532" s="9"/>
      <c r="BC3532" s="11"/>
      <c r="BF3532" s="9"/>
      <c r="CF3532" s="12"/>
      <c r="CH3532" s="9"/>
    </row>
    <row r="3533" spans="6:86" x14ac:dyDescent="0.25">
      <c r="F3533" s="9"/>
      <c r="G3533" s="9"/>
      <c r="AA3533" s="10"/>
      <c r="AV3533" s="11"/>
      <c r="AW3533" s="11"/>
      <c r="BB3533" s="9"/>
      <c r="BC3533" s="11"/>
      <c r="BF3533" s="9"/>
      <c r="CF3533" s="12"/>
      <c r="CH3533" s="9"/>
    </row>
    <row r="3534" spans="6:86" x14ac:dyDescent="0.25">
      <c r="F3534" s="9"/>
      <c r="G3534" s="9"/>
      <c r="AA3534" s="10"/>
      <c r="AV3534" s="11"/>
      <c r="AW3534" s="11"/>
      <c r="BB3534" s="9"/>
      <c r="BC3534" s="11"/>
      <c r="BF3534" s="9"/>
      <c r="CF3534" s="12"/>
      <c r="CH3534" s="9"/>
    </row>
    <row r="3535" spans="6:86" x14ac:dyDescent="0.25">
      <c r="F3535" s="9"/>
      <c r="G3535" s="9"/>
      <c r="AA3535" s="10"/>
      <c r="AV3535" s="11"/>
      <c r="AW3535" s="11"/>
      <c r="BB3535" s="9"/>
      <c r="BC3535" s="11"/>
      <c r="BF3535" s="9"/>
      <c r="CF3535" s="12"/>
      <c r="CH3535" s="9"/>
    </row>
    <row r="3536" spans="6:86" x14ac:dyDescent="0.25">
      <c r="F3536" s="9"/>
      <c r="G3536" s="9"/>
      <c r="AA3536" s="10"/>
      <c r="AV3536" s="11"/>
      <c r="AW3536" s="11"/>
      <c r="BB3536" s="9"/>
      <c r="BC3536" s="11"/>
      <c r="BF3536" s="9"/>
      <c r="CF3536" s="12"/>
      <c r="CH3536" s="9"/>
    </row>
    <row r="3537" spans="6:86" x14ac:dyDescent="0.25">
      <c r="F3537" s="9"/>
      <c r="G3537" s="9"/>
      <c r="AA3537" s="10"/>
      <c r="AV3537" s="11"/>
      <c r="AW3537" s="11"/>
      <c r="BB3537" s="9"/>
      <c r="BC3537" s="11"/>
      <c r="BF3537" s="9"/>
      <c r="CF3537" s="12"/>
      <c r="CH3537" s="9"/>
    </row>
    <row r="3538" spans="6:86" x14ac:dyDescent="0.25">
      <c r="F3538" s="9"/>
      <c r="G3538" s="9"/>
      <c r="AA3538" s="10"/>
      <c r="AV3538" s="11"/>
      <c r="AW3538" s="11"/>
      <c r="BB3538" s="9"/>
      <c r="BC3538" s="11"/>
      <c r="BF3538" s="9"/>
      <c r="CF3538" s="12"/>
      <c r="CH3538" s="9"/>
    </row>
    <row r="3539" spans="6:86" x14ac:dyDescent="0.25">
      <c r="F3539" s="9"/>
      <c r="G3539" s="9"/>
      <c r="AA3539" s="10"/>
      <c r="AV3539" s="11"/>
      <c r="AW3539" s="11"/>
      <c r="BB3539" s="9"/>
      <c r="BC3539" s="11"/>
      <c r="BF3539" s="9"/>
      <c r="CF3539" s="12"/>
      <c r="CH3539" s="9"/>
    </row>
    <row r="3540" spans="6:86" x14ac:dyDescent="0.25">
      <c r="F3540" s="9"/>
      <c r="G3540" s="9"/>
      <c r="AA3540" s="10"/>
      <c r="AV3540" s="11"/>
      <c r="AW3540" s="11"/>
      <c r="BB3540" s="9"/>
      <c r="BC3540" s="11"/>
      <c r="BF3540" s="9"/>
      <c r="CF3540" s="12"/>
      <c r="CH3540" s="9"/>
    </row>
    <row r="3541" spans="6:86" x14ac:dyDescent="0.25">
      <c r="F3541" s="9"/>
      <c r="G3541" s="9"/>
      <c r="AA3541" s="10"/>
      <c r="AV3541" s="11"/>
      <c r="AW3541" s="11"/>
      <c r="BB3541" s="9"/>
      <c r="BC3541" s="11"/>
      <c r="BF3541" s="9"/>
      <c r="CF3541" s="12"/>
      <c r="CH3541" s="9"/>
    </row>
    <row r="3542" spans="6:86" x14ac:dyDescent="0.25">
      <c r="F3542" s="9"/>
      <c r="G3542" s="9"/>
      <c r="AA3542" s="10"/>
      <c r="AV3542" s="11"/>
      <c r="AW3542" s="11"/>
      <c r="BB3542" s="9"/>
      <c r="BC3542" s="11"/>
      <c r="BF3542" s="9"/>
      <c r="CF3542" s="12"/>
      <c r="CH3542" s="9"/>
    </row>
    <row r="3543" spans="6:86" x14ac:dyDescent="0.25">
      <c r="F3543" s="9"/>
      <c r="G3543" s="9"/>
      <c r="AA3543" s="10"/>
      <c r="AV3543" s="11"/>
      <c r="AW3543" s="11"/>
      <c r="BB3543" s="9"/>
      <c r="BC3543" s="11"/>
      <c r="BF3543" s="9"/>
      <c r="CF3543" s="12"/>
      <c r="CH3543" s="9"/>
    </row>
    <row r="3544" spans="6:86" x14ac:dyDescent="0.25">
      <c r="F3544" s="9"/>
      <c r="G3544" s="9"/>
      <c r="AA3544" s="10"/>
      <c r="AV3544" s="11"/>
      <c r="AW3544" s="11"/>
      <c r="BB3544" s="9"/>
      <c r="BC3544" s="11"/>
      <c r="BF3544" s="9"/>
      <c r="CF3544" s="12"/>
      <c r="CH3544" s="9"/>
    </row>
    <row r="3545" spans="6:86" x14ac:dyDescent="0.25">
      <c r="F3545" s="9"/>
      <c r="G3545" s="9"/>
      <c r="AA3545" s="10"/>
      <c r="AV3545" s="11"/>
      <c r="AW3545" s="11"/>
      <c r="BB3545" s="9"/>
      <c r="BC3545" s="11"/>
      <c r="BF3545" s="9"/>
      <c r="CF3545" s="12"/>
      <c r="CH3545" s="9"/>
    </row>
    <row r="3546" spans="6:86" x14ac:dyDescent="0.25">
      <c r="F3546" s="9"/>
      <c r="G3546" s="9"/>
      <c r="AA3546" s="10"/>
      <c r="AV3546" s="11"/>
      <c r="AW3546" s="11"/>
      <c r="BB3546" s="9"/>
      <c r="BC3546" s="11"/>
      <c r="BF3546" s="9"/>
      <c r="CF3546" s="12"/>
      <c r="CH3546" s="9"/>
    </row>
    <row r="3547" spans="6:86" x14ac:dyDescent="0.25">
      <c r="F3547" s="9"/>
      <c r="G3547" s="9"/>
      <c r="AA3547" s="10"/>
      <c r="AV3547" s="11"/>
      <c r="AW3547" s="11"/>
      <c r="BB3547" s="9"/>
      <c r="BC3547" s="11"/>
      <c r="BF3547" s="9"/>
      <c r="CF3547" s="12"/>
      <c r="CH3547" s="9"/>
    </row>
    <row r="3548" spans="6:86" x14ac:dyDescent="0.25">
      <c r="F3548" s="9"/>
      <c r="G3548" s="9"/>
      <c r="AA3548" s="10"/>
      <c r="AV3548" s="11"/>
      <c r="AW3548" s="11"/>
      <c r="BB3548" s="9"/>
      <c r="BC3548" s="11"/>
      <c r="BF3548" s="9"/>
      <c r="CF3548" s="12"/>
      <c r="CH3548" s="9"/>
    </row>
    <row r="3549" spans="6:86" x14ac:dyDescent="0.25">
      <c r="F3549" s="9"/>
      <c r="G3549" s="9"/>
      <c r="AA3549" s="10"/>
      <c r="AV3549" s="11"/>
      <c r="AW3549" s="11"/>
      <c r="BB3549" s="9"/>
      <c r="BC3549" s="11"/>
      <c r="BF3549" s="9"/>
      <c r="CF3549" s="12"/>
      <c r="CH3549" s="9"/>
    </row>
    <row r="3550" spans="6:86" x14ac:dyDescent="0.25">
      <c r="F3550" s="9"/>
      <c r="G3550" s="9"/>
      <c r="AA3550" s="10"/>
      <c r="AV3550" s="11"/>
      <c r="AW3550" s="11"/>
      <c r="BB3550" s="9"/>
      <c r="BC3550" s="11"/>
      <c r="BF3550" s="9"/>
      <c r="CF3550" s="12"/>
      <c r="CH3550" s="9"/>
    </row>
    <row r="3551" spans="6:86" x14ac:dyDescent="0.25">
      <c r="F3551" s="9"/>
      <c r="G3551" s="9"/>
      <c r="AA3551" s="10"/>
      <c r="AV3551" s="11"/>
      <c r="AW3551" s="11"/>
      <c r="BB3551" s="9"/>
      <c r="BC3551" s="11"/>
      <c r="BF3551" s="9"/>
      <c r="CF3551" s="12"/>
      <c r="CH3551" s="9"/>
    </row>
    <row r="3552" spans="6:86" x14ac:dyDescent="0.25">
      <c r="F3552" s="9"/>
      <c r="G3552" s="9"/>
      <c r="AA3552" s="10"/>
      <c r="AV3552" s="11"/>
      <c r="AW3552" s="11"/>
      <c r="BB3552" s="9"/>
      <c r="BC3552" s="11"/>
      <c r="BF3552" s="9"/>
      <c r="CH3552" s="9"/>
    </row>
    <row r="3553" spans="6:86" x14ac:dyDescent="0.25">
      <c r="F3553" s="9"/>
      <c r="G3553" s="9"/>
      <c r="AA3553" s="10"/>
      <c r="AV3553" s="11"/>
      <c r="AW3553" s="11"/>
      <c r="BB3553" s="9"/>
      <c r="BC3553" s="11"/>
      <c r="BF3553" s="9"/>
      <c r="CH3553" s="9"/>
    </row>
    <row r="3554" spans="6:86" x14ac:dyDescent="0.25">
      <c r="F3554" s="9"/>
      <c r="G3554" s="9"/>
      <c r="AA3554" s="10"/>
      <c r="AV3554" s="11"/>
      <c r="AW3554" s="11"/>
      <c r="BB3554" s="9"/>
      <c r="BC3554" s="11"/>
      <c r="BF3554" s="9"/>
      <c r="CF3554" s="12"/>
      <c r="CH3554" s="9"/>
    </row>
    <row r="3555" spans="6:86" x14ac:dyDescent="0.25">
      <c r="F3555" s="9"/>
      <c r="G3555" s="9"/>
      <c r="AA3555" s="10"/>
      <c r="AV3555" s="11"/>
      <c r="AW3555" s="11"/>
      <c r="BB3555" s="9"/>
      <c r="BC3555" s="11"/>
      <c r="BF3555" s="9"/>
      <c r="CF3555" s="12"/>
      <c r="CH3555" s="9"/>
    </row>
    <row r="3556" spans="6:86" x14ac:dyDescent="0.25">
      <c r="F3556" s="9"/>
      <c r="G3556" s="9"/>
      <c r="AA3556" s="10"/>
      <c r="AV3556" s="11"/>
      <c r="AW3556" s="11"/>
      <c r="BB3556" s="9"/>
      <c r="BC3556" s="11"/>
      <c r="BF3556" s="9"/>
      <c r="CF3556" s="12"/>
      <c r="CH3556" s="9"/>
    </row>
    <row r="3557" spans="6:86" x14ac:dyDescent="0.25">
      <c r="F3557" s="9"/>
      <c r="G3557" s="9"/>
      <c r="AA3557" s="10"/>
      <c r="AV3557" s="11"/>
      <c r="AW3557" s="11"/>
      <c r="BB3557" s="9"/>
      <c r="BC3557" s="11"/>
      <c r="BF3557" s="9"/>
      <c r="CF3557" s="12"/>
      <c r="CH3557" s="9"/>
    </row>
    <row r="3558" spans="6:86" x14ac:dyDescent="0.25">
      <c r="F3558" s="9"/>
      <c r="G3558" s="9"/>
      <c r="AA3558" s="10"/>
      <c r="AV3558" s="11"/>
      <c r="AW3558" s="11"/>
      <c r="BB3558" s="9"/>
      <c r="BC3558" s="11"/>
      <c r="BF3558" s="9"/>
      <c r="CF3558" s="12"/>
      <c r="CH3558" s="9"/>
    </row>
    <row r="3559" spans="6:86" x14ac:dyDescent="0.25">
      <c r="F3559" s="9"/>
      <c r="G3559" s="9"/>
      <c r="AA3559" s="10"/>
      <c r="AV3559" s="11"/>
      <c r="AW3559" s="11"/>
      <c r="BB3559" s="9"/>
      <c r="BC3559" s="11"/>
      <c r="BF3559" s="9"/>
      <c r="CF3559" s="12"/>
      <c r="CH3559" s="9"/>
    </row>
    <row r="3560" spans="6:86" x14ac:dyDescent="0.25">
      <c r="F3560" s="9"/>
      <c r="G3560" s="9"/>
      <c r="AA3560" s="10"/>
      <c r="AV3560" s="11"/>
      <c r="AW3560" s="11"/>
      <c r="BB3560" s="9"/>
      <c r="BC3560" s="11"/>
      <c r="BF3560" s="9"/>
      <c r="CF3560" s="12"/>
      <c r="CH3560" s="9"/>
    </row>
    <row r="3561" spans="6:86" x14ac:dyDescent="0.25">
      <c r="F3561" s="9"/>
      <c r="G3561" s="9"/>
      <c r="AA3561" s="10"/>
      <c r="AV3561" s="11"/>
      <c r="AW3561" s="11"/>
      <c r="BB3561" s="9"/>
      <c r="BC3561" s="11"/>
      <c r="BF3561" s="9"/>
      <c r="CF3561" s="12"/>
      <c r="CH3561" s="9"/>
    </row>
    <row r="3562" spans="6:86" x14ac:dyDescent="0.25">
      <c r="F3562" s="9"/>
      <c r="G3562" s="9"/>
      <c r="AA3562" s="10"/>
      <c r="AV3562" s="11"/>
      <c r="AW3562" s="11"/>
      <c r="BB3562" s="9"/>
      <c r="BC3562" s="11"/>
      <c r="BF3562" s="9"/>
      <c r="CH3562" s="9"/>
    </row>
    <row r="3563" spans="6:86" x14ac:dyDescent="0.25">
      <c r="F3563" s="9"/>
      <c r="G3563" s="9"/>
      <c r="AA3563" s="10"/>
      <c r="AV3563" s="11"/>
      <c r="AW3563" s="11"/>
      <c r="BB3563" s="9"/>
      <c r="BC3563" s="11"/>
      <c r="BF3563" s="9"/>
      <c r="CF3563" s="12"/>
      <c r="CH3563" s="9"/>
    </row>
    <row r="3564" spans="6:86" x14ac:dyDescent="0.25">
      <c r="F3564" s="9"/>
      <c r="G3564" s="9"/>
      <c r="AA3564" s="10"/>
      <c r="AV3564" s="11"/>
      <c r="AW3564" s="11"/>
      <c r="BB3564" s="9"/>
      <c r="BC3564" s="11"/>
      <c r="BF3564" s="9"/>
      <c r="CF3564" s="12"/>
      <c r="CH3564" s="9"/>
    </row>
    <row r="3565" spans="6:86" x14ac:dyDescent="0.25">
      <c r="F3565" s="9"/>
      <c r="G3565" s="9"/>
      <c r="AA3565" s="10"/>
      <c r="AV3565" s="11"/>
      <c r="AW3565" s="11"/>
      <c r="BB3565" s="9"/>
      <c r="BC3565" s="11"/>
      <c r="BF3565" s="9"/>
      <c r="CF3565" s="12"/>
      <c r="CH3565" s="9"/>
    </row>
    <row r="3566" spans="6:86" x14ac:dyDescent="0.25">
      <c r="F3566" s="9"/>
      <c r="G3566" s="9"/>
      <c r="AA3566" s="10"/>
      <c r="AV3566" s="11"/>
      <c r="AW3566" s="11"/>
      <c r="BB3566" s="9"/>
      <c r="BC3566" s="11"/>
      <c r="BF3566" s="9"/>
      <c r="CF3566" s="12"/>
      <c r="CH3566" s="9"/>
    </row>
    <row r="3567" spans="6:86" x14ac:dyDescent="0.25">
      <c r="F3567" s="9"/>
      <c r="G3567" s="9"/>
      <c r="AA3567" s="10"/>
      <c r="AV3567" s="11"/>
      <c r="AW3567" s="11"/>
      <c r="BB3567" s="9"/>
      <c r="BC3567" s="11"/>
      <c r="BF3567" s="9"/>
      <c r="CF3567" s="12"/>
      <c r="CH3567" s="9"/>
    </row>
    <row r="3568" spans="6:86" x14ac:dyDescent="0.25">
      <c r="F3568" s="9"/>
      <c r="G3568" s="9"/>
      <c r="AA3568" s="10"/>
      <c r="AV3568" s="11"/>
      <c r="AW3568" s="11"/>
      <c r="BB3568" s="9"/>
      <c r="BC3568" s="11"/>
      <c r="BF3568" s="9"/>
      <c r="CF3568" s="12"/>
      <c r="CH3568" s="9"/>
    </row>
    <row r="3569" spans="6:86" x14ac:dyDescent="0.25">
      <c r="F3569" s="9"/>
      <c r="G3569" s="9"/>
      <c r="AA3569" s="10"/>
      <c r="AV3569" s="11"/>
      <c r="AW3569" s="11"/>
      <c r="BB3569" s="9"/>
      <c r="BC3569" s="11"/>
      <c r="BF3569" s="9"/>
      <c r="CF3569" s="12"/>
      <c r="CH3569" s="9"/>
    </row>
    <row r="3570" spans="6:86" x14ac:dyDescent="0.25">
      <c r="F3570" s="9"/>
      <c r="G3570" s="9"/>
      <c r="AA3570" s="10"/>
      <c r="AV3570" s="11"/>
      <c r="AW3570" s="11"/>
      <c r="BB3570" s="9"/>
      <c r="BC3570" s="11"/>
      <c r="BF3570" s="9"/>
      <c r="CF3570" s="12"/>
      <c r="CH3570" s="9"/>
    </row>
    <row r="3571" spans="6:86" x14ac:dyDescent="0.25">
      <c r="F3571" s="9"/>
      <c r="G3571" s="9"/>
      <c r="AA3571" s="10"/>
      <c r="AV3571" s="11"/>
      <c r="AW3571" s="11"/>
      <c r="BB3571" s="9"/>
      <c r="BC3571" s="11"/>
      <c r="BF3571" s="9"/>
      <c r="CF3571" s="12"/>
      <c r="CH3571" s="9"/>
    </row>
    <row r="3572" spans="6:86" x14ac:dyDescent="0.25">
      <c r="F3572" s="9"/>
      <c r="G3572" s="9"/>
      <c r="AA3572" s="10"/>
      <c r="AV3572" s="11"/>
      <c r="AW3572" s="11"/>
      <c r="BB3572" s="9"/>
      <c r="BC3572" s="11"/>
      <c r="BF3572" s="9"/>
      <c r="CF3572" s="12"/>
      <c r="CH3572" s="9"/>
    </row>
    <row r="3573" spans="6:86" x14ac:dyDescent="0.25">
      <c r="F3573" s="9"/>
      <c r="G3573" s="9"/>
      <c r="AA3573" s="10"/>
      <c r="AV3573" s="11"/>
      <c r="AW3573" s="11"/>
      <c r="BB3573" s="9"/>
      <c r="BC3573" s="11"/>
      <c r="BF3573" s="9"/>
      <c r="CF3573" s="12"/>
      <c r="CH3573" s="9"/>
    </row>
    <row r="3574" spans="6:86" x14ac:dyDescent="0.25">
      <c r="F3574" s="9"/>
      <c r="G3574" s="9"/>
      <c r="AA3574" s="10"/>
      <c r="AV3574" s="11"/>
      <c r="AW3574" s="11"/>
      <c r="BB3574" s="9"/>
      <c r="BC3574" s="11"/>
      <c r="BF3574" s="9"/>
      <c r="CF3574" s="12"/>
      <c r="CH3574" s="9"/>
    </row>
    <row r="3575" spans="6:86" x14ac:dyDescent="0.25">
      <c r="F3575" s="9"/>
      <c r="G3575" s="9"/>
      <c r="AA3575" s="10"/>
      <c r="AV3575" s="11"/>
      <c r="AW3575" s="11"/>
      <c r="BB3575" s="9"/>
      <c r="BC3575" s="11"/>
      <c r="BF3575" s="9"/>
      <c r="CF3575" s="12"/>
      <c r="CH3575" s="9"/>
    </row>
    <row r="3576" spans="6:86" x14ac:dyDescent="0.25">
      <c r="F3576" s="9"/>
      <c r="G3576" s="9"/>
      <c r="AA3576" s="10"/>
      <c r="AV3576" s="11"/>
      <c r="AW3576" s="11"/>
      <c r="BB3576" s="9"/>
      <c r="BC3576" s="11"/>
      <c r="BF3576" s="9"/>
      <c r="CF3576" s="12"/>
      <c r="CH3576" s="9"/>
    </row>
    <row r="3577" spans="6:86" x14ac:dyDescent="0.25">
      <c r="F3577" s="9"/>
      <c r="G3577" s="9"/>
      <c r="AA3577" s="10"/>
      <c r="AV3577" s="11"/>
      <c r="AW3577" s="11"/>
      <c r="BB3577" s="9"/>
      <c r="BC3577" s="11"/>
      <c r="BF3577" s="9"/>
      <c r="CF3577" s="12"/>
      <c r="CH3577" s="9"/>
    </row>
    <row r="3578" spans="6:86" x14ac:dyDescent="0.25">
      <c r="F3578" s="9"/>
      <c r="G3578" s="9"/>
      <c r="AA3578" s="10"/>
      <c r="AV3578" s="11"/>
      <c r="AW3578" s="11"/>
      <c r="BB3578" s="9"/>
      <c r="BC3578" s="11"/>
      <c r="BF3578" s="9"/>
      <c r="CF3578" s="12"/>
      <c r="CH3578" s="9"/>
    </row>
    <row r="3579" spans="6:86" x14ac:dyDescent="0.25">
      <c r="F3579" s="9"/>
      <c r="G3579" s="9"/>
      <c r="AA3579" s="10"/>
      <c r="AV3579" s="11"/>
      <c r="AW3579" s="11"/>
      <c r="BB3579" s="9"/>
      <c r="BC3579" s="11"/>
      <c r="BF3579" s="9"/>
      <c r="CH3579" s="9"/>
    </row>
    <row r="3580" spans="6:86" x14ac:dyDescent="0.25">
      <c r="F3580" s="9"/>
      <c r="G3580" s="9"/>
      <c r="AA3580" s="10"/>
      <c r="AV3580" s="11"/>
      <c r="AW3580" s="11"/>
      <c r="BB3580" s="9"/>
      <c r="BC3580" s="11"/>
      <c r="BF3580" s="9"/>
      <c r="CF3580" s="12"/>
      <c r="CH3580" s="9"/>
    </row>
    <row r="3581" spans="6:86" x14ac:dyDescent="0.25">
      <c r="F3581" s="9"/>
      <c r="G3581" s="9"/>
      <c r="AA3581" s="10"/>
      <c r="AV3581" s="11"/>
      <c r="AW3581" s="11"/>
      <c r="BB3581" s="9"/>
      <c r="BC3581" s="11"/>
      <c r="BF3581" s="9"/>
      <c r="CF3581" s="12"/>
      <c r="CH3581" s="9"/>
    </row>
    <row r="3582" spans="6:86" x14ac:dyDescent="0.25">
      <c r="F3582" s="9"/>
      <c r="G3582" s="9"/>
      <c r="AA3582" s="10"/>
      <c r="AV3582" s="11"/>
      <c r="AW3582" s="11"/>
      <c r="BB3582" s="9"/>
      <c r="BC3582" s="11"/>
      <c r="BF3582" s="9"/>
      <c r="CF3582" s="12"/>
      <c r="CH3582" s="9"/>
    </row>
    <row r="3583" spans="6:86" x14ac:dyDescent="0.25">
      <c r="F3583" s="9"/>
      <c r="G3583" s="9"/>
      <c r="AA3583" s="10"/>
      <c r="AV3583" s="11"/>
      <c r="AW3583" s="11"/>
      <c r="BB3583" s="9"/>
      <c r="BC3583" s="11"/>
      <c r="BF3583" s="9"/>
      <c r="CF3583" s="12"/>
      <c r="CH3583" s="9"/>
    </row>
    <row r="3584" spans="6:86" x14ac:dyDescent="0.25">
      <c r="F3584" s="9"/>
      <c r="G3584" s="9"/>
      <c r="AA3584" s="10"/>
      <c r="AV3584" s="11"/>
      <c r="AW3584" s="11"/>
      <c r="BB3584" s="9"/>
      <c r="BC3584" s="11"/>
      <c r="BF3584" s="9"/>
      <c r="CF3584" s="12"/>
      <c r="CH3584" s="9"/>
    </row>
    <row r="3585" spans="6:86" x14ac:dyDescent="0.25">
      <c r="F3585" s="9"/>
      <c r="G3585" s="9"/>
      <c r="AA3585" s="10"/>
      <c r="AV3585" s="11"/>
      <c r="AW3585" s="11"/>
      <c r="BB3585" s="9"/>
      <c r="BC3585" s="11"/>
      <c r="BF3585" s="9"/>
      <c r="CF3585" s="12"/>
      <c r="CH3585" s="9"/>
    </row>
    <row r="3586" spans="6:86" x14ac:dyDescent="0.25">
      <c r="F3586" s="9"/>
      <c r="G3586" s="9"/>
      <c r="AA3586" s="10"/>
      <c r="AV3586" s="11"/>
      <c r="AW3586" s="11"/>
      <c r="BB3586" s="9"/>
      <c r="BC3586" s="11"/>
      <c r="BF3586" s="9"/>
      <c r="CF3586" s="12"/>
      <c r="CH3586" s="9"/>
    </row>
    <row r="3587" spans="6:86" x14ac:dyDescent="0.25">
      <c r="F3587" s="9"/>
      <c r="G3587" s="9"/>
      <c r="AA3587" s="10"/>
      <c r="AV3587" s="11"/>
      <c r="AW3587" s="11"/>
      <c r="BB3587" s="9"/>
      <c r="BC3587" s="11"/>
      <c r="BF3587" s="9"/>
      <c r="CF3587" s="12"/>
      <c r="CH3587" s="9"/>
    </row>
    <row r="3588" spans="6:86" x14ac:dyDescent="0.25">
      <c r="F3588" s="9"/>
      <c r="G3588" s="9"/>
      <c r="AA3588" s="10"/>
      <c r="AV3588" s="11"/>
      <c r="AW3588" s="11"/>
      <c r="BB3588" s="9"/>
      <c r="BC3588" s="11"/>
      <c r="BF3588" s="9"/>
      <c r="CF3588" s="12"/>
      <c r="CH3588" s="9"/>
    </row>
    <row r="3589" spans="6:86" x14ac:dyDescent="0.25">
      <c r="F3589" s="9"/>
      <c r="G3589" s="9"/>
      <c r="AA3589" s="10"/>
      <c r="AV3589" s="11"/>
      <c r="AW3589" s="11"/>
      <c r="BB3589" s="9"/>
      <c r="BC3589" s="11"/>
      <c r="BF3589" s="9"/>
      <c r="CF3589" s="12"/>
      <c r="CH3589" s="9"/>
    </row>
    <row r="3590" spans="6:86" x14ac:dyDescent="0.25">
      <c r="F3590" s="9"/>
      <c r="G3590" s="9"/>
      <c r="AA3590" s="10"/>
      <c r="AV3590" s="11"/>
      <c r="AW3590" s="11"/>
      <c r="BB3590" s="9"/>
      <c r="BC3590" s="11"/>
      <c r="BF3590" s="9"/>
      <c r="CF3590" s="12"/>
      <c r="CH3590" s="9"/>
    </row>
    <row r="3591" spans="6:86" x14ac:dyDescent="0.25">
      <c r="F3591" s="9"/>
      <c r="G3591" s="9"/>
      <c r="AA3591" s="10"/>
      <c r="AV3591" s="11"/>
      <c r="AW3591" s="11"/>
      <c r="BB3591" s="9"/>
      <c r="BC3591" s="11"/>
      <c r="BF3591" s="9"/>
      <c r="CF3591" s="12"/>
      <c r="CH3591" s="9"/>
    </row>
    <row r="3592" spans="6:86" x14ac:dyDescent="0.25">
      <c r="F3592" s="9"/>
      <c r="G3592" s="9"/>
      <c r="AA3592" s="10"/>
      <c r="AV3592" s="11"/>
      <c r="AW3592" s="11"/>
      <c r="BB3592" s="9"/>
      <c r="BC3592" s="11"/>
      <c r="BF3592" s="9"/>
      <c r="CF3592" s="12"/>
      <c r="CH3592" s="9"/>
    </row>
    <row r="3593" spans="6:86" x14ac:dyDescent="0.25">
      <c r="F3593" s="9"/>
      <c r="G3593" s="9"/>
      <c r="AA3593" s="10"/>
      <c r="AV3593" s="11"/>
      <c r="AW3593" s="11"/>
      <c r="BB3593" s="9"/>
      <c r="BC3593" s="11"/>
      <c r="BF3593" s="9"/>
      <c r="CF3593" s="12"/>
      <c r="CH3593" s="9"/>
    </row>
    <row r="3594" spans="6:86" x14ac:dyDescent="0.25">
      <c r="F3594" s="9"/>
      <c r="G3594" s="9"/>
      <c r="AA3594" s="10"/>
      <c r="AV3594" s="11"/>
      <c r="AW3594" s="11"/>
      <c r="BB3594" s="9"/>
      <c r="BC3594" s="11"/>
      <c r="BF3594" s="9"/>
      <c r="CF3594" s="12"/>
      <c r="CH3594" s="9"/>
    </row>
    <row r="3595" spans="6:86" x14ac:dyDescent="0.25">
      <c r="F3595" s="9"/>
      <c r="G3595" s="9"/>
      <c r="AA3595" s="10"/>
      <c r="AV3595" s="11"/>
      <c r="AW3595" s="11"/>
      <c r="BB3595" s="9"/>
      <c r="BC3595" s="11"/>
      <c r="BF3595" s="9"/>
      <c r="CF3595" s="12"/>
      <c r="CH3595" s="9"/>
    </row>
    <row r="3596" spans="6:86" x14ac:dyDescent="0.25">
      <c r="F3596" s="9"/>
      <c r="G3596" s="9"/>
      <c r="AA3596" s="10"/>
      <c r="AV3596" s="11"/>
      <c r="AW3596" s="11"/>
      <c r="BB3596" s="9"/>
      <c r="BC3596" s="11"/>
      <c r="BF3596" s="9"/>
      <c r="CF3596" s="12"/>
      <c r="CH3596" s="9"/>
    </row>
    <row r="3597" spans="6:86" x14ac:dyDescent="0.25">
      <c r="F3597" s="9"/>
      <c r="G3597" s="9"/>
      <c r="AA3597" s="10"/>
      <c r="AV3597" s="11"/>
      <c r="AW3597" s="11"/>
      <c r="BB3597" s="9"/>
      <c r="BC3597" s="11"/>
      <c r="BF3597" s="9"/>
      <c r="CF3597" s="12"/>
      <c r="CH3597" s="9"/>
    </row>
    <row r="3598" spans="6:86" x14ac:dyDescent="0.25">
      <c r="F3598" s="9"/>
      <c r="G3598" s="9"/>
      <c r="AA3598" s="10"/>
      <c r="AV3598" s="11"/>
      <c r="AW3598" s="11"/>
      <c r="BB3598" s="9"/>
      <c r="BC3598" s="11"/>
      <c r="BF3598" s="9"/>
      <c r="CF3598" s="12"/>
      <c r="CH3598" s="9"/>
    </row>
    <row r="3599" spans="6:86" x14ac:dyDescent="0.25">
      <c r="F3599" s="9"/>
      <c r="G3599" s="9"/>
      <c r="AA3599" s="10"/>
      <c r="AV3599" s="11"/>
      <c r="AW3599" s="11"/>
      <c r="BB3599" s="9"/>
      <c r="BC3599" s="11"/>
      <c r="BF3599" s="9"/>
      <c r="CF3599" s="12"/>
      <c r="CH3599" s="9"/>
    </row>
    <row r="3600" spans="6:86" x14ac:dyDescent="0.25">
      <c r="F3600" s="9"/>
      <c r="G3600" s="9"/>
      <c r="AA3600" s="10"/>
      <c r="AV3600" s="11"/>
      <c r="AW3600" s="11"/>
      <c r="BB3600" s="9"/>
      <c r="BC3600" s="11"/>
      <c r="BF3600" s="9"/>
      <c r="CF3600" s="12"/>
      <c r="CH3600" s="9"/>
    </row>
    <row r="3601" spans="6:86" x14ac:dyDescent="0.25">
      <c r="F3601" s="9"/>
      <c r="G3601" s="9"/>
      <c r="AA3601" s="10"/>
      <c r="AV3601" s="11"/>
      <c r="AW3601" s="11"/>
      <c r="BB3601" s="9"/>
      <c r="BC3601" s="11"/>
      <c r="BF3601" s="9"/>
      <c r="CF3601" s="12"/>
      <c r="CH3601" s="9"/>
    </row>
    <row r="3602" spans="6:86" x14ac:dyDescent="0.25">
      <c r="F3602" s="9"/>
      <c r="G3602" s="9"/>
      <c r="AA3602" s="10"/>
      <c r="AV3602" s="11"/>
      <c r="AW3602" s="11"/>
      <c r="BB3602" s="9"/>
      <c r="BC3602" s="11"/>
      <c r="BF3602" s="9"/>
      <c r="CF3602" s="12"/>
      <c r="CH3602" s="9"/>
    </row>
    <row r="3603" spans="6:86" x14ac:dyDescent="0.25">
      <c r="F3603" s="9"/>
      <c r="G3603" s="9"/>
      <c r="AA3603" s="10"/>
      <c r="AV3603" s="11"/>
      <c r="AW3603" s="11"/>
      <c r="BB3603" s="9"/>
      <c r="BC3603" s="11"/>
      <c r="BF3603" s="9"/>
      <c r="CF3603" s="12"/>
      <c r="CH3603" s="9"/>
    </row>
    <row r="3604" spans="6:86" x14ac:dyDescent="0.25">
      <c r="F3604" s="9"/>
      <c r="G3604" s="9"/>
      <c r="AA3604" s="10"/>
      <c r="AV3604" s="11"/>
      <c r="AW3604" s="11"/>
      <c r="BB3604" s="9"/>
      <c r="BC3604" s="11"/>
      <c r="BF3604" s="9"/>
      <c r="CF3604" s="12"/>
      <c r="CH3604" s="9"/>
    </row>
    <row r="3605" spans="6:86" x14ac:dyDescent="0.25">
      <c r="F3605" s="9"/>
      <c r="G3605" s="9"/>
      <c r="AA3605" s="10"/>
      <c r="AV3605" s="11"/>
      <c r="AW3605" s="11"/>
      <c r="BB3605" s="9"/>
      <c r="BC3605" s="11"/>
      <c r="BF3605" s="9"/>
      <c r="CF3605" s="12"/>
      <c r="CH3605" s="9"/>
    </row>
    <row r="3606" spans="6:86" x14ac:dyDescent="0.25">
      <c r="F3606" s="9"/>
      <c r="G3606" s="9"/>
      <c r="AA3606" s="10"/>
      <c r="AV3606" s="11"/>
      <c r="AW3606" s="11"/>
      <c r="BB3606" s="9"/>
      <c r="BC3606" s="11"/>
      <c r="BF3606" s="9"/>
      <c r="CF3606" s="12"/>
      <c r="CH3606" s="9"/>
    </row>
    <row r="3607" spans="6:86" x14ac:dyDescent="0.25">
      <c r="F3607" s="9"/>
      <c r="G3607" s="9"/>
      <c r="AA3607" s="10"/>
      <c r="AV3607" s="11"/>
      <c r="AW3607" s="11"/>
      <c r="BB3607" s="9"/>
      <c r="BC3607" s="11"/>
      <c r="BF3607" s="9"/>
      <c r="CH3607" s="9"/>
    </row>
    <row r="3608" spans="6:86" x14ac:dyDescent="0.25">
      <c r="F3608" s="9"/>
      <c r="G3608" s="9"/>
      <c r="AA3608" s="10"/>
      <c r="AV3608" s="11"/>
      <c r="AW3608" s="11"/>
      <c r="BB3608" s="9"/>
      <c r="BC3608" s="11"/>
      <c r="BF3608" s="9"/>
      <c r="CF3608" s="12"/>
      <c r="CH3608" s="9"/>
    </row>
    <row r="3609" spans="6:86" x14ac:dyDescent="0.25">
      <c r="F3609" s="9"/>
      <c r="G3609" s="9"/>
      <c r="AA3609" s="10"/>
      <c r="AV3609" s="11"/>
      <c r="AW3609" s="11"/>
      <c r="BB3609" s="9"/>
      <c r="BC3609" s="11"/>
      <c r="BF3609" s="9"/>
      <c r="CH3609" s="9"/>
    </row>
    <row r="3610" spans="6:86" x14ac:dyDescent="0.25">
      <c r="F3610" s="9"/>
      <c r="G3610" s="9"/>
      <c r="AA3610" s="10"/>
      <c r="AV3610" s="11"/>
      <c r="AW3610" s="11"/>
      <c r="BB3610" s="9"/>
      <c r="BC3610" s="11"/>
      <c r="BF3610" s="9"/>
      <c r="CF3610" s="12"/>
      <c r="CH3610" s="9"/>
    </row>
    <row r="3611" spans="6:86" x14ac:dyDescent="0.25">
      <c r="F3611" s="9"/>
      <c r="G3611" s="9"/>
      <c r="AA3611" s="10"/>
      <c r="AV3611" s="11"/>
      <c r="AW3611" s="11"/>
      <c r="BB3611" s="9"/>
      <c r="BC3611" s="11"/>
      <c r="BF3611" s="9"/>
      <c r="CF3611" s="12"/>
      <c r="CH3611" s="9"/>
    </row>
    <row r="3612" spans="6:86" x14ac:dyDescent="0.25">
      <c r="F3612" s="9"/>
      <c r="G3612" s="9"/>
      <c r="AA3612" s="10"/>
      <c r="AV3612" s="11"/>
      <c r="AW3612" s="11"/>
      <c r="BB3612" s="9"/>
      <c r="BC3612" s="11"/>
      <c r="BF3612" s="9"/>
      <c r="CF3612" s="12"/>
      <c r="CH3612" s="9"/>
    </row>
    <row r="3613" spans="6:86" x14ac:dyDescent="0.25">
      <c r="F3613" s="9"/>
      <c r="G3613" s="9"/>
      <c r="AA3613" s="10"/>
      <c r="AV3613" s="11"/>
      <c r="AW3613" s="11"/>
      <c r="BB3613" s="9"/>
      <c r="BC3613" s="11"/>
      <c r="BF3613" s="9"/>
      <c r="CF3613" s="12"/>
      <c r="CH3613" s="9"/>
    </row>
    <row r="3614" spans="6:86" x14ac:dyDescent="0.25">
      <c r="F3614" s="9"/>
      <c r="G3614" s="9"/>
      <c r="AA3614" s="10"/>
      <c r="AV3614" s="11"/>
      <c r="AW3614" s="11"/>
      <c r="BB3614" s="9"/>
      <c r="BC3614" s="11"/>
      <c r="BF3614" s="9"/>
      <c r="CF3614" s="12"/>
      <c r="CH3614" s="9"/>
    </row>
    <row r="3615" spans="6:86" x14ac:dyDescent="0.25">
      <c r="F3615" s="9"/>
      <c r="G3615" s="9"/>
      <c r="AA3615" s="10"/>
      <c r="AV3615" s="11"/>
      <c r="AW3615" s="11"/>
      <c r="BB3615" s="9"/>
      <c r="BC3615" s="11"/>
      <c r="BF3615" s="9"/>
      <c r="CF3615" s="12"/>
      <c r="CH3615" s="9"/>
    </row>
    <row r="3616" spans="6:86" x14ac:dyDescent="0.25">
      <c r="F3616" s="9"/>
      <c r="G3616" s="9"/>
      <c r="AA3616" s="10"/>
      <c r="AV3616" s="11"/>
      <c r="AW3616" s="11"/>
      <c r="BB3616" s="9"/>
      <c r="BC3616" s="11"/>
      <c r="BF3616" s="9"/>
      <c r="CF3616" s="12"/>
      <c r="CH3616" s="9"/>
    </row>
    <row r="3617" spans="6:92" x14ac:dyDescent="0.25">
      <c r="F3617" s="9"/>
      <c r="G3617" s="9"/>
      <c r="U3617" s="12"/>
      <c r="Z3617" s="12"/>
      <c r="AA3617" s="10"/>
      <c r="AV3617" s="11"/>
      <c r="AW3617" s="11"/>
      <c r="BB3617" s="9"/>
      <c r="BC3617" s="11"/>
      <c r="BF3617" s="9"/>
      <c r="CF3617" s="12"/>
      <c r="CH3617" s="9"/>
      <c r="CN3617" s="12"/>
    </row>
    <row r="3618" spans="6:92" x14ac:dyDescent="0.25">
      <c r="F3618" s="9"/>
      <c r="G3618" s="9"/>
      <c r="AA3618" s="10"/>
      <c r="AV3618" s="11"/>
      <c r="AW3618" s="11"/>
      <c r="BB3618" s="9"/>
      <c r="BC3618" s="11"/>
      <c r="BF3618" s="9"/>
      <c r="CF3618" s="12"/>
      <c r="CH3618" s="9"/>
    </row>
    <row r="3619" spans="6:92" x14ac:dyDescent="0.25">
      <c r="F3619" s="9"/>
      <c r="G3619" s="9"/>
      <c r="AA3619" s="10"/>
      <c r="AV3619" s="11"/>
      <c r="AW3619" s="11"/>
      <c r="BB3619" s="9"/>
      <c r="BC3619" s="11"/>
      <c r="BF3619" s="9"/>
      <c r="CF3619" s="12"/>
      <c r="CH3619" s="9"/>
    </row>
    <row r="3620" spans="6:92" x14ac:dyDescent="0.25">
      <c r="F3620" s="9"/>
      <c r="G3620" s="9"/>
      <c r="AA3620" s="10"/>
      <c r="AV3620" s="11"/>
      <c r="AW3620" s="11"/>
      <c r="BB3620" s="9"/>
      <c r="BC3620" s="11"/>
      <c r="BF3620" s="9"/>
      <c r="CF3620" s="12"/>
      <c r="CH3620" s="9"/>
    </row>
    <row r="3621" spans="6:92" x14ac:dyDescent="0.25">
      <c r="F3621" s="9"/>
      <c r="G3621" s="9"/>
      <c r="AA3621" s="10"/>
      <c r="AV3621" s="11"/>
      <c r="AW3621" s="11"/>
      <c r="BB3621" s="9"/>
      <c r="BC3621" s="11"/>
      <c r="BF3621" s="9"/>
      <c r="CH3621" s="9"/>
    </row>
    <row r="3622" spans="6:92" x14ac:dyDescent="0.25">
      <c r="F3622" s="9"/>
      <c r="G3622" s="9"/>
      <c r="AA3622" s="10"/>
      <c r="AV3622" s="11"/>
      <c r="AW3622" s="11"/>
      <c r="BB3622" s="9"/>
      <c r="BC3622" s="11"/>
      <c r="BF3622" s="9"/>
      <c r="CH3622" s="9"/>
    </row>
    <row r="3623" spans="6:92" x14ac:dyDescent="0.25">
      <c r="F3623" s="9"/>
      <c r="G3623" s="9"/>
      <c r="AA3623" s="10"/>
      <c r="AV3623" s="11"/>
      <c r="AW3623" s="11"/>
      <c r="BB3623" s="9"/>
      <c r="BC3623" s="11"/>
      <c r="BF3623" s="9"/>
      <c r="CF3623" s="12"/>
      <c r="CH3623" s="9"/>
    </row>
    <row r="3624" spans="6:92" x14ac:dyDescent="0.25">
      <c r="F3624" s="9"/>
      <c r="G3624" s="9"/>
      <c r="AA3624" s="10"/>
      <c r="AV3624" s="11"/>
      <c r="AW3624" s="11"/>
      <c r="BB3624" s="9"/>
      <c r="BC3624" s="11"/>
      <c r="BF3624" s="9"/>
      <c r="CF3624" s="12"/>
      <c r="CH3624" s="9"/>
    </row>
    <row r="3625" spans="6:92" x14ac:dyDescent="0.25">
      <c r="F3625" s="9"/>
      <c r="G3625" s="9"/>
      <c r="AA3625" s="10"/>
      <c r="AV3625" s="11"/>
      <c r="AW3625" s="11"/>
      <c r="BB3625" s="9"/>
      <c r="BC3625" s="11"/>
      <c r="BF3625" s="9"/>
      <c r="CF3625" s="12"/>
      <c r="CH3625" s="9"/>
    </row>
    <row r="3626" spans="6:92" x14ac:dyDescent="0.25">
      <c r="F3626" s="9"/>
      <c r="G3626" s="9"/>
      <c r="AA3626" s="10"/>
      <c r="AV3626" s="11"/>
      <c r="AW3626" s="11"/>
      <c r="BB3626" s="9"/>
      <c r="BC3626" s="11"/>
      <c r="BF3626" s="9"/>
      <c r="CF3626" s="12"/>
      <c r="CH3626" s="9"/>
    </row>
    <row r="3627" spans="6:92" x14ac:dyDescent="0.25">
      <c r="F3627" s="9"/>
      <c r="G3627" s="9"/>
      <c r="AA3627" s="10"/>
      <c r="AV3627" s="11"/>
      <c r="AW3627" s="11"/>
      <c r="BB3627" s="9"/>
      <c r="BC3627" s="11"/>
      <c r="BF3627" s="9"/>
      <c r="CF3627" s="12"/>
      <c r="CH3627" s="9"/>
    </row>
    <row r="3628" spans="6:92" x14ac:dyDescent="0.25">
      <c r="F3628" s="9"/>
      <c r="G3628" s="9"/>
      <c r="AA3628" s="10"/>
      <c r="AV3628" s="11"/>
      <c r="AW3628" s="11"/>
      <c r="BB3628" s="9"/>
      <c r="BC3628" s="11"/>
      <c r="BF3628" s="9"/>
      <c r="CF3628" s="12"/>
      <c r="CH3628" s="9"/>
    </row>
    <row r="3629" spans="6:92" x14ac:dyDescent="0.25">
      <c r="F3629" s="9"/>
      <c r="G3629" s="9"/>
      <c r="AA3629" s="10"/>
      <c r="AV3629" s="11"/>
      <c r="AW3629" s="11"/>
      <c r="BB3629" s="9"/>
      <c r="BC3629" s="11"/>
      <c r="BF3629" s="9"/>
      <c r="CF3629" s="12"/>
      <c r="CH3629" s="9"/>
    </row>
    <row r="3630" spans="6:92" x14ac:dyDescent="0.25">
      <c r="F3630" s="9"/>
      <c r="G3630" s="9"/>
      <c r="AA3630" s="10"/>
      <c r="AV3630" s="11"/>
      <c r="AW3630" s="11"/>
      <c r="BB3630" s="9"/>
      <c r="BC3630" s="11"/>
      <c r="BF3630" s="9"/>
      <c r="CF3630" s="12"/>
      <c r="CH3630" s="9"/>
    </row>
    <row r="3631" spans="6:92" x14ac:dyDescent="0.25">
      <c r="F3631" s="9"/>
      <c r="G3631" s="9"/>
      <c r="AA3631" s="10"/>
      <c r="AV3631" s="11"/>
      <c r="AW3631" s="11"/>
      <c r="BB3631" s="9"/>
      <c r="BC3631" s="11"/>
      <c r="BF3631" s="9"/>
      <c r="CF3631" s="12"/>
      <c r="CH3631" s="9"/>
    </row>
    <row r="3632" spans="6:92" x14ac:dyDescent="0.25">
      <c r="F3632" s="9"/>
      <c r="G3632" s="9"/>
      <c r="AA3632" s="10"/>
      <c r="AV3632" s="11"/>
      <c r="AW3632" s="11"/>
      <c r="BB3632" s="9"/>
      <c r="BC3632" s="11"/>
      <c r="BF3632" s="9"/>
      <c r="CF3632" s="12"/>
      <c r="CH3632" s="9"/>
    </row>
    <row r="3633" spans="6:92" x14ac:dyDescent="0.25">
      <c r="F3633" s="9"/>
      <c r="G3633" s="9"/>
      <c r="AA3633" s="10"/>
      <c r="AV3633" s="11"/>
      <c r="AW3633" s="11"/>
      <c r="BB3633" s="9"/>
      <c r="BC3633" s="11"/>
      <c r="BF3633" s="9"/>
      <c r="CH3633" s="9"/>
    </row>
    <row r="3634" spans="6:92" x14ac:dyDescent="0.25">
      <c r="F3634" s="9"/>
      <c r="G3634" s="9"/>
      <c r="AA3634" s="10"/>
      <c r="AV3634" s="11"/>
      <c r="AW3634" s="11"/>
      <c r="BB3634" s="9"/>
      <c r="BC3634" s="11"/>
      <c r="BF3634" s="9"/>
      <c r="CH3634" s="9"/>
    </row>
    <row r="3635" spans="6:92" x14ac:dyDescent="0.25">
      <c r="F3635" s="9"/>
      <c r="G3635" s="9"/>
      <c r="AA3635" s="10"/>
      <c r="AV3635" s="11"/>
      <c r="AW3635" s="11"/>
      <c r="BB3635" s="9"/>
      <c r="BC3635" s="11"/>
      <c r="BF3635" s="9"/>
      <c r="CF3635" s="12"/>
      <c r="CH3635" s="9"/>
    </row>
    <row r="3636" spans="6:92" x14ac:dyDescent="0.25">
      <c r="F3636" s="9"/>
      <c r="G3636" s="9"/>
      <c r="AA3636" s="10"/>
      <c r="AV3636" s="11"/>
      <c r="AW3636" s="11"/>
      <c r="BB3636" s="9"/>
      <c r="BC3636" s="11"/>
      <c r="BF3636" s="9"/>
      <c r="CF3636" s="12"/>
      <c r="CH3636" s="9"/>
    </row>
    <row r="3637" spans="6:92" x14ac:dyDescent="0.25">
      <c r="F3637" s="9"/>
      <c r="G3637" s="9"/>
      <c r="AA3637" s="10"/>
      <c r="AV3637" s="11"/>
      <c r="AW3637" s="11"/>
      <c r="BB3637" s="9"/>
      <c r="BC3637" s="11"/>
      <c r="BF3637" s="9"/>
      <c r="CF3637" s="12"/>
      <c r="CH3637" s="9"/>
    </row>
    <row r="3638" spans="6:92" x14ac:dyDescent="0.25">
      <c r="F3638" s="9"/>
      <c r="G3638" s="9"/>
      <c r="AA3638" s="10"/>
      <c r="AV3638" s="11"/>
      <c r="AW3638" s="11"/>
      <c r="BB3638" s="9"/>
      <c r="BC3638" s="11"/>
      <c r="BF3638" s="9"/>
      <c r="CF3638" s="12"/>
      <c r="CH3638" s="9"/>
    </row>
    <row r="3639" spans="6:92" x14ac:dyDescent="0.25">
      <c r="F3639" s="9"/>
      <c r="G3639" s="9"/>
      <c r="AA3639" s="10"/>
      <c r="AV3639" s="11"/>
      <c r="AW3639" s="11"/>
      <c r="BB3639" s="9"/>
      <c r="BC3639" s="11"/>
      <c r="BF3639" s="9"/>
      <c r="CF3639" s="12"/>
      <c r="CH3639" s="9"/>
    </row>
    <row r="3640" spans="6:92" x14ac:dyDescent="0.25">
      <c r="F3640" s="9"/>
      <c r="G3640" s="9"/>
      <c r="AA3640" s="10"/>
      <c r="AV3640" s="11"/>
      <c r="AW3640" s="11"/>
      <c r="BB3640" s="9"/>
      <c r="BC3640" s="11"/>
      <c r="BF3640" s="9"/>
      <c r="CH3640" s="9"/>
    </row>
    <row r="3641" spans="6:92" x14ac:dyDescent="0.25">
      <c r="F3641" s="9"/>
      <c r="G3641" s="9"/>
      <c r="AA3641" s="10"/>
      <c r="AV3641" s="11"/>
      <c r="AW3641" s="11"/>
      <c r="BB3641" s="9"/>
      <c r="BC3641" s="11"/>
      <c r="BF3641" s="9"/>
      <c r="CF3641" s="12"/>
      <c r="CH3641" s="9"/>
    </row>
    <row r="3642" spans="6:92" x14ac:dyDescent="0.25">
      <c r="F3642" s="9"/>
      <c r="G3642" s="9"/>
      <c r="AA3642" s="10"/>
      <c r="AV3642" s="11"/>
      <c r="AW3642" s="11"/>
      <c r="BB3642" s="9"/>
      <c r="BC3642" s="11"/>
      <c r="BF3642" s="9"/>
      <c r="CF3642" s="12"/>
      <c r="CH3642" s="9"/>
    </row>
    <row r="3643" spans="6:92" x14ac:dyDescent="0.25">
      <c r="F3643" s="9"/>
      <c r="G3643" s="9"/>
      <c r="AA3643" s="10"/>
      <c r="AV3643" s="11"/>
      <c r="AW3643" s="11"/>
      <c r="BB3643" s="9"/>
      <c r="BC3643" s="11"/>
      <c r="BF3643" s="9"/>
      <c r="CF3643" s="12"/>
      <c r="CH3643" s="9"/>
    </row>
    <row r="3644" spans="6:92" x14ac:dyDescent="0.25">
      <c r="F3644" s="9"/>
      <c r="G3644" s="9"/>
      <c r="AA3644" s="10"/>
      <c r="AV3644" s="11"/>
      <c r="AW3644" s="11"/>
      <c r="BB3644" s="9"/>
      <c r="BC3644" s="11"/>
      <c r="BF3644" s="9"/>
      <c r="CF3644" s="12"/>
      <c r="CH3644" s="9"/>
    </row>
    <row r="3645" spans="6:92" x14ac:dyDescent="0.25">
      <c r="F3645" s="9"/>
      <c r="G3645" s="9"/>
      <c r="U3645" s="12"/>
      <c r="Z3645" s="12"/>
      <c r="AA3645" s="10"/>
      <c r="AV3645" s="11"/>
      <c r="AW3645" s="11"/>
      <c r="BB3645" s="9"/>
      <c r="BC3645" s="11"/>
      <c r="BF3645" s="9"/>
      <c r="CF3645" s="12"/>
      <c r="CH3645" s="9"/>
      <c r="CN3645" s="12"/>
    </row>
    <row r="3646" spans="6:92" x14ac:dyDescent="0.25">
      <c r="F3646" s="9"/>
      <c r="G3646" s="9"/>
      <c r="AA3646" s="10"/>
      <c r="AV3646" s="11"/>
      <c r="AW3646" s="11"/>
      <c r="BB3646" s="9"/>
      <c r="BC3646" s="11"/>
      <c r="BF3646" s="9"/>
      <c r="CF3646" s="12"/>
      <c r="CH3646" s="9"/>
    </row>
    <row r="3647" spans="6:92" x14ac:dyDescent="0.25">
      <c r="F3647" s="9"/>
      <c r="G3647" s="9"/>
      <c r="AA3647" s="10"/>
      <c r="AV3647" s="11"/>
      <c r="AW3647" s="11"/>
      <c r="BB3647" s="9"/>
      <c r="BC3647" s="11"/>
      <c r="BF3647" s="9"/>
      <c r="CH3647" s="9"/>
    </row>
    <row r="3648" spans="6:92" x14ac:dyDescent="0.25">
      <c r="F3648" s="9"/>
      <c r="G3648" s="9"/>
      <c r="AA3648" s="10"/>
      <c r="AV3648" s="11"/>
      <c r="AW3648" s="11"/>
      <c r="BB3648" s="9"/>
      <c r="BC3648" s="11"/>
      <c r="BF3648" s="9"/>
      <c r="CH3648" s="9"/>
    </row>
    <row r="3649" spans="6:86" x14ac:dyDescent="0.25">
      <c r="F3649" s="9"/>
      <c r="G3649" s="9"/>
      <c r="AA3649" s="10"/>
      <c r="AV3649" s="11"/>
      <c r="AW3649" s="11"/>
      <c r="BB3649" s="9"/>
      <c r="BC3649" s="11"/>
      <c r="BF3649" s="9"/>
      <c r="CH3649" s="9"/>
    </row>
    <row r="3650" spans="6:86" x14ac:dyDescent="0.25">
      <c r="F3650" s="9"/>
      <c r="G3650" s="9"/>
      <c r="AA3650" s="10"/>
      <c r="AV3650" s="11"/>
      <c r="AW3650" s="11"/>
      <c r="BB3650" s="9"/>
      <c r="BC3650" s="11"/>
      <c r="BF3650" s="9"/>
      <c r="CF3650" s="12"/>
      <c r="CH3650" s="9"/>
    </row>
    <row r="3651" spans="6:86" x14ac:dyDescent="0.25">
      <c r="F3651" s="9"/>
      <c r="G3651" s="9"/>
      <c r="AA3651" s="10"/>
      <c r="AV3651" s="11"/>
      <c r="AW3651" s="11"/>
      <c r="BB3651" s="9"/>
      <c r="BC3651" s="11"/>
      <c r="BF3651" s="9"/>
      <c r="CF3651" s="12"/>
      <c r="CH3651" s="9"/>
    </row>
    <row r="3652" spans="6:86" x14ac:dyDescent="0.25">
      <c r="F3652" s="9"/>
      <c r="G3652" s="9"/>
      <c r="AA3652" s="10"/>
      <c r="AV3652" s="11"/>
      <c r="AW3652" s="11"/>
      <c r="BB3652" s="9"/>
      <c r="BC3652" s="11"/>
      <c r="BF3652" s="9"/>
      <c r="CH3652" s="9"/>
    </row>
    <row r="3653" spans="6:86" x14ac:dyDescent="0.25">
      <c r="F3653" s="9"/>
      <c r="G3653" s="9"/>
      <c r="AA3653" s="10"/>
      <c r="AV3653" s="11"/>
      <c r="AW3653" s="11"/>
      <c r="BB3653" s="9"/>
      <c r="BC3653" s="11"/>
      <c r="BF3653" s="9"/>
      <c r="CH3653" s="9"/>
    </row>
    <row r="3654" spans="6:86" x14ac:dyDescent="0.25">
      <c r="F3654" s="9"/>
      <c r="G3654" s="9"/>
      <c r="AA3654" s="10"/>
      <c r="AV3654" s="11"/>
      <c r="AW3654" s="11"/>
      <c r="BB3654" s="9"/>
      <c r="BC3654" s="11"/>
      <c r="BF3654" s="9"/>
    </row>
    <row r="3655" spans="6:86" x14ac:dyDescent="0.25">
      <c r="F3655" s="9"/>
      <c r="G3655" s="9"/>
      <c r="AA3655" s="10"/>
      <c r="AV3655" s="11"/>
      <c r="AW3655" s="11"/>
      <c r="BB3655" s="9"/>
      <c r="BC3655" s="11"/>
      <c r="BF3655" s="9"/>
      <c r="CF3655" s="12"/>
      <c r="CH3655" s="9"/>
    </row>
    <row r="3656" spans="6:86" x14ac:dyDescent="0.25">
      <c r="F3656" s="9"/>
      <c r="G3656" s="9"/>
      <c r="AA3656" s="10"/>
      <c r="AV3656" s="11"/>
      <c r="AW3656" s="11"/>
      <c r="BB3656" s="9"/>
      <c r="BC3656" s="11"/>
      <c r="BF3656" s="9"/>
      <c r="CF3656" s="12"/>
      <c r="CH3656" s="9"/>
    </row>
    <row r="3657" spans="6:86" x14ac:dyDescent="0.25">
      <c r="F3657" s="9"/>
      <c r="G3657" s="9"/>
      <c r="AA3657" s="10"/>
      <c r="AV3657" s="11"/>
      <c r="AW3657" s="11"/>
      <c r="BB3657" s="9"/>
      <c r="BC3657" s="11"/>
      <c r="BF3657" s="9"/>
      <c r="CF3657" s="12"/>
      <c r="CH3657" s="9"/>
    </row>
    <row r="3658" spans="6:86" x14ac:dyDescent="0.25">
      <c r="F3658" s="9"/>
      <c r="G3658" s="9"/>
      <c r="AA3658" s="10"/>
      <c r="AV3658" s="11"/>
      <c r="AW3658" s="11"/>
      <c r="BB3658" s="9"/>
      <c r="BC3658" s="11"/>
      <c r="BF3658" s="9"/>
      <c r="CF3658" s="12"/>
      <c r="CH3658" s="9"/>
    </row>
    <row r="3659" spans="6:86" x14ac:dyDescent="0.25">
      <c r="F3659" s="9"/>
      <c r="G3659" s="9"/>
      <c r="AA3659" s="10"/>
      <c r="AV3659" s="11"/>
      <c r="AW3659" s="11"/>
      <c r="BB3659" s="9"/>
      <c r="BC3659" s="11"/>
      <c r="BF3659" s="9"/>
      <c r="CF3659" s="12"/>
      <c r="CH3659" s="9"/>
    </row>
    <row r="3660" spans="6:86" x14ac:dyDescent="0.25">
      <c r="F3660" s="9"/>
      <c r="G3660" s="9"/>
      <c r="AA3660" s="10"/>
      <c r="AV3660" s="11"/>
      <c r="AW3660" s="11"/>
      <c r="BB3660" s="9"/>
      <c r="BC3660" s="11"/>
      <c r="BF3660" s="9"/>
      <c r="CF3660" s="12"/>
      <c r="CH3660" s="9"/>
    </row>
    <row r="3661" spans="6:86" x14ac:dyDescent="0.25">
      <c r="F3661" s="9"/>
      <c r="G3661" s="9"/>
      <c r="AA3661" s="10"/>
      <c r="AV3661" s="11"/>
      <c r="AW3661" s="11"/>
      <c r="BB3661" s="9"/>
      <c r="BC3661" s="11"/>
      <c r="BF3661" s="9"/>
      <c r="CF3661" s="12"/>
      <c r="CH3661" s="9"/>
    </row>
    <row r="3662" spans="6:86" x14ac:dyDescent="0.25">
      <c r="F3662" s="9"/>
      <c r="G3662" s="9"/>
      <c r="AA3662" s="10"/>
      <c r="AV3662" s="11"/>
      <c r="AW3662" s="11"/>
      <c r="BB3662" s="9"/>
      <c r="BC3662" s="11"/>
      <c r="BF3662" s="9"/>
      <c r="CF3662" s="12"/>
      <c r="CH3662" s="9"/>
    </row>
    <row r="3663" spans="6:86" x14ac:dyDescent="0.25">
      <c r="F3663" s="9"/>
      <c r="G3663" s="9"/>
      <c r="AA3663" s="10"/>
      <c r="AV3663" s="11"/>
      <c r="AW3663" s="11"/>
      <c r="BB3663" s="9"/>
      <c r="BC3663" s="11"/>
      <c r="BF3663" s="9"/>
      <c r="CF3663" s="12"/>
      <c r="CH3663" s="9"/>
    </row>
    <row r="3664" spans="6:86" x14ac:dyDescent="0.25">
      <c r="F3664" s="9"/>
      <c r="G3664" s="9"/>
      <c r="AA3664" s="10"/>
      <c r="AV3664" s="11"/>
      <c r="AW3664" s="11"/>
      <c r="BB3664" s="9"/>
      <c r="BC3664" s="11"/>
      <c r="BF3664" s="9"/>
      <c r="CF3664" s="12"/>
      <c r="CH3664" s="9"/>
    </row>
    <row r="3665" spans="6:86" x14ac:dyDescent="0.25">
      <c r="F3665" s="9"/>
      <c r="G3665" s="9"/>
      <c r="AA3665" s="10"/>
      <c r="AV3665" s="11"/>
      <c r="AW3665" s="11"/>
      <c r="BB3665" s="9"/>
      <c r="BC3665" s="11"/>
      <c r="BF3665" s="9"/>
      <c r="CF3665" s="12"/>
      <c r="CH3665" s="9"/>
    </row>
    <row r="3666" spans="6:86" x14ac:dyDescent="0.25">
      <c r="F3666" s="9"/>
      <c r="G3666" s="9"/>
      <c r="AA3666" s="10"/>
      <c r="AV3666" s="11"/>
      <c r="AW3666" s="11"/>
      <c r="BB3666" s="9"/>
      <c r="BC3666" s="11"/>
      <c r="BF3666" s="9"/>
      <c r="CF3666" s="12"/>
      <c r="CH3666" s="9"/>
    </row>
    <row r="3667" spans="6:86" x14ac:dyDescent="0.25">
      <c r="F3667" s="9"/>
      <c r="G3667" s="9"/>
      <c r="AA3667" s="10"/>
      <c r="AV3667" s="11"/>
      <c r="AW3667" s="11"/>
      <c r="BB3667" s="9"/>
      <c r="BC3667" s="11"/>
      <c r="BF3667" s="9"/>
      <c r="CF3667" s="12"/>
      <c r="CH3667" s="9"/>
    </row>
    <row r="3668" spans="6:86" x14ac:dyDescent="0.25">
      <c r="F3668" s="9"/>
      <c r="G3668" s="9"/>
      <c r="AA3668" s="10"/>
      <c r="AV3668" s="11"/>
      <c r="AW3668" s="11"/>
      <c r="BB3668" s="9"/>
      <c r="BC3668" s="11"/>
      <c r="BF3668" s="9"/>
      <c r="CF3668" s="12"/>
      <c r="CH3668" s="9"/>
    </row>
    <row r="3669" spans="6:86" x14ac:dyDescent="0.25">
      <c r="F3669" s="9"/>
      <c r="G3669" s="9"/>
      <c r="AA3669" s="10"/>
      <c r="AV3669" s="11"/>
      <c r="AW3669" s="11"/>
      <c r="BB3669" s="9"/>
      <c r="BC3669" s="11"/>
      <c r="BF3669" s="9"/>
      <c r="CH3669" s="9"/>
    </row>
    <row r="3670" spans="6:86" x14ac:dyDescent="0.25">
      <c r="F3670" s="9"/>
      <c r="G3670" s="9"/>
      <c r="AA3670" s="10"/>
      <c r="AV3670" s="11"/>
      <c r="AW3670" s="11"/>
      <c r="BB3670" s="9"/>
      <c r="BC3670" s="11"/>
      <c r="BF3670" s="9"/>
      <c r="CF3670" s="12"/>
      <c r="CH3670" s="9"/>
    </row>
    <row r="3671" spans="6:86" x14ac:dyDescent="0.25">
      <c r="F3671" s="9"/>
      <c r="G3671" s="9"/>
      <c r="AA3671" s="10"/>
      <c r="AV3671" s="11"/>
      <c r="AW3671" s="11"/>
      <c r="BB3671" s="9"/>
      <c r="BC3671" s="11"/>
      <c r="BF3671" s="9"/>
      <c r="CF3671" s="12"/>
      <c r="CH3671" s="9"/>
    </row>
    <row r="3672" spans="6:86" x14ac:dyDescent="0.25">
      <c r="F3672" s="9"/>
      <c r="G3672" s="9"/>
      <c r="AA3672" s="10"/>
      <c r="AV3672" s="11"/>
      <c r="AW3672" s="11"/>
      <c r="BB3672" s="9"/>
      <c r="BC3672" s="11"/>
      <c r="BF3672" s="9"/>
      <c r="CF3672" s="12"/>
      <c r="CH3672" s="9"/>
    </row>
    <row r="3673" spans="6:86" x14ac:dyDescent="0.25">
      <c r="F3673" s="9"/>
      <c r="G3673" s="9"/>
      <c r="AA3673" s="10"/>
      <c r="AV3673" s="11"/>
      <c r="AW3673" s="11"/>
      <c r="BB3673" s="9"/>
      <c r="BC3673" s="11"/>
      <c r="BF3673" s="9"/>
      <c r="CF3673" s="12"/>
      <c r="CH3673" s="9"/>
    </row>
    <row r="3674" spans="6:86" x14ac:dyDescent="0.25">
      <c r="F3674" s="9"/>
      <c r="G3674" s="9"/>
      <c r="AA3674" s="10"/>
      <c r="AV3674" s="11"/>
      <c r="AW3674" s="11"/>
      <c r="BB3674" s="9"/>
      <c r="BC3674" s="11"/>
      <c r="BF3674" s="9"/>
      <c r="CH3674" s="9"/>
    </row>
    <row r="3675" spans="6:86" x14ac:dyDescent="0.25">
      <c r="F3675" s="9"/>
      <c r="G3675" s="9"/>
      <c r="AA3675" s="10"/>
      <c r="AV3675" s="11"/>
      <c r="AW3675" s="11"/>
      <c r="BB3675" s="9"/>
      <c r="BC3675" s="11"/>
      <c r="BF3675" s="9"/>
      <c r="CF3675" s="12"/>
      <c r="CH3675" s="9"/>
    </row>
    <row r="3676" spans="6:86" x14ac:dyDescent="0.25">
      <c r="F3676" s="9"/>
      <c r="G3676" s="9"/>
      <c r="AA3676" s="10"/>
      <c r="AV3676" s="11"/>
      <c r="AW3676" s="11"/>
      <c r="BB3676" s="9"/>
      <c r="BC3676" s="11"/>
      <c r="BF3676" s="9"/>
      <c r="CF3676" s="12"/>
      <c r="CH3676" s="9"/>
    </row>
    <row r="3677" spans="6:86" x14ac:dyDescent="0.25">
      <c r="F3677" s="9"/>
      <c r="G3677" s="9"/>
      <c r="AA3677" s="10"/>
      <c r="AV3677" s="11"/>
      <c r="AW3677" s="11"/>
      <c r="BB3677" s="9"/>
      <c r="BC3677" s="11"/>
      <c r="BF3677" s="9"/>
      <c r="CF3677" s="12"/>
      <c r="CH3677" s="9"/>
    </row>
    <row r="3678" spans="6:86" x14ac:dyDescent="0.25">
      <c r="F3678" s="9"/>
      <c r="G3678" s="9"/>
      <c r="AA3678" s="10"/>
      <c r="AV3678" s="11"/>
      <c r="AW3678" s="11"/>
      <c r="BB3678" s="9"/>
      <c r="BC3678" s="11"/>
      <c r="BF3678" s="9"/>
      <c r="CF3678" s="12"/>
      <c r="CH3678" s="9"/>
    </row>
    <row r="3679" spans="6:86" x14ac:dyDescent="0.25">
      <c r="F3679" s="9"/>
      <c r="G3679" s="9"/>
      <c r="AA3679" s="10"/>
      <c r="AV3679" s="11"/>
      <c r="AW3679" s="11"/>
      <c r="BB3679" s="9"/>
      <c r="BC3679" s="11"/>
      <c r="BF3679" s="9"/>
      <c r="CF3679" s="12"/>
      <c r="CH3679" s="9"/>
    </row>
    <row r="3680" spans="6:86" x14ac:dyDescent="0.25">
      <c r="F3680" s="9"/>
      <c r="G3680" s="9"/>
      <c r="AA3680" s="10"/>
      <c r="AV3680" s="11"/>
      <c r="AW3680" s="11"/>
      <c r="BB3680" s="9"/>
      <c r="BC3680" s="11"/>
      <c r="BF3680" s="9"/>
      <c r="CF3680" s="12"/>
      <c r="CH3680" s="9"/>
    </row>
    <row r="3681" spans="6:86" x14ac:dyDescent="0.25">
      <c r="F3681" s="9"/>
      <c r="G3681" s="9"/>
      <c r="AA3681" s="10"/>
      <c r="AV3681" s="11"/>
      <c r="AW3681" s="11"/>
      <c r="BB3681" s="9"/>
      <c r="BC3681" s="11"/>
      <c r="BF3681" s="9"/>
      <c r="CF3681" s="12"/>
      <c r="CH3681" s="9"/>
    </row>
    <row r="3682" spans="6:86" x14ac:dyDescent="0.25">
      <c r="F3682" s="9"/>
      <c r="G3682" s="9"/>
      <c r="AA3682" s="10"/>
      <c r="AV3682" s="11"/>
      <c r="AW3682" s="11"/>
      <c r="BB3682" s="9"/>
      <c r="BC3682" s="11"/>
      <c r="BF3682" s="9"/>
      <c r="CF3682" s="12"/>
      <c r="CH3682" s="9"/>
    </row>
    <row r="3683" spans="6:86" x14ac:dyDescent="0.25">
      <c r="F3683" s="9"/>
      <c r="G3683" s="9"/>
      <c r="AA3683" s="10"/>
      <c r="AV3683" s="11"/>
      <c r="AW3683" s="11"/>
      <c r="BB3683" s="9"/>
      <c r="BC3683" s="11"/>
      <c r="BF3683" s="9"/>
      <c r="CF3683" s="12"/>
      <c r="CH3683" s="9"/>
    </row>
    <row r="3684" spans="6:86" x14ac:dyDescent="0.25">
      <c r="F3684" s="9"/>
      <c r="G3684" s="9"/>
      <c r="AA3684" s="10"/>
      <c r="AV3684" s="11"/>
      <c r="AW3684" s="11"/>
      <c r="BB3684" s="9"/>
      <c r="BC3684" s="11"/>
      <c r="BF3684" s="9"/>
      <c r="CF3684" s="12"/>
      <c r="CH3684" s="9"/>
    </row>
    <row r="3685" spans="6:86" x14ac:dyDescent="0.25">
      <c r="F3685" s="9"/>
      <c r="G3685" s="9"/>
      <c r="AA3685" s="10"/>
      <c r="AV3685" s="11"/>
      <c r="AW3685" s="11"/>
      <c r="BB3685" s="9"/>
      <c r="BC3685" s="11"/>
      <c r="BF3685" s="9"/>
      <c r="CF3685" s="12"/>
      <c r="CH3685" s="9"/>
    </row>
    <row r="3686" spans="6:86" x14ac:dyDescent="0.25">
      <c r="F3686" s="9"/>
      <c r="G3686" s="9"/>
      <c r="AA3686" s="10"/>
      <c r="AV3686" s="11"/>
      <c r="AW3686" s="11"/>
      <c r="BB3686" s="9"/>
      <c r="BC3686" s="11"/>
      <c r="BF3686" s="9"/>
      <c r="CF3686" s="12"/>
      <c r="CH3686" s="9"/>
    </row>
    <row r="3687" spans="6:86" x14ac:dyDescent="0.25">
      <c r="F3687" s="9"/>
      <c r="G3687" s="9"/>
      <c r="AA3687" s="10"/>
      <c r="AV3687" s="11"/>
      <c r="AW3687" s="11"/>
      <c r="BB3687" s="9"/>
      <c r="BC3687" s="11"/>
      <c r="BF3687" s="9"/>
      <c r="CF3687" s="12"/>
      <c r="CH3687" s="9"/>
    </row>
    <row r="3688" spans="6:86" x14ac:dyDescent="0.25">
      <c r="F3688" s="9"/>
      <c r="G3688" s="9"/>
      <c r="AA3688" s="10"/>
      <c r="AV3688" s="11"/>
      <c r="AW3688" s="11"/>
      <c r="BB3688" s="9"/>
      <c r="BC3688" s="11"/>
      <c r="BF3688" s="9"/>
      <c r="CF3688" s="12"/>
      <c r="CH3688" s="9"/>
    </row>
    <row r="3689" spans="6:86" x14ac:dyDescent="0.25">
      <c r="F3689" s="9"/>
      <c r="G3689" s="9"/>
      <c r="AA3689" s="10"/>
      <c r="AV3689" s="11"/>
      <c r="AW3689" s="11"/>
      <c r="BB3689" s="9"/>
      <c r="BC3689" s="11"/>
      <c r="BF3689" s="9"/>
      <c r="CF3689" s="12"/>
      <c r="CH3689" s="9"/>
    </row>
    <row r="3690" spans="6:86" x14ac:dyDescent="0.25">
      <c r="F3690" s="9"/>
      <c r="G3690" s="9"/>
      <c r="AA3690" s="10"/>
      <c r="AV3690" s="11"/>
      <c r="AW3690" s="11"/>
      <c r="BB3690" s="9"/>
      <c r="BC3690" s="11"/>
      <c r="BF3690" s="9"/>
      <c r="CF3690" s="12"/>
      <c r="CH3690" s="9"/>
    </row>
    <row r="3691" spans="6:86" x14ac:dyDescent="0.25">
      <c r="F3691" s="9"/>
      <c r="G3691" s="9"/>
      <c r="AA3691" s="10"/>
      <c r="AV3691" s="11"/>
      <c r="AW3691" s="11"/>
      <c r="BB3691" s="9"/>
      <c r="BC3691" s="11"/>
      <c r="BF3691" s="9"/>
      <c r="CF3691" s="12"/>
      <c r="CH3691" s="9"/>
    </row>
    <row r="3692" spans="6:86" x14ac:dyDescent="0.25">
      <c r="F3692" s="9"/>
      <c r="G3692" s="9"/>
      <c r="AA3692" s="10"/>
      <c r="AV3692" s="11"/>
      <c r="AW3692" s="11"/>
      <c r="BB3692" s="9"/>
      <c r="BC3692" s="11"/>
      <c r="BF3692" s="9"/>
      <c r="CH3692" s="9"/>
    </row>
    <row r="3693" spans="6:86" x14ac:dyDescent="0.25">
      <c r="F3693" s="9"/>
      <c r="G3693" s="9"/>
      <c r="AA3693" s="10"/>
      <c r="AV3693" s="11"/>
      <c r="AW3693" s="11"/>
      <c r="BB3693" s="9"/>
      <c r="BC3693" s="11"/>
      <c r="BF3693" s="9"/>
      <c r="CF3693" s="12"/>
      <c r="CH3693" s="9"/>
    </row>
    <row r="3694" spans="6:86" x14ac:dyDescent="0.25">
      <c r="F3694" s="9"/>
      <c r="G3694" s="9"/>
      <c r="AA3694" s="10"/>
      <c r="AV3694" s="11"/>
      <c r="AW3694" s="11"/>
      <c r="BB3694" s="9"/>
      <c r="BC3694" s="11"/>
      <c r="BF3694" s="9"/>
      <c r="CF3694" s="12"/>
      <c r="CH3694" s="9"/>
    </row>
    <row r="3695" spans="6:86" x14ac:dyDescent="0.25">
      <c r="F3695" s="9"/>
      <c r="G3695" s="9"/>
      <c r="AA3695" s="10"/>
      <c r="AV3695" s="11"/>
      <c r="AW3695" s="11"/>
      <c r="BB3695" s="9"/>
      <c r="BC3695" s="11"/>
      <c r="BF3695" s="9"/>
      <c r="CF3695" s="12"/>
      <c r="CH3695" s="9"/>
    </row>
    <row r="3696" spans="6:86" x14ac:dyDescent="0.25">
      <c r="F3696" s="9"/>
      <c r="G3696" s="9"/>
      <c r="AA3696" s="10"/>
      <c r="AV3696" s="11"/>
      <c r="AW3696" s="11"/>
      <c r="BB3696" s="9"/>
      <c r="BC3696" s="11"/>
      <c r="BF3696" s="9"/>
      <c r="CF3696" s="12"/>
      <c r="CH3696" s="9"/>
    </row>
    <row r="3697" spans="6:86" x14ac:dyDescent="0.25">
      <c r="F3697" s="9"/>
      <c r="G3697" s="9"/>
      <c r="AA3697" s="10"/>
      <c r="AV3697" s="11"/>
      <c r="AW3697" s="11"/>
      <c r="BB3697" s="9"/>
      <c r="BC3697" s="11"/>
      <c r="BF3697" s="9"/>
      <c r="CF3697" s="12"/>
      <c r="CH3697" s="9"/>
    </row>
    <row r="3698" spans="6:86" x14ac:dyDescent="0.25">
      <c r="F3698" s="9"/>
      <c r="G3698" s="9"/>
      <c r="AA3698" s="10"/>
      <c r="AV3698" s="11"/>
      <c r="AW3698" s="11"/>
      <c r="BB3698" s="9"/>
      <c r="BC3698" s="11"/>
      <c r="BF3698" s="9"/>
      <c r="CF3698" s="12"/>
      <c r="CH3698" s="9"/>
    </row>
    <row r="3699" spans="6:86" x14ac:dyDescent="0.25">
      <c r="F3699" s="9"/>
      <c r="G3699" s="9"/>
      <c r="AA3699" s="10"/>
      <c r="AV3699" s="11"/>
      <c r="AW3699" s="11"/>
      <c r="BB3699" s="9"/>
      <c r="BC3699" s="11"/>
      <c r="BF3699" s="9"/>
      <c r="CF3699" s="12"/>
      <c r="CH3699" s="9"/>
    </row>
    <row r="3700" spans="6:86" x14ac:dyDescent="0.25">
      <c r="F3700" s="9"/>
      <c r="G3700" s="9"/>
      <c r="AA3700" s="10"/>
      <c r="AV3700" s="11"/>
      <c r="AW3700" s="11"/>
      <c r="BB3700" s="9"/>
      <c r="BC3700" s="11"/>
      <c r="BF3700" s="9"/>
      <c r="CF3700" s="12"/>
      <c r="CH3700" s="9"/>
    </row>
    <row r="3701" spans="6:86" x14ac:dyDescent="0.25">
      <c r="F3701" s="9"/>
      <c r="G3701" s="9"/>
      <c r="AA3701" s="10"/>
      <c r="AV3701" s="11"/>
      <c r="AW3701" s="11"/>
      <c r="BB3701" s="9"/>
      <c r="BC3701" s="11"/>
      <c r="BF3701" s="9"/>
      <c r="CF3701" s="12"/>
      <c r="CH3701" s="9"/>
    </row>
    <row r="3702" spans="6:86" x14ac:dyDescent="0.25">
      <c r="F3702" s="9"/>
      <c r="G3702" s="9"/>
      <c r="AA3702" s="10"/>
      <c r="AV3702" s="11"/>
      <c r="AW3702" s="11"/>
      <c r="BB3702" s="9"/>
      <c r="BC3702" s="11"/>
      <c r="BF3702" s="9"/>
      <c r="CF3702" s="12"/>
      <c r="CH3702" s="9"/>
    </row>
    <row r="3703" spans="6:86" x14ac:dyDescent="0.25">
      <c r="F3703" s="9"/>
      <c r="G3703" s="9"/>
      <c r="AA3703" s="10"/>
      <c r="AV3703" s="11"/>
      <c r="AW3703" s="11"/>
      <c r="BB3703" s="9"/>
      <c r="BC3703" s="11"/>
      <c r="BF3703" s="9"/>
      <c r="CF3703" s="12"/>
      <c r="CH3703" s="9"/>
    </row>
    <row r="3704" spans="6:86" x14ac:dyDescent="0.25">
      <c r="F3704" s="9"/>
      <c r="G3704" s="9"/>
      <c r="AA3704" s="10"/>
      <c r="AV3704" s="11"/>
      <c r="AW3704" s="11"/>
      <c r="BB3704" s="9"/>
      <c r="BC3704" s="11"/>
      <c r="BF3704" s="9"/>
      <c r="CF3704" s="12"/>
      <c r="CH3704" s="9"/>
    </row>
    <row r="3705" spans="6:86" x14ac:dyDescent="0.25">
      <c r="F3705" s="9"/>
      <c r="G3705" s="9"/>
      <c r="AA3705" s="10"/>
      <c r="AV3705" s="11"/>
      <c r="AW3705" s="11"/>
      <c r="BB3705" s="9"/>
      <c r="BC3705" s="11"/>
      <c r="BF3705" s="9"/>
      <c r="CF3705" s="12"/>
      <c r="CH3705" s="9"/>
    </row>
    <row r="3706" spans="6:86" x14ac:dyDescent="0.25">
      <c r="F3706" s="9"/>
      <c r="G3706" s="9"/>
      <c r="AA3706" s="10"/>
      <c r="AV3706" s="11"/>
      <c r="AW3706" s="11"/>
      <c r="BB3706" s="9"/>
      <c r="BC3706" s="11"/>
      <c r="BF3706" s="9"/>
      <c r="CF3706" s="12"/>
      <c r="CH3706" s="9"/>
    </row>
    <row r="3707" spans="6:86" x14ac:dyDescent="0.25">
      <c r="F3707" s="9"/>
      <c r="G3707" s="9"/>
      <c r="AA3707" s="10"/>
      <c r="AV3707" s="11"/>
      <c r="AW3707" s="11"/>
      <c r="BB3707" s="9"/>
      <c r="BC3707" s="11"/>
      <c r="BF3707" s="9"/>
      <c r="CH3707" s="9"/>
    </row>
    <row r="3708" spans="6:86" x14ac:dyDescent="0.25">
      <c r="F3708" s="9"/>
      <c r="G3708" s="9"/>
      <c r="AA3708" s="10"/>
      <c r="AV3708" s="11"/>
      <c r="AW3708" s="11"/>
      <c r="BB3708" s="9"/>
      <c r="BC3708" s="11"/>
      <c r="BF3708" s="9"/>
      <c r="CF3708" s="12"/>
      <c r="CH3708" s="9"/>
    </row>
    <row r="3709" spans="6:86" x14ac:dyDescent="0.25">
      <c r="F3709" s="9"/>
      <c r="G3709" s="9"/>
      <c r="AA3709" s="10"/>
      <c r="AV3709" s="11"/>
      <c r="AW3709" s="11"/>
      <c r="BB3709" s="9"/>
      <c r="BC3709" s="11"/>
      <c r="BF3709" s="9"/>
      <c r="CF3709" s="12"/>
      <c r="CH3709" s="9"/>
    </row>
    <row r="3710" spans="6:86" x14ac:dyDescent="0.25">
      <c r="F3710" s="9"/>
      <c r="G3710" s="9"/>
      <c r="AA3710" s="10"/>
      <c r="AV3710" s="11"/>
      <c r="AW3710" s="11"/>
      <c r="BB3710" s="9"/>
      <c r="BC3710" s="11"/>
      <c r="BF3710" s="9"/>
      <c r="CF3710" s="12"/>
      <c r="CH3710" s="9"/>
    </row>
    <row r="3711" spans="6:86" x14ac:dyDescent="0.25">
      <c r="F3711" s="9"/>
      <c r="G3711" s="9"/>
      <c r="AA3711" s="10"/>
      <c r="AV3711" s="11"/>
      <c r="AW3711" s="11"/>
      <c r="BB3711" s="9"/>
      <c r="BC3711" s="11"/>
      <c r="BF3711" s="9"/>
      <c r="CF3711" s="12"/>
      <c r="CH3711" s="9"/>
    </row>
    <row r="3712" spans="6:86" x14ac:dyDescent="0.25">
      <c r="F3712" s="9"/>
      <c r="G3712" s="9"/>
      <c r="AA3712" s="10"/>
      <c r="AV3712" s="11"/>
      <c r="AW3712" s="11"/>
      <c r="BB3712" s="9"/>
      <c r="BC3712" s="11"/>
      <c r="BF3712" s="9"/>
      <c r="CF3712" s="12"/>
      <c r="CH3712" s="9"/>
    </row>
    <row r="3713" spans="6:86" x14ac:dyDescent="0.25">
      <c r="F3713" s="9"/>
      <c r="G3713" s="9"/>
      <c r="AA3713" s="10"/>
      <c r="AV3713" s="11"/>
      <c r="AW3713" s="11"/>
      <c r="BB3713" s="9"/>
      <c r="BC3713" s="11"/>
      <c r="BF3713" s="9"/>
      <c r="CF3713" s="12"/>
      <c r="CH3713" s="9"/>
    </row>
    <row r="3714" spans="6:86" x14ac:dyDescent="0.25">
      <c r="F3714" s="9"/>
      <c r="G3714" s="9"/>
      <c r="AA3714" s="10"/>
      <c r="AV3714" s="11"/>
      <c r="AW3714" s="11"/>
      <c r="BB3714" s="9"/>
      <c r="BC3714" s="11"/>
      <c r="BF3714" s="9"/>
      <c r="CF3714" s="12"/>
      <c r="CH3714" s="9"/>
    </row>
    <row r="3715" spans="6:86" x14ac:dyDescent="0.25">
      <c r="F3715" s="9"/>
      <c r="G3715" s="9"/>
      <c r="AA3715" s="10"/>
      <c r="AV3715" s="11"/>
      <c r="AW3715" s="11"/>
      <c r="BB3715" s="9"/>
      <c r="BC3715" s="11"/>
      <c r="BF3715" s="9"/>
      <c r="CF3715" s="12"/>
      <c r="CH3715" s="9"/>
    </row>
    <row r="3716" spans="6:86" x14ac:dyDescent="0.25">
      <c r="F3716" s="9"/>
      <c r="G3716" s="9"/>
      <c r="AA3716" s="10"/>
      <c r="AV3716" s="11"/>
      <c r="AW3716" s="11"/>
      <c r="BB3716" s="9"/>
      <c r="BC3716" s="11"/>
      <c r="BF3716" s="9"/>
      <c r="CF3716" s="12"/>
      <c r="CH3716" s="9"/>
    </row>
    <row r="3717" spans="6:86" x14ac:dyDescent="0.25">
      <c r="F3717" s="9"/>
      <c r="G3717" s="9"/>
      <c r="AA3717" s="10"/>
      <c r="AV3717" s="11"/>
      <c r="AW3717" s="11"/>
      <c r="BB3717" s="9"/>
      <c r="BC3717" s="11"/>
      <c r="BF3717" s="9"/>
      <c r="CF3717" s="12"/>
      <c r="CH3717" s="9"/>
    </row>
    <row r="3718" spans="6:86" x14ac:dyDescent="0.25">
      <c r="F3718" s="9"/>
      <c r="G3718" s="9"/>
      <c r="AA3718" s="10"/>
      <c r="AV3718" s="11"/>
      <c r="AW3718" s="11"/>
      <c r="BB3718" s="9"/>
      <c r="BC3718" s="11"/>
      <c r="BF3718" s="9"/>
      <c r="CH3718" s="9"/>
    </row>
    <row r="3719" spans="6:86" x14ac:dyDescent="0.25">
      <c r="F3719" s="9"/>
      <c r="G3719" s="9"/>
      <c r="AA3719" s="10"/>
      <c r="AV3719" s="11"/>
      <c r="AW3719" s="11"/>
      <c r="BB3719" s="9"/>
      <c r="BC3719" s="11"/>
      <c r="BF3719" s="9"/>
      <c r="CF3719" s="12"/>
      <c r="CH3719" s="9"/>
    </row>
    <row r="3720" spans="6:86" x14ac:dyDescent="0.25">
      <c r="F3720" s="9"/>
      <c r="G3720" s="9"/>
      <c r="AA3720" s="10"/>
      <c r="AV3720" s="11"/>
      <c r="AW3720" s="11"/>
      <c r="BB3720" s="9"/>
      <c r="BC3720" s="11"/>
      <c r="BF3720" s="9"/>
      <c r="CF3720" s="12"/>
      <c r="CH3720" s="9"/>
    </row>
    <row r="3721" spans="6:86" x14ac:dyDescent="0.25">
      <c r="F3721" s="9"/>
      <c r="G3721" s="9"/>
      <c r="AA3721" s="10"/>
      <c r="AV3721" s="11"/>
      <c r="AW3721" s="11"/>
      <c r="BB3721" s="9"/>
      <c r="BC3721" s="11"/>
      <c r="BF3721" s="9"/>
      <c r="CF3721" s="12"/>
      <c r="CH3721" s="9"/>
    </row>
    <row r="3722" spans="6:86" x14ac:dyDescent="0.25">
      <c r="F3722" s="9"/>
      <c r="G3722" s="9"/>
      <c r="AA3722" s="10"/>
      <c r="AV3722" s="11"/>
      <c r="AW3722" s="11"/>
      <c r="BB3722" s="9"/>
      <c r="BC3722" s="11"/>
      <c r="BF3722" s="9"/>
      <c r="CF3722" s="12"/>
      <c r="CH3722" s="9"/>
    </row>
    <row r="3723" spans="6:86" x14ac:dyDescent="0.25">
      <c r="F3723" s="9"/>
      <c r="G3723" s="9"/>
      <c r="AA3723" s="10"/>
      <c r="AV3723" s="11"/>
      <c r="AW3723" s="11"/>
      <c r="BB3723" s="9"/>
      <c r="BC3723" s="11"/>
      <c r="BF3723" s="9"/>
      <c r="CF3723" s="12"/>
      <c r="CH3723" s="9"/>
    </row>
    <row r="3724" spans="6:86" x14ac:dyDescent="0.25">
      <c r="F3724" s="9"/>
      <c r="G3724" s="9"/>
      <c r="AA3724" s="10"/>
      <c r="AV3724" s="11"/>
      <c r="AW3724" s="11"/>
      <c r="BB3724" s="9"/>
      <c r="BC3724" s="11"/>
      <c r="BF3724" s="9"/>
      <c r="CF3724" s="12"/>
      <c r="CH3724" s="9"/>
    </row>
    <row r="3725" spans="6:86" x14ac:dyDescent="0.25">
      <c r="F3725" s="9"/>
      <c r="G3725" s="9"/>
      <c r="AA3725" s="10"/>
      <c r="AV3725" s="11"/>
      <c r="AW3725" s="11"/>
      <c r="BB3725" s="9"/>
      <c r="BC3725" s="11"/>
      <c r="BF3725" s="9"/>
      <c r="CH3725" s="9"/>
    </row>
    <row r="3726" spans="6:86" x14ac:dyDescent="0.25">
      <c r="F3726" s="9"/>
      <c r="G3726" s="9"/>
      <c r="AA3726" s="10"/>
      <c r="AV3726" s="11"/>
      <c r="AW3726" s="11"/>
      <c r="BB3726" s="9"/>
      <c r="BC3726" s="11"/>
      <c r="BF3726" s="9"/>
      <c r="CF3726" s="12"/>
      <c r="CH3726" s="9"/>
    </row>
    <row r="3727" spans="6:86" x14ac:dyDescent="0.25">
      <c r="F3727" s="9"/>
      <c r="G3727" s="9"/>
      <c r="AA3727" s="10"/>
      <c r="AV3727" s="11"/>
      <c r="AW3727" s="11"/>
      <c r="BB3727" s="9"/>
      <c r="BC3727" s="11"/>
      <c r="BF3727" s="9"/>
      <c r="CF3727" s="12"/>
      <c r="CH3727" s="9"/>
    </row>
    <row r="3728" spans="6:86" x14ac:dyDescent="0.25">
      <c r="F3728" s="9"/>
      <c r="G3728" s="9"/>
      <c r="AA3728" s="10"/>
      <c r="AV3728" s="11"/>
      <c r="AW3728" s="11"/>
      <c r="BB3728" s="9"/>
      <c r="BC3728" s="11"/>
      <c r="BF3728" s="9"/>
      <c r="CF3728" s="12"/>
      <c r="CH3728" s="9"/>
    </row>
    <row r="3729" spans="6:92" x14ac:dyDescent="0.25">
      <c r="F3729" s="9"/>
      <c r="G3729" s="9"/>
      <c r="AA3729" s="10"/>
      <c r="AV3729" s="11"/>
      <c r="AW3729" s="11"/>
      <c r="BB3729" s="9"/>
      <c r="BC3729" s="11"/>
      <c r="BF3729" s="9"/>
      <c r="CF3729" s="12"/>
      <c r="CH3729" s="9"/>
    </row>
    <row r="3730" spans="6:92" x14ac:dyDescent="0.25">
      <c r="F3730" s="9"/>
      <c r="G3730" s="9"/>
      <c r="AA3730" s="10"/>
      <c r="AV3730" s="11"/>
      <c r="AW3730" s="11"/>
      <c r="BB3730" s="9"/>
      <c r="BC3730" s="11"/>
      <c r="BF3730" s="9"/>
      <c r="CF3730" s="12"/>
      <c r="CH3730" s="9"/>
    </row>
    <row r="3731" spans="6:92" x14ac:dyDescent="0.25">
      <c r="F3731" s="9"/>
      <c r="G3731" s="9"/>
      <c r="AA3731" s="10"/>
      <c r="AV3731" s="11"/>
      <c r="AW3731" s="11"/>
      <c r="BB3731" s="9"/>
      <c r="BC3731" s="11"/>
      <c r="BF3731" s="9"/>
      <c r="CF3731" s="12"/>
      <c r="CH3731" s="9"/>
    </row>
    <row r="3732" spans="6:92" x14ac:dyDescent="0.25">
      <c r="F3732" s="9"/>
      <c r="G3732" s="9"/>
      <c r="AA3732" s="10"/>
      <c r="AV3732" s="11"/>
      <c r="AW3732" s="11"/>
      <c r="BB3732" s="9"/>
      <c r="BC3732" s="11"/>
      <c r="BF3732" s="9"/>
      <c r="CF3732" s="12"/>
      <c r="CH3732" s="9"/>
    </row>
    <row r="3733" spans="6:92" x14ac:dyDescent="0.25">
      <c r="F3733" s="9"/>
      <c r="G3733" s="9"/>
      <c r="AA3733" s="10"/>
      <c r="AV3733" s="11"/>
      <c r="AW3733" s="11"/>
      <c r="BB3733" s="9"/>
      <c r="BC3733" s="11"/>
      <c r="BF3733" s="9"/>
      <c r="CF3733" s="12"/>
      <c r="CH3733" s="9"/>
    </row>
    <row r="3734" spans="6:92" x14ac:dyDescent="0.25">
      <c r="F3734" s="9"/>
      <c r="G3734" s="9"/>
      <c r="AA3734" s="10"/>
      <c r="AV3734" s="11"/>
      <c r="AW3734" s="11"/>
      <c r="BB3734" s="9"/>
      <c r="BC3734" s="11"/>
      <c r="BF3734" s="9"/>
      <c r="CF3734" s="12"/>
      <c r="CH3734" s="9"/>
    </row>
    <row r="3735" spans="6:92" x14ac:dyDescent="0.25">
      <c r="F3735" s="9"/>
      <c r="G3735" s="9"/>
      <c r="AA3735" s="10"/>
      <c r="AV3735" s="11"/>
      <c r="AW3735" s="11"/>
      <c r="BB3735" s="9"/>
      <c r="BC3735" s="11"/>
      <c r="BF3735" s="9"/>
      <c r="CF3735" s="12"/>
      <c r="CH3735" s="9"/>
    </row>
    <row r="3736" spans="6:92" x14ac:dyDescent="0.25">
      <c r="F3736" s="9"/>
      <c r="G3736" s="9"/>
      <c r="AA3736" s="10"/>
      <c r="AV3736" s="11"/>
      <c r="AW3736" s="11"/>
      <c r="BB3736" s="9"/>
      <c r="BC3736" s="11"/>
      <c r="BF3736" s="9"/>
      <c r="CF3736" s="12"/>
      <c r="CH3736" s="9"/>
    </row>
    <row r="3737" spans="6:92" x14ac:dyDescent="0.25">
      <c r="F3737" s="9"/>
      <c r="G3737" s="9"/>
      <c r="AA3737" s="10"/>
      <c r="AV3737" s="11"/>
      <c r="AW3737" s="11"/>
      <c r="BB3737" s="9"/>
      <c r="BC3737" s="11"/>
      <c r="BF3737" s="9"/>
      <c r="CF3737" s="12"/>
      <c r="CH3737" s="9"/>
    </row>
    <row r="3738" spans="6:92" x14ac:dyDescent="0.25">
      <c r="F3738" s="9"/>
      <c r="G3738" s="9"/>
      <c r="AA3738" s="10"/>
      <c r="AV3738" s="11"/>
      <c r="AW3738" s="11"/>
      <c r="BB3738" s="9"/>
      <c r="BC3738" s="11"/>
      <c r="BF3738" s="9"/>
      <c r="CF3738" s="12"/>
      <c r="CH3738" s="9"/>
    </row>
    <row r="3739" spans="6:92" x14ac:dyDescent="0.25">
      <c r="F3739" s="9"/>
      <c r="G3739" s="9"/>
      <c r="U3739" s="12"/>
      <c r="Y3739" s="12"/>
      <c r="Z3739" s="12"/>
      <c r="AA3739" s="10"/>
      <c r="AV3739" s="11"/>
      <c r="AW3739" s="11"/>
      <c r="BB3739" s="9"/>
      <c r="BC3739" s="11"/>
      <c r="BF3739" s="9"/>
      <c r="CF3739" s="12"/>
      <c r="CH3739" s="9"/>
      <c r="CN3739" s="12"/>
    </row>
    <row r="3740" spans="6:92" x14ac:dyDescent="0.25">
      <c r="F3740" s="9"/>
      <c r="G3740" s="9"/>
      <c r="T3740" s="10"/>
      <c r="U3740" s="12"/>
      <c r="Y3740" s="12"/>
      <c r="Z3740" s="12"/>
      <c r="AA3740" s="10"/>
      <c r="AV3740" s="11"/>
      <c r="AW3740" s="11"/>
      <c r="BB3740" s="9"/>
      <c r="BC3740" s="11"/>
      <c r="BF3740" s="9"/>
      <c r="CF3740" s="12"/>
      <c r="CH3740" s="9"/>
      <c r="CN3740" s="12"/>
    </row>
    <row r="3741" spans="6:92" x14ac:dyDescent="0.25">
      <c r="F3741" s="9"/>
      <c r="G3741" s="9"/>
      <c r="AA3741" s="10"/>
      <c r="AV3741" s="11"/>
      <c r="AW3741" s="11"/>
      <c r="BB3741" s="9"/>
      <c r="BC3741" s="11"/>
      <c r="BF3741" s="9"/>
      <c r="CF3741" s="12"/>
      <c r="CH3741" s="9"/>
    </row>
    <row r="3742" spans="6:92" x14ac:dyDescent="0.25">
      <c r="F3742" s="9"/>
      <c r="G3742" s="9"/>
      <c r="AA3742" s="10"/>
      <c r="AV3742" s="11"/>
      <c r="AW3742" s="11"/>
      <c r="BB3742" s="9"/>
      <c r="BC3742" s="11"/>
      <c r="BF3742" s="9"/>
      <c r="CF3742" s="12"/>
      <c r="CH3742" s="9"/>
    </row>
    <row r="3743" spans="6:92" x14ac:dyDescent="0.25">
      <c r="F3743" s="9"/>
      <c r="G3743" s="9"/>
      <c r="AA3743" s="10"/>
      <c r="AV3743" s="11"/>
      <c r="AW3743" s="11"/>
      <c r="BB3743" s="9"/>
      <c r="BC3743" s="11"/>
      <c r="BF3743" s="9"/>
      <c r="CF3743" s="12"/>
      <c r="CH3743" s="9"/>
    </row>
    <row r="3744" spans="6:92" x14ac:dyDescent="0.25">
      <c r="F3744" s="9"/>
      <c r="G3744" s="9"/>
      <c r="AA3744" s="10"/>
      <c r="AV3744" s="11"/>
      <c r="AW3744" s="11"/>
      <c r="BB3744" s="9"/>
      <c r="BC3744" s="11"/>
      <c r="BF3744" s="9"/>
      <c r="CH3744" s="9"/>
    </row>
    <row r="3745" spans="6:86" x14ac:dyDescent="0.25">
      <c r="F3745" s="9"/>
      <c r="G3745" s="9"/>
      <c r="AA3745" s="10"/>
      <c r="AV3745" s="11"/>
      <c r="AW3745" s="11"/>
      <c r="BB3745" s="9"/>
      <c r="BC3745" s="11"/>
      <c r="BF3745" s="9"/>
      <c r="CF3745" s="12"/>
      <c r="CH3745" s="9"/>
    </row>
    <row r="3746" spans="6:86" x14ac:dyDescent="0.25">
      <c r="F3746" s="9"/>
      <c r="G3746" s="9"/>
      <c r="AA3746" s="10"/>
      <c r="AV3746" s="11"/>
      <c r="AW3746" s="11"/>
      <c r="BB3746" s="9"/>
      <c r="BC3746" s="11"/>
      <c r="BF3746" s="9"/>
      <c r="CF3746" s="12"/>
      <c r="CH3746" s="9"/>
    </row>
    <row r="3747" spans="6:86" x14ac:dyDescent="0.25">
      <c r="F3747" s="9"/>
      <c r="G3747" s="9"/>
      <c r="AA3747" s="10"/>
      <c r="AV3747" s="11"/>
      <c r="AW3747" s="11"/>
      <c r="BB3747" s="9"/>
      <c r="BC3747" s="11"/>
      <c r="BF3747" s="9"/>
      <c r="CF3747" s="12"/>
      <c r="CH3747" s="9"/>
    </row>
    <row r="3748" spans="6:86" x14ac:dyDescent="0.25">
      <c r="F3748" s="9"/>
      <c r="G3748" s="9"/>
      <c r="AA3748" s="10"/>
      <c r="AV3748" s="11"/>
      <c r="AW3748" s="11"/>
      <c r="BB3748" s="9"/>
      <c r="BC3748" s="11"/>
      <c r="BF3748" s="9"/>
      <c r="CF3748" s="12"/>
      <c r="CH3748" s="9"/>
    </row>
    <row r="3749" spans="6:86" x14ac:dyDescent="0.25">
      <c r="F3749" s="9"/>
      <c r="G3749" s="9"/>
      <c r="AA3749" s="10"/>
      <c r="AV3749" s="11"/>
      <c r="AW3749" s="11"/>
      <c r="BB3749" s="9"/>
      <c r="BC3749" s="11"/>
      <c r="BF3749" s="9"/>
      <c r="CF3749" s="12"/>
      <c r="CH3749" s="9"/>
    </row>
    <row r="3750" spans="6:86" x14ac:dyDescent="0.25">
      <c r="F3750" s="9"/>
      <c r="G3750" s="9"/>
      <c r="AA3750" s="10"/>
      <c r="AV3750" s="11"/>
      <c r="AW3750" s="11"/>
      <c r="BB3750" s="9"/>
      <c r="BC3750" s="11"/>
      <c r="BF3750" s="9"/>
      <c r="CF3750" s="12"/>
      <c r="CH3750" s="9"/>
    </row>
    <row r="3751" spans="6:86" x14ac:dyDescent="0.25">
      <c r="F3751" s="9"/>
      <c r="G3751" s="9"/>
      <c r="AA3751" s="10"/>
      <c r="AV3751" s="11"/>
      <c r="AW3751" s="11"/>
      <c r="BB3751" s="9"/>
      <c r="BC3751" s="11"/>
      <c r="BF3751" s="9"/>
      <c r="CF3751" s="12"/>
      <c r="CH3751" s="9"/>
    </row>
    <row r="3752" spans="6:86" x14ac:dyDescent="0.25">
      <c r="F3752" s="9"/>
      <c r="G3752" s="9"/>
      <c r="AA3752" s="10"/>
      <c r="AV3752" s="11"/>
      <c r="AW3752" s="11"/>
      <c r="BB3752" s="9"/>
      <c r="BC3752" s="11"/>
      <c r="BF3752" s="9"/>
      <c r="CF3752" s="12"/>
      <c r="CH3752" s="9"/>
    </row>
    <row r="3753" spans="6:86" x14ac:dyDescent="0.25">
      <c r="F3753" s="9"/>
      <c r="G3753" s="9"/>
      <c r="AA3753" s="10"/>
      <c r="AV3753" s="11"/>
      <c r="AW3753" s="11"/>
      <c r="BB3753" s="9"/>
      <c r="BC3753" s="11"/>
      <c r="BF3753" s="9"/>
      <c r="CF3753" s="12"/>
      <c r="CH3753" s="9"/>
    </row>
    <row r="3754" spans="6:86" x14ac:dyDescent="0.25">
      <c r="F3754" s="9"/>
      <c r="G3754" s="9"/>
      <c r="AA3754" s="10"/>
      <c r="AV3754" s="11"/>
      <c r="AW3754" s="11"/>
      <c r="BB3754" s="9"/>
      <c r="BC3754" s="11"/>
      <c r="BF3754" s="9"/>
      <c r="CF3754" s="12"/>
      <c r="CH3754" s="9"/>
    </row>
    <row r="3755" spans="6:86" x14ac:dyDescent="0.25">
      <c r="F3755" s="9"/>
      <c r="G3755" s="9"/>
      <c r="AA3755" s="10"/>
      <c r="AV3755" s="11"/>
      <c r="AW3755" s="11"/>
      <c r="BB3755" s="9"/>
      <c r="BC3755" s="11"/>
      <c r="BF3755" s="9"/>
      <c r="CF3755" s="12"/>
      <c r="CH3755" s="9"/>
    </row>
    <row r="3756" spans="6:86" x14ac:dyDescent="0.25">
      <c r="F3756" s="9"/>
      <c r="G3756" s="9"/>
      <c r="AA3756" s="10"/>
      <c r="AV3756" s="11"/>
      <c r="AW3756" s="11"/>
      <c r="BB3756" s="9"/>
      <c r="BC3756" s="11"/>
      <c r="BF3756" s="9"/>
      <c r="CF3756" s="12"/>
      <c r="CH3756" s="9"/>
    </row>
    <row r="3757" spans="6:86" x14ac:dyDescent="0.25">
      <c r="F3757" s="9"/>
      <c r="G3757" s="9"/>
      <c r="AA3757" s="10"/>
      <c r="AV3757" s="11"/>
      <c r="AW3757" s="11"/>
      <c r="BB3757" s="9"/>
      <c r="BC3757" s="11"/>
      <c r="BF3757" s="9"/>
      <c r="CF3757" s="12"/>
      <c r="CH3757" s="9"/>
    </row>
    <row r="3758" spans="6:86" x14ac:dyDescent="0.25">
      <c r="F3758" s="9"/>
      <c r="G3758" s="9"/>
      <c r="AA3758" s="10"/>
      <c r="AV3758" s="11"/>
      <c r="AW3758" s="11"/>
      <c r="BB3758" s="9"/>
      <c r="BC3758" s="11"/>
      <c r="BF3758" s="9"/>
      <c r="CF3758" s="12"/>
      <c r="CH3758" s="9"/>
    </row>
    <row r="3759" spans="6:86" x14ac:dyDescent="0.25">
      <c r="F3759" s="9"/>
      <c r="G3759" s="9"/>
      <c r="AA3759" s="10"/>
      <c r="AV3759" s="11"/>
      <c r="AW3759" s="11"/>
      <c r="BB3759" s="9"/>
      <c r="BC3759" s="11"/>
      <c r="BF3759" s="9"/>
      <c r="CF3759" s="12"/>
      <c r="CH3759" s="9"/>
    </row>
    <row r="3760" spans="6:86" x14ac:dyDescent="0.25">
      <c r="F3760" s="9"/>
      <c r="G3760" s="9"/>
      <c r="AA3760" s="10"/>
      <c r="AV3760" s="11"/>
      <c r="AW3760" s="11"/>
      <c r="BB3760" s="9"/>
      <c r="BC3760" s="11"/>
      <c r="BF3760" s="9"/>
      <c r="CF3760" s="12"/>
      <c r="CH3760" s="9"/>
    </row>
    <row r="3761" spans="6:86" x14ac:dyDescent="0.25">
      <c r="F3761" s="9"/>
      <c r="G3761" s="9"/>
      <c r="AA3761" s="10"/>
      <c r="AV3761" s="11"/>
      <c r="AW3761" s="11"/>
      <c r="BB3761" s="9"/>
      <c r="BC3761" s="11"/>
      <c r="BF3761" s="9"/>
      <c r="CF3761" s="12"/>
      <c r="CH3761" s="9"/>
    </row>
    <row r="3762" spans="6:86" x14ac:dyDescent="0.25">
      <c r="F3762" s="9"/>
      <c r="G3762" s="9"/>
      <c r="AA3762" s="10"/>
      <c r="AV3762" s="11"/>
      <c r="AW3762" s="11"/>
      <c r="BB3762" s="9"/>
      <c r="BC3762" s="11"/>
      <c r="BF3762" s="9"/>
      <c r="CF3762" s="12"/>
      <c r="CH3762" s="9"/>
    </row>
    <row r="3763" spans="6:86" x14ac:dyDescent="0.25">
      <c r="F3763" s="9"/>
      <c r="G3763" s="9"/>
      <c r="AA3763" s="10"/>
      <c r="AV3763" s="11"/>
      <c r="AW3763" s="11"/>
      <c r="BB3763" s="9"/>
      <c r="BC3763" s="11"/>
      <c r="BF3763" s="9"/>
      <c r="CF3763" s="12"/>
      <c r="CH3763" s="9"/>
    </row>
    <row r="3764" spans="6:86" x14ac:dyDescent="0.25">
      <c r="F3764" s="9"/>
      <c r="G3764" s="9"/>
      <c r="AA3764" s="10"/>
      <c r="AV3764" s="11"/>
      <c r="AW3764" s="11"/>
      <c r="BB3764" s="9"/>
      <c r="BC3764" s="11"/>
      <c r="BF3764" s="9"/>
      <c r="CF3764" s="12"/>
      <c r="CH3764" s="9"/>
    </row>
    <row r="3765" spans="6:86" x14ac:dyDescent="0.25">
      <c r="F3765" s="9"/>
      <c r="G3765" s="9"/>
      <c r="AA3765" s="10"/>
      <c r="AV3765" s="11"/>
      <c r="AW3765" s="11"/>
      <c r="BB3765" s="9"/>
      <c r="BC3765" s="11"/>
      <c r="BF3765" s="9"/>
      <c r="CF3765" s="12"/>
      <c r="CH3765" s="9"/>
    </row>
    <row r="3766" spans="6:86" x14ac:dyDescent="0.25">
      <c r="F3766" s="9"/>
      <c r="G3766" s="9"/>
      <c r="U3766" s="12"/>
      <c r="AA3766" s="10"/>
      <c r="AV3766" s="11"/>
      <c r="AW3766" s="11"/>
      <c r="BB3766" s="9"/>
      <c r="BC3766" s="11"/>
      <c r="BF3766" s="9"/>
      <c r="CF3766" s="12"/>
      <c r="CH3766" s="9"/>
    </row>
    <row r="3767" spans="6:86" x14ac:dyDescent="0.25">
      <c r="F3767" s="9"/>
      <c r="G3767" s="9"/>
      <c r="AA3767" s="10"/>
      <c r="AV3767" s="11"/>
      <c r="AW3767" s="11"/>
      <c r="BB3767" s="9"/>
      <c r="BC3767" s="11"/>
      <c r="BF3767" s="9"/>
      <c r="CF3767" s="12"/>
      <c r="CH3767" s="9"/>
    </row>
    <row r="3768" spans="6:86" x14ac:dyDescent="0.25">
      <c r="F3768" s="9"/>
      <c r="G3768" s="9"/>
      <c r="AA3768" s="10"/>
      <c r="AV3768" s="11"/>
      <c r="AW3768" s="11"/>
      <c r="BB3768" s="9"/>
      <c r="BC3768" s="11"/>
      <c r="BF3768" s="9"/>
      <c r="CF3768" s="12"/>
      <c r="CH3768" s="9"/>
    </row>
    <row r="3769" spans="6:86" x14ac:dyDescent="0.25">
      <c r="F3769" s="9"/>
      <c r="G3769" s="9"/>
      <c r="AA3769" s="10"/>
      <c r="AV3769" s="11"/>
      <c r="AW3769" s="11"/>
      <c r="BB3769" s="9"/>
      <c r="BC3769" s="11"/>
      <c r="BF3769" s="9"/>
      <c r="CF3769" s="12"/>
      <c r="CH3769" s="9"/>
    </row>
    <row r="3770" spans="6:86" x14ac:dyDescent="0.25">
      <c r="F3770" s="9"/>
      <c r="G3770" s="9"/>
      <c r="AA3770" s="10"/>
      <c r="AV3770" s="11"/>
      <c r="AW3770" s="11"/>
      <c r="BB3770" s="9"/>
      <c r="BC3770" s="11"/>
      <c r="BF3770" s="9"/>
      <c r="CF3770" s="12"/>
      <c r="CH3770" s="9"/>
    </row>
    <row r="3771" spans="6:86" x14ac:dyDescent="0.25">
      <c r="F3771" s="9"/>
      <c r="G3771" s="9"/>
      <c r="AA3771" s="10"/>
      <c r="AV3771" s="11"/>
      <c r="AW3771" s="11"/>
      <c r="BB3771" s="9"/>
      <c r="BC3771" s="11"/>
      <c r="BF3771" s="9"/>
      <c r="CF3771" s="12"/>
      <c r="CH3771" s="9"/>
    </row>
    <row r="3772" spans="6:86" x14ac:dyDescent="0.25">
      <c r="F3772" s="9"/>
      <c r="G3772" s="9"/>
      <c r="AA3772" s="10"/>
      <c r="AV3772" s="11"/>
      <c r="AW3772" s="11"/>
      <c r="BB3772" s="9"/>
      <c r="BC3772" s="11"/>
      <c r="BF3772" s="9"/>
      <c r="CF3772" s="12"/>
      <c r="CH3772" s="9"/>
    </row>
    <row r="3773" spans="6:86" x14ac:dyDescent="0.25">
      <c r="F3773" s="9"/>
      <c r="G3773" s="9"/>
      <c r="AA3773" s="10"/>
      <c r="AV3773" s="11"/>
      <c r="AW3773" s="11"/>
      <c r="BB3773" s="9"/>
      <c r="BC3773" s="11"/>
      <c r="BF3773" s="9"/>
    </row>
    <row r="3774" spans="6:86" x14ac:dyDescent="0.25">
      <c r="F3774" s="9"/>
      <c r="G3774" s="9"/>
      <c r="AA3774" s="10"/>
      <c r="AV3774" s="11"/>
      <c r="AW3774" s="11"/>
      <c r="BB3774" s="9"/>
      <c r="BC3774" s="11"/>
      <c r="BF3774" s="9"/>
      <c r="CH3774" s="9"/>
    </row>
    <row r="3775" spans="6:86" x14ac:dyDescent="0.25">
      <c r="F3775" s="9"/>
      <c r="G3775" s="9"/>
      <c r="AA3775" s="10"/>
      <c r="AV3775" s="11"/>
      <c r="AW3775" s="11"/>
      <c r="BB3775" s="9"/>
      <c r="BC3775" s="11"/>
      <c r="BF3775" s="9"/>
      <c r="CF3775" s="12"/>
      <c r="CH3775" s="9"/>
    </row>
    <row r="3776" spans="6:86" x14ac:dyDescent="0.25">
      <c r="F3776" s="9"/>
      <c r="G3776" s="9"/>
      <c r="AA3776" s="10"/>
      <c r="AV3776" s="11"/>
      <c r="AW3776" s="11"/>
      <c r="BB3776" s="9"/>
      <c r="BC3776" s="11"/>
      <c r="BF3776" s="9"/>
      <c r="CF3776" s="12"/>
      <c r="CH3776" s="9"/>
    </row>
    <row r="3777" spans="6:86" x14ac:dyDescent="0.25">
      <c r="F3777" s="9"/>
      <c r="G3777" s="9"/>
      <c r="AA3777" s="10"/>
      <c r="AV3777" s="11"/>
      <c r="AW3777" s="11"/>
      <c r="BB3777" s="9"/>
      <c r="BC3777" s="11"/>
      <c r="BF3777" s="9"/>
      <c r="CF3777" s="12"/>
      <c r="CH3777" s="9"/>
    </row>
    <row r="3778" spans="6:86" x14ac:dyDescent="0.25">
      <c r="F3778" s="9"/>
      <c r="G3778" s="9"/>
      <c r="AA3778" s="10"/>
      <c r="AV3778" s="11"/>
      <c r="AW3778" s="11"/>
      <c r="BB3778" s="9"/>
      <c r="BC3778" s="11"/>
      <c r="BF3778" s="9"/>
      <c r="CF3778" s="12"/>
      <c r="CH3778" s="9"/>
    </row>
    <row r="3779" spans="6:86" x14ac:dyDescent="0.25">
      <c r="F3779" s="9"/>
      <c r="G3779" s="9"/>
      <c r="AA3779" s="10"/>
      <c r="AV3779" s="11"/>
      <c r="AW3779" s="11"/>
      <c r="BB3779" s="9"/>
      <c r="BC3779" s="11"/>
      <c r="BF3779" s="9"/>
      <c r="CF3779" s="12"/>
      <c r="CH3779" s="9"/>
    </row>
    <row r="3780" spans="6:86" x14ac:dyDescent="0.25">
      <c r="F3780" s="9"/>
      <c r="G3780" s="9"/>
      <c r="AA3780" s="10"/>
      <c r="AV3780" s="11"/>
      <c r="AW3780" s="11"/>
      <c r="BB3780" s="9"/>
      <c r="BC3780" s="11"/>
      <c r="BF3780" s="9"/>
      <c r="CF3780" s="12"/>
      <c r="CH3780" s="9"/>
    </row>
    <row r="3781" spans="6:86" x14ac:dyDescent="0.25">
      <c r="F3781" s="9"/>
      <c r="G3781" s="9"/>
      <c r="AA3781" s="10"/>
      <c r="AV3781" s="11"/>
      <c r="AW3781" s="11"/>
      <c r="BB3781" s="9"/>
      <c r="BC3781" s="11"/>
      <c r="BF3781" s="9"/>
      <c r="CF3781" s="12"/>
      <c r="CH3781" s="9"/>
    </row>
    <row r="3782" spans="6:86" x14ac:dyDescent="0.25">
      <c r="F3782" s="9"/>
      <c r="G3782" s="9"/>
      <c r="AA3782" s="10"/>
      <c r="AV3782" s="11"/>
      <c r="AW3782" s="11"/>
      <c r="BB3782" s="9"/>
      <c r="BC3782" s="11"/>
      <c r="BF3782" s="9"/>
      <c r="CF3782" s="12"/>
      <c r="CH3782" s="9"/>
    </row>
    <row r="3783" spans="6:86" x14ac:dyDescent="0.25">
      <c r="F3783" s="9"/>
      <c r="G3783" s="9"/>
      <c r="AA3783" s="10"/>
      <c r="AV3783" s="11"/>
      <c r="AW3783" s="11"/>
      <c r="BB3783" s="9"/>
      <c r="BC3783" s="11"/>
      <c r="BF3783" s="9"/>
      <c r="CF3783" s="12"/>
      <c r="CH3783" s="9"/>
    </row>
    <row r="3784" spans="6:86" x14ac:dyDescent="0.25">
      <c r="F3784" s="9"/>
      <c r="G3784" s="9"/>
      <c r="AA3784" s="10"/>
      <c r="AV3784" s="11"/>
      <c r="AW3784" s="11"/>
      <c r="BB3784" s="9"/>
      <c r="BC3784" s="11"/>
      <c r="BF3784" s="9"/>
      <c r="CF3784" s="12"/>
      <c r="CH3784" s="9"/>
    </row>
    <row r="3785" spans="6:86" x14ac:dyDescent="0.25">
      <c r="F3785" s="9"/>
      <c r="G3785" s="9"/>
      <c r="AA3785" s="10"/>
      <c r="AV3785" s="11"/>
      <c r="AW3785" s="11"/>
      <c r="BB3785" s="9"/>
      <c r="BC3785" s="11"/>
      <c r="BF3785" s="9"/>
      <c r="CF3785" s="12"/>
      <c r="CH3785" s="9"/>
    </row>
    <row r="3786" spans="6:86" x14ac:dyDescent="0.25">
      <c r="F3786" s="9"/>
      <c r="G3786" s="9"/>
      <c r="AA3786" s="10"/>
      <c r="AV3786" s="11"/>
      <c r="AW3786" s="11"/>
      <c r="BB3786" s="9"/>
      <c r="BC3786" s="11"/>
      <c r="BF3786" s="9"/>
      <c r="CH3786" s="9"/>
    </row>
    <row r="3787" spans="6:86" x14ac:dyDescent="0.25">
      <c r="F3787" s="9"/>
      <c r="G3787" s="9"/>
      <c r="AA3787" s="10"/>
      <c r="AV3787" s="11"/>
      <c r="AW3787" s="11"/>
      <c r="BB3787" s="9"/>
      <c r="BC3787" s="11"/>
      <c r="BF3787" s="9"/>
      <c r="CF3787" s="12"/>
      <c r="CH3787" s="9"/>
    </row>
    <row r="3788" spans="6:86" x14ac:dyDescent="0.25">
      <c r="F3788" s="9"/>
      <c r="G3788" s="9"/>
      <c r="AA3788" s="10"/>
      <c r="AV3788" s="11"/>
      <c r="AW3788" s="11"/>
      <c r="BB3788" s="9"/>
      <c r="BC3788" s="11"/>
      <c r="BF3788" s="9"/>
      <c r="CH3788" s="9"/>
    </row>
    <row r="3789" spans="6:86" x14ac:dyDescent="0.25">
      <c r="F3789" s="9"/>
      <c r="G3789" s="9"/>
      <c r="AA3789" s="10"/>
      <c r="AV3789" s="11"/>
      <c r="AW3789" s="11"/>
      <c r="BB3789" s="9"/>
      <c r="BC3789" s="11"/>
      <c r="BF3789" s="9"/>
      <c r="CF3789" s="12"/>
      <c r="CH3789" s="9"/>
    </row>
    <row r="3790" spans="6:86" x14ac:dyDescent="0.25">
      <c r="F3790" s="9"/>
      <c r="G3790" s="9"/>
      <c r="AA3790" s="10"/>
      <c r="AV3790" s="11"/>
      <c r="AW3790" s="11"/>
      <c r="BB3790" s="9"/>
      <c r="BC3790" s="11"/>
      <c r="BF3790" s="9"/>
      <c r="CF3790" s="12"/>
      <c r="CH3790" s="9"/>
    </row>
    <row r="3791" spans="6:86" x14ac:dyDescent="0.25">
      <c r="F3791" s="9"/>
      <c r="G3791" s="9"/>
      <c r="AA3791" s="10"/>
      <c r="AV3791" s="11"/>
      <c r="AW3791" s="11"/>
      <c r="BB3791" s="9"/>
      <c r="BC3791" s="11"/>
      <c r="BF3791" s="9"/>
      <c r="CF3791" s="12"/>
      <c r="CH3791" s="9"/>
    </row>
    <row r="3792" spans="6:86" x14ac:dyDescent="0.25">
      <c r="F3792" s="9"/>
      <c r="G3792" s="9"/>
      <c r="AA3792" s="10"/>
      <c r="AV3792" s="11"/>
      <c r="AW3792" s="11"/>
      <c r="BB3792" s="9"/>
      <c r="BC3792" s="11"/>
      <c r="BF3792" s="9"/>
      <c r="CF3792" s="12"/>
      <c r="CH3792" s="9"/>
    </row>
    <row r="3793" spans="6:92" x14ac:dyDescent="0.25">
      <c r="F3793" s="9"/>
      <c r="G3793" s="9"/>
      <c r="U3793" s="12"/>
      <c r="AA3793" s="10"/>
      <c r="AV3793" s="11"/>
      <c r="AW3793" s="11"/>
      <c r="BB3793" s="9"/>
      <c r="BC3793" s="11"/>
      <c r="BF3793" s="9"/>
      <c r="CF3793" s="12"/>
      <c r="CH3793" s="9"/>
      <c r="CN3793" s="12"/>
    </row>
    <row r="3794" spans="6:92" x14ac:dyDescent="0.25">
      <c r="F3794" s="9"/>
      <c r="G3794" s="9"/>
      <c r="AA3794" s="10"/>
      <c r="AV3794" s="11"/>
      <c r="AW3794" s="11"/>
      <c r="BB3794" s="9"/>
      <c r="BC3794" s="11"/>
      <c r="BF3794" s="9"/>
      <c r="CF3794" s="12"/>
      <c r="CH3794" s="9"/>
    </row>
    <row r="3795" spans="6:92" x14ac:dyDescent="0.25">
      <c r="F3795" s="9"/>
      <c r="G3795" s="9"/>
      <c r="AA3795" s="10"/>
      <c r="AV3795" s="11"/>
      <c r="AW3795" s="11"/>
      <c r="BB3795" s="9"/>
      <c r="BC3795" s="11"/>
      <c r="BF3795" s="9"/>
      <c r="CF3795" s="12"/>
      <c r="CH3795" s="9"/>
    </row>
    <row r="3796" spans="6:92" x14ac:dyDescent="0.25">
      <c r="F3796" s="9"/>
      <c r="G3796" s="9"/>
      <c r="AA3796" s="10"/>
      <c r="AV3796" s="11"/>
      <c r="AW3796" s="11"/>
      <c r="BB3796" s="9"/>
      <c r="BC3796" s="11"/>
      <c r="BF3796" s="9"/>
      <c r="CF3796" s="12"/>
      <c r="CH3796" s="9"/>
    </row>
    <row r="3797" spans="6:92" x14ac:dyDescent="0.25">
      <c r="F3797" s="9"/>
      <c r="G3797" s="9"/>
      <c r="AA3797" s="10"/>
      <c r="AV3797" s="11"/>
      <c r="AW3797" s="11"/>
      <c r="BB3797" s="9"/>
      <c r="BC3797" s="11"/>
      <c r="BF3797" s="9"/>
      <c r="CF3797" s="12"/>
      <c r="CH3797" s="9"/>
    </row>
    <row r="3798" spans="6:92" x14ac:dyDescent="0.25">
      <c r="F3798" s="9"/>
      <c r="G3798" s="9"/>
      <c r="AA3798" s="10"/>
      <c r="AV3798" s="11"/>
      <c r="AW3798" s="11"/>
      <c r="BB3798" s="9"/>
      <c r="BC3798" s="11"/>
      <c r="BF3798" s="9"/>
      <c r="CF3798" s="12"/>
      <c r="CH3798" s="9"/>
    </row>
    <row r="3799" spans="6:92" x14ac:dyDescent="0.25">
      <c r="F3799" s="9"/>
      <c r="G3799" s="9"/>
      <c r="AA3799" s="10"/>
      <c r="AV3799" s="11"/>
      <c r="AW3799" s="11"/>
      <c r="BB3799" s="9"/>
      <c r="BC3799" s="11"/>
      <c r="BF3799" s="9"/>
      <c r="CF3799" s="12"/>
      <c r="CH3799" s="9"/>
    </row>
    <row r="3800" spans="6:92" x14ac:dyDescent="0.25">
      <c r="F3800" s="9"/>
      <c r="G3800" s="9"/>
      <c r="AA3800" s="10"/>
      <c r="AV3800" s="11"/>
      <c r="AW3800" s="11"/>
      <c r="BB3800" s="9"/>
      <c r="BC3800" s="11"/>
      <c r="BF3800" s="9"/>
      <c r="CF3800" s="12"/>
      <c r="CH3800" s="9"/>
    </row>
    <row r="3801" spans="6:92" x14ac:dyDescent="0.25">
      <c r="F3801" s="9"/>
      <c r="G3801" s="9"/>
      <c r="AA3801" s="10"/>
      <c r="AV3801" s="11"/>
      <c r="AW3801" s="11"/>
      <c r="BB3801" s="9"/>
      <c r="BC3801" s="11"/>
      <c r="BF3801" s="9"/>
      <c r="CF3801" s="12"/>
      <c r="CH3801" s="9"/>
    </row>
    <row r="3802" spans="6:92" x14ac:dyDescent="0.25">
      <c r="F3802" s="9"/>
      <c r="G3802" s="9"/>
      <c r="AA3802" s="10"/>
      <c r="AV3802" s="11"/>
      <c r="AW3802" s="11"/>
      <c r="BB3802" s="9"/>
      <c r="BC3802" s="11"/>
      <c r="BF3802" s="9"/>
      <c r="CF3802" s="12"/>
      <c r="CH3802" s="9"/>
    </row>
    <row r="3803" spans="6:92" x14ac:dyDescent="0.25">
      <c r="F3803" s="9"/>
      <c r="G3803" s="9"/>
      <c r="AA3803" s="10"/>
      <c r="AV3803" s="11"/>
      <c r="AW3803" s="11"/>
      <c r="BB3803" s="9"/>
      <c r="BC3803" s="11"/>
      <c r="BF3803" s="9"/>
      <c r="CF3803" s="12"/>
      <c r="CH3803" s="9"/>
    </row>
    <row r="3804" spans="6:92" x14ac:dyDescent="0.25">
      <c r="F3804" s="9"/>
      <c r="G3804" s="9"/>
      <c r="AA3804" s="10"/>
      <c r="AV3804" s="11"/>
      <c r="AW3804" s="11"/>
      <c r="BB3804" s="9"/>
      <c r="BC3804" s="11"/>
      <c r="BF3804" s="9"/>
      <c r="CF3804" s="12"/>
      <c r="CH3804" s="9"/>
    </row>
    <row r="3805" spans="6:92" x14ac:dyDescent="0.25">
      <c r="F3805" s="9"/>
      <c r="G3805" s="9"/>
      <c r="U3805" s="12"/>
      <c r="Z3805" s="12"/>
      <c r="AA3805" s="10"/>
      <c r="AV3805" s="11"/>
      <c r="AW3805" s="11"/>
      <c r="BB3805" s="9"/>
      <c r="BC3805" s="11"/>
      <c r="BF3805" s="9"/>
      <c r="CF3805" s="12"/>
      <c r="CH3805" s="9"/>
      <c r="CN3805" s="12"/>
    </row>
    <row r="3806" spans="6:92" x14ac:dyDescent="0.25">
      <c r="F3806" s="9"/>
      <c r="G3806" s="9"/>
      <c r="U3806" s="12"/>
      <c r="Y3806" s="12"/>
      <c r="AA3806" s="10"/>
      <c r="AV3806" s="11"/>
      <c r="AW3806" s="11"/>
      <c r="BB3806" s="9"/>
      <c r="BC3806" s="11"/>
      <c r="BF3806" s="9"/>
      <c r="CF3806" s="12"/>
      <c r="CH3806" s="9"/>
      <c r="CN3806" s="12"/>
    </row>
    <row r="3807" spans="6:92" x14ac:dyDescent="0.25">
      <c r="F3807" s="9"/>
      <c r="G3807" s="9"/>
      <c r="AA3807" s="10"/>
      <c r="AV3807" s="11"/>
      <c r="AW3807" s="11"/>
      <c r="BB3807" s="9"/>
      <c r="BC3807" s="11"/>
      <c r="BF3807" s="9"/>
      <c r="CF3807" s="12"/>
      <c r="CH3807" s="9"/>
    </row>
    <row r="3808" spans="6:92" x14ac:dyDescent="0.25">
      <c r="F3808" s="9"/>
      <c r="G3808" s="9"/>
      <c r="AA3808" s="10"/>
      <c r="AV3808" s="11"/>
      <c r="AW3808" s="11"/>
      <c r="BB3808" s="9"/>
      <c r="BC3808" s="11"/>
      <c r="BF3808" s="9"/>
      <c r="CF3808" s="12"/>
      <c r="CH3808" s="9"/>
    </row>
    <row r="3809" spans="6:86" x14ac:dyDescent="0.25">
      <c r="F3809" s="9"/>
      <c r="G3809" s="9"/>
      <c r="AA3809" s="10"/>
      <c r="AV3809" s="11"/>
      <c r="AW3809" s="11"/>
      <c r="BB3809" s="9"/>
      <c r="BC3809" s="11"/>
      <c r="BF3809" s="9"/>
      <c r="CF3809" s="12"/>
      <c r="CH3809" s="9"/>
    </row>
    <row r="3810" spans="6:86" x14ac:dyDescent="0.25">
      <c r="F3810" s="9"/>
      <c r="G3810" s="9"/>
      <c r="AA3810" s="10"/>
      <c r="AV3810" s="11"/>
      <c r="AW3810" s="11"/>
      <c r="BB3810" s="9"/>
      <c r="BC3810" s="11"/>
      <c r="BF3810" s="9"/>
      <c r="CH3810" s="9"/>
    </row>
    <row r="3811" spans="6:86" x14ac:dyDescent="0.25">
      <c r="F3811" s="9"/>
      <c r="G3811" s="9"/>
      <c r="AA3811" s="10"/>
      <c r="AV3811" s="11"/>
      <c r="AW3811" s="11"/>
      <c r="BB3811" s="9"/>
      <c r="BC3811" s="11"/>
      <c r="BF3811" s="9"/>
      <c r="CF3811" s="12"/>
      <c r="CH3811" s="9"/>
    </row>
    <row r="3812" spans="6:86" x14ac:dyDescent="0.25">
      <c r="F3812" s="9"/>
      <c r="G3812" s="9"/>
      <c r="AA3812" s="10"/>
      <c r="AV3812" s="11"/>
      <c r="AW3812" s="11"/>
      <c r="BB3812" s="9"/>
      <c r="BC3812" s="11"/>
      <c r="BF3812" s="9"/>
      <c r="CF3812" s="12"/>
      <c r="CH3812" s="9"/>
    </row>
    <row r="3813" spans="6:86" x14ac:dyDescent="0.25">
      <c r="F3813" s="9"/>
      <c r="G3813" s="9"/>
      <c r="AA3813" s="10"/>
      <c r="AV3813" s="11"/>
      <c r="AW3813" s="11"/>
      <c r="BB3813" s="9"/>
      <c r="BC3813" s="11"/>
      <c r="BF3813" s="9"/>
      <c r="CF3813" s="12"/>
      <c r="CH3813" s="9"/>
    </row>
    <row r="3814" spans="6:86" x14ac:dyDescent="0.25">
      <c r="F3814" s="9"/>
      <c r="G3814" s="9"/>
      <c r="AA3814" s="10"/>
      <c r="AV3814" s="11"/>
      <c r="AW3814" s="11"/>
      <c r="BB3814" s="9"/>
      <c r="BC3814" s="11"/>
      <c r="BF3814" s="9"/>
      <c r="CF3814" s="12"/>
      <c r="CH3814" s="9"/>
    </row>
    <row r="3815" spans="6:86" x14ac:dyDescent="0.25">
      <c r="F3815" s="9"/>
      <c r="G3815" s="9"/>
      <c r="AA3815" s="10"/>
      <c r="AV3815" s="11"/>
      <c r="AW3815" s="11"/>
      <c r="BB3815" s="9"/>
      <c r="BC3815" s="11"/>
      <c r="BF3815" s="9"/>
      <c r="CF3815" s="12"/>
      <c r="CH3815" s="9"/>
    </row>
    <row r="3816" spans="6:86" x14ac:dyDescent="0.25">
      <c r="F3816" s="9"/>
      <c r="G3816" s="9"/>
      <c r="AA3816" s="10"/>
      <c r="AV3816" s="11"/>
      <c r="AW3816" s="11"/>
      <c r="BB3816" s="9"/>
      <c r="BC3816" s="11"/>
      <c r="BF3816" s="9"/>
      <c r="CH3816" s="9"/>
    </row>
    <row r="3817" spans="6:86" x14ac:dyDescent="0.25">
      <c r="F3817" s="9"/>
      <c r="G3817" s="9"/>
      <c r="AA3817" s="10"/>
      <c r="AV3817" s="11"/>
      <c r="AW3817" s="11"/>
      <c r="BB3817" s="9"/>
      <c r="BC3817" s="11"/>
      <c r="BF3817" s="9"/>
      <c r="CH3817" s="9"/>
    </row>
    <row r="3818" spans="6:86" x14ac:dyDescent="0.25">
      <c r="F3818" s="9"/>
      <c r="G3818" s="9"/>
      <c r="AA3818" s="10"/>
      <c r="AV3818" s="11"/>
      <c r="AW3818" s="11"/>
      <c r="BB3818" s="9"/>
      <c r="BC3818" s="11"/>
      <c r="BF3818" s="9"/>
      <c r="CF3818" s="12"/>
      <c r="CH3818" s="9"/>
    </row>
    <row r="3819" spans="6:86" x14ac:dyDescent="0.25">
      <c r="F3819" s="9"/>
      <c r="G3819" s="9"/>
      <c r="AA3819" s="10"/>
      <c r="AV3819" s="11"/>
      <c r="AW3819" s="11"/>
      <c r="BB3819" s="9"/>
      <c r="BC3819" s="11"/>
      <c r="BF3819" s="9"/>
      <c r="CF3819" s="12"/>
      <c r="CH3819" s="9"/>
    </row>
    <row r="3820" spans="6:86" x14ac:dyDescent="0.25">
      <c r="F3820" s="9"/>
      <c r="G3820" s="9"/>
      <c r="AA3820" s="10"/>
      <c r="AV3820" s="11"/>
      <c r="AW3820" s="11"/>
      <c r="BB3820" s="9"/>
      <c r="BC3820" s="11"/>
      <c r="BF3820" s="9"/>
      <c r="CF3820" s="12"/>
      <c r="CH3820" s="9"/>
    </row>
    <row r="3821" spans="6:86" x14ac:dyDescent="0.25">
      <c r="F3821" s="9"/>
      <c r="G3821" s="9"/>
      <c r="AA3821" s="10"/>
      <c r="AV3821" s="11"/>
      <c r="AW3821" s="11"/>
      <c r="BB3821" s="9"/>
      <c r="BC3821" s="11"/>
      <c r="BF3821" s="9"/>
      <c r="CF3821" s="12"/>
      <c r="CH3821" s="9"/>
    </row>
    <row r="3822" spans="6:86" x14ac:dyDescent="0.25">
      <c r="F3822" s="9"/>
      <c r="G3822" s="9"/>
      <c r="AA3822" s="10"/>
      <c r="AV3822" s="11"/>
      <c r="AW3822" s="11"/>
      <c r="BB3822" s="9"/>
      <c r="BC3822" s="11"/>
      <c r="BF3822" s="9"/>
      <c r="CF3822" s="12"/>
      <c r="CH3822" s="9"/>
    </row>
    <row r="3823" spans="6:86" x14ac:dyDescent="0.25">
      <c r="F3823" s="9"/>
      <c r="G3823" s="9"/>
      <c r="AA3823" s="10"/>
      <c r="AV3823" s="11"/>
      <c r="AW3823" s="11"/>
      <c r="BB3823" s="9"/>
      <c r="BC3823" s="11"/>
      <c r="BF3823" s="9"/>
      <c r="CF3823" s="12"/>
      <c r="CH3823" s="9"/>
    </row>
    <row r="3824" spans="6:86" x14ac:dyDescent="0.25">
      <c r="F3824" s="9"/>
      <c r="G3824" s="9"/>
      <c r="AA3824" s="10"/>
      <c r="AV3824" s="11"/>
      <c r="AW3824" s="11"/>
      <c r="BB3824" s="9"/>
      <c r="BC3824" s="11"/>
      <c r="BF3824" s="9"/>
      <c r="CF3824" s="12"/>
      <c r="CH3824" s="9"/>
    </row>
    <row r="3825" spans="6:86" x14ac:dyDescent="0.25">
      <c r="F3825" s="9"/>
      <c r="G3825" s="9"/>
      <c r="AA3825" s="10"/>
      <c r="AV3825" s="11"/>
      <c r="AW3825" s="11"/>
      <c r="BB3825" s="9"/>
      <c r="BC3825" s="11"/>
      <c r="BF3825" s="9"/>
      <c r="CF3825" s="12"/>
      <c r="CH3825" s="9"/>
    </row>
    <row r="3826" spans="6:86" x14ac:dyDescent="0.25">
      <c r="F3826" s="9"/>
      <c r="G3826" s="9"/>
      <c r="AA3826" s="10"/>
      <c r="AV3826" s="11"/>
      <c r="AW3826" s="11"/>
      <c r="BB3826" s="9"/>
      <c r="BC3826" s="11"/>
      <c r="BF3826" s="9"/>
      <c r="CF3826" s="12"/>
      <c r="CH3826" s="9"/>
    </row>
    <row r="3827" spans="6:86" x14ac:dyDescent="0.25">
      <c r="F3827" s="9"/>
      <c r="G3827" s="9"/>
      <c r="AA3827" s="10"/>
      <c r="AV3827" s="11"/>
      <c r="AW3827" s="11"/>
      <c r="BB3827" s="9"/>
      <c r="BC3827" s="11"/>
      <c r="BF3827" s="9"/>
      <c r="CF3827" s="12"/>
      <c r="CH3827" s="9"/>
    </row>
    <row r="3828" spans="6:86" x14ac:dyDescent="0.25">
      <c r="F3828" s="9"/>
      <c r="G3828" s="9"/>
      <c r="AA3828" s="10"/>
      <c r="AV3828" s="11"/>
      <c r="AW3828" s="11"/>
      <c r="BB3828" s="9"/>
      <c r="BC3828" s="11"/>
      <c r="BF3828" s="9"/>
      <c r="CF3828" s="12"/>
      <c r="CH3828" s="9"/>
    </row>
    <row r="3829" spans="6:86" x14ac:dyDescent="0.25">
      <c r="F3829" s="9"/>
      <c r="G3829" s="9"/>
      <c r="AA3829" s="10"/>
      <c r="AV3829" s="11"/>
      <c r="AW3829" s="11"/>
      <c r="BB3829" s="9"/>
      <c r="BC3829" s="11"/>
      <c r="BF3829" s="9"/>
      <c r="CF3829" s="12"/>
      <c r="CH3829" s="9"/>
    </row>
    <row r="3830" spans="6:86" x14ac:dyDescent="0.25">
      <c r="F3830" s="9"/>
      <c r="G3830" s="9"/>
      <c r="AA3830" s="10"/>
      <c r="AV3830" s="11"/>
      <c r="AW3830" s="11"/>
      <c r="BB3830" s="9"/>
      <c r="BC3830" s="11"/>
      <c r="BF3830" s="9"/>
      <c r="CF3830" s="12"/>
      <c r="CH3830" s="9"/>
    </row>
    <row r="3831" spans="6:86" x14ac:dyDescent="0.25">
      <c r="F3831" s="9"/>
      <c r="G3831" s="9"/>
      <c r="AA3831" s="10"/>
      <c r="AV3831" s="11"/>
      <c r="AW3831" s="11"/>
      <c r="BB3831" s="9"/>
      <c r="BC3831" s="11"/>
      <c r="BF3831" s="9"/>
      <c r="CF3831" s="12"/>
      <c r="CH3831" s="9"/>
    </row>
    <row r="3832" spans="6:86" x14ac:dyDescent="0.25">
      <c r="F3832" s="9"/>
      <c r="G3832" s="9"/>
      <c r="AA3832" s="10"/>
      <c r="AV3832" s="11"/>
      <c r="AW3832" s="11"/>
      <c r="BB3832" s="9"/>
      <c r="BC3832" s="11"/>
      <c r="BF3832" s="9"/>
      <c r="CF3832" s="12"/>
      <c r="CH3832" s="9"/>
    </row>
    <row r="3833" spans="6:86" x14ac:dyDescent="0.25">
      <c r="F3833" s="9"/>
      <c r="G3833" s="9"/>
      <c r="AA3833" s="10"/>
      <c r="AV3833" s="11"/>
      <c r="AW3833" s="11"/>
      <c r="BB3833" s="9"/>
      <c r="BC3833" s="11"/>
      <c r="BF3833" s="9"/>
      <c r="CF3833" s="12"/>
      <c r="CH3833" s="9"/>
    </row>
    <row r="3834" spans="6:86" x14ac:dyDescent="0.25">
      <c r="F3834" s="9"/>
      <c r="G3834" s="9"/>
      <c r="AA3834" s="10"/>
      <c r="AV3834" s="11"/>
      <c r="AW3834" s="11"/>
      <c r="BB3834" s="9"/>
      <c r="BC3834" s="11"/>
      <c r="BF3834" s="9"/>
      <c r="CF3834" s="12"/>
      <c r="CH3834" s="9"/>
    </row>
    <row r="3835" spans="6:86" x14ac:dyDescent="0.25">
      <c r="F3835" s="9"/>
      <c r="G3835" s="9"/>
      <c r="AA3835" s="10"/>
      <c r="AV3835" s="11"/>
      <c r="AW3835" s="11"/>
      <c r="BB3835" s="9"/>
      <c r="BC3835" s="11"/>
      <c r="BF3835" s="9"/>
      <c r="CF3835" s="12"/>
      <c r="CH3835" s="9"/>
    </row>
    <row r="3836" spans="6:86" x14ac:dyDescent="0.25">
      <c r="F3836" s="9"/>
      <c r="G3836" s="9"/>
      <c r="AA3836" s="10"/>
      <c r="AV3836" s="11"/>
      <c r="AW3836" s="11"/>
      <c r="BB3836" s="9"/>
      <c r="BC3836" s="11"/>
      <c r="BF3836" s="9"/>
      <c r="CF3836" s="12"/>
      <c r="CH3836" s="9"/>
    </row>
    <row r="3837" spans="6:86" x14ac:dyDescent="0.25">
      <c r="F3837" s="9"/>
      <c r="G3837" s="9"/>
      <c r="AA3837" s="10"/>
      <c r="AV3837" s="11"/>
      <c r="AW3837" s="11"/>
      <c r="BB3837" s="9"/>
      <c r="BC3837" s="11"/>
      <c r="BF3837" s="9"/>
      <c r="CF3837" s="12"/>
      <c r="CH3837" s="9"/>
    </row>
    <row r="3838" spans="6:86" x14ac:dyDescent="0.25">
      <c r="F3838" s="9"/>
      <c r="G3838" s="9"/>
      <c r="AA3838" s="10"/>
      <c r="AV3838" s="11"/>
      <c r="AW3838" s="11"/>
      <c r="BB3838" s="9"/>
      <c r="BC3838" s="11"/>
      <c r="BF3838" s="9"/>
      <c r="CF3838" s="12"/>
      <c r="CH3838" s="9"/>
    </row>
    <row r="3839" spans="6:86" x14ac:dyDescent="0.25">
      <c r="F3839" s="9"/>
      <c r="G3839" s="9"/>
      <c r="AA3839" s="10"/>
      <c r="AV3839" s="11"/>
      <c r="AW3839" s="11"/>
      <c r="BB3839" s="9"/>
      <c r="BC3839" s="11"/>
      <c r="BF3839" s="9"/>
      <c r="CF3839" s="12"/>
      <c r="CH3839" s="9"/>
    </row>
    <row r="3840" spans="6:86" x14ac:dyDescent="0.25">
      <c r="F3840" s="9"/>
      <c r="G3840" s="9"/>
      <c r="AA3840" s="10"/>
      <c r="AV3840" s="11"/>
      <c r="AW3840" s="11"/>
      <c r="BB3840" s="9"/>
      <c r="BC3840" s="11"/>
      <c r="BF3840" s="9"/>
      <c r="CF3840" s="12"/>
      <c r="CH3840" s="9"/>
    </row>
    <row r="3841" spans="6:86" x14ac:dyDescent="0.25">
      <c r="F3841" s="9"/>
      <c r="G3841" s="9"/>
      <c r="AA3841" s="10"/>
      <c r="AV3841" s="11"/>
      <c r="AW3841" s="11"/>
      <c r="BB3841" s="9"/>
      <c r="BC3841" s="11"/>
      <c r="BF3841" s="9"/>
      <c r="CF3841" s="12"/>
      <c r="CH3841" s="9"/>
    </row>
    <row r="3842" spans="6:86" x14ac:dyDescent="0.25">
      <c r="F3842" s="9"/>
      <c r="G3842" s="9"/>
      <c r="AA3842" s="10"/>
      <c r="AV3842" s="11"/>
      <c r="AW3842" s="11"/>
      <c r="BB3842" s="9"/>
      <c r="BC3842" s="11"/>
      <c r="BF3842" s="9"/>
      <c r="CF3842" s="12"/>
      <c r="CH3842" s="9"/>
    </row>
    <row r="3843" spans="6:86" x14ac:dyDescent="0.25">
      <c r="F3843" s="9"/>
      <c r="G3843" s="9"/>
      <c r="AA3843" s="10"/>
      <c r="AV3843" s="11"/>
      <c r="AW3843" s="11"/>
      <c r="BB3843" s="9"/>
      <c r="BC3843" s="11"/>
      <c r="BF3843" s="9"/>
      <c r="CF3843" s="12"/>
      <c r="CH3843" s="9"/>
    </row>
    <row r="3844" spans="6:86" x14ac:dyDescent="0.25">
      <c r="F3844" s="9"/>
      <c r="G3844" s="9"/>
      <c r="AA3844" s="10"/>
      <c r="AV3844" s="11"/>
      <c r="AW3844" s="11"/>
      <c r="BB3844" s="9"/>
      <c r="BC3844" s="11"/>
      <c r="BF3844" s="9"/>
      <c r="CF3844" s="12"/>
      <c r="CH3844" s="9"/>
    </row>
    <row r="3845" spans="6:86" x14ac:dyDescent="0.25">
      <c r="F3845" s="9"/>
      <c r="G3845" s="9"/>
      <c r="AA3845" s="10"/>
      <c r="AV3845" s="11"/>
      <c r="AW3845" s="11"/>
      <c r="BB3845" s="9"/>
      <c r="BC3845" s="11"/>
      <c r="BF3845" s="9"/>
      <c r="CF3845" s="12"/>
      <c r="CH3845" s="9"/>
    </row>
    <row r="3846" spans="6:86" x14ac:dyDescent="0.25">
      <c r="F3846" s="9"/>
      <c r="G3846" s="9"/>
      <c r="AA3846" s="10"/>
      <c r="AV3846" s="11"/>
      <c r="AW3846" s="11"/>
      <c r="BB3846" s="9"/>
      <c r="BC3846" s="11"/>
      <c r="BF3846" s="9"/>
      <c r="CF3846" s="12"/>
      <c r="CH3846" s="9"/>
    </row>
    <row r="3847" spans="6:86" x14ac:dyDescent="0.25">
      <c r="F3847" s="9"/>
      <c r="G3847" s="9"/>
      <c r="AA3847" s="10"/>
      <c r="AV3847" s="11"/>
      <c r="AW3847" s="11"/>
      <c r="BB3847" s="9"/>
      <c r="BC3847" s="11"/>
      <c r="BF3847" s="9"/>
      <c r="CH3847" s="9"/>
    </row>
    <row r="3848" spans="6:86" x14ac:dyDescent="0.25">
      <c r="F3848" s="9"/>
      <c r="G3848" s="9"/>
      <c r="AA3848" s="10"/>
      <c r="AV3848" s="11"/>
      <c r="AW3848" s="11"/>
      <c r="BB3848" s="9"/>
      <c r="BC3848" s="11"/>
      <c r="BF3848" s="9"/>
      <c r="CF3848" s="12"/>
      <c r="CH3848" s="9"/>
    </row>
    <row r="3849" spans="6:86" x14ac:dyDescent="0.25">
      <c r="F3849" s="9"/>
      <c r="G3849" s="9"/>
      <c r="AA3849" s="10"/>
      <c r="AV3849" s="11"/>
      <c r="AW3849" s="11"/>
      <c r="BB3849" s="9"/>
      <c r="BC3849" s="11"/>
      <c r="BF3849" s="9"/>
      <c r="CF3849" s="12"/>
      <c r="CH3849" s="9"/>
    </row>
    <row r="3850" spans="6:86" x14ac:dyDescent="0.25">
      <c r="F3850" s="9"/>
      <c r="G3850" s="9"/>
      <c r="AA3850" s="10"/>
      <c r="AV3850" s="11"/>
      <c r="AW3850" s="11"/>
      <c r="BB3850" s="9"/>
      <c r="BC3850" s="11"/>
      <c r="BF3850" s="9"/>
      <c r="CF3850" s="12"/>
      <c r="CH3850" s="9"/>
    </row>
    <row r="3851" spans="6:86" x14ac:dyDescent="0.25">
      <c r="F3851" s="9"/>
      <c r="G3851" s="9"/>
      <c r="AA3851" s="10"/>
      <c r="AV3851" s="11"/>
      <c r="AW3851" s="11"/>
      <c r="BB3851" s="9"/>
      <c r="BC3851" s="11"/>
      <c r="BF3851" s="9"/>
      <c r="CF3851" s="12"/>
      <c r="CH3851" s="9"/>
    </row>
    <row r="3852" spans="6:86" x14ac:dyDescent="0.25">
      <c r="F3852" s="9"/>
      <c r="G3852" s="9"/>
      <c r="AA3852" s="10"/>
      <c r="AV3852" s="11"/>
      <c r="AW3852" s="11"/>
      <c r="BB3852" s="9"/>
      <c r="BC3852" s="11"/>
      <c r="BF3852" s="9"/>
      <c r="CF3852" s="12"/>
      <c r="CH3852" s="9"/>
    </row>
    <row r="3853" spans="6:86" x14ac:dyDescent="0.25">
      <c r="F3853" s="9"/>
      <c r="G3853" s="9"/>
      <c r="AA3853" s="10"/>
      <c r="AV3853" s="11"/>
      <c r="AW3853" s="11"/>
      <c r="BB3853" s="9"/>
      <c r="BC3853" s="11"/>
      <c r="BF3853" s="9"/>
      <c r="CF3853" s="12"/>
      <c r="CH3853" s="9"/>
    </row>
    <row r="3854" spans="6:86" x14ac:dyDescent="0.25">
      <c r="F3854" s="9"/>
      <c r="G3854" s="9"/>
      <c r="AA3854" s="10"/>
      <c r="AV3854" s="11"/>
      <c r="AW3854" s="11"/>
      <c r="BB3854" s="9"/>
      <c r="BC3854" s="11"/>
      <c r="BF3854" s="9"/>
      <c r="CH3854" s="9"/>
    </row>
    <row r="3855" spans="6:86" x14ac:dyDescent="0.25">
      <c r="F3855" s="9"/>
      <c r="G3855" s="9"/>
      <c r="AA3855" s="10"/>
      <c r="AV3855" s="11"/>
      <c r="AW3855" s="11"/>
      <c r="BB3855" s="9"/>
      <c r="BC3855" s="11"/>
      <c r="BF3855" s="9"/>
      <c r="CF3855" s="12"/>
      <c r="CH3855" s="9"/>
    </row>
    <row r="3856" spans="6:86" x14ac:dyDescent="0.25">
      <c r="F3856" s="9"/>
      <c r="G3856" s="9"/>
      <c r="AA3856" s="10"/>
      <c r="AV3856" s="11"/>
      <c r="AW3856" s="11"/>
      <c r="BB3856" s="9"/>
      <c r="BC3856" s="11"/>
      <c r="BF3856" s="9"/>
      <c r="CF3856" s="12"/>
      <c r="CH3856" s="9"/>
    </row>
    <row r="3857" spans="6:86" x14ac:dyDescent="0.25">
      <c r="F3857" s="9"/>
      <c r="G3857" s="9"/>
      <c r="AA3857" s="10"/>
      <c r="AV3857" s="11"/>
      <c r="AW3857" s="11"/>
      <c r="BB3857" s="9"/>
      <c r="BC3857" s="11"/>
      <c r="BF3857" s="9"/>
      <c r="CF3857" s="12"/>
      <c r="CH3857" s="9"/>
    </row>
    <row r="3858" spans="6:86" x14ac:dyDescent="0.25">
      <c r="F3858" s="9"/>
      <c r="G3858" s="9"/>
      <c r="AA3858" s="10"/>
      <c r="AV3858" s="11"/>
      <c r="AW3858" s="11"/>
      <c r="BB3858" s="9"/>
      <c r="BC3858" s="11"/>
      <c r="BF3858" s="9"/>
      <c r="CF3858" s="12"/>
      <c r="CH3858" s="9"/>
    </row>
    <row r="3859" spans="6:86" x14ac:dyDescent="0.25">
      <c r="F3859" s="9"/>
      <c r="G3859" s="9"/>
      <c r="AA3859" s="10"/>
      <c r="AV3859" s="11"/>
      <c r="AW3859" s="11"/>
      <c r="BB3859" s="9"/>
      <c r="BC3859" s="11"/>
      <c r="BF3859" s="9"/>
      <c r="CF3859" s="12"/>
      <c r="CH3859" s="9"/>
    </row>
    <row r="3860" spans="6:86" x14ac:dyDescent="0.25">
      <c r="F3860" s="9"/>
      <c r="G3860" s="9"/>
      <c r="AA3860" s="10"/>
      <c r="AV3860" s="11"/>
      <c r="AW3860" s="11"/>
      <c r="BB3860" s="9"/>
      <c r="BC3860" s="11"/>
      <c r="BF3860" s="9"/>
      <c r="CF3860" s="12"/>
      <c r="CH3860" s="9"/>
    </row>
    <row r="3861" spans="6:86" x14ac:dyDescent="0.25">
      <c r="F3861" s="9"/>
      <c r="G3861" s="9"/>
      <c r="AA3861" s="10"/>
      <c r="AV3861" s="11"/>
      <c r="AW3861" s="11"/>
      <c r="BB3861" s="9"/>
      <c r="BC3861" s="11"/>
      <c r="BF3861" s="9"/>
      <c r="CF3861" s="12"/>
      <c r="CH3861" s="9"/>
    </row>
    <row r="3862" spans="6:86" x14ac:dyDescent="0.25">
      <c r="F3862" s="9"/>
      <c r="G3862" s="9"/>
      <c r="AA3862" s="10"/>
      <c r="AV3862" s="11"/>
      <c r="AW3862" s="11"/>
      <c r="BB3862" s="9"/>
      <c r="BC3862" s="11"/>
      <c r="BF3862" s="9"/>
      <c r="CF3862" s="12"/>
      <c r="CH3862" s="9"/>
    </row>
    <row r="3863" spans="6:86" x14ac:dyDescent="0.25">
      <c r="F3863" s="9"/>
      <c r="G3863" s="9"/>
      <c r="AA3863" s="10"/>
      <c r="AV3863" s="11"/>
      <c r="AW3863" s="11"/>
      <c r="BB3863" s="9"/>
      <c r="BC3863" s="11"/>
      <c r="BF3863" s="9"/>
      <c r="CF3863" s="12"/>
      <c r="CH3863" s="9"/>
    </row>
    <row r="3864" spans="6:86" x14ac:dyDescent="0.25">
      <c r="F3864" s="9"/>
      <c r="G3864" s="9"/>
      <c r="AA3864" s="10"/>
      <c r="AV3864" s="11"/>
      <c r="AW3864" s="11"/>
      <c r="BB3864" s="9"/>
      <c r="BC3864" s="11"/>
      <c r="BF3864" s="9"/>
      <c r="CF3864" s="12"/>
      <c r="CH3864" s="9"/>
    </row>
    <row r="3865" spans="6:86" x14ac:dyDescent="0.25">
      <c r="F3865" s="9"/>
      <c r="G3865" s="9"/>
      <c r="AA3865" s="10"/>
      <c r="AV3865" s="11"/>
      <c r="AW3865" s="11"/>
      <c r="BB3865" s="9"/>
      <c r="BC3865" s="11"/>
      <c r="BF3865" s="9"/>
      <c r="CF3865" s="12"/>
      <c r="CH3865" s="9"/>
    </row>
    <row r="3866" spans="6:86" x14ac:dyDescent="0.25">
      <c r="F3866" s="9"/>
      <c r="G3866" s="9"/>
      <c r="AA3866" s="10"/>
      <c r="AV3866" s="11"/>
      <c r="AW3866" s="11"/>
      <c r="BB3866" s="9"/>
      <c r="BC3866" s="11"/>
      <c r="BF3866" s="9"/>
      <c r="CF3866" s="12"/>
      <c r="CH3866" s="9"/>
    </row>
    <row r="3867" spans="6:86" x14ac:dyDescent="0.25">
      <c r="F3867" s="9"/>
      <c r="G3867" s="9"/>
      <c r="AA3867" s="10"/>
      <c r="AV3867" s="11"/>
      <c r="AW3867" s="11"/>
      <c r="BB3867" s="9"/>
      <c r="BC3867" s="11"/>
      <c r="BF3867" s="9"/>
      <c r="CF3867" s="12"/>
      <c r="CH3867" s="9"/>
    </row>
    <row r="3868" spans="6:86" x14ac:dyDescent="0.25">
      <c r="F3868" s="9"/>
      <c r="G3868" s="9"/>
      <c r="AA3868" s="10"/>
      <c r="AV3868" s="11"/>
      <c r="AW3868" s="11"/>
      <c r="BB3868" s="9"/>
      <c r="BC3868" s="11"/>
      <c r="BF3868" s="9"/>
      <c r="CF3868" s="12"/>
      <c r="CH3868" s="9"/>
    </row>
    <row r="3869" spans="6:86" x14ac:dyDescent="0.25">
      <c r="F3869" s="9"/>
      <c r="G3869" s="9"/>
      <c r="AA3869" s="10"/>
      <c r="AV3869" s="11"/>
      <c r="AW3869" s="11"/>
      <c r="BB3869" s="9"/>
      <c r="BC3869" s="11"/>
      <c r="BF3869" s="9"/>
      <c r="CF3869" s="12"/>
      <c r="CH3869" s="9"/>
    </row>
    <row r="3870" spans="6:86" x14ac:dyDescent="0.25">
      <c r="F3870" s="9"/>
      <c r="G3870" s="9"/>
      <c r="AA3870" s="10"/>
      <c r="AV3870" s="11"/>
      <c r="AW3870" s="11"/>
      <c r="BB3870" s="9"/>
      <c r="BC3870" s="11"/>
      <c r="BF3870" s="9"/>
      <c r="CF3870" s="12"/>
      <c r="CH3870" s="9"/>
    </row>
    <row r="3871" spans="6:86" x14ac:dyDescent="0.25">
      <c r="F3871" s="9"/>
      <c r="G3871" s="9"/>
      <c r="AA3871" s="10"/>
      <c r="AV3871" s="11"/>
      <c r="AW3871" s="11"/>
      <c r="BB3871" s="9"/>
      <c r="BC3871" s="11"/>
      <c r="BF3871" s="9"/>
      <c r="CF3871" s="12"/>
      <c r="CH3871" s="9"/>
    </row>
    <row r="3872" spans="6:86" x14ac:dyDescent="0.25">
      <c r="F3872" s="9"/>
      <c r="G3872" s="9"/>
      <c r="AA3872" s="10"/>
      <c r="AV3872" s="11"/>
      <c r="AW3872" s="11"/>
      <c r="BB3872" s="9"/>
      <c r="BC3872" s="11"/>
      <c r="BF3872" s="9"/>
      <c r="CF3872" s="12"/>
      <c r="CH3872" s="9"/>
    </row>
    <row r="3873" spans="6:86" x14ac:dyDescent="0.25">
      <c r="F3873" s="9"/>
      <c r="G3873" s="9"/>
      <c r="AA3873" s="10"/>
      <c r="AV3873" s="11"/>
      <c r="AW3873" s="11"/>
      <c r="BB3873" s="9"/>
      <c r="BC3873" s="11"/>
      <c r="BF3873" s="9"/>
      <c r="CF3873" s="12"/>
      <c r="CH3873" s="9"/>
    </row>
    <row r="3874" spans="6:86" x14ac:dyDescent="0.25">
      <c r="F3874" s="9"/>
      <c r="G3874" s="9"/>
      <c r="AA3874" s="10"/>
      <c r="AV3874" s="11"/>
      <c r="AW3874" s="11"/>
      <c r="BB3874" s="9"/>
      <c r="BC3874" s="11"/>
      <c r="BF3874" s="9"/>
      <c r="CF3874" s="12"/>
      <c r="CH3874" s="9"/>
    </row>
    <row r="3875" spans="6:86" x14ac:dyDescent="0.25">
      <c r="F3875" s="9"/>
      <c r="G3875" s="9"/>
      <c r="AA3875" s="10"/>
      <c r="AV3875" s="11"/>
      <c r="AW3875" s="11"/>
      <c r="BB3875" s="9"/>
      <c r="BC3875" s="11"/>
      <c r="BF3875" s="9"/>
      <c r="CF3875" s="12"/>
      <c r="CH3875" s="9"/>
    </row>
    <row r="3876" spans="6:86" x14ac:dyDescent="0.25">
      <c r="F3876" s="9"/>
      <c r="G3876" s="9"/>
      <c r="AA3876" s="10"/>
      <c r="AV3876" s="11"/>
      <c r="AW3876" s="11"/>
      <c r="BB3876" s="9"/>
      <c r="BC3876" s="11"/>
      <c r="BF3876" s="9"/>
      <c r="CF3876" s="12"/>
      <c r="CH3876" s="9"/>
    </row>
    <row r="3877" spans="6:86" x14ac:dyDescent="0.25">
      <c r="F3877" s="9"/>
      <c r="G3877" s="9"/>
      <c r="AA3877" s="10"/>
      <c r="AV3877" s="11"/>
      <c r="AW3877" s="11"/>
      <c r="BB3877" s="9"/>
      <c r="BC3877" s="11"/>
      <c r="BF3877" s="9"/>
      <c r="CF3877" s="12"/>
      <c r="CH3877" s="9"/>
    </row>
    <row r="3878" spans="6:86" x14ac:dyDescent="0.25">
      <c r="F3878" s="9"/>
      <c r="G3878" s="9"/>
      <c r="AA3878" s="10"/>
      <c r="AV3878" s="11"/>
      <c r="AW3878" s="11"/>
      <c r="BB3878" s="9"/>
      <c r="BC3878" s="11"/>
      <c r="BF3878" s="9"/>
      <c r="CF3878" s="12"/>
      <c r="CH3878" s="9"/>
    </row>
    <row r="3879" spans="6:86" x14ac:dyDescent="0.25">
      <c r="F3879" s="9"/>
      <c r="G3879" s="9"/>
      <c r="AA3879" s="10"/>
      <c r="AV3879" s="11"/>
      <c r="AW3879" s="11"/>
      <c r="BB3879" s="9"/>
      <c r="BC3879" s="11"/>
      <c r="BF3879" s="9"/>
      <c r="CF3879" s="12"/>
      <c r="CH3879" s="9"/>
    </row>
    <row r="3880" spans="6:86" x14ac:dyDescent="0.25">
      <c r="F3880" s="9"/>
      <c r="G3880" s="9"/>
      <c r="AA3880" s="10"/>
      <c r="AV3880" s="11"/>
      <c r="AW3880" s="11"/>
      <c r="BB3880" s="9"/>
      <c r="BC3880" s="11"/>
      <c r="BF3880" s="9"/>
      <c r="CF3880" s="12"/>
      <c r="CH3880" s="9"/>
    </row>
    <row r="3881" spans="6:86" x14ac:dyDescent="0.25">
      <c r="F3881" s="9"/>
      <c r="G3881" s="9"/>
      <c r="AA3881" s="10"/>
      <c r="AV3881" s="11"/>
      <c r="AW3881" s="11"/>
      <c r="BB3881" s="9"/>
      <c r="BC3881" s="11"/>
      <c r="BF3881" s="9"/>
      <c r="CF3881" s="12"/>
      <c r="CH3881" s="9"/>
    </row>
    <row r="3882" spans="6:86" x14ac:dyDescent="0.25">
      <c r="F3882" s="9"/>
      <c r="G3882" s="9"/>
      <c r="AA3882" s="10"/>
      <c r="AV3882" s="11"/>
      <c r="AW3882" s="11"/>
      <c r="BB3882" s="9"/>
      <c r="BC3882" s="11"/>
      <c r="BF3882" s="9"/>
      <c r="CF3882" s="12"/>
      <c r="CH3882" s="9"/>
    </row>
    <row r="3883" spans="6:86" x14ac:dyDescent="0.25">
      <c r="F3883" s="9"/>
      <c r="G3883" s="9"/>
      <c r="AA3883" s="10"/>
      <c r="AV3883" s="11"/>
      <c r="AW3883" s="11"/>
      <c r="BB3883" s="9"/>
      <c r="BC3883" s="11"/>
      <c r="BF3883" s="9"/>
      <c r="CH3883" s="9"/>
    </row>
    <row r="3884" spans="6:86" x14ac:dyDescent="0.25">
      <c r="F3884" s="9"/>
      <c r="G3884" s="9"/>
      <c r="AA3884" s="10"/>
      <c r="AV3884" s="11"/>
      <c r="AW3884" s="11"/>
      <c r="BB3884" s="9"/>
      <c r="BC3884" s="11"/>
      <c r="BF3884" s="9"/>
      <c r="CF3884" s="12"/>
      <c r="CH3884" s="9"/>
    </row>
    <row r="3885" spans="6:86" x14ac:dyDescent="0.25">
      <c r="F3885" s="9"/>
      <c r="G3885" s="9"/>
      <c r="AA3885" s="10"/>
      <c r="AV3885" s="11"/>
      <c r="AW3885" s="11"/>
      <c r="BB3885" s="9"/>
      <c r="BC3885" s="11"/>
      <c r="BF3885" s="9"/>
      <c r="CF3885" s="12"/>
      <c r="CH3885" s="9"/>
    </row>
    <row r="3886" spans="6:86" x14ac:dyDescent="0.25">
      <c r="F3886" s="9"/>
      <c r="G3886" s="9"/>
      <c r="AA3886" s="10"/>
      <c r="AV3886" s="11"/>
      <c r="AW3886" s="11"/>
      <c r="BB3886" s="9"/>
      <c r="BC3886" s="11"/>
      <c r="BF3886" s="9"/>
      <c r="CF3886" s="12"/>
      <c r="CH3886" s="9"/>
    </row>
    <row r="3887" spans="6:86" x14ac:dyDescent="0.25">
      <c r="F3887" s="9"/>
      <c r="G3887" s="9"/>
      <c r="AA3887" s="10"/>
      <c r="AV3887" s="11"/>
      <c r="AW3887" s="11"/>
      <c r="BB3887" s="9"/>
      <c r="BC3887" s="11"/>
      <c r="BF3887" s="9"/>
      <c r="CF3887" s="12"/>
      <c r="CH3887" s="9"/>
    </row>
    <row r="3888" spans="6:86" x14ac:dyDescent="0.25">
      <c r="F3888" s="9"/>
      <c r="G3888" s="9"/>
      <c r="AA3888" s="10"/>
      <c r="AV3888" s="11"/>
      <c r="AW3888" s="11"/>
      <c r="BB3888" s="9"/>
      <c r="BC3888" s="11"/>
      <c r="BF3888" s="9"/>
      <c r="CF3888" s="12"/>
      <c r="CH3888" s="9"/>
    </row>
    <row r="3889" spans="6:86" x14ac:dyDescent="0.25">
      <c r="F3889" s="9"/>
      <c r="G3889" s="9"/>
      <c r="AA3889" s="10"/>
      <c r="AV3889" s="11"/>
      <c r="AW3889" s="11"/>
      <c r="BB3889" s="9"/>
      <c r="BC3889" s="11"/>
      <c r="BF3889" s="9"/>
      <c r="CF3889" s="12"/>
      <c r="CH3889" s="9"/>
    </row>
    <row r="3890" spans="6:86" x14ac:dyDescent="0.25">
      <c r="F3890" s="9"/>
      <c r="G3890" s="9"/>
      <c r="AA3890" s="10"/>
      <c r="AV3890" s="11"/>
      <c r="AW3890" s="11"/>
      <c r="BB3890" s="9"/>
      <c r="BC3890" s="11"/>
      <c r="BF3890" s="9"/>
      <c r="CF3890" s="12"/>
      <c r="CH3890" s="9"/>
    </row>
    <row r="3891" spans="6:86" x14ac:dyDescent="0.25">
      <c r="F3891" s="9"/>
      <c r="G3891" s="9"/>
      <c r="AA3891" s="10"/>
      <c r="AV3891" s="11"/>
      <c r="AW3891" s="11"/>
      <c r="BB3891" s="9"/>
      <c r="BC3891" s="11"/>
      <c r="BF3891" s="9"/>
      <c r="CF3891" s="12"/>
      <c r="CH3891" s="9"/>
    </row>
    <row r="3892" spans="6:86" x14ac:dyDescent="0.25">
      <c r="F3892" s="9"/>
      <c r="G3892" s="9"/>
      <c r="AA3892" s="10"/>
      <c r="AV3892" s="11"/>
      <c r="AW3892" s="11"/>
      <c r="BB3892" s="9"/>
      <c r="BC3892" s="11"/>
      <c r="BF3892" s="9"/>
      <c r="CH3892" s="9"/>
    </row>
    <row r="3893" spans="6:86" x14ac:dyDescent="0.25">
      <c r="F3893" s="9"/>
      <c r="G3893" s="9"/>
      <c r="AA3893" s="10"/>
      <c r="AV3893" s="11"/>
      <c r="AW3893" s="11"/>
      <c r="BB3893" s="9"/>
      <c r="BC3893" s="11"/>
      <c r="BF3893" s="9"/>
      <c r="CF3893" s="12"/>
      <c r="CH3893" s="9"/>
    </row>
    <row r="3894" spans="6:86" x14ac:dyDescent="0.25">
      <c r="F3894" s="9"/>
      <c r="G3894" s="9"/>
      <c r="AA3894" s="10"/>
      <c r="AV3894" s="11"/>
      <c r="AW3894" s="11"/>
      <c r="BB3894" s="9"/>
      <c r="BC3894" s="11"/>
      <c r="BF3894" s="9"/>
      <c r="CF3894" s="12"/>
      <c r="CH3894" s="9"/>
    </row>
    <row r="3895" spans="6:86" x14ac:dyDescent="0.25">
      <c r="F3895" s="9"/>
      <c r="G3895" s="9"/>
      <c r="AA3895" s="10"/>
      <c r="AV3895" s="11"/>
      <c r="AW3895" s="11"/>
      <c r="BB3895" s="9"/>
      <c r="BC3895" s="11"/>
      <c r="BF3895" s="9"/>
      <c r="CF3895" s="12"/>
      <c r="CH3895" s="9"/>
    </row>
    <row r="3896" spans="6:86" x14ac:dyDescent="0.25">
      <c r="F3896" s="9"/>
      <c r="G3896" s="9"/>
      <c r="AA3896" s="10"/>
      <c r="AV3896" s="11"/>
      <c r="AW3896" s="11"/>
      <c r="BB3896" s="9"/>
      <c r="BC3896" s="11"/>
      <c r="BF3896" s="9"/>
      <c r="CF3896" s="12"/>
      <c r="CH3896" s="9"/>
    </row>
    <row r="3897" spans="6:86" x14ac:dyDescent="0.25">
      <c r="F3897" s="9"/>
      <c r="G3897" s="9"/>
      <c r="AA3897" s="10"/>
      <c r="AV3897" s="11"/>
      <c r="AW3897" s="11"/>
      <c r="BB3897" s="9"/>
      <c r="BC3897" s="11"/>
      <c r="BF3897" s="9"/>
      <c r="CF3897" s="12"/>
      <c r="CH3897" s="9"/>
    </row>
    <row r="3898" spans="6:86" x14ac:dyDescent="0.25">
      <c r="F3898" s="9"/>
      <c r="G3898" s="9"/>
      <c r="AA3898" s="10"/>
      <c r="AV3898" s="11"/>
      <c r="AW3898" s="11"/>
      <c r="BB3898" s="9"/>
      <c r="BC3898" s="11"/>
      <c r="BF3898" s="9"/>
      <c r="CF3898" s="12"/>
      <c r="CH3898" s="9"/>
    </row>
    <row r="3899" spans="6:86" x14ac:dyDescent="0.25">
      <c r="F3899" s="9"/>
      <c r="G3899" s="9"/>
      <c r="AA3899" s="10"/>
      <c r="AV3899" s="11"/>
      <c r="AW3899" s="11"/>
      <c r="BB3899" s="9"/>
      <c r="BC3899" s="11"/>
      <c r="BF3899" s="9"/>
      <c r="CF3899" s="12"/>
      <c r="CH3899" s="9"/>
    </row>
    <row r="3900" spans="6:86" x14ac:dyDescent="0.25">
      <c r="F3900" s="9"/>
      <c r="G3900" s="9"/>
      <c r="AA3900" s="10"/>
      <c r="AV3900" s="11"/>
      <c r="AW3900" s="11"/>
      <c r="BB3900" s="9"/>
      <c r="BC3900" s="11"/>
      <c r="BF3900" s="9"/>
      <c r="CF3900" s="12"/>
      <c r="CH3900" s="9"/>
    </row>
    <row r="3901" spans="6:86" x14ac:dyDescent="0.25">
      <c r="F3901" s="9"/>
      <c r="G3901" s="9"/>
      <c r="AA3901" s="10"/>
      <c r="AV3901" s="11"/>
      <c r="AW3901" s="11"/>
      <c r="BB3901" s="9"/>
      <c r="BC3901" s="11"/>
      <c r="BF3901" s="9"/>
      <c r="CF3901" s="12"/>
      <c r="CH3901" s="9"/>
    </row>
    <row r="3902" spans="6:86" x14ac:dyDescent="0.25">
      <c r="F3902" s="9"/>
      <c r="G3902" s="9"/>
      <c r="AA3902" s="10"/>
      <c r="AV3902" s="11"/>
      <c r="AW3902" s="11"/>
      <c r="BB3902" s="9"/>
      <c r="BC3902" s="11"/>
      <c r="BF3902" s="9"/>
      <c r="CF3902" s="12"/>
      <c r="CH3902" s="9"/>
    </row>
    <row r="3903" spans="6:86" x14ac:dyDescent="0.25">
      <c r="F3903" s="9"/>
      <c r="G3903" s="9"/>
      <c r="AA3903" s="10"/>
      <c r="AV3903" s="11"/>
      <c r="AW3903" s="11"/>
      <c r="BB3903" s="9"/>
      <c r="BC3903" s="11"/>
      <c r="BF3903" s="9"/>
      <c r="CF3903" s="12"/>
      <c r="CH3903" s="9"/>
    </row>
    <row r="3904" spans="6:86" x14ac:dyDescent="0.25">
      <c r="F3904" s="9"/>
      <c r="G3904" s="9"/>
      <c r="AA3904" s="10"/>
      <c r="AV3904" s="11"/>
      <c r="AW3904" s="11"/>
      <c r="BB3904" s="9"/>
      <c r="BC3904" s="11"/>
      <c r="BF3904" s="9"/>
      <c r="CF3904" s="12"/>
      <c r="CH3904" s="9"/>
    </row>
    <row r="3905" spans="6:92" x14ac:dyDescent="0.25">
      <c r="F3905" s="9"/>
      <c r="G3905" s="9"/>
      <c r="AA3905" s="10"/>
      <c r="AV3905" s="11"/>
      <c r="AW3905" s="11"/>
      <c r="BB3905" s="9"/>
      <c r="BC3905" s="11"/>
      <c r="BF3905" s="9"/>
      <c r="CF3905" s="12"/>
      <c r="CH3905" s="9"/>
    </row>
    <row r="3906" spans="6:92" x14ac:dyDescent="0.25">
      <c r="F3906" s="9"/>
      <c r="G3906" s="9"/>
      <c r="AA3906" s="10"/>
      <c r="AV3906" s="11"/>
      <c r="AW3906" s="11"/>
      <c r="BB3906" s="9"/>
      <c r="BC3906" s="11"/>
      <c r="BF3906" s="9"/>
      <c r="CF3906" s="12"/>
      <c r="CH3906" s="9"/>
    </row>
    <row r="3907" spans="6:92" x14ac:dyDescent="0.25">
      <c r="F3907" s="9"/>
      <c r="G3907" s="9"/>
      <c r="AA3907" s="10"/>
      <c r="AV3907" s="11"/>
      <c r="AW3907" s="11"/>
      <c r="BB3907" s="9"/>
      <c r="BC3907" s="11"/>
      <c r="BF3907" s="9"/>
      <c r="CF3907" s="12"/>
      <c r="CH3907" s="9"/>
    </row>
    <row r="3908" spans="6:92" x14ac:dyDescent="0.25">
      <c r="F3908" s="9"/>
      <c r="G3908" s="9"/>
      <c r="AA3908" s="10"/>
      <c r="AV3908" s="11"/>
      <c r="AW3908" s="11"/>
      <c r="BB3908" s="9"/>
      <c r="BC3908" s="11"/>
      <c r="BF3908" s="9"/>
      <c r="CF3908" s="12"/>
      <c r="CH3908" s="9"/>
    </row>
    <row r="3909" spans="6:92" x14ac:dyDescent="0.25">
      <c r="F3909" s="9"/>
      <c r="G3909" s="9"/>
      <c r="AA3909" s="10"/>
      <c r="AV3909" s="11"/>
      <c r="AW3909" s="11"/>
      <c r="BB3909" s="9"/>
      <c r="BC3909" s="11"/>
      <c r="BF3909" s="9"/>
      <c r="CF3909" s="12"/>
      <c r="CH3909" s="9"/>
    </row>
    <row r="3910" spans="6:92" x14ac:dyDescent="0.25">
      <c r="F3910" s="9"/>
      <c r="G3910" s="9"/>
      <c r="AA3910" s="10"/>
      <c r="AV3910" s="11"/>
      <c r="AW3910" s="11"/>
      <c r="BB3910" s="9"/>
      <c r="BC3910" s="11"/>
      <c r="BF3910" s="9"/>
      <c r="CF3910" s="12"/>
      <c r="CH3910" s="9"/>
    </row>
    <row r="3911" spans="6:92" x14ac:dyDescent="0.25">
      <c r="F3911" s="9"/>
      <c r="G3911" s="9"/>
      <c r="AA3911" s="10"/>
      <c r="AV3911" s="11"/>
      <c r="AW3911" s="11"/>
      <c r="BB3911" s="9"/>
      <c r="BC3911" s="11"/>
      <c r="BF3911" s="9"/>
      <c r="CF3911" s="12"/>
      <c r="CH3911" s="9"/>
    </row>
    <row r="3912" spans="6:92" x14ac:dyDescent="0.25">
      <c r="F3912" s="9"/>
      <c r="G3912" s="9"/>
      <c r="AA3912" s="10"/>
      <c r="AV3912" s="11"/>
      <c r="AW3912" s="11"/>
      <c r="BB3912" s="9"/>
      <c r="BC3912" s="11"/>
      <c r="BF3912" s="9"/>
      <c r="CF3912" s="12"/>
      <c r="CH3912" s="9"/>
    </row>
    <row r="3913" spans="6:92" x14ac:dyDescent="0.25">
      <c r="F3913" s="9"/>
      <c r="G3913" s="9"/>
      <c r="AA3913" s="10"/>
      <c r="AV3913" s="11"/>
      <c r="AW3913" s="11"/>
      <c r="BB3913" s="9"/>
      <c r="BC3913" s="11"/>
      <c r="BF3913" s="9"/>
      <c r="CF3913" s="12"/>
      <c r="CH3913" s="9"/>
    </row>
    <row r="3914" spans="6:92" x14ac:dyDescent="0.25">
      <c r="F3914" s="9"/>
      <c r="G3914" s="9"/>
      <c r="AA3914" s="10"/>
      <c r="AV3914" s="11"/>
      <c r="AW3914" s="11"/>
      <c r="BB3914" s="9"/>
      <c r="BC3914" s="11"/>
      <c r="BF3914" s="9"/>
      <c r="CF3914" s="12"/>
      <c r="CH3914" s="9"/>
    </row>
    <row r="3915" spans="6:92" x14ac:dyDescent="0.25">
      <c r="F3915" s="9"/>
      <c r="G3915" s="9"/>
      <c r="AA3915" s="10"/>
      <c r="AV3915" s="11"/>
      <c r="AW3915" s="11"/>
      <c r="BB3915" s="9"/>
      <c r="BC3915" s="11"/>
      <c r="BF3915" s="9"/>
      <c r="CF3915" s="12"/>
      <c r="CH3915" s="9"/>
    </row>
    <row r="3916" spans="6:92" x14ac:dyDescent="0.25">
      <c r="F3916" s="9"/>
      <c r="G3916" s="9"/>
      <c r="AA3916" s="10"/>
      <c r="AV3916" s="11"/>
      <c r="AW3916" s="11"/>
      <c r="BB3916" s="9"/>
      <c r="BC3916" s="11"/>
      <c r="BF3916" s="9"/>
      <c r="CF3916" s="12"/>
      <c r="CH3916" s="9"/>
    </row>
    <row r="3917" spans="6:92" x14ac:dyDescent="0.25">
      <c r="F3917" s="9"/>
      <c r="G3917" s="9"/>
      <c r="U3917" s="12"/>
      <c r="Z3917" s="12"/>
      <c r="AA3917" s="10"/>
      <c r="AV3917" s="11"/>
      <c r="AW3917" s="11"/>
      <c r="BB3917" s="9"/>
      <c r="BC3917" s="11"/>
      <c r="BF3917" s="9"/>
      <c r="CF3917" s="12"/>
      <c r="CH3917" s="9"/>
      <c r="CN3917" s="12"/>
    </row>
    <row r="3918" spans="6:92" x14ac:dyDescent="0.25">
      <c r="F3918" s="9"/>
      <c r="G3918" s="9"/>
      <c r="AA3918" s="10"/>
      <c r="AV3918" s="11"/>
      <c r="AW3918" s="11"/>
      <c r="BB3918" s="9"/>
      <c r="BC3918" s="11"/>
      <c r="BF3918" s="9"/>
      <c r="CF3918" s="12"/>
      <c r="CH3918" s="9"/>
    </row>
    <row r="3919" spans="6:92" x14ac:dyDescent="0.25">
      <c r="F3919" s="9"/>
      <c r="G3919" s="9"/>
      <c r="AA3919" s="10"/>
      <c r="AV3919" s="11"/>
      <c r="AW3919" s="11"/>
      <c r="BB3919" s="9"/>
      <c r="BC3919" s="11"/>
      <c r="BF3919" s="9"/>
      <c r="CF3919" s="12"/>
      <c r="CH3919" s="9"/>
    </row>
    <row r="3920" spans="6:92" x14ac:dyDescent="0.25">
      <c r="F3920" s="9"/>
      <c r="G3920" s="9"/>
      <c r="AA3920" s="10"/>
      <c r="AV3920" s="11"/>
      <c r="AW3920" s="11"/>
      <c r="BB3920" s="9"/>
      <c r="BC3920" s="11"/>
      <c r="BF3920" s="9"/>
      <c r="CF3920" s="12"/>
      <c r="CH3920" s="9"/>
    </row>
    <row r="3921" spans="6:86" x14ac:dyDescent="0.25">
      <c r="F3921" s="9"/>
      <c r="G3921" s="9"/>
      <c r="AA3921" s="10"/>
      <c r="AV3921" s="11"/>
      <c r="AW3921" s="11"/>
      <c r="BB3921" s="9"/>
      <c r="BC3921" s="11"/>
      <c r="BF3921" s="9"/>
      <c r="CF3921" s="12"/>
      <c r="CH3921" s="9"/>
    </row>
    <row r="3922" spans="6:86" x14ac:dyDescent="0.25">
      <c r="F3922" s="9"/>
      <c r="G3922" s="9"/>
      <c r="AA3922" s="10"/>
      <c r="AV3922" s="11"/>
      <c r="AW3922" s="11"/>
      <c r="BB3922" s="9"/>
      <c r="BC3922" s="11"/>
      <c r="BF3922" s="9"/>
      <c r="CF3922" s="12"/>
      <c r="CH3922" s="9"/>
    </row>
    <row r="3923" spans="6:86" x14ac:dyDescent="0.25">
      <c r="F3923" s="9"/>
      <c r="G3923" s="9"/>
      <c r="AA3923" s="10"/>
      <c r="AV3923" s="11"/>
      <c r="AW3923" s="11"/>
      <c r="BB3923" s="9"/>
      <c r="BC3923" s="11"/>
      <c r="BF3923" s="9"/>
      <c r="CF3923" s="12"/>
      <c r="CH3923" s="9"/>
    </row>
    <row r="3924" spans="6:86" x14ac:dyDescent="0.25">
      <c r="F3924" s="9"/>
      <c r="G3924" s="9"/>
      <c r="AA3924" s="10"/>
      <c r="AV3924" s="11"/>
      <c r="AW3924" s="11"/>
      <c r="BB3924" s="9"/>
      <c r="BC3924" s="11"/>
      <c r="BF3924" s="9"/>
      <c r="CF3924" s="12"/>
      <c r="CH3924" s="9"/>
    </row>
    <row r="3925" spans="6:86" x14ac:dyDescent="0.25">
      <c r="F3925" s="9"/>
      <c r="G3925" s="9"/>
      <c r="AA3925" s="10"/>
      <c r="AV3925" s="11"/>
      <c r="AW3925" s="11"/>
      <c r="BB3925" s="9"/>
      <c r="BC3925" s="11"/>
      <c r="BF3925" s="9"/>
      <c r="CF3925" s="12"/>
      <c r="CH3925" s="9"/>
    </row>
    <row r="3926" spans="6:86" x14ac:dyDescent="0.25">
      <c r="F3926" s="9"/>
      <c r="G3926" s="9"/>
      <c r="AA3926" s="10"/>
      <c r="AV3926" s="11"/>
      <c r="AW3926" s="11"/>
      <c r="BB3926" s="9"/>
      <c r="BC3926" s="11"/>
      <c r="BF3926" s="9"/>
      <c r="CF3926" s="12"/>
      <c r="CH3926" s="9"/>
    </row>
    <row r="3927" spans="6:86" x14ac:dyDescent="0.25">
      <c r="F3927" s="9"/>
      <c r="G3927" s="9"/>
      <c r="AA3927" s="10"/>
      <c r="AV3927" s="11"/>
      <c r="AW3927" s="11"/>
      <c r="BB3927" s="9"/>
      <c r="BC3927" s="11"/>
      <c r="BF3927" s="9"/>
      <c r="CF3927" s="12"/>
      <c r="CH3927" s="9"/>
    </row>
    <row r="3928" spans="6:86" x14ac:dyDescent="0.25">
      <c r="F3928" s="9"/>
      <c r="G3928" s="9"/>
      <c r="AA3928" s="10"/>
      <c r="AV3928" s="11"/>
      <c r="AW3928" s="11"/>
      <c r="BB3928" s="9"/>
      <c r="BC3928" s="11"/>
      <c r="BF3928" s="9"/>
      <c r="CF3928" s="12"/>
      <c r="CH3928" s="9"/>
    </row>
    <row r="3929" spans="6:86" x14ac:dyDescent="0.25">
      <c r="F3929" s="9"/>
      <c r="G3929" s="9"/>
      <c r="AA3929" s="10"/>
      <c r="AV3929" s="11"/>
      <c r="AW3929" s="11"/>
      <c r="BB3929" s="9"/>
      <c r="BC3929" s="11"/>
      <c r="BF3929" s="9"/>
      <c r="CF3929" s="12"/>
      <c r="CH3929" s="9"/>
    </row>
    <row r="3930" spans="6:86" x14ac:dyDescent="0.25">
      <c r="F3930" s="9"/>
      <c r="G3930" s="9"/>
      <c r="AA3930" s="10"/>
      <c r="AV3930" s="11"/>
      <c r="AW3930" s="11"/>
      <c r="BB3930" s="9"/>
      <c r="BC3930" s="11"/>
      <c r="BF3930" s="9"/>
      <c r="CF3930" s="12"/>
      <c r="CH3930" s="9"/>
    </row>
    <row r="3931" spans="6:86" x14ac:dyDescent="0.25">
      <c r="F3931" s="9"/>
      <c r="G3931" s="9"/>
      <c r="AA3931" s="10"/>
      <c r="AV3931" s="11"/>
      <c r="AW3931" s="11"/>
      <c r="BB3931" s="9"/>
      <c r="BC3931" s="11"/>
      <c r="BF3931" s="9"/>
      <c r="CF3931" s="12"/>
      <c r="CH3931" s="9"/>
    </row>
    <row r="3932" spans="6:86" x14ac:dyDescent="0.25">
      <c r="F3932" s="9"/>
      <c r="G3932" s="9"/>
      <c r="AA3932" s="10"/>
      <c r="AV3932" s="11"/>
      <c r="AW3932" s="11"/>
      <c r="BB3932" s="9"/>
      <c r="BC3932" s="11"/>
      <c r="BF3932" s="9"/>
      <c r="CF3932" s="12"/>
      <c r="CH3932" s="9"/>
    </row>
    <row r="3933" spans="6:86" x14ac:dyDescent="0.25">
      <c r="F3933" s="9"/>
      <c r="G3933" s="9"/>
      <c r="AA3933" s="10"/>
      <c r="AV3933" s="11"/>
      <c r="AW3933" s="11"/>
      <c r="BB3933" s="9"/>
      <c r="BC3933" s="11"/>
      <c r="BF3933" s="9"/>
      <c r="CH3933" s="9"/>
    </row>
    <row r="3934" spans="6:86" x14ac:dyDescent="0.25">
      <c r="F3934" s="9"/>
      <c r="G3934" s="9"/>
      <c r="AA3934" s="10"/>
      <c r="AV3934" s="11"/>
      <c r="AW3934" s="11"/>
      <c r="BB3934" s="9"/>
      <c r="BC3934" s="11"/>
      <c r="BF3934" s="9"/>
      <c r="CF3934" s="12"/>
      <c r="CH3934" s="9"/>
    </row>
    <row r="3935" spans="6:86" x14ac:dyDescent="0.25">
      <c r="F3935" s="9"/>
      <c r="G3935" s="9"/>
      <c r="AA3935" s="10"/>
      <c r="AV3935" s="11"/>
      <c r="AW3935" s="11"/>
      <c r="BB3935" s="9"/>
      <c r="BC3935" s="11"/>
      <c r="BF3935" s="9"/>
      <c r="CH3935" s="9"/>
    </row>
    <row r="3936" spans="6:86" x14ac:dyDescent="0.25">
      <c r="F3936" s="9"/>
      <c r="G3936" s="9"/>
      <c r="AA3936" s="10"/>
      <c r="AV3936" s="11"/>
      <c r="AW3936" s="11"/>
      <c r="BB3936" s="9"/>
      <c r="BC3936" s="11"/>
      <c r="BF3936" s="9"/>
      <c r="CF3936" s="12"/>
      <c r="CH3936" s="9"/>
    </row>
    <row r="3937" spans="6:86" x14ac:dyDescent="0.25">
      <c r="F3937" s="9"/>
      <c r="G3937" s="9"/>
      <c r="AA3937" s="10"/>
      <c r="AV3937" s="11"/>
      <c r="AW3937" s="11"/>
      <c r="BB3937" s="9"/>
      <c r="BC3937" s="11"/>
      <c r="BF3937" s="9"/>
      <c r="CF3937" s="12"/>
      <c r="CH3937" s="9"/>
    </row>
    <row r="3938" spans="6:86" x14ac:dyDescent="0.25">
      <c r="F3938" s="9"/>
      <c r="G3938" s="9"/>
      <c r="AA3938" s="10"/>
      <c r="AV3938" s="11"/>
      <c r="AW3938" s="11"/>
      <c r="BB3938" s="9"/>
      <c r="BC3938" s="11"/>
      <c r="BF3938" s="9"/>
      <c r="CF3938" s="12"/>
      <c r="CH3938" s="9"/>
    </row>
    <row r="3939" spans="6:86" x14ac:dyDescent="0.25">
      <c r="F3939" s="9"/>
      <c r="G3939" s="9"/>
      <c r="AA3939" s="10"/>
      <c r="AV3939" s="11"/>
      <c r="AW3939" s="11"/>
      <c r="BB3939" s="9"/>
      <c r="BC3939" s="11"/>
      <c r="BF3939" s="9"/>
      <c r="CF3939" s="12"/>
      <c r="CH3939" s="9"/>
    </row>
    <row r="3940" spans="6:86" x14ac:dyDescent="0.25">
      <c r="F3940" s="9"/>
      <c r="G3940" s="9"/>
      <c r="AA3940" s="10"/>
      <c r="AV3940" s="11"/>
      <c r="AW3940" s="11"/>
      <c r="BB3940" s="9"/>
      <c r="BC3940" s="11"/>
      <c r="BF3940" s="9"/>
      <c r="CF3940" s="12"/>
      <c r="CH3940" s="9"/>
    </row>
    <row r="3941" spans="6:86" x14ac:dyDescent="0.25">
      <c r="F3941" s="9"/>
      <c r="G3941" s="9"/>
      <c r="AA3941" s="10"/>
      <c r="AV3941" s="11"/>
      <c r="AW3941" s="11"/>
      <c r="BB3941" s="9"/>
      <c r="BC3941" s="11"/>
      <c r="BF3941" s="9"/>
      <c r="CF3941" s="12"/>
      <c r="CH3941" s="9"/>
    </row>
    <row r="3942" spans="6:86" x14ac:dyDescent="0.25">
      <c r="F3942" s="9"/>
      <c r="G3942" s="9"/>
      <c r="AA3942" s="10"/>
      <c r="AV3942" s="11"/>
      <c r="AW3942" s="11"/>
      <c r="BB3942" s="9"/>
      <c r="BC3942" s="11"/>
      <c r="BF3942" s="9"/>
      <c r="CF3942" s="12"/>
      <c r="CH3942" s="9"/>
    </row>
    <row r="3943" spans="6:86" x14ac:dyDescent="0.25">
      <c r="F3943" s="9"/>
      <c r="G3943" s="9"/>
      <c r="AA3943" s="10"/>
      <c r="AV3943" s="11"/>
      <c r="AW3943" s="11"/>
      <c r="BB3943" s="9"/>
      <c r="BC3943" s="11"/>
      <c r="BF3943" s="9"/>
      <c r="CH3943" s="9"/>
    </row>
    <row r="3944" spans="6:86" x14ac:dyDescent="0.25">
      <c r="F3944" s="9"/>
      <c r="G3944" s="9"/>
      <c r="AA3944" s="10"/>
      <c r="AV3944" s="11"/>
      <c r="AW3944" s="11"/>
      <c r="BB3944" s="9"/>
      <c r="BC3944" s="11"/>
      <c r="BF3944" s="9"/>
      <c r="CF3944" s="12"/>
      <c r="CH3944" s="9"/>
    </row>
    <row r="3945" spans="6:86" x14ac:dyDescent="0.25">
      <c r="F3945" s="9"/>
      <c r="G3945" s="9"/>
      <c r="AA3945" s="10"/>
      <c r="AV3945" s="11"/>
      <c r="AW3945" s="11"/>
      <c r="BB3945" s="9"/>
      <c r="BC3945" s="11"/>
      <c r="BF3945" s="9"/>
      <c r="CF3945" s="12"/>
      <c r="CH3945" s="9"/>
    </row>
    <row r="3946" spans="6:86" x14ac:dyDescent="0.25">
      <c r="F3946" s="9"/>
      <c r="G3946" s="9"/>
      <c r="AA3946" s="10"/>
      <c r="AV3946" s="11"/>
      <c r="AW3946" s="11"/>
      <c r="BB3946" s="9"/>
      <c r="BC3946" s="11"/>
      <c r="BF3946" s="9"/>
      <c r="CF3946" s="12"/>
      <c r="CH3946" s="9"/>
    </row>
    <row r="3947" spans="6:86" x14ac:dyDescent="0.25">
      <c r="F3947" s="9"/>
      <c r="G3947" s="9"/>
      <c r="AA3947" s="10"/>
      <c r="AV3947" s="11"/>
      <c r="AW3947" s="11"/>
      <c r="BB3947" s="9"/>
      <c r="BC3947" s="11"/>
      <c r="BF3947" s="9"/>
      <c r="CF3947" s="12"/>
      <c r="CH3947" s="9"/>
    </row>
    <row r="3948" spans="6:86" x14ac:dyDescent="0.25">
      <c r="F3948" s="9"/>
      <c r="G3948" s="9"/>
      <c r="AA3948" s="10"/>
      <c r="AV3948" s="11"/>
      <c r="AW3948" s="11"/>
      <c r="BB3948" s="9"/>
      <c r="BC3948" s="11"/>
      <c r="BF3948" s="9"/>
      <c r="CF3948" s="12"/>
      <c r="CH3948" s="9"/>
    </row>
    <row r="3949" spans="6:86" x14ac:dyDescent="0.25">
      <c r="F3949" s="9"/>
      <c r="G3949" s="9"/>
      <c r="AA3949" s="10"/>
      <c r="AV3949" s="11"/>
      <c r="AW3949" s="11"/>
      <c r="BB3949" s="9"/>
      <c r="BC3949" s="11"/>
      <c r="BF3949" s="9"/>
      <c r="CH3949" s="9"/>
    </row>
    <row r="3950" spans="6:86" x14ac:dyDescent="0.25">
      <c r="F3950" s="9"/>
      <c r="G3950" s="9"/>
      <c r="AA3950" s="10"/>
      <c r="AV3950" s="11"/>
      <c r="AW3950" s="11"/>
      <c r="BB3950" s="9"/>
      <c r="BC3950" s="11"/>
      <c r="BF3950" s="9"/>
      <c r="CF3950" s="12"/>
      <c r="CH3950" s="9"/>
    </row>
    <row r="3951" spans="6:86" x14ac:dyDescent="0.25">
      <c r="F3951" s="9"/>
      <c r="G3951" s="9"/>
      <c r="AA3951" s="10"/>
      <c r="AV3951" s="11"/>
      <c r="AW3951" s="11"/>
      <c r="BB3951" s="9"/>
      <c r="BC3951" s="11"/>
      <c r="BF3951" s="9"/>
      <c r="CF3951" s="12"/>
      <c r="CH3951" s="9"/>
    </row>
    <row r="3952" spans="6:86" x14ac:dyDescent="0.25">
      <c r="F3952" s="9"/>
      <c r="G3952" s="9"/>
      <c r="AA3952" s="10"/>
      <c r="AV3952" s="11"/>
      <c r="AW3952" s="11"/>
      <c r="BB3952" s="9"/>
      <c r="BC3952" s="11"/>
      <c r="BF3952" s="9"/>
      <c r="CH3952" s="9"/>
    </row>
    <row r="3953" spans="6:86" x14ac:dyDescent="0.25">
      <c r="F3953" s="9"/>
      <c r="G3953" s="9"/>
      <c r="AA3953" s="10"/>
      <c r="AV3953" s="11"/>
      <c r="AW3953" s="11"/>
      <c r="BB3953" s="9"/>
      <c r="BC3953" s="11"/>
      <c r="BF3953" s="9"/>
      <c r="CF3953" s="12"/>
      <c r="CH3953" s="9"/>
    </row>
    <row r="3954" spans="6:86" x14ac:dyDescent="0.25">
      <c r="F3954" s="9"/>
      <c r="G3954" s="9"/>
      <c r="AA3954" s="10"/>
      <c r="AV3954" s="11"/>
      <c r="AW3954" s="11"/>
      <c r="BB3954" s="9"/>
      <c r="BC3954" s="11"/>
      <c r="BF3954" s="9"/>
      <c r="CF3954" s="12"/>
      <c r="CH3954" s="9"/>
    </row>
    <row r="3955" spans="6:86" x14ac:dyDescent="0.25">
      <c r="F3955" s="9"/>
      <c r="G3955" s="9"/>
      <c r="U3955" s="12"/>
      <c r="Z3955" s="12"/>
      <c r="AA3955" s="10"/>
      <c r="AV3955" s="11"/>
      <c r="AW3955" s="11"/>
      <c r="BB3955" s="9"/>
      <c r="BC3955" s="11"/>
      <c r="BF3955" s="9"/>
      <c r="CF3955" s="12"/>
      <c r="CH3955" s="9"/>
    </row>
    <row r="3956" spans="6:86" x14ac:dyDescent="0.25">
      <c r="F3956" s="9"/>
      <c r="G3956" s="9"/>
      <c r="AA3956" s="10"/>
      <c r="AV3956" s="11"/>
      <c r="AW3956" s="11"/>
      <c r="BB3956" s="9"/>
      <c r="BC3956" s="11"/>
      <c r="BF3956" s="9"/>
      <c r="CF3956" s="12"/>
      <c r="CH3956" s="9"/>
    </row>
    <row r="3957" spans="6:86" x14ac:dyDescent="0.25">
      <c r="F3957" s="9"/>
      <c r="G3957" s="9"/>
      <c r="AA3957" s="10"/>
      <c r="AV3957" s="11"/>
      <c r="AW3957" s="11"/>
      <c r="BB3957" s="9"/>
      <c r="BC3957" s="11"/>
      <c r="BF3957" s="9"/>
      <c r="CF3957" s="12"/>
      <c r="CH3957" s="9"/>
    </row>
    <row r="3958" spans="6:86" x14ac:dyDescent="0.25">
      <c r="F3958" s="9"/>
      <c r="G3958" s="9"/>
      <c r="AA3958" s="10"/>
      <c r="AV3958" s="11"/>
      <c r="AW3958" s="11"/>
      <c r="BB3958" s="9"/>
      <c r="BC3958" s="11"/>
      <c r="BF3958" s="9"/>
      <c r="CF3958" s="12"/>
      <c r="CH3958" s="9"/>
    </row>
    <row r="3959" spans="6:86" x14ac:dyDescent="0.25">
      <c r="F3959" s="9"/>
      <c r="G3959" s="9"/>
      <c r="AA3959" s="10"/>
      <c r="AV3959" s="11"/>
      <c r="AW3959" s="11"/>
      <c r="BB3959" s="9"/>
      <c r="BC3959" s="11"/>
      <c r="BF3959" s="9"/>
      <c r="CF3959" s="12"/>
      <c r="CH3959" s="9"/>
    </row>
    <row r="3960" spans="6:86" x14ac:dyDescent="0.25">
      <c r="F3960" s="9"/>
      <c r="G3960" s="9"/>
      <c r="U3960" s="12"/>
      <c r="AA3960" s="10"/>
      <c r="AV3960" s="11"/>
      <c r="AW3960" s="11"/>
      <c r="BB3960" s="9"/>
      <c r="BC3960" s="11"/>
      <c r="BF3960" s="9"/>
      <c r="CF3960" s="12"/>
      <c r="CH3960" s="9"/>
    </row>
    <row r="3961" spans="6:86" x14ac:dyDescent="0.25">
      <c r="F3961" s="9"/>
      <c r="G3961" s="9"/>
      <c r="AA3961" s="10"/>
      <c r="AV3961" s="11"/>
      <c r="AW3961" s="11"/>
      <c r="BB3961" s="9"/>
      <c r="BC3961" s="11"/>
      <c r="BF3961" s="9"/>
      <c r="CH3961" s="9"/>
    </row>
    <row r="3962" spans="6:86" x14ac:dyDescent="0.25">
      <c r="F3962" s="9"/>
      <c r="G3962" s="9"/>
      <c r="AA3962" s="10"/>
      <c r="AV3962" s="11"/>
      <c r="AW3962" s="11"/>
      <c r="BB3962" s="9"/>
      <c r="BC3962" s="11"/>
      <c r="BF3962" s="9"/>
      <c r="CF3962" s="12"/>
      <c r="CH3962" s="9"/>
    </row>
    <row r="3963" spans="6:86" x14ac:dyDescent="0.25">
      <c r="F3963" s="9"/>
      <c r="G3963" s="9"/>
      <c r="AA3963" s="10"/>
      <c r="AV3963" s="11"/>
      <c r="AW3963" s="11"/>
      <c r="BB3963" s="9"/>
      <c r="BC3963" s="11"/>
      <c r="BF3963" s="9"/>
      <c r="CH3963" s="9"/>
    </row>
    <row r="3964" spans="6:86" x14ac:dyDescent="0.25">
      <c r="F3964" s="9"/>
      <c r="G3964" s="9"/>
      <c r="AA3964" s="10"/>
      <c r="AV3964" s="11"/>
      <c r="AW3964" s="11"/>
      <c r="BB3964" s="9"/>
      <c r="BC3964" s="11"/>
      <c r="BF3964" s="9"/>
      <c r="CF3964" s="12"/>
      <c r="CH3964" s="9"/>
    </row>
    <row r="3965" spans="6:86" x14ac:dyDescent="0.25">
      <c r="F3965" s="9"/>
      <c r="G3965" s="9"/>
      <c r="AA3965" s="10"/>
      <c r="AV3965" s="11"/>
      <c r="AW3965" s="11"/>
      <c r="BB3965" s="9"/>
      <c r="BC3965" s="11"/>
      <c r="BF3965" s="9"/>
      <c r="CF3965" s="12"/>
      <c r="CH3965" s="9"/>
    </row>
    <row r="3966" spans="6:86" x14ac:dyDescent="0.25">
      <c r="F3966" s="9"/>
      <c r="G3966" s="9"/>
      <c r="AA3966" s="10"/>
      <c r="AV3966" s="11"/>
      <c r="AW3966" s="11"/>
      <c r="BB3966" s="9"/>
      <c r="BC3966" s="11"/>
      <c r="BF3966" s="9"/>
      <c r="CH3966" s="9"/>
    </row>
    <row r="3967" spans="6:86" x14ac:dyDescent="0.25">
      <c r="F3967" s="9"/>
      <c r="G3967" s="9"/>
      <c r="AA3967" s="10"/>
      <c r="AV3967" s="11"/>
      <c r="AW3967" s="11"/>
      <c r="BB3967" s="9"/>
      <c r="BC3967" s="11"/>
      <c r="BF3967" s="9"/>
      <c r="CF3967" s="12"/>
      <c r="CH3967" s="9"/>
    </row>
    <row r="3968" spans="6:86" x14ac:dyDescent="0.25">
      <c r="F3968" s="9"/>
      <c r="G3968" s="9"/>
      <c r="AA3968" s="10"/>
      <c r="AV3968" s="11"/>
      <c r="AW3968" s="11"/>
      <c r="BB3968" s="9"/>
      <c r="BC3968" s="11"/>
      <c r="BF3968" s="9"/>
      <c r="CF3968" s="12"/>
      <c r="CH3968" s="9"/>
    </row>
    <row r="3969" spans="6:86" x14ac:dyDescent="0.25">
      <c r="F3969" s="9"/>
      <c r="G3969" s="9"/>
      <c r="AA3969" s="10"/>
      <c r="AV3969" s="11"/>
      <c r="AW3969" s="11"/>
      <c r="BB3969" s="9"/>
      <c r="BC3969" s="11"/>
      <c r="BF3969" s="9"/>
      <c r="CF3969" s="12"/>
      <c r="CH3969" s="9"/>
    </row>
    <row r="3970" spans="6:86" x14ac:dyDescent="0.25">
      <c r="F3970" s="9"/>
      <c r="G3970" s="9"/>
      <c r="AA3970" s="10"/>
      <c r="AV3970" s="11"/>
      <c r="AW3970" s="11"/>
      <c r="BB3970" s="9"/>
      <c r="BC3970" s="11"/>
      <c r="BF3970" s="9"/>
      <c r="CH3970" s="9"/>
    </row>
    <row r="3971" spans="6:86" x14ac:dyDescent="0.25">
      <c r="F3971" s="9"/>
      <c r="G3971" s="9"/>
      <c r="AA3971" s="10"/>
      <c r="AV3971" s="11"/>
      <c r="AW3971" s="11"/>
      <c r="BB3971" s="9"/>
      <c r="BC3971" s="11"/>
      <c r="BF3971" s="9"/>
      <c r="CF3971" s="12"/>
      <c r="CH3971" s="9"/>
    </row>
    <row r="3972" spans="6:86" x14ac:dyDescent="0.25">
      <c r="F3972" s="9"/>
      <c r="G3972" s="9"/>
      <c r="AA3972" s="10"/>
      <c r="AV3972" s="11"/>
      <c r="AW3972" s="11"/>
      <c r="BB3972" s="9"/>
      <c r="BC3972" s="11"/>
      <c r="BF3972" s="9"/>
      <c r="CF3972" s="12"/>
      <c r="CH3972" s="9"/>
    </row>
    <row r="3973" spans="6:86" x14ac:dyDescent="0.25">
      <c r="F3973" s="9"/>
      <c r="G3973" s="9"/>
      <c r="AA3973" s="10"/>
      <c r="AV3973" s="11"/>
      <c r="AW3973" s="11"/>
      <c r="BB3973" s="9"/>
      <c r="BC3973" s="11"/>
      <c r="BF3973" s="9"/>
      <c r="CF3973" s="12"/>
      <c r="CH3973" s="9"/>
    </row>
    <row r="3974" spans="6:86" x14ac:dyDescent="0.25">
      <c r="F3974" s="9"/>
      <c r="G3974" s="9"/>
      <c r="AA3974" s="10"/>
      <c r="AV3974" s="11"/>
      <c r="AW3974" s="11"/>
      <c r="BB3974" s="9"/>
      <c r="BC3974" s="11"/>
      <c r="BF3974" s="9"/>
      <c r="CF3974" s="12"/>
      <c r="CH3974" s="9"/>
    </row>
    <row r="3975" spans="6:86" x14ac:dyDescent="0.25">
      <c r="F3975" s="9"/>
      <c r="G3975" s="9"/>
      <c r="AA3975" s="10"/>
      <c r="AV3975" s="11"/>
      <c r="AW3975" s="11"/>
      <c r="BB3975" s="9"/>
      <c r="BC3975" s="11"/>
      <c r="BF3975" s="9"/>
      <c r="CF3975" s="12"/>
      <c r="CH3975" s="9"/>
    </row>
    <row r="3976" spans="6:86" x14ac:dyDescent="0.25">
      <c r="F3976" s="9"/>
      <c r="G3976" s="9"/>
      <c r="AA3976" s="10"/>
      <c r="AV3976" s="11"/>
      <c r="AW3976" s="11"/>
      <c r="BB3976" s="9"/>
      <c r="BC3976" s="11"/>
      <c r="BF3976" s="9"/>
      <c r="CF3976" s="12"/>
      <c r="CH3976" s="9"/>
    </row>
    <row r="3977" spans="6:86" x14ac:dyDescent="0.25">
      <c r="F3977" s="9"/>
      <c r="G3977" s="9"/>
      <c r="AA3977" s="10"/>
      <c r="AV3977" s="11"/>
      <c r="AW3977" s="11"/>
      <c r="BB3977" s="9"/>
      <c r="BC3977" s="11"/>
      <c r="BF3977" s="9"/>
      <c r="CF3977" s="12"/>
      <c r="CH3977" s="9"/>
    </row>
    <row r="3978" spans="6:86" x14ac:dyDescent="0.25">
      <c r="F3978" s="9"/>
      <c r="G3978" s="9"/>
      <c r="AA3978" s="10"/>
      <c r="AV3978" s="11"/>
      <c r="AW3978" s="11"/>
      <c r="BB3978" s="9"/>
      <c r="BC3978" s="11"/>
      <c r="BF3978" s="9"/>
      <c r="CF3978" s="12"/>
      <c r="CH3978" s="9"/>
    </row>
    <row r="3979" spans="6:86" x14ac:dyDescent="0.25">
      <c r="F3979" s="9"/>
      <c r="G3979" s="9"/>
      <c r="AA3979" s="10"/>
      <c r="AV3979" s="11"/>
      <c r="AW3979" s="11"/>
      <c r="BB3979" s="9"/>
      <c r="BC3979" s="11"/>
      <c r="BF3979" s="9"/>
      <c r="CF3979" s="12"/>
      <c r="CH3979" s="9"/>
    </row>
    <row r="3980" spans="6:86" x14ac:dyDescent="0.25">
      <c r="F3980" s="9"/>
      <c r="G3980" s="9"/>
      <c r="AA3980" s="10"/>
      <c r="AV3980" s="11"/>
      <c r="AW3980" s="11"/>
      <c r="BB3980" s="9"/>
      <c r="BC3980" s="11"/>
      <c r="BF3980" s="9"/>
      <c r="CF3980" s="12"/>
      <c r="CH3980" s="9"/>
    </row>
    <row r="3981" spans="6:86" x14ac:dyDescent="0.25">
      <c r="F3981" s="9"/>
      <c r="G3981" s="9"/>
      <c r="AA3981" s="10"/>
      <c r="AV3981" s="11"/>
      <c r="AW3981" s="11"/>
      <c r="BB3981" s="9"/>
      <c r="BC3981" s="11"/>
      <c r="BF3981" s="9"/>
      <c r="CF3981" s="12"/>
      <c r="CH3981" s="9"/>
    </row>
    <row r="3982" spans="6:86" x14ac:dyDescent="0.25">
      <c r="F3982" s="9"/>
      <c r="G3982" s="9"/>
      <c r="AA3982" s="10"/>
      <c r="AV3982" s="11"/>
      <c r="AW3982" s="11"/>
      <c r="BB3982" s="9"/>
      <c r="BC3982" s="11"/>
      <c r="BF3982" s="9"/>
      <c r="CF3982" s="12"/>
      <c r="CH3982" s="9"/>
    </row>
    <row r="3983" spans="6:86" x14ac:dyDescent="0.25">
      <c r="F3983" s="9"/>
      <c r="G3983" s="9"/>
      <c r="AA3983" s="10"/>
      <c r="AV3983" s="11"/>
      <c r="AW3983" s="11"/>
      <c r="BB3983" s="9"/>
      <c r="BC3983" s="11"/>
      <c r="BF3983" s="9"/>
      <c r="CF3983" s="12"/>
      <c r="CH3983" s="9"/>
    </row>
    <row r="3984" spans="6:86" x14ac:dyDescent="0.25">
      <c r="F3984" s="9"/>
      <c r="G3984" s="9"/>
      <c r="AA3984" s="10"/>
      <c r="AV3984" s="11"/>
      <c r="AW3984" s="11"/>
      <c r="BB3984" s="9"/>
      <c r="BC3984" s="11"/>
      <c r="BF3984" s="9"/>
      <c r="CF3984" s="12"/>
      <c r="CH3984" s="9"/>
    </row>
    <row r="3985" spans="6:86" x14ac:dyDescent="0.25">
      <c r="F3985" s="9"/>
      <c r="G3985" s="9"/>
      <c r="AA3985" s="10"/>
      <c r="AV3985" s="11"/>
      <c r="AW3985" s="11"/>
      <c r="BB3985" s="9"/>
      <c r="BC3985" s="11"/>
      <c r="BF3985" s="9"/>
      <c r="CF3985" s="12"/>
      <c r="CH3985" s="9"/>
    </row>
    <row r="3986" spans="6:86" x14ac:dyDescent="0.25">
      <c r="F3986" s="9"/>
      <c r="G3986" s="9"/>
      <c r="AA3986" s="10"/>
      <c r="AV3986" s="11"/>
      <c r="AW3986" s="11"/>
      <c r="BB3986" s="9"/>
      <c r="BC3986" s="11"/>
      <c r="BF3986" s="9"/>
      <c r="CF3986" s="12"/>
      <c r="CH3986" s="9"/>
    </row>
    <row r="3987" spans="6:86" x14ac:dyDescent="0.25">
      <c r="F3987" s="9"/>
      <c r="G3987" s="9"/>
      <c r="AA3987" s="10"/>
      <c r="AV3987" s="11"/>
      <c r="AW3987" s="11"/>
      <c r="BB3987" s="9"/>
      <c r="BC3987" s="11"/>
      <c r="BF3987" s="9"/>
      <c r="CF3987" s="12"/>
      <c r="CH3987" s="9"/>
    </row>
    <row r="3988" spans="6:86" x14ac:dyDescent="0.25">
      <c r="F3988" s="9"/>
      <c r="G3988" s="9"/>
      <c r="AA3988" s="10"/>
      <c r="AV3988" s="11"/>
      <c r="AW3988" s="11"/>
      <c r="BB3988" s="9"/>
      <c r="BC3988" s="11"/>
      <c r="BF3988" s="9"/>
      <c r="CF3988" s="12"/>
      <c r="CH3988" s="9"/>
    </row>
    <row r="3989" spans="6:86" x14ac:dyDescent="0.25">
      <c r="F3989" s="9"/>
      <c r="G3989" s="9"/>
      <c r="AA3989" s="10"/>
      <c r="AV3989" s="11"/>
      <c r="AW3989" s="11"/>
      <c r="BB3989" s="9"/>
      <c r="BC3989" s="11"/>
      <c r="BF3989" s="9"/>
      <c r="CF3989" s="12"/>
      <c r="CH3989" s="9"/>
    </row>
    <row r="3990" spans="6:86" x14ac:dyDescent="0.25">
      <c r="F3990" s="9"/>
      <c r="G3990" s="9"/>
      <c r="AA3990" s="10"/>
      <c r="AV3990" s="11"/>
      <c r="AW3990" s="11"/>
      <c r="BB3990" s="9"/>
      <c r="BC3990" s="11"/>
      <c r="BF3990" s="9"/>
      <c r="CH3990" s="9"/>
    </row>
    <row r="3991" spans="6:86" x14ac:dyDescent="0.25">
      <c r="F3991" s="9"/>
      <c r="G3991" s="9"/>
      <c r="AA3991" s="10"/>
      <c r="AV3991" s="11"/>
      <c r="AW3991" s="11"/>
      <c r="BB3991" s="9"/>
      <c r="BC3991" s="11"/>
      <c r="BF3991" s="9"/>
      <c r="CF3991" s="12"/>
      <c r="CH3991" s="9"/>
    </row>
    <row r="3992" spans="6:86" x14ac:dyDescent="0.25">
      <c r="F3992" s="9"/>
      <c r="G3992" s="9"/>
      <c r="AA3992" s="10"/>
      <c r="AV3992" s="11"/>
      <c r="AW3992" s="11"/>
      <c r="BB3992" s="9"/>
      <c r="BC3992" s="11"/>
      <c r="BF3992" s="9"/>
      <c r="CF3992" s="12"/>
      <c r="CH3992" s="9"/>
    </row>
    <row r="3993" spans="6:86" x14ac:dyDescent="0.25">
      <c r="F3993" s="9"/>
      <c r="G3993" s="9"/>
      <c r="AA3993" s="10"/>
      <c r="AV3993" s="11"/>
      <c r="AW3993" s="11"/>
      <c r="BB3993" s="9"/>
      <c r="BC3993" s="11"/>
      <c r="BF3993" s="9"/>
      <c r="CF3993" s="12"/>
      <c r="CH3993" s="9"/>
    </row>
    <row r="3994" spans="6:86" x14ac:dyDescent="0.25">
      <c r="F3994" s="9"/>
      <c r="G3994" s="9"/>
      <c r="AA3994" s="10"/>
      <c r="AV3994" s="11"/>
      <c r="AW3994" s="11"/>
      <c r="BB3994" s="9"/>
      <c r="BC3994" s="11"/>
      <c r="BF3994" s="9"/>
      <c r="CF3994" s="12"/>
      <c r="CH3994" s="9"/>
    </row>
    <row r="3995" spans="6:86" x14ac:dyDescent="0.25">
      <c r="F3995" s="9"/>
      <c r="G3995" s="9"/>
      <c r="AA3995" s="10"/>
      <c r="AV3995" s="11"/>
      <c r="AW3995" s="11"/>
      <c r="BB3995" s="9"/>
      <c r="BC3995" s="11"/>
      <c r="BF3995" s="9"/>
      <c r="CF3995" s="12"/>
      <c r="CH3995" s="9"/>
    </row>
    <row r="3996" spans="6:86" x14ac:dyDescent="0.25">
      <c r="F3996" s="9"/>
      <c r="G3996" s="9"/>
      <c r="AA3996" s="10"/>
      <c r="AV3996" s="11"/>
      <c r="AW3996" s="11"/>
      <c r="BB3996" s="9"/>
      <c r="BC3996" s="11"/>
      <c r="BF3996" s="9"/>
      <c r="CF3996" s="12"/>
      <c r="CH3996" s="9"/>
    </row>
    <row r="3997" spans="6:86" x14ac:dyDescent="0.25">
      <c r="F3997" s="9"/>
      <c r="G3997" s="9"/>
      <c r="AA3997" s="10"/>
      <c r="AV3997" s="11"/>
      <c r="AW3997" s="11"/>
      <c r="BB3997" s="9"/>
      <c r="BC3997" s="11"/>
      <c r="BF3997" s="9"/>
      <c r="CF3997" s="12"/>
      <c r="CH3997" s="9"/>
    </row>
    <row r="3998" spans="6:86" x14ac:dyDescent="0.25">
      <c r="F3998" s="9"/>
      <c r="G3998" s="9"/>
      <c r="AA3998" s="10"/>
      <c r="AV3998" s="11"/>
      <c r="AW3998" s="11"/>
      <c r="BB3998" s="9"/>
      <c r="BC3998" s="11"/>
      <c r="BF3998" s="9"/>
      <c r="CF3998" s="12"/>
      <c r="CH3998" s="9"/>
    </row>
    <row r="3999" spans="6:86" x14ac:dyDescent="0.25">
      <c r="F3999" s="9"/>
      <c r="G3999" s="9"/>
      <c r="AA3999" s="10"/>
      <c r="AV3999" s="11"/>
      <c r="AW3999" s="11"/>
      <c r="BB3999" s="9"/>
      <c r="BC3999" s="11"/>
      <c r="BF3999" s="9"/>
      <c r="CF3999" s="12"/>
      <c r="CH3999" s="9"/>
    </row>
    <row r="4000" spans="6:86" x14ac:dyDescent="0.25">
      <c r="F4000" s="9"/>
      <c r="G4000" s="9"/>
      <c r="AA4000" s="10"/>
      <c r="AV4000" s="11"/>
      <c r="AW4000" s="11"/>
      <c r="BB4000" s="9"/>
      <c r="BC4000" s="11"/>
      <c r="BF4000" s="9"/>
      <c r="CH4000" s="9"/>
    </row>
    <row r="4001" spans="6:92" x14ac:dyDescent="0.25">
      <c r="F4001" s="9"/>
      <c r="G4001" s="9"/>
      <c r="U4001" s="12"/>
      <c r="Z4001" s="12"/>
      <c r="AA4001" s="10"/>
      <c r="AV4001" s="11"/>
      <c r="AW4001" s="11"/>
      <c r="BB4001" s="9"/>
      <c r="BC4001" s="11"/>
      <c r="BF4001" s="9"/>
      <c r="CF4001" s="12"/>
      <c r="CH4001" s="9"/>
      <c r="CN4001" s="12"/>
    </row>
    <row r="4002" spans="6:92" x14ac:dyDescent="0.25">
      <c r="F4002" s="9"/>
      <c r="G4002" s="9"/>
      <c r="U4002" s="12"/>
      <c r="Z4002" s="12"/>
      <c r="AA4002" s="10"/>
      <c r="AV4002" s="11"/>
      <c r="AW4002" s="11"/>
      <c r="BB4002" s="9"/>
      <c r="BC4002" s="11"/>
      <c r="BF4002" s="9"/>
      <c r="CF4002" s="12"/>
      <c r="CH4002" s="9"/>
      <c r="CN4002" s="12"/>
    </row>
    <row r="4003" spans="6:92" x14ac:dyDescent="0.25">
      <c r="F4003" s="9"/>
      <c r="G4003" s="9"/>
      <c r="U4003" s="12"/>
      <c r="Z4003" s="12"/>
      <c r="AA4003" s="10"/>
      <c r="AV4003" s="11"/>
      <c r="AW4003" s="11"/>
      <c r="BB4003" s="9"/>
      <c r="BC4003" s="11"/>
      <c r="BF4003" s="9"/>
      <c r="CF4003" s="12"/>
      <c r="CH4003" s="9"/>
      <c r="CN4003" s="12"/>
    </row>
    <row r="4004" spans="6:92" x14ac:dyDescent="0.25">
      <c r="F4004" s="9"/>
      <c r="G4004" s="9"/>
      <c r="AA4004" s="10"/>
      <c r="AV4004" s="11"/>
      <c r="AW4004" s="11"/>
      <c r="BB4004" s="9"/>
      <c r="BC4004" s="11"/>
      <c r="BF4004" s="9"/>
      <c r="CF4004" s="12"/>
      <c r="CH4004" s="9"/>
    </row>
    <row r="4005" spans="6:92" x14ac:dyDescent="0.25">
      <c r="F4005" s="9"/>
      <c r="G4005" s="9"/>
      <c r="AA4005" s="10"/>
      <c r="AV4005" s="11"/>
      <c r="AW4005" s="11"/>
      <c r="BB4005" s="9"/>
      <c r="BC4005" s="11"/>
      <c r="BF4005" s="9"/>
      <c r="CH4005" s="9"/>
    </row>
    <row r="4006" spans="6:92" x14ac:dyDescent="0.25">
      <c r="F4006" s="9"/>
      <c r="G4006" s="9"/>
      <c r="AA4006" s="10"/>
      <c r="AV4006" s="11"/>
      <c r="AW4006" s="11"/>
      <c r="BB4006" s="9"/>
      <c r="BC4006" s="11"/>
      <c r="BF4006" s="9"/>
      <c r="CH4006" s="9"/>
    </row>
    <row r="4007" spans="6:92" x14ac:dyDescent="0.25">
      <c r="F4007" s="9"/>
      <c r="G4007" s="9"/>
      <c r="AA4007" s="10"/>
      <c r="AV4007" s="11"/>
      <c r="AW4007" s="11"/>
      <c r="BB4007" s="9"/>
      <c r="BC4007" s="11"/>
      <c r="BF4007" s="9"/>
      <c r="CF4007" s="12"/>
      <c r="CH4007" s="9"/>
    </row>
    <row r="4008" spans="6:92" x14ac:dyDescent="0.25">
      <c r="F4008" s="9"/>
      <c r="G4008" s="9"/>
      <c r="AA4008" s="10"/>
      <c r="AV4008" s="11"/>
      <c r="AW4008" s="11"/>
      <c r="BB4008" s="9"/>
      <c r="BC4008" s="11"/>
      <c r="BF4008" s="9"/>
      <c r="CF4008" s="12"/>
      <c r="CH4008" s="9"/>
    </row>
    <row r="4009" spans="6:92" x14ac:dyDescent="0.25">
      <c r="F4009" s="9"/>
      <c r="G4009" s="9"/>
      <c r="AA4009" s="10"/>
      <c r="AV4009" s="11"/>
      <c r="AW4009" s="11"/>
      <c r="BB4009" s="9"/>
      <c r="BC4009" s="11"/>
      <c r="BF4009" s="9"/>
      <c r="CF4009" s="12"/>
      <c r="CH4009" s="9"/>
    </row>
    <row r="4010" spans="6:92" x14ac:dyDescent="0.25">
      <c r="F4010" s="9"/>
      <c r="G4010" s="9"/>
      <c r="AA4010" s="10"/>
      <c r="AV4010" s="11"/>
      <c r="AW4010" s="11"/>
      <c r="BB4010" s="9"/>
      <c r="BC4010" s="11"/>
      <c r="BF4010" s="9"/>
      <c r="CF4010" s="12"/>
      <c r="CH4010" s="9"/>
    </row>
    <row r="4011" spans="6:92" x14ac:dyDescent="0.25">
      <c r="F4011" s="9"/>
      <c r="G4011" s="9"/>
      <c r="AA4011" s="10"/>
      <c r="AV4011" s="11"/>
      <c r="AW4011" s="11"/>
      <c r="BB4011" s="9"/>
      <c r="BC4011" s="11"/>
      <c r="BF4011" s="9"/>
      <c r="CF4011" s="12"/>
      <c r="CH4011" s="9"/>
    </row>
    <row r="4012" spans="6:92" x14ac:dyDescent="0.25">
      <c r="F4012" s="9"/>
      <c r="G4012" s="9"/>
      <c r="AA4012" s="10"/>
      <c r="AV4012" s="11"/>
      <c r="AW4012" s="11"/>
      <c r="BB4012" s="9"/>
      <c r="BC4012" s="11"/>
      <c r="BF4012" s="9"/>
      <c r="CF4012" s="12"/>
      <c r="CH4012" s="9"/>
    </row>
    <row r="4013" spans="6:92" x14ac:dyDescent="0.25">
      <c r="F4013" s="9"/>
      <c r="G4013" s="9"/>
      <c r="AA4013" s="10"/>
      <c r="AV4013" s="11"/>
      <c r="AW4013" s="11"/>
      <c r="BB4013" s="9"/>
      <c r="BC4013" s="11"/>
      <c r="BF4013" s="9"/>
      <c r="CF4013" s="12"/>
      <c r="CH4013" s="9"/>
    </row>
    <row r="4014" spans="6:92" x14ac:dyDescent="0.25">
      <c r="F4014" s="9"/>
      <c r="G4014" s="9"/>
      <c r="AA4014" s="10"/>
      <c r="AV4014" s="11"/>
      <c r="AW4014" s="11"/>
      <c r="BB4014" s="9"/>
      <c r="BC4014" s="11"/>
      <c r="BF4014" s="9"/>
      <c r="CF4014" s="12"/>
      <c r="CH4014" s="9"/>
    </row>
    <row r="4015" spans="6:92" x14ac:dyDescent="0.25">
      <c r="F4015" s="9"/>
      <c r="G4015" s="9"/>
      <c r="AA4015" s="10"/>
      <c r="AV4015" s="11"/>
      <c r="AW4015" s="11"/>
      <c r="BB4015" s="9"/>
      <c r="BC4015" s="11"/>
      <c r="BF4015" s="9"/>
      <c r="CF4015" s="12"/>
      <c r="CH4015" s="9"/>
    </row>
    <row r="4016" spans="6:92" x14ac:dyDescent="0.25">
      <c r="F4016" s="9"/>
      <c r="G4016" s="9"/>
      <c r="AA4016" s="10"/>
      <c r="AV4016" s="11"/>
      <c r="AW4016" s="11"/>
      <c r="BB4016" s="9"/>
      <c r="BC4016" s="11"/>
      <c r="BF4016" s="9"/>
      <c r="CF4016" s="12"/>
      <c r="CH4016" s="9"/>
    </row>
    <row r="4017" spans="6:86" x14ac:dyDescent="0.25">
      <c r="F4017" s="9"/>
      <c r="G4017" s="9"/>
      <c r="AA4017" s="10"/>
      <c r="AV4017" s="11"/>
      <c r="AW4017" s="11"/>
      <c r="BB4017" s="9"/>
      <c r="BC4017" s="11"/>
      <c r="BF4017" s="9"/>
      <c r="CF4017" s="12"/>
      <c r="CH4017" s="9"/>
    </row>
    <row r="4018" spans="6:86" x14ac:dyDescent="0.25">
      <c r="F4018" s="9"/>
      <c r="G4018" s="9"/>
      <c r="AA4018" s="10"/>
      <c r="AV4018" s="11"/>
      <c r="AW4018" s="11"/>
      <c r="BB4018" s="9"/>
      <c r="BC4018" s="11"/>
      <c r="BF4018" s="9"/>
      <c r="CF4018" s="12"/>
      <c r="CH4018" s="9"/>
    </row>
    <row r="4019" spans="6:86" x14ac:dyDescent="0.25">
      <c r="F4019" s="9"/>
      <c r="G4019" s="9"/>
      <c r="AA4019" s="10"/>
      <c r="AV4019" s="11"/>
      <c r="AW4019" s="11"/>
      <c r="BB4019" s="9"/>
      <c r="BC4019" s="11"/>
      <c r="BF4019" s="9"/>
      <c r="CF4019" s="12"/>
      <c r="CH4019" s="9"/>
    </row>
    <row r="4020" spans="6:86" x14ac:dyDescent="0.25">
      <c r="F4020" s="9"/>
      <c r="G4020" s="9"/>
      <c r="AA4020" s="10"/>
      <c r="AV4020" s="11"/>
      <c r="AW4020" s="11"/>
      <c r="BB4020" s="9"/>
      <c r="BC4020" s="11"/>
      <c r="BF4020" s="9"/>
      <c r="CF4020" s="12"/>
      <c r="CH4020" s="9"/>
    </row>
    <row r="4021" spans="6:86" x14ac:dyDescent="0.25">
      <c r="F4021" s="9"/>
      <c r="G4021" s="9"/>
      <c r="AA4021" s="10"/>
      <c r="AV4021" s="11"/>
      <c r="AW4021" s="11"/>
      <c r="BB4021" s="9"/>
      <c r="BC4021" s="11"/>
      <c r="BF4021" s="9"/>
      <c r="CF4021" s="12"/>
      <c r="CH4021" s="9"/>
    </row>
    <row r="4022" spans="6:86" x14ac:dyDescent="0.25">
      <c r="F4022" s="9"/>
      <c r="G4022" s="9"/>
      <c r="AA4022" s="10"/>
      <c r="AV4022" s="11"/>
      <c r="AW4022" s="11"/>
      <c r="BB4022" s="9"/>
      <c r="BC4022" s="11"/>
      <c r="BF4022" s="9"/>
      <c r="CF4022" s="12"/>
      <c r="CH4022" s="9"/>
    </row>
    <row r="4023" spans="6:86" x14ac:dyDescent="0.25">
      <c r="F4023" s="9"/>
      <c r="G4023" s="9"/>
      <c r="AA4023" s="10"/>
      <c r="AV4023" s="11"/>
      <c r="AW4023" s="11"/>
      <c r="BB4023" s="9"/>
      <c r="BC4023" s="11"/>
      <c r="BF4023" s="9"/>
      <c r="CF4023" s="12"/>
      <c r="CH4023" s="9"/>
    </row>
    <row r="4024" spans="6:86" x14ac:dyDescent="0.25">
      <c r="F4024" s="9"/>
      <c r="G4024" s="9"/>
      <c r="AA4024" s="10"/>
      <c r="AV4024" s="11"/>
      <c r="AW4024" s="11"/>
      <c r="BB4024" s="9"/>
      <c r="BC4024" s="11"/>
      <c r="BF4024" s="9"/>
      <c r="CF4024" s="12"/>
      <c r="CH4024" s="9"/>
    </row>
    <row r="4025" spans="6:86" x14ac:dyDescent="0.25">
      <c r="F4025" s="9"/>
      <c r="G4025" s="9"/>
      <c r="AA4025" s="10"/>
      <c r="AV4025" s="11"/>
      <c r="AW4025" s="11"/>
      <c r="BB4025" s="9"/>
      <c r="BC4025" s="11"/>
      <c r="BF4025" s="9"/>
      <c r="CF4025" s="12"/>
      <c r="CH4025" s="9"/>
    </row>
    <row r="4026" spans="6:86" x14ac:dyDescent="0.25">
      <c r="F4026" s="9"/>
      <c r="G4026" s="9"/>
      <c r="AA4026" s="10"/>
      <c r="AV4026" s="11"/>
      <c r="AW4026" s="11"/>
      <c r="BB4026" s="9"/>
      <c r="BC4026" s="11"/>
      <c r="BF4026" s="9"/>
      <c r="CF4026" s="12"/>
      <c r="CH4026" s="9"/>
    </row>
    <row r="4027" spans="6:86" x14ac:dyDescent="0.25">
      <c r="F4027" s="9"/>
      <c r="G4027" s="9"/>
      <c r="AA4027" s="10"/>
      <c r="AV4027" s="11"/>
      <c r="AW4027" s="11"/>
      <c r="BB4027" s="9"/>
      <c r="BC4027" s="11"/>
      <c r="BF4027" s="9"/>
      <c r="CF4027" s="12"/>
      <c r="CH4027" s="9"/>
    </row>
    <row r="4028" spans="6:86" x14ac:dyDescent="0.25">
      <c r="F4028" s="9"/>
      <c r="G4028" s="9"/>
      <c r="AA4028" s="10"/>
      <c r="AV4028" s="11"/>
      <c r="AW4028" s="11"/>
      <c r="BB4028" s="9"/>
      <c r="BC4028" s="11"/>
      <c r="BF4028" s="9"/>
      <c r="CF4028" s="12"/>
      <c r="CH4028" s="9"/>
    </row>
    <row r="4029" spans="6:86" x14ac:dyDescent="0.25">
      <c r="F4029" s="9"/>
      <c r="G4029" s="9"/>
      <c r="AA4029" s="10"/>
      <c r="AV4029" s="11"/>
      <c r="AW4029" s="11"/>
      <c r="BB4029" s="9"/>
      <c r="BC4029" s="11"/>
      <c r="BF4029" s="9"/>
      <c r="CF4029" s="12"/>
      <c r="CH4029" s="9"/>
    </row>
    <row r="4030" spans="6:86" x14ac:dyDescent="0.25">
      <c r="F4030" s="9"/>
      <c r="G4030" s="9"/>
      <c r="AA4030" s="10"/>
      <c r="AV4030" s="11"/>
      <c r="AW4030" s="11"/>
      <c r="BB4030" s="9"/>
      <c r="BC4030" s="11"/>
      <c r="BF4030" s="9"/>
      <c r="CH4030" s="9"/>
    </row>
    <row r="4031" spans="6:86" x14ac:dyDescent="0.25">
      <c r="F4031" s="9"/>
      <c r="G4031" s="9"/>
      <c r="AA4031" s="10"/>
      <c r="AV4031" s="11"/>
      <c r="AW4031" s="11"/>
      <c r="BB4031" s="9"/>
      <c r="BC4031" s="11"/>
      <c r="BF4031" s="9"/>
      <c r="CH4031" s="9"/>
    </row>
    <row r="4032" spans="6:86" x14ac:dyDescent="0.25">
      <c r="F4032" s="9"/>
      <c r="G4032" s="9"/>
      <c r="AA4032" s="10"/>
      <c r="AV4032" s="11"/>
      <c r="AW4032" s="11"/>
      <c r="BB4032" s="9"/>
      <c r="BC4032" s="11"/>
      <c r="BF4032" s="9"/>
      <c r="CH4032" s="9"/>
    </row>
    <row r="4033" spans="6:86" x14ac:dyDescent="0.25">
      <c r="F4033" s="9"/>
      <c r="G4033" s="9"/>
      <c r="AA4033" s="10"/>
      <c r="AV4033" s="11"/>
      <c r="AW4033" s="11"/>
      <c r="BB4033" s="9"/>
      <c r="BC4033" s="11"/>
      <c r="BF4033" s="9"/>
      <c r="CF4033" s="12"/>
      <c r="CH4033" s="9"/>
    </row>
    <row r="4034" spans="6:86" x14ac:dyDescent="0.25">
      <c r="F4034" s="9"/>
      <c r="G4034" s="9"/>
      <c r="AA4034" s="10"/>
      <c r="AV4034" s="11"/>
      <c r="AW4034" s="11"/>
      <c r="BB4034" s="9"/>
      <c r="BC4034" s="11"/>
      <c r="BF4034" s="9"/>
      <c r="CF4034" s="12"/>
      <c r="CH4034" s="9"/>
    </row>
    <row r="4035" spans="6:86" x14ac:dyDescent="0.25">
      <c r="F4035" s="9"/>
      <c r="G4035" s="9"/>
      <c r="AA4035" s="10"/>
      <c r="AV4035" s="11"/>
      <c r="AW4035" s="11"/>
      <c r="BB4035" s="9"/>
      <c r="BC4035" s="11"/>
      <c r="BF4035" s="9"/>
      <c r="CF4035" s="12"/>
      <c r="CH4035" s="9"/>
    </row>
    <row r="4036" spans="6:86" x14ac:dyDescent="0.25">
      <c r="F4036" s="9"/>
      <c r="G4036" s="9"/>
      <c r="AA4036" s="10"/>
      <c r="AV4036" s="11"/>
      <c r="AW4036" s="11"/>
      <c r="BB4036" s="9"/>
      <c r="BC4036" s="11"/>
      <c r="BF4036" s="9"/>
      <c r="CF4036" s="12"/>
      <c r="CH4036" s="9"/>
    </row>
    <row r="4037" spans="6:86" x14ac:dyDescent="0.25">
      <c r="F4037" s="9"/>
      <c r="G4037" s="9"/>
      <c r="AA4037" s="10"/>
      <c r="AV4037" s="11"/>
      <c r="AW4037" s="11"/>
      <c r="BB4037" s="9"/>
      <c r="BC4037" s="11"/>
      <c r="BF4037" s="9"/>
      <c r="CF4037" s="12"/>
      <c r="CH4037" s="9"/>
    </row>
    <row r="4038" spans="6:86" x14ac:dyDescent="0.25">
      <c r="F4038" s="9"/>
      <c r="G4038" s="9"/>
      <c r="AA4038" s="10"/>
      <c r="AV4038" s="11"/>
      <c r="AW4038" s="11"/>
      <c r="BB4038" s="9"/>
      <c r="BC4038" s="11"/>
      <c r="BF4038" s="9"/>
      <c r="CF4038" s="12"/>
      <c r="CH4038" s="9"/>
    </row>
    <row r="4039" spans="6:86" x14ac:dyDescent="0.25">
      <c r="F4039" s="9"/>
      <c r="G4039" s="9"/>
      <c r="AA4039" s="10"/>
      <c r="AV4039" s="11"/>
      <c r="AW4039" s="11"/>
      <c r="BB4039" s="9"/>
      <c r="BC4039" s="11"/>
      <c r="BF4039" s="9"/>
      <c r="CF4039" s="12"/>
      <c r="CH4039" s="9"/>
    </row>
    <row r="4040" spans="6:86" x14ac:dyDescent="0.25">
      <c r="F4040" s="9"/>
      <c r="G4040" s="9"/>
      <c r="AA4040" s="10"/>
      <c r="AV4040" s="11"/>
      <c r="AW4040" s="11"/>
      <c r="BB4040" s="9"/>
      <c r="BC4040" s="11"/>
      <c r="BF4040" s="9"/>
      <c r="CF4040" s="12"/>
      <c r="CH4040" s="9"/>
    </row>
    <row r="4041" spans="6:86" x14ac:dyDescent="0.25">
      <c r="F4041" s="9"/>
      <c r="G4041" s="9"/>
      <c r="AA4041" s="10"/>
      <c r="AV4041" s="11"/>
      <c r="AW4041" s="11"/>
      <c r="BB4041" s="9"/>
      <c r="BC4041" s="11"/>
      <c r="BF4041" s="9"/>
      <c r="CF4041" s="12"/>
      <c r="CH4041" s="9"/>
    </row>
    <row r="4042" spans="6:86" x14ac:dyDescent="0.25">
      <c r="F4042" s="9"/>
      <c r="G4042" s="9"/>
      <c r="AA4042" s="10"/>
      <c r="AV4042" s="11"/>
      <c r="AW4042" s="11"/>
      <c r="BB4042" s="9"/>
      <c r="BC4042" s="11"/>
      <c r="BF4042" s="9"/>
      <c r="CF4042" s="12"/>
      <c r="CH4042" s="9"/>
    </row>
    <row r="4043" spans="6:86" x14ac:dyDescent="0.25">
      <c r="F4043" s="9"/>
      <c r="G4043" s="9"/>
      <c r="AA4043" s="10"/>
      <c r="AV4043" s="11"/>
      <c r="AW4043" s="11"/>
      <c r="BB4043" s="9"/>
      <c r="BC4043" s="11"/>
      <c r="BF4043" s="9"/>
      <c r="CF4043" s="12"/>
      <c r="CH4043" s="9"/>
    </row>
    <row r="4044" spans="6:86" x14ac:dyDescent="0.25">
      <c r="F4044" s="9"/>
      <c r="G4044" s="9"/>
      <c r="AA4044" s="10"/>
      <c r="AV4044" s="11"/>
      <c r="AW4044" s="11"/>
      <c r="BB4044" s="9"/>
      <c r="BC4044" s="11"/>
      <c r="BF4044" s="9"/>
      <c r="CF4044" s="12"/>
      <c r="CH4044" s="9"/>
    </row>
    <row r="4045" spans="6:86" x14ac:dyDescent="0.25">
      <c r="F4045" s="9"/>
      <c r="G4045" s="9"/>
      <c r="AA4045" s="10"/>
      <c r="AV4045" s="11"/>
      <c r="AW4045" s="11"/>
      <c r="BB4045" s="9"/>
      <c r="BC4045" s="11"/>
      <c r="BF4045" s="9"/>
      <c r="CF4045" s="12"/>
      <c r="CH4045" s="9"/>
    </row>
    <row r="4046" spans="6:86" x14ac:dyDescent="0.25">
      <c r="F4046" s="9"/>
      <c r="G4046" s="9"/>
      <c r="AA4046" s="10"/>
      <c r="AV4046" s="11"/>
      <c r="AW4046" s="11"/>
      <c r="BB4046" s="9"/>
      <c r="BC4046" s="11"/>
      <c r="BF4046" s="9"/>
      <c r="CF4046" s="12"/>
      <c r="CH4046" s="9"/>
    </row>
    <row r="4047" spans="6:86" x14ac:dyDescent="0.25">
      <c r="F4047" s="9"/>
      <c r="G4047" s="9"/>
      <c r="AA4047" s="10"/>
      <c r="AV4047" s="11"/>
      <c r="AW4047" s="11"/>
      <c r="BB4047" s="9"/>
      <c r="BC4047" s="11"/>
      <c r="BF4047" s="9"/>
      <c r="CF4047" s="12"/>
      <c r="CH4047" s="9"/>
    </row>
    <row r="4048" spans="6:86" x14ac:dyDescent="0.25">
      <c r="F4048" s="9"/>
      <c r="G4048" s="9"/>
      <c r="AA4048" s="10"/>
      <c r="AV4048" s="11"/>
      <c r="AW4048" s="11"/>
      <c r="BB4048" s="9"/>
      <c r="BC4048" s="11"/>
      <c r="BF4048" s="9"/>
      <c r="CF4048" s="12"/>
      <c r="CH4048" s="9"/>
    </row>
    <row r="4049" spans="6:92" x14ac:dyDescent="0.25">
      <c r="F4049" s="9"/>
      <c r="G4049" s="9"/>
      <c r="AA4049" s="10"/>
      <c r="AV4049" s="11"/>
      <c r="AW4049" s="11"/>
      <c r="BB4049" s="9"/>
      <c r="BC4049" s="11"/>
      <c r="BF4049" s="9"/>
      <c r="CF4049" s="12"/>
      <c r="CH4049" s="9"/>
    </row>
    <row r="4050" spans="6:92" x14ac:dyDescent="0.25">
      <c r="F4050" s="9"/>
      <c r="G4050" s="9"/>
      <c r="AA4050" s="10"/>
      <c r="AV4050" s="11"/>
      <c r="AW4050" s="11"/>
      <c r="BB4050" s="9"/>
      <c r="BC4050" s="11"/>
      <c r="BF4050" s="9"/>
      <c r="CF4050" s="12"/>
      <c r="CH4050" s="9"/>
    </row>
    <row r="4051" spans="6:92" x14ac:dyDescent="0.25">
      <c r="F4051" s="9"/>
      <c r="G4051" s="9"/>
      <c r="AA4051" s="10"/>
      <c r="AV4051" s="11"/>
      <c r="AW4051" s="11"/>
      <c r="BB4051" s="9"/>
      <c r="BC4051" s="11"/>
      <c r="BF4051" s="9"/>
      <c r="CF4051" s="12"/>
      <c r="CH4051" s="9"/>
    </row>
    <row r="4052" spans="6:92" x14ac:dyDescent="0.25">
      <c r="F4052" s="9"/>
      <c r="G4052" s="9"/>
      <c r="U4052" s="12"/>
      <c r="AA4052" s="10"/>
      <c r="AV4052" s="11"/>
      <c r="AW4052" s="11"/>
      <c r="BB4052" s="9"/>
      <c r="BC4052" s="11"/>
      <c r="BF4052" s="9"/>
      <c r="CF4052" s="12"/>
      <c r="CH4052" s="9"/>
      <c r="CN4052" s="12"/>
    </row>
    <row r="4053" spans="6:92" x14ac:dyDescent="0.25">
      <c r="F4053" s="9"/>
      <c r="G4053" s="9"/>
      <c r="AA4053" s="10"/>
      <c r="AV4053" s="11"/>
      <c r="AW4053" s="11"/>
      <c r="BB4053" s="9"/>
      <c r="BC4053" s="11"/>
      <c r="BF4053" s="9"/>
      <c r="CF4053" s="12"/>
      <c r="CH4053" s="9"/>
    </row>
    <row r="4054" spans="6:92" x14ac:dyDescent="0.25">
      <c r="F4054" s="9"/>
      <c r="G4054" s="9"/>
      <c r="AA4054" s="10"/>
      <c r="AV4054" s="11"/>
      <c r="AW4054" s="11"/>
      <c r="BB4054" s="9"/>
      <c r="BC4054" s="11"/>
      <c r="BF4054" s="9"/>
      <c r="CF4054" s="12"/>
      <c r="CH4054" s="9"/>
    </row>
    <row r="4055" spans="6:92" x14ac:dyDescent="0.25">
      <c r="F4055" s="9"/>
      <c r="G4055" s="9"/>
      <c r="AA4055" s="10"/>
      <c r="AV4055" s="11"/>
      <c r="AW4055" s="11"/>
      <c r="BB4055" s="9"/>
      <c r="BC4055" s="11"/>
      <c r="BF4055" s="9"/>
      <c r="CF4055" s="12"/>
      <c r="CH4055" s="9"/>
    </row>
    <row r="4056" spans="6:92" x14ac:dyDescent="0.25">
      <c r="F4056" s="9"/>
      <c r="G4056" s="9"/>
      <c r="AA4056" s="10"/>
      <c r="AV4056" s="11"/>
      <c r="AW4056" s="11"/>
      <c r="BB4056" s="9"/>
      <c r="BC4056" s="11"/>
      <c r="BF4056" s="9"/>
      <c r="CF4056" s="12"/>
      <c r="CH4056" s="9"/>
    </row>
    <row r="4057" spans="6:92" x14ac:dyDescent="0.25">
      <c r="F4057" s="9"/>
      <c r="G4057" s="9"/>
      <c r="AA4057" s="10"/>
      <c r="AV4057" s="11"/>
      <c r="AW4057" s="11"/>
      <c r="BB4057" s="9"/>
      <c r="BC4057" s="11"/>
      <c r="BF4057" s="9"/>
      <c r="CF4057" s="12"/>
      <c r="CH4057" s="9"/>
    </row>
    <row r="4058" spans="6:92" x14ac:dyDescent="0.25">
      <c r="F4058" s="9"/>
      <c r="G4058" s="9"/>
      <c r="AA4058" s="10"/>
      <c r="AV4058" s="11"/>
      <c r="AW4058" s="11"/>
      <c r="BB4058" s="9"/>
      <c r="BC4058" s="11"/>
      <c r="BF4058" s="9"/>
      <c r="CF4058" s="12"/>
      <c r="CH4058" s="9"/>
    </row>
    <row r="4059" spans="6:92" x14ac:dyDescent="0.25">
      <c r="F4059" s="9"/>
      <c r="G4059" s="9"/>
      <c r="AA4059" s="10"/>
      <c r="AV4059" s="11"/>
      <c r="AW4059" s="11"/>
      <c r="BB4059" s="9"/>
      <c r="BC4059" s="11"/>
      <c r="BF4059" s="9"/>
      <c r="CF4059" s="12"/>
      <c r="CH4059" s="9"/>
    </row>
    <row r="4060" spans="6:92" x14ac:dyDescent="0.25">
      <c r="F4060" s="9"/>
      <c r="G4060" s="9"/>
      <c r="AA4060" s="10"/>
      <c r="AV4060" s="11"/>
      <c r="AW4060" s="11"/>
      <c r="BB4060" s="9"/>
      <c r="BC4060" s="11"/>
      <c r="BF4060" s="9"/>
      <c r="CF4060" s="12"/>
      <c r="CH4060" s="9"/>
    </row>
    <row r="4061" spans="6:92" x14ac:dyDescent="0.25">
      <c r="F4061" s="9"/>
      <c r="G4061" s="9"/>
      <c r="AA4061" s="10"/>
      <c r="AV4061" s="11"/>
      <c r="AW4061" s="11"/>
      <c r="BB4061" s="9"/>
      <c r="BC4061" s="11"/>
      <c r="BF4061" s="9"/>
      <c r="CF4061" s="12"/>
      <c r="CH4061" s="9"/>
    </row>
    <row r="4062" spans="6:92" x14ac:dyDescent="0.25">
      <c r="F4062" s="9"/>
      <c r="G4062" s="9"/>
      <c r="AA4062" s="10"/>
      <c r="AV4062" s="11"/>
      <c r="AW4062" s="11"/>
      <c r="BB4062" s="9"/>
      <c r="BC4062" s="11"/>
      <c r="BF4062" s="9"/>
      <c r="CF4062" s="12"/>
      <c r="CH4062" s="9"/>
    </row>
    <row r="4063" spans="6:92" x14ac:dyDescent="0.25">
      <c r="F4063" s="9"/>
      <c r="G4063" s="9"/>
      <c r="AA4063" s="10"/>
      <c r="AV4063" s="11"/>
      <c r="AW4063" s="11"/>
      <c r="BB4063" s="9"/>
      <c r="BC4063" s="11"/>
      <c r="BF4063" s="9"/>
      <c r="CF4063" s="12"/>
      <c r="CH4063" s="9"/>
    </row>
    <row r="4064" spans="6:92" x14ac:dyDescent="0.25">
      <c r="F4064" s="9"/>
      <c r="G4064" s="9"/>
      <c r="AA4064" s="10"/>
      <c r="AV4064" s="11"/>
      <c r="AW4064" s="11"/>
      <c r="BB4064" s="9"/>
      <c r="BC4064" s="11"/>
      <c r="BF4064" s="9"/>
      <c r="CF4064" s="12"/>
      <c r="CH4064" s="9"/>
    </row>
    <row r="4065" spans="6:92" x14ac:dyDescent="0.25">
      <c r="F4065" s="9"/>
      <c r="G4065" s="9"/>
      <c r="AA4065" s="10"/>
      <c r="AV4065" s="11"/>
      <c r="AW4065" s="11"/>
      <c r="BB4065" s="9"/>
      <c r="BC4065" s="11"/>
      <c r="BF4065" s="9"/>
      <c r="CF4065" s="12"/>
      <c r="CH4065" s="9"/>
    </row>
    <row r="4066" spans="6:92" x14ac:dyDescent="0.25">
      <c r="F4066" s="9"/>
      <c r="G4066" s="9"/>
      <c r="AA4066" s="10"/>
      <c r="AV4066" s="11"/>
      <c r="AW4066" s="11"/>
      <c r="BB4066" s="9"/>
      <c r="BC4066" s="11"/>
      <c r="BF4066" s="9"/>
      <c r="CF4066" s="12"/>
      <c r="CH4066" s="9"/>
    </row>
    <row r="4067" spans="6:92" x14ac:dyDescent="0.25">
      <c r="F4067" s="9"/>
      <c r="G4067" s="9"/>
      <c r="AA4067" s="10"/>
      <c r="AV4067" s="11"/>
      <c r="AW4067" s="11"/>
      <c r="BB4067" s="9"/>
      <c r="BC4067" s="11"/>
      <c r="BF4067" s="9"/>
      <c r="CF4067" s="12"/>
      <c r="CH4067" s="9"/>
    </row>
    <row r="4068" spans="6:92" x14ac:dyDescent="0.25">
      <c r="F4068" s="9"/>
      <c r="G4068" s="9"/>
      <c r="AA4068" s="10"/>
      <c r="AV4068" s="11"/>
      <c r="AW4068" s="11"/>
      <c r="BB4068" s="9"/>
      <c r="BC4068" s="11"/>
      <c r="BF4068" s="9"/>
      <c r="CF4068" s="12"/>
      <c r="CH4068" s="9"/>
    </row>
    <row r="4069" spans="6:92" x14ac:dyDescent="0.25">
      <c r="F4069" s="9"/>
      <c r="G4069" s="9"/>
      <c r="AA4069" s="10"/>
      <c r="AV4069" s="11"/>
      <c r="AW4069" s="11"/>
      <c r="BB4069" s="9"/>
      <c r="BC4069" s="11"/>
      <c r="BF4069" s="9"/>
      <c r="CF4069" s="12"/>
      <c r="CH4069" s="9"/>
    </row>
    <row r="4070" spans="6:92" x14ac:dyDescent="0.25">
      <c r="F4070" s="9"/>
      <c r="G4070" s="9"/>
      <c r="AA4070" s="10"/>
      <c r="AV4070" s="11"/>
      <c r="AW4070" s="11"/>
      <c r="BB4070" s="9"/>
      <c r="BC4070" s="11"/>
      <c r="BF4070" s="9"/>
      <c r="CF4070" s="12"/>
      <c r="CH4070" s="9"/>
    </row>
    <row r="4071" spans="6:92" x14ac:dyDescent="0.25">
      <c r="F4071" s="9"/>
      <c r="G4071" s="9"/>
      <c r="AA4071" s="10"/>
      <c r="AV4071" s="11"/>
      <c r="AW4071" s="11"/>
      <c r="BB4071" s="9"/>
      <c r="BC4071" s="11"/>
      <c r="BF4071" s="9"/>
      <c r="CF4071" s="12"/>
      <c r="CH4071" s="9"/>
    </row>
    <row r="4072" spans="6:92" x14ac:dyDescent="0.25">
      <c r="F4072" s="9"/>
      <c r="G4072" s="9"/>
      <c r="AA4072" s="10"/>
      <c r="AV4072" s="11"/>
      <c r="AW4072" s="11"/>
      <c r="BB4072" s="9"/>
      <c r="BC4072" s="11"/>
      <c r="BF4072" s="9"/>
      <c r="CF4072" s="12"/>
      <c r="CH4072" s="9"/>
    </row>
    <row r="4073" spans="6:92" x14ac:dyDescent="0.25">
      <c r="F4073" s="9"/>
      <c r="G4073" s="9"/>
      <c r="AA4073" s="10"/>
      <c r="AV4073" s="11"/>
      <c r="AW4073" s="11"/>
      <c r="BB4073" s="9"/>
      <c r="BC4073" s="11"/>
      <c r="BF4073" s="9"/>
      <c r="CF4073" s="12"/>
      <c r="CH4073" s="9"/>
    </row>
    <row r="4074" spans="6:92" x14ac:dyDescent="0.25">
      <c r="F4074" s="9"/>
      <c r="G4074" s="9"/>
      <c r="AA4074" s="10"/>
      <c r="AV4074" s="11"/>
      <c r="AW4074" s="11"/>
      <c r="BB4074" s="9"/>
      <c r="BC4074" s="11"/>
      <c r="BF4074" s="9"/>
      <c r="CF4074" s="12"/>
      <c r="CH4074" s="9"/>
    </row>
    <row r="4075" spans="6:92" x14ac:dyDescent="0.25">
      <c r="F4075" s="9"/>
      <c r="G4075" s="9"/>
      <c r="AA4075" s="10"/>
      <c r="AV4075" s="11"/>
      <c r="AW4075" s="11"/>
      <c r="BB4075" s="9"/>
      <c r="BC4075" s="11"/>
      <c r="BF4075" s="9"/>
      <c r="CF4075" s="12"/>
      <c r="CH4075" s="9"/>
      <c r="CN4075" s="12"/>
    </row>
    <row r="4076" spans="6:92" x14ac:dyDescent="0.25">
      <c r="F4076" s="9"/>
      <c r="G4076" s="9"/>
      <c r="AA4076" s="10"/>
      <c r="AV4076" s="11"/>
      <c r="AW4076" s="11"/>
      <c r="BB4076" s="9"/>
      <c r="BC4076" s="11"/>
      <c r="BF4076" s="9"/>
      <c r="CF4076" s="12"/>
      <c r="CH4076" s="9"/>
    </row>
    <row r="4077" spans="6:92" x14ac:dyDescent="0.25">
      <c r="F4077" s="9"/>
      <c r="G4077" s="9"/>
      <c r="AA4077" s="10"/>
      <c r="AV4077" s="11"/>
      <c r="AW4077" s="11"/>
      <c r="BB4077" s="9"/>
      <c r="BC4077" s="11"/>
      <c r="BF4077" s="9"/>
      <c r="CF4077" s="12"/>
      <c r="CH4077" s="9"/>
    </row>
    <row r="4078" spans="6:92" x14ac:dyDescent="0.25">
      <c r="F4078" s="9"/>
      <c r="G4078" s="9"/>
      <c r="AA4078" s="10"/>
      <c r="AV4078" s="11"/>
      <c r="AW4078" s="11"/>
      <c r="BB4078" s="9"/>
      <c r="BC4078" s="11"/>
      <c r="BF4078" s="9"/>
      <c r="CF4078" s="12"/>
      <c r="CH4078" s="9"/>
    </row>
    <row r="4079" spans="6:92" x14ac:dyDescent="0.25">
      <c r="F4079" s="9"/>
      <c r="G4079" s="9"/>
      <c r="AA4079" s="10"/>
      <c r="AV4079" s="11"/>
      <c r="AW4079" s="11"/>
      <c r="BB4079" s="9"/>
      <c r="BC4079" s="11"/>
      <c r="BF4079" s="9"/>
      <c r="CF4079" s="12"/>
      <c r="CH4079" s="9"/>
    </row>
    <row r="4080" spans="6:92" x14ac:dyDescent="0.25">
      <c r="F4080" s="9"/>
      <c r="G4080" s="9"/>
      <c r="AA4080" s="10"/>
      <c r="AV4080" s="11"/>
      <c r="AW4080" s="11"/>
      <c r="BB4080" s="9"/>
      <c r="BC4080" s="11"/>
      <c r="BF4080" s="9"/>
      <c r="CF4080" s="12"/>
      <c r="CH4080" s="9"/>
    </row>
    <row r="4081" spans="6:86" x14ac:dyDescent="0.25">
      <c r="F4081" s="9"/>
      <c r="G4081" s="9"/>
      <c r="AA4081" s="10"/>
      <c r="AV4081" s="11"/>
      <c r="AW4081" s="11"/>
      <c r="BB4081" s="9"/>
      <c r="BC4081" s="11"/>
      <c r="BF4081" s="9"/>
      <c r="CH4081" s="9"/>
    </row>
    <row r="4082" spans="6:86" x14ac:dyDescent="0.25">
      <c r="F4082" s="9"/>
      <c r="G4082" s="9"/>
      <c r="AA4082" s="10"/>
      <c r="AV4082" s="11"/>
      <c r="AW4082" s="11"/>
      <c r="BB4082" s="9"/>
      <c r="BC4082" s="11"/>
      <c r="BF4082" s="9"/>
      <c r="CF4082" s="12"/>
      <c r="CH4082" s="9"/>
    </row>
    <row r="4083" spans="6:86" x14ac:dyDescent="0.25">
      <c r="F4083" s="9"/>
      <c r="G4083" s="9"/>
      <c r="AA4083" s="10"/>
      <c r="AV4083" s="11"/>
      <c r="AW4083" s="11"/>
      <c r="BB4083" s="9"/>
      <c r="BC4083" s="11"/>
      <c r="BF4083" s="9"/>
      <c r="CF4083" s="12"/>
      <c r="CH4083" s="9"/>
    </row>
    <row r="4084" spans="6:86" x14ac:dyDescent="0.25">
      <c r="F4084" s="9"/>
      <c r="G4084" s="9"/>
      <c r="AA4084" s="10"/>
      <c r="AV4084" s="11"/>
      <c r="AW4084" s="11"/>
      <c r="BB4084" s="9"/>
      <c r="BC4084" s="11"/>
      <c r="BF4084" s="9"/>
      <c r="CF4084" s="12"/>
      <c r="CH4084" s="9"/>
    </row>
    <row r="4085" spans="6:86" x14ac:dyDescent="0.25">
      <c r="F4085" s="9"/>
      <c r="G4085" s="9"/>
      <c r="AA4085" s="10"/>
      <c r="AV4085" s="11"/>
      <c r="AW4085" s="11"/>
      <c r="BB4085" s="9"/>
      <c r="BC4085" s="11"/>
      <c r="BF4085" s="9"/>
      <c r="CF4085" s="12"/>
      <c r="CH4085" s="9"/>
    </row>
    <row r="4086" spans="6:86" x14ac:dyDescent="0.25">
      <c r="F4086" s="9"/>
      <c r="G4086" s="9"/>
      <c r="AA4086" s="10"/>
      <c r="AV4086" s="11"/>
      <c r="AW4086" s="11"/>
      <c r="BB4086" s="9"/>
      <c r="BC4086" s="11"/>
      <c r="BF4086" s="9"/>
      <c r="CF4086" s="12"/>
      <c r="CH4086" s="9"/>
    </row>
    <row r="4087" spans="6:86" x14ac:dyDescent="0.25">
      <c r="F4087" s="9"/>
      <c r="G4087" s="9"/>
      <c r="AA4087" s="10"/>
      <c r="AV4087" s="11"/>
      <c r="AW4087" s="11"/>
      <c r="BB4087" s="9"/>
      <c r="BC4087" s="11"/>
      <c r="BF4087" s="9"/>
      <c r="CF4087" s="12"/>
      <c r="CH4087" s="9"/>
    </row>
    <row r="4088" spans="6:86" x14ac:dyDescent="0.25">
      <c r="F4088" s="9"/>
      <c r="G4088" s="9"/>
      <c r="AA4088" s="10"/>
      <c r="AV4088" s="11"/>
      <c r="AW4088" s="11"/>
      <c r="BB4088" s="9"/>
      <c r="BC4088" s="11"/>
      <c r="BF4088" s="9"/>
      <c r="CF4088" s="12"/>
      <c r="CH4088" s="9"/>
    </row>
    <row r="4089" spans="6:86" x14ac:dyDescent="0.25">
      <c r="F4089" s="9"/>
      <c r="G4089" s="9"/>
      <c r="AA4089" s="10"/>
      <c r="AV4089" s="11"/>
      <c r="AW4089" s="11"/>
      <c r="BB4089" s="9"/>
      <c r="BC4089" s="11"/>
      <c r="BF4089" s="9"/>
      <c r="CF4089" s="12"/>
      <c r="CH4089" s="9"/>
    </row>
    <row r="4090" spans="6:86" x14ac:dyDescent="0.25">
      <c r="F4090" s="9"/>
      <c r="G4090" s="9"/>
      <c r="AA4090" s="10"/>
      <c r="AV4090" s="11"/>
      <c r="AW4090" s="11"/>
      <c r="BB4090" s="9"/>
      <c r="BC4090" s="11"/>
      <c r="BF4090" s="9"/>
      <c r="CF4090" s="12"/>
      <c r="CH4090" s="9"/>
    </row>
    <row r="4091" spans="6:86" x14ac:dyDescent="0.25">
      <c r="F4091" s="9"/>
      <c r="G4091" s="9"/>
      <c r="AA4091" s="10"/>
      <c r="AV4091" s="11"/>
      <c r="AW4091" s="11"/>
      <c r="BB4091" s="9"/>
      <c r="BC4091" s="11"/>
      <c r="BF4091" s="9"/>
      <c r="CF4091" s="12"/>
      <c r="CH4091" s="9"/>
    </row>
    <row r="4092" spans="6:86" x14ac:dyDescent="0.25">
      <c r="F4092" s="9"/>
      <c r="G4092" s="9"/>
      <c r="AA4092" s="10"/>
      <c r="AV4092" s="11"/>
      <c r="AW4092" s="11"/>
      <c r="BB4092" s="9"/>
      <c r="BC4092" s="11"/>
      <c r="BF4092" s="9"/>
      <c r="CF4092" s="12"/>
      <c r="CH4092" s="9"/>
    </row>
    <row r="4093" spans="6:86" x14ac:dyDescent="0.25">
      <c r="F4093" s="9"/>
      <c r="G4093" s="9"/>
      <c r="AA4093" s="10"/>
      <c r="AV4093" s="11"/>
      <c r="AW4093" s="11"/>
      <c r="BB4093" s="9"/>
      <c r="BC4093" s="11"/>
      <c r="BF4093" s="9"/>
      <c r="CH4093" s="9"/>
    </row>
    <row r="4094" spans="6:86" x14ac:dyDescent="0.25">
      <c r="F4094" s="9"/>
      <c r="G4094" s="9"/>
      <c r="AA4094" s="10"/>
      <c r="AV4094" s="11"/>
      <c r="AW4094" s="11"/>
      <c r="BB4094" s="9"/>
      <c r="BC4094" s="11"/>
      <c r="BF4094" s="9"/>
      <c r="CF4094" s="12"/>
      <c r="CH4094" s="9"/>
    </row>
    <row r="4095" spans="6:86" x14ac:dyDescent="0.25">
      <c r="F4095" s="9"/>
      <c r="G4095" s="9"/>
      <c r="AA4095" s="10"/>
      <c r="AV4095" s="11"/>
      <c r="AW4095" s="11"/>
      <c r="BB4095" s="9"/>
      <c r="BC4095" s="11"/>
      <c r="BF4095" s="9"/>
      <c r="CF4095" s="12"/>
      <c r="CH4095" s="9"/>
    </row>
    <row r="4096" spans="6:86" x14ac:dyDescent="0.25">
      <c r="F4096" s="9"/>
      <c r="G4096" s="9"/>
      <c r="AA4096" s="10"/>
      <c r="AV4096" s="11"/>
      <c r="AW4096" s="11"/>
      <c r="BB4096" s="9"/>
      <c r="BC4096" s="11"/>
      <c r="BF4096" s="9"/>
      <c r="CF4096" s="12"/>
      <c r="CH4096" s="9"/>
    </row>
    <row r="4097" spans="6:86" x14ac:dyDescent="0.25">
      <c r="F4097" s="9"/>
      <c r="G4097" s="9"/>
      <c r="AA4097" s="10"/>
      <c r="AV4097" s="11"/>
      <c r="AW4097" s="11"/>
      <c r="BB4097" s="9"/>
      <c r="BC4097" s="11"/>
      <c r="BF4097" s="9"/>
      <c r="CH4097" s="9"/>
    </row>
    <row r="4098" spans="6:86" x14ac:dyDescent="0.25">
      <c r="F4098" s="9"/>
      <c r="G4098" s="9"/>
      <c r="AA4098" s="10"/>
      <c r="AV4098" s="11"/>
      <c r="AW4098" s="11"/>
      <c r="BB4098" s="9"/>
      <c r="BC4098" s="11"/>
      <c r="BF4098" s="9"/>
      <c r="CF4098" s="12"/>
      <c r="CH4098" s="9"/>
    </row>
    <row r="4099" spans="6:86" x14ac:dyDescent="0.25">
      <c r="F4099" s="9"/>
      <c r="G4099" s="9"/>
      <c r="AA4099" s="10"/>
      <c r="AV4099" s="11"/>
      <c r="AW4099" s="11"/>
      <c r="BB4099" s="9"/>
      <c r="BC4099" s="11"/>
      <c r="BF4099" s="9"/>
      <c r="CF4099" s="12"/>
      <c r="CH4099" s="9"/>
    </row>
    <row r="4100" spans="6:86" x14ac:dyDescent="0.25">
      <c r="F4100" s="9"/>
      <c r="G4100" s="9"/>
      <c r="AA4100" s="10"/>
      <c r="AV4100" s="11"/>
      <c r="AW4100" s="11"/>
      <c r="BB4100" s="9"/>
      <c r="BC4100" s="11"/>
      <c r="BF4100" s="9"/>
      <c r="CF4100" s="12"/>
      <c r="CH4100" s="9"/>
    </row>
    <row r="4101" spans="6:86" x14ac:dyDescent="0.25">
      <c r="F4101" s="9"/>
      <c r="G4101" s="9"/>
      <c r="AA4101" s="10"/>
      <c r="AV4101" s="11"/>
      <c r="AW4101" s="11"/>
      <c r="BB4101" s="9"/>
      <c r="BC4101" s="11"/>
      <c r="BF4101" s="9"/>
      <c r="CF4101" s="12"/>
      <c r="CH4101" s="9"/>
    </row>
    <row r="4102" spans="6:86" x14ac:dyDescent="0.25">
      <c r="F4102" s="9"/>
      <c r="G4102" s="9"/>
      <c r="AA4102" s="10"/>
      <c r="AV4102" s="11"/>
      <c r="AW4102" s="11"/>
      <c r="BB4102" s="9"/>
      <c r="BC4102" s="11"/>
      <c r="BF4102" s="9"/>
      <c r="CF4102" s="12"/>
      <c r="CH4102" s="9"/>
    </row>
    <row r="4103" spans="6:86" x14ac:dyDescent="0.25">
      <c r="F4103" s="9"/>
      <c r="G4103" s="9"/>
      <c r="AA4103" s="10"/>
      <c r="AV4103" s="11"/>
      <c r="AW4103" s="11"/>
      <c r="BB4103" s="9"/>
      <c r="BC4103" s="11"/>
      <c r="BF4103" s="9"/>
      <c r="CF4103" s="12"/>
      <c r="CH4103" s="9"/>
    </row>
    <row r="4104" spans="6:86" x14ac:dyDescent="0.25">
      <c r="F4104" s="9"/>
      <c r="G4104" s="9"/>
      <c r="AA4104" s="10"/>
      <c r="AV4104" s="11"/>
      <c r="AW4104" s="11"/>
      <c r="BB4104" s="9"/>
      <c r="BC4104" s="11"/>
      <c r="BF4104" s="9"/>
      <c r="CF4104" s="12"/>
      <c r="CH4104" s="9"/>
    </row>
    <row r="4105" spans="6:86" x14ac:dyDescent="0.25">
      <c r="F4105" s="9"/>
      <c r="G4105" s="9"/>
      <c r="AA4105" s="10"/>
      <c r="AV4105" s="11"/>
      <c r="AW4105" s="11"/>
      <c r="BB4105" s="9"/>
      <c r="BC4105" s="11"/>
      <c r="BF4105" s="9"/>
      <c r="CF4105" s="12"/>
      <c r="CH4105" s="9"/>
    </row>
    <row r="4106" spans="6:86" x14ac:dyDescent="0.25">
      <c r="F4106" s="9"/>
      <c r="G4106" s="9"/>
      <c r="AA4106" s="10"/>
      <c r="AV4106" s="11"/>
      <c r="AW4106" s="11"/>
      <c r="BB4106" s="9"/>
      <c r="BC4106" s="11"/>
      <c r="BF4106" s="9"/>
      <c r="CF4106" s="12"/>
      <c r="CH4106" s="9"/>
    </row>
    <row r="4107" spans="6:86" x14ac:dyDescent="0.25">
      <c r="F4107" s="9"/>
      <c r="G4107" s="9"/>
      <c r="AA4107" s="10"/>
      <c r="AV4107" s="11"/>
      <c r="AW4107" s="11"/>
      <c r="BB4107" s="9"/>
      <c r="BC4107" s="11"/>
      <c r="BF4107" s="9"/>
      <c r="CF4107" s="12"/>
      <c r="CH4107" s="9"/>
    </row>
    <row r="4108" spans="6:86" x14ac:dyDescent="0.25">
      <c r="F4108" s="9"/>
      <c r="G4108" s="9"/>
      <c r="AA4108" s="10"/>
      <c r="AV4108" s="11"/>
      <c r="AW4108" s="11"/>
      <c r="BB4108" s="9"/>
      <c r="BC4108" s="11"/>
      <c r="BF4108" s="9"/>
      <c r="CF4108" s="12"/>
      <c r="CH4108" s="9"/>
    </row>
    <row r="4109" spans="6:86" x14ac:dyDescent="0.25">
      <c r="F4109" s="9"/>
      <c r="G4109" s="9"/>
      <c r="AA4109" s="10"/>
      <c r="AV4109" s="11"/>
      <c r="AW4109" s="11"/>
      <c r="BB4109" s="9"/>
      <c r="BC4109" s="11"/>
      <c r="BF4109" s="9"/>
      <c r="CF4109" s="12"/>
      <c r="CH4109" s="9"/>
    </row>
    <row r="4110" spans="6:86" x14ac:dyDescent="0.25">
      <c r="F4110" s="9"/>
      <c r="G4110" s="9"/>
      <c r="AA4110" s="10"/>
      <c r="AV4110" s="11"/>
      <c r="AW4110" s="11"/>
      <c r="BB4110" s="9"/>
      <c r="BC4110" s="11"/>
      <c r="BF4110" s="9"/>
      <c r="CH4110" s="9"/>
    </row>
    <row r="4111" spans="6:86" x14ac:dyDescent="0.25">
      <c r="F4111" s="9"/>
      <c r="G4111" s="9"/>
      <c r="AA4111" s="10"/>
      <c r="AV4111" s="11"/>
      <c r="AW4111" s="11"/>
      <c r="BB4111" s="9"/>
      <c r="BC4111" s="11"/>
      <c r="BF4111" s="9"/>
      <c r="CF4111" s="12"/>
      <c r="CH4111" s="9"/>
    </row>
    <row r="4112" spans="6:86" x14ac:dyDescent="0.25">
      <c r="F4112" s="9"/>
      <c r="G4112" s="9"/>
      <c r="AA4112" s="10"/>
      <c r="AV4112" s="11"/>
      <c r="AW4112" s="11"/>
      <c r="BB4112" s="9"/>
      <c r="BC4112" s="11"/>
      <c r="BF4112" s="9"/>
      <c r="CF4112" s="12"/>
      <c r="CH4112" s="9"/>
    </row>
    <row r="4113" spans="6:86" x14ac:dyDescent="0.25">
      <c r="F4113" s="9"/>
      <c r="G4113" s="9"/>
      <c r="AA4113" s="10"/>
      <c r="AV4113" s="11"/>
      <c r="AW4113" s="11"/>
      <c r="BB4113" s="9"/>
      <c r="BC4113" s="11"/>
      <c r="BF4113" s="9"/>
      <c r="CF4113" s="12"/>
      <c r="CH4113" s="9"/>
    </row>
    <row r="4114" spans="6:86" x14ac:dyDescent="0.25">
      <c r="F4114" s="9"/>
      <c r="G4114" s="9"/>
      <c r="AA4114" s="10"/>
      <c r="AV4114" s="11"/>
      <c r="AW4114" s="11"/>
      <c r="BB4114" s="9"/>
      <c r="BC4114" s="11"/>
      <c r="BF4114" s="9"/>
      <c r="CF4114" s="12"/>
      <c r="CH4114" s="9"/>
    </row>
    <row r="4115" spans="6:86" x14ac:dyDescent="0.25">
      <c r="F4115" s="9"/>
      <c r="G4115" s="9"/>
      <c r="AA4115" s="10"/>
      <c r="AV4115" s="11"/>
      <c r="AW4115" s="11"/>
      <c r="BB4115" s="9"/>
      <c r="BC4115" s="11"/>
      <c r="BF4115" s="9"/>
      <c r="CF4115" s="12"/>
      <c r="CH4115" s="9"/>
    </row>
    <row r="4116" spans="6:86" x14ac:dyDescent="0.25">
      <c r="F4116" s="9"/>
      <c r="G4116" s="9"/>
      <c r="AA4116" s="10"/>
      <c r="AV4116" s="11"/>
      <c r="AW4116" s="11"/>
      <c r="BB4116" s="9"/>
      <c r="BC4116" s="11"/>
      <c r="BF4116" s="9"/>
      <c r="CF4116" s="12"/>
      <c r="CH4116" s="9"/>
    </row>
    <row r="4117" spans="6:86" x14ac:dyDescent="0.25">
      <c r="F4117" s="9"/>
      <c r="G4117" s="9"/>
      <c r="AA4117" s="10"/>
      <c r="AV4117" s="11"/>
      <c r="AW4117" s="11"/>
      <c r="BB4117" s="9"/>
      <c r="BC4117" s="11"/>
      <c r="BF4117" s="9"/>
      <c r="CF4117" s="12"/>
      <c r="CH4117" s="9"/>
    </row>
    <row r="4118" spans="6:86" x14ac:dyDescent="0.25">
      <c r="F4118" s="9"/>
      <c r="G4118" s="9"/>
      <c r="AA4118" s="10"/>
      <c r="AV4118" s="11"/>
      <c r="AW4118" s="11"/>
      <c r="BB4118" s="9"/>
      <c r="BC4118" s="11"/>
      <c r="BF4118" s="9"/>
      <c r="CF4118" s="12"/>
      <c r="CH4118" s="9"/>
    </row>
    <row r="4119" spans="6:86" x14ac:dyDescent="0.25">
      <c r="F4119" s="9"/>
      <c r="G4119" s="9"/>
      <c r="AA4119" s="10"/>
      <c r="AV4119" s="11"/>
      <c r="AW4119" s="11"/>
      <c r="BB4119" s="9"/>
      <c r="BC4119" s="11"/>
      <c r="BF4119" s="9"/>
      <c r="CF4119" s="12"/>
      <c r="CH4119" s="9"/>
    </row>
    <row r="4120" spans="6:86" x14ac:dyDescent="0.25">
      <c r="F4120" s="9"/>
      <c r="G4120" s="9"/>
      <c r="AA4120" s="10"/>
      <c r="AV4120" s="11"/>
      <c r="AW4120" s="11"/>
      <c r="BB4120" s="9"/>
      <c r="BC4120" s="11"/>
      <c r="BF4120" s="9"/>
      <c r="CF4120" s="12"/>
      <c r="CH4120" s="9"/>
    </row>
    <row r="4121" spans="6:86" x14ac:dyDescent="0.25">
      <c r="F4121" s="9"/>
      <c r="G4121" s="9"/>
      <c r="AA4121" s="10"/>
      <c r="AV4121" s="11"/>
      <c r="AW4121" s="11"/>
      <c r="BB4121" s="9"/>
      <c r="BC4121" s="11"/>
      <c r="BF4121" s="9"/>
      <c r="CF4121" s="12"/>
      <c r="CH4121" s="9"/>
    </row>
    <row r="4122" spans="6:86" x14ac:dyDescent="0.25">
      <c r="F4122" s="9"/>
      <c r="G4122" s="9"/>
      <c r="AA4122" s="10"/>
      <c r="AV4122" s="11"/>
      <c r="AW4122" s="11"/>
      <c r="BB4122" s="9"/>
      <c r="BC4122" s="11"/>
      <c r="BF4122" s="9"/>
      <c r="CH4122" s="9"/>
    </row>
    <row r="4123" spans="6:86" x14ac:dyDescent="0.25">
      <c r="F4123" s="9"/>
      <c r="G4123" s="9"/>
      <c r="AA4123" s="10"/>
      <c r="AV4123" s="11"/>
      <c r="AW4123" s="11"/>
      <c r="BB4123" s="9"/>
      <c r="BC4123" s="11"/>
      <c r="BF4123" s="9"/>
      <c r="CF4123" s="12"/>
      <c r="CH4123" s="9"/>
    </row>
    <row r="4124" spans="6:86" x14ac:dyDescent="0.25">
      <c r="F4124" s="9"/>
      <c r="G4124" s="9"/>
      <c r="AA4124" s="10"/>
      <c r="AV4124" s="11"/>
      <c r="AW4124" s="11"/>
      <c r="BB4124" s="9"/>
      <c r="BC4124" s="11"/>
      <c r="BF4124" s="9"/>
      <c r="CF4124" s="12"/>
      <c r="CH4124" s="9"/>
    </row>
    <row r="4125" spans="6:86" x14ac:dyDescent="0.25">
      <c r="F4125" s="9"/>
      <c r="G4125" s="9"/>
      <c r="AA4125" s="10"/>
      <c r="AV4125" s="11"/>
      <c r="AW4125" s="11"/>
      <c r="BB4125" s="9"/>
      <c r="BC4125" s="11"/>
      <c r="BF4125" s="9"/>
      <c r="CH4125" s="9"/>
    </row>
    <row r="4126" spans="6:86" x14ac:dyDescent="0.25">
      <c r="F4126" s="9"/>
      <c r="G4126" s="9"/>
      <c r="AA4126" s="10"/>
      <c r="AV4126" s="11"/>
      <c r="AW4126" s="11"/>
      <c r="BB4126" s="9"/>
      <c r="BC4126" s="11"/>
      <c r="BF4126" s="9"/>
      <c r="CF4126" s="12"/>
      <c r="CH4126" s="9"/>
    </row>
    <row r="4127" spans="6:86" x14ac:dyDescent="0.25">
      <c r="F4127" s="9"/>
      <c r="G4127" s="9"/>
      <c r="AA4127" s="10"/>
      <c r="AV4127" s="11"/>
      <c r="AW4127" s="11"/>
      <c r="BB4127" s="9"/>
      <c r="BC4127" s="11"/>
      <c r="BF4127" s="9"/>
      <c r="CF4127" s="12"/>
      <c r="CH4127" s="9"/>
    </row>
    <row r="4128" spans="6:86" x14ac:dyDescent="0.25">
      <c r="F4128" s="9"/>
      <c r="G4128" s="9"/>
      <c r="AA4128" s="10"/>
      <c r="AV4128" s="11"/>
      <c r="AW4128" s="11"/>
      <c r="BB4128" s="9"/>
      <c r="BC4128" s="11"/>
      <c r="BF4128" s="9"/>
      <c r="CF4128" s="12"/>
      <c r="CH4128" s="9"/>
    </row>
    <row r="4129" spans="6:86" x14ac:dyDescent="0.25">
      <c r="F4129" s="9"/>
      <c r="G4129" s="9"/>
      <c r="AA4129" s="10"/>
      <c r="AV4129" s="11"/>
      <c r="AW4129" s="11"/>
      <c r="BB4129" s="9"/>
      <c r="BC4129" s="11"/>
      <c r="BF4129" s="9"/>
      <c r="CF4129" s="12"/>
      <c r="CH4129" s="9"/>
    </row>
    <row r="4130" spans="6:86" x14ac:dyDescent="0.25">
      <c r="F4130" s="9"/>
      <c r="G4130" s="9"/>
      <c r="AA4130" s="10"/>
      <c r="AV4130" s="11"/>
      <c r="AW4130" s="11"/>
      <c r="BB4130" s="9"/>
      <c r="BC4130" s="11"/>
      <c r="BF4130" s="9"/>
      <c r="CF4130" s="12"/>
      <c r="CH4130" s="9"/>
    </row>
    <row r="4131" spans="6:86" x14ac:dyDescent="0.25">
      <c r="F4131" s="9"/>
      <c r="G4131" s="9"/>
      <c r="AA4131" s="10"/>
      <c r="AV4131" s="11"/>
      <c r="AW4131" s="11"/>
      <c r="BB4131" s="9"/>
      <c r="BC4131" s="11"/>
      <c r="BF4131" s="9"/>
      <c r="CF4131" s="12"/>
      <c r="CH4131" s="9"/>
    </row>
    <row r="4132" spans="6:86" x14ac:dyDescent="0.25">
      <c r="F4132" s="9"/>
      <c r="G4132" s="9"/>
      <c r="AA4132" s="10"/>
      <c r="AV4132" s="11"/>
      <c r="AW4132" s="11"/>
      <c r="BB4132" s="9"/>
      <c r="BC4132" s="11"/>
      <c r="BF4132" s="9"/>
      <c r="CF4132" s="12"/>
      <c r="CH4132" s="9"/>
    </row>
    <row r="4133" spans="6:86" x14ac:dyDescent="0.25">
      <c r="F4133" s="9"/>
      <c r="G4133" s="9"/>
      <c r="AA4133" s="10"/>
      <c r="AV4133" s="11"/>
      <c r="AW4133" s="11"/>
      <c r="BB4133" s="9"/>
      <c r="BC4133" s="11"/>
      <c r="BF4133" s="9"/>
      <c r="CH4133" s="9"/>
    </row>
    <row r="4134" spans="6:86" x14ac:dyDescent="0.25">
      <c r="F4134" s="9"/>
      <c r="G4134" s="9"/>
      <c r="AA4134" s="10"/>
      <c r="AV4134" s="11"/>
      <c r="AW4134" s="11"/>
      <c r="BB4134" s="9"/>
      <c r="BC4134" s="11"/>
      <c r="BF4134" s="9"/>
      <c r="CF4134" s="12"/>
      <c r="CH4134" s="9"/>
    </row>
    <row r="4135" spans="6:86" x14ac:dyDescent="0.25">
      <c r="F4135" s="9"/>
      <c r="G4135" s="9"/>
      <c r="AA4135" s="10"/>
      <c r="AV4135" s="11"/>
      <c r="AW4135" s="11"/>
      <c r="BB4135" s="9"/>
      <c r="BC4135" s="11"/>
      <c r="BF4135" s="9"/>
      <c r="CF4135" s="12"/>
      <c r="CH4135" s="9"/>
    </row>
    <row r="4136" spans="6:86" x14ac:dyDescent="0.25">
      <c r="F4136" s="9"/>
      <c r="G4136" s="9"/>
      <c r="AA4136" s="10"/>
      <c r="AV4136" s="11"/>
      <c r="AW4136" s="11"/>
      <c r="BB4136" s="9"/>
      <c r="BC4136" s="11"/>
      <c r="BF4136" s="9"/>
      <c r="CF4136" s="12"/>
      <c r="CH4136" s="9"/>
    </row>
    <row r="4137" spans="6:86" x14ac:dyDescent="0.25">
      <c r="F4137" s="9"/>
      <c r="G4137" s="9"/>
      <c r="AA4137" s="10"/>
      <c r="AV4137" s="11"/>
      <c r="AW4137" s="11"/>
      <c r="BB4137" s="9"/>
      <c r="BC4137" s="11"/>
      <c r="BF4137" s="9"/>
      <c r="CF4137" s="12"/>
      <c r="CH4137" s="9"/>
    </row>
    <row r="4138" spans="6:86" x14ac:dyDescent="0.25">
      <c r="F4138" s="9"/>
      <c r="G4138" s="9"/>
      <c r="AA4138" s="10"/>
      <c r="AV4138" s="11"/>
      <c r="AW4138" s="11"/>
      <c r="BB4138" s="9"/>
      <c r="BC4138" s="11"/>
      <c r="BF4138" s="9"/>
      <c r="CF4138" s="12"/>
      <c r="CH4138" s="9"/>
    </row>
    <row r="4139" spans="6:86" x14ac:dyDescent="0.25">
      <c r="F4139" s="9"/>
      <c r="G4139" s="9"/>
      <c r="AA4139" s="10"/>
      <c r="AV4139" s="11"/>
      <c r="AW4139" s="11"/>
      <c r="BB4139" s="9"/>
      <c r="BC4139" s="11"/>
      <c r="BF4139" s="9"/>
      <c r="CF4139" s="12"/>
      <c r="CH4139" s="9"/>
    </row>
    <row r="4140" spans="6:86" x14ac:dyDescent="0.25">
      <c r="F4140" s="9"/>
      <c r="G4140" s="9"/>
      <c r="AA4140" s="10"/>
      <c r="AV4140" s="11"/>
      <c r="AW4140" s="11"/>
      <c r="BB4140" s="9"/>
      <c r="BC4140" s="11"/>
      <c r="BF4140" s="9"/>
      <c r="CH4140" s="9"/>
    </row>
    <row r="4141" spans="6:86" x14ac:dyDescent="0.25">
      <c r="F4141" s="9"/>
      <c r="G4141" s="9"/>
      <c r="AA4141" s="10"/>
      <c r="AV4141" s="11"/>
      <c r="AW4141" s="11"/>
      <c r="BB4141" s="9"/>
      <c r="BC4141" s="11"/>
      <c r="BF4141" s="9"/>
      <c r="CH4141" s="9"/>
    </row>
    <row r="4142" spans="6:86" x14ac:dyDescent="0.25">
      <c r="F4142" s="9"/>
      <c r="G4142" s="9"/>
      <c r="AA4142" s="10"/>
      <c r="AV4142" s="11"/>
      <c r="AW4142" s="11"/>
      <c r="BB4142" s="9"/>
      <c r="BC4142" s="11"/>
      <c r="BF4142" s="9"/>
      <c r="CF4142" s="12"/>
      <c r="CH4142" s="9"/>
    </row>
    <row r="4143" spans="6:86" x14ac:dyDescent="0.25">
      <c r="F4143" s="9"/>
      <c r="G4143" s="9"/>
      <c r="AA4143" s="10"/>
      <c r="AV4143" s="11"/>
      <c r="AW4143" s="11"/>
      <c r="BB4143" s="9"/>
      <c r="BC4143" s="11"/>
      <c r="BF4143" s="9"/>
      <c r="CF4143" s="12"/>
      <c r="CH4143" s="9"/>
    </row>
    <row r="4144" spans="6:86" x14ac:dyDescent="0.25">
      <c r="F4144" s="9"/>
      <c r="G4144" s="9"/>
      <c r="AA4144" s="10"/>
      <c r="AV4144" s="11"/>
      <c r="AW4144" s="11"/>
      <c r="BB4144" s="9"/>
      <c r="BC4144" s="11"/>
      <c r="BF4144" s="9"/>
      <c r="CH4144" s="9"/>
    </row>
    <row r="4145" spans="6:86" x14ac:dyDescent="0.25">
      <c r="F4145" s="9"/>
      <c r="G4145" s="9"/>
      <c r="AA4145" s="10"/>
      <c r="AV4145" s="11"/>
      <c r="AW4145" s="11"/>
      <c r="BB4145" s="9"/>
      <c r="BC4145" s="11"/>
      <c r="BF4145" s="9"/>
      <c r="CF4145" s="12"/>
      <c r="CH4145" s="9"/>
    </row>
    <row r="4146" spans="6:86" x14ac:dyDescent="0.25">
      <c r="F4146" s="9"/>
      <c r="G4146" s="9"/>
      <c r="AA4146" s="10"/>
      <c r="AV4146" s="11"/>
      <c r="AW4146" s="11"/>
      <c r="BB4146" s="9"/>
      <c r="BC4146" s="11"/>
      <c r="BF4146" s="9"/>
      <c r="CF4146" s="12"/>
      <c r="CH4146" s="9"/>
    </row>
    <row r="4147" spans="6:86" x14ac:dyDescent="0.25">
      <c r="F4147" s="9"/>
      <c r="G4147" s="9"/>
      <c r="AA4147" s="10"/>
      <c r="AV4147" s="11"/>
      <c r="AW4147" s="11"/>
      <c r="BB4147" s="9"/>
      <c r="BC4147" s="11"/>
      <c r="BF4147" s="9"/>
      <c r="CH4147" s="9"/>
    </row>
    <row r="4148" spans="6:86" x14ac:dyDescent="0.25">
      <c r="F4148" s="9"/>
      <c r="G4148" s="9"/>
      <c r="AA4148" s="10"/>
      <c r="AV4148" s="11"/>
      <c r="AW4148" s="11"/>
      <c r="BB4148" s="9"/>
      <c r="BC4148" s="11"/>
      <c r="BF4148" s="9"/>
      <c r="CF4148" s="12"/>
      <c r="CH4148" s="9"/>
    </row>
    <row r="4149" spans="6:86" x14ac:dyDescent="0.25">
      <c r="F4149" s="9"/>
      <c r="G4149" s="9"/>
      <c r="AA4149" s="10"/>
      <c r="AV4149" s="11"/>
      <c r="AW4149" s="11"/>
      <c r="BB4149" s="9"/>
      <c r="BC4149" s="11"/>
      <c r="BF4149" s="9"/>
      <c r="CF4149" s="12"/>
      <c r="CH4149" s="9"/>
    </row>
    <row r="4150" spans="6:86" x14ac:dyDescent="0.25">
      <c r="F4150" s="9"/>
      <c r="G4150" s="9"/>
      <c r="AA4150" s="10"/>
      <c r="AV4150" s="11"/>
      <c r="AW4150" s="11"/>
      <c r="BB4150" s="9"/>
      <c r="BC4150" s="11"/>
      <c r="BF4150" s="9"/>
      <c r="CF4150" s="12"/>
      <c r="CH4150" s="9"/>
    </row>
    <row r="4151" spans="6:86" x14ac:dyDescent="0.25">
      <c r="F4151" s="9"/>
      <c r="G4151" s="9"/>
      <c r="AA4151" s="10"/>
      <c r="AV4151" s="11"/>
      <c r="AW4151" s="11"/>
      <c r="BB4151" s="9"/>
      <c r="BC4151" s="11"/>
      <c r="BF4151" s="9"/>
      <c r="CF4151" s="12"/>
      <c r="CH4151" s="9"/>
    </row>
    <row r="4152" spans="6:86" x14ac:dyDescent="0.25">
      <c r="F4152" s="9"/>
      <c r="G4152" s="9"/>
      <c r="AA4152" s="10"/>
      <c r="AV4152" s="11"/>
      <c r="AW4152" s="11"/>
      <c r="BB4152" s="9"/>
      <c r="BC4152" s="11"/>
      <c r="BF4152" s="9"/>
      <c r="CF4152" s="12"/>
      <c r="CH4152" s="9"/>
    </row>
    <row r="4153" spans="6:86" x14ac:dyDescent="0.25">
      <c r="F4153" s="9"/>
      <c r="G4153" s="9"/>
      <c r="AA4153" s="10"/>
      <c r="AV4153" s="11"/>
      <c r="AW4153" s="11"/>
      <c r="BB4153" s="9"/>
      <c r="BC4153" s="11"/>
      <c r="BF4153" s="9"/>
      <c r="CF4153" s="12"/>
      <c r="CH4153" s="9"/>
    </row>
    <row r="4154" spans="6:86" x14ac:dyDescent="0.25">
      <c r="F4154" s="9"/>
      <c r="G4154" s="9"/>
      <c r="AA4154" s="10"/>
      <c r="AV4154" s="11"/>
      <c r="AW4154" s="11"/>
      <c r="BB4154" s="9"/>
      <c r="BC4154" s="11"/>
      <c r="BF4154" s="9"/>
      <c r="CF4154" s="12"/>
      <c r="CH4154" s="9"/>
    </row>
    <row r="4155" spans="6:86" x14ac:dyDescent="0.25">
      <c r="F4155" s="9"/>
      <c r="G4155" s="9"/>
      <c r="AA4155" s="10"/>
      <c r="AV4155" s="11"/>
      <c r="AW4155" s="11"/>
      <c r="BB4155" s="9"/>
      <c r="BC4155" s="11"/>
      <c r="BF4155" s="9"/>
      <c r="CF4155" s="12"/>
      <c r="CH4155" s="9"/>
    </row>
    <row r="4156" spans="6:86" x14ac:dyDescent="0.25">
      <c r="F4156" s="9"/>
      <c r="G4156" s="9"/>
      <c r="AA4156" s="10"/>
      <c r="AV4156" s="11"/>
      <c r="AW4156" s="11"/>
      <c r="BB4156" s="9"/>
      <c r="BC4156" s="11"/>
      <c r="BF4156" s="9"/>
      <c r="CF4156" s="12"/>
      <c r="CH4156" s="9"/>
    </row>
    <row r="4157" spans="6:86" x14ac:dyDescent="0.25">
      <c r="F4157" s="9"/>
      <c r="G4157" s="9"/>
      <c r="AA4157" s="10"/>
      <c r="AV4157" s="11"/>
      <c r="AW4157" s="11"/>
      <c r="BB4157" s="9"/>
      <c r="BC4157" s="11"/>
      <c r="BF4157" s="9"/>
      <c r="CF4157" s="12"/>
      <c r="CH4157" s="9"/>
    </row>
    <row r="4158" spans="6:86" x14ac:dyDescent="0.25">
      <c r="F4158" s="9"/>
      <c r="G4158" s="9"/>
      <c r="AA4158" s="10"/>
      <c r="AV4158" s="11"/>
      <c r="AW4158" s="11"/>
      <c r="BB4158" s="9"/>
      <c r="BC4158" s="11"/>
      <c r="BF4158" s="9"/>
      <c r="CF4158" s="12"/>
      <c r="CH4158" s="9"/>
    </row>
    <row r="4159" spans="6:86" x14ac:dyDescent="0.25">
      <c r="F4159" s="9"/>
      <c r="G4159" s="9"/>
      <c r="AA4159" s="10"/>
      <c r="AV4159" s="11"/>
      <c r="AW4159" s="11"/>
      <c r="BB4159" s="9"/>
      <c r="BC4159" s="11"/>
      <c r="BF4159" s="9"/>
      <c r="CF4159" s="12"/>
      <c r="CH4159" s="9"/>
    </row>
    <row r="4160" spans="6:86" x14ac:dyDescent="0.25">
      <c r="F4160" s="9"/>
      <c r="G4160" s="9"/>
      <c r="AA4160" s="10"/>
      <c r="AV4160" s="11"/>
      <c r="AW4160" s="11"/>
      <c r="BB4160" s="9"/>
      <c r="BC4160" s="11"/>
      <c r="BF4160" s="9"/>
      <c r="CF4160" s="12"/>
      <c r="CH4160" s="9"/>
    </row>
    <row r="4161" spans="6:86" x14ac:dyDescent="0.25">
      <c r="F4161" s="9"/>
      <c r="G4161" s="9"/>
      <c r="AA4161" s="10"/>
      <c r="AV4161" s="11"/>
      <c r="AW4161" s="11"/>
      <c r="BB4161" s="9"/>
      <c r="BC4161" s="11"/>
      <c r="BF4161" s="9"/>
      <c r="CF4161" s="12"/>
      <c r="CH4161" s="9"/>
    </row>
    <row r="4162" spans="6:86" x14ac:dyDescent="0.25">
      <c r="F4162" s="9"/>
      <c r="G4162" s="9"/>
      <c r="AA4162" s="10"/>
      <c r="AV4162" s="11"/>
      <c r="AW4162" s="11"/>
      <c r="BB4162" s="9"/>
      <c r="BC4162" s="11"/>
      <c r="BF4162" s="9"/>
      <c r="CH4162" s="9"/>
    </row>
    <row r="4163" spans="6:86" x14ac:dyDescent="0.25">
      <c r="F4163" s="9"/>
      <c r="G4163" s="9"/>
      <c r="AA4163" s="10"/>
      <c r="AV4163" s="11"/>
      <c r="AW4163" s="11"/>
      <c r="BB4163" s="9"/>
      <c r="BC4163" s="11"/>
      <c r="BF4163" s="9"/>
      <c r="CF4163" s="12"/>
      <c r="CH4163" s="9"/>
    </row>
    <row r="4164" spans="6:86" x14ac:dyDescent="0.25">
      <c r="F4164" s="9"/>
      <c r="G4164" s="9"/>
      <c r="AA4164" s="10"/>
      <c r="AV4164" s="11"/>
      <c r="AW4164" s="11"/>
      <c r="BB4164" s="9"/>
      <c r="BC4164" s="11"/>
      <c r="BF4164" s="9"/>
      <c r="CF4164" s="12"/>
      <c r="CH4164" s="9"/>
    </row>
    <row r="4165" spans="6:86" x14ac:dyDescent="0.25">
      <c r="F4165" s="9"/>
      <c r="G4165" s="9"/>
      <c r="AA4165" s="10"/>
      <c r="AV4165" s="11"/>
      <c r="AW4165" s="11"/>
      <c r="BB4165" s="9"/>
      <c r="BC4165" s="11"/>
      <c r="BF4165" s="9"/>
      <c r="CF4165" s="12"/>
      <c r="CH4165" s="9"/>
    </row>
    <row r="4166" spans="6:86" x14ac:dyDescent="0.25">
      <c r="F4166" s="9"/>
      <c r="G4166" s="9"/>
      <c r="AA4166" s="10"/>
      <c r="AV4166" s="11"/>
      <c r="AW4166" s="11"/>
      <c r="BB4166" s="9"/>
      <c r="BC4166" s="11"/>
      <c r="BF4166" s="9"/>
      <c r="CF4166" s="12"/>
      <c r="CH4166" s="9"/>
    </row>
    <row r="4167" spans="6:86" x14ac:dyDescent="0.25">
      <c r="F4167" s="9"/>
      <c r="G4167" s="9"/>
      <c r="AA4167" s="10"/>
      <c r="AV4167" s="11"/>
      <c r="AW4167" s="11"/>
      <c r="BB4167" s="9"/>
      <c r="BC4167" s="11"/>
      <c r="BF4167" s="9"/>
      <c r="CF4167" s="12"/>
      <c r="CH4167" s="9"/>
    </row>
    <row r="4168" spans="6:86" x14ac:dyDescent="0.25">
      <c r="F4168" s="9"/>
      <c r="G4168" s="9"/>
      <c r="AA4168" s="10"/>
      <c r="AV4168" s="11"/>
      <c r="AW4168" s="11"/>
      <c r="BB4168" s="9"/>
      <c r="BC4168" s="11"/>
      <c r="BF4168" s="9"/>
      <c r="CF4168" s="12"/>
      <c r="CH4168" s="9"/>
    </row>
    <row r="4169" spans="6:86" x14ac:dyDescent="0.25">
      <c r="F4169" s="9"/>
      <c r="G4169" s="9"/>
      <c r="AA4169" s="10"/>
      <c r="AV4169" s="11"/>
      <c r="AW4169" s="11"/>
      <c r="BB4169" s="9"/>
      <c r="BC4169" s="11"/>
      <c r="BF4169" s="9"/>
      <c r="CH4169" s="9"/>
    </row>
    <row r="4170" spans="6:86" x14ac:dyDescent="0.25">
      <c r="F4170" s="9"/>
      <c r="G4170" s="9"/>
      <c r="AA4170" s="10"/>
      <c r="AV4170" s="11"/>
      <c r="AW4170" s="11"/>
      <c r="BB4170" s="9"/>
      <c r="BC4170" s="11"/>
      <c r="BF4170" s="9"/>
      <c r="CF4170" s="12"/>
      <c r="CH4170" s="9"/>
    </row>
    <row r="4171" spans="6:86" x14ac:dyDescent="0.25">
      <c r="F4171" s="9"/>
      <c r="G4171" s="9"/>
      <c r="AA4171" s="10"/>
      <c r="AV4171" s="11"/>
      <c r="AW4171" s="11"/>
      <c r="BB4171" s="9"/>
      <c r="BC4171" s="11"/>
      <c r="BF4171" s="9"/>
      <c r="CF4171" s="12"/>
      <c r="CH4171" s="9"/>
    </row>
    <row r="4172" spans="6:86" x14ac:dyDescent="0.25">
      <c r="F4172" s="9"/>
      <c r="G4172" s="9"/>
      <c r="AA4172" s="10"/>
      <c r="AV4172" s="11"/>
      <c r="AW4172" s="11"/>
      <c r="BB4172" s="9"/>
      <c r="BC4172" s="11"/>
      <c r="BF4172" s="9"/>
      <c r="CF4172" s="12"/>
      <c r="CH4172" s="9"/>
    </row>
    <row r="4173" spans="6:86" x14ac:dyDescent="0.25">
      <c r="F4173" s="9"/>
      <c r="G4173" s="9"/>
      <c r="AA4173" s="10"/>
      <c r="AV4173" s="11"/>
      <c r="AW4173" s="11"/>
      <c r="BB4173" s="9"/>
      <c r="BC4173" s="11"/>
      <c r="BF4173" s="9"/>
      <c r="CF4173" s="12"/>
      <c r="CH4173" s="9"/>
    </row>
    <row r="4174" spans="6:86" x14ac:dyDescent="0.25">
      <c r="F4174" s="9"/>
      <c r="G4174" s="9"/>
      <c r="AA4174" s="10"/>
      <c r="AV4174" s="11"/>
      <c r="AW4174" s="11"/>
      <c r="BB4174" s="9"/>
      <c r="BC4174" s="11"/>
      <c r="BF4174" s="9"/>
      <c r="CH4174" s="9"/>
    </row>
    <row r="4175" spans="6:86" x14ac:dyDescent="0.25">
      <c r="F4175" s="9"/>
      <c r="G4175" s="9"/>
      <c r="AA4175" s="10"/>
      <c r="AV4175" s="11"/>
      <c r="AW4175" s="11"/>
      <c r="BB4175" s="9"/>
      <c r="BC4175" s="11"/>
      <c r="BF4175" s="9"/>
      <c r="CF4175" s="12"/>
      <c r="CH4175" s="9"/>
    </row>
    <row r="4176" spans="6:86" x14ac:dyDescent="0.25">
      <c r="F4176" s="9"/>
      <c r="G4176" s="9"/>
      <c r="AA4176" s="10"/>
      <c r="AV4176" s="11"/>
      <c r="AW4176" s="11"/>
      <c r="BB4176" s="9"/>
      <c r="BC4176" s="11"/>
      <c r="BF4176" s="9"/>
      <c r="CF4176" s="12"/>
      <c r="CH4176" s="9"/>
    </row>
    <row r="4177" spans="6:92" x14ac:dyDescent="0.25">
      <c r="F4177" s="9"/>
      <c r="G4177" s="9"/>
      <c r="AA4177" s="10"/>
      <c r="AV4177" s="11"/>
      <c r="AW4177" s="11"/>
      <c r="BB4177" s="9"/>
      <c r="BC4177" s="11"/>
      <c r="BF4177" s="9"/>
      <c r="CF4177" s="12"/>
      <c r="CH4177" s="9"/>
    </row>
    <row r="4178" spans="6:92" x14ac:dyDescent="0.25">
      <c r="F4178" s="9"/>
      <c r="G4178" s="9"/>
      <c r="AA4178" s="10"/>
      <c r="AV4178" s="11"/>
      <c r="AW4178" s="11"/>
      <c r="BB4178" s="9"/>
      <c r="BC4178" s="11"/>
      <c r="BF4178" s="9"/>
      <c r="CF4178" s="12"/>
      <c r="CH4178" s="9"/>
    </row>
    <row r="4179" spans="6:92" x14ac:dyDescent="0.25">
      <c r="F4179" s="9"/>
      <c r="G4179" s="9"/>
      <c r="AA4179" s="10"/>
      <c r="AV4179" s="11"/>
      <c r="AW4179" s="11"/>
      <c r="BB4179" s="9"/>
      <c r="BC4179" s="11"/>
      <c r="BF4179" s="9"/>
      <c r="CF4179" s="12"/>
      <c r="CH4179" s="9"/>
    </row>
    <row r="4180" spans="6:92" x14ac:dyDescent="0.25">
      <c r="F4180" s="9"/>
      <c r="G4180" s="9"/>
      <c r="AA4180" s="10"/>
      <c r="AV4180" s="11"/>
      <c r="AW4180" s="11"/>
      <c r="BB4180" s="9"/>
      <c r="BC4180" s="11"/>
      <c r="BF4180" s="9"/>
      <c r="CF4180" s="12"/>
      <c r="CH4180" s="9"/>
    </row>
    <row r="4181" spans="6:92" x14ac:dyDescent="0.25">
      <c r="F4181" s="9"/>
      <c r="G4181" s="9"/>
      <c r="AA4181" s="10"/>
      <c r="AV4181" s="11"/>
      <c r="AW4181" s="11"/>
      <c r="BB4181" s="9"/>
      <c r="BC4181" s="11"/>
      <c r="BF4181" s="9"/>
      <c r="CH4181" s="9"/>
    </row>
    <row r="4182" spans="6:92" x14ac:dyDescent="0.25">
      <c r="F4182" s="9"/>
      <c r="G4182" s="9"/>
      <c r="AA4182" s="10"/>
      <c r="AV4182" s="11"/>
      <c r="AW4182" s="11"/>
      <c r="BB4182" s="9"/>
      <c r="BC4182" s="11"/>
      <c r="BF4182" s="9"/>
      <c r="CF4182" s="12"/>
      <c r="CH4182" s="9"/>
    </row>
    <row r="4183" spans="6:92" x14ac:dyDescent="0.25">
      <c r="F4183" s="9"/>
      <c r="G4183" s="9"/>
      <c r="AA4183" s="10"/>
      <c r="AV4183" s="11"/>
      <c r="AW4183" s="11"/>
      <c r="BB4183" s="9"/>
      <c r="BC4183" s="11"/>
      <c r="BF4183" s="9"/>
      <c r="CF4183" s="12"/>
      <c r="CH4183" s="9"/>
    </row>
    <row r="4184" spans="6:92" x14ac:dyDescent="0.25">
      <c r="F4184" s="9"/>
      <c r="G4184" s="9"/>
      <c r="AA4184" s="10"/>
      <c r="AV4184" s="11"/>
      <c r="AW4184" s="11"/>
      <c r="BB4184" s="9"/>
      <c r="BC4184" s="11"/>
      <c r="BF4184" s="9"/>
      <c r="CF4184" s="12"/>
      <c r="CH4184" s="9"/>
    </row>
    <row r="4185" spans="6:92" x14ac:dyDescent="0.25">
      <c r="F4185" s="9"/>
      <c r="G4185" s="9"/>
      <c r="AA4185" s="10"/>
      <c r="AV4185" s="11"/>
      <c r="AW4185" s="11"/>
      <c r="BB4185" s="9"/>
      <c r="BC4185" s="11"/>
      <c r="BF4185" s="9"/>
      <c r="CF4185" s="12"/>
      <c r="CH4185" s="9"/>
    </row>
    <row r="4186" spans="6:92" x14ac:dyDescent="0.25">
      <c r="F4186" s="9"/>
      <c r="G4186" s="9"/>
      <c r="AA4186" s="10"/>
      <c r="AV4186" s="11"/>
      <c r="AW4186" s="11"/>
      <c r="BB4186" s="9"/>
      <c r="BC4186" s="11"/>
      <c r="BF4186" s="9"/>
      <c r="CF4186" s="12"/>
      <c r="CH4186" s="9"/>
    </row>
    <row r="4187" spans="6:92" x14ac:dyDescent="0.25">
      <c r="F4187" s="9"/>
      <c r="G4187" s="9"/>
      <c r="U4187" s="12"/>
      <c r="Z4187" s="12"/>
      <c r="AA4187" s="10"/>
      <c r="AV4187" s="11"/>
      <c r="AW4187" s="11"/>
      <c r="BB4187" s="9"/>
      <c r="BC4187" s="11"/>
      <c r="BF4187" s="9"/>
      <c r="CF4187" s="12"/>
      <c r="CH4187" s="9"/>
      <c r="CN4187" s="12"/>
    </row>
    <row r="4188" spans="6:92" x14ac:dyDescent="0.25">
      <c r="F4188" s="9"/>
      <c r="G4188" s="9"/>
      <c r="U4188" s="12"/>
      <c r="AA4188" s="10"/>
      <c r="AV4188" s="11"/>
      <c r="AW4188" s="11"/>
      <c r="BB4188" s="9"/>
      <c r="BC4188" s="11"/>
      <c r="BF4188" s="9"/>
      <c r="CF4188" s="12"/>
      <c r="CH4188" s="9"/>
    </row>
    <row r="4189" spans="6:92" x14ac:dyDescent="0.25">
      <c r="F4189" s="9"/>
      <c r="G4189" s="9"/>
      <c r="AA4189" s="10"/>
      <c r="AV4189" s="11"/>
      <c r="AW4189" s="11"/>
      <c r="BB4189" s="9"/>
      <c r="BC4189" s="11"/>
      <c r="BF4189" s="9"/>
      <c r="CF4189" s="12"/>
      <c r="CH4189" s="9"/>
    </row>
    <row r="4190" spans="6:92" x14ac:dyDescent="0.25">
      <c r="F4190" s="9"/>
      <c r="G4190" s="9"/>
      <c r="AA4190" s="10"/>
      <c r="AV4190" s="11"/>
      <c r="AW4190" s="11"/>
      <c r="BB4190" s="9"/>
      <c r="BC4190" s="11"/>
      <c r="BF4190" s="9"/>
      <c r="CH4190" s="9"/>
    </row>
    <row r="4191" spans="6:92" x14ac:dyDescent="0.25">
      <c r="F4191" s="9"/>
      <c r="G4191" s="9"/>
      <c r="U4191" s="12"/>
      <c r="Z4191" s="12"/>
      <c r="AA4191" s="10"/>
      <c r="AV4191" s="11"/>
      <c r="AW4191" s="11"/>
      <c r="BB4191" s="9"/>
      <c r="BC4191" s="11"/>
      <c r="BF4191" s="9"/>
      <c r="CF4191" s="12"/>
      <c r="CH4191" s="9"/>
      <c r="CN4191" s="12"/>
    </row>
    <row r="4192" spans="6:92" x14ac:dyDescent="0.25">
      <c r="F4192" s="9"/>
      <c r="G4192" s="9"/>
      <c r="AA4192" s="10"/>
      <c r="AV4192" s="11"/>
      <c r="AW4192" s="11"/>
      <c r="BB4192" s="9"/>
      <c r="BC4192" s="11"/>
      <c r="BF4192" s="9"/>
      <c r="CF4192" s="12"/>
      <c r="CH4192" s="9"/>
    </row>
    <row r="4193" spans="6:86" x14ac:dyDescent="0.25">
      <c r="F4193" s="9"/>
      <c r="G4193" s="9"/>
      <c r="AA4193" s="10"/>
      <c r="AV4193" s="11"/>
      <c r="AW4193" s="11"/>
      <c r="BB4193" s="9"/>
      <c r="BC4193" s="11"/>
      <c r="BF4193" s="9"/>
      <c r="CF4193" s="12"/>
      <c r="CH4193" s="9"/>
    </row>
    <row r="4194" spans="6:86" x14ac:dyDescent="0.25">
      <c r="F4194" s="9"/>
      <c r="G4194" s="9"/>
      <c r="AA4194" s="10"/>
      <c r="AV4194" s="11"/>
      <c r="AW4194" s="11"/>
      <c r="BB4194" s="9"/>
      <c r="BC4194" s="11"/>
      <c r="BF4194" s="9"/>
      <c r="CF4194" s="12"/>
      <c r="CH4194" s="9"/>
    </row>
    <row r="4195" spans="6:86" x14ac:dyDescent="0.25">
      <c r="F4195" s="9"/>
      <c r="G4195" s="9"/>
      <c r="AA4195" s="10"/>
      <c r="AV4195" s="11"/>
      <c r="AW4195" s="11"/>
      <c r="BB4195" s="9"/>
      <c r="BC4195" s="11"/>
      <c r="BF4195" s="9"/>
      <c r="CF4195" s="12"/>
      <c r="CH4195" s="9"/>
    </row>
    <row r="4196" spans="6:86" x14ac:dyDescent="0.25">
      <c r="F4196" s="9"/>
      <c r="G4196" s="9"/>
      <c r="AA4196" s="10"/>
      <c r="AV4196" s="11"/>
      <c r="AW4196" s="11"/>
      <c r="BB4196" s="9"/>
      <c r="BC4196" s="11"/>
      <c r="BF4196" s="9"/>
      <c r="CH4196" s="9"/>
    </row>
    <row r="4197" spans="6:86" x14ac:dyDescent="0.25">
      <c r="F4197" s="9"/>
      <c r="G4197" s="9"/>
      <c r="AA4197" s="10"/>
      <c r="AV4197" s="11"/>
      <c r="AW4197" s="11"/>
      <c r="BB4197" s="9"/>
      <c r="BC4197" s="11"/>
      <c r="BF4197" s="9"/>
      <c r="CF4197" s="12"/>
      <c r="CH4197" s="9"/>
    </row>
    <row r="4198" spans="6:86" x14ac:dyDescent="0.25">
      <c r="F4198" s="9"/>
      <c r="G4198" s="9"/>
      <c r="AA4198" s="10"/>
      <c r="AV4198" s="11"/>
      <c r="AW4198" s="11"/>
      <c r="BB4198" s="9"/>
      <c r="BC4198" s="11"/>
      <c r="BF4198" s="9"/>
      <c r="CF4198" s="12"/>
      <c r="CH4198" s="9"/>
    </row>
    <row r="4199" spans="6:86" x14ac:dyDescent="0.25">
      <c r="F4199" s="9"/>
      <c r="G4199" s="9"/>
      <c r="AA4199" s="10"/>
      <c r="AV4199" s="11"/>
      <c r="AW4199" s="11"/>
      <c r="BB4199" s="9"/>
      <c r="BC4199" s="11"/>
      <c r="BF4199" s="9"/>
      <c r="CF4199" s="12"/>
      <c r="CH4199" s="9"/>
    </row>
    <row r="4200" spans="6:86" x14ac:dyDescent="0.25">
      <c r="F4200" s="9"/>
      <c r="G4200" s="9"/>
      <c r="AA4200" s="10"/>
      <c r="AV4200" s="11"/>
      <c r="AW4200" s="11"/>
      <c r="BB4200" s="9"/>
      <c r="BC4200" s="11"/>
      <c r="BF4200" s="9"/>
      <c r="CF4200" s="12"/>
      <c r="CH4200" s="9"/>
    </row>
    <row r="4201" spans="6:86" x14ac:dyDescent="0.25">
      <c r="F4201" s="9"/>
      <c r="G4201" s="9"/>
      <c r="AA4201" s="10"/>
      <c r="AV4201" s="11"/>
      <c r="AW4201" s="11"/>
      <c r="BB4201" s="9"/>
      <c r="BC4201" s="11"/>
      <c r="BF4201" s="9"/>
      <c r="CF4201" s="12"/>
      <c r="CH4201" s="9"/>
    </row>
    <row r="4202" spans="6:86" x14ac:dyDescent="0.25">
      <c r="F4202" s="9"/>
      <c r="G4202" s="9"/>
      <c r="AA4202" s="10"/>
      <c r="AV4202" s="11"/>
      <c r="AW4202" s="11"/>
      <c r="BB4202" s="9"/>
      <c r="BC4202" s="11"/>
      <c r="BF4202" s="9"/>
      <c r="CH4202" s="9"/>
    </row>
    <row r="4203" spans="6:86" x14ac:dyDescent="0.25">
      <c r="F4203" s="9"/>
      <c r="G4203" s="9"/>
      <c r="AA4203" s="10"/>
      <c r="AV4203" s="11"/>
      <c r="AW4203" s="11"/>
      <c r="BB4203" s="9"/>
      <c r="BC4203" s="11"/>
      <c r="BF4203" s="9"/>
      <c r="CF4203" s="12"/>
      <c r="CH4203" s="9"/>
    </row>
    <row r="4204" spans="6:86" x14ac:dyDescent="0.25">
      <c r="F4204" s="9"/>
      <c r="G4204" s="9"/>
      <c r="AA4204" s="10"/>
      <c r="AV4204" s="11"/>
      <c r="AW4204" s="11"/>
      <c r="BB4204" s="9"/>
      <c r="BC4204" s="11"/>
      <c r="BF4204" s="9"/>
      <c r="CF4204" s="12"/>
      <c r="CH4204" s="9"/>
    </row>
    <row r="4205" spans="6:86" x14ac:dyDescent="0.25">
      <c r="F4205" s="9"/>
      <c r="G4205" s="9"/>
      <c r="AA4205" s="10"/>
      <c r="AV4205" s="11"/>
      <c r="AW4205" s="11"/>
      <c r="BB4205" s="9"/>
      <c r="BC4205" s="11"/>
      <c r="BF4205" s="9"/>
      <c r="CF4205" s="12"/>
      <c r="CH4205" s="9"/>
    </row>
    <row r="4206" spans="6:86" x14ac:dyDescent="0.25">
      <c r="F4206" s="9"/>
      <c r="G4206" s="9"/>
      <c r="AA4206" s="10"/>
      <c r="AV4206" s="11"/>
      <c r="AW4206" s="11"/>
      <c r="BB4206" s="9"/>
      <c r="BC4206" s="11"/>
      <c r="BF4206" s="9"/>
      <c r="CF4206" s="12"/>
      <c r="CH4206" s="9"/>
    </row>
    <row r="4207" spans="6:86" x14ac:dyDescent="0.25">
      <c r="F4207" s="9"/>
      <c r="G4207" s="9"/>
      <c r="AA4207" s="10"/>
      <c r="AV4207" s="11"/>
      <c r="AW4207" s="11"/>
      <c r="BB4207" s="9"/>
      <c r="BC4207" s="11"/>
      <c r="BF4207" s="9"/>
      <c r="CF4207" s="12"/>
      <c r="CH4207" s="9"/>
    </row>
    <row r="4208" spans="6:86" x14ac:dyDescent="0.25">
      <c r="F4208" s="9"/>
      <c r="G4208" s="9"/>
      <c r="AA4208" s="10"/>
      <c r="AV4208" s="11"/>
      <c r="AW4208" s="11"/>
      <c r="BB4208" s="9"/>
      <c r="BC4208" s="11"/>
      <c r="BF4208" s="9"/>
      <c r="CF4208" s="12"/>
      <c r="CH4208" s="9"/>
    </row>
    <row r="4209" spans="6:86" x14ac:dyDescent="0.25">
      <c r="F4209" s="9"/>
      <c r="G4209" s="9"/>
      <c r="AA4209" s="10"/>
      <c r="AV4209" s="11"/>
      <c r="AW4209" s="11"/>
      <c r="BB4209" s="9"/>
      <c r="BC4209" s="11"/>
      <c r="BF4209" s="9"/>
      <c r="CF4209" s="12"/>
      <c r="CH4209" s="9"/>
    </row>
    <row r="4210" spans="6:86" x14ac:dyDescent="0.25">
      <c r="F4210" s="9"/>
      <c r="G4210" s="9"/>
      <c r="AA4210" s="10"/>
      <c r="AV4210" s="11"/>
      <c r="AW4210" s="11"/>
      <c r="BB4210" s="9"/>
      <c r="BC4210" s="11"/>
      <c r="BF4210" s="9"/>
      <c r="CF4210" s="12"/>
      <c r="CH4210" s="9"/>
    </row>
    <row r="4211" spans="6:86" x14ac:dyDescent="0.25">
      <c r="F4211" s="9"/>
      <c r="G4211" s="9"/>
      <c r="AA4211" s="10"/>
      <c r="AV4211" s="11"/>
      <c r="AW4211" s="11"/>
      <c r="BB4211" s="9"/>
      <c r="BC4211" s="11"/>
      <c r="BF4211" s="9"/>
      <c r="CF4211" s="12"/>
      <c r="CH4211" s="9"/>
    </row>
    <row r="4212" spans="6:86" x14ac:dyDescent="0.25">
      <c r="F4212" s="9"/>
      <c r="G4212" s="9"/>
      <c r="AA4212" s="10"/>
      <c r="AV4212" s="11"/>
      <c r="AW4212" s="11"/>
      <c r="BB4212" s="9"/>
      <c r="BC4212" s="11"/>
      <c r="BF4212" s="9"/>
      <c r="CF4212" s="12"/>
      <c r="CH4212" s="9"/>
    </row>
    <row r="4213" spans="6:86" x14ac:dyDescent="0.25">
      <c r="F4213" s="9"/>
      <c r="G4213" s="9"/>
      <c r="AA4213" s="10"/>
      <c r="AV4213" s="11"/>
      <c r="AW4213" s="11"/>
      <c r="BB4213" s="9"/>
      <c r="BC4213" s="11"/>
      <c r="BF4213" s="9"/>
      <c r="CF4213" s="12"/>
      <c r="CH4213" s="9"/>
    </row>
    <row r="4214" spans="6:86" x14ac:dyDescent="0.25">
      <c r="F4214" s="9"/>
      <c r="G4214" s="9"/>
      <c r="AA4214" s="10"/>
      <c r="AV4214" s="11"/>
      <c r="AW4214" s="11"/>
      <c r="BB4214" s="9"/>
      <c r="BC4214" s="11"/>
      <c r="BF4214" s="9"/>
      <c r="CH4214" s="9"/>
    </row>
    <row r="4215" spans="6:86" x14ac:dyDescent="0.25">
      <c r="F4215" s="9"/>
      <c r="G4215" s="9"/>
      <c r="AA4215" s="10"/>
      <c r="AV4215" s="11"/>
      <c r="AW4215" s="11"/>
      <c r="BB4215" s="9"/>
      <c r="BC4215" s="11"/>
      <c r="BF4215" s="9"/>
      <c r="CF4215" s="12"/>
      <c r="CH4215" s="9"/>
    </row>
    <row r="4216" spans="6:86" x14ac:dyDescent="0.25">
      <c r="F4216" s="9"/>
      <c r="G4216" s="9"/>
      <c r="AA4216" s="10"/>
      <c r="AV4216" s="11"/>
      <c r="AW4216" s="11"/>
      <c r="BB4216" s="9"/>
      <c r="BC4216" s="11"/>
      <c r="BF4216" s="9"/>
      <c r="CF4216" s="12"/>
      <c r="CH4216" s="9"/>
    </row>
    <row r="4217" spans="6:86" x14ac:dyDescent="0.25">
      <c r="F4217" s="9"/>
      <c r="G4217" s="9"/>
      <c r="AA4217" s="10"/>
      <c r="AV4217" s="11"/>
      <c r="AW4217" s="11"/>
      <c r="BB4217" s="9"/>
      <c r="BC4217" s="11"/>
      <c r="BF4217" s="9"/>
      <c r="CF4217" s="12"/>
      <c r="CH4217" s="9"/>
    </row>
    <row r="4218" spans="6:86" x14ac:dyDescent="0.25">
      <c r="F4218" s="9"/>
      <c r="G4218" s="9"/>
      <c r="AA4218" s="10"/>
      <c r="AV4218" s="11"/>
      <c r="AW4218" s="11"/>
      <c r="BB4218" s="9"/>
      <c r="BC4218" s="11"/>
      <c r="BF4218" s="9"/>
      <c r="CF4218" s="12"/>
      <c r="CH4218" s="9"/>
    </row>
    <row r="4219" spans="6:86" x14ac:dyDescent="0.25">
      <c r="F4219" s="9"/>
      <c r="G4219" s="9"/>
      <c r="AA4219" s="10"/>
      <c r="AV4219" s="11"/>
      <c r="AW4219" s="11"/>
      <c r="BB4219" s="9"/>
      <c r="BC4219" s="11"/>
      <c r="BF4219" s="9"/>
      <c r="CF4219" s="12"/>
      <c r="CH4219" s="9"/>
    </row>
    <row r="4220" spans="6:86" x14ac:dyDescent="0.25">
      <c r="F4220" s="9"/>
      <c r="G4220" s="9"/>
      <c r="AA4220" s="10"/>
      <c r="AV4220" s="11"/>
      <c r="AW4220" s="11"/>
      <c r="BB4220" s="9"/>
      <c r="BC4220" s="11"/>
      <c r="BF4220" s="9"/>
      <c r="CF4220" s="12"/>
      <c r="CH4220" s="9"/>
    </row>
    <row r="4221" spans="6:86" x14ac:dyDescent="0.25">
      <c r="F4221" s="9"/>
      <c r="G4221" s="9"/>
      <c r="AA4221" s="10"/>
      <c r="AV4221" s="11"/>
      <c r="AW4221" s="11"/>
      <c r="BB4221" s="9"/>
      <c r="BC4221" s="11"/>
      <c r="BF4221" s="9"/>
      <c r="CH4221" s="9"/>
    </row>
    <row r="4222" spans="6:86" x14ac:dyDescent="0.25">
      <c r="F4222" s="9"/>
      <c r="G4222" s="9"/>
      <c r="AA4222" s="10"/>
      <c r="AV4222" s="11"/>
      <c r="AW4222" s="11"/>
      <c r="BB4222" s="9"/>
      <c r="BC4222" s="11"/>
      <c r="BF4222" s="9"/>
      <c r="CF4222" s="12"/>
      <c r="CH4222" s="9"/>
    </row>
    <row r="4223" spans="6:86" x14ac:dyDescent="0.25">
      <c r="F4223" s="9"/>
      <c r="G4223" s="9"/>
      <c r="AA4223" s="10"/>
      <c r="AV4223" s="11"/>
      <c r="AW4223" s="11"/>
      <c r="BB4223" s="9"/>
      <c r="BC4223" s="11"/>
      <c r="BF4223" s="9"/>
      <c r="CF4223" s="12"/>
      <c r="CH4223" s="9"/>
    </row>
    <row r="4224" spans="6:86" x14ac:dyDescent="0.25">
      <c r="F4224" s="9"/>
      <c r="G4224" s="9"/>
      <c r="AA4224" s="10"/>
      <c r="AV4224" s="11"/>
      <c r="AW4224" s="11"/>
      <c r="BB4224" s="9"/>
      <c r="BC4224" s="11"/>
      <c r="BF4224" s="9"/>
      <c r="CF4224" s="12"/>
      <c r="CH4224" s="9"/>
    </row>
    <row r="4225" spans="6:92" x14ac:dyDescent="0.25">
      <c r="F4225" s="9"/>
      <c r="G4225" s="9"/>
      <c r="AA4225" s="10"/>
      <c r="AV4225" s="11"/>
      <c r="AW4225" s="11"/>
      <c r="BB4225" s="9"/>
      <c r="BC4225" s="11"/>
      <c r="BF4225" s="9"/>
      <c r="CF4225" s="12"/>
      <c r="CH4225" s="9"/>
    </row>
    <row r="4226" spans="6:92" x14ac:dyDescent="0.25">
      <c r="F4226" s="9"/>
      <c r="G4226" s="9"/>
      <c r="AA4226" s="10"/>
      <c r="AV4226" s="11"/>
      <c r="AW4226" s="11"/>
      <c r="BB4226" s="9"/>
      <c r="BC4226" s="11"/>
      <c r="BF4226" s="9"/>
      <c r="CH4226" s="9"/>
    </row>
    <row r="4227" spans="6:92" x14ac:dyDescent="0.25">
      <c r="F4227" s="9"/>
      <c r="G4227" s="9"/>
      <c r="AA4227" s="10"/>
      <c r="AV4227" s="11"/>
      <c r="AW4227" s="11"/>
      <c r="BB4227" s="9"/>
      <c r="BC4227" s="11"/>
      <c r="BF4227" s="9"/>
      <c r="CF4227" s="12"/>
      <c r="CH4227" s="9"/>
    </row>
    <row r="4228" spans="6:92" x14ac:dyDescent="0.25">
      <c r="F4228" s="9"/>
      <c r="G4228" s="9"/>
      <c r="U4228" s="12"/>
      <c r="Z4228" s="12"/>
      <c r="AA4228" s="10"/>
      <c r="AV4228" s="11"/>
      <c r="AW4228" s="11"/>
      <c r="BB4228" s="9"/>
      <c r="BC4228" s="11"/>
      <c r="BF4228" s="9"/>
      <c r="CF4228" s="12"/>
      <c r="CH4228" s="9"/>
      <c r="CN4228" s="12"/>
    </row>
    <row r="4229" spans="6:92" x14ac:dyDescent="0.25">
      <c r="F4229" s="9"/>
      <c r="G4229" s="9"/>
      <c r="AA4229" s="10"/>
      <c r="AV4229" s="11"/>
      <c r="AW4229" s="11"/>
      <c r="BB4229" s="9"/>
      <c r="BC4229" s="11"/>
      <c r="BF4229" s="9"/>
      <c r="CF4229" s="12"/>
      <c r="CH4229" s="9"/>
    </row>
    <row r="4230" spans="6:92" x14ac:dyDescent="0.25">
      <c r="F4230" s="9"/>
      <c r="G4230" s="9"/>
      <c r="AA4230" s="10"/>
      <c r="AV4230" s="11"/>
      <c r="AW4230" s="11"/>
      <c r="BB4230" s="9"/>
      <c r="BC4230" s="11"/>
      <c r="BF4230" s="9"/>
      <c r="CF4230" s="12"/>
      <c r="CH4230" s="9"/>
    </row>
    <row r="4231" spans="6:92" x14ac:dyDescent="0.25">
      <c r="F4231" s="9"/>
      <c r="G4231" s="9"/>
      <c r="AA4231" s="10"/>
      <c r="AV4231" s="11"/>
      <c r="AW4231" s="11"/>
      <c r="BB4231" s="9"/>
      <c r="BC4231" s="11"/>
      <c r="BF4231" s="9"/>
      <c r="CH4231" s="9"/>
    </row>
    <row r="4232" spans="6:92" x14ac:dyDescent="0.25">
      <c r="F4232" s="9"/>
      <c r="G4232" s="9"/>
      <c r="AA4232" s="10"/>
      <c r="AV4232" s="11"/>
      <c r="AW4232" s="11"/>
      <c r="BB4232" s="9"/>
      <c r="BC4232" s="11"/>
      <c r="BF4232" s="9"/>
      <c r="CF4232" s="12"/>
      <c r="CH4232" s="9"/>
    </row>
    <row r="4233" spans="6:92" x14ac:dyDescent="0.25">
      <c r="F4233" s="9"/>
      <c r="G4233" s="9"/>
      <c r="AA4233" s="10"/>
      <c r="AV4233" s="11"/>
      <c r="AW4233" s="11"/>
      <c r="BB4233" s="9"/>
      <c r="BC4233" s="11"/>
      <c r="BF4233" s="9"/>
      <c r="CF4233" s="12"/>
      <c r="CH4233" s="9"/>
    </row>
    <row r="4234" spans="6:92" x14ac:dyDescent="0.25">
      <c r="F4234" s="9"/>
      <c r="G4234" s="9"/>
      <c r="AA4234" s="10"/>
      <c r="AV4234" s="11"/>
      <c r="AW4234" s="11"/>
      <c r="BB4234" s="9"/>
      <c r="BC4234" s="11"/>
      <c r="BF4234" s="9"/>
      <c r="CF4234" s="12"/>
      <c r="CH4234" s="9"/>
    </row>
    <row r="4235" spans="6:92" x14ac:dyDescent="0.25">
      <c r="F4235" s="9"/>
      <c r="G4235" s="9"/>
      <c r="AA4235" s="10"/>
      <c r="AV4235" s="11"/>
      <c r="AW4235" s="11"/>
      <c r="BB4235" s="9"/>
      <c r="BC4235" s="11"/>
      <c r="BF4235" s="9"/>
      <c r="CF4235" s="12"/>
      <c r="CH4235" s="9"/>
    </row>
    <row r="4236" spans="6:92" x14ac:dyDescent="0.25">
      <c r="F4236" s="9"/>
      <c r="G4236" s="9"/>
      <c r="AA4236" s="10"/>
      <c r="AV4236" s="11"/>
      <c r="AW4236" s="11"/>
      <c r="BB4236" s="9"/>
      <c r="BC4236" s="11"/>
      <c r="BF4236" s="9"/>
      <c r="CF4236" s="12"/>
      <c r="CH4236" s="9"/>
    </row>
    <row r="4237" spans="6:92" x14ac:dyDescent="0.25">
      <c r="F4237" s="9"/>
      <c r="G4237" s="9"/>
      <c r="AA4237" s="10"/>
      <c r="AV4237" s="11"/>
      <c r="AW4237" s="11"/>
      <c r="BB4237" s="9"/>
      <c r="BC4237" s="11"/>
      <c r="BF4237" s="9"/>
      <c r="CF4237" s="12"/>
      <c r="CH4237" s="9"/>
    </row>
    <row r="4238" spans="6:92" x14ac:dyDescent="0.25">
      <c r="F4238" s="9"/>
      <c r="G4238" s="9"/>
      <c r="AA4238" s="10"/>
      <c r="AV4238" s="11"/>
      <c r="AW4238" s="11"/>
      <c r="BB4238" s="9"/>
      <c r="BC4238" s="11"/>
      <c r="BF4238" s="9"/>
      <c r="CF4238" s="12"/>
      <c r="CH4238" s="9"/>
    </row>
    <row r="4239" spans="6:92" x14ac:dyDescent="0.25">
      <c r="F4239" s="9"/>
      <c r="G4239" s="9"/>
      <c r="AA4239" s="10"/>
      <c r="AV4239" s="11"/>
      <c r="AW4239" s="11"/>
      <c r="BB4239" s="9"/>
      <c r="BC4239" s="11"/>
      <c r="BF4239" s="9"/>
      <c r="CF4239" s="12"/>
      <c r="CH4239" s="9"/>
    </row>
    <row r="4240" spans="6:92" x14ac:dyDescent="0.25">
      <c r="F4240" s="9"/>
      <c r="G4240" s="9"/>
      <c r="AA4240" s="10"/>
      <c r="AV4240" s="11"/>
      <c r="AW4240" s="11"/>
      <c r="BB4240" s="9"/>
      <c r="BC4240" s="11"/>
      <c r="BF4240" s="9"/>
      <c r="CF4240" s="12"/>
      <c r="CH4240" s="9"/>
    </row>
    <row r="4241" spans="6:86" x14ac:dyDescent="0.25">
      <c r="F4241" s="9"/>
      <c r="G4241" s="9"/>
      <c r="AA4241" s="10"/>
      <c r="AV4241" s="11"/>
      <c r="AW4241" s="11"/>
      <c r="BB4241" s="9"/>
      <c r="BC4241" s="11"/>
      <c r="BF4241" s="9"/>
      <c r="CH4241" s="9"/>
    </row>
    <row r="4242" spans="6:86" x14ac:dyDescent="0.25">
      <c r="F4242" s="9"/>
      <c r="G4242" s="9"/>
      <c r="AA4242" s="10"/>
      <c r="AV4242" s="11"/>
      <c r="AW4242" s="11"/>
      <c r="BB4242" s="9"/>
      <c r="BC4242" s="11"/>
      <c r="BF4242" s="9"/>
      <c r="CF4242" s="12"/>
      <c r="CH4242" s="9"/>
    </row>
    <row r="4243" spans="6:86" x14ac:dyDescent="0.25">
      <c r="F4243" s="9"/>
      <c r="G4243" s="9"/>
      <c r="AA4243" s="10"/>
      <c r="AV4243" s="11"/>
      <c r="AW4243" s="11"/>
      <c r="BB4243" s="9"/>
      <c r="BC4243" s="11"/>
      <c r="BF4243" s="9"/>
      <c r="CF4243" s="12"/>
      <c r="CH4243" s="9"/>
    </row>
    <row r="4244" spans="6:86" x14ac:dyDescent="0.25">
      <c r="F4244" s="9"/>
      <c r="G4244" s="9"/>
      <c r="AA4244" s="10"/>
      <c r="AV4244" s="11"/>
      <c r="AW4244" s="11"/>
      <c r="BB4244" s="9"/>
      <c r="BC4244" s="11"/>
      <c r="BF4244" s="9"/>
      <c r="CF4244" s="12"/>
      <c r="CH4244" s="9"/>
    </row>
    <row r="4245" spans="6:86" x14ac:dyDescent="0.25">
      <c r="F4245" s="9"/>
      <c r="G4245" s="9"/>
      <c r="AA4245" s="10"/>
      <c r="AV4245" s="11"/>
      <c r="AW4245" s="11"/>
      <c r="BB4245" s="9"/>
      <c r="BC4245" s="11"/>
      <c r="BF4245" s="9"/>
      <c r="CF4245" s="12"/>
      <c r="CH4245" s="9"/>
    </row>
    <row r="4246" spans="6:86" x14ac:dyDescent="0.25">
      <c r="F4246" s="9"/>
      <c r="G4246" s="9"/>
      <c r="AA4246" s="10"/>
      <c r="AV4246" s="11"/>
      <c r="AW4246" s="11"/>
      <c r="BB4246" s="9"/>
      <c r="BC4246" s="11"/>
      <c r="BF4246" s="9"/>
      <c r="CF4246" s="12"/>
      <c r="CH4246" s="9"/>
    </row>
    <row r="4247" spans="6:86" x14ac:dyDescent="0.25">
      <c r="F4247" s="9"/>
      <c r="G4247" s="9"/>
      <c r="AA4247" s="10"/>
      <c r="AV4247" s="11"/>
      <c r="AW4247" s="11"/>
      <c r="BB4247" s="9"/>
      <c r="BC4247" s="11"/>
      <c r="BF4247" s="9"/>
      <c r="CF4247" s="12"/>
      <c r="CH4247" s="9"/>
    </row>
    <row r="4248" spans="6:86" x14ac:dyDescent="0.25">
      <c r="F4248" s="9"/>
      <c r="G4248" s="9"/>
      <c r="AA4248" s="10"/>
      <c r="AV4248" s="11"/>
      <c r="AW4248" s="11"/>
      <c r="BB4248" s="9"/>
      <c r="BC4248" s="11"/>
      <c r="BF4248" s="9"/>
      <c r="CF4248" s="12"/>
      <c r="CH4248" s="9"/>
    </row>
    <row r="4249" spans="6:86" x14ac:dyDescent="0.25">
      <c r="F4249" s="9"/>
      <c r="G4249" s="9"/>
      <c r="AA4249" s="10"/>
      <c r="AV4249" s="11"/>
      <c r="AW4249" s="11"/>
      <c r="BB4249" s="9"/>
      <c r="BC4249" s="11"/>
      <c r="BF4249" s="9"/>
      <c r="CF4249" s="12"/>
      <c r="CH4249" s="9"/>
    </row>
    <row r="4250" spans="6:86" x14ac:dyDescent="0.25">
      <c r="F4250" s="9"/>
      <c r="G4250" s="9"/>
      <c r="AA4250" s="10"/>
      <c r="AV4250" s="11"/>
      <c r="AW4250" s="11"/>
      <c r="BB4250" s="9"/>
      <c r="BC4250" s="11"/>
      <c r="BF4250" s="9"/>
      <c r="CF4250" s="12"/>
      <c r="CH4250" s="9"/>
    </row>
    <row r="4251" spans="6:86" x14ac:dyDescent="0.25">
      <c r="F4251" s="9"/>
      <c r="G4251" s="9"/>
      <c r="AA4251" s="10"/>
      <c r="AV4251" s="11"/>
      <c r="AW4251" s="11"/>
      <c r="BB4251" s="9"/>
      <c r="BC4251" s="11"/>
      <c r="BF4251" s="9"/>
      <c r="CF4251" s="12"/>
      <c r="CH4251" s="9"/>
    </row>
    <row r="4252" spans="6:86" x14ac:dyDescent="0.25">
      <c r="F4252" s="9"/>
      <c r="G4252" s="9"/>
      <c r="AA4252" s="10"/>
      <c r="AV4252" s="11"/>
      <c r="AW4252" s="11"/>
      <c r="BB4252" s="9"/>
      <c r="BC4252" s="11"/>
      <c r="BF4252" s="9"/>
      <c r="CF4252" s="12"/>
      <c r="CH4252" s="9"/>
    </row>
    <row r="4253" spans="6:86" x14ac:dyDescent="0.25">
      <c r="F4253" s="9"/>
      <c r="G4253" s="9"/>
      <c r="AA4253" s="10"/>
      <c r="AV4253" s="11"/>
      <c r="AW4253" s="11"/>
      <c r="BB4253" s="9"/>
      <c r="BC4253" s="11"/>
      <c r="BF4253" s="9"/>
      <c r="CF4253" s="12"/>
      <c r="CH4253" s="9"/>
    </row>
    <row r="4254" spans="6:86" x14ac:dyDescent="0.25">
      <c r="F4254" s="9"/>
      <c r="G4254" s="9"/>
      <c r="AA4254" s="10"/>
      <c r="AV4254" s="11"/>
      <c r="AW4254" s="11"/>
      <c r="BB4254" s="9"/>
      <c r="BC4254" s="11"/>
      <c r="BF4254" s="9"/>
      <c r="CF4254" s="12"/>
      <c r="CH4254" s="9"/>
    </row>
    <row r="4255" spans="6:86" x14ac:dyDescent="0.25">
      <c r="F4255" s="9"/>
      <c r="G4255" s="9"/>
      <c r="AA4255" s="10"/>
      <c r="AV4255" s="11"/>
      <c r="AW4255" s="11"/>
      <c r="BB4255" s="9"/>
      <c r="BC4255" s="11"/>
      <c r="BF4255" s="9"/>
      <c r="CF4255" s="12"/>
      <c r="CH4255" s="9"/>
    </row>
    <row r="4256" spans="6:86" x14ac:dyDescent="0.25">
      <c r="F4256" s="9"/>
      <c r="G4256" s="9"/>
      <c r="AA4256" s="10"/>
      <c r="AV4256" s="11"/>
      <c r="AW4256" s="11"/>
      <c r="BB4256" s="9"/>
      <c r="BC4256" s="11"/>
      <c r="BF4256" s="9"/>
      <c r="CF4256" s="12"/>
      <c r="CH4256" s="9"/>
    </row>
    <row r="4257" spans="6:86" x14ac:dyDescent="0.25">
      <c r="F4257" s="9"/>
      <c r="G4257" s="9"/>
      <c r="AA4257" s="10"/>
      <c r="AV4257" s="11"/>
      <c r="AW4257" s="11"/>
      <c r="BB4257" s="9"/>
      <c r="BC4257" s="11"/>
      <c r="BF4257" s="9"/>
      <c r="CF4257" s="12"/>
      <c r="CH4257" s="9"/>
    </row>
    <row r="4258" spans="6:86" x14ac:dyDescent="0.25">
      <c r="F4258" s="9"/>
      <c r="G4258" s="9"/>
      <c r="AA4258" s="10"/>
      <c r="AV4258" s="11"/>
      <c r="AW4258" s="11"/>
      <c r="BB4258" s="9"/>
      <c r="BC4258" s="11"/>
      <c r="BF4258" s="9"/>
      <c r="CF4258" s="12"/>
      <c r="CH4258" s="9"/>
    </row>
    <row r="4259" spans="6:86" x14ac:dyDescent="0.25">
      <c r="F4259" s="9"/>
      <c r="G4259" s="9"/>
      <c r="AA4259" s="10"/>
      <c r="AV4259" s="11"/>
      <c r="AW4259" s="11"/>
      <c r="BB4259" s="9"/>
      <c r="BC4259" s="11"/>
      <c r="BF4259" s="9"/>
      <c r="CH4259" s="9"/>
    </row>
    <row r="4260" spans="6:86" x14ac:dyDescent="0.25">
      <c r="F4260" s="9"/>
      <c r="G4260" s="9"/>
      <c r="AA4260" s="10"/>
      <c r="AV4260" s="11"/>
      <c r="AW4260" s="11"/>
      <c r="BB4260" s="9"/>
      <c r="BC4260" s="11"/>
      <c r="BF4260" s="9"/>
      <c r="CH4260" s="9"/>
    </row>
    <row r="4261" spans="6:86" x14ac:dyDescent="0.25">
      <c r="F4261" s="9"/>
      <c r="G4261" s="9"/>
      <c r="AA4261" s="10"/>
      <c r="AV4261" s="11"/>
      <c r="AW4261" s="11"/>
      <c r="BB4261" s="9"/>
      <c r="BC4261" s="11"/>
      <c r="BF4261" s="9"/>
      <c r="CF4261" s="12"/>
      <c r="CH4261" s="9"/>
    </row>
    <row r="4262" spans="6:86" x14ac:dyDescent="0.25">
      <c r="F4262" s="9"/>
      <c r="G4262" s="9"/>
      <c r="AA4262" s="10"/>
      <c r="AV4262" s="11"/>
      <c r="AW4262" s="11"/>
      <c r="BB4262" s="9"/>
      <c r="BC4262" s="11"/>
      <c r="BF4262" s="9"/>
      <c r="CF4262" s="12"/>
      <c r="CH4262" s="9"/>
    </row>
    <row r="4263" spans="6:86" x14ac:dyDescent="0.25">
      <c r="F4263" s="9"/>
      <c r="G4263" s="9"/>
      <c r="AA4263" s="10"/>
      <c r="AV4263" s="11"/>
      <c r="AW4263" s="11"/>
      <c r="BB4263" s="9"/>
      <c r="BC4263" s="11"/>
      <c r="BF4263" s="9"/>
      <c r="CF4263" s="12"/>
      <c r="CH4263" s="9"/>
    </row>
    <row r="4264" spans="6:86" x14ac:dyDescent="0.25">
      <c r="F4264" s="9"/>
      <c r="G4264" s="9"/>
      <c r="AA4264" s="10"/>
      <c r="AV4264" s="11"/>
      <c r="AW4264" s="11"/>
      <c r="BB4264" s="9"/>
      <c r="BC4264" s="11"/>
      <c r="BF4264" s="9"/>
      <c r="CF4264" s="12"/>
      <c r="CH4264" s="9"/>
    </row>
    <row r="4265" spans="6:86" x14ac:dyDescent="0.25">
      <c r="F4265" s="9"/>
      <c r="G4265" s="9"/>
      <c r="AA4265" s="10"/>
      <c r="AV4265" s="11"/>
      <c r="AW4265" s="11"/>
      <c r="BB4265" s="9"/>
      <c r="BC4265" s="11"/>
      <c r="BF4265" s="9"/>
      <c r="CF4265" s="12"/>
      <c r="CH4265" s="9"/>
    </row>
    <row r="4266" spans="6:86" x14ac:dyDescent="0.25">
      <c r="F4266" s="9"/>
      <c r="G4266" s="9"/>
      <c r="AA4266" s="10"/>
      <c r="AV4266" s="11"/>
      <c r="AW4266" s="11"/>
      <c r="BB4266" s="9"/>
      <c r="BC4266" s="11"/>
      <c r="BF4266" s="9"/>
      <c r="CF4266" s="12"/>
      <c r="CH4266" s="9"/>
    </row>
    <row r="4267" spans="6:86" x14ac:dyDescent="0.25">
      <c r="F4267" s="9"/>
      <c r="G4267" s="9"/>
      <c r="AA4267" s="10"/>
      <c r="AV4267" s="11"/>
      <c r="AW4267" s="11"/>
      <c r="BB4267" s="9"/>
      <c r="BC4267" s="11"/>
      <c r="BF4267" s="9"/>
      <c r="CF4267" s="12"/>
      <c r="CH4267" s="9"/>
    </row>
    <row r="4268" spans="6:86" x14ac:dyDescent="0.25">
      <c r="F4268" s="9"/>
      <c r="G4268" s="9"/>
      <c r="AA4268" s="10"/>
      <c r="AV4268" s="11"/>
      <c r="AW4268" s="11"/>
      <c r="BB4268" s="9"/>
      <c r="BC4268" s="11"/>
      <c r="BF4268" s="9"/>
      <c r="CF4268" s="12"/>
      <c r="CH4268" s="9"/>
    </row>
    <row r="4269" spans="6:86" x14ac:dyDescent="0.25">
      <c r="F4269" s="9"/>
      <c r="G4269" s="9"/>
      <c r="AA4269" s="10"/>
      <c r="AV4269" s="11"/>
      <c r="AW4269" s="11"/>
      <c r="BB4269" s="9"/>
      <c r="BC4269" s="11"/>
      <c r="BF4269" s="9"/>
      <c r="CF4269" s="12"/>
      <c r="CH4269" s="9"/>
    </row>
    <row r="4270" spans="6:86" x14ac:dyDescent="0.25">
      <c r="F4270" s="9"/>
      <c r="G4270" s="9"/>
      <c r="AA4270" s="10"/>
      <c r="AV4270" s="11"/>
      <c r="AW4270" s="11"/>
      <c r="BB4270" s="9"/>
      <c r="BC4270" s="11"/>
      <c r="BF4270" s="9"/>
      <c r="CF4270" s="12"/>
      <c r="CH4270" s="9"/>
    </row>
    <row r="4271" spans="6:86" x14ac:dyDescent="0.25">
      <c r="F4271" s="9"/>
      <c r="G4271" s="9"/>
      <c r="AA4271" s="10"/>
      <c r="AV4271" s="11"/>
      <c r="AW4271" s="11"/>
      <c r="BB4271" s="9"/>
      <c r="BC4271" s="11"/>
      <c r="BF4271" s="9"/>
      <c r="CF4271" s="12"/>
      <c r="CH4271" s="9"/>
    </row>
    <row r="4272" spans="6:86" x14ac:dyDescent="0.25">
      <c r="F4272" s="9"/>
      <c r="G4272" s="9"/>
      <c r="AA4272" s="10"/>
      <c r="AV4272" s="11"/>
      <c r="AW4272" s="11"/>
      <c r="BB4272" s="9"/>
      <c r="BC4272" s="11"/>
      <c r="BF4272" s="9"/>
      <c r="CH4272" s="9"/>
    </row>
    <row r="4273" spans="6:86" x14ac:dyDescent="0.25">
      <c r="F4273" s="9"/>
      <c r="G4273" s="9"/>
      <c r="AA4273" s="10"/>
      <c r="AV4273" s="11"/>
      <c r="AW4273" s="11"/>
      <c r="BB4273" s="9"/>
      <c r="BC4273" s="11"/>
      <c r="BF4273" s="9"/>
      <c r="CF4273" s="12"/>
      <c r="CH4273" s="9"/>
    </row>
    <row r="4274" spans="6:86" x14ac:dyDescent="0.25">
      <c r="F4274" s="9"/>
      <c r="G4274" s="9"/>
      <c r="AA4274" s="10"/>
      <c r="AV4274" s="11"/>
      <c r="AW4274" s="11"/>
      <c r="BB4274" s="9"/>
      <c r="BC4274" s="11"/>
      <c r="BF4274" s="9"/>
      <c r="CF4274" s="12"/>
      <c r="CH4274" s="9"/>
    </row>
    <row r="4275" spans="6:86" x14ac:dyDescent="0.25">
      <c r="F4275" s="9"/>
      <c r="G4275" s="9"/>
      <c r="AA4275" s="10"/>
      <c r="AV4275" s="11"/>
      <c r="AW4275" s="11"/>
      <c r="BB4275" s="9"/>
      <c r="BC4275" s="11"/>
      <c r="BF4275" s="9"/>
      <c r="CF4275" s="12"/>
      <c r="CH4275" s="9"/>
    </row>
    <row r="4276" spans="6:86" x14ac:dyDescent="0.25">
      <c r="F4276" s="9"/>
      <c r="G4276" s="9"/>
      <c r="AA4276" s="10"/>
      <c r="AV4276" s="11"/>
      <c r="AW4276" s="11"/>
      <c r="BB4276" s="9"/>
      <c r="BC4276" s="11"/>
      <c r="BF4276" s="9"/>
      <c r="CF4276" s="12"/>
      <c r="CH4276" s="9"/>
    </row>
    <row r="4277" spans="6:86" x14ac:dyDescent="0.25">
      <c r="F4277" s="9"/>
      <c r="G4277" s="9"/>
      <c r="AA4277" s="10"/>
      <c r="AV4277" s="11"/>
      <c r="AW4277" s="11"/>
      <c r="BB4277" s="9"/>
      <c r="BC4277" s="11"/>
      <c r="BF4277" s="9"/>
      <c r="CF4277" s="12"/>
      <c r="CH4277" s="9"/>
    </row>
    <row r="4278" spans="6:86" x14ac:dyDescent="0.25">
      <c r="F4278" s="9"/>
      <c r="G4278" s="9"/>
      <c r="AA4278" s="10"/>
      <c r="AV4278" s="11"/>
      <c r="AW4278" s="11"/>
      <c r="BB4278" s="9"/>
      <c r="BC4278" s="11"/>
      <c r="BF4278" s="9"/>
      <c r="CF4278" s="12"/>
      <c r="CH4278" s="9"/>
    </row>
    <row r="4279" spans="6:86" x14ac:dyDescent="0.25">
      <c r="F4279" s="9"/>
      <c r="G4279" s="9"/>
      <c r="AA4279" s="10"/>
      <c r="AV4279" s="11"/>
      <c r="AW4279" s="11"/>
      <c r="BB4279" s="9"/>
      <c r="BC4279" s="11"/>
      <c r="BF4279" s="9"/>
      <c r="CF4279" s="12"/>
      <c r="CH4279" s="9"/>
    </row>
    <row r="4280" spans="6:86" x14ac:dyDescent="0.25">
      <c r="F4280" s="9"/>
      <c r="G4280" s="9"/>
      <c r="AA4280" s="10"/>
      <c r="AV4280" s="11"/>
      <c r="AW4280" s="11"/>
      <c r="BB4280" s="9"/>
      <c r="BC4280" s="11"/>
      <c r="BF4280" s="9"/>
      <c r="CF4280" s="12"/>
      <c r="CH4280" s="9"/>
    </row>
    <row r="4281" spans="6:86" x14ac:dyDescent="0.25">
      <c r="F4281" s="9"/>
      <c r="G4281" s="9"/>
      <c r="AA4281" s="10"/>
      <c r="AV4281" s="11"/>
      <c r="AW4281" s="11"/>
      <c r="BB4281" s="9"/>
      <c r="BC4281" s="11"/>
      <c r="BF4281" s="9"/>
      <c r="CH4281" s="9"/>
    </row>
    <row r="4282" spans="6:86" x14ac:dyDescent="0.25">
      <c r="F4282" s="9"/>
      <c r="G4282" s="9"/>
      <c r="AA4282" s="10"/>
      <c r="AV4282" s="11"/>
      <c r="AW4282" s="11"/>
      <c r="BB4282" s="9"/>
      <c r="BC4282" s="11"/>
      <c r="BF4282" s="9"/>
      <c r="CF4282" s="12"/>
      <c r="CH4282" s="9"/>
    </row>
    <row r="4283" spans="6:86" x14ac:dyDescent="0.25">
      <c r="F4283" s="9"/>
      <c r="G4283" s="9"/>
      <c r="AA4283" s="10"/>
      <c r="AV4283" s="11"/>
      <c r="AW4283" s="11"/>
      <c r="BB4283" s="9"/>
      <c r="BC4283" s="11"/>
      <c r="BF4283" s="9"/>
      <c r="CF4283" s="12"/>
      <c r="CH4283" s="9"/>
    </row>
    <row r="4284" spans="6:86" x14ac:dyDescent="0.25">
      <c r="F4284" s="9"/>
      <c r="G4284" s="9"/>
      <c r="AA4284" s="10"/>
      <c r="AV4284" s="11"/>
      <c r="AW4284" s="11"/>
      <c r="BB4284" s="9"/>
      <c r="BC4284" s="11"/>
      <c r="BF4284" s="9"/>
      <c r="CF4284" s="12"/>
      <c r="CH4284" s="9"/>
    </row>
    <row r="4285" spans="6:86" x14ac:dyDescent="0.25">
      <c r="F4285" s="9"/>
      <c r="G4285" s="9"/>
      <c r="AA4285" s="10"/>
      <c r="AV4285" s="11"/>
      <c r="AW4285" s="11"/>
      <c r="BB4285" s="9"/>
      <c r="BC4285" s="11"/>
      <c r="BF4285" s="9"/>
      <c r="CF4285" s="12"/>
      <c r="CH4285" s="9"/>
    </row>
    <row r="4286" spans="6:86" x14ac:dyDescent="0.25">
      <c r="F4286" s="9"/>
      <c r="G4286" s="9"/>
      <c r="AA4286" s="10"/>
      <c r="AV4286" s="11"/>
      <c r="AW4286" s="11"/>
      <c r="BB4286" s="9"/>
      <c r="BC4286" s="11"/>
      <c r="BF4286" s="9"/>
      <c r="CF4286" s="12"/>
      <c r="CH4286" s="9"/>
    </row>
    <row r="4287" spans="6:86" x14ac:dyDescent="0.25">
      <c r="F4287" s="9"/>
      <c r="G4287" s="9"/>
      <c r="AA4287" s="10"/>
      <c r="AV4287" s="11"/>
      <c r="AW4287" s="11"/>
      <c r="BB4287" s="9"/>
      <c r="BC4287" s="11"/>
      <c r="BF4287" s="9"/>
      <c r="CF4287" s="12"/>
      <c r="CH4287" s="9"/>
    </row>
    <row r="4288" spans="6:86" x14ac:dyDescent="0.25">
      <c r="F4288" s="9"/>
      <c r="G4288" s="9"/>
      <c r="AA4288" s="10"/>
      <c r="AV4288" s="11"/>
      <c r="AW4288" s="11"/>
      <c r="BB4288" s="9"/>
      <c r="BC4288" s="11"/>
      <c r="BF4288" s="9"/>
      <c r="CF4288" s="12"/>
      <c r="CH4288" s="9"/>
    </row>
    <row r="4289" spans="6:86" x14ac:dyDescent="0.25">
      <c r="F4289" s="9"/>
      <c r="G4289" s="9"/>
      <c r="AA4289" s="10"/>
      <c r="AV4289" s="11"/>
      <c r="AW4289" s="11"/>
      <c r="BB4289" s="9"/>
      <c r="BC4289" s="11"/>
      <c r="BF4289" s="9"/>
      <c r="CF4289" s="12"/>
      <c r="CH4289" s="9"/>
    </row>
    <row r="4290" spans="6:86" x14ac:dyDescent="0.25">
      <c r="F4290" s="9"/>
      <c r="G4290" s="9"/>
      <c r="AA4290" s="10"/>
      <c r="AV4290" s="11"/>
      <c r="AW4290" s="11"/>
      <c r="BB4290" s="9"/>
      <c r="BC4290" s="11"/>
      <c r="BF4290" s="9"/>
      <c r="CF4290" s="12"/>
      <c r="CH4290" s="9"/>
    </row>
    <row r="4291" spans="6:86" x14ac:dyDescent="0.25">
      <c r="F4291" s="9"/>
      <c r="G4291" s="9"/>
      <c r="AA4291" s="10"/>
      <c r="AV4291" s="11"/>
      <c r="AW4291" s="11"/>
      <c r="BB4291" s="9"/>
      <c r="BC4291" s="11"/>
      <c r="BF4291" s="9"/>
      <c r="CF4291" s="12"/>
      <c r="CH4291" s="9"/>
    </row>
    <row r="4292" spans="6:86" x14ac:dyDescent="0.25">
      <c r="F4292" s="9"/>
      <c r="G4292" s="9"/>
      <c r="AA4292" s="10"/>
      <c r="AV4292" s="11"/>
      <c r="AW4292" s="11"/>
      <c r="BB4292" s="9"/>
      <c r="BC4292" s="11"/>
      <c r="BF4292" s="9"/>
      <c r="CF4292" s="12"/>
      <c r="CH4292" s="9"/>
    </row>
    <row r="4293" spans="6:86" x14ac:dyDescent="0.25">
      <c r="F4293" s="9"/>
      <c r="G4293" s="9"/>
      <c r="AA4293" s="10"/>
      <c r="AV4293" s="11"/>
      <c r="AW4293" s="11"/>
      <c r="BB4293" s="9"/>
      <c r="BC4293" s="11"/>
      <c r="BF4293" s="9"/>
      <c r="CF4293" s="12"/>
      <c r="CH4293" s="9"/>
    </row>
    <row r="4294" spans="6:86" x14ac:dyDescent="0.25">
      <c r="F4294" s="9"/>
      <c r="G4294" s="9"/>
      <c r="AA4294" s="10"/>
      <c r="AV4294" s="11"/>
      <c r="AW4294" s="11"/>
      <c r="BB4294" s="9"/>
      <c r="BC4294" s="11"/>
      <c r="BF4294" s="9"/>
      <c r="CF4294" s="12"/>
      <c r="CH4294" s="9"/>
    </row>
    <row r="4295" spans="6:86" x14ac:dyDescent="0.25">
      <c r="F4295" s="9"/>
      <c r="G4295" s="9"/>
      <c r="AA4295" s="10"/>
      <c r="AV4295" s="11"/>
      <c r="AW4295" s="11"/>
      <c r="BB4295" s="9"/>
      <c r="BC4295" s="11"/>
      <c r="BF4295" s="9"/>
      <c r="CF4295" s="12"/>
      <c r="CH4295" s="9"/>
    </row>
    <row r="4296" spans="6:86" x14ac:dyDescent="0.25">
      <c r="F4296" s="9"/>
      <c r="G4296" s="9"/>
      <c r="AA4296" s="10"/>
      <c r="AV4296" s="11"/>
      <c r="AW4296" s="11"/>
      <c r="BB4296" s="9"/>
      <c r="BC4296" s="11"/>
      <c r="BF4296" s="9"/>
      <c r="CH4296" s="9"/>
    </row>
    <row r="4297" spans="6:86" x14ac:dyDescent="0.25">
      <c r="F4297" s="9"/>
      <c r="G4297" s="9"/>
      <c r="AA4297" s="10"/>
      <c r="AV4297" s="11"/>
      <c r="AW4297" s="11"/>
      <c r="BB4297" s="9"/>
      <c r="BC4297" s="11"/>
      <c r="BF4297" s="9"/>
      <c r="CH4297" s="9"/>
    </row>
    <row r="4298" spans="6:86" x14ac:dyDescent="0.25">
      <c r="F4298" s="9"/>
      <c r="G4298" s="9"/>
      <c r="AA4298" s="10"/>
      <c r="AV4298" s="11"/>
      <c r="AW4298" s="11"/>
      <c r="BB4298" s="9"/>
      <c r="BC4298" s="11"/>
      <c r="BF4298" s="9"/>
      <c r="CF4298" s="12"/>
      <c r="CH4298" s="9"/>
    </row>
    <row r="4299" spans="6:86" x14ac:dyDescent="0.25">
      <c r="F4299" s="9"/>
      <c r="G4299" s="9"/>
      <c r="AA4299" s="10"/>
      <c r="AV4299" s="11"/>
      <c r="AW4299" s="11"/>
      <c r="BB4299" s="9"/>
      <c r="BC4299" s="11"/>
      <c r="BF4299" s="9"/>
      <c r="CF4299" s="12"/>
      <c r="CH4299" s="9"/>
    </row>
    <row r="4300" spans="6:86" x14ac:dyDescent="0.25">
      <c r="F4300" s="9"/>
      <c r="G4300" s="9"/>
      <c r="AA4300" s="10"/>
      <c r="AV4300" s="11"/>
      <c r="AW4300" s="11"/>
      <c r="BB4300" s="9"/>
      <c r="BC4300" s="11"/>
      <c r="BF4300" s="9"/>
      <c r="CF4300" s="12"/>
      <c r="CH4300" s="9"/>
    </row>
    <row r="4301" spans="6:86" x14ac:dyDescent="0.25">
      <c r="F4301" s="9"/>
      <c r="G4301" s="9"/>
      <c r="AA4301" s="10"/>
      <c r="AV4301" s="11"/>
      <c r="AW4301" s="11"/>
      <c r="BB4301" s="9"/>
      <c r="BC4301" s="11"/>
      <c r="BF4301" s="9"/>
      <c r="CH4301" s="9"/>
    </row>
    <row r="4302" spans="6:86" x14ac:dyDescent="0.25">
      <c r="F4302" s="9"/>
      <c r="G4302" s="9"/>
      <c r="AA4302" s="10"/>
      <c r="AV4302" s="11"/>
      <c r="AW4302" s="11"/>
      <c r="BB4302" s="9"/>
      <c r="BC4302" s="11"/>
      <c r="BF4302" s="9"/>
      <c r="CF4302" s="12"/>
      <c r="CH4302" s="9"/>
    </row>
    <row r="4303" spans="6:86" x14ac:dyDescent="0.25">
      <c r="F4303" s="9"/>
      <c r="G4303" s="9"/>
      <c r="AA4303" s="10"/>
      <c r="AV4303" s="11"/>
      <c r="AW4303" s="11"/>
      <c r="BB4303" s="9"/>
      <c r="BC4303" s="11"/>
      <c r="BF4303" s="9"/>
      <c r="CF4303" s="12"/>
      <c r="CH4303" s="9"/>
    </row>
    <row r="4304" spans="6:86" x14ac:dyDescent="0.25">
      <c r="F4304" s="9"/>
      <c r="G4304" s="9"/>
      <c r="AA4304" s="10"/>
      <c r="AV4304" s="11"/>
      <c r="AW4304" s="11"/>
      <c r="BB4304" s="9"/>
      <c r="BC4304" s="11"/>
      <c r="BF4304" s="9"/>
      <c r="CH4304" s="9"/>
    </row>
    <row r="4305" spans="6:92" x14ac:dyDescent="0.25">
      <c r="F4305" s="9"/>
      <c r="G4305" s="9"/>
      <c r="AA4305" s="10"/>
      <c r="AV4305" s="11"/>
      <c r="AW4305" s="11"/>
      <c r="BB4305" s="9"/>
      <c r="BC4305" s="11"/>
      <c r="BF4305" s="9"/>
      <c r="CH4305" s="9"/>
    </row>
    <row r="4306" spans="6:92" x14ac:dyDescent="0.25">
      <c r="F4306" s="9"/>
      <c r="G4306" s="9"/>
      <c r="AA4306" s="10"/>
      <c r="AV4306" s="11"/>
      <c r="AW4306" s="11"/>
      <c r="BB4306" s="9"/>
      <c r="BC4306" s="11"/>
      <c r="BF4306" s="9"/>
      <c r="CF4306" s="12"/>
      <c r="CH4306" s="9"/>
    </row>
    <row r="4307" spans="6:92" x14ac:dyDescent="0.25">
      <c r="F4307" s="9"/>
      <c r="G4307" s="9"/>
      <c r="AA4307" s="10"/>
      <c r="AV4307" s="11"/>
      <c r="AW4307" s="11"/>
      <c r="BB4307" s="9"/>
      <c r="BC4307" s="11"/>
      <c r="BF4307" s="9"/>
      <c r="CH4307" s="9"/>
    </row>
    <row r="4308" spans="6:92" x14ac:dyDescent="0.25">
      <c r="F4308" s="9"/>
      <c r="G4308" s="9"/>
      <c r="AA4308" s="10"/>
      <c r="AV4308" s="11"/>
      <c r="AW4308" s="11"/>
      <c r="BB4308" s="9"/>
      <c r="BC4308" s="11"/>
      <c r="BF4308" s="9"/>
      <c r="CF4308" s="12"/>
      <c r="CH4308" s="9"/>
    </row>
    <row r="4309" spans="6:92" x14ac:dyDescent="0.25">
      <c r="F4309" s="9"/>
      <c r="G4309" s="9"/>
      <c r="AA4309" s="10"/>
      <c r="AV4309" s="11"/>
      <c r="AW4309" s="11"/>
      <c r="BB4309" s="9"/>
      <c r="BC4309" s="11"/>
      <c r="BF4309" s="9"/>
      <c r="CF4309" s="12"/>
      <c r="CH4309" s="9"/>
    </row>
    <row r="4310" spans="6:92" x14ac:dyDescent="0.25">
      <c r="F4310" s="9"/>
      <c r="G4310" s="9"/>
      <c r="AA4310" s="10"/>
      <c r="AV4310" s="11"/>
      <c r="AW4310" s="11"/>
      <c r="BB4310" s="9"/>
      <c r="BC4310" s="11"/>
      <c r="BF4310" s="9"/>
      <c r="CH4310" s="9"/>
    </row>
    <row r="4311" spans="6:92" x14ac:dyDescent="0.25">
      <c r="F4311" s="9"/>
      <c r="G4311" s="9"/>
      <c r="AA4311" s="10"/>
      <c r="AV4311" s="11"/>
      <c r="AW4311" s="11"/>
      <c r="BB4311" s="9"/>
      <c r="BC4311" s="11"/>
      <c r="BF4311" s="9"/>
      <c r="CH4311" s="9"/>
    </row>
    <row r="4312" spans="6:92" x14ac:dyDescent="0.25">
      <c r="F4312" s="9"/>
      <c r="G4312" s="9"/>
      <c r="AA4312" s="10"/>
      <c r="AV4312" s="11"/>
      <c r="AW4312" s="11"/>
      <c r="BB4312" s="9"/>
      <c r="BC4312" s="11"/>
      <c r="BF4312" s="9"/>
      <c r="CF4312" s="12"/>
      <c r="CH4312" s="9"/>
    </row>
    <row r="4313" spans="6:92" x14ac:dyDescent="0.25">
      <c r="F4313" s="9"/>
      <c r="G4313" s="9"/>
      <c r="AA4313" s="10"/>
      <c r="AV4313" s="11"/>
      <c r="AW4313" s="11"/>
      <c r="BB4313" s="9"/>
      <c r="BC4313" s="11"/>
      <c r="BF4313" s="9"/>
      <c r="CF4313" s="12"/>
      <c r="CH4313" s="9"/>
    </row>
    <row r="4314" spans="6:92" x14ac:dyDescent="0.25">
      <c r="F4314" s="9"/>
      <c r="G4314" s="9"/>
      <c r="AA4314" s="10"/>
      <c r="AV4314" s="11"/>
      <c r="AW4314" s="11"/>
      <c r="BB4314" s="9"/>
      <c r="BC4314" s="11"/>
      <c r="BF4314" s="9"/>
      <c r="CF4314" s="12"/>
      <c r="CH4314" s="9"/>
    </row>
    <row r="4315" spans="6:92" x14ac:dyDescent="0.25">
      <c r="F4315" s="9"/>
      <c r="G4315" s="9"/>
      <c r="AA4315" s="10"/>
      <c r="AV4315" s="11"/>
      <c r="AW4315" s="11"/>
      <c r="BB4315" s="9"/>
      <c r="BC4315" s="11"/>
      <c r="BF4315" s="9"/>
      <c r="CF4315" s="12"/>
      <c r="CH4315" s="9"/>
    </row>
    <row r="4316" spans="6:92" x14ac:dyDescent="0.25">
      <c r="F4316" s="9"/>
      <c r="G4316" s="9"/>
      <c r="AA4316" s="10"/>
      <c r="AV4316" s="11"/>
      <c r="AW4316" s="11"/>
      <c r="BB4316" s="9"/>
      <c r="BC4316" s="11"/>
      <c r="BF4316" s="9"/>
      <c r="CH4316" s="9"/>
    </row>
    <row r="4317" spans="6:92" x14ac:dyDescent="0.25">
      <c r="F4317" s="9"/>
      <c r="G4317" s="9"/>
      <c r="U4317" s="12"/>
      <c r="Z4317" s="12"/>
      <c r="AA4317" s="10"/>
      <c r="AV4317" s="11"/>
      <c r="AW4317" s="11"/>
      <c r="BB4317" s="9"/>
      <c r="BC4317" s="11"/>
      <c r="BF4317" s="9"/>
      <c r="CH4317" s="9"/>
      <c r="CN4317" s="12"/>
    </row>
    <row r="4318" spans="6:92" x14ac:dyDescent="0.25">
      <c r="F4318" s="9"/>
      <c r="G4318" s="9"/>
      <c r="T4318" s="10"/>
      <c r="U4318" s="12"/>
      <c r="X4318" s="12"/>
      <c r="Y4318" s="12"/>
      <c r="Z4318" s="12"/>
      <c r="AA4318" s="10"/>
      <c r="AV4318" s="11"/>
      <c r="AW4318" s="11"/>
      <c r="BB4318" s="9"/>
      <c r="BC4318" s="11"/>
      <c r="BF4318" s="9"/>
      <c r="CF4318" s="12"/>
      <c r="CH4318" s="9"/>
      <c r="CN4318" s="12"/>
    </row>
    <row r="4319" spans="6:92" x14ac:dyDescent="0.25">
      <c r="F4319" s="9"/>
      <c r="G4319" s="9"/>
      <c r="U4319" s="12"/>
      <c r="Y4319" s="12"/>
      <c r="Z4319" s="12"/>
      <c r="AA4319" s="10"/>
      <c r="AV4319" s="11"/>
      <c r="AW4319" s="11"/>
      <c r="BB4319" s="9"/>
      <c r="BC4319" s="11"/>
      <c r="BF4319" s="9"/>
      <c r="CH4319" s="9"/>
      <c r="CN4319" s="12"/>
    </row>
    <row r="4320" spans="6:92" x14ac:dyDescent="0.25">
      <c r="F4320" s="9"/>
      <c r="G4320" s="9"/>
      <c r="U4320" s="12"/>
      <c r="Z4320" s="12"/>
      <c r="AA4320" s="10"/>
      <c r="AV4320" s="11"/>
      <c r="AW4320" s="11"/>
      <c r="BB4320" s="9"/>
      <c r="BC4320" s="11"/>
      <c r="BF4320" s="9"/>
      <c r="CF4320" s="12"/>
      <c r="CH4320" s="9"/>
    </row>
    <row r="4321" spans="6:92" x14ac:dyDescent="0.25">
      <c r="F4321" s="9"/>
      <c r="G4321" s="9"/>
      <c r="T4321" s="10"/>
      <c r="U4321" s="12"/>
      <c r="X4321" s="12"/>
      <c r="Y4321" s="12"/>
      <c r="Z4321" s="12"/>
      <c r="AA4321" s="10"/>
      <c r="AV4321" s="11"/>
      <c r="AW4321" s="11"/>
      <c r="BB4321" s="9"/>
      <c r="BC4321" s="11"/>
      <c r="BF4321" s="9"/>
      <c r="CF4321" s="12"/>
      <c r="CH4321" s="9"/>
      <c r="CN4321" s="12"/>
    </row>
    <row r="4322" spans="6:92" x14ac:dyDescent="0.25">
      <c r="F4322" s="9"/>
      <c r="G4322" s="9"/>
      <c r="AA4322" s="10"/>
      <c r="AV4322" s="11"/>
      <c r="AW4322" s="11"/>
      <c r="BB4322" s="9"/>
      <c r="BC4322" s="11"/>
      <c r="BF4322" s="9"/>
      <c r="CF4322" s="12"/>
      <c r="CH4322" s="9"/>
    </row>
    <row r="4323" spans="6:92" x14ac:dyDescent="0.25">
      <c r="F4323" s="9"/>
      <c r="G4323" s="9"/>
      <c r="U4323" s="12"/>
      <c r="Z4323" s="12"/>
      <c r="AA4323" s="10"/>
      <c r="AV4323" s="11"/>
      <c r="AW4323" s="11"/>
      <c r="BB4323" s="9"/>
      <c r="BC4323" s="11"/>
      <c r="BF4323" s="9"/>
      <c r="CF4323" s="12"/>
      <c r="CH4323" s="9"/>
    </row>
    <row r="4324" spans="6:92" x14ac:dyDescent="0.25">
      <c r="F4324" s="9"/>
      <c r="G4324" s="9"/>
      <c r="U4324" s="12"/>
      <c r="Z4324" s="12"/>
      <c r="AA4324" s="10"/>
      <c r="AV4324" s="11"/>
      <c r="AW4324" s="11"/>
      <c r="BB4324" s="9"/>
      <c r="BC4324" s="11"/>
      <c r="BF4324" s="9"/>
      <c r="CF4324" s="12"/>
      <c r="CH4324" s="9"/>
    </row>
    <row r="4325" spans="6:92" x14ac:dyDescent="0.25">
      <c r="F4325" s="9"/>
      <c r="G4325" s="9"/>
      <c r="U4325" s="12"/>
      <c r="Y4325" s="12"/>
      <c r="Z4325" s="12"/>
      <c r="AA4325" s="10"/>
      <c r="AV4325" s="11"/>
      <c r="AW4325" s="11"/>
      <c r="BB4325" s="9"/>
      <c r="BC4325" s="11"/>
      <c r="BF4325" s="9"/>
      <c r="CH4325" s="9"/>
      <c r="CN4325" s="12"/>
    </row>
    <row r="4326" spans="6:92" x14ac:dyDescent="0.25">
      <c r="F4326" s="9"/>
      <c r="G4326" s="9"/>
      <c r="U4326" s="12"/>
      <c r="Y4326" s="12"/>
      <c r="Z4326" s="12"/>
      <c r="AA4326" s="10"/>
      <c r="AV4326" s="11"/>
      <c r="AW4326" s="11"/>
      <c r="BB4326" s="9"/>
      <c r="BC4326" s="11"/>
      <c r="BF4326" s="9"/>
      <c r="CF4326" s="12"/>
      <c r="CH4326" s="9"/>
    </row>
    <row r="4327" spans="6:92" x14ac:dyDescent="0.25">
      <c r="F4327" s="9"/>
      <c r="G4327" s="9"/>
      <c r="U4327" s="12"/>
      <c r="Z4327" s="12"/>
      <c r="AA4327" s="10"/>
      <c r="AV4327" s="11"/>
      <c r="AW4327" s="11"/>
      <c r="BB4327" s="9"/>
      <c r="BC4327" s="11"/>
      <c r="BF4327" s="9"/>
      <c r="CF4327" s="12"/>
      <c r="CH4327" s="9"/>
    </row>
    <row r="4328" spans="6:92" x14ac:dyDescent="0.25">
      <c r="F4328" s="9"/>
      <c r="G4328" s="9"/>
      <c r="AA4328" s="10"/>
      <c r="AV4328" s="11"/>
      <c r="AW4328" s="11"/>
      <c r="BB4328" s="9"/>
      <c r="BC4328" s="11"/>
      <c r="BF4328" s="9"/>
      <c r="CF4328" s="12"/>
      <c r="CH4328" s="9"/>
    </row>
    <row r="4329" spans="6:92" x14ac:dyDescent="0.25">
      <c r="F4329" s="9"/>
      <c r="G4329" s="9"/>
      <c r="AA4329" s="10"/>
      <c r="AV4329" s="11"/>
      <c r="AW4329" s="11"/>
      <c r="BB4329" s="9"/>
      <c r="BC4329" s="11"/>
      <c r="BF4329" s="9"/>
      <c r="CF4329" s="12"/>
      <c r="CH4329" s="9"/>
    </row>
    <row r="4330" spans="6:92" x14ac:dyDescent="0.25">
      <c r="F4330" s="9"/>
      <c r="G4330" s="9"/>
      <c r="AA4330" s="10"/>
      <c r="AV4330" s="11"/>
      <c r="AW4330" s="11"/>
      <c r="BB4330" s="9"/>
      <c r="BC4330" s="11"/>
      <c r="BF4330" s="9"/>
      <c r="CF4330" s="12"/>
      <c r="CH4330" s="9"/>
    </row>
    <row r="4331" spans="6:92" x14ac:dyDescent="0.25">
      <c r="F4331" s="9"/>
      <c r="G4331" s="9"/>
      <c r="AA4331" s="10"/>
      <c r="AV4331" s="11"/>
      <c r="AW4331" s="11"/>
      <c r="BB4331" s="9"/>
      <c r="BC4331" s="11"/>
      <c r="BF4331" s="9"/>
      <c r="CF4331" s="12"/>
      <c r="CH4331" s="9"/>
    </row>
    <row r="4332" spans="6:92" x14ac:dyDescent="0.25">
      <c r="F4332" s="9"/>
      <c r="G4332" s="9"/>
      <c r="AA4332" s="10"/>
      <c r="AV4332" s="11"/>
      <c r="AW4332" s="11"/>
      <c r="BB4332" s="9"/>
      <c r="BC4332" s="11"/>
      <c r="BF4332" s="9"/>
      <c r="CF4332" s="12"/>
      <c r="CH4332" s="9"/>
    </row>
    <row r="4333" spans="6:92" x14ac:dyDescent="0.25">
      <c r="F4333" s="9"/>
      <c r="G4333" s="9"/>
      <c r="AA4333" s="10"/>
      <c r="AV4333" s="11"/>
      <c r="AW4333" s="11"/>
      <c r="BB4333" s="9"/>
      <c r="BC4333" s="11"/>
      <c r="BF4333" s="9"/>
      <c r="CF4333" s="12"/>
      <c r="CH4333" s="9"/>
      <c r="CN4333" s="12"/>
    </row>
    <row r="4334" spans="6:92" x14ac:dyDescent="0.25">
      <c r="F4334" s="9"/>
      <c r="G4334" s="9"/>
      <c r="AA4334" s="10"/>
      <c r="AV4334" s="11"/>
      <c r="AW4334" s="11"/>
      <c r="BB4334" s="9"/>
      <c r="BC4334" s="11"/>
      <c r="BF4334" s="9"/>
      <c r="CF4334" s="12"/>
      <c r="CH4334" s="9"/>
    </row>
    <row r="4335" spans="6:92" x14ac:dyDescent="0.25">
      <c r="F4335" s="9"/>
      <c r="G4335" s="9"/>
      <c r="AA4335" s="10"/>
      <c r="AV4335" s="11"/>
      <c r="AW4335" s="11"/>
      <c r="BB4335" s="9"/>
      <c r="BC4335" s="11"/>
      <c r="BF4335" s="9"/>
      <c r="CF4335" s="12"/>
      <c r="CH4335" s="9"/>
    </row>
    <row r="4336" spans="6:92" x14ac:dyDescent="0.25">
      <c r="F4336" s="9"/>
      <c r="G4336" s="9"/>
      <c r="AA4336" s="10"/>
      <c r="AV4336" s="11"/>
      <c r="AW4336" s="11"/>
      <c r="BB4336" s="9"/>
      <c r="BC4336" s="11"/>
      <c r="BF4336" s="9"/>
      <c r="CH4336" s="9"/>
    </row>
    <row r="4337" spans="6:86" x14ac:dyDescent="0.25">
      <c r="F4337" s="9"/>
      <c r="G4337" s="9"/>
      <c r="AA4337" s="10"/>
      <c r="AV4337" s="11"/>
      <c r="AW4337" s="11"/>
      <c r="BB4337" s="9"/>
      <c r="BC4337" s="11"/>
      <c r="BF4337" s="9"/>
      <c r="CH4337" s="9"/>
    </row>
    <row r="4338" spans="6:86" x14ac:dyDescent="0.25">
      <c r="F4338" s="9"/>
      <c r="G4338" s="9"/>
      <c r="AA4338" s="10"/>
      <c r="AV4338" s="11"/>
      <c r="AW4338" s="11"/>
      <c r="BB4338" s="9"/>
      <c r="BC4338" s="11"/>
      <c r="BF4338" s="9"/>
      <c r="CF4338" s="12"/>
      <c r="CH4338" s="9"/>
    </row>
    <row r="4339" spans="6:86" x14ac:dyDescent="0.25">
      <c r="F4339" s="9"/>
      <c r="G4339" s="9"/>
      <c r="AA4339" s="10"/>
      <c r="AV4339" s="11"/>
      <c r="AW4339" s="11"/>
      <c r="BB4339" s="9"/>
      <c r="BC4339" s="11"/>
      <c r="BF4339" s="9"/>
      <c r="CF4339" s="12"/>
      <c r="CH4339" s="9"/>
    </row>
    <row r="4340" spans="6:86" x14ac:dyDescent="0.25">
      <c r="F4340" s="9"/>
      <c r="G4340" s="9"/>
      <c r="AA4340" s="10"/>
      <c r="AV4340" s="11"/>
      <c r="AW4340" s="11"/>
      <c r="BB4340" s="9"/>
      <c r="BC4340" s="11"/>
      <c r="BF4340" s="9"/>
      <c r="CF4340" s="12"/>
      <c r="CH4340" s="9"/>
    </row>
    <row r="4341" spans="6:86" x14ac:dyDescent="0.25">
      <c r="F4341" s="9"/>
      <c r="G4341" s="9"/>
      <c r="AA4341" s="10"/>
      <c r="AV4341" s="11"/>
      <c r="AW4341" s="11"/>
      <c r="BB4341" s="9"/>
      <c r="BC4341" s="11"/>
      <c r="BF4341" s="9"/>
      <c r="CF4341" s="12"/>
      <c r="CH4341" s="9"/>
    </row>
    <row r="4342" spans="6:86" x14ac:dyDescent="0.25">
      <c r="F4342" s="9"/>
      <c r="G4342" s="9"/>
      <c r="AA4342" s="10"/>
      <c r="AV4342" s="11"/>
      <c r="AW4342" s="11"/>
      <c r="BB4342" s="9"/>
      <c r="BC4342" s="11"/>
      <c r="BF4342" s="9"/>
      <c r="CF4342" s="12"/>
      <c r="CH4342" s="9"/>
    </row>
    <row r="4343" spans="6:86" x14ac:dyDescent="0.25">
      <c r="F4343" s="9"/>
      <c r="G4343" s="9"/>
      <c r="AA4343" s="10"/>
      <c r="AV4343" s="11"/>
      <c r="AW4343" s="11"/>
      <c r="BB4343" s="9"/>
      <c r="BC4343" s="11"/>
      <c r="BF4343" s="9"/>
      <c r="CH4343" s="9"/>
    </row>
    <row r="4344" spans="6:86" x14ac:dyDescent="0.25">
      <c r="F4344" s="9"/>
      <c r="G4344" s="9"/>
      <c r="AA4344" s="10"/>
      <c r="AV4344" s="11"/>
      <c r="AW4344" s="11"/>
      <c r="BB4344" s="9"/>
      <c r="BC4344" s="11"/>
      <c r="BF4344" s="9"/>
      <c r="CH4344" s="9"/>
    </row>
    <row r="4345" spans="6:86" x14ac:dyDescent="0.25">
      <c r="F4345" s="9"/>
      <c r="G4345" s="9"/>
      <c r="AA4345" s="10"/>
      <c r="AV4345" s="11"/>
      <c r="AW4345" s="11"/>
      <c r="BB4345" s="9"/>
      <c r="BC4345" s="11"/>
      <c r="BF4345" s="9"/>
      <c r="CF4345" s="12"/>
      <c r="CH4345" s="9"/>
    </row>
    <row r="4346" spans="6:86" x14ac:dyDescent="0.25">
      <c r="F4346" s="9"/>
      <c r="G4346" s="9"/>
      <c r="AA4346" s="10"/>
      <c r="AV4346" s="11"/>
      <c r="AW4346" s="11"/>
      <c r="BB4346" s="9"/>
      <c r="BC4346" s="11"/>
      <c r="BF4346" s="9"/>
      <c r="CF4346" s="12"/>
      <c r="CH4346" s="9"/>
    </row>
    <row r="4347" spans="6:86" x14ac:dyDescent="0.25">
      <c r="F4347" s="9"/>
      <c r="G4347" s="9"/>
      <c r="AA4347" s="10"/>
      <c r="AV4347" s="11"/>
      <c r="AW4347" s="11"/>
      <c r="BB4347" s="9"/>
      <c r="BC4347" s="11"/>
      <c r="BF4347" s="9"/>
      <c r="CF4347" s="12"/>
      <c r="CH4347" s="9"/>
    </row>
    <row r="4348" spans="6:86" x14ac:dyDescent="0.25">
      <c r="F4348" s="9"/>
      <c r="G4348" s="9"/>
      <c r="AA4348" s="10"/>
      <c r="AV4348" s="11"/>
      <c r="AW4348" s="11"/>
      <c r="BB4348" s="9"/>
      <c r="BC4348" s="11"/>
      <c r="BF4348" s="9"/>
      <c r="CF4348" s="12"/>
      <c r="CH4348" s="9"/>
    </row>
    <row r="4349" spans="6:86" x14ac:dyDescent="0.25">
      <c r="F4349" s="9"/>
      <c r="G4349" s="9"/>
      <c r="AA4349" s="10"/>
      <c r="AV4349" s="11"/>
      <c r="AW4349" s="11"/>
      <c r="BB4349" s="9"/>
      <c r="BC4349" s="11"/>
      <c r="BF4349" s="9"/>
      <c r="CH4349" s="9"/>
    </row>
    <row r="4350" spans="6:86" x14ac:dyDescent="0.25">
      <c r="F4350" s="9"/>
      <c r="G4350" s="9"/>
      <c r="U4350" s="12"/>
      <c r="AA4350" s="10"/>
      <c r="AV4350" s="11"/>
      <c r="AW4350" s="11"/>
      <c r="BB4350" s="9"/>
      <c r="BC4350" s="11"/>
      <c r="BF4350" s="9"/>
      <c r="CH4350" s="9"/>
    </row>
    <row r="4351" spans="6:86" x14ac:dyDescent="0.25">
      <c r="F4351" s="9"/>
      <c r="G4351" s="9"/>
      <c r="AA4351" s="10"/>
      <c r="AV4351" s="11"/>
      <c r="AW4351" s="11"/>
      <c r="BB4351" s="9"/>
      <c r="BC4351" s="11"/>
      <c r="BF4351" s="9"/>
      <c r="CF4351" s="12"/>
      <c r="CH4351" s="9"/>
    </row>
    <row r="4352" spans="6:86" x14ac:dyDescent="0.25">
      <c r="F4352" s="9"/>
      <c r="G4352" s="9"/>
      <c r="AA4352" s="10"/>
      <c r="AV4352" s="11"/>
      <c r="AW4352" s="11"/>
      <c r="BB4352" s="9"/>
      <c r="BC4352" s="11"/>
      <c r="BF4352" s="9"/>
      <c r="CF4352" s="12"/>
      <c r="CH4352" s="9"/>
    </row>
    <row r="4353" spans="6:86" x14ac:dyDescent="0.25">
      <c r="F4353" s="9"/>
      <c r="G4353" s="9"/>
      <c r="AA4353" s="10"/>
      <c r="AV4353" s="11"/>
      <c r="AW4353" s="11"/>
      <c r="BB4353" s="9"/>
      <c r="BC4353" s="11"/>
      <c r="BF4353" s="9"/>
      <c r="CF4353" s="12"/>
      <c r="CH4353" s="9"/>
    </row>
    <row r="4354" spans="6:86" x14ac:dyDescent="0.25">
      <c r="F4354" s="9"/>
      <c r="G4354" s="9"/>
      <c r="AA4354" s="10"/>
      <c r="AV4354" s="11"/>
      <c r="AW4354" s="11"/>
      <c r="BB4354" s="9"/>
      <c r="BC4354" s="11"/>
      <c r="BF4354" s="9"/>
      <c r="CH4354" s="9"/>
    </row>
    <row r="4355" spans="6:86" x14ac:dyDescent="0.25">
      <c r="F4355" s="9"/>
      <c r="G4355" s="9"/>
      <c r="AA4355" s="10"/>
      <c r="AV4355" s="11"/>
      <c r="AW4355" s="11"/>
      <c r="BB4355" s="9"/>
      <c r="BC4355" s="11"/>
      <c r="BF4355" s="9"/>
      <c r="CF4355" s="12"/>
      <c r="CH4355" s="9"/>
    </row>
    <row r="4356" spans="6:86" x14ac:dyDescent="0.25">
      <c r="F4356" s="9"/>
      <c r="G4356" s="9"/>
      <c r="AA4356" s="10"/>
      <c r="AV4356" s="11"/>
      <c r="AW4356" s="11"/>
      <c r="BB4356" s="9"/>
      <c r="BC4356" s="11"/>
      <c r="BF4356" s="9"/>
      <c r="CF4356" s="12"/>
      <c r="CH4356" s="9"/>
    </row>
    <row r="4357" spans="6:86" x14ac:dyDescent="0.25">
      <c r="F4357" s="9"/>
      <c r="G4357" s="9"/>
      <c r="AA4357" s="10"/>
      <c r="AV4357" s="11"/>
      <c r="AW4357" s="11"/>
      <c r="BB4357" s="9"/>
      <c r="BC4357" s="11"/>
      <c r="BF4357" s="9"/>
      <c r="CF4357" s="12"/>
      <c r="CH4357" s="9"/>
    </row>
    <row r="4358" spans="6:86" x14ac:dyDescent="0.25">
      <c r="F4358" s="9"/>
      <c r="G4358" s="9"/>
      <c r="AA4358" s="10"/>
      <c r="AV4358" s="11"/>
      <c r="AW4358" s="11"/>
      <c r="BB4358" s="9"/>
      <c r="BC4358" s="11"/>
      <c r="BF4358" s="9"/>
      <c r="CH4358" s="9"/>
    </row>
    <row r="4359" spans="6:86" x14ac:dyDescent="0.25">
      <c r="F4359" s="9"/>
      <c r="G4359" s="9"/>
      <c r="AA4359" s="10"/>
      <c r="AV4359" s="11"/>
      <c r="AW4359" s="11"/>
      <c r="BB4359" s="9"/>
      <c r="BC4359" s="11"/>
      <c r="BF4359" s="9"/>
      <c r="CF4359" s="12"/>
      <c r="CH4359" s="9"/>
    </row>
    <row r="4360" spans="6:86" x14ac:dyDescent="0.25">
      <c r="F4360" s="9"/>
      <c r="G4360" s="9"/>
      <c r="AA4360" s="10"/>
      <c r="AV4360" s="11"/>
      <c r="AW4360" s="11"/>
      <c r="BB4360" s="9"/>
      <c r="BC4360" s="11"/>
      <c r="BF4360" s="9"/>
      <c r="CH4360" s="9"/>
    </row>
    <row r="4361" spans="6:86" x14ac:dyDescent="0.25">
      <c r="F4361" s="9"/>
      <c r="G4361" s="9"/>
      <c r="AA4361" s="10"/>
      <c r="AV4361" s="11"/>
      <c r="AW4361" s="11"/>
      <c r="BB4361" s="9"/>
      <c r="BC4361" s="11"/>
      <c r="BF4361" s="9"/>
      <c r="CF4361" s="12"/>
      <c r="CH4361" s="9"/>
    </row>
    <row r="4362" spans="6:86" x14ac:dyDescent="0.25">
      <c r="F4362" s="9"/>
      <c r="G4362" s="9"/>
      <c r="AA4362" s="10"/>
      <c r="AV4362" s="11"/>
      <c r="AW4362" s="11"/>
      <c r="BB4362" s="9"/>
      <c r="BC4362" s="11"/>
      <c r="BF4362" s="9"/>
      <c r="CF4362" s="12"/>
      <c r="CH4362" s="9"/>
    </row>
    <row r="4363" spans="6:86" x14ac:dyDescent="0.25">
      <c r="F4363" s="9"/>
      <c r="G4363" s="9"/>
      <c r="AA4363" s="10"/>
      <c r="AV4363" s="11"/>
      <c r="AW4363" s="11"/>
      <c r="BB4363" s="9"/>
      <c r="BC4363" s="11"/>
      <c r="BF4363" s="9"/>
      <c r="CF4363" s="12"/>
      <c r="CH4363" s="9"/>
    </row>
    <row r="4364" spans="6:86" x14ac:dyDescent="0.25">
      <c r="F4364" s="9"/>
      <c r="G4364" s="9"/>
      <c r="AA4364" s="10"/>
      <c r="AV4364" s="11"/>
      <c r="AW4364" s="11"/>
      <c r="BB4364" s="9"/>
      <c r="BC4364" s="11"/>
      <c r="BF4364" s="9"/>
      <c r="CF4364" s="12"/>
      <c r="CH4364" s="9"/>
    </row>
    <row r="4365" spans="6:86" x14ac:dyDescent="0.25">
      <c r="F4365" s="9"/>
      <c r="G4365" s="9"/>
      <c r="AA4365" s="10"/>
      <c r="AV4365" s="11"/>
      <c r="AW4365" s="11"/>
      <c r="BB4365" s="9"/>
      <c r="BC4365" s="11"/>
      <c r="BF4365" s="9"/>
      <c r="CH4365" s="9"/>
    </row>
    <row r="4366" spans="6:86" x14ac:dyDescent="0.25">
      <c r="F4366" s="9"/>
      <c r="G4366" s="9"/>
      <c r="AA4366" s="10"/>
      <c r="AV4366" s="11"/>
      <c r="AW4366" s="11"/>
      <c r="BB4366" s="9"/>
      <c r="BC4366" s="11"/>
      <c r="BF4366" s="9"/>
      <c r="CF4366" s="12"/>
      <c r="CH4366" s="9"/>
    </row>
    <row r="4367" spans="6:86" x14ac:dyDescent="0.25">
      <c r="F4367" s="9"/>
      <c r="G4367" s="9"/>
      <c r="AA4367" s="10"/>
      <c r="AV4367" s="11"/>
      <c r="AW4367" s="11"/>
      <c r="BB4367" s="9"/>
      <c r="BC4367" s="11"/>
      <c r="BF4367" s="9"/>
      <c r="CF4367" s="12"/>
      <c r="CH4367" s="9"/>
    </row>
    <row r="4368" spans="6:86" x14ac:dyDescent="0.25">
      <c r="F4368" s="9"/>
      <c r="G4368" s="9"/>
      <c r="AA4368" s="10"/>
      <c r="AV4368" s="11"/>
      <c r="AW4368" s="11"/>
      <c r="BB4368" s="9"/>
      <c r="BC4368" s="11"/>
      <c r="BF4368" s="9"/>
      <c r="CF4368" s="12"/>
      <c r="CH4368" s="9"/>
    </row>
    <row r="4369" spans="6:86" x14ac:dyDescent="0.25">
      <c r="F4369" s="9"/>
      <c r="G4369" s="9"/>
      <c r="AA4369" s="10"/>
      <c r="AV4369" s="11"/>
      <c r="AW4369" s="11"/>
      <c r="BB4369" s="9"/>
      <c r="BC4369" s="11"/>
      <c r="BF4369" s="9"/>
      <c r="CF4369" s="12"/>
      <c r="CH4369" s="9"/>
    </row>
    <row r="4370" spans="6:86" x14ac:dyDescent="0.25">
      <c r="F4370" s="9"/>
      <c r="G4370" s="9"/>
      <c r="AA4370" s="10"/>
      <c r="AV4370" s="11"/>
      <c r="AW4370" s="11"/>
      <c r="BB4370" s="9"/>
      <c r="BC4370" s="11"/>
      <c r="BF4370" s="9"/>
      <c r="CF4370" s="12"/>
      <c r="CH4370" s="9"/>
    </row>
    <row r="4371" spans="6:86" x14ac:dyDescent="0.25">
      <c r="F4371" s="9"/>
      <c r="G4371" s="9"/>
      <c r="AA4371" s="10"/>
      <c r="AV4371" s="11"/>
      <c r="AW4371" s="11"/>
      <c r="BB4371" s="9"/>
      <c r="BC4371" s="11"/>
      <c r="BF4371" s="9"/>
      <c r="CF4371" s="12"/>
      <c r="CH4371" s="9"/>
    </row>
    <row r="4372" spans="6:86" x14ac:dyDescent="0.25">
      <c r="F4372" s="9"/>
      <c r="G4372" s="9"/>
      <c r="AA4372" s="10"/>
      <c r="AV4372" s="11"/>
      <c r="AW4372" s="11"/>
      <c r="BB4372" s="9"/>
      <c r="BC4372" s="11"/>
      <c r="BF4372" s="9"/>
      <c r="CF4372" s="12"/>
      <c r="CH4372" s="9"/>
    </row>
    <row r="4373" spans="6:86" x14ac:dyDescent="0.25">
      <c r="F4373" s="9"/>
      <c r="G4373" s="9"/>
      <c r="AA4373" s="10"/>
      <c r="AV4373" s="11"/>
      <c r="AW4373" s="11"/>
      <c r="BB4373" s="9"/>
      <c r="BC4373" s="11"/>
      <c r="BF4373" s="9"/>
      <c r="CF4373" s="12"/>
      <c r="CH4373" s="9"/>
    </row>
    <row r="4374" spans="6:86" x14ac:dyDescent="0.25">
      <c r="F4374" s="9"/>
      <c r="G4374" s="9"/>
      <c r="AA4374" s="10"/>
      <c r="AV4374" s="11"/>
      <c r="AW4374" s="11"/>
      <c r="BB4374" s="9"/>
      <c r="BC4374" s="11"/>
      <c r="BF4374" s="9"/>
      <c r="CF4374" s="12"/>
      <c r="CH4374" s="9"/>
    </row>
    <row r="4375" spans="6:86" x14ac:dyDescent="0.25">
      <c r="F4375" s="9"/>
      <c r="G4375" s="9"/>
      <c r="AA4375" s="10"/>
      <c r="AV4375" s="11"/>
      <c r="AW4375" s="11"/>
      <c r="BB4375" s="9"/>
      <c r="BC4375" s="11"/>
      <c r="BF4375" s="9"/>
      <c r="CF4375" s="12"/>
      <c r="CH4375" s="9"/>
    </row>
    <row r="4376" spans="6:86" x14ac:dyDescent="0.25">
      <c r="F4376" s="9"/>
      <c r="G4376" s="9"/>
      <c r="AA4376" s="10"/>
      <c r="AV4376" s="11"/>
      <c r="AW4376" s="11"/>
      <c r="BB4376" s="9"/>
      <c r="BC4376" s="11"/>
      <c r="BF4376" s="9"/>
      <c r="CF4376" s="12"/>
      <c r="CH4376" s="9"/>
    </row>
    <row r="4377" spans="6:86" x14ac:dyDescent="0.25">
      <c r="F4377" s="9"/>
      <c r="G4377" s="9"/>
      <c r="AA4377" s="10"/>
      <c r="AV4377" s="11"/>
      <c r="AW4377" s="11"/>
      <c r="BB4377" s="9"/>
      <c r="BC4377" s="11"/>
      <c r="BF4377" s="9"/>
      <c r="CF4377" s="12"/>
      <c r="CH4377" s="9"/>
    </row>
    <row r="4378" spans="6:86" x14ac:dyDescent="0.25">
      <c r="F4378" s="9"/>
      <c r="G4378" s="9"/>
      <c r="AA4378" s="10"/>
      <c r="AV4378" s="11"/>
      <c r="AW4378" s="11"/>
      <c r="BB4378" s="9"/>
      <c r="BC4378" s="11"/>
      <c r="BF4378" s="9"/>
      <c r="CF4378" s="12"/>
      <c r="CH4378" s="9"/>
    </row>
    <row r="4379" spans="6:86" x14ac:dyDescent="0.25">
      <c r="F4379" s="9"/>
      <c r="G4379" s="9"/>
      <c r="AA4379" s="10"/>
      <c r="AV4379" s="11"/>
      <c r="AW4379" s="11"/>
      <c r="BB4379" s="9"/>
      <c r="BC4379" s="11"/>
      <c r="BF4379" s="9"/>
      <c r="CF4379" s="12"/>
      <c r="CH4379" s="9"/>
    </row>
    <row r="4380" spans="6:86" x14ac:dyDescent="0.25">
      <c r="F4380" s="9"/>
      <c r="G4380" s="9"/>
      <c r="AA4380" s="10"/>
      <c r="AV4380" s="11"/>
      <c r="AW4380" s="11"/>
      <c r="BB4380" s="9"/>
      <c r="BC4380" s="11"/>
      <c r="BF4380" s="9"/>
      <c r="CF4380" s="12"/>
      <c r="CH4380" s="9"/>
    </row>
    <row r="4381" spans="6:86" x14ac:dyDescent="0.25">
      <c r="F4381" s="9"/>
      <c r="G4381" s="9"/>
      <c r="AA4381" s="10"/>
      <c r="AV4381" s="11"/>
      <c r="AW4381" s="11"/>
      <c r="BB4381" s="9"/>
      <c r="BC4381" s="11"/>
      <c r="BF4381" s="9"/>
      <c r="CF4381" s="12"/>
      <c r="CH4381" s="9"/>
    </row>
    <row r="4382" spans="6:86" x14ac:dyDescent="0.25">
      <c r="F4382" s="9"/>
      <c r="G4382" s="9"/>
      <c r="AA4382" s="10"/>
      <c r="AV4382" s="11"/>
      <c r="AW4382" s="11"/>
      <c r="BB4382" s="9"/>
      <c r="BC4382" s="11"/>
      <c r="BF4382" s="9"/>
      <c r="CF4382" s="12"/>
      <c r="CH4382" s="9"/>
    </row>
    <row r="4383" spans="6:86" x14ac:dyDescent="0.25">
      <c r="F4383" s="9"/>
      <c r="G4383" s="9"/>
      <c r="AA4383" s="10"/>
      <c r="AV4383" s="11"/>
      <c r="AW4383" s="11"/>
      <c r="BB4383" s="9"/>
      <c r="BC4383" s="11"/>
      <c r="BF4383" s="9"/>
      <c r="CH4383" s="9"/>
    </row>
    <row r="4384" spans="6:86" x14ac:dyDescent="0.25">
      <c r="F4384" s="9"/>
      <c r="G4384" s="9"/>
      <c r="AA4384" s="10"/>
      <c r="AV4384" s="11"/>
      <c r="AW4384" s="11"/>
      <c r="BB4384" s="9"/>
      <c r="BC4384" s="11"/>
      <c r="BF4384" s="9"/>
      <c r="CF4384" s="12"/>
      <c r="CH4384" s="9"/>
    </row>
    <row r="4385" spans="6:92" x14ac:dyDescent="0.25">
      <c r="F4385" s="9"/>
      <c r="G4385" s="9"/>
      <c r="AA4385" s="10"/>
      <c r="AV4385" s="11"/>
      <c r="AW4385" s="11"/>
      <c r="BB4385" s="9"/>
      <c r="BC4385" s="11"/>
      <c r="BF4385" s="9"/>
      <c r="CF4385" s="12"/>
      <c r="CH4385" s="9"/>
    </row>
    <row r="4386" spans="6:92" x14ac:dyDescent="0.25">
      <c r="F4386" s="9"/>
      <c r="G4386" s="9"/>
      <c r="AA4386" s="10"/>
      <c r="AV4386" s="11"/>
      <c r="AW4386" s="11"/>
      <c r="BB4386" s="9"/>
      <c r="BC4386" s="11"/>
      <c r="BF4386" s="9"/>
      <c r="CF4386" s="12"/>
      <c r="CH4386" s="9"/>
    </row>
    <row r="4387" spans="6:92" x14ac:dyDescent="0.25">
      <c r="F4387" s="9"/>
      <c r="G4387" s="9"/>
      <c r="AA4387" s="10"/>
      <c r="AV4387" s="11"/>
      <c r="AW4387" s="11"/>
      <c r="BB4387" s="9"/>
      <c r="BC4387" s="11"/>
      <c r="BF4387" s="9"/>
      <c r="CF4387" s="12"/>
      <c r="CH4387" s="9"/>
    </row>
    <row r="4388" spans="6:92" x14ac:dyDescent="0.25">
      <c r="F4388" s="9"/>
      <c r="G4388" s="9"/>
      <c r="U4388" s="12"/>
      <c r="Z4388" s="12"/>
      <c r="AA4388" s="10"/>
      <c r="AV4388" s="11"/>
      <c r="AW4388" s="11"/>
      <c r="BB4388" s="9"/>
      <c r="BC4388" s="11"/>
      <c r="BF4388" s="9"/>
      <c r="CF4388" s="12"/>
      <c r="CH4388" s="9"/>
      <c r="CN4388" s="12"/>
    </row>
    <row r="4389" spans="6:92" x14ac:dyDescent="0.25">
      <c r="F4389" s="9"/>
      <c r="G4389" s="9"/>
      <c r="AA4389" s="10"/>
      <c r="AV4389" s="11"/>
      <c r="AW4389" s="11"/>
      <c r="BB4389" s="9"/>
      <c r="BC4389" s="11"/>
      <c r="BF4389" s="9"/>
      <c r="CF4389" s="12"/>
      <c r="CH4389" s="9"/>
    </row>
    <row r="4390" spans="6:92" x14ac:dyDescent="0.25">
      <c r="F4390" s="9"/>
      <c r="G4390" s="9"/>
      <c r="AA4390" s="10"/>
      <c r="AV4390" s="11"/>
      <c r="AW4390" s="11"/>
      <c r="BB4390" s="9"/>
      <c r="BC4390" s="11"/>
      <c r="BF4390" s="9"/>
      <c r="CF4390" s="12"/>
      <c r="CH4390" s="9"/>
    </row>
    <row r="4391" spans="6:92" x14ac:dyDescent="0.25">
      <c r="F4391" s="9"/>
      <c r="G4391" s="9"/>
      <c r="AA4391" s="10"/>
      <c r="AV4391" s="11"/>
      <c r="AW4391" s="11"/>
      <c r="BB4391" s="9"/>
      <c r="BC4391" s="11"/>
      <c r="BF4391" s="9"/>
      <c r="CF4391" s="12"/>
      <c r="CH4391" s="9"/>
    </row>
    <row r="4392" spans="6:92" x14ac:dyDescent="0.25">
      <c r="F4392" s="9"/>
      <c r="G4392" s="9"/>
      <c r="AA4392" s="10"/>
      <c r="AV4392" s="11"/>
      <c r="AW4392" s="11"/>
      <c r="BB4392" s="9"/>
      <c r="BC4392" s="11"/>
      <c r="BF4392" s="9"/>
      <c r="CF4392" s="12"/>
      <c r="CH4392" s="9"/>
    </row>
    <row r="4393" spans="6:92" x14ac:dyDescent="0.25">
      <c r="F4393" s="9"/>
      <c r="G4393" s="9"/>
      <c r="AA4393" s="10"/>
      <c r="AV4393" s="11"/>
      <c r="AW4393" s="11"/>
      <c r="BB4393" s="9"/>
      <c r="BC4393" s="11"/>
      <c r="BF4393" s="9"/>
      <c r="CF4393" s="12"/>
      <c r="CH4393" s="9"/>
    </row>
    <row r="4394" spans="6:92" x14ac:dyDescent="0.25">
      <c r="F4394" s="9"/>
      <c r="G4394" s="9"/>
      <c r="AA4394" s="10"/>
      <c r="AV4394" s="11"/>
      <c r="AW4394" s="11"/>
      <c r="BB4394" s="9"/>
      <c r="BC4394" s="11"/>
      <c r="BF4394" s="9"/>
      <c r="CF4394" s="12"/>
      <c r="CH4394" s="9"/>
    </row>
    <row r="4395" spans="6:92" x14ac:dyDescent="0.25">
      <c r="F4395" s="9"/>
      <c r="G4395" s="9"/>
      <c r="AA4395" s="10"/>
      <c r="AV4395" s="11"/>
      <c r="AW4395" s="11"/>
      <c r="BB4395" s="9"/>
      <c r="BC4395" s="11"/>
      <c r="BF4395" s="9"/>
      <c r="CF4395" s="12"/>
      <c r="CH4395" s="9"/>
    </row>
    <row r="4396" spans="6:92" x14ac:dyDescent="0.25">
      <c r="F4396" s="9"/>
      <c r="G4396" s="9"/>
      <c r="AA4396" s="10"/>
      <c r="AV4396" s="11"/>
      <c r="AW4396" s="11"/>
      <c r="BB4396" s="9"/>
      <c r="BC4396" s="11"/>
      <c r="BF4396" s="9"/>
      <c r="CF4396" s="12"/>
      <c r="CH4396" s="9"/>
    </row>
    <row r="4397" spans="6:92" x14ac:dyDescent="0.25">
      <c r="F4397" s="9"/>
      <c r="G4397" s="9"/>
      <c r="AA4397" s="10"/>
      <c r="AV4397" s="11"/>
      <c r="AW4397" s="11"/>
      <c r="BB4397" s="9"/>
      <c r="BC4397" s="11"/>
      <c r="BF4397" s="9"/>
      <c r="CH4397" s="9"/>
    </row>
    <row r="4398" spans="6:92" x14ac:dyDescent="0.25">
      <c r="F4398" s="9"/>
      <c r="G4398" s="9"/>
      <c r="AA4398" s="10"/>
      <c r="AV4398" s="11"/>
      <c r="AW4398" s="11"/>
      <c r="BB4398" s="9"/>
      <c r="BC4398" s="11"/>
      <c r="BF4398" s="9"/>
      <c r="CH4398" s="9"/>
    </row>
    <row r="4399" spans="6:92" x14ac:dyDescent="0.25">
      <c r="F4399" s="9"/>
      <c r="G4399" s="9"/>
      <c r="AA4399" s="10"/>
      <c r="AV4399" s="11"/>
      <c r="AW4399" s="11"/>
      <c r="BB4399" s="9"/>
      <c r="BC4399" s="11"/>
      <c r="BF4399" s="9"/>
      <c r="CF4399" s="12"/>
      <c r="CH4399" s="9"/>
    </row>
    <row r="4400" spans="6:92" x14ac:dyDescent="0.25">
      <c r="F4400" s="9"/>
      <c r="G4400" s="9"/>
      <c r="AA4400" s="10"/>
      <c r="AV4400" s="11"/>
      <c r="AW4400" s="11"/>
      <c r="BB4400" s="9"/>
      <c r="BC4400" s="11"/>
      <c r="BF4400" s="9"/>
      <c r="CF4400" s="12"/>
      <c r="CH4400" s="9"/>
    </row>
    <row r="4401" spans="6:86" x14ac:dyDescent="0.25">
      <c r="F4401" s="9"/>
      <c r="G4401" s="9"/>
      <c r="AA4401" s="10"/>
      <c r="AV4401" s="11"/>
      <c r="AW4401" s="11"/>
      <c r="BB4401" s="9"/>
      <c r="BC4401" s="11"/>
      <c r="BF4401" s="9"/>
      <c r="CF4401" s="12"/>
      <c r="CH4401" s="9"/>
    </row>
    <row r="4402" spans="6:86" x14ac:dyDescent="0.25">
      <c r="F4402" s="9"/>
      <c r="G4402" s="9"/>
      <c r="AA4402" s="10"/>
      <c r="AV4402" s="11"/>
      <c r="AW4402" s="11"/>
      <c r="BB4402" s="9"/>
      <c r="BC4402" s="11"/>
      <c r="BF4402" s="9"/>
      <c r="CF4402" s="12"/>
      <c r="CH4402" s="9"/>
    </row>
    <row r="4403" spans="6:86" x14ac:dyDescent="0.25">
      <c r="F4403" s="9"/>
      <c r="G4403" s="9"/>
      <c r="AA4403" s="10"/>
      <c r="AV4403" s="11"/>
      <c r="AW4403" s="11"/>
      <c r="BB4403" s="9"/>
      <c r="BC4403" s="11"/>
      <c r="BF4403" s="9"/>
      <c r="CH4403" s="9"/>
    </row>
    <row r="4404" spans="6:86" x14ac:dyDescent="0.25">
      <c r="F4404" s="9"/>
      <c r="G4404" s="9"/>
      <c r="AA4404" s="10"/>
      <c r="AV4404" s="11"/>
      <c r="AW4404" s="11"/>
      <c r="BB4404" s="9"/>
      <c r="BC4404" s="11"/>
      <c r="BF4404" s="9"/>
      <c r="CF4404" s="12"/>
      <c r="CH4404" s="9"/>
    </row>
    <row r="4405" spans="6:86" x14ac:dyDescent="0.25">
      <c r="F4405" s="9"/>
      <c r="G4405" s="9"/>
      <c r="AA4405" s="10"/>
      <c r="AV4405" s="11"/>
      <c r="AW4405" s="11"/>
      <c r="BB4405" s="9"/>
      <c r="BC4405" s="11"/>
      <c r="BF4405" s="9"/>
      <c r="CF4405" s="12"/>
      <c r="CH4405" s="9"/>
    </row>
    <row r="4406" spans="6:86" x14ac:dyDescent="0.25">
      <c r="F4406" s="9"/>
      <c r="G4406" s="9"/>
      <c r="AA4406" s="10"/>
      <c r="AV4406" s="11"/>
      <c r="AW4406" s="11"/>
      <c r="BB4406" s="9"/>
      <c r="BC4406" s="11"/>
      <c r="BF4406" s="9"/>
      <c r="CF4406" s="12"/>
      <c r="CH4406" s="9"/>
    </row>
    <row r="4407" spans="6:86" x14ac:dyDescent="0.25">
      <c r="F4407" s="9"/>
      <c r="G4407" s="9"/>
      <c r="AA4407" s="10"/>
      <c r="AV4407" s="11"/>
      <c r="AW4407" s="11"/>
      <c r="BB4407" s="9"/>
      <c r="BC4407" s="11"/>
      <c r="BF4407" s="9"/>
      <c r="CH4407" s="9"/>
    </row>
    <row r="4408" spans="6:86" x14ac:dyDescent="0.25">
      <c r="F4408" s="9"/>
      <c r="G4408" s="9"/>
      <c r="AA4408" s="10"/>
      <c r="AV4408" s="11"/>
      <c r="AW4408" s="11"/>
      <c r="BB4408" s="9"/>
      <c r="BC4408" s="11"/>
      <c r="BF4408" s="9"/>
      <c r="CF4408" s="12"/>
      <c r="CH4408" s="9"/>
    </row>
    <row r="4409" spans="6:86" x14ac:dyDescent="0.25">
      <c r="F4409" s="9"/>
      <c r="G4409" s="9"/>
      <c r="AA4409" s="10"/>
      <c r="AV4409" s="11"/>
      <c r="AW4409" s="11"/>
      <c r="BB4409" s="9"/>
      <c r="BC4409" s="11"/>
      <c r="BF4409" s="9"/>
      <c r="CF4409" s="12"/>
      <c r="CH4409" s="9"/>
    </row>
    <row r="4410" spans="6:86" x14ac:dyDescent="0.25">
      <c r="F4410" s="9"/>
      <c r="G4410" s="9"/>
      <c r="AA4410" s="10"/>
      <c r="AV4410" s="11"/>
      <c r="AW4410" s="11"/>
      <c r="BB4410" s="9"/>
      <c r="BC4410" s="11"/>
      <c r="BF4410" s="9"/>
      <c r="CF4410" s="12"/>
      <c r="CH4410" s="9"/>
    </row>
    <row r="4411" spans="6:86" x14ac:dyDescent="0.25">
      <c r="F4411" s="9"/>
      <c r="G4411" s="9"/>
      <c r="AA4411" s="10"/>
      <c r="AV4411" s="11"/>
      <c r="AW4411" s="11"/>
      <c r="BB4411" s="9"/>
      <c r="BC4411" s="11"/>
      <c r="BF4411" s="9"/>
      <c r="CF4411" s="12"/>
      <c r="CH4411" s="9"/>
    </row>
    <row r="4412" spans="6:86" x14ac:dyDescent="0.25">
      <c r="F4412" s="9"/>
      <c r="G4412" s="9"/>
      <c r="AA4412" s="10"/>
      <c r="AV4412" s="11"/>
      <c r="AW4412" s="11"/>
      <c r="BB4412" s="9"/>
      <c r="BC4412" s="11"/>
      <c r="BF4412" s="9"/>
      <c r="CF4412" s="12"/>
      <c r="CH4412" s="9"/>
    </row>
    <row r="4413" spans="6:86" x14ac:dyDescent="0.25">
      <c r="F4413" s="9"/>
      <c r="G4413" s="9"/>
      <c r="AA4413" s="10"/>
      <c r="AV4413" s="11"/>
      <c r="AW4413" s="11"/>
      <c r="BB4413" s="9"/>
      <c r="BC4413" s="11"/>
      <c r="BF4413" s="9"/>
      <c r="CF4413" s="12"/>
      <c r="CH4413" s="9"/>
    </row>
    <row r="4414" spans="6:86" x14ac:dyDescent="0.25">
      <c r="F4414" s="9"/>
      <c r="G4414" s="9"/>
      <c r="AA4414" s="10"/>
      <c r="AV4414" s="11"/>
      <c r="AW4414" s="11"/>
      <c r="BB4414" s="9"/>
      <c r="BC4414" s="11"/>
      <c r="BF4414" s="9"/>
      <c r="CF4414" s="12"/>
      <c r="CH4414" s="9"/>
    </row>
    <row r="4415" spans="6:86" x14ac:dyDescent="0.25">
      <c r="F4415" s="9"/>
      <c r="G4415" s="9"/>
      <c r="AA4415" s="10"/>
      <c r="AV4415" s="11"/>
      <c r="AW4415" s="11"/>
      <c r="BB4415" s="9"/>
      <c r="BC4415" s="11"/>
      <c r="BF4415" s="9"/>
      <c r="CF4415" s="12"/>
      <c r="CH4415" s="9"/>
    </row>
    <row r="4416" spans="6:86" x14ac:dyDescent="0.25">
      <c r="F4416" s="9"/>
      <c r="G4416" s="9"/>
      <c r="AA4416" s="10"/>
      <c r="AV4416" s="11"/>
      <c r="AW4416" s="11"/>
      <c r="BB4416" s="9"/>
      <c r="BC4416" s="11"/>
      <c r="BF4416" s="9"/>
      <c r="CF4416" s="12"/>
      <c r="CH4416" s="9"/>
    </row>
    <row r="4417" spans="6:92" x14ac:dyDescent="0.25">
      <c r="F4417" s="9"/>
      <c r="G4417" s="9"/>
      <c r="AA4417" s="10"/>
      <c r="AV4417" s="11"/>
      <c r="AW4417" s="11"/>
      <c r="BB4417" s="9"/>
      <c r="BC4417" s="11"/>
      <c r="BF4417" s="9"/>
      <c r="CF4417" s="12"/>
      <c r="CH4417" s="9"/>
    </row>
    <row r="4418" spans="6:92" x14ac:dyDescent="0.25">
      <c r="F4418" s="9"/>
      <c r="G4418" s="9"/>
      <c r="AA4418" s="10"/>
      <c r="AV4418" s="11"/>
      <c r="AW4418" s="11"/>
      <c r="BB4418" s="9"/>
      <c r="BC4418" s="11"/>
      <c r="BF4418" s="9"/>
      <c r="CF4418" s="12"/>
      <c r="CH4418" s="9"/>
    </row>
    <row r="4419" spans="6:92" x14ac:dyDescent="0.25">
      <c r="F4419" s="9"/>
      <c r="G4419" s="9"/>
      <c r="AA4419" s="10"/>
      <c r="AV4419" s="11"/>
      <c r="AW4419" s="11"/>
      <c r="BB4419" s="9"/>
      <c r="BC4419" s="11"/>
      <c r="BF4419" s="9"/>
      <c r="CF4419" s="12"/>
      <c r="CH4419" s="9"/>
    </row>
    <row r="4420" spans="6:92" x14ac:dyDescent="0.25">
      <c r="F4420" s="9"/>
      <c r="G4420" s="9"/>
      <c r="AA4420" s="10"/>
      <c r="AV4420" s="11"/>
      <c r="AW4420" s="11"/>
      <c r="BB4420" s="9"/>
      <c r="BC4420" s="11"/>
      <c r="BF4420" s="9"/>
      <c r="CF4420" s="12"/>
      <c r="CH4420" s="9"/>
    </row>
    <row r="4421" spans="6:92" x14ac:dyDescent="0.25">
      <c r="F4421" s="9"/>
      <c r="G4421" s="9"/>
      <c r="AA4421" s="10"/>
      <c r="AV4421" s="11"/>
      <c r="AW4421" s="11"/>
      <c r="BB4421" s="9"/>
      <c r="BC4421" s="11"/>
      <c r="BF4421" s="9"/>
      <c r="CF4421" s="12"/>
      <c r="CH4421" s="9"/>
    </row>
    <row r="4422" spans="6:92" x14ac:dyDescent="0.25">
      <c r="F4422" s="9"/>
      <c r="G4422" s="9"/>
      <c r="AA4422" s="10"/>
      <c r="AV4422" s="11"/>
      <c r="AW4422" s="11"/>
      <c r="BB4422" s="9"/>
      <c r="BC4422" s="11"/>
      <c r="BF4422" s="9"/>
      <c r="CF4422" s="12"/>
      <c r="CH4422" s="9"/>
    </row>
    <row r="4423" spans="6:92" x14ac:dyDescent="0.25">
      <c r="F4423" s="9"/>
      <c r="G4423" s="9"/>
      <c r="AA4423" s="10"/>
      <c r="AV4423" s="11"/>
      <c r="AW4423" s="11"/>
      <c r="BB4423" s="9"/>
      <c r="BC4423" s="11"/>
      <c r="BF4423" s="9"/>
      <c r="CF4423" s="12"/>
      <c r="CH4423" s="9"/>
    </row>
    <row r="4424" spans="6:92" x14ac:dyDescent="0.25">
      <c r="F4424" s="9"/>
      <c r="G4424" s="9"/>
      <c r="AA4424" s="10"/>
      <c r="AV4424" s="11"/>
      <c r="AW4424" s="11"/>
      <c r="BB4424" s="9"/>
      <c r="BC4424" s="11"/>
      <c r="BF4424" s="9"/>
      <c r="CF4424" s="12"/>
      <c r="CH4424" s="9"/>
    </row>
    <row r="4425" spans="6:92" x14ac:dyDescent="0.25">
      <c r="F4425" s="9"/>
      <c r="G4425" s="9"/>
      <c r="AA4425" s="10"/>
      <c r="AV4425" s="11"/>
      <c r="AW4425" s="11"/>
      <c r="BB4425" s="9"/>
      <c r="BC4425" s="11"/>
      <c r="BF4425" s="9"/>
      <c r="CF4425" s="12"/>
      <c r="CH4425" s="9"/>
    </row>
    <row r="4426" spans="6:92" x14ac:dyDescent="0.25">
      <c r="F4426" s="9"/>
      <c r="G4426" s="9"/>
      <c r="AA4426" s="10"/>
      <c r="AV4426" s="11"/>
      <c r="AW4426" s="11"/>
      <c r="BB4426" s="9"/>
      <c r="BC4426" s="11"/>
      <c r="BF4426" s="9"/>
      <c r="CF4426" s="12"/>
      <c r="CH4426" s="9"/>
    </row>
    <row r="4427" spans="6:92" x14ac:dyDescent="0.25">
      <c r="F4427" s="9"/>
      <c r="G4427" s="9"/>
      <c r="AA4427" s="10"/>
      <c r="AV4427" s="11"/>
      <c r="AW4427" s="11"/>
      <c r="BB4427" s="9"/>
      <c r="BC4427" s="11"/>
      <c r="BF4427" s="9"/>
      <c r="CF4427" s="12"/>
      <c r="CH4427" s="9"/>
    </row>
    <row r="4428" spans="6:92" x14ac:dyDescent="0.25">
      <c r="F4428" s="9"/>
      <c r="G4428" s="9"/>
      <c r="U4428" s="12"/>
      <c r="Z4428" s="12"/>
      <c r="AA4428" s="10"/>
      <c r="AV4428" s="11"/>
      <c r="AW4428" s="11"/>
      <c r="BB4428" s="9"/>
      <c r="BC4428" s="11"/>
      <c r="BF4428" s="9"/>
      <c r="CF4428" s="12"/>
      <c r="CH4428" s="9"/>
      <c r="CN4428" s="12"/>
    </row>
    <row r="4429" spans="6:92" x14ac:dyDescent="0.25">
      <c r="F4429" s="9"/>
      <c r="G4429" s="9"/>
      <c r="U4429" s="12"/>
      <c r="Z4429" s="12"/>
      <c r="AA4429" s="10"/>
      <c r="AV4429" s="11"/>
      <c r="AW4429" s="11"/>
      <c r="BB4429" s="9"/>
      <c r="BC4429" s="11"/>
      <c r="BF4429" s="9"/>
      <c r="CF4429" s="12"/>
      <c r="CH4429" s="9"/>
      <c r="CN4429" s="12"/>
    </row>
    <row r="4430" spans="6:92" x14ac:dyDescent="0.25">
      <c r="F4430" s="9"/>
      <c r="G4430" s="9"/>
      <c r="AA4430" s="10"/>
      <c r="AV4430" s="11"/>
      <c r="AW4430" s="11"/>
      <c r="BB4430" s="9"/>
      <c r="BC4430" s="11"/>
      <c r="BF4430" s="9"/>
      <c r="CF4430" s="12"/>
      <c r="CH4430" s="9"/>
    </row>
    <row r="4431" spans="6:92" x14ac:dyDescent="0.25">
      <c r="F4431" s="9"/>
      <c r="G4431" s="9"/>
      <c r="U4431" s="12"/>
      <c r="Z4431" s="12"/>
      <c r="AA4431" s="10"/>
      <c r="AV4431" s="11"/>
      <c r="AW4431" s="11"/>
      <c r="BB4431" s="9"/>
      <c r="BC4431" s="11"/>
      <c r="BF4431" s="9"/>
      <c r="CH4431" s="9"/>
      <c r="CN4431" s="12"/>
    </row>
    <row r="4432" spans="6:92" x14ac:dyDescent="0.25">
      <c r="F4432" s="9"/>
      <c r="G4432" s="9"/>
      <c r="AA4432" s="10"/>
      <c r="AV4432" s="11"/>
      <c r="AW4432" s="11"/>
      <c r="BB4432" s="9"/>
      <c r="BC4432" s="11"/>
      <c r="BF4432" s="9"/>
      <c r="CF4432" s="12"/>
      <c r="CH4432" s="9"/>
    </row>
    <row r="4433" spans="6:92" x14ac:dyDescent="0.25">
      <c r="F4433" s="9"/>
      <c r="G4433" s="9"/>
      <c r="AA4433" s="10"/>
      <c r="AV4433" s="11"/>
      <c r="AW4433" s="11"/>
      <c r="BB4433" s="9"/>
      <c r="BC4433" s="11"/>
      <c r="BF4433" s="9"/>
      <c r="CF4433" s="12"/>
      <c r="CH4433" s="9"/>
    </row>
    <row r="4434" spans="6:92" x14ac:dyDescent="0.25">
      <c r="F4434" s="9"/>
      <c r="G4434" s="9"/>
      <c r="AA4434" s="10"/>
      <c r="AV4434" s="11"/>
      <c r="AW4434" s="11"/>
      <c r="BB4434" s="9"/>
      <c r="BC4434" s="11"/>
      <c r="BF4434" s="9"/>
      <c r="CF4434" s="12"/>
      <c r="CH4434" s="9"/>
    </row>
    <row r="4435" spans="6:92" x14ac:dyDescent="0.25">
      <c r="F4435" s="9"/>
      <c r="G4435" s="9"/>
      <c r="AA4435" s="10"/>
      <c r="AV4435" s="11"/>
      <c r="AW4435" s="11"/>
      <c r="BB4435" s="9"/>
      <c r="BC4435" s="11"/>
      <c r="BF4435" s="9"/>
      <c r="CF4435" s="12"/>
      <c r="CH4435" s="9"/>
    </row>
    <row r="4436" spans="6:92" x14ac:dyDescent="0.25">
      <c r="F4436" s="9"/>
      <c r="G4436" s="9"/>
      <c r="AA4436" s="10"/>
      <c r="AV4436" s="11"/>
      <c r="AW4436" s="11"/>
      <c r="BB4436" s="9"/>
      <c r="BC4436" s="11"/>
      <c r="BF4436" s="9"/>
      <c r="CF4436" s="12"/>
      <c r="CH4436" s="9"/>
    </row>
    <row r="4437" spans="6:92" x14ac:dyDescent="0.25">
      <c r="F4437" s="9"/>
      <c r="G4437" s="9"/>
      <c r="AA4437" s="10"/>
      <c r="AV4437" s="11"/>
      <c r="AW4437" s="11"/>
      <c r="BB4437" s="9"/>
      <c r="BC4437" s="11"/>
      <c r="BF4437" s="9"/>
      <c r="CF4437" s="12"/>
      <c r="CH4437" s="9"/>
    </row>
    <row r="4438" spans="6:92" x14ac:dyDescent="0.25">
      <c r="F4438" s="9"/>
      <c r="G4438" s="9"/>
      <c r="U4438" s="12"/>
      <c r="Z4438" s="12"/>
      <c r="AA4438" s="10"/>
      <c r="AV4438" s="11"/>
      <c r="AW4438" s="11"/>
      <c r="BB4438" s="9"/>
      <c r="BC4438" s="11"/>
      <c r="BF4438" s="9"/>
      <c r="CF4438" s="12"/>
      <c r="CH4438" s="9"/>
      <c r="CN4438" s="12"/>
    </row>
    <row r="4439" spans="6:92" x14ac:dyDescent="0.25">
      <c r="F4439" s="9"/>
      <c r="G4439" s="9"/>
      <c r="U4439" s="12"/>
      <c r="Z4439" s="12"/>
      <c r="AA4439" s="10"/>
      <c r="AV4439" s="11"/>
      <c r="AW4439" s="11"/>
      <c r="BB4439" s="9"/>
      <c r="BC4439" s="11"/>
      <c r="BF4439" s="9"/>
      <c r="CF4439" s="12"/>
      <c r="CH4439" s="9"/>
      <c r="CN4439" s="12"/>
    </row>
    <row r="4440" spans="6:92" x14ac:dyDescent="0.25">
      <c r="F4440" s="9"/>
      <c r="G4440" s="9"/>
      <c r="U4440" s="12"/>
      <c r="Y4440" s="12"/>
      <c r="Z4440" s="12"/>
      <c r="AA4440" s="10"/>
      <c r="AV4440" s="11"/>
      <c r="AW4440" s="11"/>
      <c r="BB4440" s="9"/>
      <c r="BC4440" s="11"/>
      <c r="BF4440" s="9"/>
      <c r="CF4440" s="12"/>
      <c r="CH4440" s="9"/>
      <c r="CN4440" s="12"/>
    </row>
    <row r="4441" spans="6:92" x14ac:dyDescent="0.25">
      <c r="F4441" s="9"/>
      <c r="G4441" s="9"/>
      <c r="AA4441" s="10"/>
      <c r="AV4441" s="11"/>
      <c r="AW4441" s="11"/>
      <c r="BB4441" s="9"/>
      <c r="BC4441" s="11"/>
      <c r="BF4441" s="9"/>
      <c r="CF4441" s="12"/>
      <c r="CH4441" s="9"/>
    </row>
    <row r="4442" spans="6:92" x14ac:dyDescent="0.25">
      <c r="F4442" s="9"/>
      <c r="G4442" s="9"/>
      <c r="AA4442" s="10"/>
      <c r="AV4442" s="11"/>
      <c r="AW4442" s="11"/>
      <c r="BB4442" s="9"/>
      <c r="BC4442" s="11"/>
      <c r="BF4442" s="9"/>
      <c r="CF4442" s="12"/>
      <c r="CH4442" s="9"/>
    </row>
    <row r="4443" spans="6:92" x14ac:dyDescent="0.25">
      <c r="F4443" s="9"/>
      <c r="G4443" s="9"/>
      <c r="AA4443" s="10"/>
      <c r="AV4443" s="11"/>
      <c r="AW4443" s="11"/>
      <c r="BB4443" s="9"/>
      <c r="BC4443" s="11"/>
      <c r="BF4443" s="9"/>
      <c r="CF4443" s="12"/>
      <c r="CH4443" s="9"/>
    </row>
    <row r="4444" spans="6:92" x14ac:dyDescent="0.25">
      <c r="F4444" s="9"/>
      <c r="G4444" s="9"/>
      <c r="AA4444" s="10"/>
      <c r="AV4444" s="11"/>
      <c r="AW4444" s="11"/>
      <c r="BB4444" s="9"/>
      <c r="BC4444" s="11"/>
      <c r="BF4444" s="9"/>
      <c r="CF4444" s="12"/>
      <c r="CH4444" s="9"/>
    </row>
    <row r="4445" spans="6:92" x14ac:dyDescent="0.25">
      <c r="F4445" s="9"/>
      <c r="G4445" s="9"/>
      <c r="AA4445" s="10"/>
      <c r="AV4445" s="11"/>
      <c r="AW4445" s="11"/>
      <c r="BB4445" s="9"/>
      <c r="BC4445" s="11"/>
      <c r="BF4445" s="9"/>
      <c r="CH4445" s="9"/>
    </row>
    <row r="4446" spans="6:92" x14ac:dyDescent="0.25">
      <c r="F4446" s="9"/>
      <c r="G4446" s="9"/>
      <c r="AA4446" s="10"/>
      <c r="AV4446" s="11"/>
      <c r="AW4446" s="11"/>
      <c r="BB4446" s="9"/>
      <c r="BC4446" s="11"/>
      <c r="BF4446" s="9"/>
      <c r="CH4446" s="9"/>
    </row>
    <row r="4447" spans="6:92" x14ac:dyDescent="0.25">
      <c r="F4447" s="9"/>
      <c r="G4447" s="9"/>
      <c r="U4447" s="12"/>
      <c r="Z4447" s="12"/>
      <c r="AA4447" s="10"/>
      <c r="AV4447" s="11"/>
      <c r="AW4447" s="11"/>
      <c r="BB4447" s="9"/>
      <c r="BC4447" s="11"/>
      <c r="BF4447" s="9"/>
      <c r="CF4447" s="12"/>
      <c r="CH4447" s="9"/>
      <c r="CN4447" s="12"/>
    </row>
    <row r="4448" spans="6:92" x14ac:dyDescent="0.25">
      <c r="F4448" s="9"/>
      <c r="G4448" s="9"/>
      <c r="U4448" s="12"/>
      <c r="Z4448" s="12"/>
      <c r="AA4448" s="10"/>
      <c r="AV4448" s="11"/>
      <c r="AW4448" s="11"/>
      <c r="BB4448" s="9"/>
      <c r="BC4448" s="11"/>
      <c r="BF4448" s="9"/>
      <c r="CF4448" s="12"/>
      <c r="CH4448" s="9"/>
      <c r="CN4448" s="12"/>
    </row>
    <row r="4449" spans="6:86" x14ac:dyDescent="0.25">
      <c r="F4449" s="9"/>
      <c r="G4449" s="9"/>
      <c r="AA4449" s="10"/>
      <c r="AV4449" s="11"/>
      <c r="AW4449" s="11"/>
      <c r="BB4449" s="9"/>
      <c r="BC4449" s="11"/>
      <c r="BF4449" s="9"/>
      <c r="CF4449" s="12"/>
      <c r="CH4449" s="9"/>
    </row>
    <row r="4450" spans="6:86" x14ac:dyDescent="0.25">
      <c r="F4450" s="9"/>
      <c r="G4450" s="9"/>
      <c r="AA4450" s="10"/>
      <c r="AV4450" s="11"/>
      <c r="AW4450" s="11"/>
      <c r="BB4450" s="9"/>
      <c r="BC4450" s="11"/>
      <c r="BF4450" s="9"/>
      <c r="CH4450" s="9"/>
    </row>
    <row r="4451" spans="6:86" x14ac:dyDescent="0.25">
      <c r="F4451" s="9"/>
      <c r="G4451" s="9"/>
      <c r="AA4451" s="10"/>
      <c r="AV4451" s="11"/>
      <c r="AW4451" s="11"/>
      <c r="BB4451" s="9"/>
      <c r="BC4451" s="11"/>
      <c r="BF4451" s="9"/>
      <c r="CF4451" s="12"/>
      <c r="CH4451" s="9"/>
    </row>
    <row r="4452" spans="6:86" x14ac:dyDescent="0.25">
      <c r="F4452" s="9"/>
      <c r="G4452" s="9"/>
      <c r="AA4452" s="10"/>
      <c r="AV4452" s="11"/>
      <c r="AW4452" s="11"/>
      <c r="BB4452" s="9"/>
      <c r="BC4452" s="11"/>
      <c r="BF4452" s="9"/>
      <c r="CF4452" s="12"/>
      <c r="CH4452" s="9"/>
    </row>
    <row r="4453" spans="6:86" x14ac:dyDescent="0.25">
      <c r="F4453" s="9"/>
      <c r="G4453" s="9"/>
      <c r="AA4453" s="10"/>
      <c r="AV4453" s="11"/>
      <c r="AW4453" s="11"/>
      <c r="BB4453" s="9"/>
      <c r="BC4453" s="11"/>
      <c r="BF4453" s="9"/>
      <c r="CF4453" s="12"/>
      <c r="CH4453" s="9"/>
    </row>
    <row r="4454" spans="6:86" x14ac:dyDescent="0.25">
      <c r="F4454" s="9"/>
      <c r="G4454" s="9"/>
      <c r="AA4454" s="10"/>
      <c r="AV4454" s="11"/>
      <c r="AW4454" s="11"/>
      <c r="BB4454" s="9"/>
      <c r="BC4454" s="11"/>
      <c r="BF4454" s="9"/>
      <c r="CF4454" s="12"/>
      <c r="CH4454" s="9"/>
    </row>
    <row r="4455" spans="6:86" x14ac:dyDescent="0.25">
      <c r="F4455" s="9"/>
      <c r="G4455" s="9"/>
      <c r="AA4455" s="10"/>
      <c r="AV4455" s="11"/>
      <c r="AW4455" s="11"/>
      <c r="BB4455" s="9"/>
      <c r="BC4455" s="11"/>
      <c r="BF4455" s="9"/>
      <c r="CF4455" s="12"/>
      <c r="CH4455" s="9"/>
    </row>
    <row r="4456" spans="6:86" x14ac:dyDescent="0.25">
      <c r="F4456" s="9"/>
      <c r="G4456" s="9"/>
      <c r="AA4456" s="10"/>
      <c r="AV4456" s="11"/>
      <c r="AW4456" s="11"/>
      <c r="BB4456" s="9"/>
      <c r="BC4456" s="11"/>
      <c r="BF4456" s="9"/>
      <c r="CF4456" s="12"/>
      <c r="CH4456" s="9"/>
    </row>
    <row r="4457" spans="6:86" x14ac:dyDescent="0.25">
      <c r="F4457" s="9"/>
      <c r="G4457" s="9"/>
      <c r="AA4457" s="10"/>
      <c r="AV4457" s="11"/>
      <c r="AW4457" s="11"/>
      <c r="BB4457" s="9"/>
      <c r="BC4457" s="11"/>
      <c r="BF4457" s="9"/>
      <c r="CF4457" s="12"/>
      <c r="CH4457" s="9"/>
    </row>
    <row r="4458" spans="6:86" x14ac:dyDescent="0.25">
      <c r="F4458" s="9"/>
      <c r="G4458" s="9"/>
      <c r="AA4458" s="10"/>
      <c r="AV4458" s="11"/>
      <c r="AW4458" s="11"/>
      <c r="BB4458" s="9"/>
      <c r="BC4458" s="11"/>
      <c r="BF4458" s="9"/>
      <c r="CF4458" s="12"/>
      <c r="CH4458" s="9"/>
    </row>
    <row r="4459" spans="6:86" x14ac:dyDescent="0.25">
      <c r="F4459" s="9"/>
      <c r="G4459" s="9"/>
      <c r="AA4459" s="10"/>
      <c r="AV4459" s="11"/>
      <c r="AW4459" s="11"/>
      <c r="BB4459" s="9"/>
      <c r="BC4459" s="11"/>
      <c r="BF4459" s="9"/>
      <c r="CF4459" s="12"/>
      <c r="CH4459" s="9"/>
    </row>
    <row r="4460" spans="6:86" x14ac:dyDescent="0.25">
      <c r="F4460" s="9"/>
      <c r="G4460" s="9"/>
      <c r="AA4460" s="10"/>
      <c r="AV4460" s="11"/>
      <c r="AW4460" s="11"/>
      <c r="BB4460" s="9"/>
      <c r="BC4460" s="11"/>
      <c r="BF4460" s="9"/>
      <c r="CF4460" s="12"/>
      <c r="CH4460" s="9"/>
    </row>
    <row r="4461" spans="6:86" x14ac:dyDescent="0.25">
      <c r="F4461" s="9"/>
      <c r="G4461" s="9"/>
      <c r="AA4461" s="10"/>
      <c r="AV4461" s="11"/>
      <c r="AW4461" s="11"/>
      <c r="BB4461" s="9"/>
      <c r="BC4461" s="11"/>
      <c r="BF4461" s="9"/>
      <c r="CF4461" s="12"/>
      <c r="CH4461" s="9"/>
    </row>
    <row r="4462" spans="6:86" x14ac:dyDescent="0.25">
      <c r="F4462" s="9"/>
      <c r="G4462" s="9"/>
      <c r="AA4462" s="10"/>
      <c r="AV4462" s="11"/>
      <c r="AW4462" s="11"/>
      <c r="BB4462" s="9"/>
      <c r="BC4462" s="11"/>
      <c r="BF4462" s="9"/>
      <c r="CF4462" s="12"/>
      <c r="CH4462" s="9"/>
    </row>
    <row r="4463" spans="6:86" x14ac:dyDescent="0.25">
      <c r="F4463" s="9"/>
      <c r="G4463" s="9"/>
      <c r="AA4463" s="10"/>
      <c r="AV4463" s="11"/>
      <c r="AW4463" s="11"/>
      <c r="BB4463" s="9"/>
      <c r="BC4463" s="11"/>
      <c r="BF4463" s="9"/>
      <c r="CF4463" s="12"/>
      <c r="CH4463" s="9"/>
    </row>
    <row r="4464" spans="6:86" x14ac:dyDescent="0.25">
      <c r="F4464" s="9"/>
      <c r="G4464" s="9"/>
      <c r="AA4464" s="10"/>
      <c r="AV4464" s="11"/>
      <c r="AW4464" s="11"/>
      <c r="BB4464" s="9"/>
      <c r="BC4464" s="11"/>
      <c r="BF4464" s="9"/>
      <c r="CF4464" s="12"/>
      <c r="CH4464" s="9"/>
    </row>
    <row r="4465" spans="6:92" x14ac:dyDescent="0.25">
      <c r="F4465" s="9"/>
      <c r="G4465" s="9"/>
      <c r="AA4465" s="10"/>
      <c r="AV4465" s="11"/>
      <c r="AW4465" s="11"/>
      <c r="BB4465" s="9"/>
      <c r="BC4465" s="11"/>
      <c r="BF4465" s="9"/>
      <c r="CF4465" s="12"/>
      <c r="CH4465" s="9"/>
    </row>
    <row r="4466" spans="6:92" x14ac:dyDescent="0.25">
      <c r="F4466" s="9"/>
      <c r="G4466" s="9"/>
      <c r="AA4466" s="10"/>
      <c r="AV4466" s="11"/>
      <c r="AW4466" s="11"/>
      <c r="BB4466" s="9"/>
      <c r="BC4466" s="11"/>
      <c r="BF4466" s="9"/>
      <c r="CF4466" s="12"/>
      <c r="CH4466" s="9"/>
    </row>
    <row r="4467" spans="6:92" x14ac:dyDescent="0.25">
      <c r="F4467" s="9"/>
      <c r="G4467" s="9"/>
      <c r="AA4467" s="10"/>
      <c r="AV4467" s="11"/>
      <c r="AW4467" s="11"/>
      <c r="BB4467" s="9"/>
      <c r="BC4467" s="11"/>
      <c r="BF4467" s="9"/>
      <c r="CF4467" s="12"/>
      <c r="CH4467" s="9"/>
    </row>
    <row r="4468" spans="6:92" x14ac:dyDescent="0.25">
      <c r="F4468" s="9"/>
      <c r="G4468" s="9"/>
      <c r="AA4468" s="10"/>
      <c r="AV4468" s="11"/>
      <c r="AW4468" s="11"/>
      <c r="BB4468" s="9"/>
      <c r="BC4468" s="11"/>
      <c r="BF4468" s="9"/>
      <c r="CH4468" s="9"/>
    </row>
    <row r="4469" spans="6:92" x14ac:dyDescent="0.25">
      <c r="F4469" s="9"/>
      <c r="G4469" s="9"/>
      <c r="AA4469" s="10"/>
      <c r="AV4469" s="11"/>
      <c r="AW4469" s="11"/>
      <c r="BB4469" s="9"/>
      <c r="BC4469" s="11"/>
      <c r="BF4469" s="9"/>
      <c r="CF4469" s="12"/>
      <c r="CH4469" s="9"/>
    </row>
    <row r="4470" spans="6:92" x14ac:dyDescent="0.25">
      <c r="F4470" s="9"/>
      <c r="G4470" s="9"/>
      <c r="AA4470" s="10"/>
      <c r="AV4470" s="11"/>
      <c r="AW4470" s="11"/>
      <c r="BB4470" s="9"/>
      <c r="BC4470" s="11"/>
      <c r="BF4470" s="9"/>
      <c r="CH4470" s="9"/>
    </row>
    <row r="4471" spans="6:92" x14ac:dyDescent="0.25">
      <c r="F4471" s="9"/>
      <c r="G4471" s="9"/>
      <c r="AA4471" s="10"/>
      <c r="AV4471" s="11"/>
      <c r="AW4471" s="11"/>
      <c r="BB4471" s="9"/>
      <c r="BC4471" s="11"/>
      <c r="BF4471" s="9"/>
      <c r="CF4471" s="12"/>
      <c r="CH4471" s="9"/>
    </row>
    <row r="4472" spans="6:92" x14ac:dyDescent="0.25">
      <c r="F4472" s="9"/>
      <c r="G4472" s="9"/>
      <c r="AA4472" s="10"/>
      <c r="AV4472" s="11"/>
      <c r="AW4472" s="11"/>
      <c r="BB4472" s="9"/>
      <c r="BC4472" s="11"/>
      <c r="BF4472" s="9"/>
      <c r="CF4472" s="12"/>
      <c r="CH4472" s="9"/>
    </row>
    <row r="4473" spans="6:92" x14ac:dyDescent="0.25">
      <c r="F4473" s="9"/>
      <c r="G4473" s="9"/>
      <c r="AA4473" s="10"/>
      <c r="AV4473" s="11"/>
      <c r="AW4473" s="11"/>
      <c r="BB4473" s="9"/>
      <c r="BC4473" s="11"/>
      <c r="BF4473" s="9"/>
      <c r="CH4473" s="9"/>
    </row>
    <row r="4474" spans="6:92" x14ac:dyDescent="0.25">
      <c r="F4474" s="9"/>
      <c r="G4474" s="9"/>
      <c r="U4474" s="12"/>
      <c r="Z4474" s="12"/>
      <c r="AA4474" s="10"/>
      <c r="AV4474" s="11"/>
      <c r="AW4474" s="11"/>
      <c r="BB4474" s="9"/>
      <c r="BC4474" s="11"/>
      <c r="BF4474" s="9"/>
      <c r="CH4474" s="9"/>
      <c r="CN4474" s="12"/>
    </row>
    <row r="4475" spans="6:92" x14ac:dyDescent="0.25">
      <c r="F4475" s="9"/>
      <c r="G4475" s="9"/>
      <c r="AA4475" s="10"/>
      <c r="AV4475" s="11"/>
      <c r="AW4475" s="11"/>
      <c r="BB4475" s="9"/>
      <c r="BC4475" s="11"/>
      <c r="BF4475" s="9"/>
      <c r="CH4475" s="9"/>
    </row>
    <row r="4476" spans="6:92" x14ac:dyDescent="0.25">
      <c r="F4476" s="9"/>
      <c r="G4476" s="9"/>
      <c r="AA4476" s="10"/>
      <c r="AV4476" s="11"/>
      <c r="AW4476" s="11"/>
      <c r="BB4476" s="9"/>
      <c r="BC4476" s="11"/>
      <c r="BF4476" s="9"/>
      <c r="CF4476" s="12"/>
      <c r="CH4476" s="9"/>
    </row>
    <row r="4477" spans="6:92" x14ac:dyDescent="0.25">
      <c r="F4477" s="9"/>
      <c r="G4477" s="9"/>
      <c r="AA4477" s="10"/>
      <c r="AV4477" s="11"/>
      <c r="AW4477" s="11"/>
      <c r="BB4477" s="9"/>
      <c r="BC4477" s="11"/>
      <c r="BF4477" s="9"/>
      <c r="CF4477" s="12"/>
      <c r="CH4477" s="9"/>
      <c r="CN4477" s="12"/>
    </row>
    <row r="4478" spans="6:92" x14ac:dyDescent="0.25">
      <c r="F4478" s="9"/>
      <c r="G4478" s="9"/>
      <c r="AA4478" s="10"/>
      <c r="AV4478" s="11"/>
      <c r="AW4478" s="11"/>
      <c r="BB4478" s="9"/>
      <c r="BC4478" s="11"/>
      <c r="BF4478" s="9"/>
      <c r="CF4478" s="12"/>
      <c r="CH4478" s="9"/>
    </row>
    <row r="4479" spans="6:92" x14ac:dyDescent="0.25">
      <c r="F4479" s="9"/>
      <c r="G4479" s="9"/>
      <c r="AA4479" s="10"/>
      <c r="AV4479" s="11"/>
      <c r="AW4479" s="11"/>
      <c r="BB4479" s="9"/>
      <c r="BC4479" s="11"/>
      <c r="BF4479" s="9"/>
      <c r="CF4479" s="12"/>
      <c r="CH4479" s="9"/>
      <c r="CN4479" s="12"/>
    </row>
    <row r="4480" spans="6:92" x14ac:dyDescent="0.25">
      <c r="F4480" s="9"/>
      <c r="G4480" s="9"/>
      <c r="U4480" s="12"/>
      <c r="Z4480" s="12"/>
      <c r="AA4480" s="10"/>
      <c r="AV4480" s="11"/>
      <c r="AW4480" s="11"/>
      <c r="BB4480" s="9"/>
      <c r="BC4480" s="11"/>
      <c r="BF4480" s="9"/>
      <c r="CF4480" s="12"/>
      <c r="CH4480" s="9"/>
    </row>
    <row r="4481" spans="6:92" x14ac:dyDescent="0.25">
      <c r="F4481" s="9"/>
      <c r="G4481" s="9"/>
      <c r="AA4481" s="10"/>
      <c r="AV4481" s="11"/>
      <c r="AW4481" s="11"/>
      <c r="BB4481" s="9"/>
      <c r="BC4481" s="11"/>
      <c r="BF4481" s="9"/>
      <c r="CF4481" s="12"/>
      <c r="CH4481" s="9"/>
      <c r="CN4481" s="12"/>
    </row>
    <row r="4482" spans="6:92" x14ac:dyDescent="0.25">
      <c r="F4482" s="9"/>
      <c r="G4482" s="9"/>
      <c r="AA4482" s="10"/>
      <c r="AV4482" s="11"/>
      <c r="AW4482" s="11"/>
      <c r="BB4482" s="9"/>
      <c r="BC4482" s="11"/>
      <c r="BF4482" s="9"/>
      <c r="CF4482" s="12"/>
      <c r="CH4482" s="9"/>
    </row>
    <row r="4483" spans="6:92" x14ac:dyDescent="0.25">
      <c r="F4483" s="9"/>
      <c r="G4483" s="9"/>
      <c r="AA4483" s="10"/>
      <c r="AV4483" s="11"/>
      <c r="AW4483" s="11"/>
      <c r="BB4483" s="9"/>
      <c r="BC4483" s="11"/>
      <c r="BF4483" s="9"/>
      <c r="CF4483" s="12"/>
      <c r="CH4483" s="9"/>
    </row>
    <row r="4484" spans="6:92" x14ac:dyDescent="0.25">
      <c r="F4484" s="9"/>
      <c r="G4484" s="9"/>
      <c r="AA4484" s="10"/>
      <c r="AV4484" s="11"/>
      <c r="AW4484" s="11"/>
      <c r="BB4484" s="9"/>
      <c r="BC4484" s="11"/>
      <c r="BF4484" s="9"/>
      <c r="CF4484" s="12"/>
      <c r="CH4484" s="9"/>
    </row>
    <row r="4485" spans="6:92" x14ac:dyDescent="0.25">
      <c r="F4485" s="9"/>
      <c r="G4485" s="9"/>
      <c r="AA4485" s="10"/>
      <c r="AV4485" s="11"/>
      <c r="AW4485" s="11"/>
      <c r="BB4485" s="9"/>
      <c r="BC4485" s="11"/>
      <c r="BF4485" s="9"/>
      <c r="CF4485" s="12"/>
      <c r="CH4485" s="9"/>
    </row>
    <row r="4486" spans="6:92" x14ac:dyDescent="0.25">
      <c r="F4486" s="9"/>
      <c r="G4486" s="9"/>
      <c r="AA4486" s="10"/>
      <c r="AV4486" s="11"/>
      <c r="AW4486" s="11"/>
      <c r="BB4486" s="9"/>
      <c r="BC4486" s="11"/>
      <c r="BF4486" s="9"/>
      <c r="CF4486" s="12"/>
      <c r="CH4486" s="9"/>
    </row>
    <row r="4487" spans="6:92" x14ac:dyDescent="0.25">
      <c r="F4487" s="9"/>
      <c r="G4487" s="9"/>
      <c r="AA4487" s="10"/>
      <c r="AV4487" s="11"/>
      <c r="AW4487" s="11"/>
      <c r="BB4487" s="9"/>
      <c r="BC4487" s="11"/>
      <c r="BF4487" s="9"/>
      <c r="CF4487" s="12"/>
      <c r="CH4487" s="9"/>
    </row>
    <row r="4488" spans="6:92" x14ac:dyDescent="0.25">
      <c r="F4488" s="9"/>
      <c r="G4488" s="9"/>
      <c r="AA4488" s="10"/>
      <c r="AV4488" s="11"/>
      <c r="AW4488" s="11"/>
      <c r="BB4488" s="9"/>
      <c r="BC4488" s="11"/>
      <c r="BF4488" s="9"/>
      <c r="CF4488" s="12"/>
      <c r="CH4488" s="9"/>
    </row>
    <row r="4489" spans="6:92" x14ac:dyDescent="0.25">
      <c r="F4489" s="9"/>
      <c r="G4489" s="9"/>
      <c r="AA4489" s="10"/>
      <c r="AV4489" s="11"/>
      <c r="AW4489" s="11"/>
      <c r="BB4489" s="9"/>
      <c r="BC4489" s="11"/>
      <c r="BF4489" s="9"/>
      <c r="CF4489" s="12"/>
      <c r="CH4489" s="9"/>
    </row>
    <row r="4490" spans="6:92" x14ac:dyDescent="0.25">
      <c r="F4490" s="9"/>
      <c r="G4490" s="9"/>
      <c r="U4490" s="12"/>
      <c r="Y4490" s="12"/>
      <c r="Z4490" s="12"/>
      <c r="AA4490" s="10"/>
      <c r="AV4490" s="11"/>
      <c r="AW4490" s="11"/>
      <c r="BB4490" s="9"/>
      <c r="BC4490" s="11"/>
      <c r="BF4490" s="9"/>
      <c r="CF4490" s="12"/>
      <c r="CH4490" s="9"/>
      <c r="CN4490" s="12"/>
    </row>
    <row r="4491" spans="6:92" x14ac:dyDescent="0.25">
      <c r="F4491" s="9"/>
      <c r="G4491" s="9"/>
      <c r="AA4491" s="10"/>
      <c r="AV4491" s="11"/>
      <c r="AW4491" s="11"/>
      <c r="BB4491" s="9"/>
      <c r="BC4491" s="11"/>
      <c r="BF4491" s="9"/>
      <c r="CF4491" s="12"/>
      <c r="CH4491" s="9"/>
    </row>
    <row r="4492" spans="6:92" x14ac:dyDescent="0.25">
      <c r="F4492" s="9"/>
      <c r="G4492" s="9"/>
      <c r="U4492" s="12"/>
      <c r="Z4492" s="12"/>
      <c r="AA4492" s="10"/>
      <c r="AV4492" s="11"/>
      <c r="AW4492" s="11"/>
      <c r="BB4492" s="9"/>
      <c r="BC4492" s="11"/>
      <c r="BF4492" s="9"/>
      <c r="CF4492" s="12"/>
      <c r="CH4492" s="9"/>
      <c r="CN4492" s="12"/>
    </row>
    <row r="4493" spans="6:92" x14ac:dyDescent="0.25">
      <c r="F4493" s="9"/>
      <c r="G4493" s="9"/>
      <c r="AA4493" s="10"/>
      <c r="AV4493" s="11"/>
      <c r="AW4493" s="11"/>
      <c r="BB4493" s="9"/>
      <c r="BC4493" s="11"/>
      <c r="BF4493" s="9"/>
      <c r="CF4493" s="12"/>
      <c r="CH4493" s="9"/>
    </row>
    <row r="4494" spans="6:92" x14ac:dyDescent="0.25">
      <c r="F4494" s="9"/>
      <c r="G4494" s="9"/>
      <c r="AA4494" s="10"/>
      <c r="AV4494" s="11"/>
      <c r="AW4494" s="11"/>
      <c r="BB4494" s="9"/>
      <c r="BC4494" s="11"/>
      <c r="BF4494" s="9"/>
      <c r="CF4494" s="12"/>
      <c r="CH4494" s="9"/>
    </row>
    <row r="4495" spans="6:92" x14ac:dyDescent="0.25">
      <c r="F4495" s="9"/>
      <c r="G4495" s="9"/>
      <c r="AA4495" s="10"/>
      <c r="AV4495" s="11"/>
      <c r="AW4495" s="11"/>
      <c r="BB4495" s="9"/>
      <c r="BC4495" s="11"/>
      <c r="BF4495" s="9"/>
      <c r="CF4495" s="12"/>
      <c r="CH4495" s="9"/>
    </row>
    <row r="4496" spans="6:92" x14ac:dyDescent="0.25">
      <c r="F4496" s="9"/>
      <c r="G4496" s="9"/>
      <c r="AA4496" s="10"/>
      <c r="AV4496" s="11"/>
      <c r="AW4496" s="11"/>
      <c r="BB4496" s="9"/>
      <c r="BC4496" s="11"/>
      <c r="BF4496" s="9"/>
      <c r="CF4496" s="12"/>
      <c r="CH4496" s="9"/>
    </row>
    <row r="4497" spans="6:92" x14ac:dyDescent="0.25">
      <c r="F4497" s="9"/>
      <c r="G4497" s="9"/>
      <c r="AA4497" s="10"/>
      <c r="AV4497" s="11"/>
      <c r="AW4497" s="11"/>
      <c r="BB4497" s="9"/>
      <c r="BC4497" s="11"/>
      <c r="BF4497" s="9"/>
      <c r="CF4497" s="12"/>
      <c r="CH4497" s="9"/>
    </row>
    <row r="4498" spans="6:92" x14ac:dyDescent="0.25">
      <c r="F4498" s="9"/>
      <c r="G4498" s="9"/>
      <c r="AA4498" s="10"/>
      <c r="AV4498" s="11"/>
      <c r="AW4498" s="11"/>
      <c r="BB4498" s="9"/>
      <c r="BC4498" s="11"/>
      <c r="BF4498" s="9"/>
      <c r="CF4498" s="12"/>
      <c r="CH4498" s="9"/>
    </row>
    <row r="4499" spans="6:92" x14ac:dyDescent="0.25">
      <c r="F4499" s="9"/>
      <c r="G4499" s="9"/>
      <c r="AA4499" s="10"/>
      <c r="AV4499" s="11"/>
      <c r="AW4499" s="11"/>
      <c r="BB4499" s="9"/>
      <c r="BC4499" s="11"/>
      <c r="BF4499" s="9"/>
      <c r="CF4499" s="12"/>
      <c r="CH4499" s="9"/>
    </row>
    <row r="4500" spans="6:92" x14ac:dyDescent="0.25">
      <c r="F4500" s="9"/>
      <c r="G4500" s="9"/>
      <c r="AA4500" s="10"/>
      <c r="AV4500" s="11"/>
      <c r="AW4500" s="11"/>
      <c r="BB4500" s="9"/>
      <c r="BC4500" s="11"/>
      <c r="BF4500" s="9"/>
      <c r="CF4500" s="12"/>
      <c r="CH4500" s="9"/>
    </row>
    <row r="4501" spans="6:92" x14ac:dyDescent="0.25">
      <c r="F4501" s="9"/>
      <c r="G4501" s="9"/>
      <c r="U4501" s="12"/>
      <c r="Z4501" s="12"/>
      <c r="AA4501" s="10"/>
      <c r="AV4501" s="11"/>
      <c r="AW4501" s="11"/>
      <c r="BB4501" s="9"/>
      <c r="BC4501" s="11"/>
      <c r="BF4501" s="9"/>
      <c r="CF4501" s="12"/>
      <c r="CH4501" s="9"/>
    </row>
    <row r="4502" spans="6:92" x14ac:dyDescent="0.25">
      <c r="F4502" s="9"/>
      <c r="G4502" s="9"/>
      <c r="AA4502" s="10"/>
      <c r="AV4502" s="11"/>
      <c r="AW4502" s="11"/>
      <c r="BB4502" s="9"/>
      <c r="BC4502" s="11"/>
      <c r="BF4502" s="9"/>
      <c r="CF4502" s="12"/>
      <c r="CH4502" s="9"/>
    </row>
    <row r="4503" spans="6:92" x14ac:dyDescent="0.25">
      <c r="F4503" s="9"/>
      <c r="G4503" s="9"/>
      <c r="AA4503" s="10"/>
      <c r="AV4503" s="11"/>
      <c r="AW4503" s="11"/>
      <c r="BB4503" s="9"/>
      <c r="BC4503" s="11"/>
      <c r="BF4503" s="9"/>
      <c r="CH4503" s="9"/>
    </row>
    <row r="4504" spans="6:92" x14ac:dyDescent="0.25">
      <c r="F4504" s="9"/>
      <c r="G4504" s="9"/>
      <c r="AA4504" s="10"/>
      <c r="AV4504" s="11"/>
      <c r="AW4504" s="11"/>
      <c r="BB4504" s="9"/>
      <c r="BC4504" s="11"/>
      <c r="BF4504" s="9"/>
      <c r="CH4504" s="9"/>
    </row>
    <row r="4505" spans="6:92" x14ac:dyDescent="0.25">
      <c r="F4505" s="9"/>
      <c r="G4505" s="9"/>
      <c r="AA4505" s="10"/>
      <c r="AV4505" s="11"/>
      <c r="AW4505" s="11"/>
      <c r="BB4505" s="9"/>
      <c r="BC4505" s="11"/>
      <c r="BF4505" s="9"/>
      <c r="CH4505" s="9"/>
    </row>
    <row r="4506" spans="6:92" x14ac:dyDescent="0.25">
      <c r="F4506" s="9"/>
      <c r="G4506" s="9"/>
      <c r="AA4506" s="10"/>
      <c r="AV4506" s="11"/>
      <c r="AW4506" s="11"/>
      <c r="BB4506" s="9"/>
      <c r="BC4506" s="11"/>
      <c r="BF4506" s="9"/>
      <c r="CH4506" s="9"/>
    </row>
    <row r="4507" spans="6:92" x14ac:dyDescent="0.25">
      <c r="F4507" s="9"/>
      <c r="G4507" s="9"/>
      <c r="U4507" s="12"/>
      <c r="AA4507" s="10"/>
      <c r="AV4507" s="11"/>
      <c r="AW4507" s="11"/>
      <c r="BB4507" s="9"/>
      <c r="BC4507" s="11"/>
      <c r="BF4507" s="9"/>
      <c r="CF4507" s="12"/>
      <c r="CH4507" s="9"/>
    </row>
    <row r="4508" spans="6:92" x14ac:dyDescent="0.25">
      <c r="F4508" s="9"/>
      <c r="G4508" s="9"/>
      <c r="U4508" s="12"/>
      <c r="Z4508" s="12"/>
      <c r="AA4508" s="10"/>
      <c r="AV4508" s="11"/>
      <c r="AW4508" s="11"/>
      <c r="BB4508" s="9"/>
      <c r="BC4508" s="11"/>
      <c r="BF4508" s="9"/>
      <c r="CF4508" s="12"/>
      <c r="CH4508" s="9"/>
    </row>
    <row r="4509" spans="6:92" x14ac:dyDescent="0.25">
      <c r="F4509" s="9"/>
      <c r="G4509" s="9"/>
      <c r="AA4509" s="10"/>
      <c r="AV4509" s="11"/>
      <c r="AW4509" s="11"/>
      <c r="BB4509" s="9"/>
      <c r="BC4509" s="11"/>
      <c r="BF4509" s="9"/>
      <c r="CH4509" s="9"/>
    </row>
    <row r="4510" spans="6:92" x14ac:dyDescent="0.25">
      <c r="F4510" s="9"/>
      <c r="G4510" s="9"/>
      <c r="AA4510" s="10"/>
      <c r="AV4510" s="11"/>
      <c r="AW4510" s="11"/>
      <c r="BB4510" s="9"/>
      <c r="BC4510" s="11"/>
      <c r="BF4510" s="9"/>
      <c r="CF4510" s="12"/>
      <c r="CH4510" s="9"/>
    </row>
    <row r="4511" spans="6:92" x14ac:dyDescent="0.25">
      <c r="F4511" s="9"/>
      <c r="G4511" s="9"/>
      <c r="U4511" s="12"/>
      <c r="Z4511" s="12"/>
      <c r="AA4511" s="10"/>
      <c r="AV4511" s="11"/>
      <c r="AW4511" s="11"/>
      <c r="BB4511" s="9"/>
      <c r="BC4511" s="11"/>
      <c r="BF4511" s="9"/>
      <c r="CF4511" s="12"/>
      <c r="CH4511" s="9"/>
      <c r="CN4511" s="12"/>
    </row>
    <row r="4512" spans="6:92" x14ac:dyDescent="0.25">
      <c r="F4512" s="9"/>
      <c r="G4512" s="9"/>
      <c r="AA4512" s="10"/>
      <c r="AV4512" s="11"/>
      <c r="AW4512" s="11"/>
      <c r="BB4512" s="9"/>
      <c r="BC4512" s="11"/>
      <c r="BF4512" s="9"/>
      <c r="CF4512" s="12"/>
      <c r="CH4512" s="9"/>
    </row>
    <row r="4513" spans="6:92" x14ac:dyDescent="0.25">
      <c r="F4513" s="9"/>
      <c r="G4513" s="9"/>
      <c r="U4513" s="12"/>
      <c r="Z4513" s="12"/>
      <c r="AA4513" s="10"/>
      <c r="AV4513" s="11"/>
      <c r="AW4513" s="11"/>
      <c r="BB4513" s="9"/>
      <c r="BC4513" s="11"/>
      <c r="BF4513" s="9"/>
      <c r="CH4513" s="9"/>
      <c r="CN4513" s="12"/>
    </row>
    <row r="4514" spans="6:92" x14ac:dyDescent="0.25">
      <c r="F4514" s="9"/>
      <c r="G4514" s="9"/>
      <c r="AA4514" s="10"/>
      <c r="AV4514" s="11"/>
      <c r="AW4514" s="11"/>
      <c r="BB4514" s="9"/>
      <c r="BC4514" s="11"/>
      <c r="BF4514" s="9"/>
      <c r="CF4514" s="12"/>
      <c r="CH4514" s="9"/>
    </row>
    <row r="4515" spans="6:92" x14ac:dyDescent="0.25">
      <c r="F4515" s="9"/>
      <c r="G4515" s="9"/>
      <c r="AA4515" s="10"/>
      <c r="AV4515" s="11"/>
      <c r="AW4515" s="11"/>
      <c r="BB4515" s="9"/>
      <c r="BC4515" s="11"/>
      <c r="BF4515" s="9"/>
      <c r="CF4515" s="12"/>
      <c r="CH4515" s="9"/>
    </row>
    <row r="4516" spans="6:92" x14ac:dyDescent="0.25">
      <c r="F4516" s="9"/>
      <c r="G4516" s="9"/>
      <c r="AA4516" s="10"/>
      <c r="AV4516" s="11"/>
      <c r="AW4516" s="11"/>
      <c r="BB4516" s="9"/>
      <c r="BC4516" s="11"/>
      <c r="BF4516" s="9"/>
      <c r="CF4516" s="12"/>
      <c r="CH4516" s="9"/>
    </row>
    <row r="4517" spans="6:92" x14ac:dyDescent="0.25">
      <c r="F4517" s="9"/>
      <c r="G4517" s="9"/>
      <c r="AA4517" s="10"/>
      <c r="AV4517" s="11"/>
      <c r="AW4517" s="11"/>
      <c r="BB4517" s="9"/>
      <c r="BC4517" s="11"/>
      <c r="BF4517" s="9"/>
      <c r="CF4517" s="12"/>
      <c r="CH4517" s="9"/>
    </row>
    <row r="4518" spans="6:92" x14ac:dyDescent="0.25">
      <c r="F4518" s="9"/>
      <c r="G4518" s="9"/>
      <c r="AA4518" s="10"/>
      <c r="AV4518" s="11"/>
      <c r="AW4518" s="11"/>
      <c r="BB4518" s="9"/>
      <c r="BC4518" s="11"/>
      <c r="BF4518" s="9"/>
      <c r="CF4518" s="12"/>
      <c r="CH4518" s="9"/>
    </row>
    <row r="4519" spans="6:92" x14ac:dyDescent="0.25">
      <c r="F4519" s="9"/>
      <c r="G4519" s="9"/>
      <c r="U4519" s="12"/>
      <c r="Z4519" s="12"/>
      <c r="AA4519" s="10"/>
      <c r="AV4519" s="11"/>
      <c r="AW4519" s="11"/>
      <c r="BB4519" s="9"/>
      <c r="BC4519" s="11"/>
      <c r="BF4519" s="9"/>
      <c r="CF4519" s="12"/>
      <c r="CH4519" s="9"/>
      <c r="CN4519" s="12"/>
    </row>
    <row r="4520" spans="6:92" x14ac:dyDescent="0.25">
      <c r="F4520" s="9"/>
      <c r="G4520" s="9"/>
      <c r="AA4520" s="10"/>
      <c r="AV4520" s="11"/>
      <c r="AW4520" s="11"/>
      <c r="BB4520" s="9"/>
      <c r="BC4520" s="11"/>
      <c r="BF4520" s="9"/>
      <c r="CF4520" s="12"/>
      <c r="CH4520" s="9"/>
    </row>
    <row r="4521" spans="6:92" x14ac:dyDescent="0.25">
      <c r="F4521" s="9"/>
      <c r="G4521" s="9"/>
      <c r="U4521" s="12"/>
      <c r="Z4521" s="12"/>
      <c r="AA4521" s="10"/>
      <c r="AV4521" s="11"/>
      <c r="AW4521" s="11"/>
      <c r="BB4521" s="9"/>
      <c r="BC4521" s="11"/>
      <c r="BF4521" s="9"/>
      <c r="CF4521" s="12"/>
      <c r="CH4521" s="9"/>
    </row>
    <row r="4522" spans="6:92" x14ac:dyDescent="0.25">
      <c r="F4522" s="9"/>
      <c r="G4522" s="9"/>
      <c r="AA4522" s="10"/>
      <c r="AV4522" s="11"/>
      <c r="AW4522" s="11"/>
      <c r="BB4522" s="9"/>
      <c r="BC4522" s="11"/>
      <c r="BF4522" s="9"/>
      <c r="CF4522" s="12"/>
      <c r="CH4522" s="9"/>
    </row>
    <row r="4523" spans="6:92" x14ac:dyDescent="0.25">
      <c r="F4523" s="9"/>
      <c r="G4523" s="9"/>
      <c r="AA4523" s="10"/>
      <c r="AV4523" s="11"/>
      <c r="AW4523" s="11"/>
      <c r="BB4523" s="9"/>
      <c r="BC4523" s="11"/>
      <c r="BF4523" s="9"/>
    </row>
    <row r="4524" spans="6:92" x14ac:dyDescent="0.25">
      <c r="F4524" s="9"/>
      <c r="G4524" s="9"/>
      <c r="AA4524" s="10"/>
      <c r="AV4524" s="11"/>
      <c r="AW4524" s="11"/>
      <c r="BB4524" s="9"/>
      <c r="BC4524" s="11"/>
      <c r="BF4524" s="9"/>
      <c r="CF4524" s="12"/>
      <c r="CH4524" s="9"/>
    </row>
    <row r="4525" spans="6:92" x14ac:dyDescent="0.25">
      <c r="F4525" s="9"/>
      <c r="G4525" s="9"/>
      <c r="U4525" s="12"/>
      <c r="Z4525" s="12"/>
      <c r="AA4525" s="10"/>
      <c r="AV4525" s="11"/>
      <c r="AW4525" s="11"/>
      <c r="BB4525" s="9"/>
      <c r="BC4525" s="11"/>
      <c r="BF4525" s="9"/>
      <c r="CF4525" s="12"/>
      <c r="CH4525" s="9"/>
    </row>
    <row r="4526" spans="6:92" x14ac:dyDescent="0.25">
      <c r="F4526" s="9"/>
      <c r="G4526" s="9"/>
      <c r="U4526" s="12"/>
      <c r="Z4526" s="12"/>
      <c r="AA4526" s="10"/>
      <c r="AV4526" s="11"/>
      <c r="AW4526" s="11"/>
      <c r="BB4526" s="9"/>
      <c r="BC4526" s="11"/>
      <c r="BF4526" s="9"/>
      <c r="CF4526" s="12"/>
      <c r="CH4526" s="9"/>
      <c r="CN4526" s="12"/>
    </row>
    <row r="4527" spans="6:92" x14ac:dyDescent="0.25">
      <c r="F4527" s="9"/>
      <c r="G4527" s="9"/>
      <c r="AA4527" s="10"/>
      <c r="AV4527" s="11"/>
      <c r="AW4527" s="11"/>
      <c r="BB4527" s="9"/>
      <c r="BC4527" s="11"/>
      <c r="BF4527" s="9"/>
      <c r="CF4527" s="12"/>
      <c r="CH4527" s="9"/>
      <c r="CN4527" s="12"/>
    </row>
    <row r="4528" spans="6:92" x14ac:dyDescent="0.25">
      <c r="F4528" s="9"/>
      <c r="G4528" s="9"/>
      <c r="U4528" s="12"/>
      <c r="Z4528" s="12"/>
      <c r="AA4528" s="10"/>
      <c r="AV4528" s="11"/>
      <c r="AW4528" s="11"/>
      <c r="BB4528" s="9"/>
      <c r="BC4528" s="11"/>
      <c r="BF4528" s="9"/>
      <c r="CF4528" s="12"/>
      <c r="CH4528" s="9"/>
      <c r="CN4528" s="12"/>
    </row>
    <row r="4529" spans="6:92" x14ac:dyDescent="0.25">
      <c r="F4529" s="9"/>
      <c r="G4529" s="9"/>
      <c r="U4529" s="12"/>
      <c r="Z4529" s="12"/>
      <c r="AA4529" s="10"/>
      <c r="AV4529" s="11"/>
      <c r="AW4529" s="11"/>
      <c r="BB4529" s="9"/>
      <c r="BC4529" s="11"/>
      <c r="BF4529" s="9"/>
      <c r="CF4529" s="12"/>
      <c r="CH4529" s="9"/>
    </row>
    <row r="4530" spans="6:92" x14ac:dyDescent="0.25">
      <c r="F4530" s="9"/>
      <c r="G4530" s="9"/>
      <c r="U4530" s="12"/>
      <c r="Y4530" s="12"/>
      <c r="Z4530" s="12"/>
      <c r="AA4530" s="10"/>
      <c r="AV4530" s="11"/>
      <c r="AW4530" s="11"/>
      <c r="BB4530" s="9"/>
      <c r="BC4530" s="11"/>
      <c r="BF4530" s="9"/>
      <c r="CF4530" s="12"/>
      <c r="CH4530" s="9"/>
    </row>
    <row r="4531" spans="6:92" x14ac:dyDescent="0.25">
      <c r="F4531" s="9"/>
      <c r="G4531" s="9"/>
      <c r="AA4531" s="10"/>
      <c r="AV4531" s="11"/>
      <c r="AW4531" s="11"/>
      <c r="BB4531" s="9"/>
      <c r="BC4531" s="11"/>
      <c r="BF4531" s="9"/>
      <c r="CF4531" s="12"/>
      <c r="CH4531" s="9"/>
    </row>
    <row r="4532" spans="6:92" x14ac:dyDescent="0.25">
      <c r="F4532" s="9"/>
      <c r="G4532" s="9"/>
      <c r="AA4532" s="10"/>
      <c r="AV4532" s="11"/>
      <c r="AW4532" s="11"/>
      <c r="BB4532" s="9"/>
      <c r="BC4532" s="11"/>
      <c r="BF4532" s="9"/>
      <c r="CF4532" s="12"/>
      <c r="CH4532" s="9"/>
    </row>
    <row r="4533" spans="6:92" x14ac:dyDescent="0.25">
      <c r="F4533" s="9"/>
      <c r="G4533" s="9"/>
      <c r="AA4533" s="10"/>
      <c r="AV4533" s="11"/>
      <c r="AW4533" s="11"/>
      <c r="BB4533" s="9"/>
      <c r="BC4533" s="11"/>
      <c r="BF4533" s="9"/>
      <c r="CF4533" s="12"/>
      <c r="CH4533" s="9"/>
    </row>
    <row r="4534" spans="6:92" x14ac:dyDescent="0.25">
      <c r="F4534" s="9"/>
      <c r="G4534" s="9"/>
      <c r="AA4534" s="10"/>
      <c r="AV4534" s="11"/>
      <c r="AW4534" s="11"/>
      <c r="BB4534" s="9"/>
      <c r="BC4534" s="11"/>
      <c r="BF4534" s="9"/>
      <c r="CF4534" s="12"/>
      <c r="CH4534" s="9"/>
    </row>
    <row r="4535" spans="6:92" x14ac:dyDescent="0.25">
      <c r="F4535" s="9"/>
      <c r="G4535" s="9"/>
      <c r="AA4535" s="10"/>
      <c r="AV4535" s="11"/>
      <c r="AW4535" s="11"/>
      <c r="BB4535" s="9"/>
      <c r="BC4535" s="11"/>
      <c r="BF4535" s="9"/>
      <c r="CF4535" s="12"/>
      <c r="CH4535" s="9"/>
    </row>
    <row r="4536" spans="6:92" x14ac:dyDescent="0.25">
      <c r="F4536" s="9"/>
      <c r="G4536" s="9"/>
      <c r="AA4536" s="10"/>
      <c r="AV4536" s="11"/>
      <c r="AW4536" s="11"/>
      <c r="BB4536" s="9"/>
      <c r="BC4536" s="11"/>
      <c r="BF4536" s="9"/>
      <c r="CF4536" s="12"/>
      <c r="CH4536" s="9"/>
    </row>
    <row r="4537" spans="6:92" x14ac:dyDescent="0.25">
      <c r="F4537" s="9"/>
      <c r="G4537" s="9"/>
      <c r="AA4537" s="10"/>
      <c r="AV4537" s="11"/>
      <c r="AW4537" s="11"/>
      <c r="BB4537" s="9"/>
      <c r="BC4537" s="11"/>
      <c r="BF4537" s="9"/>
      <c r="CF4537" s="12"/>
      <c r="CH4537" s="9"/>
    </row>
    <row r="4538" spans="6:92" x14ac:dyDescent="0.25">
      <c r="F4538" s="9"/>
      <c r="G4538" s="9"/>
      <c r="AA4538" s="10"/>
      <c r="AV4538" s="11"/>
      <c r="AW4538" s="11"/>
      <c r="BB4538" s="9"/>
      <c r="BC4538" s="11"/>
      <c r="BF4538" s="9"/>
      <c r="CF4538" s="12"/>
      <c r="CH4538" s="9"/>
    </row>
    <row r="4539" spans="6:92" x14ac:dyDescent="0.25">
      <c r="F4539" s="9"/>
      <c r="G4539" s="9"/>
      <c r="AA4539" s="10"/>
      <c r="AV4539" s="11"/>
      <c r="AW4539" s="11"/>
      <c r="BB4539" s="9"/>
      <c r="BC4539" s="11"/>
      <c r="BF4539" s="9"/>
      <c r="CF4539" s="12"/>
      <c r="CH4539" s="9"/>
    </row>
    <row r="4540" spans="6:92" x14ac:dyDescent="0.25">
      <c r="F4540" s="9"/>
      <c r="G4540" s="9"/>
      <c r="AA4540" s="10"/>
      <c r="AV4540" s="11"/>
      <c r="AW4540" s="11"/>
      <c r="BB4540" s="9"/>
      <c r="BC4540" s="11"/>
      <c r="BF4540" s="9"/>
      <c r="CF4540" s="12"/>
      <c r="CH4540" s="9"/>
    </row>
    <row r="4541" spans="6:92" x14ac:dyDescent="0.25">
      <c r="F4541" s="9"/>
      <c r="G4541" s="9"/>
      <c r="AA4541" s="10"/>
      <c r="AV4541" s="11"/>
      <c r="AW4541" s="11"/>
      <c r="BB4541" s="9"/>
      <c r="BC4541" s="11"/>
      <c r="BF4541" s="9"/>
      <c r="CF4541" s="12"/>
      <c r="CH4541" s="9"/>
    </row>
    <row r="4542" spans="6:92" x14ac:dyDescent="0.25">
      <c r="F4542" s="9"/>
      <c r="G4542" s="9"/>
      <c r="AA4542" s="10"/>
      <c r="AV4542" s="11"/>
      <c r="AW4542" s="11"/>
      <c r="BB4542" s="9"/>
      <c r="BC4542" s="11"/>
      <c r="BF4542" s="9"/>
      <c r="CF4542" s="12"/>
      <c r="CH4542" s="9"/>
      <c r="CN4542" s="12"/>
    </row>
    <row r="4543" spans="6:92" x14ac:dyDescent="0.25">
      <c r="F4543" s="9"/>
      <c r="G4543" s="9"/>
      <c r="AA4543" s="10"/>
      <c r="AV4543" s="11"/>
      <c r="AW4543" s="11"/>
      <c r="BB4543" s="9"/>
      <c r="BC4543" s="11"/>
      <c r="BF4543" s="9"/>
      <c r="CF4543" s="12"/>
      <c r="CH4543" s="9"/>
    </row>
    <row r="4544" spans="6:92" x14ac:dyDescent="0.25">
      <c r="F4544" s="9"/>
      <c r="G4544" s="9"/>
      <c r="U4544" s="12"/>
      <c r="AA4544" s="10"/>
      <c r="AV4544" s="11"/>
      <c r="AW4544" s="11"/>
      <c r="BB4544" s="9"/>
      <c r="BC4544" s="11"/>
      <c r="BF4544" s="9"/>
      <c r="CF4544" s="12"/>
      <c r="CH4544" s="9"/>
      <c r="CN4544" s="12"/>
    </row>
    <row r="4545" spans="6:92" x14ac:dyDescent="0.25">
      <c r="F4545" s="9"/>
      <c r="G4545" s="9"/>
      <c r="U4545" s="12"/>
      <c r="Y4545" s="12"/>
      <c r="Z4545" s="12"/>
      <c r="AA4545" s="10"/>
      <c r="AV4545" s="11"/>
      <c r="AW4545" s="11"/>
      <c r="BB4545" s="9"/>
      <c r="BC4545" s="11"/>
      <c r="BF4545" s="9"/>
      <c r="CF4545" s="12"/>
      <c r="CH4545" s="9"/>
      <c r="CN4545" s="12"/>
    </row>
    <row r="4546" spans="6:92" x14ac:dyDescent="0.25">
      <c r="F4546" s="9"/>
      <c r="G4546" s="9"/>
      <c r="U4546" s="12"/>
      <c r="Z4546" s="12"/>
      <c r="AA4546" s="10"/>
      <c r="AV4546" s="11"/>
      <c r="AW4546" s="11"/>
      <c r="BB4546" s="9"/>
      <c r="BC4546" s="11"/>
      <c r="BF4546" s="9"/>
      <c r="CF4546" s="12"/>
      <c r="CH4546" s="9"/>
    </row>
    <row r="4547" spans="6:92" x14ac:dyDescent="0.25">
      <c r="F4547" s="9"/>
      <c r="G4547" s="9"/>
      <c r="U4547" s="12"/>
      <c r="Y4547" s="12"/>
      <c r="Z4547" s="12"/>
      <c r="AA4547" s="10"/>
      <c r="AV4547" s="11"/>
      <c r="AW4547" s="11"/>
      <c r="BB4547" s="9"/>
      <c r="BC4547" s="11"/>
      <c r="BF4547" s="9"/>
      <c r="CF4547" s="12"/>
      <c r="CH4547" s="9"/>
    </row>
    <row r="4548" spans="6:92" x14ac:dyDescent="0.25">
      <c r="F4548" s="9"/>
      <c r="G4548" s="9"/>
      <c r="U4548" s="12"/>
      <c r="Y4548" s="12"/>
      <c r="Z4548" s="12"/>
      <c r="AA4548" s="10"/>
      <c r="AV4548" s="11"/>
      <c r="AW4548" s="11"/>
      <c r="BB4548" s="9"/>
      <c r="BC4548" s="11"/>
      <c r="BF4548" s="9"/>
      <c r="CF4548" s="12"/>
      <c r="CH4548" s="9"/>
      <c r="CN4548" s="12"/>
    </row>
    <row r="4549" spans="6:92" x14ac:dyDescent="0.25">
      <c r="F4549" s="9"/>
      <c r="G4549" s="9"/>
      <c r="U4549" s="12"/>
      <c r="Z4549" s="12"/>
      <c r="AA4549" s="10"/>
      <c r="AV4549" s="11"/>
      <c r="AW4549" s="11"/>
      <c r="BB4549" s="9"/>
      <c r="BC4549" s="11"/>
      <c r="BF4549" s="9"/>
      <c r="CH4549" s="9"/>
    </row>
    <row r="4550" spans="6:92" x14ac:dyDescent="0.25">
      <c r="F4550" s="9"/>
      <c r="G4550" s="9"/>
      <c r="AA4550" s="10"/>
      <c r="AV4550" s="11"/>
      <c r="AW4550" s="11"/>
      <c r="BB4550" s="9"/>
      <c r="BC4550" s="11"/>
      <c r="BF4550" s="9"/>
      <c r="CH4550" s="9"/>
    </row>
    <row r="4551" spans="6:92" x14ac:dyDescent="0.25">
      <c r="F4551" s="9"/>
      <c r="G4551" s="9"/>
      <c r="U4551" s="12"/>
      <c r="Y4551" s="12"/>
      <c r="Z4551" s="12"/>
      <c r="AA4551" s="10"/>
      <c r="AV4551" s="11"/>
      <c r="AW4551" s="11"/>
      <c r="BB4551" s="9"/>
      <c r="BC4551" s="11"/>
      <c r="BF4551" s="9"/>
      <c r="CF4551" s="12"/>
      <c r="CH4551" s="9"/>
      <c r="CN4551" s="12"/>
    </row>
    <row r="4552" spans="6:92" x14ac:dyDescent="0.25">
      <c r="F4552" s="9"/>
      <c r="G4552" s="9"/>
      <c r="U4552" s="12"/>
      <c r="Y4552" s="12"/>
      <c r="Z4552" s="12"/>
      <c r="AA4552" s="10"/>
      <c r="AV4552" s="11"/>
      <c r="AW4552" s="11"/>
      <c r="BB4552" s="9"/>
      <c r="BC4552" s="11"/>
      <c r="BF4552" s="9"/>
      <c r="CF4552" s="12"/>
      <c r="CH4552" s="9"/>
      <c r="CN4552" s="12"/>
    </row>
    <row r="4553" spans="6:92" x14ac:dyDescent="0.25">
      <c r="F4553" s="9"/>
      <c r="G4553" s="9"/>
      <c r="AA4553" s="10"/>
      <c r="AV4553" s="11"/>
      <c r="AW4553" s="11"/>
      <c r="BB4553" s="9"/>
      <c r="BC4553" s="11"/>
      <c r="BF4553" s="9"/>
      <c r="CF4553" s="12"/>
      <c r="CH4553" s="9"/>
    </row>
    <row r="4554" spans="6:92" x14ac:dyDescent="0.25">
      <c r="F4554" s="9"/>
      <c r="G4554" s="9"/>
      <c r="AA4554" s="10"/>
      <c r="AV4554" s="11"/>
      <c r="AW4554" s="11"/>
      <c r="BB4554" s="9"/>
      <c r="BC4554" s="11"/>
      <c r="BF4554" s="9"/>
      <c r="CF4554" s="12"/>
      <c r="CH4554" s="9"/>
    </row>
    <row r="4555" spans="6:92" x14ac:dyDescent="0.25">
      <c r="F4555" s="9"/>
      <c r="G4555" s="9"/>
      <c r="AA4555" s="10"/>
      <c r="AV4555" s="11"/>
      <c r="AW4555" s="11"/>
      <c r="BB4555" s="9"/>
      <c r="BC4555" s="11"/>
      <c r="BF4555" s="9"/>
      <c r="CF4555" s="12"/>
      <c r="CH4555" s="9"/>
    </row>
    <row r="4556" spans="6:92" x14ac:dyDescent="0.25">
      <c r="F4556" s="9"/>
      <c r="G4556" s="9"/>
      <c r="AA4556" s="10"/>
      <c r="AV4556" s="11"/>
      <c r="AW4556" s="11"/>
      <c r="BB4556" s="9"/>
      <c r="BC4556" s="11"/>
      <c r="BF4556" s="9"/>
      <c r="CF4556" s="12"/>
      <c r="CH4556" s="9"/>
    </row>
    <row r="4557" spans="6:92" x14ac:dyDescent="0.25">
      <c r="F4557" s="9"/>
      <c r="G4557" s="9"/>
      <c r="AA4557" s="10"/>
      <c r="AV4557" s="11"/>
      <c r="AW4557" s="11"/>
      <c r="BB4557" s="9"/>
      <c r="BC4557" s="11"/>
      <c r="BF4557" s="9"/>
      <c r="CF4557" s="12"/>
      <c r="CH4557" s="9"/>
    </row>
    <row r="4558" spans="6:92" x14ac:dyDescent="0.25">
      <c r="F4558" s="9"/>
      <c r="G4558" s="9"/>
      <c r="AA4558" s="10"/>
      <c r="AV4558" s="11"/>
      <c r="AW4558" s="11"/>
      <c r="BB4558" s="9"/>
      <c r="BC4558" s="11"/>
      <c r="BF4558" s="9"/>
      <c r="CF4558" s="12"/>
      <c r="CH4558" s="9"/>
    </row>
    <row r="4559" spans="6:92" x14ac:dyDescent="0.25">
      <c r="F4559" s="9"/>
      <c r="G4559" s="9"/>
      <c r="AA4559" s="10"/>
      <c r="AV4559" s="11"/>
      <c r="AW4559" s="11"/>
      <c r="BB4559" s="9"/>
      <c r="BC4559" s="11"/>
      <c r="BF4559" s="9"/>
      <c r="CF4559" s="12"/>
      <c r="CH4559" s="9"/>
    </row>
    <row r="4560" spans="6:92" x14ac:dyDescent="0.25">
      <c r="F4560" s="9"/>
      <c r="G4560" s="9"/>
      <c r="AA4560" s="10"/>
      <c r="AV4560" s="11"/>
      <c r="AW4560" s="11"/>
      <c r="BB4560" s="9"/>
      <c r="BC4560" s="11"/>
      <c r="BF4560" s="9"/>
      <c r="CF4560" s="12"/>
      <c r="CH4560" s="9"/>
    </row>
    <row r="4561" spans="6:86" x14ac:dyDescent="0.25">
      <c r="F4561" s="9"/>
      <c r="G4561" s="9"/>
      <c r="AA4561" s="10"/>
      <c r="AV4561" s="11"/>
      <c r="AW4561" s="11"/>
      <c r="BB4561" s="9"/>
      <c r="BC4561" s="11"/>
      <c r="BF4561" s="9"/>
      <c r="CF4561" s="12"/>
      <c r="CH4561" s="9"/>
    </row>
    <row r="4562" spans="6:86" x14ac:dyDescent="0.25">
      <c r="F4562" s="9"/>
      <c r="G4562" s="9"/>
      <c r="AA4562" s="10"/>
      <c r="AV4562" s="11"/>
      <c r="AW4562" s="11"/>
      <c r="BB4562" s="9"/>
      <c r="BC4562" s="11"/>
      <c r="BF4562" s="9"/>
      <c r="CF4562" s="12"/>
      <c r="CH4562" s="9"/>
    </row>
    <row r="4563" spans="6:86" x14ac:dyDescent="0.25">
      <c r="F4563" s="9"/>
      <c r="G4563" s="9"/>
      <c r="AA4563" s="10"/>
      <c r="AV4563" s="11"/>
      <c r="AW4563" s="11"/>
      <c r="BB4563" s="9"/>
      <c r="BC4563" s="11"/>
      <c r="BF4563" s="9"/>
      <c r="CF4563" s="12"/>
      <c r="CH4563" s="9"/>
    </row>
    <row r="4564" spans="6:86" x14ac:dyDescent="0.25">
      <c r="F4564" s="9"/>
      <c r="G4564" s="9"/>
      <c r="AA4564" s="10"/>
      <c r="AV4564" s="11"/>
      <c r="AW4564" s="11"/>
      <c r="BB4564" s="9"/>
      <c r="BC4564" s="11"/>
      <c r="BF4564" s="9"/>
      <c r="CF4564" s="12"/>
      <c r="CH4564" s="9"/>
    </row>
    <row r="4565" spans="6:86" x14ac:dyDescent="0.25">
      <c r="F4565" s="9"/>
      <c r="G4565" s="9"/>
      <c r="AA4565" s="10"/>
      <c r="AV4565" s="11"/>
      <c r="AW4565" s="11"/>
      <c r="BB4565" s="9"/>
      <c r="BC4565" s="11"/>
      <c r="BF4565" s="9"/>
      <c r="CF4565" s="12"/>
      <c r="CH4565" s="9"/>
    </row>
    <row r="4566" spans="6:86" x14ac:dyDescent="0.25">
      <c r="F4566" s="9"/>
      <c r="G4566" s="9"/>
      <c r="AA4566" s="10"/>
      <c r="AV4566" s="11"/>
      <c r="AW4566" s="11"/>
      <c r="BB4566" s="9"/>
      <c r="BC4566" s="11"/>
      <c r="BF4566" s="9"/>
      <c r="CF4566" s="12"/>
      <c r="CH4566" s="9"/>
    </row>
    <row r="4567" spans="6:86" x14ac:dyDescent="0.25">
      <c r="F4567" s="9"/>
      <c r="G4567" s="9"/>
      <c r="AA4567" s="10"/>
      <c r="AV4567" s="11"/>
      <c r="AW4567" s="11"/>
      <c r="BB4567" s="9"/>
      <c r="BC4567" s="11"/>
      <c r="BF4567" s="9"/>
      <c r="CF4567" s="12"/>
      <c r="CH4567" s="9"/>
    </row>
    <row r="4568" spans="6:86" x14ac:dyDescent="0.25">
      <c r="F4568" s="9"/>
      <c r="G4568" s="9"/>
      <c r="AA4568" s="10"/>
      <c r="AV4568" s="11"/>
      <c r="AW4568" s="11"/>
      <c r="BB4568" s="9"/>
      <c r="BC4568" s="11"/>
      <c r="BF4568" s="9"/>
      <c r="CF4568" s="12"/>
      <c r="CH4568" s="9"/>
    </row>
    <row r="4569" spans="6:86" x14ac:dyDescent="0.25">
      <c r="F4569" s="9"/>
      <c r="G4569" s="9"/>
      <c r="AA4569" s="10"/>
      <c r="AV4569" s="11"/>
      <c r="AW4569" s="11"/>
      <c r="BB4569" s="9"/>
      <c r="BC4569" s="11"/>
      <c r="BF4569" s="9"/>
      <c r="CF4569" s="12"/>
      <c r="CH4569" s="9"/>
    </row>
    <row r="4570" spans="6:86" x14ac:dyDescent="0.25">
      <c r="F4570" s="9"/>
      <c r="G4570" s="9"/>
      <c r="AA4570" s="10"/>
      <c r="AV4570" s="11"/>
      <c r="AW4570" s="11"/>
      <c r="BB4570" s="9"/>
      <c r="BC4570" s="11"/>
      <c r="BF4570" s="9"/>
      <c r="CF4570" s="12"/>
      <c r="CH4570" s="9"/>
    </row>
    <row r="4571" spans="6:86" x14ac:dyDescent="0.25">
      <c r="F4571" s="9"/>
      <c r="G4571" s="9"/>
      <c r="AA4571" s="10"/>
      <c r="AV4571" s="11"/>
      <c r="AW4571" s="11"/>
      <c r="BB4571" s="9"/>
      <c r="BC4571" s="11"/>
      <c r="BF4571" s="9"/>
      <c r="CF4571" s="12"/>
      <c r="CH4571" s="9"/>
    </row>
    <row r="4572" spans="6:86" x14ac:dyDescent="0.25">
      <c r="F4572" s="9"/>
      <c r="G4572" s="9"/>
      <c r="AA4572" s="10"/>
      <c r="AV4572" s="11"/>
      <c r="AW4572" s="11"/>
      <c r="BB4572" s="9"/>
      <c r="BC4572" s="11"/>
      <c r="BF4572" s="9"/>
      <c r="CF4572" s="12"/>
      <c r="CH4572" s="9"/>
    </row>
    <row r="4573" spans="6:86" x14ac:dyDescent="0.25">
      <c r="F4573" s="9"/>
      <c r="G4573" s="9"/>
      <c r="AA4573" s="10"/>
      <c r="AV4573" s="11"/>
      <c r="AW4573" s="11"/>
      <c r="BB4573" s="9"/>
      <c r="BC4573" s="11"/>
      <c r="BF4573" s="9"/>
      <c r="CF4573" s="12"/>
      <c r="CH4573" s="9"/>
    </row>
    <row r="4574" spans="6:86" x14ac:dyDescent="0.25">
      <c r="F4574" s="9"/>
      <c r="G4574" s="9"/>
      <c r="AA4574" s="10"/>
      <c r="AV4574" s="11"/>
      <c r="AW4574" s="11"/>
      <c r="BB4574" s="9"/>
      <c r="BC4574" s="11"/>
      <c r="BF4574" s="9"/>
      <c r="CF4574" s="12"/>
      <c r="CH4574" s="9"/>
    </row>
    <row r="4575" spans="6:86" x14ac:dyDescent="0.25">
      <c r="F4575" s="9"/>
      <c r="G4575" s="9"/>
      <c r="AA4575" s="10"/>
      <c r="AV4575" s="11"/>
      <c r="AW4575" s="11"/>
      <c r="BB4575" s="9"/>
      <c r="BC4575" s="11"/>
      <c r="BF4575" s="9"/>
      <c r="CF4575" s="12"/>
      <c r="CH4575" s="9"/>
    </row>
    <row r="4576" spans="6:86" x14ac:dyDescent="0.25">
      <c r="F4576" s="9"/>
      <c r="G4576" s="9"/>
      <c r="AA4576" s="10"/>
      <c r="AV4576" s="11"/>
      <c r="AW4576" s="11"/>
      <c r="BB4576" s="9"/>
      <c r="BC4576" s="11"/>
      <c r="BF4576" s="9"/>
      <c r="CF4576" s="12"/>
      <c r="CH4576" s="9"/>
    </row>
    <row r="4577" spans="6:92" x14ac:dyDescent="0.25">
      <c r="F4577" s="9"/>
      <c r="G4577" s="9"/>
      <c r="AA4577" s="10"/>
      <c r="AV4577" s="11"/>
      <c r="AW4577" s="11"/>
      <c r="BB4577" s="9"/>
      <c r="BC4577" s="11"/>
      <c r="BF4577" s="9"/>
      <c r="CF4577" s="12"/>
      <c r="CH4577" s="9"/>
    </row>
    <row r="4578" spans="6:92" x14ac:dyDescent="0.25">
      <c r="F4578" s="9"/>
      <c r="G4578" s="9"/>
      <c r="AA4578" s="10"/>
      <c r="AV4578" s="11"/>
      <c r="AW4578" s="11"/>
      <c r="BB4578" s="9"/>
      <c r="BC4578" s="11"/>
      <c r="BF4578" s="9"/>
      <c r="CF4578" s="12"/>
      <c r="CH4578" s="9"/>
    </row>
    <row r="4579" spans="6:92" x14ac:dyDescent="0.25">
      <c r="F4579" s="9"/>
      <c r="G4579" s="9"/>
      <c r="AA4579" s="10"/>
      <c r="AV4579" s="11"/>
      <c r="AW4579" s="11"/>
      <c r="BB4579" s="9"/>
      <c r="BC4579" s="11"/>
      <c r="BF4579" s="9"/>
      <c r="CH4579" s="9"/>
    </row>
    <row r="4580" spans="6:92" x14ac:dyDescent="0.25">
      <c r="F4580" s="9"/>
      <c r="G4580" s="9"/>
      <c r="AA4580" s="10"/>
      <c r="AV4580" s="11"/>
      <c r="AW4580" s="11"/>
      <c r="BB4580" s="9"/>
      <c r="BC4580" s="11"/>
      <c r="BF4580" s="9"/>
      <c r="CH4580" s="9"/>
    </row>
    <row r="4581" spans="6:92" x14ac:dyDescent="0.25">
      <c r="F4581" s="9"/>
      <c r="G4581" s="9"/>
      <c r="AA4581" s="10"/>
      <c r="AV4581" s="11"/>
      <c r="AW4581" s="11"/>
      <c r="BB4581" s="9"/>
      <c r="BC4581" s="11"/>
      <c r="BF4581" s="9"/>
      <c r="CH4581" s="9"/>
    </row>
    <row r="4582" spans="6:92" x14ac:dyDescent="0.25">
      <c r="F4582" s="9"/>
      <c r="G4582" s="9"/>
      <c r="AA4582" s="10"/>
      <c r="AV4582" s="11"/>
      <c r="AW4582" s="11"/>
      <c r="BB4582" s="9"/>
      <c r="BC4582" s="11"/>
      <c r="BF4582" s="9"/>
      <c r="CF4582" s="12"/>
      <c r="CH4582" s="9"/>
    </row>
    <row r="4583" spans="6:92" x14ac:dyDescent="0.25">
      <c r="F4583" s="9"/>
      <c r="G4583" s="9"/>
      <c r="AA4583" s="10"/>
      <c r="AV4583" s="11"/>
      <c r="AW4583" s="11"/>
      <c r="BB4583" s="9"/>
      <c r="BC4583" s="11"/>
      <c r="BF4583" s="9"/>
      <c r="CF4583" s="12"/>
      <c r="CH4583" s="9"/>
    </row>
    <row r="4584" spans="6:92" x14ac:dyDescent="0.25">
      <c r="F4584" s="9"/>
      <c r="G4584" s="9"/>
      <c r="AA4584" s="10"/>
      <c r="AV4584" s="11"/>
      <c r="AW4584" s="11"/>
      <c r="BB4584" s="9"/>
      <c r="BC4584" s="11"/>
      <c r="BF4584" s="9"/>
      <c r="CH4584" s="9"/>
    </row>
    <row r="4585" spans="6:92" x14ac:dyDescent="0.25">
      <c r="F4585" s="9"/>
      <c r="G4585" s="9"/>
      <c r="AA4585" s="10"/>
      <c r="AV4585" s="11"/>
      <c r="AW4585" s="11"/>
      <c r="BB4585" s="9"/>
      <c r="BC4585" s="11"/>
      <c r="BF4585" s="9"/>
      <c r="CF4585" s="12"/>
      <c r="CH4585" s="9"/>
    </row>
    <row r="4586" spans="6:92" x14ac:dyDescent="0.25">
      <c r="F4586" s="9"/>
      <c r="G4586" s="9"/>
      <c r="AA4586" s="10"/>
      <c r="AV4586" s="11"/>
      <c r="AW4586" s="11"/>
      <c r="BB4586" s="9"/>
      <c r="BC4586" s="11"/>
      <c r="BF4586" s="9"/>
      <c r="CH4586" s="9"/>
    </row>
    <row r="4587" spans="6:92" x14ac:dyDescent="0.25">
      <c r="F4587" s="9"/>
      <c r="G4587" s="9"/>
      <c r="AA4587" s="10"/>
      <c r="AV4587" s="11"/>
      <c r="AW4587" s="11"/>
      <c r="BB4587" s="9"/>
      <c r="BC4587" s="11"/>
      <c r="BF4587" s="9"/>
      <c r="CF4587" s="12"/>
      <c r="CH4587" s="9"/>
    </row>
    <row r="4588" spans="6:92" x14ac:dyDescent="0.25">
      <c r="F4588" s="9"/>
      <c r="G4588" s="9"/>
      <c r="AA4588" s="10"/>
      <c r="AV4588" s="11"/>
      <c r="AW4588" s="11"/>
      <c r="BB4588" s="9"/>
      <c r="BC4588" s="11"/>
      <c r="BF4588" s="9"/>
      <c r="CF4588" s="12"/>
      <c r="CH4588" s="9"/>
    </row>
    <row r="4589" spans="6:92" x14ac:dyDescent="0.25">
      <c r="F4589" s="9"/>
      <c r="G4589" s="9"/>
      <c r="U4589" s="12"/>
      <c r="Z4589" s="12"/>
      <c r="AA4589" s="10"/>
      <c r="AV4589" s="11"/>
      <c r="AW4589" s="11"/>
      <c r="BB4589" s="9"/>
      <c r="BC4589" s="11"/>
      <c r="BF4589" s="9"/>
      <c r="CF4589" s="12"/>
      <c r="CH4589" s="9"/>
      <c r="CN4589" s="12"/>
    </row>
    <row r="4590" spans="6:92" x14ac:dyDescent="0.25">
      <c r="F4590" s="9"/>
      <c r="G4590" s="9"/>
      <c r="AA4590" s="10"/>
      <c r="AV4590" s="11"/>
      <c r="AW4590" s="11"/>
      <c r="BB4590" s="9"/>
      <c r="BC4590" s="11"/>
      <c r="BF4590" s="9"/>
      <c r="CH4590" s="9"/>
    </row>
    <row r="4591" spans="6:92" x14ac:dyDescent="0.25">
      <c r="F4591" s="9"/>
      <c r="G4591" s="9"/>
      <c r="AA4591" s="10"/>
      <c r="AV4591" s="11"/>
      <c r="AW4591" s="11"/>
      <c r="BB4591" s="9"/>
      <c r="BC4591" s="11"/>
      <c r="BF4591" s="9"/>
      <c r="CF4591" s="12"/>
      <c r="CH4591" s="9"/>
    </row>
    <row r="4592" spans="6:92" x14ac:dyDescent="0.25">
      <c r="F4592" s="9"/>
      <c r="G4592" s="9"/>
      <c r="AA4592" s="10"/>
      <c r="AV4592" s="11"/>
      <c r="AW4592" s="11"/>
      <c r="BB4592" s="9"/>
      <c r="BC4592" s="11"/>
      <c r="BF4592" s="9"/>
      <c r="CF4592" s="12"/>
      <c r="CH4592" s="9"/>
    </row>
    <row r="4593" spans="6:86" x14ac:dyDescent="0.25">
      <c r="F4593" s="9"/>
      <c r="G4593" s="9"/>
      <c r="AA4593" s="10"/>
      <c r="AV4593" s="11"/>
      <c r="AW4593" s="11"/>
      <c r="BB4593" s="9"/>
      <c r="BC4593" s="11"/>
      <c r="BF4593" s="9"/>
      <c r="CF4593" s="12"/>
      <c r="CH4593" s="9"/>
    </row>
    <row r="4594" spans="6:86" x14ac:dyDescent="0.25">
      <c r="F4594" s="9"/>
      <c r="G4594" s="9"/>
      <c r="AA4594" s="10"/>
      <c r="AV4594" s="11"/>
      <c r="AW4594" s="11"/>
      <c r="BB4594" s="9"/>
      <c r="BC4594" s="11"/>
      <c r="BF4594" s="9"/>
      <c r="CF4594" s="12"/>
      <c r="CH4594" s="9"/>
    </row>
    <row r="4595" spans="6:86" x14ac:dyDescent="0.25">
      <c r="F4595" s="9"/>
      <c r="G4595" s="9"/>
      <c r="AA4595" s="10"/>
      <c r="AV4595" s="11"/>
      <c r="AW4595" s="11"/>
      <c r="BB4595" s="9"/>
      <c r="BC4595" s="11"/>
      <c r="BF4595" s="9"/>
      <c r="CF4595" s="12"/>
      <c r="CH4595" s="9"/>
    </row>
    <row r="4596" spans="6:86" x14ac:dyDescent="0.25">
      <c r="F4596" s="9"/>
      <c r="G4596" s="9"/>
      <c r="AA4596" s="10"/>
      <c r="AV4596" s="11"/>
      <c r="AW4596" s="11"/>
      <c r="BB4596" s="9"/>
      <c r="BC4596" s="11"/>
      <c r="BF4596" s="9"/>
      <c r="CF4596" s="12"/>
      <c r="CH4596" s="9"/>
    </row>
    <row r="4597" spans="6:86" x14ac:dyDescent="0.25">
      <c r="F4597" s="9"/>
      <c r="G4597" s="9"/>
      <c r="AA4597" s="10"/>
      <c r="AV4597" s="11"/>
      <c r="AW4597" s="11"/>
      <c r="BB4597" s="9"/>
      <c r="BC4597" s="11"/>
      <c r="BF4597" s="9"/>
      <c r="CF4597" s="12"/>
      <c r="CH4597" s="9"/>
    </row>
    <row r="4598" spans="6:86" x14ac:dyDescent="0.25">
      <c r="F4598" s="9"/>
      <c r="G4598" s="9"/>
      <c r="AA4598" s="10"/>
      <c r="AV4598" s="11"/>
      <c r="AW4598" s="11"/>
      <c r="BB4598" s="9"/>
      <c r="BC4598" s="11"/>
      <c r="BF4598" s="9"/>
      <c r="CF4598" s="12"/>
      <c r="CH4598" s="9"/>
    </row>
    <row r="4599" spans="6:86" x14ac:dyDescent="0.25">
      <c r="F4599" s="9"/>
      <c r="G4599" s="9"/>
      <c r="AA4599" s="10"/>
      <c r="AV4599" s="11"/>
      <c r="AW4599" s="11"/>
      <c r="BB4599" s="9"/>
      <c r="BC4599" s="11"/>
      <c r="BF4599" s="9"/>
      <c r="CF4599" s="12"/>
      <c r="CH4599" s="9"/>
    </row>
    <row r="4600" spans="6:86" x14ac:dyDescent="0.25">
      <c r="F4600" s="9"/>
      <c r="G4600" s="9"/>
      <c r="AA4600" s="10"/>
      <c r="AV4600" s="11"/>
      <c r="AW4600" s="11"/>
      <c r="BB4600" s="9"/>
      <c r="BC4600" s="11"/>
      <c r="BF4600" s="9"/>
      <c r="CF4600" s="12"/>
      <c r="CH4600" s="9"/>
    </row>
    <row r="4601" spans="6:86" x14ac:dyDescent="0.25">
      <c r="F4601" s="9"/>
      <c r="G4601" s="9"/>
      <c r="AA4601" s="10"/>
      <c r="AV4601" s="11"/>
      <c r="AW4601" s="11"/>
      <c r="BB4601" s="9"/>
      <c r="BC4601" s="11"/>
      <c r="BF4601" s="9"/>
      <c r="CF4601" s="12"/>
      <c r="CH4601" s="9"/>
    </row>
    <row r="4602" spans="6:86" x14ac:dyDescent="0.25">
      <c r="F4602" s="9"/>
      <c r="G4602" s="9"/>
      <c r="AA4602" s="10"/>
      <c r="AV4602" s="11"/>
      <c r="AW4602" s="11"/>
      <c r="BB4602" s="9"/>
      <c r="BC4602" s="11"/>
      <c r="BF4602" s="9"/>
      <c r="CF4602" s="12"/>
      <c r="CH4602" s="9"/>
    </row>
    <row r="4603" spans="6:86" x14ac:dyDescent="0.25">
      <c r="F4603" s="9"/>
      <c r="G4603" s="9"/>
      <c r="AA4603" s="10"/>
      <c r="AV4603" s="11"/>
      <c r="AW4603" s="11"/>
      <c r="BB4603" s="9"/>
      <c r="BC4603" s="11"/>
      <c r="BF4603" s="9"/>
      <c r="CH4603" s="9"/>
    </row>
    <row r="4604" spans="6:86" x14ac:dyDescent="0.25">
      <c r="F4604" s="9"/>
      <c r="G4604" s="9"/>
      <c r="AA4604" s="10"/>
      <c r="AV4604" s="11"/>
      <c r="AW4604" s="11"/>
      <c r="BB4604" s="9"/>
      <c r="BC4604" s="11"/>
      <c r="BF4604" s="9"/>
      <c r="CH4604" s="9"/>
    </row>
    <row r="4605" spans="6:86" x14ac:dyDescent="0.25">
      <c r="F4605" s="9"/>
      <c r="G4605" s="9"/>
      <c r="AA4605" s="10"/>
      <c r="AV4605" s="11"/>
      <c r="AW4605" s="11"/>
      <c r="BB4605" s="9"/>
      <c r="BC4605" s="11"/>
      <c r="BF4605" s="9"/>
      <c r="CF4605" s="12"/>
      <c r="CH4605" s="9"/>
    </row>
    <row r="4606" spans="6:86" x14ac:dyDescent="0.25">
      <c r="F4606" s="9"/>
      <c r="G4606" s="9"/>
      <c r="AA4606" s="10"/>
      <c r="AV4606" s="11"/>
      <c r="AW4606" s="11"/>
      <c r="BB4606" s="9"/>
      <c r="BC4606" s="11"/>
      <c r="BF4606" s="9"/>
      <c r="CF4606" s="12"/>
      <c r="CH4606" s="9"/>
    </row>
    <row r="4607" spans="6:86" x14ac:dyDescent="0.25">
      <c r="F4607" s="9"/>
      <c r="G4607" s="9"/>
      <c r="AA4607" s="10"/>
      <c r="AV4607" s="11"/>
      <c r="AW4607" s="11"/>
      <c r="BB4607" s="9"/>
      <c r="BC4607" s="11"/>
      <c r="BF4607" s="9"/>
      <c r="CF4607" s="12"/>
      <c r="CH4607" s="9"/>
    </row>
    <row r="4608" spans="6:86" x14ac:dyDescent="0.25">
      <c r="F4608" s="9"/>
      <c r="G4608" s="9"/>
      <c r="AA4608" s="10"/>
      <c r="AV4608" s="11"/>
      <c r="AW4608" s="11"/>
      <c r="BB4608" s="9"/>
      <c r="BC4608" s="11"/>
      <c r="BF4608" s="9"/>
      <c r="CF4608" s="12"/>
      <c r="CH4608" s="9"/>
    </row>
    <row r="4609" spans="6:86" x14ac:dyDescent="0.25">
      <c r="F4609" s="9"/>
      <c r="G4609" s="9"/>
      <c r="AA4609" s="10"/>
      <c r="AV4609" s="11"/>
      <c r="AW4609" s="11"/>
      <c r="BB4609" s="9"/>
      <c r="BC4609" s="11"/>
      <c r="BF4609" s="9"/>
      <c r="CH4609" s="9"/>
    </row>
    <row r="4610" spans="6:86" x14ac:dyDescent="0.25">
      <c r="F4610" s="9"/>
      <c r="G4610" s="9"/>
      <c r="AA4610" s="10"/>
      <c r="AV4610" s="11"/>
      <c r="AW4610" s="11"/>
      <c r="BB4610" s="9"/>
      <c r="BC4610" s="11"/>
      <c r="BF4610" s="9"/>
      <c r="CH4610" s="9"/>
    </row>
    <row r="4611" spans="6:86" x14ac:dyDescent="0.25">
      <c r="F4611" s="9"/>
      <c r="G4611" s="9"/>
      <c r="AA4611" s="10"/>
      <c r="AV4611" s="11"/>
      <c r="AW4611" s="11"/>
      <c r="BB4611" s="9"/>
      <c r="BC4611" s="11"/>
      <c r="BF4611" s="9"/>
      <c r="CF4611" s="12"/>
      <c r="CH4611" s="9"/>
    </row>
    <row r="4612" spans="6:86" x14ac:dyDescent="0.25">
      <c r="F4612" s="9"/>
      <c r="G4612" s="9"/>
      <c r="AA4612" s="10"/>
      <c r="AV4612" s="11"/>
      <c r="AW4612" s="11"/>
      <c r="BB4612" s="9"/>
      <c r="BC4612" s="11"/>
      <c r="BF4612" s="9"/>
      <c r="CH4612" s="9"/>
    </row>
    <row r="4613" spans="6:86" x14ac:dyDescent="0.25">
      <c r="F4613" s="9"/>
      <c r="G4613" s="9"/>
      <c r="AA4613" s="10"/>
      <c r="AV4613" s="11"/>
      <c r="AW4613" s="11"/>
      <c r="BB4613" s="9"/>
      <c r="BC4613" s="11"/>
      <c r="BF4613" s="9"/>
      <c r="CF4613" s="12"/>
      <c r="CH4613" s="9"/>
    </row>
    <row r="4614" spans="6:86" x14ac:dyDescent="0.25">
      <c r="F4614" s="9"/>
      <c r="G4614" s="9"/>
      <c r="AA4614" s="10"/>
      <c r="AV4614" s="11"/>
      <c r="AW4614" s="11"/>
      <c r="BB4614" s="9"/>
      <c r="BC4614" s="11"/>
      <c r="BF4614" s="9"/>
      <c r="CF4614" s="12"/>
      <c r="CH4614" s="9"/>
    </row>
    <row r="4615" spans="6:86" x14ac:dyDescent="0.25">
      <c r="F4615" s="9"/>
      <c r="G4615" s="9"/>
      <c r="AA4615" s="10"/>
      <c r="AV4615" s="11"/>
      <c r="AW4615" s="11"/>
      <c r="BB4615" s="9"/>
      <c r="BC4615" s="11"/>
      <c r="BF4615" s="9"/>
      <c r="CF4615" s="12"/>
      <c r="CH4615" s="9"/>
    </row>
    <row r="4616" spans="6:86" x14ac:dyDescent="0.25">
      <c r="F4616" s="9"/>
      <c r="G4616" s="9"/>
      <c r="AA4616" s="10"/>
      <c r="AV4616" s="11"/>
      <c r="AW4616" s="11"/>
      <c r="BB4616" s="9"/>
      <c r="BC4616" s="11"/>
      <c r="BF4616" s="9"/>
      <c r="CF4616" s="12"/>
      <c r="CH4616" s="9"/>
    </row>
    <row r="4617" spans="6:86" x14ac:dyDescent="0.25">
      <c r="F4617" s="9"/>
      <c r="G4617" s="9"/>
      <c r="AA4617" s="10"/>
      <c r="AV4617" s="11"/>
      <c r="AW4617" s="11"/>
      <c r="BB4617" s="9"/>
      <c r="BC4617" s="11"/>
      <c r="BF4617" s="9"/>
      <c r="CF4617" s="12"/>
      <c r="CH4617" s="9"/>
    </row>
    <row r="4618" spans="6:86" x14ac:dyDescent="0.25">
      <c r="F4618" s="9"/>
      <c r="G4618" s="9"/>
      <c r="AA4618" s="10"/>
      <c r="AV4618" s="11"/>
      <c r="AW4618" s="11"/>
      <c r="BB4618" s="9"/>
      <c r="BC4618" s="11"/>
      <c r="BF4618" s="9"/>
      <c r="CH4618" s="9"/>
    </row>
    <row r="4619" spans="6:86" x14ac:dyDescent="0.25">
      <c r="F4619" s="9"/>
      <c r="G4619" s="9"/>
      <c r="AA4619" s="10"/>
      <c r="AV4619" s="11"/>
      <c r="AW4619" s="11"/>
      <c r="BB4619" s="9"/>
      <c r="BC4619" s="11"/>
      <c r="BF4619" s="9"/>
      <c r="CF4619" s="12"/>
      <c r="CH4619" s="9"/>
    </row>
    <row r="4620" spans="6:86" x14ac:dyDescent="0.25">
      <c r="F4620" s="9"/>
      <c r="G4620" s="9"/>
      <c r="AA4620" s="10"/>
      <c r="AV4620" s="11"/>
      <c r="AW4620" s="11"/>
      <c r="BB4620" s="9"/>
      <c r="BC4620" s="11"/>
      <c r="BF4620" s="9"/>
      <c r="CH4620" s="9"/>
    </row>
    <row r="4621" spans="6:86" x14ac:dyDescent="0.25">
      <c r="F4621" s="9"/>
      <c r="G4621" s="9"/>
      <c r="AA4621" s="10"/>
      <c r="AV4621" s="11"/>
      <c r="AW4621" s="11"/>
      <c r="BB4621" s="9"/>
      <c r="BC4621" s="11"/>
      <c r="BF4621" s="9"/>
      <c r="CF4621" s="12"/>
      <c r="CH4621" s="9"/>
    </row>
    <row r="4622" spans="6:86" x14ac:dyDescent="0.25">
      <c r="F4622" s="9"/>
      <c r="G4622" s="9"/>
      <c r="AA4622" s="10"/>
      <c r="AV4622" s="11"/>
      <c r="AW4622" s="11"/>
      <c r="BB4622" s="9"/>
      <c r="BC4622" s="11"/>
      <c r="BF4622" s="9"/>
      <c r="CF4622" s="12"/>
      <c r="CH4622" s="9"/>
    </row>
    <row r="4623" spans="6:86" x14ac:dyDescent="0.25">
      <c r="F4623" s="9"/>
      <c r="G4623" s="9"/>
      <c r="AA4623" s="10"/>
      <c r="AV4623" s="11"/>
      <c r="AW4623" s="11"/>
      <c r="BB4623" s="9"/>
      <c r="BC4623" s="11"/>
      <c r="BF4623" s="9"/>
      <c r="CH4623" s="9"/>
    </row>
    <row r="4624" spans="6:86" x14ac:dyDescent="0.25">
      <c r="F4624" s="9"/>
      <c r="G4624" s="9"/>
      <c r="AA4624" s="10"/>
      <c r="AV4624" s="11"/>
      <c r="AW4624" s="11"/>
      <c r="BB4624" s="9"/>
      <c r="BC4624" s="11"/>
      <c r="BF4624" s="9"/>
      <c r="CF4624" s="12"/>
      <c r="CH4624" s="9"/>
    </row>
    <row r="4625" spans="6:86" x14ac:dyDescent="0.25">
      <c r="F4625" s="9"/>
      <c r="G4625" s="9"/>
      <c r="AA4625" s="10"/>
      <c r="AV4625" s="11"/>
      <c r="AW4625" s="11"/>
      <c r="BB4625" s="9"/>
      <c r="BC4625" s="11"/>
      <c r="BF4625" s="9"/>
      <c r="CF4625" s="12"/>
      <c r="CH4625" s="9"/>
    </row>
    <row r="4626" spans="6:86" x14ac:dyDescent="0.25">
      <c r="F4626" s="9"/>
      <c r="G4626" s="9"/>
      <c r="AA4626" s="10"/>
      <c r="AV4626" s="11"/>
      <c r="AW4626" s="11"/>
      <c r="BB4626" s="9"/>
      <c r="BC4626" s="11"/>
      <c r="BF4626" s="9"/>
      <c r="CH4626" s="9"/>
    </row>
    <row r="4627" spans="6:86" x14ac:dyDescent="0.25">
      <c r="F4627" s="9"/>
      <c r="G4627" s="9"/>
      <c r="AA4627" s="10"/>
      <c r="AV4627" s="11"/>
      <c r="AW4627" s="11"/>
      <c r="BB4627" s="9"/>
      <c r="BC4627" s="11"/>
      <c r="BF4627" s="9"/>
      <c r="CH4627" s="9"/>
    </row>
    <row r="4628" spans="6:86" x14ac:dyDescent="0.25">
      <c r="F4628" s="9"/>
      <c r="G4628" s="9"/>
      <c r="AA4628" s="10"/>
      <c r="AV4628" s="11"/>
      <c r="AW4628" s="11"/>
      <c r="BB4628" s="9"/>
      <c r="BC4628" s="11"/>
      <c r="BF4628" s="9"/>
      <c r="CF4628" s="12"/>
      <c r="CH4628" s="9"/>
    </row>
    <row r="4629" spans="6:86" x14ac:dyDescent="0.25">
      <c r="F4629" s="9"/>
      <c r="G4629" s="9"/>
      <c r="AA4629" s="10"/>
      <c r="AV4629" s="11"/>
      <c r="AW4629" s="11"/>
      <c r="BB4629" s="9"/>
      <c r="BC4629" s="11"/>
      <c r="BF4629" s="9"/>
      <c r="CF4629" s="12"/>
      <c r="CH4629" s="9"/>
    </row>
    <row r="4630" spans="6:86" x14ac:dyDescent="0.25">
      <c r="F4630" s="9"/>
      <c r="G4630" s="9"/>
      <c r="AA4630" s="10"/>
      <c r="AV4630" s="11"/>
      <c r="AW4630" s="11"/>
      <c r="BB4630" s="9"/>
      <c r="BC4630" s="11"/>
      <c r="BF4630" s="9"/>
      <c r="CF4630" s="12"/>
      <c r="CH4630" s="9"/>
    </row>
    <row r="4631" spans="6:86" x14ac:dyDescent="0.25">
      <c r="F4631" s="9"/>
      <c r="G4631" s="9"/>
      <c r="AA4631" s="10"/>
      <c r="AV4631" s="11"/>
      <c r="AW4631" s="11"/>
      <c r="BB4631" s="9"/>
      <c r="BC4631" s="11"/>
      <c r="BF4631" s="9"/>
      <c r="CF4631" s="12"/>
      <c r="CH4631" s="9"/>
    </row>
    <row r="4632" spans="6:86" x14ac:dyDescent="0.25">
      <c r="F4632" s="9"/>
      <c r="G4632" s="9"/>
      <c r="AA4632" s="10"/>
      <c r="AV4632" s="11"/>
      <c r="AW4632" s="11"/>
      <c r="BB4632" s="9"/>
      <c r="BC4632" s="11"/>
      <c r="BF4632" s="9"/>
      <c r="CF4632" s="12"/>
      <c r="CH4632" s="9"/>
    </row>
    <row r="4633" spans="6:86" x14ac:dyDescent="0.25">
      <c r="F4633" s="9"/>
      <c r="G4633" s="9"/>
      <c r="AA4633" s="10"/>
      <c r="AV4633" s="11"/>
      <c r="AW4633" s="11"/>
      <c r="BB4633" s="9"/>
      <c r="BC4633" s="11"/>
      <c r="BF4633" s="9"/>
      <c r="CF4633" s="12"/>
      <c r="CH4633" s="9"/>
    </row>
    <row r="4634" spans="6:86" x14ac:dyDescent="0.25">
      <c r="F4634" s="9"/>
      <c r="G4634" s="9"/>
      <c r="AA4634" s="10"/>
      <c r="AV4634" s="11"/>
      <c r="AW4634" s="11"/>
      <c r="BB4634" s="9"/>
      <c r="BC4634" s="11"/>
      <c r="BF4634" s="9"/>
      <c r="CF4634" s="12"/>
      <c r="CH4634" s="9"/>
    </row>
    <row r="4635" spans="6:86" x14ac:dyDescent="0.25">
      <c r="F4635" s="9"/>
      <c r="G4635" s="9"/>
      <c r="AA4635" s="10"/>
      <c r="AV4635" s="11"/>
      <c r="AW4635" s="11"/>
      <c r="BB4635" s="9"/>
      <c r="BC4635" s="11"/>
      <c r="BF4635" s="9"/>
      <c r="CF4635" s="12"/>
      <c r="CH4635" s="9"/>
    </row>
    <row r="4636" spans="6:86" x14ac:dyDescent="0.25">
      <c r="F4636" s="9"/>
      <c r="G4636" s="9"/>
      <c r="AA4636" s="10"/>
      <c r="AV4636" s="11"/>
      <c r="AW4636" s="11"/>
      <c r="BB4636" s="9"/>
      <c r="BC4636" s="11"/>
      <c r="BF4636" s="9"/>
      <c r="CF4636" s="12"/>
      <c r="CH4636" s="9"/>
    </row>
    <row r="4637" spans="6:86" x14ac:dyDescent="0.25">
      <c r="F4637" s="9"/>
      <c r="G4637" s="9"/>
      <c r="AA4637" s="10"/>
      <c r="AV4637" s="11"/>
      <c r="AW4637" s="11"/>
      <c r="BB4637" s="9"/>
      <c r="BC4637" s="11"/>
      <c r="BF4637" s="9"/>
      <c r="CF4637" s="12"/>
      <c r="CH4637" s="9"/>
    </row>
    <row r="4638" spans="6:86" x14ac:dyDescent="0.25">
      <c r="F4638" s="9"/>
      <c r="G4638" s="9"/>
      <c r="AA4638" s="10"/>
      <c r="AV4638" s="11"/>
      <c r="AW4638" s="11"/>
      <c r="BB4638" s="9"/>
      <c r="BC4638" s="11"/>
      <c r="BF4638" s="9"/>
      <c r="CF4638" s="12"/>
      <c r="CH4638" s="9"/>
    </row>
    <row r="4639" spans="6:86" x14ac:dyDescent="0.25">
      <c r="F4639" s="9"/>
      <c r="G4639" s="9"/>
      <c r="AA4639" s="10"/>
      <c r="AV4639" s="11"/>
      <c r="AW4639" s="11"/>
      <c r="BB4639" s="9"/>
      <c r="BC4639" s="11"/>
      <c r="BF4639" s="9"/>
      <c r="CF4639" s="12"/>
      <c r="CH4639" s="9"/>
    </row>
    <row r="4640" spans="6:86" x14ac:dyDescent="0.25">
      <c r="F4640" s="9"/>
      <c r="G4640" s="9"/>
      <c r="AA4640" s="10"/>
      <c r="AV4640" s="11"/>
      <c r="AW4640" s="11"/>
      <c r="BB4640" s="9"/>
      <c r="BC4640" s="11"/>
      <c r="BF4640" s="9"/>
      <c r="CF4640" s="12"/>
      <c r="CH4640" s="9"/>
    </row>
    <row r="4641" spans="6:86" x14ac:dyDescent="0.25">
      <c r="F4641" s="9"/>
      <c r="G4641" s="9"/>
      <c r="AA4641" s="10"/>
      <c r="AV4641" s="11"/>
      <c r="AW4641" s="11"/>
      <c r="BB4641" s="9"/>
      <c r="BC4641" s="11"/>
      <c r="BF4641" s="9"/>
      <c r="CF4641" s="12"/>
      <c r="CH4641" s="9"/>
    </row>
    <row r="4642" spans="6:86" x14ac:dyDescent="0.25">
      <c r="F4642" s="9"/>
      <c r="G4642" s="9"/>
      <c r="AA4642" s="10"/>
      <c r="AV4642" s="11"/>
      <c r="AW4642" s="11"/>
      <c r="BB4642" s="9"/>
      <c r="BC4642" s="11"/>
      <c r="BF4642" s="9"/>
      <c r="CF4642" s="12"/>
      <c r="CH4642" s="9"/>
    </row>
    <row r="4643" spans="6:86" x14ac:dyDescent="0.25">
      <c r="F4643" s="9"/>
      <c r="G4643" s="9"/>
      <c r="AA4643" s="10"/>
      <c r="AV4643" s="11"/>
      <c r="AW4643" s="11"/>
      <c r="BB4643" s="9"/>
      <c r="BC4643" s="11"/>
      <c r="BF4643" s="9"/>
      <c r="CF4643" s="12"/>
      <c r="CH4643" s="9"/>
    </row>
    <row r="4644" spans="6:86" x14ac:dyDescent="0.25">
      <c r="F4644" s="9"/>
      <c r="G4644" s="9"/>
      <c r="AA4644" s="10"/>
      <c r="AV4644" s="11"/>
      <c r="AW4644" s="11"/>
      <c r="BB4644" s="9"/>
      <c r="BC4644" s="11"/>
      <c r="BF4644" s="9"/>
      <c r="CF4644" s="12"/>
      <c r="CH4644" s="9"/>
    </row>
    <row r="4645" spans="6:86" x14ac:dyDescent="0.25">
      <c r="F4645" s="9"/>
      <c r="G4645" s="9"/>
      <c r="AA4645" s="10"/>
      <c r="AV4645" s="11"/>
      <c r="AW4645" s="11"/>
      <c r="BB4645" s="9"/>
      <c r="BC4645" s="11"/>
      <c r="BF4645" s="9"/>
      <c r="CF4645" s="12"/>
      <c r="CH4645" s="9"/>
    </row>
    <row r="4646" spans="6:86" x14ac:dyDescent="0.25">
      <c r="F4646" s="9"/>
      <c r="G4646" s="9"/>
      <c r="AA4646" s="10"/>
      <c r="AV4646" s="11"/>
      <c r="AW4646" s="11"/>
      <c r="BB4646" s="9"/>
      <c r="BC4646" s="11"/>
      <c r="BF4646" s="9"/>
      <c r="CF4646" s="12"/>
      <c r="CH4646" s="9"/>
    </row>
    <row r="4647" spans="6:86" x14ac:dyDescent="0.25">
      <c r="F4647" s="9"/>
      <c r="G4647" s="9"/>
      <c r="AA4647" s="10"/>
      <c r="AV4647" s="11"/>
      <c r="AW4647" s="11"/>
      <c r="BB4647" s="9"/>
      <c r="BC4647" s="11"/>
      <c r="BF4647" s="9"/>
      <c r="CF4647" s="12"/>
      <c r="CH4647" s="9"/>
    </row>
    <row r="4648" spans="6:86" x14ac:dyDescent="0.25">
      <c r="F4648" s="9"/>
      <c r="G4648" s="9"/>
      <c r="AA4648" s="10"/>
      <c r="AV4648" s="11"/>
      <c r="AW4648" s="11"/>
      <c r="BB4648" s="9"/>
      <c r="BC4648" s="11"/>
      <c r="BF4648" s="9"/>
      <c r="CF4648" s="12"/>
      <c r="CH4648" s="9"/>
    </row>
    <row r="4649" spans="6:86" x14ac:dyDescent="0.25">
      <c r="F4649" s="9"/>
      <c r="G4649" s="9"/>
      <c r="AA4649" s="10"/>
      <c r="AV4649" s="11"/>
      <c r="AW4649" s="11"/>
      <c r="BB4649" s="9"/>
      <c r="BC4649" s="11"/>
      <c r="BF4649" s="9"/>
      <c r="CF4649" s="12"/>
      <c r="CH4649" s="9"/>
    </row>
    <row r="4650" spans="6:86" x14ac:dyDescent="0.25">
      <c r="F4650" s="9"/>
      <c r="G4650" s="9"/>
      <c r="AA4650" s="10"/>
      <c r="AV4650" s="11"/>
      <c r="AW4650" s="11"/>
      <c r="BB4650" s="9"/>
      <c r="BC4650" s="11"/>
      <c r="BF4650" s="9"/>
      <c r="CF4650" s="12"/>
      <c r="CH4650" s="9"/>
    </row>
    <row r="4651" spans="6:86" x14ac:dyDescent="0.25">
      <c r="F4651" s="9"/>
      <c r="G4651" s="9"/>
      <c r="AA4651" s="10"/>
      <c r="AV4651" s="11"/>
      <c r="AW4651" s="11"/>
      <c r="BB4651" s="9"/>
      <c r="BC4651" s="11"/>
      <c r="BF4651" s="9"/>
      <c r="CF4651" s="12"/>
      <c r="CH4651" s="9"/>
    </row>
    <row r="4652" spans="6:86" x14ac:dyDescent="0.25">
      <c r="F4652" s="9"/>
      <c r="G4652" s="9"/>
      <c r="AA4652" s="10"/>
      <c r="AV4652" s="11"/>
      <c r="AW4652" s="11"/>
      <c r="BB4652" s="9"/>
      <c r="BC4652" s="11"/>
      <c r="BF4652" s="9"/>
      <c r="CF4652" s="12"/>
      <c r="CH4652" s="9"/>
    </row>
    <row r="4653" spans="6:86" x14ac:dyDescent="0.25">
      <c r="F4653" s="9"/>
      <c r="G4653" s="9"/>
      <c r="AA4653" s="10"/>
      <c r="AV4653" s="11"/>
      <c r="AW4653" s="11"/>
      <c r="BB4653" s="9"/>
      <c r="BC4653" s="11"/>
      <c r="BF4653" s="9"/>
      <c r="CH4653" s="9"/>
    </row>
    <row r="4654" spans="6:86" x14ac:dyDescent="0.25">
      <c r="F4654" s="9"/>
      <c r="G4654" s="9"/>
      <c r="AA4654" s="10"/>
      <c r="AV4654" s="11"/>
      <c r="AW4654" s="11"/>
      <c r="BB4654" s="9"/>
      <c r="BC4654" s="11"/>
      <c r="BF4654" s="9"/>
      <c r="CF4654" s="12"/>
      <c r="CH4654" s="9"/>
    </row>
    <row r="4655" spans="6:86" x14ac:dyDescent="0.25">
      <c r="F4655" s="9"/>
      <c r="G4655" s="9"/>
      <c r="AA4655" s="10"/>
      <c r="AV4655" s="11"/>
      <c r="AW4655" s="11"/>
      <c r="BB4655" s="9"/>
      <c r="BC4655" s="11"/>
      <c r="BF4655" s="9"/>
      <c r="CF4655" s="12"/>
      <c r="CH4655" s="9"/>
    </row>
    <row r="4656" spans="6:86" x14ac:dyDescent="0.25">
      <c r="F4656" s="9"/>
      <c r="G4656" s="9"/>
      <c r="AA4656" s="10"/>
      <c r="AV4656" s="11"/>
      <c r="AW4656" s="11"/>
      <c r="BB4656" s="9"/>
      <c r="BC4656" s="11"/>
      <c r="BF4656" s="9"/>
      <c r="CF4656" s="12"/>
      <c r="CH4656" s="9"/>
    </row>
    <row r="4657" spans="6:86" x14ac:dyDescent="0.25">
      <c r="F4657" s="9"/>
      <c r="G4657" s="9"/>
      <c r="AA4657" s="10"/>
      <c r="AV4657" s="11"/>
      <c r="AW4657" s="11"/>
      <c r="BB4657" s="9"/>
      <c r="BC4657" s="11"/>
      <c r="BF4657" s="9"/>
      <c r="CH4657" s="9"/>
    </row>
    <row r="4658" spans="6:86" x14ac:dyDescent="0.25">
      <c r="F4658" s="9"/>
      <c r="G4658" s="9"/>
      <c r="AA4658" s="10"/>
      <c r="AV4658" s="11"/>
      <c r="AW4658" s="11"/>
      <c r="BB4658" s="9"/>
      <c r="BC4658" s="11"/>
      <c r="BF4658" s="9"/>
      <c r="CF4658" s="12"/>
      <c r="CH4658" s="9"/>
    </row>
    <row r="4659" spans="6:86" x14ac:dyDescent="0.25">
      <c r="F4659" s="9"/>
      <c r="G4659" s="9"/>
      <c r="AA4659" s="10"/>
      <c r="AV4659" s="11"/>
      <c r="AW4659" s="11"/>
      <c r="BB4659" s="9"/>
      <c r="BC4659" s="11"/>
      <c r="BF4659" s="9"/>
      <c r="CF4659" s="12"/>
      <c r="CH4659" s="9"/>
    </row>
    <row r="4660" spans="6:86" x14ac:dyDescent="0.25">
      <c r="F4660" s="9"/>
      <c r="G4660" s="9"/>
      <c r="AA4660" s="10"/>
      <c r="AV4660" s="11"/>
      <c r="AW4660" s="11"/>
      <c r="BB4660" s="9"/>
      <c r="BC4660" s="11"/>
      <c r="BF4660" s="9"/>
      <c r="CF4660" s="12"/>
      <c r="CH4660" s="9"/>
    </row>
    <row r="4661" spans="6:86" x14ac:dyDescent="0.25">
      <c r="F4661" s="9"/>
      <c r="G4661" s="9"/>
      <c r="AA4661" s="10"/>
      <c r="AV4661" s="11"/>
      <c r="AW4661" s="11"/>
      <c r="BB4661" s="9"/>
      <c r="BC4661" s="11"/>
      <c r="BF4661" s="9"/>
      <c r="CF4661" s="12"/>
      <c r="CH4661" s="9"/>
    </row>
    <row r="4662" spans="6:86" x14ac:dyDescent="0.25">
      <c r="F4662" s="9"/>
      <c r="G4662" s="9"/>
      <c r="AA4662" s="10"/>
      <c r="AV4662" s="11"/>
      <c r="AW4662" s="11"/>
      <c r="BB4662" s="9"/>
      <c r="BC4662" s="11"/>
      <c r="BF4662" s="9"/>
      <c r="CF4662" s="12"/>
      <c r="CH4662" s="9"/>
    </row>
    <row r="4663" spans="6:86" x14ac:dyDescent="0.25">
      <c r="F4663" s="9"/>
      <c r="G4663" s="9"/>
      <c r="AA4663" s="10"/>
      <c r="AV4663" s="11"/>
      <c r="AW4663" s="11"/>
      <c r="BB4663" s="9"/>
      <c r="BC4663" s="11"/>
      <c r="BF4663" s="9"/>
      <c r="CF4663" s="12"/>
      <c r="CH4663" s="9"/>
    </row>
    <row r="4664" spans="6:86" x14ac:dyDescent="0.25">
      <c r="F4664" s="9"/>
      <c r="G4664" s="9"/>
      <c r="AA4664" s="10"/>
      <c r="AV4664" s="11"/>
      <c r="AW4664" s="11"/>
      <c r="BB4664" s="9"/>
      <c r="BC4664" s="11"/>
      <c r="BF4664" s="9"/>
      <c r="CH4664" s="9"/>
    </row>
    <row r="4665" spans="6:86" x14ac:dyDescent="0.25">
      <c r="F4665" s="9"/>
      <c r="G4665" s="9"/>
      <c r="AA4665" s="10"/>
      <c r="AV4665" s="11"/>
      <c r="AW4665" s="11"/>
      <c r="BB4665" s="9"/>
      <c r="BC4665" s="11"/>
      <c r="BF4665" s="9"/>
      <c r="CF4665" s="12"/>
      <c r="CH4665" s="9"/>
    </row>
    <row r="4666" spans="6:86" x14ac:dyDescent="0.25">
      <c r="F4666" s="9"/>
      <c r="G4666" s="9"/>
      <c r="AA4666" s="10"/>
      <c r="AV4666" s="11"/>
      <c r="AW4666" s="11"/>
      <c r="BB4666" s="9"/>
      <c r="BC4666" s="11"/>
      <c r="BF4666" s="9"/>
      <c r="CH4666" s="9"/>
    </row>
    <row r="4667" spans="6:86" x14ac:dyDescent="0.25">
      <c r="F4667" s="9"/>
      <c r="G4667" s="9"/>
      <c r="AA4667" s="10"/>
      <c r="AV4667" s="11"/>
      <c r="AW4667" s="11"/>
      <c r="BB4667" s="9"/>
      <c r="BC4667" s="11"/>
      <c r="BF4667" s="9"/>
      <c r="CF4667" s="12"/>
      <c r="CH4667" s="9"/>
    </row>
    <row r="4668" spans="6:86" x14ac:dyDescent="0.25">
      <c r="F4668" s="9"/>
      <c r="G4668" s="9"/>
      <c r="AA4668" s="10"/>
      <c r="AV4668" s="11"/>
      <c r="AW4668" s="11"/>
      <c r="BB4668" s="9"/>
      <c r="BC4668" s="11"/>
      <c r="BF4668" s="9"/>
      <c r="CF4668" s="12"/>
      <c r="CH4668" s="9"/>
    </row>
    <row r="4669" spans="6:86" x14ac:dyDescent="0.25">
      <c r="F4669" s="9"/>
      <c r="G4669" s="9"/>
      <c r="AA4669" s="10"/>
      <c r="AV4669" s="11"/>
      <c r="AW4669" s="11"/>
      <c r="BB4669" s="9"/>
      <c r="BC4669" s="11"/>
      <c r="BF4669" s="9"/>
      <c r="CF4669" s="12"/>
      <c r="CH4669" s="9"/>
    </row>
    <row r="4670" spans="6:86" x14ac:dyDescent="0.25">
      <c r="F4670" s="9"/>
      <c r="G4670" s="9"/>
      <c r="AA4670" s="10"/>
      <c r="AV4670" s="11"/>
      <c r="AW4670" s="11"/>
      <c r="BB4670" s="9"/>
      <c r="BC4670" s="11"/>
      <c r="BF4670" s="9"/>
      <c r="CF4670" s="12"/>
      <c r="CH4670" s="9"/>
    </row>
    <row r="4671" spans="6:86" x14ac:dyDescent="0.25">
      <c r="F4671" s="9"/>
      <c r="G4671" s="9"/>
      <c r="AA4671" s="10"/>
      <c r="AV4671" s="11"/>
      <c r="AW4671" s="11"/>
      <c r="BB4671" s="9"/>
      <c r="BC4671" s="11"/>
      <c r="BF4671" s="9"/>
      <c r="CF4671" s="12"/>
      <c r="CH4671" s="9"/>
    </row>
    <row r="4672" spans="6:86" x14ac:dyDescent="0.25">
      <c r="F4672" s="9"/>
      <c r="G4672" s="9"/>
      <c r="AA4672" s="10"/>
      <c r="AV4672" s="11"/>
      <c r="AW4672" s="11"/>
      <c r="BB4672" s="9"/>
      <c r="BC4672" s="11"/>
      <c r="BF4672" s="9"/>
      <c r="CF4672" s="12"/>
      <c r="CH4672" s="9"/>
    </row>
    <row r="4673" spans="6:86" x14ac:dyDescent="0.25">
      <c r="F4673" s="9"/>
      <c r="G4673" s="9"/>
      <c r="AA4673" s="10"/>
      <c r="AV4673" s="11"/>
      <c r="AW4673" s="11"/>
      <c r="BB4673" s="9"/>
      <c r="BC4673" s="11"/>
      <c r="BF4673" s="9"/>
      <c r="CF4673" s="12"/>
      <c r="CH4673" s="9"/>
    </row>
    <row r="4674" spans="6:86" x14ac:dyDescent="0.25">
      <c r="F4674" s="9"/>
      <c r="G4674" s="9"/>
      <c r="AA4674" s="10"/>
      <c r="AV4674" s="11"/>
      <c r="AW4674" s="11"/>
      <c r="BB4674" s="9"/>
      <c r="BC4674" s="11"/>
      <c r="BF4674" s="9"/>
      <c r="CF4674" s="12"/>
      <c r="CH4674" s="9"/>
    </row>
    <row r="4675" spans="6:86" x14ac:dyDescent="0.25">
      <c r="F4675" s="9"/>
      <c r="G4675" s="9"/>
      <c r="AA4675" s="10"/>
      <c r="AV4675" s="11"/>
      <c r="AW4675" s="11"/>
      <c r="BB4675" s="9"/>
      <c r="BC4675" s="11"/>
      <c r="BF4675" s="9"/>
      <c r="CH4675" s="9"/>
    </row>
    <row r="4676" spans="6:86" x14ac:dyDescent="0.25">
      <c r="F4676" s="9"/>
      <c r="G4676" s="9"/>
      <c r="AA4676" s="10"/>
      <c r="AV4676" s="11"/>
      <c r="AW4676" s="11"/>
      <c r="BB4676" s="9"/>
      <c r="BC4676" s="11"/>
      <c r="BF4676" s="9"/>
      <c r="CF4676" s="12"/>
      <c r="CH4676" s="9"/>
    </row>
    <row r="4677" spans="6:86" x14ac:dyDescent="0.25">
      <c r="F4677" s="9"/>
      <c r="G4677" s="9"/>
      <c r="AA4677" s="10"/>
      <c r="AV4677" s="11"/>
      <c r="AW4677" s="11"/>
      <c r="BB4677" s="9"/>
      <c r="BC4677" s="11"/>
      <c r="BF4677" s="9"/>
      <c r="CF4677" s="12"/>
      <c r="CH4677" s="9"/>
    </row>
    <row r="4678" spans="6:86" x14ac:dyDescent="0.25">
      <c r="F4678" s="9"/>
      <c r="G4678" s="9"/>
      <c r="AA4678" s="10"/>
      <c r="AV4678" s="11"/>
      <c r="AW4678" s="11"/>
      <c r="BB4678" s="9"/>
      <c r="BC4678" s="11"/>
      <c r="BF4678" s="9"/>
      <c r="CF4678" s="12"/>
      <c r="CH4678" s="9"/>
    </row>
    <row r="4679" spans="6:86" x14ac:dyDescent="0.25">
      <c r="F4679" s="9"/>
      <c r="G4679" s="9"/>
      <c r="AA4679" s="10"/>
      <c r="AV4679" s="11"/>
      <c r="AW4679" s="11"/>
      <c r="BB4679" s="9"/>
      <c r="BC4679" s="11"/>
      <c r="BF4679" s="9"/>
      <c r="CF4679" s="12"/>
      <c r="CH4679" s="9"/>
    </row>
    <row r="4680" spans="6:86" x14ac:dyDescent="0.25">
      <c r="F4680" s="9"/>
      <c r="G4680" s="9"/>
      <c r="AA4680" s="10"/>
      <c r="AV4680" s="11"/>
      <c r="AW4680" s="11"/>
      <c r="BB4680" s="9"/>
      <c r="BC4680" s="11"/>
      <c r="BF4680" s="9"/>
      <c r="CF4680" s="12"/>
      <c r="CH4680" s="9"/>
    </row>
    <row r="4681" spans="6:86" x14ac:dyDescent="0.25">
      <c r="F4681" s="9"/>
      <c r="G4681" s="9"/>
      <c r="AA4681" s="10"/>
      <c r="AV4681" s="11"/>
      <c r="AW4681" s="11"/>
      <c r="BB4681" s="9"/>
      <c r="BC4681" s="11"/>
      <c r="BF4681" s="9"/>
      <c r="CF4681" s="12"/>
      <c r="CH4681" s="9"/>
    </row>
    <row r="4682" spans="6:86" x14ac:dyDescent="0.25">
      <c r="F4682" s="9"/>
      <c r="G4682" s="9"/>
      <c r="AA4682" s="10"/>
      <c r="AV4682" s="11"/>
      <c r="AW4682" s="11"/>
      <c r="BB4682" s="9"/>
      <c r="BC4682" s="11"/>
      <c r="BF4682" s="9"/>
      <c r="CF4682" s="12"/>
      <c r="CH4682" s="9"/>
    </row>
    <row r="4683" spans="6:86" x14ac:dyDescent="0.25">
      <c r="F4683" s="9"/>
      <c r="G4683" s="9"/>
      <c r="AA4683" s="10"/>
      <c r="AV4683" s="11"/>
      <c r="AW4683" s="11"/>
      <c r="BB4683" s="9"/>
      <c r="BC4683" s="11"/>
      <c r="BF4683" s="9"/>
      <c r="CF4683" s="12"/>
      <c r="CH4683" s="9"/>
    </row>
    <row r="4684" spans="6:86" x14ac:dyDescent="0.25">
      <c r="F4684" s="9"/>
      <c r="G4684" s="9"/>
      <c r="AA4684" s="10"/>
      <c r="AV4684" s="11"/>
      <c r="AW4684" s="11"/>
      <c r="BB4684" s="9"/>
      <c r="BC4684" s="11"/>
      <c r="BF4684" s="9"/>
      <c r="CF4684" s="12"/>
      <c r="CH4684" s="9"/>
    </row>
    <row r="4685" spans="6:86" x14ac:dyDescent="0.25">
      <c r="F4685" s="9"/>
      <c r="G4685" s="9"/>
      <c r="AA4685" s="10"/>
      <c r="AV4685" s="11"/>
      <c r="AW4685" s="11"/>
      <c r="BB4685" s="9"/>
      <c r="BC4685" s="11"/>
      <c r="BF4685" s="9"/>
      <c r="CF4685" s="12"/>
      <c r="CH4685" s="9"/>
    </row>
    <row r="4686" spans="6:86" x14ac:dyDescent="0.25">
      <c r="F4686" s="9"/>
      <c r="G4686" s="9"/>
      <c r="AA4686" s="10"/>
      <c r="AV4686" s="11"/>
      <c r="AW4686" s="11"/>
      <c r="BB4686" s="9"/>
      <c r="BC4686" s="11"/>
      <c r="BF4686" s="9"/>
      <c r="CF4686" s="12"/>
      <c r="CH4686" s="9"/>
    </row>
    <row r="4687" spans="6:86" x14ac:dyDescent="0.25">
      <c r="F4687" s="9"/>
      <c r="G4687" s="9"/>
      <c r="AA4687" s="10"/>
      <c r="AV4687" s="11"/>
      <c r="AW4687" s="11"/>
      <c r="BB4687" s="9"/>
      <c r="BC4687" s="11"/>
      <c r="BF4687" s="9"/>
      <c r="CF4687" s="12"/>
      <c r="CH4687" s="9"/>
    </row>
    <row r="4688" spans="6:86" x14ac:dyDescent="0.25">
      <c r="F4688" s="9"/>
      <c r="G4688" s="9"/>
      <c r="AA4688" s="10"/>
      <c r="AV4688" s="11"/>
      <c r="AW4688" s="11"/>
      <c r="BB4688" s="9"/>
      <c r="BC4688" s="11"/>
      <c r="BF4688" s="9"/>
      <c r="CF4688" s="12"/>
      <c r="CH4688" s="9"/>
    </row>
    <row r="4689" spans="6:86" x14ac:dyDescent="0.25">
      <c r="F4689" s="9"/>
      <c r="G4689" s="9"/>
      <c r="U4689" s="12"/>
      <c r="AA4689" s="10"/>
      <c r="AV4689" s="11"/>
      <c r="AW4689" s="11"/>
      <c r="BB4689" s="9"/>
      <c r="BC4689" s="11"/>
      <c r="BF4689" s="9"/>
      <c r="CF4689" s="12"/>
      <c r="CH4689" s="9"/>
    </row>
    <row r="4690" spans="6:86" x14ac:dyDescent="0.25">
      <c r="F4690" s="9"/>
      <c r="G4690" s="9"/>
      <c r="AA4690" s="10"/>
      <c r="AV4690" s="11"/>
      <c r="AW4690" s="11"/>
      <c r="BB4690" s="9"/>
      <c r="BC4690" s="11"/>
      <c r="BF4690" s="9"/>
      <c r="CF4690" s="12"/>
      <c r="CH4690" s="9"/>
    </row>
    <row r="4691" spans="6:86" x14ac:dyDescent="0.25">
      <c r="F4691" s="9"/>
      <c r="G4691" s="9"/>
      <c r="AA4691" s="10"/>
      <c r="AV4691" s="11"/>
      <c r="AW4691" s="11"/>
      <c r="BB4691" s="9"/>
      <c r="BC4691" s="11"/>
      <c r="BF4691" s="9"/>
      <c r="CF4691" s="12"/>
      <c r="CH4691" s="9"/>
    </row>
    <row r="4692" spans="6:86" x14ac:dyDescent="0.25">
      <c r="F4692" s="9"/>
      <c r="G4692" s="9"/>
      <c r="AA4692" s="10"/>
      <c r="AV4692" s="11"/>
      <c r="AW4692" s="11"/>
      <c r="BB4692" s="9"/>
      <c r="BC4692" s="11"/>
      <c r="BF4692" s="9"/>
      <c r="CF4692" s="12"/>
      <c r="CH4692" s="9"/>
    </row>
    <row r="4693" spans="6:86" x14ac:dyDescent="0.25">
      <c r="F4693" s="9"/>
      <c r="G4693" s="9"/>
      <c r="AA4693" s="10"/>
      <c r="AV4693" s="11"/>
      <c r="AW4693" s="11"/>
      <c r="BB4693" s="9"/>
      <c r="BC4693" s="11"/>
      <c r="BF4693" s="9"/>
      <c r="CF4693" s="12"/>
      <c r="CH4693" s="9"/>
    </row>
    <row r="4694" spans="6:86" x14ac:dyDescent="0.25">
      <c r="F4694" s="9"/>
      <c r="G4694" s="9"/>
      <c r="AA4694" s="10"/>
      <c r="AV4694" s="11"/>
      <c r="AW4694" s="11"/>
      <c r="BB4694" s="9"/>
      <c r="BC4694" s="11"/>
      <c r="BF4694" s="9"/>
      <c r="CF4694" s="12"/>
      <c r="CH4694" s="9"/>
    </row>
    <row r="4695" spans="6:86" x14ac:dyDescent="0.25">
      <c r="F4695" s="9"/>
      <c r="G4695" s="9"/>
      <c r="AA4695" s="10"/>
      <c r="AV4695" s="11"/>
      <c r="AW4695" s="11"/>
      <c r="BB4695" s="9"/>
      <c r="BC4695" s="11"/>
      <c r="BF4695" s="9"/>
      <c r="CF4695" s="12"/>
      <c r="CH4695" s="9"/>
    </row>
    <row r="4696" spans="6:86" x14ac:dyDescent="0.25">
      <c r="F4696" s="9"/>
      <c r="G4696" s="9"/>
      <c r="AA4696" s="10"/>
      <c r="AV4696" s="11"/>
      <c r="AW4696" s="11"/>
      <c r="BB4696" s="9"/>
      <c r="BC4696" s="11"/>
      <c r="BF4696" s="9"/>
      <c r="CH4696" s="9"/>
    </row>
    <row r="4697" spans="6:86" x14ac:dyDescent="0.25">
      <c r="F4697" s="9"/>
      <c r="G4697" s="9"/>
      <c r="AA4697" s="10"/>
      <c r="AV4697" s="11"/>
      <c r="AW4697" s="11"/>
      <c r="BB4697" s="9"/>
      <c r="BC4697" s="11"/>
      <c r="BF4697" s="9"/>
      <c r="CF4697" s="12"/>
      <c r="CH4697" s="9"/>
    </row>
    <row r="4698" spans="6:86" x14ac:dyDescent="0.25">
      <c r="F4698" s="9"/>
      <c r="G4698" s="9"/>
      <c r="AA4698" s="10"/>
      <c r="AV4698" s="11"/>
      <c r="AW4698" s="11"/>
      <c r="BB4698" s="9"/>
      <c r="BC4698" s="11"/>
      <c r="BF4698" s="9"/>
      <c r="CF4698" s="12"/>
      <c r="CH4698" s="9"/>
    </row>
    <row r="4699" spans="6:86" x14ac:dyDescent="0.25">
      <c r="F4699" s="9"/>
      <c r="G4699" s="9"/>
      <c r="AA4699" s="10"/>
      <c r="AV4699" s="11"/>
      <c r="AW4699" s="11"/>
      <c r="BB4699" s="9"/>
      <c r="BC4699" s="11"/>
      <c r="BF4699" s="9"/>
      <c r="CF4699" s="12"/>
      <c r="CH4699" s="9"/>
    </row>
    <row r="4700" spans="6:86" x14ac:dyDescent="0.25">
      <c r="F4700" s="9"/>
      <c r="G4700" s="9"/>
      <c r="AA4700" s="10"/>
      <c r="AV4700" s="11"/>
      <c r="AW4700" s="11"/>
      <c r="BB4700" s="9"/>
      <c r="BC4700" s="11"/>
      <c r="BF4700" s="9"/>
      <c r="CH4700" s="9"/>
    </row>
    <row r="4701" spans="6:86" x14ac:dyDescent="0.25">
      <c r="F4701" s="9"/>
      <c r="G4701" s="9"/>
      <c r="AA4701" s="10"/>
      <c r="AV4701" s="11"/>
      <c r="AW4701" s="11"/>
      <c r="BB4701" s="9"/>
      <c r="BC4701" s="11"/>
      <c r="BF4701" s="9"/>
      <c r="CH4701" s="9"/>
    </row>
    <row r="4702" spans="6:86" x14ac:dyDescent="0.25">
      <c r="F4702" s="9"/>
      <c r="G4702" s="9"/>
      <c r="AA4702" s="10"/>
      <c r="AV4702" s="11"/>
      <c r="AW4702" s="11"/>
      <c r="BB4702" s="9"/>
      <c r="BC4702" s="11"/>
      <c r="BF4702" s="9"/>
      <c r="CF4702" s="12"/>
      <c r="CH4702" s="9"/>
    </row>
    <row r="4703" spans="6:86" x14ac:dyDescent="0.25">
      <c r="F4703" s="9"/>
      <c r="G4703" s="9"/>
      <c r="AA4703" s="10"/>
      <c r="AV4703" s="11"/>
      <c r="AW4703" s="11"/>
      <c r="BB4703" s="9"/>
      <c r="BC4703" s="11"/>
      <c r="BF4703" s="9"/>
      <c r="CF4703" s="12"/>
      <c r="CH4703" s="9"/>
    </row>
    <row r="4704" spans="6:86" x14ac:dyDescent="0.25">
      <c r="F4704" s="9"/>
      <c r="G4704" s="9"/>
      <c r="AA4704" s="10"/>
      <c r="AV4704" s="11"/>
      <c r="AW4704" s="11"/>
      <c r="BB4704" s="9"/>
      <c r="BC4704" s="11"/>
      <c r="BF4704" s="9"/>
      <c r="CF4704" s="12"/>
      <c r="CH4704" s="9"/>
    </row>
    <row r="4705" spans="6:86" x14ac:dyDescent="0.25">
      <c r="F4705" s="9"/>
      <c r="G4705" s="9"/>
      <c r="AA4705" s="10"/>
      <c r="AV4705" s="11"/>
      <c r="AW4705" s="11"/>
      <c r="BB4705" s="9"/>
      <c r="BC4705" s="11"/>
      <c r="BF4705" s="9"/>
      <c r="CF4705" s="12"/>
      <c r="CH4705" s="9"/>
    </row>
    <row r="4706" spans="6:86" x14ac:dyDescent="0.25">
      <c r="F4706" s="9"/>
      <c r="G4706" s="9"/>
      <c r="AA4706" s="10"/>
      <c r="AV4706" s="11"/>
      <c r="AW4706" s="11"/>
      <c r="BB4706" s="9"/>
      <c r="BC4706" s="11"/>
      <c r="BF4706" s="9"/>
      <c r="CF4706" s="12"/>
      <c r="CH4706" s="9"/>
    </row>
    <row r="4707" spans="6:86" x14ac:dyDescent="0.25">
      <c r="F4707" s="9"/>
      <c r="G4707" s="9"/>
      <c r="AA4707" s="10"/>
      <c r="AV4707" s="11"/>
      <c r="AW4707" s="11"/>
      <c r="BB4707" s="9"/>
      <c r="BC4707" s="11"/>
      <c r="BF4707" s="9"/>
      <c r="CH4707" s="9"/>
    </row>
    <row r="4708" spans="6:86" x14ac:dyDescent="0.25">
      <c r="F4708" s="9"/>
      <c r="G4708" s="9"/>
      <c r="AA4708" s="10"/>
      <c r="AV4708" s="11"/>
      <c r="AW4708" s="11"/>
      <c r="BB4708" s="9"/>
      <c r="BC4708" s="11"/>
      <c r="BF4708" s="9"/>
      <c r="CF4708" s="12"/>
      <c r="CH4708" s="9"/>
    </row>
    <row r="4709" spans="6:86" x14ac:dyDescent="0.25">
      <c r="F4709" s="9"/>
      <c r="G4709" s="9"/>
      <c r="AA4709" s="10"/>
      <c r="AV4709" s="11"/>
      <c r="AW4709" s="11"/>
      <c r="BB4709" s="9"/>
      <c r="BC4709" s="11"/>
      <c r="BF4709" s="9"/>
      <c r="CF4709" s="12"/>
      <c r="CH4709" s="9"/>
    </row>
    <row r="4710" spans="6:86" x14ac:dyDescent="0.25">
      <c r="F4710" s="9"/>
      <c r="G4710" s="9"/>
      <c r="AA4710" s="10"/>
      <c r="AV4710" s="11"/>
      <c r="AW4710" s="11"/>
      <c r="BB4710" s="9"/>
      <c r="BC4710" s="11"/>
      <c r="BF4710" s="9"/>
      <c r="CF4710" s="12"/>
      <c r="CH4710" s="9"/>
    </row>
    <row r="4711" spans="6:86" x14ac:dyDescent="0.25">
      <c r="F4711" s="9"/>
      <c r="G4711" s="9"/>
      <c r="AA4711" s="10"/>
      <c r="AV4711" s="11"/>
      <c r="AW4711" s="11"/>
      <c r="BB4711" s="9"/>
      <c r="BC4711" s="11"/>
      <c r="BF4711" s="9"/>
      <c r="CF4711" s="12"/>
      <c r="CH4711" s="9"/>
    </row>
    <row r="4712" spans="6:86" x14ac:dyDescent="0.25">
      <c r="F4712" s="9"/>
      <c r="G4712" s="9"/>
      <c r="AA4712" s="10"/>
      <c r="AV4712" s="11"/>
      <c r="AW4712" s="11"/>
      <c r="BB4712" s="9"/>
      <c r="BC4712" s="11"/>
      <c r="BF4712" s="9"/>
      <c r="CF4712" s="12"/>
      <c r="CH4712" s="9"/>
    </row>
    <row r="4713" spans="6:86" x14ac:dyDescent="0.25">
      <c r="F4713" s="9"/>
      <c r="G4713" s="9"/>
      <c r="AA4713" s="10"/>
      <c r="AV4713" s="11"/>
      <c r="AW4713" s="11"/>
      <c r="BB4713" s="9"/>
      <c r="BC4713" s="11"/>
      <c r="BF4713" s="9"/>
      <c r="CF4713" s="12"/>
      <c r="CH4713" s="9"/>
    </row>
    <row r="4714" spans="6:86" x14ac:dyDescent="0.25">
      <c r="F4714" s="9"/>
      <c r="G4714" s="9"/>
      <c r="AA4714" s="10"/>
      <c r="AV4714" s="11"/>
      <c r="AW4714" s="11"/>
      <c r="BB4714" s="9"/>
      <c r="BC4714" s="11"/>
      <c r="BF4714" s="9"/>
      <c r="CF4714" s="12"/>
      <c r="CH4714" s="9"/>
    </row>
    <row r="4715" spans="6:86" x14ac:dyDescent="0.25">
      <c r="F4715" s="9"/>
      <c r="G4715" s="9"/>
      <c r="AA4715" s="10"/>
      <c r="AV4715" s="11"/>
      <c r="AW4715" s="11"/>
      <c r="BB4715" s="9"/>
      <c r="BC4715" s="11"/>
      <c r="BF4715" s="9"/>
      <c r="CF4715" s="12"/>
      <c r="CH4715" s="9"/>
    </row>
    <row r="4716" spans="6:86" x14ac:dyDescent="0.25">
      <c r="F4716" s="9"/>
      <c r="G4716" s="9"/>
      <c r="AA4716" s="10"/>
      <c r="AV4716" s="11"/>
      <c r="AW4716" s="11"/>
      <c r="BB4716" s="9"/>
      <c r="BC4716" s="11"/>
      <c r="BF4716" s="9"/>
      <c r="CF4716" s="12"/>
      <c r="CH4716" s="9"/>
    </row>
    <row r="4717" spans="6:86" x14ac:dyDescent="0.25">
      <c r="F4717" s="9"/>
      <c r="G4717" s="9"/>
      <c r="AA4717" s="10"/>
      <c r="AV4717" s="11"/>
      <c r="AW4717" s="11"/>
      <c r="BB4717" s="9"/>
      <c r="BC4717" s="11"/>
      <c r="BF4717" s="9"/>
      <c r="CF4717" s="12"/>
      <c r="CH4717" s="9"/>
    </row>
    <row r="4718" spans="6:86" x14ac:dyDescent="0.25">
      <c r="F4718" s="9"/>
      <c r="G4718" s="9"/>
      <c r="AA4718" s="10"/>
      <c r="AV4718" s="11"/>
      <c r="AW4718" s="11"/>
      <c r="BB4718" s="9"/>
      <c r="BC4718" s="11"/>
      <c r="BF4718" s="9"/>
      <c r="CH4718" s="9"/>
    </row>
    <row r="4719" spans="6:86" x14ac:dyDescent="0.25">
      <c r="F4719" s="9"/>
      <c r="G4719" s="9"/>
      <c r="AA4719" s="10"/>
      <c r="AV4719" s="11"/>
      <c r="AW4719" s="11"/>
      <c r="BB4719" s="9"/>
      <c r="BC4719" s="11"/>
      <c r="BF4719" s="9"/>
      <c r="CF4719" s="12"/>
      <c r="CH4719" s="9"/>
    </row>
    <row r="4720" spans="6:86" x14ac:dyDescent="0.25">
      <c r="F4720" s="9"/>
      <c r="G4720" s="9"/>
      <c r="AA4720" s="10"/>
      <c r="AV4720" s="11"/>
      <c r="AW4720" s="11"/>
      <c r="BB4720" s="9"/>
      <c r="BC4720" s="11"/>
      <c r="BF4720" s="9"/>
      <c r="CF4720" s="12"/>
      <c r="CH4720" s="9"/>
    </row>
    <row r="4721" spans="6:92" x14ac:dyDescent="0.25">
      <c r="F4721" s="9"/>
      <c r="G4721" s="9"/>
      <c r="AA4721" s="10"/>
      <c r="AV4721" s="11"/>
      <c r="AW4721" s="11"/>
      <c r="BB4721" s="9"/>
      <c r="BC4721" s="11"/>
      <c r="BF4721" s="9"/>
      <c r="CF4721" s="12"/>
      <c r="CH4721" s="9"/>
    </row>
    <row r="4722" spans="6:92" x14ac:dyDescent="0.25">
      <c r="F4722" s="9"/>
      <c r="G4722" s="9"/>
      <c r="AA4722" s="10"/>
      <c r="AV4722" s="11"/>
      <c r="AW4722" s="11"/>
      <c r="BB4722" s="9"/>
      <c r="BC4722" s="11"/>
      <c r="BF4722" s="9"/>
      <c r="CF4722" s="12"/>
      <c r="CH4722" s="9"/>
    </row>
    <row r="4723" spans="6:92" x14ac:dyDescent="0.25">
      <c r="F4723" s="9"/>
      <c r="G4723" s="9"/>
      <c r="AA4723" s="10"/>
      <c r="AV4723" s="11"/>
      <c r="AW4723" s="11"/>
      <c r="BB4723" s="9"/>
      <c r="BC4723" s="11"/>
      <c r="BF4723" s="9"/>
      <c r="CF4723" s="12"/>
      <c r="CH4723" s="9"/>
    </row>
    <row r="4724" spans="6:92" x14ac:dyDescent="0.25">
      <c r="F4724" s="9"/>
      <c r="G4724" s="9"/>
      <c r="AA4724" s="10"/>
      <c r="AV4724" s="11"/>
      <c r="AW4724" s="11"/>
      <c r="BB4724" s="9"/>
      <c r="BC4724" s="11"/>
      <c r="BF4724" s="9"/>
      <c r="CH4724" s="9"/>
    </row>
    <row r="4725" spans="6:92" x14ac:dyDescent="0.25">
      <c r="F4725" s="9"/>
      <c r="G4725" s="9"/>
      <c r="AA4725" s="10"/>
      <c r="AV4725" s="11"/>
      <c r="AW4725" s="11"/>
      <c r="BB4725" s="9"/>
      <c r="BC4725" s="11"/>
      <c r="BF4725" s="9"/>
      <c r="CF4725" s="12"/>
      <c r="CH4725" s="9"/>
    </row>
    <row r="4726" spans="6:92" x14ac:dyDescent="0.25">
      <c r="F4726" s="9"/>
      <c r="G4726" s="9"/>
      <c r="U4726" s="12"/>
      <c r="Z4726" s="12"/>
      <c r="AA4726" s="10"/>
      <c r="AV4726" s="11"/>
      <c r="AW4726" s="11"/>
      <c r="BB4726" s="9"/>
      <c r="BC4726" s="11"/>
      <c r="BF4726" s="9"/>
      <c r="CF4726" s="12"/>
      <c r="CH4726" s="9"/>
      <c r="CN4726" s="12"/>
    </row>
    <row r="4727" spans="6:92" x14ac:dyDescent="0.25">
      <c r="F4727" s="9"/>
      <c r="G4727" s="9"/>
      <c r="AA4727" s="10"/>
      <c r="AV4727" s="11"/>
      <c r="AW4727" s="11"/>
      <c r="BB4727" s="9"/>
      <c r="BC4727" s="11"/>
      <c r="BF4727" s="9"/>
      <c r="CF4727" s="12"/>
      <c r="CH4727" s="9"/>
    </row>
    <row r="4728" spans="6:92" x14ac:dyDescent="0.25">
      <c r="F4728" s="9"/>
      <c r="G4728" s="9"/>
      <c r="AA4728" s="10"/>
      <c r="AV4728" s="11"/>
      <c r="AW4728" s="11"/>
      <c r="BB4728" s="9"/>
      <c r="BC4728" s="11"/>
      <c r="BF4728" s="9"/>
      <c r="CF4728" s="12"/>
      <c r="CH4728" s="9"/>
    </row>
    <row r="4729" spans="6:92" x14ac:dyDescent="0.25">
      <c r="F4729" s="9"/>
      <c r="G4729" s="9"/>
      <c r="AA4729" s="10"/>
      <c r="AV4729" s="11"/>
      <c r="AW4729" s="11"/>
      <c r="BB4729" s="9"/>
      <c r="BC4729" s="11"/>
      <c r="BF4729" s="9"/>
      <c r="CF4729" s="12"/>
      <c r="CH4729" s="9"/>
    </row>
    <row r="4730" spans="6:92" x14ac:dyDescent="0.25">
      <c r="F4730" s="9"/>
      <c r="G4730" s="9"/>
      <c r="AA4730" s="10"/>
      <c r="AV4730" s="11"/>
      <c r="AW4730" s="11"/>
      <c r="BB4730" s="9"/>
      <c r="BC4730" s="11"/>
      <c r="BF4730" s="9"/>
      <c r="CF4730" s="12"/>
      <c r="CH4730" s="9"/>
    </row>
    <row r="4731" spans="6:92" x14ac:dyDescent="0.25">
      <c r="F4731" s="9"/>
      <c r="G4731" s="9"/>
      <c r="AA4731" s="10"/>
      <c r="AV4731" s="11"/>
      <c r="AW4731" s="11"/>
      <c r="BB4731" s="9"/>
      <c r="BC4731" s="11"/>
      <c r="BF4731" s="9"/>
      <c r="CF4731" s="12"/>
      <c r="CH4731" s="9"/>
    </row>
    <row r="4732" spans="6:92" x14ac:dyDescent="0.25">
      <c r="F4732" s="9"/>
      <c r="G4732" s="9"/>
      <c r="AA4732" s="10"/>
      <c r="AV4732" s="11"/>
      <c r="AW4732" s="11"/>
      <c r="BB4732" s="9"/>
      <c r="BC4732" s="11"/>
      <c r="BF4732" s="9"/>
      <c r="CH4732" s="9"/>
    </row>
    <row r="4733" spans="6:92" x14ac:dyDescent="0.25">
      <c r="F4733" s="9"/>
      <c r="G4733" s="9"/>
      <c r="AA4733" s="10"/>
      <c r="AV4733" s="11"/>
      <c r="AW4733" s="11"/>
      <c r="BB4733" s="9"/>
      <c r="BC4733" s="11"/>
      <c r="BF4733" s="9"/>
      <c r="CF4733" s="12"/>
      <c r="CH4733" s="9"/>
    </row>
    <row r="4734" spans="6:92" x14ac:dyDescent="0.25">
      <c r="F4734" s="9"/>
      <c r="G4734" s="9"/>
      <c r="AA4734" s="10"/>
      <c r="AV4734" s="11"/>
      <c r="AW4734" s="11"/>
      <c r="BB4734" s="9"/>
      <c r="BC4734" s="11"/>
      <c r="BF4734" s="9"/>
      <c r="CF4734" s="12"/>
      <c r="CH4734" s="9"/>
    </row>
    <row r="4735" spans="6:92" x14ac:dyDescent="0.25">
      <c r="F4735" s="9"/>
      <c r="G4735" s="9"/>
      <c r="AA4735" s="10"/>
      <c r="AV4735" s="11"/>
      <c r="AW4735" s="11"/>
      <c r="BB4735" s="9"/>
      <c r="BC4735" s="11"/>
      <c r="BF4735" s="9"/>
      <c r="CF4735" s="12"/>
      <c r="CH4735" s="9"/>
    </row>
    <row r="4736" spans="6:92" x14ac:dyDescent="0.25">
      <c r="F4736" s="9"/>
      <c r="G4736" s="9"/>
      <c r="AA4736" s="10"/>
      <c r="AV4736" s="11"/>
      <c r="AW4736" s="11"/>
      <c r="BB4736" s="9"/>
      <c r="BC4736" s="11"/>
      <c r="BF4736" s="9"/>
      <c r="CF4736" s="12"/>
      <c r="CH4736" s="9"/>
    </row>
    <row r="4737" spans="6:86" x14ac:dyDescent="0.25">
      <c r="F4737" s="9"/>
      <c r="G4737" s="9"/>
      <c r="AA4737" s="10"/>
      <c r="AV4737" s="11"/>
      <c r="AW4737" s="11"/>
      <c r="BB4737" s="9"/>
      <c r="BC4737" s="11"/>
      <c r="BF4737" s="9"/>
      <c r="CF4737" s="12"/>
      <c r="CH4737" s="9"/>
    </row>
    <row r="4738" spans="6:86" x14ac:dyDescent="0.25">
      <c r="F4738" s="9"/>
      <c r="G4738" s="9"/>
      <c r="AA4738" s="10"/>
      <c r="AV4738" s="11"/>
      <c r="AW4738" s="11"/>
      <c r="BB4738" s="9"/>
      <c r="BC4738" s="11"/>
      <c r="BF4738" s="9"/>
      <c r="CF4738" s="12"/>
      <c r="CH4738" s="9"/>
    </row>
    <row r="4739" spans="6:86" x14ac:dyDescent="0.25">
      <c r="F4739" s="9"/>
      <c r="G4739" s="9"/>
      <c r="AA4739" s="10"/>
      <c r="AV4739" s="11"/>
      <c r="AW4739" s="11"/>
      <c r="BB4739" s="9"/>
      <c r="BC4739" s="11"/>
      <c r="BF4739" s="9"/>
      <c r="CF4739" s="12"/>
      <c r="CH4739" s="9"/>
    </row>
    <row r="4740" spans="6:86" x14ac:dyDescent="0.25">
      <c r="F4740" s="9"/>
      <c r="G4740" s="9"/>
      <c r="AA4740" s="10"/>
      <c r="AV4740" s="11"/>
      <c r="AW4740" s="11"/>
      <c r="BB4740" s="9"/>
      <c r="BC4740" s="11"/>
      <c r="BF4740" s="9"/>
      <c r="CF4740" s="12"/>
      <c r="CH4740" s="9"/>
    </row>
    <row r="4741" spans="6:86" x14ac:dyDescent="0.25">
      <c r="F4741" s="9"/>
      <c r="G4741" s="9"/>
      <c r="AA4741" s="10"/>
      <c r="AV4741" s="11"/>
      <c r="AW4741" s="11"/>
      <c r="BB4741" s="9"/>
      <c r="BC4741" s="11"/>
      <c r="BF4741" s="9"/>
      <c r="CF4741" s="12"/>
      <c r="CH4741" s="9"/>
    </row>
    <row r="4742" spans="6:86" x14ac:dyDescent="0.25">
      <c r="F4742" s="9"/>
      <c r="G4742" s="9"/>
      <c r="AA4742" s="10"/>
      <c r="AV4742" s="11"/>
      <c r="AW4742" s="11"/>
      <c r="BB4742" s="9"/>
      <c r="BC4742" s="11"/>
      <c r="BF4742" s="9"/>
      <c r="CF4742" s="12"/>
      <c r="CH4742" s="9"/>
    </row>
    <row r="4743" spans="6:86" x14ac:dyDescent="0.25">
      <c r="F4743" s="9"/>
      <c r="G4743" s="9"/>
      <c r="AA4743" s="10"/>
      <c r="AV4743" s="11"/>
      <c r="AW4743" s="11"/>
      <c r="BB4743" s="9"/>
      <c r="BC4743" s="11"/>
      <c r="BF4743" s="9"/>
      <c r="CH4743" s="9"/>
    </row>
    <row r="4744" spans="6:86" x14ac:dyDescent="0.25">
      <c r="F4744" s="9"/>
      <c r="G4744" s="9"/>
      <c r="AA4744" s="10"/>
      <c r="AV4744" s="11"/>
      <c r="AW4744" s="11"/>
      <c r="BB4744" s="9"/>
      <c r="BC4744" s="11"/>
      <c r="BF4744" s="9"/>
      <c r="CF4744" s="12"/>
      <c r="CH4744" s="9"/>
    </row>
    <row r="4745" spans="6:86" x14ac:dyDescent="0.25">
      <c r="F4745" s="9"/>
      <c r="G4745" s="9"/>
      <c r="AA4745" s="10"/>
      <c r="AV4745" s="11"/>
      <c r="AW4745" s="11"/>
      <c r="BB4745" s="9"/>
      <c r="BC4745" s="11"/>
      <c r="BF4745" s="9"/>
      <c r="CF4745" s="12"/>
      <c r="CH4745" s="9"/>
    </row>
    <row r="4746" spans="6:86" x14ac:dyDescent="0.25">
      <c r="F4746" s="9"/>
      <c r="G4746" s="9"/>
      <c r="AA4746" s="10"/>
      <c r="AV4746" s="11"/>
      <c r="AW4746" s="11"/>
      <c r="BB4746" s="9"/>
      <c r="BC4746" s="11"/>
      <c r="BF4746" s="9"/>
      <c r="CF4746" s="12"/>
      <c r="CH4746" s="9"/>
    </row>
    <row r="4747" spans="6:86" x14ac:dyDescent="0.25">
      <c r="F4747" s="9"/>
      <c r="G4747" s="9"/>
      <c r="AA4747" s="10"/>
      <c r="AV4747" s="11"/>
      <c r="AW4747" s="11"/>
      <c r="BB4747" s="9"/>
      <c r="BC4747" s="11"/>
      <c r="BF4747" s="9"/>
      <c r="CH4747" s="9"/>
    </row>
    <row r="4748" spans="6:86" x14ac:dyDescent="0.25">
      <c r="F4748" s="9"/>
      <c r="G4748" s="9"/>
      <c r="AA4748" s="10"/>
      <c r="AV4748" s="11"/>
      <c r="AW4748" s="11"/>
      <c r="BB4748" s="9"/>
      <c r="BC4748" s="11"/>
      <c r="BF4748" s="9"/>
      <c r="CF4748" s="12"/>
      <c r="CH4748" s="9"/>
    </row>
    <row r="4749" spans="6:86" x14ac:dyDescent="0.25">
      <c r="F4749" s="9"/>
      <c r="G4749" s="9"/>
      <c r="AA4749" s="10"/>
      <c r="AV4749" s="11"/>
      <c r="AW4749" s="11"/>
      <c r="BB4749" s="9"/>
      <c r="BC4749" s="11"/>
      <c r="BF4749" s="9"/>
      <c r="CF4749" s="12"/>
      <c r="CH4749" s="9"/>
    </row>
    <row r="4750" spans="6:86" x14ac:dyDescent="0.25">
      <c r="F4750" s="9"/>
      <c r="G4750" s="9"/>
      <c r="AA4750" s="10"/>
      <c r="AV4750" s="11"/>
      <c r="AW4750" s="11"/>
      <c r="BB4750" s="9"/>
      <c r="BC4750" s="11"/>
      <c r="BF4750" s="9"/>
      <c r="CH4750" s="9"/>
    </row>
    <row r="4751" spans="6:86" x14ac:dyDescent="0.25">
      <c r="F4751" s="9"/>
      <c r="G4751" s="9"/>
      <c r="AA4751" s="10"/>
      <c r="AV4751" s="11"/>
      <c r="AW4751" s="11"/>
      <c r="BB4751" s="9"/>
      <c r="BC4751" s="11"/>
      <c r="BF4751" s="9"/>
      <c r="CF4751" s="12"/>
      <c r="CH4751" s="9"/>
    </row>
    <row r="4752" spans="6:86" x14ac:dyDescent="0.25">
      <c r="F4752" s="9"/>
      <c r="G4752" s="9"/>
      <c r="AA4752" s="10"/>
      <c r="AV4752" s="11"/>
      <c r="AW4752" s="11"/>
      <c r="BB4752" s="9"/>
      <c r="BC4752" s="11"/>
      <c r="BF4752" s="9"/>
      <c r="CH4752" s="9"/>
    </row>
    <row r="4753" spans="6:86" x14ac:dyDescent="0.25">
      <c r="F4753" s="9"/>
      <c r="G4753" s="9"/>
      <c r="AA4753" s="10"/>
      <c r="AV4753" s="11"/>
      <c r="AW4753" s="11"/>
      <c r="BB4753" s="9"/>
      <c r="BC4753" s="11"/>
      <c r="BF4753" s="9"/>
      <c r="CF4753" s="12"/>
      <c r="CH4753" s="9"/>
    </row>
    <row r="4754" spans="6:86" x14ac:dyDescent="0.25">
      <c r="F4754" s="9"/>
      <c r="G4754" s="9"/>
      <c r="AA4754" s="10"/>
      <c r="AV4754" s="11"/>
      <c r="AW4754" s="11"/>
      <c r="BB4754" s="9"/>
      <c r="BC4754" s="11"/>
      <c r="BF4754" s="9"/>
      <c r="CF4754" s="12"/>
      <c r="CH4754" s="9"/>
    </row>
    <row r="4755" spans="6:86" x14ac:dyDescent="0.25">
      <c r="F4755" s="9"/>
      <c r="G4755" s="9"/>
      <c r="AA4755" s="10"/>
      <c r="AV4755" s="11"/>
      <c r="AW4755" s="11"/>
      <c r="BB4755" s="9"/>
      <c r="BC4755" s="11"/>
      <c r="BF4755" s="9"/>
      <c r="CF4755" s="12"/>
      <c r="CH4755" s="9"/>
    </row>
    <row r="4756" spans="6:86" x14ac:dyDescent="0.25">
      <c r="F4756" s="9"/>
      <c r="G4756" s="9"/>
      <c r="AA4756" s="10"/>
      <c r="AV4756" s="11"/>
      <c r="AW4756" s="11"/>
      <c r="BB4756" s="9"/>
      <c r="BC4756" s="11"/>
      <c r="BF4756" s="9"/>
      <c r="CH4756" s="9"/>
    </row>
    <row r="4757" spans="6:86" x14ac:dyDescent="0.25">
      <c r="F4757" s="9"/>
      <c r="G4757" s="9"/>
      <c r="AA4757" s="10"/>
      <c r="AV4757" s="11"/>
      <c r="AW4757" s="11"/>
      <c r="BB4757" s="9"/>
      <c r="BC4757" s="11"/>
      <c r="BF4757" s="9"/>
      <c r="CH4757" s="9"/>
    </row>
    <row r="4758" spans="6:86" x14ac:dyDescent="0.25">
      <c r="F4758" s="9"/>
      <c r="G4758" s="9"/>
      <c r="AA4758" s="10"/>
      <c r="AV4758" s="11"/>
      <c r="AW4758" s="11"/>
      <c r="BB4758" s="9"/>
      <c r="BC4758" s="11"/>
      <c r="BF4758" s="9"/>
      <c r="CH4758" s="9"/>
    </row>
    <row r="4759" spans="6:86" x14ac:dyDescent="0.25">
      <c r="F4759" s="9"/>
      <c r="G4759" s="9"/>
      <c r="AA4759" s="10"/>
      <c r="AV4759" s="11"/>
      <c r="AW4759" s="11"/>
      <c r="BB4759" s="9"/>
      <c r="BC4759" s="11"/>
      <c r="BF4759" s="9"/>
      <c r="CF4759" s="12"/>
      <c r="CH4759" s="9"/>
    </row>
    <row r="4760" spans="6:86" x14ac:dyDescent="0.25">
      <c r="F4760" s="9"/>
      <c r="G4760" s="9"/>
      <c r="AA4760" s="10"/>
      <c r="AV4760" s="11"/>
      <c r="AW4760" s="11"/>
      <c r="BB4760" s="9"/>
      <c r="BC4760" s="11"/>
      <c r="BF4760" s="9"/>
      <c r="CF4760" s="12"/>
      <c r="CH4760" s="9"/>
    </row>
    <row r="4761" spans="6:86" x14ac:dyDescent="0.25">
      <c r="F4761" s="9"/>
      <c r="G4761" s="9"/>
      <c r="AA4761" s="10"/>
      <c r="AV4761" s="11"/>
      <c r="AW4761" s="11"/>
      <c r="BB4761" s="9"/>
      <c r="BC4761" s="11"/>
      <c r="BF4761" s="9"/>
      <c r="CF4761" s="12"/>
      <c r="CH4761" s="9"/>
    </row>
    <row r="4762" spans="6:86" x14ac:dyDescent="0.25">
      <c r="F4762" s="9"/>
      <c r="G4762" s="9"/>
      <c r="AA4762" s="10"/>
      <c r="AV4762" s="11"/>
      <c r="AW4762" s="11"/>
      <c r="BB4762" s="9"/>
      <c r="BC4762" s="11"/>
      <c r="BF4762" s="9"/>
      <c r="CF4762" s="12"/>
      <c r="CH4762" s="9"/>
    </row>
    <row r="4763" spans="6:86" x14ac:dyDescent="0.25">
      <c r="F4763" s="9"/>
      <c r="G4763" s="9"/>
      <c r="AA4763" s="10"/>
      <c r="AV4763" s="11"/>
      <c r="AW4763" s="11"/>
      <c r="BB4763" s="9"/>
      <c r="BC4763" s="11"/>
      <c r="BF4763" s="9"/>
      <c r="CF4763" s="12"/>
      <c r="CH4763" s="9"/>
    </row>
    <row r="4764" spans="6:86" x14ac:dyDescent="0.25">
      <c r="F4764" s="9"/>
      <c r="G4764" s="9"/>
      <c r="AA4764" s="10"/>
      <c r="AV4764" s="11"/>
      <c r="AW4764" s="11"/>
      <c r="BB4764" s="9"/>
      <c r="BC4764" s="11"/>
      <c r="BF4764" s="9"/>
      <c r="CF4764" s="12"/>
      <c r="CH4764" s="9"/>
    </row>
    <row r="4765" spans="6:86" x14ac:dyDescent="0.25">
      <c r="F4765" s="9"/>
      <c r="G4765" s="9"/>
      <c r="AA4765" s="10"/>
      <c r="AV4765" s="11"/>
      <c r="AW4765" s="11"/>
      <c r="BB4765" s="9"/>
      <c r="BC4765" s="11"/>
      <c r="BF4765" s="9"/>
      <c r="CF4765" s="12"/>
      <c r="CH4765" s="9"/>
    </row>
    <row r="4766" spans="6:86" x14ac:dyDescent="0.25">
      <c r="F4766" s="9"/>
      <c r="G4766" s="9"/>
      <c r="AA4766" s="10"/>
      <c r="AV4766" s="11"/>
      <c r="AW4766" s="11"/>
      <c r="BB4766" s="9"/>
      <c r="BC4766" s="11"/>
      <c r="BF4766" s="9"/>
      <c r="CF4766" s="12"/>
      <c r="CH4766" s="9"/>
    </row>
    <row r="4767" spans="6:86" x14ac:dyDescent="0.25">
      <c r="F4767" s="9"/>
      <c r="G4767" s="9"/>
      <c r="AA4767" s="10"/>
      <c r="AV4767" s="11"/>
      <c r="AW4767" s="11"/>
      <c r="BB4767" s="9"/>
      <c r="BC4767" s="11"/>
      <c r="BF4767" s="9"/>
      <c r="CF4767" s="12"/>
      <c r="CH4767" s="9"/>
    </row>
    <row r="4768" spans="6:86" x14ac:dyDescent="0.25">
      <c r="F4768" s="9"/>
      <c r="G4768" s="9"/>
      <c r="AA4768" s="10"/>
      <c r="AV4768" s="11"/>
      <c r="AW4768" s="11"/>
      <c r="BB4768" s="9"/>
      <c r="BC4768" s="11"/>
      <c r="BF4768" s="9"/>
      <c r="CF4768" s="12"/>
      <c r="CH4768" s="9"/>
    </row>
    <row r="4769" spans="6:92" x14ac:dyDescent="0.25">
      <c r="F4769" s="9"/>
      <c r="G4769" s="9"/>
      <c r="AA4769" s="10"/>
      <c r="AV4769" s="11"/>
      <c r="AW4769" s="11"/>
      <c r="BB4769" s="9"/>
      <c r="BC4769" s="11"/>
      <c r="BF4769" s="9"/>
      <c r="CF4769" s="12"/>
      <c r="CH4769" s="9"/>
    </row>
    <row r="4770" spans="6:92" x14ac:dyDescent="0.25">
      <c r="F4770" s="9"/>
      <c r="G4770" s="9"/>
      <c r="AA4770" s="10"/>
      <c r="AV4770" s="11"/>
      <c r="AW4770" s="11"/>
      <c r="BB4770" s="9"/>
      <c r="BC4770" s="11"/>
      <c r="BF4770" s="9"/>
      <c r="CF4770" s="12"/>
      <c r="CH4770" s="9"/>
    </row>
    <row r="4771" spans="6:92" x14ac:dyDescent="0.25">
      <c r="F4771" s="9"/>
      <c r="G4771" s="9"/>
      <c r="AA4771" s="10"/>
      <c r="AV4771" s="11"/>
      <c r="AW4771" s="11"/>
      <c r="BB4771" s="9"/>
      <c r="BC4771" s="11"/>
      <c r="BF4771" s="9"/>
      <c r="CF4771" s="12"/>
      <c r="CH4771" s="9"/>
    </row>
    <row r="4772" spans="6:92" x14ac:dyDescent="0.25">
      <c r="F4772" s="9"/>
      <c r="G4772" s="9"/>
      <c r="AA4772" s="10"/>
      <c r="AV4772" s="11"/>
      <c r="AW4772" s="11"/>
      <c r="BB4772" s="9"/>
      <c r="BC4772" s="11"/>
      <c r="BF4772" s="9"/>
      <c r="CH4772" s="9"/>
    </row>
    <row r="4773" spans="6:92" x14ac:dyDescent="0.25">
      <c r="F4773" s="9"/>
      <c r="G4773" s="9"/>
      <c r="AA4773" s="10"/>
      <c r="AV4773" s="11"/>
      <c r="AW4773" s="11"/>
      <c r="BB4773" s="9"/>
      <c r="BC4773" s="11"/>
      <c r="BF4773" s="9"/>
      <c r="CF4773" s="12"/>
      <c r="CH4773" s="9"/>
      <c r="CN4773" s="12"/>
    </row>
    <row r="4774" spans="6:92" x14ac:dyDescent="0.25">
      <c r="F4774" s="9"/>
      <c r="G4774" s="9"/>
      <c r="AA4774" s="10"/>
      <c r="AV4774" s="11"/>
      <c r="AW4774" s="11"/>
      <c r="BB4774" s="9"/>
      <c r="BC4774" s="11"/>
      <c r="BF4774" s="9"/>
      <c r="CF4774" s="12"/>
      <c r="CH4774" s="9"/>
    </row>
    <row r="4775" spans="6:92" x14ac:dyDescent="0.25">
      <c r="F4775" s="9"/>
      <c r="G4775" s="9"/>
      <c r="AA4775" s="10"/>
      <c r="AV4775" s="11"/>
      <c r="AW4775" s="11"/>
      <c r="BB4775" s="9"/>
      <c r="BC4775" s="11"/>
      <c r="BF4775" s="9"/>
      <c r="CF4775" s="12"/>
      <c r="CH4775" s="9"/>
    </row>
    <row r="4776" spans="6:92" x14ac:dyDescent="0.25">
      <c r="F4776" s="9"/>
      <c r="G4776" s="9"/>
      <c r="AA4776" s="10"/>
      <c r="AV4776" s="11"/>
      <c r="AW4776" s="11"/>
      <c r="BB4776" s="9"/>
      <c r="BC4776" s="11"/>
      <c r="BF4776" s="9"/>
      <c r="CF4776" s="12"/>
      <c r="CH4776" s="9"/>
    </row>
    <row r="4777" spans="6:92" x14ac:dyDescent="0.25">
      <c r="F4777" s="9"/>
      <c r="G4777" s="9"/>
      <c r="AA4777" s="10"/>
      <c r="AV4777" s="11"/>
      <c r="AW4777" s="11"/>
      <c r="BB4777" s="9"/>
      <c r="BC4777" s="11"/>
      <c r="BF4777" s="9"/>
      <c r="CF4777" s="12"/>
      <c r="CH4777" s="9"/>
    </row>
    <row r="4778" spans="6:92" x14ac:dyDescent="0.25">
      <c r="F4778" s="9"/>
      <c r="G4778" s="9"/>
      <c r="AA4778" s="10"/>
      <c r="AV4778" s="11"/>
      <c r="AW4778" s="11"/>
      <c r="BB4778" s="9"/>
      <c r="BC4778" s="11"/>
      <c r="BF4778" s="9"/>
      <c r="CF4778" s="12"/>
      <c r="CH4778" s="9"/>
    </row>
    <row r="4779" spans="6:92" x14ac:dyDescent="0.25">
      <c r="F4779" s="9"/>
      <c r="G4779" s="9"/>
      <c r="AA4779" s="10"/>
      <c r="AV4779" s="11"/>
      <c r="AW4779" s="11"/>
      <c r="BB4779" s="9"/>
      <c r="BC4779" s="11"/>
      <c r="BF4779" s="9"/>
      <c r="CF4779" s="12"/>
      <c r="CH4779" s="9"/>
    </row>
    <row r="4780" spans="6:92" x14ac:dyDescent="0.25">
      <c r="F4780" s="9"/>
      <c r="G4780" s="9"/>
      <c r="AA4780" s="10"/>
      <c r="AV4780" s="11"/>
      <c r="AW4780" s="11"/>
      <c r="BB4780" s="9"/>
      <c r="BC4780" s="11"/>
      <c r="BF4780" s="9"/>
      <c r="CF4780" s="12"/>
      <c r="CH4780" s="9"/>
    </row>
    <row r="4781" spans="6:92" x14ac:dyDescent="0.25">
      <c r="F4781" s="9"/>
      <c r="G4781" s="9"/>
      <c r="AA4781" s="10"/>
      <c r="AV4781" s="11"/>
      <c r="AW4781" s="11"/>
      <c r="BB4781" s="9"/>
      <c r="BC4781" s="11"/>
      <c r="BF4781" s="9"/>
      <c r="CF4781" s="12"/>
      <c r="CH4781" s="9"/>
    </row>
    <row r="4782" spans="6:92" x14ac:dyDescent="0.25">
      <c r="F4782" s="9"/>
      <c r="G4782" s="9"/>
      <c r="AA4782" s="10"/>
      <c r="AV4782" s="11"/>
      <c r="AW4782" s="11"/>
      <c r="BB4782" s="9"/>
      <c r="BC4782" s="11"/>
      <c r="BF4782" s="9"/>
      <c r="CF4782" s="12"/>
      <c r="CH4782" s="9"/>
    </row>
    <row r="4783" spans="6:92" x14ac:dyDescent="0.25">
      <c r="F4783" s="9"/>
      <c r="G4783" s="9"/>
      <c r="AA4783" s="10"/>
      <c r="AV4783" s="11"/>
      <c r="AW4783" s="11"/>
      <c r="BB4783" s="9"/>
      <c r="BC4783" s="11"/>
      <c r="BF4783" s="9"/>
      <c r="CF4783" s="12"/>
      <c r="CH4783" s="9"/>
    </row>
    <row r="4784" spans="6:92" x14ac:dyDescent="0.25">
      <c r="F4784" s="9"/>
      <c r="G4784" s="9"/>
      <c r="AA4784" s="10"/>
      <c r="AV4784" s="11"/>
      <c r="AW4784" s="11"/>
      <c r="BB4784" s="9"/>
      <c r="BC4784" s="11"/>
      <c r="BF4784" s="9"/>
      <c r="CF4784" s="12"/>
      <c r="CH4784" s="9"/>
    </row>
    <row r="4785" spans="6:86" x14ac:dyDescent="0.25">
      <c r="F4785" s="9"/>
      <c r="G4785" s="9"/>
      <c r="AA4785" s="10"/>
      <c r="AV4785" s="11"/>
      <c r="AW4785" s="11"/>
      <c r="BB4785" s="9"/>
      <c r="BC4785" s="11"/>
      <c r="BF4785" s="9"/>
      <c r="CH4785" s="9"/>
    </row>
    <row r="4786" spans="6:86" x14ac:dyDescent="0.25">
      <c r="F4786" s="9"/>
      <c r="G4786" s="9"/>
      <c r="AA4786" s="10"/>
      <c r="AV4786" s="11"/>
      <c r="AW4786" s="11"/>
      <c r="BB4786" s="9"/>
      <c r="BC4786" s="11"/>
      <c r="BF4786" s="9"/>
      <c r="CF4786" s="12"/>
      <c r="CH4786" s="9"/>
    </row>
    <row r="4787" spans="6:86" x14ac:dyDescent="0.25">
      <c r="F4787" s="9"/>
      <c r="G4787" s="9"/>
      <c r="AA4787" s="10"/>
      <c r="AV4787" s="11"/>
      <c r="AW4787" s="11"/>
      <c r="BB4787" s="9"/>
      <c r="BC4787" s="11"/>
      <c r="BF4787" s="9"/>
      <c r="CF4787" s="12"/>
      <c r="CH4787" s="9"/>
    </row>
    <row r="4788" spans="6:86" x14ac:dyDescent="0.25">
      <c r="F4788" s="9"/>
      <c r="G4788" s="9"/>
      <c r="AA4788" s="10"/>
      <c r="AV4788" s="11"/>
      <c r="AW4788" s="11"/>
      <c r="BB4788" s="9"/>
      <c r="BC4788" s="11"/>
      <c r="BF4788" s="9"/>
      <c r="CF4788" s="12"/>
      <c r="CH4788" s="9"/>
    </row>
    <row r="4789" spans="6:86" x14ac:dyDescent="0.25">
      <c r="F4789" s="9"/>
      <c r="G4789" s="9"/>
      <c r="AA4789" s="10"/>
      <c r="AV4789" s="11"/>
      <c r="AW4789" s="11"/>
      <c r="BB4789" s="9"/>
      <c r="BC4789" s="11"/>
      <c r="BF4789" s="9"/>
      <c r="CF4789" s="12"/>
      <c r="CH4789" s="9"/>
    </row>
    <row r="4790" spans="6:86" x14ac:dyDescent="0.25">
      <c r="F4790" s="9"/>
      <c r="G4790" s="9"/>
      <c r="AA4790" s="10"/>
      <c r="AV4790" s="11"/>
      <c r="AW4790" s="11"/>
      <c r="BB4790" s="9"/>
      <c r="BC4790" s="11"/>
      <c r="BF4790" s="9"/>
      <c r="CF4790" s="12"/>
      <c r="CH4790" s="9"/>
    </row>
    <row r="4791" spans="6:86" x14ac:dyDescent="0.25">
      <c r="F4791" s="9"/>
      <c r="G4791" s="9"/>
      <c r="AA4791" s="10"/>
      <c r="AV4791" s="11"/>
      <c r="AW4791" s="11"/>
      <c r="BB4791" s="9"/>
      <c r="BC4791" s="11"/>
      <c r="BF4791" s="9"/>
      <c r="CF4791" s="12"/>
      <c r="CH4791" s="9"/>
    </row>
    <row r="4792" spans="6:86" x14ac:dyDescent="0.25">
      <c r="F4792" s="9"/>
      <c r="G4792" s="9"/>
      <c r="AA4792" s="10"/>
      <c r="AV4792" s="11"/>
      <c r="AW4792" s="11"/>
      <c r="BB4792" s="9"/>
      <c r="BC4792" s="11"/>
      <c r="BF4792" s="9"/>
      <c r="CF4792" s="12"/>
      <c r="CH4792" s="9"/>
    </row>
    <row r="4793" spans="6:86" x14ac:dyDescent="0.25">
      <c r="F4793" s="9"/>
      <c r="G4793" s="9"/>
      <c r="AA4793" s="10"/>
      <c r="AV4793" s="11"/>
      <c r="AW4793" s="11"/>
      <c r="BB4793" s="9"/>
      <c r="BC4793" s="11"/>
      <c r="BF4793" s="9"/>
      <c r="CF4793" s="12"/>
      <c r="CH4793" s="9"/>
    </row>
    <row r="4794" spans="6:86" x14ac:dyDescent="0.25">
      <c r="F4794" s="9"/>
      <c r="G4794" s="9"/>
      <c r="AA4794" s="10"/>
      <c r="AV4794" s="11"/>
      <c r="AW4794" s="11"/>
      <c r="BB4794" s="9"/>
      <c r="BC4794" s="11"/>
      <c r="BF4794" s="9"/>
      <c r="CF4794" s="12"/>
      <c r="CH4794" s="9"/>
    </row>
    <row r="4795" spans="6:86" x14ac:dyDescent="0.25">
      <c r="F4795" s="9"/>
      <c r="G4795" s="9"/>
      <c r="AA4795" s="10"/>
      <c r="AV4795" s="11"/>
      <c r="AW4795" s="11"/>
      <c r="BB4795" s="9"/>
      <c r="BC4795" s="11"/>
      <c r="BF4795" s="9"/>
      <c r="CF4795" s="12"/>
      <c r="CH4795" s="9"/>
    </row>
    <row r="4796" spans="6:86" x14ac:dyDescent="0.25">
      <c r="F4796" s="9"/>
      <c r="G4796" s="9"/>
      <c r="AA4796" s="10"/>
      <c r="AV4796" s="11"/>
      <c r="AW4796" s="11"/>
      <c r="BB4796" s="9"/>
      <c r="BC4796" s="11"/>
      <c r="BF4796" s="9"/>
      <c r="CF4796" s="12"/>
      <c r="CH4796" s="9"/>
    </row>
    <row r="4797" spans="6:86" x14ac:dyDescent="0.25">
      <c r="F4797" s="9"/>
      <c r="G4797" s="9"/>
      <c r="AA4797" s="10"/>
      <c r="AV4797" s="11"/>
      <c r="AW4797" s="11"/>
      <c r="BB4797" s="9"/>
      <c r="BC4797" s="11"/>
      <c r="BF4797" s="9"/>
      <c r="CH4797" s="9"/>
    </row>
    <row r="4798" spans="6:86" x14ac:dyDescent="0.25">
      <c r="F4798" s="9"/>
      <c r="G4798" s="9"/>
      <c r="AA4798" s="10"/>
      <c r="AV4798" s="11"/>
      <c r="AW4798" s="11"/>
      <c r="BB4798" s="9"/>
      <c r="BC4798" s="11"/>
      <c r="BF4798" s="9"/>
      <c r="CH4798" s="9"/>
    </row>
    <row r="4799" spans="6:86" x14ac:dyDescent="0.25">
      <c r="F4799" s="9"/>
      <c r="G4799" s="9"/>
      <c r="AA4799" s="10"/>
      <c r="AV4799" s="11"/>
      <c r="AW4799" s="11"/>
      <c r="BB4799" s="9"/>
      <c r="BC4799" s="11"/>
      <c r="BF4799" s="9"/>
      <c r="CF4799" s="12"/>
      <c r="CH4799" s="9"/>
    </row>
    <row r="4800" spans="6:86" x14ac:dyDescent="0.25">
      <c r="F4800" s="9"/>
      <c r="G4800" s="9"/>
      <c r="AA4800" s="10"/>
      <c r="AV4800" s="11"/>
      <c r="AW4800" s="11"/>
      <c r="BB4800" s="9"/>
      <c r="BC4800" s="11"/>
      <c r="BF4800" s="9"/>
      <c r="CF4800" s="12"/>
      <c r="CH4800" s="9"/>
    </row>
    <row r="4801" spans="6:86" x14ac:dyDescent="0.25">
      <c r="F4801" s="9"/>
      <c r="G4801" s="9"/>
      <c r="AA4801" s="10"/>
      <c r="AV4801" s="11"/>
      <c r="AW4801" s="11"/>
      <c r="BB4801" s="9"/>
      <c r="BC4801" s="11"/>
      <c r="BF4801" s="9"/>
      <c r="CF4801" s="12"/>
      <c r="CH4801" s="9"/>
    </row>
    <row r="4802" spans="6:86" x14ac:dyDescent="0.25">
      <c r="F4802" s="9"/>
      <c r="G4802" s="9"/>
      <c r="AA4802" s="10"/>
      <c r="AV4802" s="11"/>
      <c r="AW4802" s="11"/>
      <c r="BB4802" s="9"/>
      <c r="BC4802" s="11"/>
      <c r="BF4802" s="9"/>
      <c r="CH4802" s="9"/>
    </row>
    <row r="4803" spans="6:86" x14ac:dyDescent="0.25">
      <c r="F4803" s="9"/>
      <c r="G4803" s="9"/>
      <c r="AA4803" s="10"/>
      <c r="AV4803" s="11"/>
      <c r="AW4803" s="11"/>
      <c r="BB4803" s="9"/>
      <c r="BC4803" s="11"/>
      <c r="BF4803" s="9"/>
      <c r="CF4803" s="12"/>
      <c r="CH4803" s="9"/>
    </row>
    <row r="4804" spans="6:86" x14ac:dyDescent="0.25">
      <c r="F4804" s="9"/>
      <c r="G4804" s="9"/>
      <c r="AA4804" s="10"/>
      <c r="AV4804" s="11"/>
      <c r="AW4804" s="11"/>
      <c r="BB4804" s="9"/>
      <c r="BC4804" s="11"/>
      <c r="BF4804" s="9"/>
      <c r="CF4804" s="12"/>
      <c r="CH4804" s="9"/>
    </row>
    <row r="4805" spans="6:86" x14ac:dyDescent="0.25">
      <c r="F4805" s="9"/>
      <c r="G4805" s="9"/>
      <c r="AA4805" s="10"/>
      <c r="AV4805" s="11"/>
      <c r="AW4805" s="11"/>
      <c r="BB4805" s="9"/>
      <c r="BC4805" s="11"/>
      <c r="BF4805" s="9"/>
      <c r="CF4805" s="12"/>
      <c r="CH4805" s="9"/>
    </row>
    <row r="4806" spans="6:86" x14ac:dyDescent="0.25">
      <c r="F4806" s="9"/>
      <c r="G4806" s="9"/>
      <c r="AA4806" s="10"/>
      <c r="AV4806" s="11"/>
      <c r="AW4806" s="11"/>
      <c r="BB4806" s="9"/>
      <c r="BC4806" s="11"/>
      <c r="BF4806" s="9"/>
      <c r="CH4806" s="9"/>
    </row>
    <row r="4807" spans="6:86" x14ac:dyDescent="0.25">
      <c r="F4807" s="9"/>
      <c r="G4807" s="9"/>
      <c r="AA4807" s="10"/>
      <c r="AV4807" s="11"/>
      <c r="AW4807" s="11"/>
      <c r="BB4807" s="9"/>
      <c r="BC4807" s="11"/>
      <c r="BF4807" s="9"/>
      <c r="CF4807" s="12"/>
      <c r="CH4807" s="9"/>
    </row>
    <row r="4808" spans="6:86" x14ac:dyDescent="0.25">
      <c r="F4808" s="9"/>
      <c r="G4808" s="9"/>
      <c r="AA4808" s="10"/>
      <c r="AV4808" s="11"/>
      <c r="AW4808" s="11"/>
      <c r="BB4808" s="9"/>
      <c r="BC4808" s="11"/>
      <c r="BF4808" s="9"/>
      <c r="CF4808" s="12"/>
      <c r="CH4808" s="9"/>
    </row>
    <row r="4809" spans="6:86" x14ac:dyDescent="0.25">
      <c r="F4809" s="9"/>
      <c r="G4809" s="9"/>
      <c r="AA4809" s="10"/>
      <c r="AV4809" s="11"/>
      <c r="AW4809" s="11"/>
      <c r="BB4809" s="9"/>
      <c r="BC4809" s="11"/>
      <c r="BF4809" s="9"/>
      <c r="CF4809" s="12"/>
      <c r="CH4809" s="9"/>
    </row>
    <row r="4810" spans="6:86" x14ac:dyDescent="0.25">
      <c r="F4810" s="9"/>
      <c r="G4810" s="9"/>
      <c r="AA4810" s="10"/>
      <c r="AV4810" s="11"/>
      <c r="AW4810" s="11"/>
      <c r="BB4810" s="9"/>
      <c r="BC4810" s="11"/>
      <c r="BF4810" s="9"/>
      <c r="CF4810" s="12"/>
      <c r="CH4810" s="9"/>
    </row>
    <row r="4811" spans="6:86" x14ac:dyDescent="0.25">
      <c r="F4811" s="9"/>
      <c r="G4811" s="9"/>
      <c r="AA4811" s="10"/>
      <c r="AV4811" s="11"/>
      <c r="AW4811" s="11"/>
      <c r="BB4811" s="9"/>
      <c r="BC4811" s="11"/>
      <c r="BF4811" s="9"/>
      <c r="CF4811" s="12"/>
      <c r="CH4811" s="9"/>
    </row>
    <row r="4812" spans="6:86" x14ac:dyDescent="0.25">
      <c r="F4812" s="9"/>
      <c r="G4812" s="9"/>
      <c r="AA4812" s="10"/>
      <c r="AV4812" s="11"/>
      <c r="AW4812" s="11"/>
      <c r="BB4812" s="9"/>
      <c r="BC4812" s="11"/>
      <c r="BF4812" s="9"/>
      <c r="CF4812" s="12"/>
      <c r="CH4812" s="9"/>
    </row>
    <row r="4813" spans="6:86" x14ac:dyDescent="0.25">
      <c r="F4813" s="9"/>
      <c r="G4813" s="9"/>
      <c r="AA4813" s="10"/>
      <c r="AV4813" s="11"/>
      <c r="AW4813" s="11"/>
      <c r="BB4813" s="9"/>
      <c r="BC4813" s="11"/>
      <c r="BF4813" s="9"/>
      <c r="CH4813" s="9"/>
    </row>
    <row r="4814" spans="6:86" x14ac:dyDescent="0.25">
      <c r="F4814" s="9"/>
      <c r="G4814" s="9"/>
      <c r="AA4814" s="10"/>
      <c r="AV4814" s="11"/>
      <c r="AW4814" s="11"/>
      <c r="BB4814" s="9"/>
      <c r="BC4814" s="11"/>
      <c r="BF4814" s="9"/>
      <c r="CF4814" s="12"/>
      <c r="CH4814" s="9"/>
    </row>
    <row r="4815" spans="6:86" x14ac:dyDescent="0.25">
      <c r="F4815" s="9"/>
      <c r="G4815" s="9"/>
      <c r="AA4815" s="10"/>
      <c r="AV4815" s="11"/>
      <c r="AW4815" s="11"/>
      <c r="BB4815" s="9"/>
      <c r="BC4815" s="11"/>
      <c r="BF4815" s="9"/>
      <c r="CF4815" s="12"/>
      <c r="CH4815" s="9"/>
    </row>
    <row r="4816" spans="6:86" x14ac:dyDescent="0.25">
      <c r="F4816" s="9"/>
      <c r="G4816" s="9"/>
      <c r="AA4816" s="10"/>
      <c r="AV4816" s="11"/>
      <c r="AW4816" s="11"/>
      <c r="BB4816" s="9"/>
      <c r="BC4816" s="11"/>
      <c r="BF4816" s="9"/>
      <c r="CF4816" s="12"/>
      <c r="CH4816" s="9"/>
    </row>
    <row r="4817" spans="6:86" x14ac:dyDescent="0.25">
      <c r="F4817" s="9"/>
      <c r="G4817" s="9"/>
      <c r="AA4817" s="10"/>
      <c r="AV4817" s="11"/>
      <c r="AW4817" s="11"/>
      <c r="BB4817" s="9"/>
      <c r="BC4817" s="11"/>
      <c r="BF4817" s="9"/>
      <c r="CF4817" s="12"/>
      <c r="CH4817" s="9"/>
    </row>
    <row r="4818" spans="6:86" x14ac:dyDescent="0.25">
      <c r="F4818" s="9"/>
      <c r="G4818" s="9"/>
      <c r="AA4818" s="10"/>
      <c r="AV4818" s="11"/>
      <c r="AW4818" s="11"/>
      <c r="BB4818" s="9"/>
      <c r="BC4818" s="11"/>
      <c r="BF4818" s="9"/>
      <c r="CF4818" s="12"/>
      <c r="CH4818" s="9"/>
    </row>
    <row r="4819" spans="6:86" x14ac:dyDescent="0.25">
      <c r="F4819" s="9"/>
      <c r="G4819" s="9"/>
      <c r="AA4819" s="10"/>
      <c r="AV4819" s="11"/>
      <c r="AW4819" s="11"/>
      <c r="BB4819" s="9"/>
      <c r="BC4819" s="11"/>
      <c r="BF4819" s="9"/>
      <c r="CF4819" s="12"/>
      <c r="CH4819" s="9"/>
    </row>
    <row r="4820" spans="6:86" x14ac:dyDescent="0.25">
      <c r="F4820" s="9"/>
      <c r="G4820" s="9"/>
      <c r="AA4820" s="10"/>
      <c r="AV4820" s="11"/>
      <c r="AW4820" s="11"/>
      <c r="BB4820" s="9"/>
      <c r="BC4820" s="11"/>
      <c r="BF4820" s="9"/>
      <c r="CF4820" s="12"/>
      <c r="CH4820" s="9"/>
    </row>
    <row r="4821" spans="6:86" x14ac:dyDescent="0.25">
      <c r="F4821" s="9"/>
      <c r="G4821" s="9"/>
      <c r="AA4821" s="10"/>
      <c r="AV4821" s="11"/>
      <c r="AW4821" s="11"/>
      <c r="BB4821" s="9"/>
      <c r="BC4821" s="11"/>
      <c r="BF4821" s="9"/>
      <c r="CF4821" s="12"/>
      <c r="CH4821" s="9"/>
    </row>
    <row r="4822" spans="6:86" x14ac:dyDescent="0.25">
      <c r="F4822" s="9"/>
      <c r="G4822" s="9"/>
      <c r="AA4822" s="10"/>
      <c r="AV4822" s="11"/>
      <c r="AW4822" s="11"/>
      <c r="BB4822" s="9"/>
      <c r="BC4822" s="11"/>
      <c r="BF4822" s="9"/>
      <c r="CF4822" s="12"/>
      <c r="CH4822" s="9"/>
    </row>
    <row r="4823" spans="6:86" x14ac:dyDescent="0.25">
      <c r="F4823" s="9"/>
      <c r="G4823" s="9"/>
      <c r="AA4823" s="10"/>
      <c r="AV4823" s="11"/>
      <c r="AW4823" s="11"/>
      <c r="BB4823" s="9"/>
      <c r="BC4823" s="11"/>
      <c r="BF4823" s="9"/>
      <c r="CH4823" s="9"/>
    </row>
    <row r="4824" spans="6:86" x14ac:dyDescent="0.25">
      <c r="F4824" s="9"/>
      <c r="G4824" s="9"/>
      <c r="AA4824" s="10"/>
      <c r="AV4824" s="11"/>
      <c r="AW4824" s="11"/>
      <c r="BB4824" s="9"/>
      <c r="BC4824" s="11"/>
      <c r="BF4824" s="9"/>
      <c r="CH4824" s="9"/>
    </row>
    <row r="4825" spans="6:86" x14ac:dyDescent="0.25">
      <c r="F4825" s="9"/>
      <c r="G4825" s="9"/>
      <c r="AA4825" s="10"/>
      <c r="AV4825" s="11"/>
      <c r="AW4825" s="11"/>
      <c r="BB4825" s="9"/>
      <c r="BC4825" s="11"/>
      <c r="BF4825" s="9"/>
      <c r="CF4825" s="12"/>
      <c r="CH4825" s="9"/>
    </row>
    <row r="4826" spans="6:86" x14ac:dyDescent="0.25">
      <c r="F4826" s="9"/>
      <c r="G4826" s="9"/>
      <c r="AA4826" s="10"/>
      <c r="AV4826" s="11"/>
      <c r="AW4826" s="11"/>
      <c r="BB4826" s="9"/>
      <c r="BC4826" s="11"/>
      <c r="BF4826" s="9"/>
      <c r="CF4826" s="12"/>
      <c r="CH4826" s="9"/>
    </row>
    <row r="4827" spans="6:86" x14ac:dyDescent="0.25">
      <c r="F4827" s="9"/>
      <c r="G4827" s="9"/>
      <c r="AA4827" s="10"/>
      <c r="AV4827" s="11"/>
      <c r="AW4827" s="11"/>
      <c r="BB4827" s="9"/>
      <c r="BC4827" s="11"/>
      <c r="BF4827" s="9"/>
      <c r="CF4827" s="12"/>
      <c r="CH4827" s="9"/>
    </row>
    <row r="4828" spans="6:86" x14ac:dyDescent="0.25">
      <c r="F4828" s="9"/>
      <c r="G4828" s="9"/>
      <c r="AA4828" s="10"/>
      <c r="AV4828" s="11"/>
      <c r="AW4828" s="11"/>
      <c r="BB4828" s="9"/>
      <c r="BC4828" s="11"/>
      <c r="BF4828" s="9"/>
      <c r="CH4828" s="9"/>
    </row>
    <row r="4829" spans="6:86" x14ac:dyDescent="0.25">
      <c r="F4829" s="9"/>
      <c r="G4829" s="9"/>
      <c r="AA4829" s="10"/>
      <c r="AV4829" s="11"/>
      <c r="AW4829" s="11"/>
      <c r="BB4829" s="9"/>
      <c r="BC4829" s="11"/>
      <c r="BF4829" s="9"/>
      <c r="CF4829" s="12"/>
      <c r="CH4829" s="9"/>
    </row>
    <row r="4830" spans="6:86" x14ac:dyDescent="0.25">
      <c r="F4830" s="9"/>
      <c r="G4830" s="9"/>
      <c r="AA4830" s="10"/>
      <c r="AV4830" s="11"/>
      <c r="AW4830" s="11"/>
      <c r="BB4830" s="9"/>
      <c r="BC4830" s="11"/>
      <c r="BF4830" s="9"/>
      <c r="CH4830" s="9"/>
    </row>
    <row r="4831" spans="6:86" x14ac:dyDescent="0.25">
      <c r="F4831" s="9"/>
      <c r="G4831" s="9"/>
      <c r="AA4831" s="10"/>
      <c r="AV4831" s="11"/>
      <c r="AW4831" s="11"/>
      <c r="BB4831" s="9"/>
      <c r="BC4831" s="11"/>
      <c r="BF4831" s="9"/>
      <c r="CF4831" s="12"/>
      <c r="CH4831" s="9"/>
    </row>
    <row r="4832" spans="6:86" x14ac:dyDescent="0.25">
      <c r="F4832" s="9"/>
      <c r="G4832" s="9"/>
      <c r="AA4832" s="10"/>
      <c r="AV4832" s="11"/>
      <c r="AW4832" s="11"/>
      <c r="BB4832" s="9"/>
      <c r="BC4832" s="11"/>
      <c r="BF4832" s="9"/>
      <c r="CF4832" s="12"/>
      <c r="CH4832" s="9"/>
    </row>
    <row r="4833" spans="6:86" x14ac:dyDescent="0.25">
      <c r="F4833" s="9"/>
      <c r="G4833" s="9"/>
      <c r="AA4833" s="10"/>
      <c r="AV4833" s="11"/>
      <c r="AW4833" s="11"/>
      <c r="BB4833" s="9"/>
      <c r="BC4833" s="11"/>
      <c r="BF4833" s="9"/>
      <c r="CF4833" s="12"/>
      <c r="CH4833" s="9"/>
    </row>
    <row r="4834" spans="6:86" x14ac:dyDescent="0.25">
      <c r="F4834" s="9"/>
      <c r="G4834" s="9"/>
      <c r="AA4834" s="10"/>
      <c r="AV4834" s="11"/>
      <c r="AW4834" s="11"/>
      <c r="BB4834" s="9"/>
      <c r="BC4834" s="11"/>
      <c r="BF4834" s="9"/>
      <c r="CF4834" s="12"/>
      <c r="CH4834" s="9"/>
    </row>
    <row r="4835" spans="6:86" x14ac:dyDescent="0.25">
      <c r="F4835" s="9"/>
      <c r="G4835" s="9"/>
      <c r="AA4835" s="10"/>
      <c r="AV4835" s="11"/>
      <c r="AW4835" s="11"/>
      <c r="BB4835" s="9"/>
      <c r="BC4835" s="11"/>
      <c r="BF4835" s="9"/>
      <c r="CF4835" s="12"/>
      <c r="CH4835" s="9"/>
    </row>
    <row r="4836" spans="6:86" x14ac:dyDescent="0.25">
      <c r="F4836" s="9"/>
      <c r="G4836" s="9"/>
      <c r="AA4836" s="10"/>
      <c r="AV4836" s="11"/>
      <c r="AW4836" s="11"/>
      <c r="BB4836" s="9"/>
      <c r="BC4836" s="11"/>
      <c r="BF4836" s="9"/>
      <c r="CF4836" s="12"/>
      <c r="CH4836" s="9"/>
    </row>
    <row r="4837" spans="6:86" x14ac:dyDescent="0.25">
      <c r="F4837" s="9"/>
      <c r="G4837" s="9"/>
      <c r="AA4837" s="10"/>
      <c r="AV4837" s="11"/>
      <c r="AW4837" s="11"/>
      <c r="BB4837" s="9"/>
      <c r="BC4837" s="11"/>
      <c r="BF4837" s="9"/>
      <c r="CF4837" s="12"/>
      <c r="CH4837" s="9"/>
    </row>
    <row r="4838" spans="6:86" x14ac:dyDescent="0.25">
      <c r="F4838" s="9"/>
      <c r="G4838" s="9"/>
      <c r="AA4838" s="10"/>
      <c r="AV4838" s="11"/>
      <c r="AW4838" s="11"/>
      <c r="BB4838" s="9"/>
      <c r="BC4838" s="11"/>
      <c r="BF4838" s="9"/>
      <c r="CF4838" s="12"/>
      <c r="CH4838" s="9"/>
    </row>
    <row r="4839" spans="6:86" x14ac:dyDescent="0.25">
      <c r="F4839" s="9"/>
      <c r="G4839" s="9"/>
      <c r="AA4839" s="10"/>
      <c r="AV4839" s="11"/>
      <c r="AW4839" s="11"/>
      <c r="BB4839" s="9"/>
      <c r="BC4839" s="11"/>
      <c r="BF4839" s="9"/>
      <c r="CF4839" s="12"/>
      <c r="CH4839" s="9"/>
    </row>
    <row r="4840" spans="6:86" x14ac:dyDescent="0.25">
      <c r="F4840" s="9"/>
      <c r="G4840" s="9"/>
      <c r="AA4840" s="10"/>
      <c r="AV4840" s="11"/>
      <c r="AW4840" s="11"/>
      <c r="BB4840" s="9"/>
      <c r="BC4840" s="11"/>
      <c r="BF4840" s="9"/>
      <c r="CF4840" s="12"/>
      <c r="CH4840" s="9"/>
    </row>
    <row r="4841" spans="6:86" x14ac:dyDescent="0.25">
      <c r="F4841" s="9"/>
      <c r="G4841" s="9"/>
      <c r="AA4841" s="10"/>
      <c r="AV4841" s="11"/>
      <c r="AW4841" s="11"/>
      <c r="BB4841" s="9"/>
      <c r="BC4841" s="11"/>
      <c r="BF4841" s="9"/>
      <c r="CH4841" s="9"/>
    </row>
    <row r="4842" spans="6:86" x14ac:dyDescent="0.25">
      <c r="F4842" s="9"/>
      <c r="G4842" s="9"/>
      <c r="AA4842" s="10"/>
      <c r="AV4842" s="11"/>
      <c r="AW4842" s="11"/>
      <c r="BB4842" s="9"/>
      <c r="BC4842" s="11"/>
      <c r="BF4842" s="9"/>
      <c r="CF4842" s="12"/>
      <c r="CH4842" s="9"/>
    </row>
    <row r="4843" spans="6:86" x14ac:dyDescent="0.25">
      <c r="F4843" s="9"/>
      <c r="G4843" s="9"/>
      <c r="AA4843" s="10"/>
      <c r="AV4843" s="11"/>
      <c r="AW4843" s="11"/>
      <c r="BB4843" s="9"/>
      <c r="BC4843" s="11"/>
      <c r="BF4843" s="9"/>
      <c r="CH4843" s="9"/>
    </row>
    <row r="4844" spans="6:86" x14ac:dyDescent="0.25">
      <c r="F4844" s="9"/>
      <c r="G4844" s="9"/>
      <c r="AA4844" s="10"/>
      <c r="AV4844" s="11"/>
      <c r="AW4844" s="11"/>
      <c r="BB4844" s="9"/>
      <c r="BC4844" s="11"/>
      <c r="BF4844" s="9"/>
      <c r="CF4844" s="12"/>
      <c r="CH4844" s="9"/>
    </row>
    <row r="4845" spans="6:86" x14ac:dyDescent="0.25">
      <c r="F4845" s="9"/>
      <c r="G4845" s="9"/>
      <c r="AA4845" s="10"/>
      <c r="AV4845" s="11"/>
      <c r="AW4845" s="11"/>
      <c r="BB4845" s="9"/>
      <c r="BC4845" s="11"/>
      <c r="BF4845" s="9"/>
      <c r="CF4845" s="12"/>
      <c r="CH4845" s="9"/>
    </row>
    <row r="4846" spans="6:86" x14ac:dyDescent="0.25">
      <c r="F4846" s="9"/>
      <c r="G4846" s="9"/>
      <c r="AA4846" s="10"/>
      <c r="AV4846" s="11"/>
      <c r="AW4846" s="11"/>
      <c r="BB4846" s="9"/>
      <c r="BC4846" s="11"/>
      <c r="BF4846" s="9"/>
      <c r="CF4846" s="12"/>
      <c r="CH4846" s="9"/>
    </row>
    <row r="4847" spans="6:86" x14ac:dyDescent="0.25">
      <c r="F4847" s="9"/>
      <c r="G4847" s="9"/>
      <c r="AA4847" s="10"/>
      <c r="AV4847" s="11"/>
      <c r="AW4847" s="11"/>
      <c r="BB4847" s="9"/>
      <c r="BC4847" s="11"/>
      <c r="BF4847" s="9"/>
      <c r="CH4847" s="9"/>
    </row>
    <row r="4848" spans="6:86" x14ac:dyDescent="0.25">
      <c r="F4848" s="9"/>
      <c r="G4848" s="9"/>
      <c r="AA4848" s="10"/>
      <c r="AV4848" s="11"/>
      <c r="AW4848" s="11"/>
      <c r="BB4848" s="9"/>
      <c r="BC4848" s="11"/>
      <c r="BF4848" s="9"/>
      <c r="CF4848" s="12"/>
      <c r="CH4848" s="9"/>
    </row>
    <row r="4849" spans="6:92" x14ac:dyDescent="0.25">
      <c r="F4849" s="9"/>
      <c r="G4849" s="9"/>
      <c r="AA4849" s="10"/>
      <c r="AV4849" s="11"/>
      <c r="AW4849" s="11"/>
      <c r="BB4849" s="9"/>
      <c r="BC4849" s="11"/>
      <c r="BF4849" s="9"/>
      <c r="CH4849" s="9"/>
    </row>
    <row r="4850" spans="6:92" x14ac:dyDescent="0.25">
      <c r="F4850" s="9"/>
      <c r="G4850" s="9"/>
      <c r="AA4850" s="10"/>
      <c r="AV4850" s="11"/>
      <c r="AW4850" s="11"/>
      <c r="BB4850" s="9"/>
      <c r="BC4850" s="11"/>
      <c r="BF4850" s="9"/>
      <c r="CF4850" s="12"/>
      <c r="CH4850" s="9"/>
    </row>
    <row r="4851" spans="6:92" x14ac:dyDescent="0.25">
      <c r="F4851" s="9"/>
      <c r="G4851" s="9"/>
      <c r="AA4851" s="10"/>
      <c r="AV4851" s="11"/>
      <c r="AW4851" s="11"/>
      <c r="BB4851" s="9"/>
      <c r="BC4851" s="11"/>
      <c r="BF4851" s="9"/>
      <c r="CH4851" s="9"/>
    </row>
    <row r="4852" spans="6:92" x14ac:dyDescent="0.25">
      <c r="F4852" s="9"/>
      <c r="G4852" s="9"/>
      <c r="AA4852" s="10"/>
      <c r="AV4852" s="11"/>
      <c r="AW4852" s="11"/>
      <c r="BB4852" s="9"/>
      <c r="BC4852" s="11"/>
      <c r="BF4852" s="9"/>
      <c r="CF4852" s="12"/>
      <c r="CH4852" s="9"/>
    </row>
    <row r="4853" spans="6:92" x14ac:dyDescent="0.25">
      <c r="F4853" s="9"/>
      <c r="G4853" s="9"/>
      <c r="AA4853" s="10"/>
      <c r="AV4853" s="11"/>
      <c r="AW4853" s="11"/>
      <c r="BB4853" s="9"/>
      <c r="BC4853" s="11"/>
      <c r="BF4853" s="9"/>
      <c r="CH4853" s="9"/>
    </row>
    <row r="4854" spans="6:92" x14ac:dyDescent="0.25">
      <c r="F4854" s="9"/>
      <c r="G4854" s="9"/>
      <c r="AA4854" s="10"/>
      <c r="AV4854" s="11"/>
      <c r="AW4854" s="11"/>
      <c r="BB4854" s="9"/>
      <c r="BC4854" s="11"/>
      <c r="BF4854" s="9"/>
      <c r="CF4854" s="12"/>
      <c r="CH4854" s="9"/>
    </row>
    <row r="4855" spans="6:92" x14ac:dyDescent="0.25">
      <c r="F4855" s="9"/>
      <c r="G4855" s="9"/>
      <c r="AA4855" s="10"/>
      <c r="AV4855" s="11"/>
      <c r="AW4855" s="11"/>
      <c r="BB4855" s="9"/>
      <c r="BC4855" s="11"/>
      <c r="BF4855" s="9"/>
      <c r="CF4855" s="12"/>
      <c r="CH4855" s="9"/>
    </row>
    <row r="4856" spans="6:92" x14ac:dyDescent="0.25">
      <c r="F4856" s="9"/>
      <c r="G4856" s="9"/>
      <c r="AA4856" s="10"/>
      <c r="AV4856" s="11"/>
      <c r="AW4856" s="11"/>
      <c r="BB4856" s="9"/>
      <c r="BC4856" s="11"/>
      <c r="BF4856" s="9"/>
      <c r="CF4856" s="12"/>
      <c r="CH4856" s="9"/>
    </row>
    <row r="4857" spans="6:92" x14ac:dyDescent="0.25">
      <c r="F4857" s="9"/>
      <c r="G4857" s="9"/>
      <c r="U4857" s="12"/>
      <c r="Z4857" s="12"/>
      <c r="AA4857" s="10"/>
      <c r="AV4857" s="11"/>
      <c r="AW4857" s="11"/>
      <c r="BB4857" s="9"/>
      <c r="BC4857" s="11"/>
      <c r="BF4857" s="9"/>
      <c r="CF4857" s="12"/>
      <c r="CH4857" s="9"/>
      <c r="CN4857" s="12"/>
    </row>
    <row r="4858" spans="6:92" x14ac:dyDescent="0.25">
      <c r="F4858" s="9"/>
      <c r="G4858" s="9"/>
      <c r="AA4858" s="10"/>
      <c r="AV4858" s="11"/>
      <c r="AW4858" s="11"/>
      <c r="BB4858" s="9"/>
      <c r="BC4858" s="11"/>
      <c r="BF4858" s="9"/>
      <c r="CF4858" s="12"/>
      <c r="CH4858" s="9"/>
    </row>
    <row r="4859" spans="6:92" x14ac:dyDescent="0.25">
      <c r="F4859" s="9"/>
      <c r="G4859" s="9"/>
      <c r="AA4859" s="10"/>
      <c r="AV4859" s="11"/>
      <c r="AW4859" s="11"/>
      <c r="BB4859" s="9"/>
      <c r="BC4859" s="11"/>
      <c r="BF4859" s="9"/>
      <c r="CF4859" s="12"/>
      <c r="CH4859" s="9"/>
    </row>
    <row r="4860" spans="6:92" x14ac:dyDescent="0.25">
      <c r="F4860" s="9"/>
      <c r="G4860" s="9"/>
      <c r="AA4860" s="10"/>
      <c r="AV4860" s="11"/>
      <c r="AW4860" s="11"/>
      <c r="BB4860" s="9"/>
      <c r="BC4860" s="11"/>
      <c r="BF4860" s="9"/>
      <c r="CF4860" s="12"/>
      <c r="CH4860" s="9"/>
    </row>
    <row r="4861" spans="6:92" x14ac:dyDescent="0.25">
      <c r="F4861" s="9"/>
      <c r="G4861" s="9"/>
      <c r="AA4861" s="10"/>
      <c r="AV4861" s="11"/>
      <c r="AW4861" s="11"/>
      <c r="BB4861" s="9"/>
      <c r="BC4861" s="11"/>
      <c r="BF4861" s="9"/>
      <c r="CF4861" s="12"/>
      <c r="CH4861" s="9"/>
    </row>
    <row r="4862" spans="6:92" x14ac:dyDescent="0.25">
      <c r="F4862" s="9"/>
      <c r="G4862" s="9"/>
      <c r="AA4862" s="10"/>
      <c r="AV4862" s="11"/>
      <c r="AW4862" s="11"/>
      <c r="BB4862" s="9"/>
      <c r="BC4862" s="11"/>
      <c r="BF4862" s="9"/>
      <c r="CF4862" s="12"/>
      <c r="CH4862" s="9"/>
    </row>
    <row r="4863" spans="6:92" x14ac:dyDescent="0.25">
      <c r="F4863" s="9"/>
      <c r="G4863" s="9"/>
      <c r="AA4863" s="10"/>
      <c r="AV4863" s="11"/>
      <c r="AW4863" s="11"/>
      <c r="BB4863" s="9"/>
      <c r="BC4863" s="11"/>
      <c r="BF4863" s="9"/>
      <c r="CF4863" s="12"/>
      <c r="CH4863" s="9"/>
    </row>
    <row r="4864" spans="6:92" x14ac:dyDescent="0.25">
      <c r="F4864" s="9"/>
      <c r="G4864" s="9"/>
      <c r="AA4864" s="10"/>
      <c r="AV4864" s="11"/>
      <c r="AW4864" s="11"/>
      <c r="BB4864" s="9"/>
      <c r="BC4864" s="11"/>
      <c r="BF4864" s="9"/>
      <c r="CF4864" s="12"/>
      <c r="CH4864" s="9"/>
    </row>
    <row r="4865" spans="6:92" x14ac:dyDescent="0.25">
      <c r="F4865" s="9"/>
      <c r="G4865" s="9"/>
      <c r="AA4865" s="10"/>
      <c r="AV4865" s="11"/>
      <c r="AW4865" s="11"/>
      <c r="BB4865" s="9"/>
      <c r="BC4865" s="11"/>
      <c r="BF4865" s="9"/>
      <c r="CF4865" s="12"/>
      <c r="CH4865" s="9"/>
    </row>
    <row r="4866" spans="6:92" x14ac:dyDescent="0.25">
      <c r="F4866" s="9"/>
      <c r="G4866" s="9"/>
      <c r="U4866" s="12"/>
      <c r="Z4866" s="12"/>
      <c r="AA4866" s="10"/>
      <c r="AV4866" s="11"/>
      <c r="AW4866" s="11"/>
      <c r="BB4866" s="9"/>
      <c r="BC4866" s="11"/>
      <c r="BF4866" s="9"/>
      <c r="CF4866" s="12"/>
      <c r="CH4866" s="9"/>
      <c r="CN4866" s="12"/>
    </row>
    <row r="4867" spans="6:92" x14ac:dyDescent="0.25">
      <c r="F4867" s="9"/>
      <c r="G4867" s="9"/>
      <c r="AA4867" s="10"/>
      <c r="AV4867" s="11"/>
      <c r="AW4867" s="11"/>
      <c r="BB4867" s="9"/>
      <c r="BC4867" s="11"/>
      <c r="BF4867" s="9"/>
      <c r="CF4867" s="12"/>
      <c r="CH4867" s="9"/>
      <c r="CN4867" s="12"/>
    </row>
    <row r="4868" spans="6:92" x14ac:dyDescent="0.25">
      <c r="F4868" s="9"/>
      <c r="G4868" s="9"/>
      <c r="AA4868" s="10"/>
      <c r="AV4868" s="11"/>
      <c r="AW4868" s="11"/>
      <c r="BB4868" s="9"/>
      <c r="BC4868" s="11"/>
      <c r="BF4868" s="9"/>
      <c r="CF4868" s="12"/>
      <c r="CH4868" s="9"/>
    </row>
    <row r="4869" spans="6:92" x14ac:dyDescent="0.25">
      <c r="F4869" s="9"/>
      <c r="G4869" s="9"/>
      <c r="AA4869" s="10"/>
      <c r="AV4869" s="11"/>
      <c r="AW4869" s="11"/>
      <c r="BB4869" s="9"/>
      <c r="BC4869" s="11"/>
      <c r="BF4869" s="9"/>
      <c r="CF4869" s="12"/>
      <c r="CH4869" s="9"/>
    </row>
    <row r="4870" spans="6:92" x14ac:dyDescent="0.25">
      <c r="F4870" s="9"/>
      <c r="G4870" s="9"/>
      <c r="AA4870" s="10"/>
      <c r="AV4870" s="11"/>
      <c r="AW4870" s="11"/>
      <c r="BB4870" s="9"/>
      <c r="BC4870" s="11"/>
      <c r="BF4870" s="9"/>
      <c r="CH4870" s="9"/>
    </row>
    <row r="4871" spans="6:92" x14ac:dyDescent="0.25">
      <c r="F4871" s="9"/>
      <c r="G4871" s="9"/>
      <c r="AA4871" s="10"/>
      <c r="AV4871" s="11"/>
      <c r="AW4871" s="11"/>
      <c r="BB4871" s="9"/>
      <c r="BC4871" s="11"/>
      <c r="BF4871" s="9"/>
      <c r="CF4871" s="12"/>
      <c r="CH4871" s="9"/>
    </row>
    <row r="4872" spans="6:92" x14ac:dyDescent="0.25">
      <c r="F4872" s="9"/>
      <c r="G4872" s="9"/>
      <c r="AA4872" s="10"/>
      <c r="AV4872" s="11"/>
      <c r="AW4872" s="11"/>
      <c r="BB4872" s="9"/>
      <c r="BC4872" s="11"/>
      <c r="BF4872" s="9"/>
      <c r="CF4872" s="12"/>
      <c r="CH4872" s="9"/>
    </row>
    <row r="4873" spans="6:92" x14ac:dyDescent="0.25">
      <c r="F4873" s="9"/>
      <c r="G4873" s="9"/>
      <c r="AA4873" s="10"/>
      <c r="AV4873" s="11"/>
      <c r="AW4873" s="11"/>
      <c r="BB4873" s="9"/>
      <c r="BC4873" s="11"/>
      <c r="BF4873" s="9"/>
      <c r="CF4873" s="12"/>
      <c r="CH4873" s="9"/>
    </row>
    <row r="4874" spans="6:92" x14ac:dyDescent="0.25">
      <c r="F4874" s="9"/>
      <c r="G4874" s="9"/>
      <c r="AA4874" s="10"/>
      <c r="AV4874" s="11"/>
      <c r="AW4874" s="11"/>
      <c r="BB4874" s="9"/>
      <c r="BC4874" s="11"/>
      <c r="BF4874" s="9"/>
      <c r="CF4874" s="12"/>
      <c r="CH4874" s="9"/>
    </row>
    <row r="4875" spans="6:92" x14ac:dyDescent="0.25">
      <c r="F4875" s="9"/>
      <c r="G4875" s="9"/>
      <c r="AA4875" s="10"/>
      <c r="AV4875" s="11"/>
      <c r="AW4875" s="11"/>
      <c r="BB4875" s="9"/>
      <c r="BC4875" s="11"/>
      <c r="BF4875" s="9"/>
      <c r="CF4875" s="12"/>
      <c r="CH4875" s="9"/>
    </row>
    <row r="4876" spans="6:92" x14ac:dyDescent="0.25">
      <c r="F4876" s="9"/>
      <c r="G4876" s="9"/>
      <c r="AA4876" s="10"/>
      <c r="AV4876" s="11"/>
      <c r="AW4876" s="11"/>
      <c r="BB4876" s="9"/>
      <c r="BC4876" s="11"/>
      <c r="BF4876" s="9"/>
      <c r="CH4876" s="9"/>
    </row>
    <row r="4877" spans="6:92" x14ac:dyDescent="0.25">
      <c r="F4877" s="9"/>
      <c r="G4877" s="9"/>
      <c r="AA4877" s="10"/>
      <c r="AV4877" s="11"/>
      <c r="AW4877" s="11"/>
      <c r="BB4877" s="9"/>
      <c r="BC4877" s="11"/>
      <c r="BF4877" s="9"/>
      <c r="CH4877" s="9"/>
    </row>
    <row r="4878" spans="6:92" x14ac:dyDescent="0.25">
      <c r="F4878" s="9"/>
      <c r="G4878" s="9"/>
      <c r="AA4878" s="10"/>
      <c r="AV4878" s="11"/>
      <c r="AW4878" s="11"/>
      <c r="BB4878" s="9"/>
      <c r="BC4878" s="11"/>
      <c r="BF4878" s="9"/>
      <c r="CF4878" s="12"/>
      <c r="CH4878" s="9"/>
    </row>
    <row r="4879" spans="6:92" x14ac:dyDescent="0.25">
      <c r="F4879" s="9"/>
      <c r="G4879" s="9"/>
      <c r="AA4879" s="10"/>
      <c r="AV4879" s="11"/>
      <c r="AW4879" s="11"/>
      <c r="BB4879" s="9"/>
      <c r="BC4879" s="11"/>
      <c r="BF4879" s="9"/>
      <c r="CF4879" s="12"/>
      <c r="CH4879" s="9"/>
    </row>
    <row r="4880" spans="6:92" x14ac:dyDescent="0.25">
      <c r="F4880" s="9"/>
      <c r="G4880" s="9"/>
      <c r="AA4880" s="10"/>
      <c r="AV4880" s="11"/>
      <c r="AW4880" s="11"/>
      <c r="BB4880" s="9"/>
      <c r="BC4880" s="11"/>
      <c r="BF4880" s="9"/>
      <c r="CF4880" s="12"/>
      <c r="CH4880" s="9"/>
    </row>
    <row r="4881" spans="6:86" x14ac:dyDescent="0.25">
      <c r="F4881" s="9"/>
      <c r="G4881" s="9"/>
      <c r="AA4881" s="10"/>
      <c r="AV4881" s="11"/>
      <c r="AW4881" s="11"/>
      <c r="BB4881" s="9"/>
      <c r="BC4881" s="11"/>
      <c r="BF4881" s="9"/>
      <c r="CF4881" s="12"/>
      <c r="CH4881" s="9"/>
    </row>
    <row r="4882" spans="6:86" x14ac:dyDescent="0.25">
      <c r="F4882" s="9"/>
      <c r="G4882" s="9"/>
      <c r="AA4882" s="10"/>
      <c r="AV4882" s="11"/>
      <c r="AW4882" s="11"/>
      <c r="BB4882" s="9"/>
      <c r="BC4882" s="11"/>
      <c r="BF4882" s="9"/>
      <c r="CF4882" s="12"/>
      <c r="CH4882" s="9"/>
    </row>
    <row r="4883" spans="6:86" x14ac:dyDescent="0.25">
      <c r="F4883" s="9"/>
      <c r="G4883" s="9"/>
      <c r="AA4883" s="10"/>
      <c r="AV4883" s="11"/>
      <c r="AW4883" s="11"/>
      <c r="BB4883" s="9"/>
      <c r="BC4883" s="11"/>
      <c r="BF4883" s="9"/>
      <c r="CF4883" s="12"/>
      <c r="CH4883" s="9"/>
    </row>
    <row r="4884" spans="6:86" x14ac:dyDescent="0.25">
      <c r="F4884" s="9"/>
      <c r="G4884" s="9"/>
      <c r="AA4884" s="10"/>
      <c r="AV4884" s="11"/>
      <c r="AW4884" s="11"/>
      <c r="BB4884" s="9"/>
      <c r="BC4884" s="11"/>
      <c r="BF4884" s="9"/>
      <c r="CF4884" s="12"/>
      <c r="CH4884" s="9"/>
    </row>
    <row r="4885" spans="6:86" x14ac:dyDescent="0.25">
      <c r="F4885" s="9"/>
      <c r="G4885" s="9"/>
      <c r="AA4885" s="10"/>
      <c r="AV4885" s="11"/>
      <c r="AW4885" s="11"/>
      <c r="BB4885" s="9"/>
      <c r="BC4885" s="11"/>
      <c r="BF4885" s="9"/>
      <c r="CF4885" s="12"/>
      <c r="CH4885" s="9"/>
    </row>
    <row r="4886" spans="6:86" x14ac:dyDescent="0.25">
      <c r="F4886" s="9"/>
      <c r="G4886" s="9"/>
      <c r="AA4886" s="10"/>
      <c r="AV4886" s="11"/>
      <c r="AW4886" s="11"/>
      <c r="BB4886" s="9"/>
      <c r="BC4886" s="11"/>
      <c r="BF4886" s="9"/>
      <c r="CF4886" s="12"/>
      <c r="CH4886" s="9"/>
    </row>
    <row r="4887" spans="6:86" x14ac:dyDescent="0.25">
      <c r="F4887" s="9"/>
      <c r="G4887" s="9"/>
      <c r="AA4887" s="10"/>
      <c r="AV4887" s="11"/>
      <c r="AW4887" s="11"/>
      <c r="BB4887" s="9"/>
      <c r="BC4887" s="11"/>
      <c r="BF4887" s="9"/>
      <c r="CF4887" s="12"/>
      <c r="CH4887" s="9"/>
    </row>
    <row r="4888" spans="6:86" x14ac:dyDescent="0.25">
      <c r="F4888" s="9"/>
      <c r="G4888" s="9"/>
      <c r="AA4888" s="10"/>
      <c r="AV4888" s="11"/>
      <c r="AW4888" s="11"/>
      <c r="BB4888" s="9"/>
      <c r="BC4888" s="11"/>
      <c r="BF4888" s="9"/>
      <c r="CH4888" s="9"/>
    </row>
    <row r="4889" spans="6:86" x14ac:dyDescent="0.25">
      <c r="F4889" s="9"/>
      <c r="G4889" s="9"/>
      <c r="AA4889" s="10"/>
      <c r="AV4889" s="11"/>
      <c r="AW4889" s="11"/>
      <c r="BB4889" s="9"/>
      <c r="BC4889" s="11"/>
      <c r="BF4889" s="9"/>
      <c r="CH4889" s="9"/>
    </row>
    <row r="4890" spans="6:86" x14ac:dyDescent="0.25">
      <c r="F4890" s="9"/>
      <c r="G4890" s="9"/>
      <c r="AA4890" s="10"/>
      <c r="AV4890" s="11"/>
      <c r="AW4890" s="11"/>
      <c r="BB4890" s="9"/>
      <c r="BC4890" s="11"/>
      <c r="BF4890" s="9"/>
      <c r="CF4890" s="12"/>
      <c r="CH4890" s="9"/>
    </row>
    <row r="4891" spans="6:86" x14ac:dyDescent="0.25">
      <c r="F4891" s="9"/>
      <c r="G4891" s="9"/>
      <c r="AA4891" s="10"/>
      <c r="AV4891" s="11"/>
      <c r="AW4891" s="11"/>
      <c r="BB4891" s="9"/>
      <c r="BC4891" s="11"/>
      <c r="BF4891" s="9"/>
      <c r="CF4891" s="12"/>
      <c r="CH4891" s="9"/>
    </row>
    <row r="4892" spans="6:86" x14ac:dyDescent="0.25">
      <c r="F4892" s="9"/>
      <c r="G4892" s="9"/>
      <c r="AA4892" s="10"/>
      <c r="AV4892" s="11"/>
      <c r="AW4892" s="11"/>
      <c r="BB4892" s="9"/>
      <c r="BC4892" s="11"/>
      <c r="BF4892" s="9"/>
      <c r="CF4892" s="12"/>
      <c r="CH4892" s="9"/>
    </row>
    <row r="4893" spans="6:86" x14ac:dyDescent="0.25">
      <c r="F4893" s="9"/>
      <c r="G4893" s="9"/>
      <c r="AA4893" s="10"/>
      <c r="AV4893" s="11"/>
      <c r="AW4893" s="11"/>
      <c r="BB4893" s="9"/>
      <c r="BC4893" s="11"/>
      <c r="BF4893" s="9"/>
      <c r="CF4893" s="12"/>
      <c r="CH4893" s="9"/>
    </row>
    <row r="4894" spans="6:86" x14ac:dyDescent="0.25">
      <c r="F4894" s="9"/>
      <c r="G4894" s="9"/>
      <c r="AA4894" s="10"/>
      <c r="AV4894" s="11"/>
      <c r="AW4894" s="11"/>
      <c r="BB4894" s="9"/>
      <c r="BC4894" s="11"/>
      <c r="BF4894" s="9"/>
      <c r="CF4894" s="12"/>
      <c r="CH4894" s="9"/>
    </row>
    <row r="4895" spans="6:86" x14ac:dyDescent="0.25">
      <c r="F4895" s="9"/>
      <c r="G4895" s="9"/>
      <c r="AA4895" s="10"/>
      <c r="AV4895" s="11"/>
      <c r="AW4895" s="11"/>
      <c r="BB4895" s="9"/>
      <c r="BC4895" s="11"/>
      <c r="BF4895" s="9"/>
      <c r="CF4895" s="12"/>
      <c r="CH4895" s="9"/>
    </row>
    <row r="4896" spans="6:86" x14ac:dyDescent="0.25">
      <c r="F4896" s="9"/>
      <c r="G4896" s="9"/>
      <c r="AA4896" s="10"/>
      <c r="AV4896" s="11"/>
      <c r="AW4896" s="11"/>
      <c r="BB4896" s="9"/>
      <c r="BC4896" s="11"/>
      <c r="BF4896" s="9"/>
      <c r="CF4896" s="12"/>
      <c r="CH4896" s="9"/>
    </row>
    <row r="4897" spans="6:86" x14ac:dyDescent="0.25">
      <c r="F4897" s="9"/>
      <c r="G4897" s="9"/>
      <c r="AA4897" s="10"/>
      <c r="AV4897" s="11"/>
      <c r="AW4897" s="11"/>
      <c r="BB4897" s="9"/>
      <c r="BC4897" s="11"/>
      <c r="BF4897" s="9"/>
      <c r="CF4897" s="12"/>
      <c r="CH4897" s="9"/>
    </row>
    <row r="4898" spans="6:86" x14ac:dyDescent="0.25">
      <c r="F4898" s="9"/>
      <c r="G4898" s="9"/>
      <c r="AA4898" s="10"/>
      <c r="AV4898" s="11"/>
      <c r="AW4898" s="11"/>
      <c r="BB4898" s="9"/>
      <c r="BC4898" s="11"/>
      <c r="BF4898" s="9"/>
      <c r="CF4898" s="12"/>
      <c r="CH4898" s="9"/>
    </row>
    <row r="4899" spans="6:86" x14ac:dyDescent="0.25">
      <c r="F4899" s="9"/>
      <c r="G4899" s="9"/>
      <c r="AA4899" s="10"/>
      <c r="AV4899" s="11"/>
      <c r="AW4899" s="11"/>
      <c r="BB4899" s="9"/>
      <c r="BC4899" s="11"/>
      <c r="BF4899" s="9"/>
      <c r="CF4899" s="12"/>
      <c r="CH4899" s="9"/>
    </row>
    <row r="4900" spans="6:86" x14ac:dyDescent="0.25">
      <c r="F4900" s="9"/>
      <c r="G4900" s="9"/>
      <c r="AA4900" s="10"/>
      <c r="AV4900" s="11"/>
      <c r="AW4900" s="11"/>
      <c r="BB4900" s="9"/>
      <c r="BC4900" s="11"/>
      <c r="BF4900" s="9"/>
      <c r="CF4900" s="12"/>
      <c r="CH4900" s="9"/>
    </row>
    <row r="4901" spans="6:86" x14ac:dyDescent="0.25">
      <c r="F4901" s="9"/>
      <c r="G4901" s="9"/>
      <c r="AA4901" s="10"/>
      <c r="AV4901" s="11"/>
      <c r="AW4901" s="11"/>
      <c r="BB4901" s="9"/>
      <c r="BC4901" s="11"/>
      <c r="BF4901" s="9"/>
      <c r="CF4901" s="12"/>
      <c r="CH4901" s="9"/>
    </row>
    <row r="4902" spans="6:86" x14ac:dyDescent="0.25">
      <c r="F4902" s="9"/>
      <c r="G4902" s="9"/>
      <c r="AA4902" s="10"/>
      <c r="AV4902" s="11"/>
      <c r="AW4902" s="11"/>
      <c r="BB4902" s="9"/>
      <c r="BC4902" s="11"/>
      <c r="BF4902" s="9"/>
      <c r="CF4902" s="12"/>
      <c r="CH4902" s="9"/>
    </row>
    <row r="4903" spans="6:86" x14ac:dyDescent="0.25">
      <c r="F4903" s="9"/>
      <c r="G4903" s="9"/>
      <c r="AA4903" s="10"/>
      <c r="AV4903" s="11"/>
      <c r="AW4903" s="11"/>
      <c r="BB4903" s="9"/>
      <c r="BC4903" s="11"/>
      <c r="BF4903" s="9"/>
      <c r="CF4903" s="12"/>
      <c r="CH4903" s="9"/>
    </row>
    <row r="4904" spans="6:86" x14ac:dyDescent="0.25">
      <c r="F4904" s="9"/>
      <c r="G4904" s="9"/>
      <c r="AA4904" s="10"/>
      <c r="AV4904" s="11"/>
      <c r="AW4904" s="11"/>
      <c r="BB4904" s="9"/>
      <c r="BC4904" s="11"/>
      <c r="BF4904" s="9"/>
      <c r="CH4904" s="9"/>
    </row>
    <row r="4905" spans="6:86" x14ac:dyDescent="0.25">
      <c r="F4905" s="9"/>
      <c r="G4905" s="9"/>
      <c r="AA4905" s="10"/>
      <c r="AV4905" s="11"/>
      <c r="AW4905" s="11"/>
      <c r="BB4905" s="9"/>
      <c r="BC4905" s="11"/>
      <c r="BF4905" s="9"/>
      <c r="CF4905" s="12"/>
      <c r="CH4905" s="9"/>
    </row>
    <row r="4906" spans="6:86" x14ac:dyDescent="0.25">
      <c r="F4906" s="9"/>
      <c r="G4906" s="9"/>
      <c r="AA4906" s="10"/>
      <c r="AV4906" s="11"/>
      <c r="AW4906" s="11"/>
      <c r="BB4906" s="9"/>
      <c r="BC4906" s="11"/>
      <c r="BF4906" s="9"/>
      <c r="CF4906" s="12"/>
      <c r="CH4906" s="9"/>
    </row>
    <row r="4907" spans="6:86" x14ac:dyDescent="0.25">
      <c r="F4907" s="9"/>
      <c r="G4907" s="9"/>
      <c r="AA4907" s="10"/>
      <c r="AV4907" s="11"/>
      <c r="AW4907" s="11"/>
      <c r="BB4907" s="9"/>
      <c r="BC4907" s="11"/>
      <c r="BF4907" s="9"/>
      <c r="CF4907" s="12"/>
      <c r="CH4907" s="9"/>
    </row>
    <row r="4908" spans="6:86" x14ac:dyDescent="0.25">
      <c r="F4908" s="9"/>
      <c r="G4908" s="9"/>
      <c r="AA4908" s="10"/>
      <c r="AV4908" s="11"/>
      <c r="AW4908" s="11"/>
      <c r="BB4908" s="9"/>
      <c r="BC4908" s="11"/>
      <c r="BF4908" s="9"/>
      <c r="CF4908" s="12"/>
      <c r="CH4908" s="9"/>
    </row>
    <row r="4909" spans="6:86" x14ac:dyDescent="0.25">
      <c r="F4909" s="9"/>
      <c r="G4909" s="9"/>
      <c r="AA4909" s="10"/>
      <c r="AV4909" s="11"/>
      <c r="AW4909" s="11"/>
      <c r="BB4909" s="9"/>
      <c r="BC4909" s="11"/>
      <c r="BF4909" s="9"/>
      <c r="CF4909" s="12"/>
      <c r="CH4909" s="9"/>
    </row>
    <row r="4910" spans="6:86" x14ac:dyDescent="0.25">
      <c r="F4910" s="9"/>
      <c r="G4910" s="9"/>
      <c r="AA4910" s="10"/>
      <c r="AV4910" s="11"/>
      <c r="AW4910" s="11"/>
      <c r="BB4910" s="9"/>
      <c r="BC4910" s="11"/>
      <c r="BF4910" s="9"/>
      <c r="CF4910" s="12"/>
      <c r="CH4910" s="9"/>
    </row>
    <row r="4911" spans="6:86" x14ac:dyDescent="0.25">
      <c r="F4911" s="9"/>
      <c r="G4911" s="9"/>
      <c r="AA4911" s="10"/>
      <c r="AV4911" s="11"/>
      <c r="AW4911" s="11"/>
      <c r="BB4911" s="9"/>
      <c r="BC4911" s="11"/>
      <c r="BF4911" s="9"/>
      <c r="CF4911" s="12"/>
      <c r="CH4911" s="9"/>
    </row>
    <row r="4912" spans="6:86" x14ac:dyDescent="0.25">
      <c r="F4912" s="9"/>
      <c r="G4912" s="9"/>
      <c r="AA4912" s="10"/>
      <c r="AV4912" s="11"/>
      <c r="AW4912" s="11"/>
      <c r="BB4912" s="9"/>
      <c r="BC4912" s="11"/>
      <c r="BF4912" s="9"/>
      <c r="CF4912" s="12"/>
      <c r="CH4912" s="9"/>
    </row>
    <row r="4913" spans="6:86" x14ac:dyDescent="0.25">
      <c r="F4913" s="9"/>
      <c r="G4913" s="9"/>
      <c r="AA4913" s="10"/>
      <c r="AV4913" s="11"/>
      <c r="AW4913" s="11"/>
      <c r="BB4913" s="9"/>
      <c r="BC4913" s="11"/>
      <c r="BF4913" s="9"/>
      <c r="CF4913" s="12"/>
      <c r="CH4913" s="9"/>
    </row>
    <row r="4914" spans="6:86" x14ac:dyDescent="0.25">
      <c r="F4914" s="9"/>
      <c r="G4914" s="9"/>
      <c r="AA4914" s="10"/>
      <c r="AV4914" s="11"/>
      <c r="AW4914" s="11"/>
      <c r="BB4914" s="9"/>
      <c r="BC4914" s="11"/>
      <c r="BF4914" s="9"/>
      <c r="CF4914" s="12"/>
      <c r="CH4914" s="9"/>
    </row>
    <row r="4915" spans="6:86" x14ac:dyDescent="0.25">
      <c r="F4915" s="9"/>
      <c r="G4915" s="9"/>
      <c r="AA4915" s="10"/>
      <c r="AV4915" s="11"/>
      <c r="AW4915" s="11"/>
      <c r="BB4915" s="9"/>
      <c r="BC4915" s="11"/>
      <c r="BF4915" s="9"/>
      <c r="CF4915" s="12"/>
      <c r="CH4915" s="9"/>
    </row>
    <row r="4916" spans="6:86" x14ac:dyDescent="0.25">
      <c r="F4916" s="9"/>
      <c r="G4916" s="9"/>
      <c r="AA4916" s="10"/>
      <c r="AV4916" s="11"/>
      <c r="AW4916" s="11"/>
      <c r="BB4916" s="9"/>
      <c r="BC4916" s="11"/>
      <c r="BF4916" s="9"/>
      <c r="CF4916" s="12"/>
      <c r="CH4916" s="9"/>
    </row>
    <row r="4917" spans="6:86" x14ac:dyDescent="0.25">
      <c r="F4917" s="9"/>
      <c r="G4917" s="9"/>
      <c r="AA4917" s="10"/>
      <c r="AV4917" s="11"/>
      <c r="AW4917" s="11"/>
      <c r="BB4917" s="9"/>
      <c r="BC4917" s="11"/>
      <c r="BF4917" s="9"/>
      <c r="CF4917" s="12"/>
      <c r="CH4917" s="9"/>
    </row>
    <row r="4918" spans="6:86" x14ac:dyDescent="0.25">
      <c r="F4918" s="9"/>
      <c r="G4918" s="9"/>
      <c r="AA4918" s="10"/>
      <c r="AV4918" s="11"/>
      <c r="AW4918" s="11"/>
      <c r="BB4918" s="9"/>
      <c r="BC4918" s="11"/>
      <c r="BF4918" s="9"/>
      <c r="CF4918" s="12"/>
      <c r="CH4918" s="9"/>
    </row>
    <row r="4919" spans="6:86" x14ac:dyDescent="0.25">
      <c r="F4919" s="9"/>
      <c r="G4919" s="9"/>
      <c r="AA4919" s="10"/>
      <c r="AV4919" s="11"/>
      <c r="AW4919" s="11"/>
      <c r="BB4919" s="9"/>
      <c r="BC4919" s="11"/>
      <c r="BF4919" s="9"/>
      <c r="CF4919" s="12"/>
      <c r="CH4919" s="9"/>
    </row>
    <row r="4920" spans="6:86" x14ac:dyDescent="0.25">
      <c r="F4920" s="9"/>
      <c r="G4920" s="9"/>
      <c r="AA4920" s="10"/>
      <c r="AV4920" s="11"/>
      <c r="AW4920" s="11"/>
      <c r="BB4920" s="9"/>
      <c r="BC4920" s="11"/>
      <c r="BF4920" s="9"/>
      <c r="CF4920" s="12"/>
      <c r="CH4920" s="9"/>
    </row>
    <row r="4921" spans="6:86" x14ac:dyDescent="0.25">
      <c r="F4921" s="9"/>
      <c r="G4921" s="9"/>
      <c r="AA4921" s="10"/>
      <c r="AV4921" s="11"/>
      <c r="AW4921" s="11"/>
      <c r="BB4921" s="9"/>
      <c r="BC4921" s="11"/>
      <c r="BF4921" s="9"/>
      <c r="CF4921" s="12"/>
      <c r="CH4921" s="9"/>
    </row>
    <row r="4922" spans="6:86" x14ac:dyDescent="0.25">
      <c r="F4922" s="9"/>
      <c r="G4922" s="9"/>
      <c r="AA4922" s="10"/>
      <c r="AV4922" s="11"/>
      <c r="AW4922" s="11"/>
      <c r="BB4922" s="9"/>
      <c r="BC4922" s="11"/>
      <c r="BF4922" s="9"/>
      <c r="CF4922" s="12"/>
      <c r="CH4922" s="9"/>
    </row>
    <row r="4923" spans="6:86" x14ac:dyDescent="0.25">
      <c r="F4923" s="9"/>
      <c r="G4923" s="9"/>
      <c r="AA4923" s="10"/>
      <c r="AV4923" s="11"/>
      <c r="AW4923" s="11"/>
      <c r="BB4923" s="9"/>
      <c r="BC4923" s="11"/>
      <c r="BF4923" s="9"/>
      <c r="CF4923" s="12"/>
      <c r="CH4923" s="9"/>
    </row>
    <row r="4924" spans="6:86" x14ac:dyDescent="0.25">
      <c r="F4924" s="9"/>
      <c r="G4924" s="9"/>
      <c r="AA4924" s="10"/>
      <c r="AV4924" s="11"/>
      <c r="AW4924" s="11"/>
      <c r="BB4924" s="9"/>
      <c r="BC4924" s="11"/>
      <c r="BF4924" s="9"/>
      <c r="CH4924" s="9"/>
    </row>
    <row r="4925" spans="6:86" x14ac:dyDescent="0.25">
      <c r="F4925" s="9"/>
      <c r="G4925" s="9"/>
      <c r="AA4925" s="10"/>
      <c r="AV4925" s="11"/>
      <c r="AW4925" s="11"/>
      <c r="BB4925" s="9"/>
      <c r="BC4925" s="11"/>
      <c r="BF4925" s="9"/>
      <c r="CF4925" s="12"/>
      <c r="CH4925" s="9"/>
    </row>
    <row r="4926" spans="6:86" x14ac:dyDescent="0.25">
      <c r="F4926" s="9"/>
      <c r="G4926" s="9"/>
      <c r="AA4926" s="10"/>
      <c r="AV4926" s="11"/>
      <c r="AW4926" s="11"/>
      <c r="BB4926" s="9"/>
      <c r="BC4926" s="11"/>
      <c r="BF4926" s="9"/>
      <c r="CF4926" s="12"/>
      <c r="CH4926" s="9"/>
    </row>
    <row r="4927" spans="6:86" x14ac:dyDescent="0.25">
      <c r="F4927" s="9"/>
      <c r="G4927" s="9"/>
      <c r="AA4927" s="10"/>
      <c r="AV4927" s="11"/>
      <c r="AW4927" s="11"/>
      <c r="BB4927" s="9"/>
      <c r="BC4927" s="11"/>
      <c r="BF4927" s="9"/>
      <c r="CF4927" s="12"/>
      <c r="CH4927" s="9"/>
    </row>
    <row r="4928" spans="6:86" x14ac:dyDescent="0.25">
      <c r="F4928" s="9"/>
      <c r="G4928" s="9"/>
      <c r="AA4928" s="10"/>
      <c r="AV4928" s="11"/>
      <c r="AW4928" s="11"/>
      <c r="BB4928" s="9"/>
      <c r="BC4928" s="11"/>
      <c r="BF4928" s="9"/>
      <c r="CF4928" s="12"/>
      <c r="CH4928" s="9"/>
    </row>
    <row r="4929" spans="6:86" x14ac:dyDescent="0.25">
      <c r="F4929" s="9"/>
      <c r="G4929" s="9"/>
      <c r="AA4929" s="10"/>
      <c r="AV4929" s="11"/>
      <c r="AW4929" s="11"/>
      <c r="BB4929" s="9"/>
      <c r="BC4929" s="11"/>
      <c r="BF4929" s="9"/>
      <c r="CF4929" s="12"/>
      <c r="CH4929" s="9"/>
    </row>
    <row r="4930" spans="6:86" x14ac:dyDescent="0.25">
      <c r="F4930" s="9"/>
      <c r="G4930" s="9"/>
      <c r="AA4930" s="10"/>
      <c r="AV4930" s="11"/>
      <c r="AW4930" s="11"/>
      <c r="BB4930" s="9"/>
      <c r="BC4930" s="11"/>
      <c r="BF4930" s="9"/>
      <c r="CF4930" s="12"/>
      <c r="CH4930" s="9"/>
    </row>
    <row r="4931" spans="6:86" x14ac:dyDescent="0.25">
      <c r="F4931" s="9"/>
      <c r="G4931" s="9"/>
      <c r="AA4931" s="10"/>
      <c r="AV4931" s="11"/>
      <c r="AW4931" s="11"/>
      <c r="BB4931" s="9"/>
      <c r="BC4931" s="11"/>
      <c r="BF4931" s="9"/>
      <c r="CF4931" s="12"/>
      <c r="CH4931" s="9"/>
    </row>
    <row r="4932" spans="6:86" x14ac:dyDescent="0.25">
      <c r="F4932" s="9"/>
      <c r="G4932" s="9"/>
      <c r="AA4932" s="10"/>
      <c r="AV4932" s="11"/>
      <c r="AW4932" s="11"/>
      <c r="BB4932" s="9"/>
      <c r="BC4932" s="11"/>
      <c r="BF4932" s="9"/>
      <c r="CF4932" s="12"/>
      <c r="CH4932" s="9"/>
    </row>
    <row r="4933" spans="6:86" x14ac:dyDescent="0.25">
      <c r="F4933" s="9"/>
      <c r="G4933" s="9"/>
      <c r="AA4933" s="10"/>
      <c r="AV4933" s="11"/>
      <c r="AW4933" s="11"/>
      <c r="BB4933" s="9"/>
      <c r="BC4933" s="11"/>
      <c r="BF4933" s="9"/>
      <c r="CF4933" s="12"/>
      <c r="CH4933" s="9"/>
    </row>
    <row r="4934" spans="6:86" x14ac:dyDescent="0.25">
      <c r="F4934" s="9"/>
      <c r="G4934" s="9"/>
      <c r="AA4934" s="10"/>
      <c r="AV4934" s="11"/>
      <c r="AW4934" s="11"/>
      <c r="BB4934" s="9"/>
      <c r="BC4934" s="11"/>
      <c r="BF4934" s="9"/>
      <c r="CF4934" s="12"/>
      <c r="CH4934" s="9"/>
    </row>
    <row r="4935" spans="6:86" x14ac:dyDescent="0.25">
      <c r="F4935" s="9"/>
      <c r="G4935" s="9"/>
      <c r="AA4935" s="10"/>
      <c r="AV4935" s="11"/>
      <c r="AW4935" s="11"/>
      <c r="BB4935" s="9"/>
      <c r="BC4935" s="11"/>
      <c r="BF4935" s="9"/>
      <c r="CF4935" s="12"/>
      <c r="CH4935" s="9"/>
    </row>
    <row r="4936" spans="6:86" x14ac:dyDescent="0.25">
      <c r="F4936" s="9"/>
      <c r="G4936" s="9"/>
      <c r="AA4936" s="10"/>
      <c r="AV4936" s="11"/>
      <c r="AW4936" s="11"/>
      <c r="BB4936" s="9"/>
      <c r="BC4936" s="11"/>
      <c r="BF4936" s="9"/>
      <c r="CF4936" s="12"/>
      <c r="CH4936" s="9"/>
    </row>
    <row r="4937" spans="6:86" x14ac:dyDescent="0.25">
      <c r="F4937" s="9"/>
      <c r="G4937" s="9"/>
      <c r="AA4937" s="10"/>
      <c r="AV4937" s="11"/>
      <c r="AW4937" s="11"/>
      <c r="BB4937" s="9"/>
      <c r="BC4937" s="11"/>
      <c r="BF4937" s="9"/>
      <c r="CF4937" s="12"/>
      <c r="CH4937" s="9"/>
    </row>
    <row r="4938" spans="6:86" x14ac:dyDescent="0.25">
      <c r="F4938" s="9"/>
      <c r="G4938" s="9"/>
      <c r="AA4938" s="10"/>
      <c r="AV4938" s="11"/>
      <c r="AW4938" s="11"/>
      <c r="BB4938" s="9"/>
      <c r="BC4938" s="11"/>
      <c r="BF4938" s="9"/>
      <c r="CF4938" s="12"/>
      <c r="CH4938" s="9"/>
    </row>
    <row r="4939" spans="6:86" x14ac:dyDescent="0.25">
      <c r="F4939" s="9"/>
      <c r="G4939" s="9"/>
      <c r="AA4939" s="10"/>
      <c r="AV4939" s="11"/>
      <c r="AW4939" s="11"/>
      <c r="BB4939" s="9"/>
      <c r="BC4939" s="11"/>
      <c r="BF4939" s="9"/>
      <c r="CF4939" s="12"/>
      <c r="CH4939" s="9"/>
    </row>
    <row r="4940" spans="6:86" x14ac:dyDescent="0.25">
      <c r="F4940" s="9"/>
      <c r="G4940" s="9"/>
      <c r="AA4940" s="10"/>
      <c r="AV4940" s="11"/>
      <c r="AW4940" s="11"/>
      <c r="BB4940" s="9"/>
      <c r="BC4940" s="11"/>
      <c r="BF4940" s="9"/>
      <c r="CF4940" s="12"/>
      <c r="CH4940" s="9"/>
    </row>
    <row r="4941" spans="6:86" x14ac:dyDescent="0.25">
      <c r="F4941" s="9"/>
      <c r="G4941" s="9"/>
      <c r="AA4941" s="10"/>
      <c r="AV4941" s="11"/>
      <c r="AW4941" s="11"/>
      <c r="BB4941" s="9"/>
      <c r="BC4941" s="11"/>
      <c r="BF4941" s="9"/>
      <c r="CH4941" s="9"/>
    </row>
    <row r="4942" spans="6:86" x14ac:dyDescent="0.25">
      <c r="F4942" s="9"/>
      <c r="G4942" s="9"/>
      <c r="AA4942" s="10"/>
      <c r="AV4942" s="11"/>
      <c r="AW4942" s="11"/>
      <c r="BB4942" s="9"/>
      <c r="BC4942" s="11"/>
      <c r="BF4942" s="9"/>
      <c r="CH4942" s="9"/>
    </row>
    <row r="4943" spans="6:86" x14ac:dyDescent="0.25">
      <c r="F4943" s="9"/>
      <c r="G4943" s="9"/>
      <c r="AA4943" s="10"/>
      <c r="AV4943" s="11"/>
      <c r="AW4943" s="11"/>
      <c r="BB4943" s="9"/>
      <c r="BC4943" s="11"/>
      <c r="BF4943" s="9"/>
      <c r="CF4943" s="12"/>
      <c r="CH4943" s="9"/>
    </row>
    <row r="4944" spans="6:86" x14ac:dyDescent="0.25">
      <c r="F4944" s="9"/>
      <c r="G4944" s="9"/>
      <c r="AA4944" s="10"/>
      <c r="AV4944" s="11"/>
      <c r="AW4944" s="11"/>
      <c r="BB4944" s="9"/>
      <c r="BC4944" s="11"/>
      <c r="BF4944" s="9"/>
      <c r="CF4944" s="12"/>
      <c r="CH4944" s="9"/>
    </row>
    <row r="4945" spans="6:86" x14ac:dyDescent="0.25">
      <c r="F4945" s="9"/>
      <c r="G4945" s="9"/>
      <c r="AA4945" s="10"/>
      <c r="AV4945" s="11"/>
      <c r="AW4945" s="11"/>
      <c r="BB4945" s="9"/>
      <c r="BC4945" s="11"/>
      <c r="BF4945" s="9"/>
      <c r="CF4945" s="12"/>
      <c r="CH4945" s="9"/>
    </row>
    <row r="4946" spans="6:86" x14ac:dyDescent="0.25">
      <c r="F4946" s="9"/>
      <c r="G4946" s="9"/>
      <c r="AA4946" s="10"/>
      <c r="AV4946" s="11"/>
      <c r="AW4946" s="11"/>
      <c r="BB4946" s="9"/>
      <c r="BC4946" s="11"/>
      <c r="BF4946" s="9"/>
      <c r="CF4946" s="12"/>
      <c r="CH4946" s="9"/>
    </row>
    <row r="4947" spans="6:86" x14ac:dyDescent="0.25">
      <c r="F4947" s="9"/>
      <c r="G4947" s="9"/>
      <c r="AA4947" s="10"/>
      <c r="AV4947" s="11"/>
      <c r="AW4947" s="11"/>
      <c r="BB4947" s="9"/>
      <c r="BC4947" s="11"/>
      <c r="BF4947" s="9"/>
      <c r="CF4947" s="12"/>
      <c r="CH4947" s="9"/>
    </row>
    <row r="4948" spans="6:86" x14ac:dyDescent="0.25">
      <c r="F4948" s="9"/>
      <c r="G4948" s="9"/>
      <c r="U4948" s="12"/>
      <c r="AA4948" s="10"/>
      <c r="AV4948" s="11"/>
      <c r="AW4948" s="11"/>
      <c r="BB4948" s="9"/>
      <c r="BC4948" s="11"/>
      <c r="BF4948" s="9"/>
      <c r="CF4948" s="12"/>
      <c r="CH4948" s="9"/>
    </row>
    <row r="4949" spans="6:86" x14ac:dyDescent="0.25">
      <c r="F4949" s="9"/>
      <c r="G4949" s="9"/>
      <c r="AA4949" s="10"/>
      <c r="AV4949" s="11"/>
      <c r="AW4949" s="11"/>
      <c r="BB4949" s="9"/>
      <c r="BC4949" s="11"/>
      <c r="BF4949" s="9"/>
      <c r="CF4949" s="12"/>
      <c r="CH4949" s="9"/>
    </row>
    <row r="4950" spans="6:86" x14ac:dyDescent="0.25">
      <c r="F4950" s="9"/>
      <c r="G4950" s="9"/>
      <c r="AA4950" s="10"/>
      <c r="AV4950" s="11"/>
      <c r="AW4950" s="11"/>
      <c r="BB4950" s="9"/>
      <c r="BC4950" s="11"/>
      <c r="BF4950" s="9"/>
      <c r="CF4950" s="12"/>
      <c r="CH4950" s="9"/>
    </row>
    <row r="4951" spans="6:86" x14ac:dyDescent="0.25">
      <c r="F4951" s="9"/>
      <c r="G4951" s="9"/>
      <c r="AA4951" s="10"/>
      <c r="AV4951" s="11"/>
      <c r="AW4951" s="11"/>
      <c r="BB4951" s="9"/>
      <c r="BC4951" s="11"/>
      <c r="BF4951" s="9"/>
      <c r="CF4951" s="12"/>
      <c r="CH4951" s="9"/>
    </row>
    <row r="4952" spans="6:86" x14ac:dyDescent="0.25">
      <c r="F4952" s="9"/>
      <c r="G4952" s="9"/>
      <c r="AA4952" s="10"/>
      <c r="AV4952" s="11"/>
      <c r="AW4952" s="11"/>
      <c r="BB4952" s="9"/>
      <c r="BC4952" s="11"/>
      <c r="BF4952" s="9"/>
      <c r="CF4952" s="12"/>
      <c r="CH4952" s="9"/>
    </row>
    <row r="4953" spans="6:86" x14ac:dyDescent="0.25">
      <c r="F4953" s="9"/>
      <c r="G4953" s="9"/>
      <c r="AA4953" s="10"/>
      <c r="AV4953" s="11"/>
      <c r="AW4953" s="11"/>
      <c r="BB4953" s="9"/>
      <c r="BC4953" s="11"/>
      <c r="BF4953" s="9"/>
      <c r="CF4953" s="12"/>
      <c r="CH4953" s="9"/>
    </row>
    <row r="4954" spans="6:86" x14ac:dyDescent="0.25">
      <c r="F4954" s="9"/>
      <c r="G4954" s="9"/>
      <c r="AA4954" s="10"/>
      <c r="AV4954" s="11"/>
      <c r="AW4954" s="11"/>
      <c r="BB4954" s="9"/>
      <c r="BC4954" s="11"/>
      <c r="BF4954" s="9"/>
      <c r="CF4954" s="12"/>
      <c r="CH4954" s="9"/>
    </row>
    <row r="4955" spans="6:86" x14ac:dyDescent="0.25">
      <c r="F4955" s="9"/>
      <c r="G4955" s="9"/>
      <c r="AA4955" s="10"/>
      <c r="AV4955" s="11"/>
      <c r="AW4955" s="11"/>
      <c r="BB4955" s="9"/>
      <c r="BC4955" s="11"/>
      <c r="BF4955" s="9"/>
      <c r="CH4955" s="9"/>
    </row>
    <row r="4956" spans="6:86" x14ac:dyDescent="0.25">
      <c r="F4956" s="9"/>
      <c r="G4956" s="9"/>
      <c r="AA4956" s="10"/>
      <c r="AV4956" s="11"/>
      <c r="AW4956" s="11"/>
      <c r="BB4956" s="9"/>
      <c r="BC4956" s="11"/>
      <c r="BF4956" s="9"/>
      <c r="CF4956" s="12"/>
      <c r="CH4956" s="9"/>
    </row>
    <row r="4957" spans="6:86" x14ac:dyDescent="0.25">
      <c r="F4957" s="9"/>
      <c r="G4957" s="9"/>
      <c r="AA4957" s="10"/>
      <c r="AV4957" s="11"/>
      <c r="AW4957" s="11"/>
      <c r="BB4957" s="9"/>
      <c r="BC4957" s="11"/>
      <c r="BF4957" s="9"/>
      <c r="CF4957" s="12"/>
      <c r="CH4957" s="9"/>
    </row>
    <row r="4958" spans="6:86" x14ac:dyDescent="0.25">
      <c r="F4958" s="9"/>
      <c r="G4958" s="9"/>
      <c r="AA4958" s="10"/>
      <c r="AV4958" s="11"/>
      <c r="AW4958" s="11"/>
      <c r="BB4958" s="9"/>
      <c r="BC4958" s="11"/>
      <c r="BF4958" s="9"/>
      <c r="CF4958" s="12"/>
      <c r="CH4958" s="9"/>
    </row>
    <row r="4959" spans="6:86" x14ac:dyDescent="0.25">
      <c r="F4959" s="9"/>
      <c r="G4959" s="9"/>
      <c r="AA4959" s="10"/>
      <c r="AV4959" s="11"/>
      <c r="AW4959" s="11"/>
      <c r="BB4959" s="9"/>
      <c r="BC4959" s="11"/>
      <c r="BF4959" s="9"/>
      <c r="CF4959" s="12"/>
      <c r="CH4959" s="9"/>
    </row>
    <row r="4960" spans="6:86" x14ac:dyDescent="0.25">
      <c r="F4960" s="9"/>
      <c r="G4960" s="9"/>
      <c r="AA4960" s="10"/>
      <c r="AV4960" s="11"/>
      <c r="AW4960" s="11"/>
      <c r="BB4960" s="9"/>
      <c r="BC4960" s="11"/>
      <c r="BF4960" s="9"/>
      <c r="CF4960" s="12"/>
      <c r="CH4960" s="9"/>
    </row>
    <row r="4961" spans="6:86" x14ac:dyDescent="0.25">
      <c r="F4961" s="9"/>
      <c r="G4961" s="9"/>
      <c r="AA4961" s="10"/>
      <c r="AV4961" s="11"/>
      <c r="AW4961" s="11"/>
      <c r="BB4961" s="9"/>
      <c r="BC4961" s="11"/>
      <c r="BF4961" s="9"/>
      <c r="CF4961" s="12"/>
      <c r="CH4961" s="9"/>
    </row>
    <row r="4962" spans="6:86" x14ac:dyDescent="0.25">
      <c r="F4962" s="9"/>
      <c r="G4962" s="9"/>
      <c r="AA4962" s="10"/>
      <c r="AV4962" s="11"/>
      <c r="AW4962" s="11"/>
      <c r="BB4962" s="9"/>
      <c r="BC4962" s="11"/>
      <c r="BF4962" s="9"/>
      <c r="CF4962" s="12"/>
      <c r="CH4962" s="9"/>
    </row>
    <row r="4963" spans="6:86" x14ac:dyDescent="0.25">
      <c r="F4963" s="9"/>
      <c r="G4963" s="9"/>
      <c r="AA4963" s="10"/>
      <c r="AV4963" s="11"/>
      <c r="AW4963" s="11"/>
      <c r="BB4963" s="9"/>
      <c r="BC4963" s="11"/>
      <c r="BF4963" s="9"/>
      <c r="CH4963" s="9"/>
    </row>
    <row r="4964" spans="6:86" x14ac:dyDescent="0.25">
      <c r="F4964" s="9"/>
      <c r="G4964" s="9"/>
      <c r="AA4964" s="10"/>
      <c r="AV4964" s="11"/>
      <c r="AW4964" s="11"/>
      <c r="BB4964" s="9"/>
      <c r="BC4964" s="11"/>
      <c r="BF4964" s="9"/>
      <c r="CF4964" s="12"/>
      <c r="CH4964" s="9"/>
    </row>
    <row r="4965" spans="6:86" x14ac:dyDescent="0.25">
      <c r="F4965" s="9"/>
      <c r="G4965" s="9"/>
      <c r="AA4965" s="10"/>
      <c r="AV4965" s="11"/>
      <c r="AW4965" s="11"/>
      <c r="BB4965" s="9"/>
      <c r="BC4965" s="11"/>
      <c r="BF4965" s="9"/>
      <c r="CF4965" s="12"/>
      <c r="CH4965" s="9"/>
    </row>
    <row r="4966" spans="6:86" x14ac:dyDescent="0.25">
      <c r="F4966" s="9"/>
      <c r="G4966" s="9"/>
      <c r="AA4966" s="10"/>
      <c r="AV4966" s="11"/>
      <c r="AW4966" s="11"/>
      <c r="BB4966" s="9"/>
      <c r="BC4966" s="11"/>
      <c r="BF4966" s="9"/>
      <c r="CF4966" s="12"/>
      <c r="CH4966" s="9"/>
    </row>
    <row r="4967" spans="6:86" x14ac:dyDescent="0.25">
      <c r="F4967" s="9"/>
      <c r="G4967" s="9"/>
      <c r="AA4967" s="10"/>
      <c r="AV4967" s="11"/>
      <c r="AW4967" s="11"/>
      <c r="BB4967" s="9"/>
      <c r="BC4967" s="11"/>
      <c r="BF4967" s="9"/>
      <c r="CF4967" s="12"/>
      <c r="CH4967" s="9"/>
    </row>
    <row r="4968" spans="6:86" x14ac:dyDescent="0.25">
      <c r="F4968" s="9"/>
      <c r="G4968" s="9"/>
      <c r="AA4968" s="10"/>
      <c r="AV4968" s="11"/>
      <c r="AW4968" s="11"/>
      <c r="BB4968" s="9"/>
      <c r="BC4968" s="11"/>
      <c r="BF4968" s="9"/>
      <c r="CF4968" s="12"/>
      <c r="CH4968" s="9"/>
    </row>
    <row r="4969" spans="6:86" x14ac:dyDescent="0.25">
      <c r="F4969" s="9"/>
      <c r="G4969" s="9"/>
      <c r="AA4969" s="10"/>
      <c r="AV4969" s="11"/>
      <c r="AW4969" s="11"/>
      <c r="BB4969" s="9"/>
      <c r="BC4969" s="11"/>
      <c r="BF4969" s="9"/>
      <c r="CF4969" s="12"/>
      <c r="CH4969" s="9"/>
    </row>
    <row r="4970" spans="6:86" x14ac:dyDescent="0.25">
      <c r="F4970" s="9"/>
      <c r="G4970" s="9"/>
      <c r="AA4970" s="10"/>
      <c r="AV4970" s="11"/>
      <c r="AW4970" s="11"/>
      <c r="BB4970" s="9"/>
      <c r="BC4970" s="11"/>
      <c r="BF4970" s="9"/>
      <c r="CF4970" s="12"/>
      <c r="CH4970" s="9"/>
    </row>
    <row r="4971" spans="6:86" x14ac:dyDescent="0.25">
      <c r="F4971" s="9"/>
      <c r="G4971" s="9"/>
      <c r="AA4971" s="10"/>
      <c r="AV4971" s="11"/>
      <c r="AW4971" s="11"/>
      <c r="BB4971" s="9"/>
      <c r="BC4971" s="11"/>
      <c r="BF4971" s="9"/>
      <c r="CF4971" s="12"/>
      <c r="CH4971" s="9"/>
    </row>
    <row r="4972" spans="6:86" x14ac:dyDescent="0.25">
      <c r="F4972" s="9"/>
      <c r="G4972" s="9"/>
      <c r="AA4972" s="10"/>
      <c r="AV4972" s="11"/>
      <c r="AW4972" s="11"/>
      <c r="BB4972" s="9"/>
      <c r="BC4972" s="11"/>
      <c r="BF4972" s="9"/>
      <c r="CF4972" s="12"/>
      <c r="CH4972" s="9"/>
    </row>
    <row r="4973" spans="6:86" x14ac:dyDescent="0.25">
      <c r="F4973" s="9"/>
      <c r="G4973" s="9"/>
      <c r="AA4973" s="10"/>
      <c r="AV4973" s="11"/>
      <c r="AW4973" s="11"/>
      <c r="BB4973" s="9"/>
      <c r="BC4973" s="11"/>
      <c r="BF4973" s="9"/>
      <c r="CF4973" s="12"/>
      <c r="CH4973" s="9"/>
    </row>
    <row r="4974" spans="6:86" x14ac:dyDescent="0.25">
      <c r="F4974" s="9"/>
      <c r="G4974" s="9"/>
      <c r="AA4974" s="10"/>
      <c r="AV4974" s="11"/>
      <c r="AW4974" s="11"/>
      <c r="BB4974" s="9"/>
      <c r="BC4974" s="11"/>
      <c r="BF4974" s="9"/>
      <c r="CF4974" s="12"/>
      <c r="CH4974" s="9"/>
    </row>
    <row r="4975" spans="6:86" x14ac:dyDescent="0.25">
      <c r="F4975" s="9"/>
      <c r="G4975" s="9"/>
      <c r="AA4975" s="10"/>
      <c r="AV4975" s="11"/>
      <c r="AW4975" s="11"/>
      <c r="BB4975" s="9"/>
      <c r="BC4975" s="11"/>
      <c r="BF4975" s="9"/>
      <c r="CF4975" s="12"/>
      <c r="CH4975" s="9"/>
    </row>
    <row r="4976" spans="6:86" x14ac:dyDescent="0.25">
      <c r="F4976" s="9"/>
      <c r="G4976" s="9"/>
      <c r="AA4976" s="10"/>
      <c r="AV4976" s="11"/>
      <c r="AW4976" s="11"/>
      <c r="BB4976" s="9"/>
      <c r="BC4976" s="11"/>
      <c r="BF4976" s="9"/>
      <c r="CF4976" s="12"/>
      <c r="CH4976" s="9"/>
    </row>
    <row r="4977" spans="6:86" x14ac:dyDescent="0.25">
      <c r="F4977" s="9"/>
      <c r="G4977" s="9"/>
      <c r="AA4977" s="10"/>
      <c r="AV4977" s="11"/>
      <c r="AW4977" s="11"/>
      <c r="BB4977" s="9"/>
      <c r="BC4977" s="11"/>
      <c r="BF4977" s="9"/>
      <c r="CF4977" s="12"/>
      <c r="CH4977" s="9"/>
    </row>
    <row r="4978" spans="6:86" x14ac:dyDescent="0.25">
      <c r="F4978" s="9"/>
      <c r="G4978" s="9"/>
      <c r="AA4978" s="10"/>
      <c r="AV4978" s="11"/>
      <c r="AW4978" s="11"/>
      <c r="BB4978" s="9"/>
      <c r="BC4978" s="11"/>
      <c r="BF4978" s="9"/>
      <c r="CF4978" s="12"/>
      <c r="CH4978" s="9"/>
    </row>
    <row r="4979" spans="6:86" x14ac:dyDescent="0.25">
      <c r="F4979" s="9"/>
      <c r="G4979" s="9"/>
      <c r="AA4979" s="10"/>
      <c r="AV4979" s="11"/>
      <c r="AW4979" s="11"/>
      <c r="BB4979" s="9"/>
      <c r="BC4979" s="11"/>
      <c r="BF4979" s="9"/>
      <c r="CF4979" s="12"/>
      <c r="CH4979" s="9"/>
    </row>
    <row r="4980" spans="6:86" x14ac:dyDescent="0.25">
      <c r="F4980" s="9"/>
      <c r="G4980" s="9"/>
      <c r="AA4980" s="10"/>
      <c r="AV4980" s="11"/>
      <c r="AW4980" s="11"/>
      <c r="BB4980" s="9"/>
      <c r="BC4980" s="11"/>
      <c r="BF4980" s="9"/>
      <c r="CF4980" s="12"/>
      <c r="CH4980" s="9"/>
    </row>
    <row r="4981" spans="6:86" x14ac:dyDescent="0.25">
      <c r="F4981" s="9"/>
      <c r="G4981" s="9"/>
      <c r="AA4981" s="10"/>
      <c r="AV4981" s="11"/>
      <c r="AW4981" s="11"/>
      <c r="BB4981" s="9"/>
      <c r="BC4981" s="11"/>
      <c r="BF4981" s="9"/>
      <c r="CF4981" s="12"/>
      <c r="CH4981" s="9"/>
    </row>
    <row r="4982" spans="6:86" x14ac:dyDescent="0.25">
      <c r="F4982" s="9"/>
      <c r="G4982" s="9"/>
      <c r="AA4982" s="10"/>
      <c r="AV4982" s="11"/>
      <c r="AW4982" s="11"/>
      <c r="BB4982" s="9"/>
      <c r="BC4982" s="11"/>
      <c r="BF4982" s="9"/>
      <c r="CF4982" s="12"/>
      <c r="CH4982" s="9"/>
    </row>
    <row r="4983" spans="6:86" x14ac:dyDescent="0.25">
      <c r="F4983" s="9"/>
      <c r="G4983" s="9"/>
      <c r="AA4983" s="10"/>
      <c r="AV4983" s="11"/>
      <c r="AW4983" s="11"/>
      <c r="BB4983" s="9"/>
      <c r="BC4983" s="11"/>
      <c r="BF4983" s="9"/>
      <c r="CF4983" s="12"/>
      <c r="CH4983" s="9"/>
    </row>
    <row r="4984" spans="6:86" x14ac:dyDescent="0.25">
      <c r="F4984" s="9"/>
      <c r="G4984" s="9"/>
      <c r="AA4984" s="10"/>
      <c r="AV4984" s="11"/>
      <c r="AW4984" s="11"/>
      <c r="BB4984" s="9"/>
      <c r="BC4984" s="11"/>
      <c r="BF4984" s="9"/>
      <c r="CF4984" s="12"/>
      <c r="CH4984" s="9"/>
    </row>
    <row r="4985" spans="6:86" x14ac:dyDescent="0.25">
      <c r="F4985" s="9"/>
      <c r="G4985" s="9"/>
      <c r="AA4985" s="10"/>
      <c r="AV4985" s="11"/>
      <c r="AW4985" s="11"/>
      <c r="BB4985" s="9"/>
      <c r="BC4985" s="11"/>
      <c r="BF4985" s="9"/>
      <c r="CF4985" s="12"/>
      <c r="CH4985" s="9"/>
    </row>
    <row r="4986" spans="6:86" x14ac:dyDescent="0.25">
      <c r="F4986" s="9"/>
      <c r="G4986" s="9"/>
      <c r="AA4986" s="10"/>
      <c r="AV4986" s="11"/>
      <c r="AW4986" s="11"/>
      <c r="BB4986" s="9"/>
      <c r="BC4986" s="11"/>
      <c r="BF4986" s="9"/>
      <c r="CF4986" s="12"/>
      <c r="CH4986" s="9"/>
    </row>
    <row r="4987" spans="6:86" x14ac:dyDescent="0.25">
      <c r="F4987" s="9"/>
      <c r="G4987" s="9"/>
      <c r="AA4987" s="10"/>
      <c r="AV4987" s="11"/>
      <c r="AW4987" s="11"/>
      <c r="BB4987" s="9"/>
      <c r="BC4987" s="11"/>
      <c r="BF4987" s="9"/>
      <c r="CF4987" s="12"/>
      <c r="CH4987" s="9"/>
    </row>
    <row r="4988" spans="6:86" x14ac:dyDescent="0.25">
      <c r="F4988" s="9"/>
      <c r="G4988" s="9"/>
      <c r="AA4988" s="10"/>
      <c r="AV4988" s="11"/>
      <c r="AW4988" s="11"/>
      <c r="BB4988" s="9"/>
      <c r="BC4988" s="11"/>
      <c r="BF4988" s="9"/>
      <c r="CF4988" s="12"/>
      <c r="CH4988" s="9"/>
    </row>
    <row r="4989" spans="6:86" x14ac:dyDescent="0.25">
      <c r="F4989" s="9"/>
      <c r="G4989" s="9"/>
      <c r="AA4989" s="10"/>
      <c r="AV4989" s="11"/>
      <c r="AW4989" s="11"/>
      <c r="BB4989" s="9"/>
      <c r="BC4989" s="11"/>
      <c r="BF4989" s="9"/>
      <c r="CF4989" s="12"/>
      <c r="CH4989" s="9"/>
    </row>
    <row r="4990" spans="6:86" x14ac:dyDescent="0.25">
      <c r="F4990" s="9"/>
      <c r="G4990" s="9"/>
      <c r="AA4990" s="10"/>
      <c r="AV4990" s="11"/>
      <c r="AW4990" s="11"/>
      <c r="BB4990" s="9"/>
      <c r="BC4990" s="11"/>
      <c r="BF4990" s="9"/>
      <c r="CF4990" s="12"/>
      <c r="CH4990" s="9"/>
    </row>
    <row r="4991" spans="6:86" x14ac:dyDescent="0.25">
      <c r="F4991" s="9"/>
      <c r="G4991" s="9"/>
      <c r="AA4991" s="10"/>
      <c r="AV4991" s="11"/>
      <c r="AW4991" s="11"/>
      <c r="BB4991" s="9"/>
      <c r="BC4991" s="11"/>
      <c r="BF4991" s="9"/>
      <c r="CF4991" s="12"/>
      <c r="CH4991" s="9"/>
    </row>
    <row r="4992" spans="6:86" x14ac:dyDescent="0.25">
      <c r="F4992" s="9"/>
      <c r="G4992" s="9"/>
      <c r="AA4992" s="10"/>
      <c r="AV4992" s="11"/>
      <c r="AW4992" s="11"/>
      <c r="BB4992" s="9"/>
      <c r="BC4992" s="11"/>
      <c r="BF4992" s="9"/>
      <c r="CF4992" s="12"/>
      <c r="CH4992" s="9"/>
    </row>
    <row r="4993" spans="6:86" x14ac:dyDescent="0.25">
      <c r="F4993" s="9"/>
      <c r="G4993" s="9"/>
      <c r="AA4993" s="10"/>
      <c r="AV4993" s="11"/>
      <c r="AW4993" s="11"/>
      <c r="BB4993" s="9"/>
      <c r="BC4993" s="11"/>
      <c r="BF4993" s="9"/>
      <c r="CF4993" s="12"/>
      <c r="CH4993" s="9"/>
    </row>
    <row r="4994" spans="6:86" x14ac:dyDescent="0.25">
      <c r="F4994" s="9"/>
      <c r="G4994" s="9"/>
      <c r="AA4994" s="10"/>
      <c r="AV4994" s="11"/>
      <c r="AW4994" s="11"/>
      <c r="BB4994" s="9"/>
      <c r="BC4994" s="11"/>
      <c r="BF4994" s="9"/>
      <c r="CH4994" s="9"/>
    </row>
    <row r="4995" spans="6:86" x14ac:dyDescent="0.25">
      <c r="F4995" s="9"/>
      <c r="G4995" s="9"/>
      <c r="AA4995" s="10"/>
      <c r="AV4995" s="11"/>
      <c r="AW4995" s="11"/>
      <c r="BB4995" s="9"/>
      <c r="BC4995" s="11"/>
      <c r="BF4995" s="9"/>
      <c r="CF4995" s="12"/>
      <c r="CH4995" s="9"/>
    </row>
    <row r="4996" spans="6:86" x14ac:dyDescent="0.25">
      <c r="F4996" s="9"/>
      <c r="G4996" s="9"/>
      <c r="AA4996" s="10"/>
      <c r="AV4996" s="11"/>
      <c r="AW4996" s="11"/>
      <c r="BB4996" s="9"/>
      <c r="BC4996" s="11"/>
      <c r="BF4996" s="9"/>
      <c r="CF4996" s="12"/>
      <c r="CH4996" s="9"/>
    </row>
    <row r="4997" spans="6:86" x14ac:dyDescent="0.25">
      <c r="F4997" s="9"/>
      <c r="G4997" s="9"/>
      <c r="AA4997" s="10"/>
      <c r="AV4997" s="11"/>
      <c r="AW4997" s="11"/>
      <c r="BB4997" s="9"/>
      <c r="BC4997" s="11"/>
      <c r="BF4997" s="9"/>
      <c r="CF4997" s="12"/>
      <c r="CH4997" s="9"/>
    </row>
    <row r="4998" spans="6:86" x14ac:dyDescent="0.25">
      <c r="F4998" s="9"/>
      <c r="G4998" s="9"/>
      <c r="AA4998" s="10"/>
      <c r="AV4998" s="11"/>
      <c r="AW4998" s="11"/>
      <c r="BB4998" s="9"/>
      <c r="BC4998" s="11"/>
      <c r="BF4998" s="9"/>
      <c r="CF4998" s="12"/>
      <c r="CH4998" s="9"/>
    </row>
    <row r="4999" spans="6:86" x14ac:dyDescent="0.25">
      <c r="F4999" s="9"/>
      <c r="G4999" s="9"/>
      <c r="AA4999" s="10"/>
      <c r="AV4999" s="11"/>
      <c r="AW4999" s="11"/>
      <c r="BB4999" s="9"/>
      <c r="BC4999" s="11"/>
      <c r="BF4999" s="9"/>
      <c r="CF4999" s="12"/>
      <c r="CH4999" s="9"/>
    </row>
    <row r="5000" spans="6:86" x14ac:dyDescent="0.25">
      <c r="F5000" s="9"/>
      <c r="G5000" s="9"/>
      <c r="AA5000" s="10"/>
      <c r="AV5000" s="11"/>
      <c r="AW5000" s="11"/>
      <c r="BB5000" s="9"/>
      <c r="BC5000" s="11"/>
      <c r="BF5000" s="9"/>
      <c r="CF5000" s="12"/>
      <c r="CH5000" s="9"/>
    </row>
    <row r="5001" spans="6:86" x14ac:dyDescent="0.25">
      <c r="F5001" s="9"/>
      <c r="G5001" s="9"/>
      <c r="AA5001" s="10"/>
      <c r="AV5001" s="11"/>
      <c r="AW5001" s="11"/>
      <c r="BB5001" s="9"/>
      <c r="BC5001" s="11"/>
      <c r="BF5001" s="9"/>
      <c r="CF5001" s="12"/>
      <c r="CH5001" s="9"/>
    </row>
    <row r="5002" spans="6:86" x14ac:dyDescent="0.25">
      <c r="F5002" s="9"/>
      <c r="G5002" s="9"/>
      <c r="AA5002" s="10"/>
      <c r="AV5002" s="11"/>
      <c r="AW5002" s="11"/>
      <c r="BB5002" s="9"/>
      <c r="BC5002" s="11"/>
      <c r="BF5002" s="9"/>
      <c r="CF5002" s="12"/>
      <c r="CH5002" s="9"/>
    </row>
    <row r="5003" spans="6:86" x14ac:dyDescent="0.25">
      <c r="F5003" s="9"/>
      <c r="G5003" s="9"/>
      <c r="AA5003" s="10"/>
      <c r="AV5003" s="11"/>
      <c r="AW5003" s="11"/>
      <c r="BB5003" s="9"/>
      <c r="BC5003" s="11"/>
      <c r="BF5003" s="9"/>
      <c r="CF5003" s="12"/>
      <c r="CH5003" s="9"/>
    </row>
    <row r="5004" spans="6:86" x14ac:dyDescent="0.25">
      <c r="F5004" s="9"/>
      <c r="G5004" s="9"/>
      <c r="AA5004" s="10"/>
      <c r="AV5004" s="11"/>
      <c r="AW5004" s="11"/>
      <c r="BB5004" s="9"/>
      <c r="BC5004" s="11"/>
      <c r="BF5004" s="9"/>
      <c r="CF5004" s="12"/>
      <c r="CH5004" s="9"/>
    </row>
    <row r="5005" spans="6:86" x14ac:dyDescent="0.25">
      <c r="F5005" s="9"/>
      <c r="G5005" s="9"/>
      <c r="AA5005" s="10"/>
      <c r="AV5005" s="11"/>
      <c r="AW5005" s="11"/>
      <c r="BB5005" s="9"/>
      <c r="BC5005" s="11"/>
      <c r="BF5005" s="9"/>
      <c r="CF5005" s="12"/>
      <c r="CH5005" s="9"/>
    </row>
    <row r="5006" spans="6:86" x14ac:dyDescent="0.25">
      <c r="F5006" s="9"/>
      <c r="G5006" s="9"/>
      <c r="AA5006" s="10"/>
      <c r="AV5006" s="11"/>
      <c r="AW5006" s="11"/>
      <c r="BB5006" s="9"/>
      <c r="BC5006" s="11"/>
      <c r="BF5006" s="9"/>
      <c r="CF5006" s="12"/>
      <c r="CH5006" s="9"/>
    </row>
    <row r="5007" spans="6:86" x14ac:dyDescent="0.25">
      <c r="F5007" s="9"/>
      <c r="G5007" s="9"/>
      <c r="AA5007" s="10"/>
      <c r="AV5007" s="11"/>
      <c r="AW5007" s="11"/>
      <c r="BB5007" s="9"/>
      <c r="BC5007" s="11"/>
      <c r="BF5007" s="9"/>
      <c r="CF5007" s="12"/>
      <c r="CH5007" s="9"/>
    </row>
    <row r="5008" spans="6:86" x14ac:dyDescent="0.25">
      <c r="F5008" s="9"/>
      <c r="G5008" s="9"/>
      <c r="AA5008" s="10"/>
      <c r="AV5008" s="11"/>
      <c r="AW5008" s="11"/>
      <c r="BB5008" s="9"/>
      <c r="BC5008" s="11"/>
      <c r="BF5008" s="9"/>
      <c r="CF5008" s="12"/>
      <c r="CH5008" s="9"/>
    </row>
    <row r="5009" spans="6:86" x14ac:dyDescent="0.25">
      <c r="F5009" s="9"/>
      <c r="G5009" s="9"/>
      <c r="AA5009" s="10"/>
      <c r="AV5009" s="11"/>
      <c r="AW5009" s="11"/>
      <c r="BB5009" s="9"/>
      <c r="BC5009" s="11"/>
      <c r="BF5009" s="9"/>
      <c r="CF5009" s="12"/>
      <c r="CH5009" s="9"/>
    </row>
    <row r="5010" spans="6:86" x14ac:dyDescent="0.25">
      <c r="F5010" s="9"/>
      <c r="G5010" s="9"/>
      <c r="AA5010" s="10"/>
      <c r="AV5010" s="11"/>
      <c r="AW5010" s="11"/>
      <c r="BB5010" s="9"/>
      <c r="BC5010" s="11"/>
      <c r="BF5010" s="9"/>
      <c r="CF5010" s="12"/>
      <c r="CH5010" s="9"/>
    </row>
    <row r="5011" spans="6:86" x14ac:dyDescent="0.25">
      <c r="F5011" s="9"/>
      <c r="G5011" s="9"/>
      <c r="AA5011" s="10"/>
      <c r="AV5011" s="11"/>
      <c r="AW5011" s="11"/>
      <c r="BB5011" s="9"/>
      <c r="BC5011" s="11"/>
      <c r="BF5011" s="9"/>
      <c r="CF5011" s="12"/>
      <c r="CH5011" s="9"/>
    </row>
    <row r="5012" spans="6:86" x14ac:dyDescent="0.25">
      <c r="F5012" s="9"/>
      <c r="G5012" s="9"/>
      <c r="AA5012" s="10"/>
      <c r="AV5012" s="11"/>
      <c r="AW5012" s="11"/>
      <c r="BB5012" s="9"/>
      <c r="BC5012" s="11"/>
      <c r="BF5012" s="9"/>
      <c r="CF5012" s="12"/>
      <c r="CH5012" s="9"/>
    </row>
    <row r="5013" spans="6:86" x14ac:dyDescent="0.25">
      <c r="F5013" s="9"/>
      <c r="G5013" s="9"/>
      <c r="AA5013" s="10"/>
      <c r="AV5013" s="11"/>
      <c r="AW5013" s="11"/>
      <c r="BB5013" s="9"/>
      <c r="BC5013" s="11"/>
      <c r="BF5013" s="9"/>
      <c r="CF5013" s="12"/>
      <c r="CH5013" s="9"/>
    </row>
    <row r="5014" spans="6:86" x14ac:dyDescent="0.25">
      <c r="F5014" s="9"/>
      <c r="G5014" s="9"/>
      <c r="AA5014" s="10"/>
      <c r="AV5014" s="11"/>
      <c r="AW5014" s="11"/>
      <c r="BB5014" s="9"/>
      <c r="BC5014" s="11"/>
      <c r="BF5014" s="9"/>
      <c r="CF5014" s="12"/>
      <c r="CH5014" s="9"/>
    </row>
    <row r="5015" spans="6:86" x14ac:dyDescent="0.25">
      <c r="F5015" s="9"/>
      <c r="G5015" s="9"/>
      <c r="AA5015" s="10"/>
      <c r="AV5015" s="11"/>
      <c r="AW5015" s="11"/>
      <c r="BB5015" s="9"/>
      <c r="BC5015" s="11"/>
      <c r="BF5015" s="9"/>
      <c r="CF5015" s="12"/>
      <c r="CH5015" s="9"/>
    </row>
    <row r="5016" spans="6:86" x14ac:dyDescent="0.25">
      <c r="F5016" s="9"/>
      <c r="G5016" s="9"/>
      <c r="AA5016" s="10"/>
      <c r="AV5016" s="11"/>
      <c r="AW5016" s="11"/>
      <c r="BB5016" s="9"/>
      <c r="BC5016" s="11"/>
      <c r="BF5016" s="9"/>
      <c r="CH5016" s="9"/>
    </row>
    <row r="5017" spans="6:86" x14ac:dyDescent="0.25">
      <c r="F5017" s="9"/>
      <c r="G5017" s="9"/>
      <c r="AA5017" s="10"/>
      <c r="AV5017" s="11"/>
      <c r="AW5017" s="11"/>
      <c r="BB5017" s="9"/>
      <c r="BC5017" s="11"/>
      <c r="BF5017" s="9"/>
      <c r="CF5017" s="12"/>
      <c r="CH5017" s="9"/>
    </row>
    <row r="5018" spans="6:86" x14ac:dyDescent="0.25">
      <c r="F5018" s="9"/>
      <c r="G5018" s="9"/>
      <c r="AA5018" s="10"/>
      <c r="AV5018" s="11"/>
      <c r="AW5018" s="11"/>
      <c r="BB5018" s="9"/>
      <c r="BC5018" s="11"/>
      <c r="BF5018" s="9"/>
      <c r="CF5018" s="12"/>
      <c r="CH5018" s="9"/>
    </row>
    <row r="5019" spans="6:86" x14ac:dyDescent="0.25">
      <c r="F5019" s="9"/>
      <c r="G5019" s="9"/>
      <c r="AA5019" s="10"/>
      <c r="AV5019" s="11"/>
      <c r="AW5019" s="11"/>
      <c r="BB5019" s="9"/>
      <c r="BC5019" s="11"/>
      <c r="BF5019" s="9"/>
      <c r="CH5019" s="9"/>
    </row>
    <row r="5020" spans="6:86" x14ac:dyDescent="0.25">
      <c r="F5020" s="9"/>
      <c r="G5020" s="9"/>
      <c r="AA5020" s="10"/>
      <c r="AV5020" s="11"/>
      <c r="AW5020" s="11"/>
      <c r="BB5020" s="9"/>
      <c r="BC5020" s="11"/>
      <c r="BF5020" s="9"/>
      <c r="CF5020" s="12"/>
      <c r="CH5020" s="9"/>
    </row>
    <row r="5021" spans="6:86" x14ac:dyDescent="0.25">
      <c r="F5021" s="9"/>
      <c r="G5021" s="9"/>
      <c r="AA5021" s="10"/>
      <c r="AV5021" s="11"/>
      <c r="AW5021" s="11"/>
      <c r="BB5021" s="9"/>
      <c r="BC5021" s="11"/>
      <c r="BF5021" s="9"/>
      <c r="CF5021" s="12"/>
      <c r="CH5021" s="9"/>
    </row>
    <row r="5022" spans="6:86" x14ac:dyDescent="0.25">
      <c r="F5022" s="9"/>
      <c r="G5022" s="9"/>
      <c r="AA5022" s="10"/>
      <c r="AV5022" s="11"/>
      <c r="AW5022" s="11"/>
      <c r="BB5022" s="9"/>
      <c r="BC5022" s="11"/>
      <c r="BF5022" s="9"/>
      <c r="CF5022" s="12"/>
      <c r="CH5022" s="9"/>
    </row>
    <row r="5023" spans="6:86" x14ac:dyDescent="0.25">
      <c r="F5023" s="9"/>
      <c r="G5023" s="9"/>
      <c r="AA5023" s="10"/>
      <c r="AV5023" s="11"/>
      <c r="AW5023" s="11"/>
      <c r="BB5023" s="9"/>
      <c r="BC5023" s="11"/>
      <c r="BF5023" s="9"/>
      <c r="CF5023" s="12"/>
      <c r="CH5023" s="9"/>
    </row>
    <row r="5024" spans="6:86" x14ac:dyDescent="0.25">
      <c r="F5024" s="9"/>
      <c r="G5024" s="9"/>
      <c r="AA5024" s="10"/>
      <c r="AV5024" s="11"/>
      <c r="AW5024" s="11"/>
      <c r="BB5024" s="9"/>
      <c r="BC5024" s="11"/>
      <c r="BF5024" s="9"/>
      <c r="CF5024" s="12"/>
      <c r="CH5024" s="9"/>
    </row>
    <row r="5025" spans="6:86" x14ac:dyDescent="0.25">
      <c r="F5025" s="9"/>
      <c r="G5025" s="9"/>
      <c r="AA5025" s="10"/>
      <c r="AV5025" s="11"/>
      <c r="AW5025" s="11"/>
      <c r="BB5025" s="9"/>
      <c r="BC5025" s="11"/>
      <c r="BF5025" s="9"/>
      <c r="CH5025" s="9"/>
    </row>
    <row r="5026" spans="6:86" x14ac:dyDescent="0.25">
      <c r="F5026" s="9"/>
      <c r="G5026" s="9"/>
      <c r="AA5026" s="10"/>
      <c r="AV5026" s="11"/>
      <c r="AW5026" s="11"/>
      <c r="BB5026" s="9"/>
      <c r="BC5026" s="11"/>
      <c r="BF5026" s="9"/>
      <c r="CF5026" s="12"/>
      <c r="CH5026" s="9"/>
    </row>
    <row r="5027" spans="6:86" x14ac:dyDescent="0.25">
      <c r="F5027" s="9"/>
      <c r="G5027" s="9"/>
      <c r="AA5027" s="10"/>
      <c r="AV5027" s="11"/>
      <c r="AW5027" s="11"/>
      <c r="BB5027" s="9"/>
      <c r="BC5027" s="11"/>
      <c r="BF5027" s="9"/>
      <c r="CF5027" s="12"/>
      <c r="CH5027" s="9"/>
    </row>
    <row r="5028" spans="6:86" x14ac:dyDescent="0.25">
      <c r="F5028" s="9"/>
      <c r="G5028" s="9"/>
      <c r="AA5028" s="10"/>
      <c r="AV5028" s="11"/>
      <c r="AW5028" s="11"/>
      <c r="BB5028" s="9"/>
      <c r="BC5028" s="11"/>
      <c r="BF5028" s="9"/>
      <c r="CF5028" s="12"/>
      <c r="CH5028" s="9"/>
    </row>
    <row r="5029" spans="6:86" x14ac:dyDescent="0.25">
      <c r="F5029" s="9"/>
      <c r="G5029" s="9"/>
      <c r="AA5029" s="10"/>
      <c r="AV5029" s="11"/>
      <c r="AW5029" s="11"/>
      <c r="BB5029" s="9"/>
      <c r="BC5029" s="11"/>
      <c r="BF5029" s="9"/>
      <c r="CF5029" s="12"/>
      <c r="CH5029" s="9"/>
    </row>
    <row r="5030" spans="6:86" x14ac:dyDescent="0.25">
      <c r="F5030" s="9"/>
      <c r="G5030" s="9"/>
      <c r="AA5030" s="10"/>
      <c r="AV5030" s="11"/>
      <c r="AW5030" s="11"/>
      <c r="BB5030" s="9"/>
      <c r="BC5030" s="11"/>
      <c r="BF5030" s="9"/>
      <c r="CF5030" s="12"/>
      <c r="CH5030" s="9"/>
    </row>
    <row r="5031" spans="6:86" x14ac:dyDescent="0.25">
      <c r="F5031" s="9"/>
      <c r="G5031" s="9"/>
      <c r="AA5031" s="10"/>
      <c r="AV5031" s="11"/>
      <c r="AW5031" s="11"/>
      <c r="BB5031" s="9"/>
      <c r="BC5031" s="11"/>
      <c r="BF5031" s="9"/>
      <c r="CF5031" s="12"/>
      <c r="CH5031" s="9"/>
    </row>
    <row r="5032" spans="6:86" x14ac:dyDescent="0.25">
      <c r="F5032" s="9"/>
      <c r="G5032" s="9"/>
      <c r="AA5032" s="10"/>
      <c r="AV5032" s="11"/>
      <c r="AW5032" s="11"/>
      <c r="BB5032" s="9"/>
      <c r="BC5032" s="11"/>
      <c r="BF5032" s="9"/>
      <c r="CF5032" s="12"/>
      <c r="CH5032" s="9"/>
    </row>
    <row r="5033" spans="6:86" x14ac:dyDescent="0.25">
      <c r="F5033" s="9"/>
      <c r="G5033" s="9"/>
      <c r="AA5033" s="10"/>
      <c r="AV5033" s="11"/>
      <c r="AW5033" s="11"/>
      <c r="BB5033" s="9"/>
      <c r="BC5033" s="11"/>
      <c r="BF5033" s="9"/>
      <c r="CF5033" s="12"/>
      <c r="CH5033" s="9"/>
    </row>
    <row r="5034" spans="6:86" x14ac:dyDescent="0.25">
      <c r="F5034" s="9"/>
      <c r="G5034" s="9"/>
      <c r="AA5034" s="10"/>
      <c r="AV5034" s="11"/>
      <c r="AW5034" s="11"/>
      <c r="BB5034" s="9"/>
      <c r="BC5034" s="11"/>
      <c r="BF5034" s="9"/>
      <c r="CF5034" s="12"/>
      <c r="CH5034" s="9"/>
    </row>
    <row r="5035" spans="6:86" x14ac:dyDescent="0.25">
      <c r="F5035" s="9"/>
      <c r="G5035" s="9"/>
      <c r="AA5035" s="10"/>
      <c r="AV5035" s="11"/>
      <c r="AW5035" s="11"/>
      <c r="BB5035" s="9"/>
      <c r="BC5035" s="11"/>
      <c r="BF5035" s="9"/>
      <c r="CF5035" s="12"/>
      <c r="CH5035" s="9"/>
    </row>
    <row r="5036" spans="6:86" x14ac:dyDescent="0.25">
      <c r="F5036" s="9"/>
      <c r="G5036" s="9"/>
      <c r="AA5036" s="10"/>
      <c r="AV5036" s="11"/>
      <c r="AW5036" s="11"/>
      <c r="BB5036" s="9"/>
      <c r="BC5036" s="11"/>
      <c r="BF5036" s="9"/>
      <c r="CF5036" s="12"/>
      <c r="CH5036" s="9"/>
    </row>
    <row r="5037" spans="6:86" x14ac:dyDescent="0.25">
      <c r="F5037" s="9"/>
      <c r="G5037" s="9"/>
      <c r="AA5037" s="10"/>
      <c r="AV5037" s="11"/>
      <c r="AW5037" s="11"/>
      <c r="BB5037" s="9"/>
      <c r="BC5037" s="11"/>
      <c r="BF5037" s="9"/>
      <c r="CF5037" s="12"/>
      <c r="CH5037" s="9"/>
    </row>
    <row r="5038" spans="6:86" x14ac:dyDescent="0.25">
      <c r="F5038" s="9"/>
      <c r="G5038" s="9"/>
      <c r="AA5038" s="10"/>
      <c r="AV5038" s="11"/>
      <c r="AW5038" s="11"/>
      <c r="BB5038" s="9"/>
      <c r="BC5038" s="11"/>
      <c r="BF5038" s="9"/>
      <c r="CF5038" s="12"/>
      <c r="CH5038" s="9"/>
    </row>
    <row r="5039" spans="6:86" x14ac:dyDescent="0.25">
      <c r="F5039" s="9"/>
      <c r="G5039" s="9"/>
      <c r="AA5039" s="10"/>
      <c r="AV5039" s="11"/>
      <c r="AW5039" s="11"/>
      <c r="BB5039" s="9"/>
      <c r="BC5039" s="11"/>
      <c r="BF5039" s="9"/>
      <c r="CF5039" s="12"/>
      <c r="CH5039" s="9"/>
    </row>
    <row r="5040" spans="6:86" x14ac:dyDescent="0.25">
      <c r="F5040" s="9"/>
      <c r="G5040" s="9"/>
      <c r="AA5040" s="10"/>
      <c r="AV5040" s="11"/>
      <c r="AW5040" s="11"/>
      <c r="BB5040" s="9"/>
      <c r="BC5040" s="11"/>
      <c r="BF5040" s="9"/>
      <c r="CF5040" s="12"/>
      <c r="CH5040" s="9"/>
    </row>
    <row r="5041" spans="6:86" x14ac:dyDescent="0.25">
      <c r="F5041" s="9"/>
      <c r="G5041" s="9"/>
      <c r="AA5041" s="10"/>
      <c r="AV5041" s="11"/>
      <c r="AW5041" s="11"/>
      <c r="BB5041" s="9"/>
      <c r="BC5041" s="11"/>
      <c r="BF5041" s="9"/>
      <c r="CF5041" s="12"/>
      <c r="CH5041" s="9"/>
    </row>
    <row r="5042" spans="6:86" x14ac:dyDescent="0.25">
      <c r="F5042" s="9"/>
      <c r="G5042" s="9"/>
      <c r="AA5042" s="10"/>
      <c r="AV5042" s="11"/>
      <c r="AW5042" s="11"/>
      <c r="BB5042" s="9"/>
      <c r="BC5042" s="11"/>
      <c r="BF5042" s="9"/>
      <c r="CF5042" s="12"/>
      <c r="CH5042" s="9"/>
    </row>
    <row r="5043" spans="6:86" x14ac:dyDescent="0.25">
      <c r="F5043" s="9"/>
      <c r="G5043" s="9"/>
      <c r="AA5043" s="10"/>
      <c r="AV5043" s="11"/>
      <c r="AW5043" s="11"/>
      <c r="BB5043" s="9"/>
      <c r="BC5043" s="11"/>
      <c r="BF5043" s="9"/>
      <c r="CF5043" s="12"/>
      <c r="CH5043" s="9"/>
    </row>
    <row r="5044" spans="6:86" x14ac:dyDescent="0.25">
      <c r="F5044" s="9"/>
      <c r="G5044" s="9"/>
      <c r="AA5044" s="10"/>
      <c r="AV5044" s="11"/>
      <c r="AW5044" s="11"/>
      <c r="BB5044" s="9"/>
      <c r="BC5044" s="11"/>
      <c r="BF5044" s="9"/>
      <c r="CF5044" s="12"/>
      <c r="CH5044" s="9"/>
    </row>
    <row r="5045" spans="6:86" x14ac:dyDescent="0.25">
      <c r="F5045" s="9"/>
      <c r="G5045" s="9"/>
      <c r="AA5045" s="10"/>
      <c r="AV5045" s="11"/>
      <c r="AW5045" s="11"/>
      <c r="BB5045" s="9"/>
      <c r="BC5045" s="11"/>
      <c r="BF5045" s="9"/>
      <c r="CF5045" s="12"/>
      <c r="CH5045" s="9"/>
    </row>
    <row r="5046" spans="6:86" x14ac:dyDescent="0.25">
      <c r="F5046" s="9"/>
      <c r="G5046" s="9"/>
      <c r="AA5046" s="10"/>
      <c r="AV5046" s="11"/>
      <c r="AW5046" s="11"/>
      <c r="BB5046" s="9"/>
      <c r="BC5046" s="11"/>
      <c r="BF5046" s="9"/>
      <c r="CF5046" s="12"/>
      <c r="CH5046" s="9"/>
    </row>
    <row r="5047" spans="6:86" x14ac:dyDescent="0.25">
      <c r="F5047" s="9"/>
      <c r="G5047" s="9"/>
      <c r="AA5047" s="10"/>
      <c r="AV5047" s="11"/>
      <c r="AW5047" s="11"/>
      <c r="BB5047" s="9"/>
      <c r="BC5047" s="11"/>
      <c r="BF5047" s="9"/>
      <c r="CF5047" s="12"/>
      <c r="CH5047" s="9"/>
    </row>
    <row r="5048" spans="6:86" x14ac:dyDescent="0.25">
      <c r="F5048" s="9"/>
      <c r="G5048" s="9"/>
      <c r="AA5048" s="10"/>
      <c r="AV5048" s="11"/>
      <c r="AW5048" s="11"/>
      <c r="BB5048" s="9"/>
      <c r="BC5048" s="11"/>
      <c r="BF5048" s="9"/>
      <c r="CF5048" s="12"/>
      <c r="CH5048" s="9"/>
    </row>
    <row r="5049" spans="6:86" x14ac:dyDescent="0.25">
      <c r="F5049" s="9"/>
      <c r="G5049" s="9"/>
      <c r="AA5049" s="10"/>
      <c r="AV5049" s="11"/>
      <c r="AW5049" s="11"/>
      <c r="BB5049" s="9"/>
      <c r="BC5049" s="11"/>
      <c r="BF5049" s="9"/>
      <c r="CF5049" s="12"/>
      <c r="CH5049" s="9"/>
    </row>
    <row r="5050" spans="6:86" x14ac:dyDescent="0.25">
      <c r="F5050" s="9"/>
      <c r="G5050" s="9"/>
      <c r="AA5050" s="10"/>
      <c r="AV5050" s="11"/>
      <c r="AW5050" s="11"/>
      <c r="BB5050" s="9"/>
      <c r="BC5050" s="11"/>
      <c r="BF5050" s="9"/>
      <c r="CF5050" s="12"/>
      <c r="CH5050" s="9"/>
    </row>
    <row r="5051" spans="6:86" x14ac:dyDescent="0.25">
      <c r="F5051" s="9"/>
      <c r="G5051" s="9"/>
      <c r="AA5051" s="10"/>
      <c r="AV5051" s="11"/>
      <c r="AW5051" s="11"/>
      <c r="BB5051" s="9"/>
      <c r="BC5051" s="11"/>
      <c r="BF5051" s="9"/>
      <c r="CF5051" s="12"/>
      <c r="CH5051" s="9"/>
    </row>
    <row r="5052" spans="6:86" x14ac:dyDescent="0.25">
      <c r="F5052" s="9"/>
      <c r="G5052" s="9"/>
      <c r="AA5052" s="10"/>
      <c r="AV5052" s="11"/>
      <c r="AW5052" s="11"/>
      <c r="BB5052" s="9"/>
      <c r="BC5052" s="11"/>
      <c r="BF5052" s="9"/>
      <c r="CF5052" s="12"/>
      <c r="CH5052" s="9"/>
    </row>
    <row r="5053" spans="6:86" x14ac:dyDescent="0.25">
      <c r="F5053" s="9"/>
      <c r="G5053" s="9"/>
      <c r="AA5053" s="10"/>
      <c r="AV5053" s="11"/>
      <c r="AW5053" s="11"/>
      <c r="BB5053" s="9"/>
      <c r="BC5053" s="11"/>
      <c r="BF5053" s="9"/>
      <c r="CF5053" s="12"/>
      <c r="CH5053" s="9"/>
    </row>
    <row r="5054" spans="6:86" x14ac:dyDescent="0.25">
      <c r="F5054" s="9"/>
      <c r="G5054" s="9"/>
      <c r="AA5054" s="10"/>
      <c r="AV5054" s="11"/>
      <c r="AW5054" s="11"/>
      <c r="BB5054" s="9"/>
      <c r="BC5054" s="11"/>
      <c r="BF5054" s="9"/>
      <c r="CF5054" s="12"/>
      <c r="CH5054" s="9"/>
    </row>
    <row r="5055" spans="6:86" x14ac:dyDescent="0.25">
      <c r="F5055" s="9"/>
      <c r="G5055" s="9"/>
      <c r="AA5055" s="10"/>
      <c r="AV5055" s="11"/>
      <c r="AW5055" s="11"/>
      <c r="BB5055" s="9"/>
      <c r="BC5055" s="11"/>
      <c r="BF5055" s="9"/>
      <c r="CF5055" s="12"/>
      <c r="CH5055" s="9"/>
    </row>
    <row r="5056" spans="6:86" x14ac:dyDescent="0.25">
      <c r="F5056" s="9"/>
      <c r="G5056" s="9"/>
      <c r="AA5056" s="10"/>
      <c r="AV5056" s="11"/>
      <c r="AW5056" s="11"/>
      <c r="BB5056" s="9"/>
      <c r="BC5056" s="11"/>
      <c r="BF5056" s="9"/>
      <c r="CF5056" s="12"/>
      <c r="CH5056" s="9"/>
    </row>
    <row r="5057" spans="6:92" x14ac:dyDescent="0.25">
      <c r="F5057" s="9"/>
      <c r="G5057" s="9"/>
      <c r="U5057" s="12"/>
      <c r="Z5057" s="12"/>
      <c r="AA5057" s="10"/>
      <c r="AV5057" s="11"/>
      <c r="AW5057" s="11"/>
      <c r="BB5057" s="9"/>
      <c r="BC5057" s="11"/>
      <c r="BF5057" s="9"/>
      <c r="CH5057" s="9"/>
      <c r="CN5057" s="12"/>
    </row>
    <row r="5058" spans="6:92" x14ac:dyDescent="0.25">
      <c r="F5058" s="9"/>
      <c r="G5058" s="9"/>
      <c r="AA5058" s="10"/>
      <c r="AV5058" s="11"/>
      <c r="AW5058" s="11"/>
      <c r="BB5058" s="9"/>
      <c r="BC5058" s="11"/>
      <c r="BF5058" s="9"/>
      <c r="CF5058" s="12"/>
      <c r="CH5058" s="9"/>
    </row>
    <row r="5059" spans="6:92" x14ac:dyDescent="0.25">
      <c r="F5059" s="9"/>
      <c r="G5059" s="9"/>
      <c r="AA5059" s="10"/>
      <c r="AV5059" s="11"/>
      <c r="AW5059" s="11"/>
      <c r="BB5059" s="9"/>
      <c r="BC5059" s="11"/>
      <c r="BF5059" s="9"/>
      <c r="CF5059" s="12"/>
      <c r="CH5059" s="9"/>
    </row>
    <row r="5060" spans="6:92" x14ac:dyDescent="0.25">
      <c r="F5060" s="9"/>
      <c r="G5060" s="9"/>
      <c r="AA5060" s="10"/>
      <c r="AV5060" s="11"/>
      <c r="AW5060" s="11"/>
      <c r="BB5060" s="9"/>
      <c r="BC5060" s="11"/>
      <c r="BF5060" s="9"/>
      <c r="CF5060" s="12"/>
      <c r="CH5060" s="9"/>
    </row>
    <row r="5061" spans="6:92" x14ac:dyDescent="0.25">
      <c r="F5061" s="9"/>
      <c r="G5061" s="9"/>
      <c r="AA5061" s="10"/>
      <c r="AV5061" s="11"/>
      <c r="AW5061" s="11"/>
      <c r="BB5061" s="9"/>
      <c r="BC5061" s="11"/>
      <c r="BF5061" s="9"/>
      <c r="CH5061" s="9"/>
    </row>
    <row r="5062" spans="6:92" x14ac:dyDescent="0.25">
      <c r="F5062" s="9"/>
      <c r="G5062" s="9"/>
      <c r="AA5062" s="10"/>
      <c r="AV5062" s="11"/>
      <c r="AW5062" s="11"/>
      <c r="BB5062" s="9"/>
      <c r="BC5062" s="11"/>
      <c r="BF5062" s="9"/>
      <c r="CF5062" s="12"/>
      <c r="CH5062" s="9"/>
    </row>
    <row r="5063" spans="6:92" x14ac:dyDescent="0.25">
      <c r="F5063" s="9"/>
      <c r="G5063" s="9"/>
      <c r="AA5063" s="10"/>
      <c r="AV5063" s="11"/>
      <c r="AW5063" s="11"/>
      <c r="BB5063" s="9"/>
      <c r="BC5063" s="11"/>
      <c r="BF5063" s="9"/>
      <c r="CF5063" s="12"/>
      <c r="CH5063" s="9"/>
    </row>
    <row r="5064" spans="6:92" x14ac:dyDescent="0.25">
      <c r="F5064" s="9"/>
      <c r="G5064" s="9"/>
      <c r="AA5064" s="10"/>
      <c r="AV5064" s="11"/>
      <c r="AW5064" s="11"/>
      <c r="BB5064" s="9"/>
      <c r="BC5064" s="11"/>
      <c r="BF5064" s="9"/>
      <c r="CH5064" s="9"/>
    </row>
    <row r="5065" spans="6:92" x14ac:dyDescent="0.25">
      <c r="F5065" s="9"/>
      <c r="G5065" s="9"/>
      <c r="AA5065" s="10"/>
      <c r="AV5065" s="11"/>
      <c r="AW5065" s="11"/>
      <c r="BB5065" s="9"/>
      <c r="BC5065" s="11"/>
      <c r="BF5065" s="9"/>
      <c r="CH5065" s="9"/>
    </row>
    <row r="5066" spans="6:92" x14ac:dyDescent="0.25">
      <c r="F5066" s="9"/>
      <c r="G5066" s="9"/>
      <c r="AA5066" s="10"/>
      <c r="AV5066" s="11"/>
      <c r="AW5066" s="11"/>
      <c r="BB5066" s="9"/>
      <c r="BC5066" s="11"/>
      <c r="BF5066" s="9"/>
      <c r="CH5066" s="9"/>
    </row>
    <row r="5067" spans="6:92" x14ac:dyDescent="0.25">
      <c r="F5067" s="9"/>
      <c r="G5067" s="9"/>
      <c r="AA5067" s="10"/>
      <c r="AV5067" s="11"/>
      <c r="AW5067" s="11"/>
      <c r="BB5067" s="9"/>
      <c r="BC5067" s="11"/>
      <c r="BF5067" s="9"/>
      <c r="CH5067" s="9"/>
    </row>
    <row r="5068" spans="6:92" x14ac:dyDescent="0.25">
      <c r="F5068" s="9"/>
      <c r="G5068" s="9"/>
      <c r="AA5068" s="10"/>
      <c r="AV5068" s="11"/>
      <c r="AW5068" s="11"/>
      <c r="BB5068" s="9"/>
      <c r="BC5068" s="11"/>
      <c r="BF5068" s="9"/>
      <c r="CH5068" s="9"/>
    </row>
    <row r="5069" spans="6:92" x14ac:dyDescent="0.25">
      <c r="F5069" s="9"/>
      <c r="G5069" s="9"/>
      <c r="AA5069" s="10"/>
      <c r="AV5069" s="11"/>
      <c r="AW5069" s="11"/>
      <c r="BB5069" s="9"/>
      <c r="BC5069" s="11"/>
      <c r="BF5069" s="9"/>
      <c r="CH5069" s="9"/>
    </row>
    <row r="5070" spans="6:92" x14ac:dyDescent="0.25">
      <c r="F5070" s="9"/>
      <c r="G5070" s="9"/>
      <c r="AA5070" s="10"/>
      <c r="AV5070" s="11"/>
      <c r="AW5070" s="11"/>
      <c r="BB5070" s="9"/>
      <c r="BC5070" s="11"/>
      <c r="BF5070" s="9"/>
      <c r="CH5070" s="9"/>
    </row>
    <row r="5071" spans="6:92" x14ac:dyDescent="0.25">
      <c r="F5071" s="9"/>
      <c r="G5071" s="9"/>
      <c r="AA5071" s="10"/>
      <c r="AV5071" s="11"/>
      <c r="AW5071" s="11"/>
      <c r="BB5071" s="9"/>
      <c r="BC5071" s="11"/>
      <c r="BF5071" s="9"/>
      <c r="CH5071" s="9"/>
    </row>
    <row r="5072" spans="6:92" x14ac:dyDescent="0.25">
      <c r="F5072" s="9"/>
      <c r="G5072" s="9"/>
      <c r="AA5072" s="10"/>
      <c r="AV5072" s="11"/>
      <c r="AW5072" s="11"/>
      <c r="BB5072" s="9"/>
      <c r="BC5072" s="11"/>
      <c r="BF5072" s="9"/>
      <c r="CF5072" s="12"/>
      <c r="CH5072" s="9"/>
    </row>
    <row r="5073" spans="6:86" x14ac:dyDescent="0.25">
      <c r="F5073" s="9"/>
      <c r="G5073" s="9"/>
      <c r="AA5073" s="10"/>
      <c r="AV5073" s="11"/>
      <c r="AW5073" s="11"/>
      <c r="BB5073" s="9"/>
      <c r="BC5073" s="11"/>
      <c r="BF5073" s="9"/>
      <c r="CF5073" s="12"/>
      <c r="CH5073" s="9"/>
    </row>
    <row r="5074" spans="6:86" x14ac:dyDescent="0.25">
      <c r="F5074" s="9"/>
      <c r="G5074" s="9"/>
      <c r="AA5074" s="10"/>
      <c r="AV5074" s="11"/>
      <c r="AW5074" s="11"/>
      <c r="BB5074" s="9"/>
      <c r="BC5074" s="11"/>
      <c r="BF5074" s="9"/>
      <c r="CH5074" s="9"/>
    </row>
    <row r="5075" spans="6:86" x14ac:dyDescent="0.25">
      <c r="F5075" s="9"/>
      <c r="G5075" s="9"/>
      <c r="AA5075" s="10"/>
      <c r="AV5075" s="11"/>
      <c r="AW5075" s="11"/>
      <c r="BB5075" s="9"/>
      <c r="BC5075" s="11"/>
      <c r="BF5075" s="9"/>
      <c r="CF5075" s="12"/>
      <c r="CH5075" s="9"/>
    </row>
    <row r="5076" spans="6:86" x14ac:dyDescent="0.25">
      <c r="F5076" s="9"/>
      <c r="G5076" s="9"/>
      <c r="AA5076" s="10"/>
      <c r="AV5076" s="11"/>
      <c r="AW5076" s="11"/>
      <c r="BB5076" s="9"/>
      <c r="BC5076" s="11"/>
      <c r="BF5076" s="9"/>
      <c r="CF5076" s="12"/>
      <c r="CH5076" s="9"/>
    </row>
    <row r="5077" spans="6:86" x14ac:dyDescent="0.25">
      <c r="F5077" s="9"/>
      <c r="G5077" s="9"/>
      <c r="AA5077" s="10"/>
      <c r="AV5077" s="11"/>
      <c r="AW5077" s="11"/>
      <c r="BB5077" s="9"/>
      <c r="BC5077" s="11"/>
      <c r="BF5077" s="9"/>
      <c r="CF5077" s="12"/>
      <c r="CH5077" s="9"/>
    </row>
    <row r="5078" spans="6:86" x14ac:dyDescent="0.25">
      <c r="F5078" s="9"/>
      <c r="G5078" s="9"/>
      <c r="AA5078" s="10"/>
      <c r="AV5078" s="11"/>
      <c r="AW5078" s="11"/>
      <c r="BB5078" s="9"/>
      <c r="BC5078" s="11"/>
      <c r="BF5078" s="9"/>
      <c r="CF5078" s="12"/>
      <c r="CH5078" s="9"/>
    </row>
    <row r="5079" spans="6:86" x14ac:dyDescent="0.25">
      <c r="F5079" s="9"/>
      <c r="G5079" s="9"/>
      <c r="AA5079" s="10"/>
      <c r="AV5079" s="11"/>
      <c r="AW5079" s="11"/>
      <c r="BB5079" s="9"/>
      <c r="BC5079" s="11"/>
      <c r="BF5079" s="9"/>
      <c r="CF5079" s="12"/>
      <c r="CH5079" s="9"/>
    </row>
    <row r="5080" spans="6:86" x14ac:dyDescent="0.25">
      <c r="F5080" s="9"/>
      <c r="G5080" s="9"/>
      <c r="AA5080" s="10"/>
      <c r="AV5080" s="11"/>
      <c r="AW5080" s="11"/>
      <c r="BB5080" s="9"/>
      <c r="BC5080" s="11"/>
      <c r="BF5080" s="9"/>
      <c r="CF5080" s="12"/>
      <c r="CH5080" s="9"/>
    </row>
    <row r="5081" spans="6:86" x14ac:dyDescent="0.25">
      <c r="F5081" s="9"/>
      <c r="G5081" s="9"/>
      <c r="AA5081" s="10"/>
      <c r="AV5081" s="11"/>
      <c r="AW5081" s="11"/>
      <c r="BB5081" s="9"/>
      <c r="BC5081" s="11"/>
      <c r="BF5081" s="9"/>
      <c r="CF5081" s="12"/>
      <c r="CH5081" s="9"/>
    </row>
    <row r="5082" spans="6:86" x14ac:dyDescent="0.25">
      <c r="F5082" s="9"/>
      <c r="G5082" s="9"/>
      <c r="AA5082" s="10"/>
      <c r="AV5082" s="11"/>
      <c r="AW5082" s="11"/>
      <c r="BB5082" s="9"/>
      <c r="BC5082" s="11"/>
      <c r="BF5082" s="9"/>
      <c r="CF5082" s="12"/>
      <c r="CH5082" s="9"/>
    </row>
    <row r="5083" spans="6:86" x14ac:dyDescent="0.25">
      <c r="F5083" s="9"/>
      <c r="G5083" s="9"/>
      <c r="AA5083" s="10"/>
      <c r="AV5083" s="11"/>
      <c r="AW5083" s="11"/>
      <c r="BB5083" s="9"/>
      <c r="BC5083" s="11"/>
      <c r="BF5083" s="9"/>
      <c r="CF5083" s="12"/>
      <c r="CH5083" s="9"/>
    </row>
    <row r="5084" spans="6:86" x14ac:dyDescent="0.25">
      <c r="F5084" s="9"/>
      <c r="G5084" s="9"/>
      <c r="AA5084" s="10"/>
      <c r="AV5084" s="11"/>
      <c r="AW5084" s="11"/>
      <c r="BB5084" s="9"/>
      <c r="BC5084" s="11"/>
      <c r="BF5084" s="9"/>
      <c r="CF5084" s="12"/>
      <c r="CH5084" s="9"/>
    </row>
    <row r="5085" spans="6:86" x14ac:dyDescent="0.25">
      <c r="F5085" s="9"/>
      <c r="G5085" s="9"/>
      <c r="AA5085" s="10"/>
      <c r="AV5085" s="11"/>
      <c r="AW5085" s="11"/>
      <c r="BB5085" s="9"/>
      <c r="BC5085" s="11"/>
      <c r="BF5085" s="9"/>
      <c r="CF5085" s="12"/>
      <c r="CH5085" s="9"/>
    </row>
    <row r="5086" spans="6:86" x14ac:dyDescent="0.25">
      <c r="F5086" s="9"/>
      <c r="G5086" s="9"/>
      <c r="AA5086" s="10"/>
      <c r="AV5086" s="11"/>
      <c r="AW5086" s="11"/>
      <c r="BB5086" s="9"/>
      <c r="BC5086" s="11"/>
      <c r="BF5086" s="9"/>
      <c r="CF5086" s="12"/>
      <c r="CH5086" s="9"/>
    </row>
    <row r="5087" spans="6:86" x14ac:dyDescent="0.25">
      <c r="F5087" s="9"/>
      <c r="G5087" s="9"/>
      <c r="AA5087" s="10"/>
      <c r="AV5087" s="11"/>
      <c r="AW5087" s="11"/>
      <c r="BB5087" s="9"/>
      <c r="BC5087" s="11"/>
      <c r="BF5087" s="9"/>
      <c r="CF5087" s="12"/>
      <c r="CH5087" s="9"/>
    </row>
    <row r="5088" spans="6:86" x14ac:dyDescent="0.25">
      <c r="F5088" s="9"/>
      <c r="G5088" s="9"/>
      <c r="AA5088" s="10"/>
      <c r="AV5088" s="11"/>
      <c r="AW5088" s="11"/>
      <c r="BB5088" s="9"/>
      <c r="BC5088" s="11"/>
      <c r="BF5088" s="9"/>
      <c r="CF5088" s="12"/>
      <c r="CH5088" s="9"/>
    </row>
    <row r="5089" spans="6:86" x14ac:dyDescent="0.25">
      <c r="F5089" s="9"/>
      <c r="G5089" s="9"/>
      <c r="AA5089" s="10"/>
      <c r="AV5089" s="11"/>
      <c r="AW5089" s="11"/>
      <c r="BB5089" s="9"/>
      <c r="BC5089" s="11"/>
      <c r="BF5089" s="9"/>
      <c r="CF5089" s="12"/>
      <c r="CH5089" s="9"/>
    </row>
    <row r="5090" spans="6:86" x14ac:dyDescent="0.25">
      <c r="F5090" s="9"/>
      <c r="G5090" s="9"/>
      <c r="AA5090" s="10"/>
      <c r="AV5090" s="11"/>
      <c r="AW5090" s="11"/>
      <c r="BB5090" s="9"/>
      <c r="BC5090" s="11"/>
      <c r="BF5090" s="9"/>
      <c r="CF5090" s="12"/>
      <c r="CH5090" s="9"/>
    </row>
    <row r="5091" spans="6:86" x14ac:dyDescent="0.25">
      <c r="F5091" s="9"/>
      <c r="G5091" s="9"/>
      <c r="AA5091" s="10"/>
      <c r="AV5091" s="11"/>
      <c r="AW5091" s="11"/>
      <c r="BB5091" s="9"/>
      <c r="BC5091" s="11"/>
      <c r="BF5091" s="9"/>
      <c r="CF5091" s="12"/>
      <c r="CH5091" s="9"/>
    </row>
    <row r="5092" spans="6:86" x14ac:dyDescent="0.25">
      <c r="F5092" s="9"/>
      <c r="G5092" s="9"/>
      <c r="AA5092" s="10"/>
      <c r="AV5092" s="11"/>
      <c r="AW5092" s="11"/>
      <c r="BB5092" s="9"/>
      <c r="BC5092" s="11"/>
      <c r="BF5092" s="9"/>
      <c r="CF5092" s="12"/>
      <c r="CH5092" s="9"/>
    </row>
    <row r="5093" spans="6:86" x14ac:dyDescent="0.25">
      <c r="F5093" s="9"/>
      <c r="G5093" s="9"/>
      <c r="AA5093" s="10"/>
      <c r="AV5093" s="11"/>
      <c r="AW5093" s="11"/>
      <c r="BB5093" s="9"/>
      <c r="BC5093" s="11"/>
      <c r="BF5093" s="9"/>
      <c r="CF5093" s="12"/>
      <c r="CH5093" s="9"/>
    </row>
    <row r="5094" spans="6:86" x14ac:dyDescent="0.25">
      <c r="F5094" s="9"/>
      <c r="G5094" s="9"/>
      <c r="AA5094" s="10"/>
      <c r="AV5094" s="11"/>
      <c r="AW5094" s="11"/>
      <c r="BB5094" s="9"/>
      <c r="BC5094" s="11"/>
      <c r="BF5094" s="9"/>
      <c r="CF5094" s="12"/>
      <c r="CH5094" s="9"/>
    </row>
    <row r="5095" spans="6:86" x14ac:dyDescent="0.25">
      <c r="F5095" s="9"/>
      <c r="G5095" s="9"/>
      <c r="AA5095" s="10"/>
      <c r="AV5095" s="11"/>
      <c r="AW5095" s="11"/>
      <c r="BB5095" s="9"/>
      <c r="BC5095" s="11"/>
      <c r="BF5095" s="9"/>
      <c r="CH5095" s="9"/>
    </row>
    <row r="5096" spans="6:86" x14ac:dyDescent="0.25">
      <c r="F5096" s="9"/>
      <c r="G5096" s="9"/>
      <c r="AA5096" s="10"/>
      <c r="AV5096" s="11"/>
      <c r="AW5096" s="11"/>
      <c r="BB5096" s="9"/>
      <c r="BC5096" s="11"/>
      <c r="BF5096" s="9"/>
      <c r="CF5096" s="12"/>
      <c r="CH5096" s="9"/>
    </row>
    <row r="5097" spans="6:86" x14ac:dyDescent="0.25">
      <c r="F5097" s="9"/>
      <c r="G5097" s="9"/>
      <c r="AA5097" s="10"/>
      <c r="AV5097" s="11"/>
      <c r="AW5097" s="11"/>
      <c r="BB5097" s="9"/>
      <c r="BC5097" s="11"/>
      <c r="BF5097" s="9"/>
      <c r="CF5097" s="12"/>
      <c r="CH5097" s="9"/>
    </row>
    <row r="5098" spans="6:86" x14ac:dyDescent="0.25">
      <c r="F5098" s="9"/>
      <c r="G5098" s="9"/>
      <c r="AA5098" s="10"/>
      <c r="AV5098" s="11"/>
      <c r="AW5098" s="11"/>
      <c r="BB5098" s="9"/>
      <c r="BC5098" s="11"/>
      <c r="BF5098" s="9"/>
      <c r="CF5098" s="12"/>
      <c r="CH5098" s="9"/>
    </row>
    <row r="5099" spans="6:86" x14ac:dyDescent="0.25">
      <c r="F5099" s="9"/>
      <c r="G5099" s="9"/>
      <c r="AA5099" s="10"/>
      <c r="AV5099" s="11"/>
      <c r="AW5099" s="11"/>
      <c r="BB5099" s="9"/>
      <c r="BC5099" s="11"/>
      <c r="BF5099" s="9"/>
      <c r="CF5099" s="12"/>
      <c r="CH5099" s="9"/>
    </row>
    <row r="5100" spans="6:86" x14ac:dyDescent="0.25">
      <c r="F5100" s="9"/>
      <c r="G5100" s="9"/>
      <c r="AA5100" s="10"/>
      <c r="AV5100" s="11"/>
      <c r="AW5100" s="11"/>
      <c r="BB5100" s="9"/>
      <c r="BC5100" s="11"/>
      <c r="BF5100" s="9"/>
      <c r="CH5100" s="9"/>
    </row>
    <row r="5101" spans="6:86" x14ac:dyDescent="0.25">
      <c r="F5101" s="9"/>
      <c r="G5101" s="9"/>
      <c r="AA5101" s="10"/>
      <c r="AV5101" s="11"/>
      <c r="AW5101" s="11"/>
      <c r="BB5101" s="9"/>
      <c r="BC5101" s="11"/>
      <c r="BF5101" s="9"/>
      <c r="CF5101" s="12"/>
      <c r="CH5101" s="9"/>
    </row>
    <row r="5102" spans="6:86" x14ac:dyDescent="0.25">
      <c r="F5102" s="9"/>
      <c r="G5102" s="9"/>
      <c r="AA5102" s="10"/>
      <c r="AV5102" s="11"/>
      <c r="AW5102" s="11"/>
      <c r="BB5102" s="9"/>
      <c r="BC5102" s="11"/>
      <c r="BF5102" s="9"/>
      <c r="CF5102" s="12"/>
      <c r="CH5102" s="9"/>
    </row>
    <row r="5103" spans="6:86" x14ac:dyDescent="0.25">
      <c r="F5103" s="9"/>
      <c r="G5103" s="9"/>
      <c r="AA5103" s="10"/>
      <c r="AV5103" s="11"/>
      <c r="AW5103" s="11"/>
      <c r="BB5103" s="9"/>
      <c r="BC5103" s="11"/>
      <c r="BF5103" s="9"/>
      <c r="CH5103" s="9"/>
    </row>
    <row r="5104" spans="6:86" x14ac:dyDescent="0.25">
      <c r="F5104" s="9"/>
      <c r="G5104" s="9"/>
      <c r="AA5104" s="10"/>
      <c r="AV5104" s="11"/>
      <c r="AW5104" s="11"/>
      <c r="BB5104" s="9"/>
      <c r="BC5104" s="11"/>
      <c r="BF5104" s="9"/>
      <c r="CF5104" s="12"/>
      <c r="CH5104" s="9"/>
    </row>
    <row r="5105" spans="6:86" x14ac:dyDescent="0.25">
      <c r="F5105" s="9"/>
      <c r="G5105" s="9"/>
      <c r="AA5105" s="10"/>
      <c r="AV5105" s="11"/>
      <c r="AW5105" s="11"/>
      <c r="BB5105" s="9"/>
      <c r="BC5105" s="11"/>
      <c r="BF5105" s="9"/>
      <c r="CF5105" s="12"/>
      <c r="CH5105" s="9"/>
    </row>
    <row r="5106" spans="6:86" x14ac:dyDescent="0.25">
      <c r="F5106" s="9"/>
      <c r="G5106" s="9"/>
      <c r="AA5106" s="10"/>
      <c r="AV5106" s="11"/>
      <c r="AW5106" s="11"/>
      <c r="BB5106" s="9"/>
      <c r="BC5106" s="11"/>
      <c r="BF5106" s="9"/>
      <c r="CF5106" s="12"/>
      <c r="CH5106" s="9"/>
    </row>
    <row r="5107" spans="6:86" x14ac:dyDescent="0.25">
      <c r="F5107" s="9"/>
      <c r="G5107" s="9"/>
      <c r="AA5107" s="10"/>
      <c r="AV5107" s="11"/>
      <c r="AW5107" s="11"/>
      <c r="BB5107" s="9"/>
      <c r="BC5107" s="11"/>
      <c r="BF5107" s="9"/>
      <c r="CF5107" s="12"/>
      <c r="CH5107" s="9"/>
    </row>
    <row r="5108" spans="6:86" x14ac:dyDescent="0.25">
      <c r="F5108" s="9"/>
      <c r="G5108" s="9"/>
      <c r="AA5108" s="10"/>
      <c r="AV5108" s="11"/>
      <c r="AW5108" s="11"/>
      <c r="BB5108" s="9"/>
      <c r="BC5108" s="11"/>
      <c r="BF5108" s="9"/>
      <c r="CF5108" s="12"/>
      <c r="CH5108" s="9"/>
    </row>
    <row r="5109" spans="6:86" x14ac:dyDescent="0.25">
      <c r="F5109" s="9"/>
      <c r="G5109" s="9"/>
      <c r="AA5109" s="10"/>
      <c r="AV5109" s="11"/>
      <c r="AW5109" s="11"/>
      <c r="BB5109" s="9"/>
      <c r="BC5109" s="11"/>
      <c r="BF5109" s="9"/>
      <c r="CH5109" s="9"/>
    </row>
    <row r="5110" spans="6:86" x14ac:dyDescent="0.25">
      <c r="F5110" s="9"/>
      <c r="G5110" s="9"/>
      <c r="AA5110" s="10"/>
      <c r="AV5110" s="11"/>
      <c r="AW5110" s="11"/>
      <c r="BB5110" s="9"/>
      <c r="BC5110" s="11"/>
      <c r="BF5110" s="9"/>
      <c r="CH5110" s="9"/>
    </row>
    <row r="5111" spans="6:86" x14ac:dyDescent="0.25">
      <c r="F5111" s="9"/>
      <c r="G5111" s="9"/>
      <c r="AA5111" s="10"/>
      <c r="AV5111" s="11"/>
      <c r="AW5111" s="11"/>
      <c r="BB5111" s="9"/>
      <c r="BC5111" s="11"/>
      <c r="BF5111" s="9"/>
      <c r="CF5111" s="12"/>
      <c r="CH5111" s="9"/>
    </row>
    <row r="5112" spans="6:86" x14ac:dyDescent="0.25">
      <c r="F5112" s="9"/>
      <c r="G5112" s="9"/>
      <c r="AA5112" s="10"/>
      <c r="AV5112" s="11"/>
      <c r="AW5112" s="11"/>
      <c r="BB5112" s="9"/>
      <c r="BC5112" s="11"/>
      <c r="BF5112" s="9"/>
      <c r="CF5112" s="12"/>
      <c r="CH5112" s="9"/>
    </row>
    <row r="5113" spans="6:86" x14ac:dyDescent="0.25">
      <c r="F5113" s="9"/>
      <c r="G5113" s="9"/>
      <c r="AA5113" s="10"/>
      <c r="AV5113" s="11"/>
      <c r="AW5113" s="11"/>
      <c r="BB5113" s="9"/>
      <c r="BC5113" s="11"/>
      <c r="BF5113" s="9"/>
      <c r="CF5113" s="12"/>
      <c r="CH5113" s="9"/>
    </row>
    <row r="5114" spans="6:86" x14ac:dyDescent="0.25">
      <c r="F5114" s="9"/>
      <c r="G5114" s="9"/>
      <c r="AA5114" s="10"/>
      <c r="AV5114" s="11"/>
      <c r="AW5114" s="11"/>
      <c r="BB5114" s="9"/>
      <c r="BC5114" s="11"/>
      <c r="BF5114" s="9"/>
      <c r="CF5114" s="12"/>
      <c r="CH5114" s="9"/>
    </row>
    <row r="5115" spans="6:86" x14ac:dyDescent="0.25">
      <c r="F5115" s="9"/>
      <c r="G5115" s="9"/>
      <c r="AA5115" s="10"/>
      <c r="AV5115" s="11"/>
      <c r="AW5115" s="11"/>
      <c r="BB5115" s="9"/>
      <c r="BC5115" s="11"/>
      <c r="BF5115" s="9"/>
      <c r="CF5115" s="12"/>
      <c r="CH5115" s="9"/>
    </row>
    <row r="5116" spans="6:86" x14ac:dyDescent="0.25">
      <c r="F5116" s="9"/>
      <c r="G5116" s="9"/>
      <c r="AA5116" s="10"/>
      <c r="AV5116" s="11"/>
      <c r="AW5116" s="11"/>
      <c r="BB5116" s="9"/>
      <c r="BC5116" s="11"/>
      <c r="BF5116" s="9"/>
      <c r="CF5116" s="12"/>
      <c r="CH5116" s="9"/>
    </row>
    <row r="5117" spans="6:86" x14ac:dyDescent="0.25">
      <c r="F5117" s="9"/>
      <c r="G5117" s="9"/>
      <c r="AA5117" s="10"/>
      <c r="AV5117" s="11"/>
      <c r="AW5117" s="11"/>
      <c r="BB5117" s="9"/>
      <c r="BC5117" s="11"/>
      <c r="BF5117" s="9"/>
      <c r="CF5117" s="12"/>
      <c r="CH5117" s="9"/>
    </row>
    <row r="5118" spans="6:86" x14ac:dyDescent="0.25">
      <c r="F5118" s="9"/>
      <c r="G5118" s="9"/>
      <c r="AA5118" s="10"/>
      <c r="AV5118" s="11"/>
      <c r="AW5118" s="11"/>
      <c r="BB5118" s="9"/>
      <c r="BC5118" s="11"/>
      <c r="BF5118" s="9"/>
      <c r="CF5118" s="12"/>
      <c r="CH5118" s="9"/>
    </row>
    <row r="5119" spans="6:86" x14ac:dyDescent="0.25">
      <c r="F5119" s="9"/>
      <c r="G5119" s="9"/>
      <c r="AA5119" s="10"/>
      <c r="AV5119" s="11"/>
      <c r="AW5119" s="11"/>
      <c r="BB5119" s="9"/>
      <c r="BC5119" s="11"/>
      <c r="BF5119" s="9"/>
      <c r="CF5119" s="12"/>
      <c r="CH5119" s="9"/>
    </row>
    <row r="5120" spans="6:86" x14ac:dyDescent="0.25">
      <c r="F5120" s="9"/>
      <c r="G5120" s="9"/>
      <c r="AA5120" s="10"/>
      <c r="AV5120" s="11"/>
      <c r="AW5120" s="11"/>
      <c r="BB5120" s="9"/>
      <c r="BC5120" s="11"/>
      <c r="BF5120" s="9"/>
      <c r="CH5120" s="9"/>
    </row>
    <row r="5121" spans="6:86" x14ac:dyDescent="0.25">
      <c r="F5121" s="9"/>
      <c r="G5121" s="9"/>
      <c r="AA5121" s="10"/>
      <c r="AV5121" s="11"/>
      <c r="AW5121" s="11"/>
      <c r="BB5121" s="9"/>
      <c r="BC5121" s="11"/>
      <c r="BF5121" s="9"/>
      <c r="CF5121" s="12"/>
      <c r="CH5121" s="9"/>
    </row>
    <row r="5122" spans="6:86" x14ac:dyDescent="0.25">
      <c r="F5122" s="9"/>
      <c r="G5122" s="9"/>
      <c r="AA5122" s="10"/>
      <c r="AV5122" s="11"/>
      <c r="AW5122" s="11"/>
      <c r="BB5122" s="9"/>
      <c r="BC5122" s="11"/>
      <c r="BF5122" s="9"/>
      <c r="CF5122" s="12"/>
      <c r="CH5122" s="9"/>
    </row>
    <row r="5123" spans="6:86" x14ac:dyDescent="0.25">
      <c r="F5123" s="9"/>
      <c r="G5123" s="9"/>
      <c r="AA5123" s="10"/>
      <c r="AV5123" s="11"/>
      <c r="AW5123" s="11"/>
      <c r="BB5123" s="9"/>
      <c r="BC5123" s="11"/>
      <c r="BF5123" s="9"/>
      <c r="CF5123" s="12"/>
      <c r="CH5123" s="9"/>
    </row>
    <row r="5124" spans="6:86" x14ac:dyDescent="0.25">
      <c r="F5124" s="9"/>
      <c r="G5124" s="9"/>
      <c r="AA5124" s="10"/>
      <c r="AV5124" s="11"/>
      <c r="AW5124" s="11"/>
      <c r="BB5124" s="9"/>
      <c r="BC5124" s="11"/>
      <c r="BF5124" s="9"/>
      <c r="CF5124" s="12"/>
      <c r="CH5124" s="9"/>
    </row>
    <row r="5125" spans="6:86" x14ac:dyDescent="0.25">
      <c r="F5125" s="9"/>
      <c r="G5125" s="9"/>
      <c r="AA5125" s="10"/>
      <c r="AV5125" s="11"/>
      <c r="AW5125" s="11"/>
      <c r="BB5125" s="9"/>
      <c r="BC5125" s="11"/>
      <c r="BF5125" s="9"/>
      <c r="CF5125" s="12"/>
      <c r="CH5125" s="9"/>
    </row>
    <row r="5126" spans="6:86" x14ac:dyDescent="0.25">
      <c r="F5126" s="9"/>
      <c r="G5126" s="9"/>
      <c r="AA5126" s="10"/>
      <c r="AV5126" s="11"/>
      <c r="AW5126" s="11"/>
      <c r="BB5126" s="9"/>
      <c r="BC5126" s="11"/>
      <c r="BF5126" s="9"/>
      <c r="CF5126" s="12"/>
      <c r="CH5126" s="9"/>
    </row>
    <row r="5127" spans="6:86" x14ac:dyDescent="0.25">
      <c r="F5127" s="9"/>
      <c r="G5127" s="9"/>
      <c r="AA5127" s="10"/>
      <c r="AV5127" s="11"/>
      <c r="AW5127" s="11"/>
      <c r="BB5127" s="9"/>
      <c r="BC5127" s="11"/>
      <c r="BF5127" s="9"/>
      <c r="CF5127" s="12"/>
      <c r="CH5127" s="9"/>
    </row>
    <row r="5128" spans="6:86" x14ac:dyDescent="0.25">
      <c r="F5128" s="9"/>
      <c r="G5128" s="9"/>
      <c r="AA5128" s="10"/>
      <c r="AV5128" s="11"/>
      <c r="AW5128" s="11"/>
      <c r="BB5128" s="9"/>
      <c r="BC5128" s="11"/>
      <c r="BF5128" s="9"/>
      <c r="CF5128" s="12"/>
      <c r="CH5128" s="9"/>
    </row>
    <row r="5129" spans="6:86" x14ac:dyDescent="0.25">
      <c r="F5129" s="9"/>
      <c r="G5129" s="9"/>
      <c r="AA5129" s="10"/>
      <c r="AV5129" s="11"/>
      <c r="AW5129" s="11"/>
      <c r="BB5129" s="9"/>
      <c r="BC5129" s="11"/>
      <c r="BF5129" s="9"/>
      <c r="CF5129" s="12"/>
      <c r="CH5129" s="9"/>
    </row>
    <row r="5130" spans="6:86" x14ac:dyDescent="0.25">
      <c r="F5130" s="9"/>
      <c r="G5130" s="9"/>
      <c r="AA5130" s="10"/>
      <c r="AV5130" s="11"/>
      <c r="AW5130" s="11"/>
      <c r="BB5130" s="9"/>
      <c r="BC5130" s="11"/>
      <c r="BF5130" s="9"/>
      <c r="CF5130" s="12"/>
      <c r="CH5130" s="9"/>
    </row>
    <row r="5131" spans="6:86" x14ac:dyDescent="0.25">
      <c r="F5131" s="9"/>
      <c r="G5131" s="9"/>
      <c r="AA5131" s="10"/>
      <c r="AV5131" s="11"/>
      <c r="AW5131" s="11"/>
      <c r="BB5131" s="9"/>
      <c r="BC5131" s="11"/>
      <c r="BF5131" s="9"/>
      <c r="CF5131" s="12"/>
      <c r="CH5131" s="9"/>
    </row>
    <row r="5132" spans="6:86" x14ac:dyDescent="0.25">
      <c r="F5132" s="9"/>
      <c r="G5132" s="9"/>
      <c r="AA5132" s="10"/>
      <c r="AV5132" s="11"/>
      <c r="AW5132" s="11"/>
      <c r="BB5132" s="9"/>
      <c r="BC5132" s="11"/>
      <c r="BF5132" s="9"/>
      <c r="CF5132" s="12"/>
      <c r="CH5132" s="9"/>
    </row>
    <row r="5133" spans="6:86" x14ac:dyDescent="0.25">
      <c r="F5133" s="9"/>
      <c r="G5133" s="9"/>
      <c r="AA5133" s="10"/>
      <c r="AV5133" s="11"/>
      <c r="AW5133" s="11"/>
      <c r="BB5133" s="9"/>
      <c r="BC5133" s="11"/>
      <c r="BF5133" s="9"/>
      <c r="CF5133" s="12"/>
      <c r="CH5133" s="9"/>
    </row>
    <row r="5134" spans="6:86" x14ac:dyDescent="0.25">
      <c r="F5134" s="9"/>
      <c r="G5134" s="9"/>
      <c r="AA5134" s="10"/>
      <c r="AV5134" s="11"/>
      <c r="AW5134" s="11"/>
      <c r="BB5134" s="9"/>
      <c r="BC5134" s="11"/>
      <c r="BF5134" s="9"/>
      <c r="CH5134" s="9"/>
    </row>
    <row r="5135" spans="6:86" x14ac:dyDescent="0.25">
      <c r="F5135" s="9"/>
      <c r="G5135" s="9"/>
      <c r="AA5135" s="10"/>
      <c r="AV5135" s="11"/>
      <c r="AW5135" s="11"/>
      <c r="BB5135" s="9"/>
      <c r="BC5135" s="11"/>
      <c r="BF5135" s="9"/>
      <c r="CF5135" s="12"/>
      <c r="CH5135" s="9"/>
    </row>
    <row r="5136" spans="6:86" x14ac:dyDescent="0.25">
      <c r="F5136" s="9"/>
      <c r="G5136" s="9"/>
      <c r="AA5136" s="10"/>
      <c r="AV5136" s="11"/>
      <c r="AW5136" s="11"/>
      <c r="BB5136" s="9"/>
      <c r="BC5136" s="11"/>
      <c r="BF5136" s="9"/>
      <c r="CF5136" s="12"/>
      <c r="CH5136" s="9"/>
    </row>
    <row r="5137" spans="6:92" x14ac:dyDescent="0.25">
      <c r="F5137" s="9"/>
      <c r="G5137" s="9"/>
      <c r="AA5137" s="10"/>
      <c r="AV5137" s="11"/>
      <c r="AW5137" s="11"/>
      <c r="BB5137" s="9"/>
      <c r="BC5137" s="11"/>
      <c r="BF5137" s="9"/>
      <c r="CF5137" s="12"/>
      <c r="CH5137" s="9"/>
    </row>
    <row r="5138" spans="6:92" x14ac:dyDescent="0.25">
      <c r="F5138" s="9"/>
      <c r="G5138" s="9"/>
      <c r="AA5138" s="10"/>
      <c r="AV5138" s="11"/>
      <c r="AW5138" s="11"/>
      <c r="BB5138" s="9"/>
      <c r="BC5138" s="11"/>
      <c r="BF5138" s="9"/>
      <c r="CF5138" s="12"/>
      <c r="CH5138" s="9"/>
    </row>
    <row r="5139" spans="6:92" x14ac:dyDescent="0.25">
      <c r="F5139" s="9"/>
      <c r="G5139" s="9"/>
      <c r="U5139" s="12"/>
      <c r="AA5139" s="10"/>
      <c r="AV5139" s="11"/>
      <c r="AW5139" s="11"/>
      <c r="BB5139" s="9"/>
      <c r="BC5139" s="11"/>
      <c r="BF5139" s="9"/>
      <c r="CF5139" s="12"/>
      <c r="CH5139" s="9"/>
    </row>
    <row r="5140" spans="6:92" x14ac:dyDescent="0.25">
      <c r="F5140" s="9"/>
      <c r="G5140" s="9"/>
      <c r="AA5140" s="10"/>
      <c r="AV5140" s="11"/>
      <c r="AW5140" s="11"/>
      <c r="BB5140" s="9"/>
      <c r="BC5140" s="11"/>
      <c r="BF5140" s="9"/>
      <c r="CF5140" s="12"/>
      <c r="CH5140" s="9"/>
    </row>
    <row r="5141" spans="6:92" x14ac:dyDescent="0.25">
      <c r="F5141" s="9"/>
      <c r="G5141" s="9"/>
      <c r="AA5141" s="10"/>
      <c r="AV5141" s="11"/>
      <c r="AW5141" s="11"/>
      <c r="BB5141" s="9"/>
      <c r="BC5141" s="11"/>
      <c r="BF5141" s="9"/>
      <c r="CF5141" s="12"/>
      <c r="CH5141" s="9"/>
    </row>
    <row r="5142" spans="6:92" x14ac:dyDescent="0.25">
      <c r="F5142" s="9"/>
      <c r="G5142" s="9"/>
      <c r="AA5142" s="10"/>
      <c r="AV5142" s="11"/>
      <c r="AW5142" s="11"/>
      <c r="BB5142" s="9"/>
      <c r="BC5142" s="11"/>
      <c r="BF5142" s="9"/>
      <c r="CF5142" s="12"/>
      <c r="CH5142" s="9"/>
    </row>
    <row r="5143" spans="6:92" x14ac:dyDescent="0.25">
      <c r="F5143" s="9"/>
      <c r="G5143" s="9"/>
      <c r="AA5143" s="10"/>
      <c r="AV5143" s="11"/>
      <c r="AW5143" s="11"/>
      <c r="BB5143" s="9"/>
      <c r="BC5143" s="11"/>
      <c r="BF5143" s="9"/>
      <c r="CF5143" s="12"/>
      <c r="CH5143" s="9"/>
    </row>
    <row r="5144" spans="6:92" x14ac:dyDescent="0.25">
      <c r="F5144" s="9"/>
      <c r="G5144" s="9"/>
      <c r="AA5144" s="10"/>
      <c r="AV5144" s="11"/>
      <c r="AW5144" s="11"/>
      <c r="BB5144" s="9"/>
      <c r="BC5144" s="11"/>
      <c r="BF5144" s="9"/>
      <c r="CF5144" s="12"/>
      <c r="CH5144" s="9"/>
    </row>
    <row r="5145" spans="6:92" x14ac:dyDescent="0.25">
      <c r="F5145" s="9"/>
      <c r="G5145" s="9"/>
      <c r="AA5145" s="10"/>
      <c r="AV5145" s="11"/>
      <c r="AW5145" s="11"/>
      <c r="BB5145" s="9"/>
      <c r="BC5145" s="11"/>
      <c r="BF5145" s="9"/>
      <c r="CF5145" s="12"/>
      <c r="CH5145" s="9"/>
    </row>
    <row r="5146" spans="6:92" x14ac:dyDescent="0.25">
      <c r="F5146" s="9"/>
      <c r="G5146" s="9"/>
      <c r="AA5146" s="10"/>
      <c r="AV5146" s="11"/>
      <c r="AW5146" s="11"/>
      <c r="BB5146" s="9"/>
      <c r="BC5146" s="11"/>
      <c r="BF5146" s="9"/>
      <c r="CF5146" s="12"/>
      <c r="CH5146" s="9"/>
      <c r="CN5146" s="12"/>
    </row>
    <row r="5147" spans="6:92" x14ac:dyDescent="0.25">
      <c r="F5147" s="9"/>
      <c r="G5147" s="9"/>
      <c r="AA5147" s="10"/>
      <c r="AV5147" s="11"/>
      <c r="AW5147" s="11"/>
      <c r="BB5147" s="9"/>
      <c r="BC5147" s="11"/>
      <c r="BF5147" s="9"/>
      <c r="CF5147" s="12"/>
      <c r="CH5147" s="9"/>
    </row>
    <row r="5148" spans="6:92" x14ac:dyDescent="0.25">
      <c r="F5148" s="9"/>
      <c r="G5148" s="9"/>
      <c r="AA5148" s="10"/>
      <c r="AV5148" s="11"/>
      <c r="AW5148" s="11"/>
      <c r="BB5148" s="9"/>
      <c r="BC5148" s="11"/>
      <c r="BF5148" s="9"/>
      <c r="CF5148" s="12"/>
      <c r="CH5148" s="9"/>
    </row>
    <row r="5149" spans="6:92" x14ac:dyDescent="0.25">
      <c r="F5149" s="9"/>
      <c r="G5149" s="9"/>
      <c r="AA5149" s="10"/>
      <c r="AV5149" s="11"/>
      <c r="AW5149" s="11"/>
      <c r="BB5149" s="9"/>
      <c r="BC5149" s="11"/>
      <c r="BF5149" s="9"/>
      <c r="CF5149" s="12"/>
      <c r="CH5149" s="9"/>
    </row>
    <row r="5150" spans="6:92" x14ac:dyDescent="0.25">
      <c r="F5150" s="9"/>
      <c r="G5150" s="9"/>
      <c r="AA5150" s="10"/>
      <c r="AV5150" s="11"/>
      <c r="AW5150" s="11"/>
      <c r="BB5150" s="9"/>
      <c r="BC5150" s="11"/>
      <c r="BF5150" s="9"/>
      <c r="CF5150" s="12"/>
      <c r="CH5150" s="9"/>
    </row>
    <row r="5151" spans="6:92" x14ac:dyDescent="0.25">
      <c r="F5151" s="9"/>
      <c r="G5151" s="9"/>
      <c r="AA5151" s="10"/>
      <c r="AV5151" s="11"/>
      <c r="AW5151" s="11"/>
      <c r="BB5151" s="9"/>
      <c r="BC5151" s="11"/>
      <c r="BF5151" s="9"/>
      <c r="CF5151" s="12"/>
      <c r="CH5151" s="9"/>
    </row>
    <row r="5152" spans="6:92" x14ac:dyDescent="0.25">
      <c r="F5152" s="9"/>
      <c r="G5152" s="9"/>
      <c r="AA5152" s="10"/>
      <c r="AV5152" s="11"/>
      <c r="AW5152" s="11"/>
      <c r="BB5152" s="9"/>
      <c r="BC5152" s="11"/>
      <c r="BF5152" s="9"/>
      <c r="CF5152" s="12"/>
      <c r="CH5152" s="9"/>
    </row>
    <row r="5153" spans="6:86" x14ac:dyDescent="0.25">
      <c r="F5153" s="9"/>
      <c r="G5153" s="9"/>
      <c r="AA5153" s="10"/>
      <c r="AV5153" s="11"/>
      <c r="AW5153" s="11"/>
      <c r="BB5153" s="9"/>
      <c r="BC5153" s="11"/>
      <c r="BF5153" s="9"/>
      <c r="CF5153" s="12"/>
      <c r="CH5153" s="9"/>
    </row>
    <row r="5154" spans="6:86" x14ac:dyDescent="0.25">
      <c r="F5154" s="9"/>
      <c r="G5154" s="9"/>
      <c r="AA5154" s="10"/>
      <c r="AV5154" s="11"/>
      <c r="AW5154" s="11"/>
      <c r="BB5154" s="9"/>
      <c r="BC5154" s="11"/>
      <c r="BF5154" s="9"/>
      <c r="CF5154" s="12"/>
      <c r="CH5154" s="9"/>
    </row>
    <row r="5155" spans="6:86" x14ac:dyDescent="0.25">
      <c r="F5155" s="9"/>
      <c r="G5155" s="9"/>
      <c r="AA5155" s="10"/>
      <c r="AV5155" s="11"/>
      <c r="AW5155" s="11"/>
      <c r="BB5155" s="9"/>
      <c r="BC5155" s="11"/>
      <c r="BF5155" s="9"/>
      <c r="CF5155" s="12"/>
      <c r="CH5155" s="9"/>
    </row>
    <row r="5156" spans="6:86" x14ac:dyDescent="0.25">
      <c r="F5156" s="9"/>
      <c r="G5156" s="9"/>
      <c r="AA5156" s="10"/>
      <c r="AV5156" s="11"/>
      <c r="AW5156" s="11"/>
      <c r="BB5156" s="9"/>
      <c r="BC5156" s="11"/>
      <c r="BF5156" s="9"/>
      <c r="CF5156" s="12"/>
      <c r="CH5156" s="9"/>
    </row>
    <row r="5157" spans="6:86" x14ac:dyDescent="0.25">
      <c r="F5157" s="9"/>
      <c r="G5157" s="9"/>
      <c r="AA5157" s="10"/>
      <c r="AV5157" s="11"/>
      <c r="AW5157" s="11"/>
      <c r="BB5157" s="9"/>
      <c r="BC5157" s="11"/>
      <c r="BF5157" s="9"/>
      <c r="CF5157" s="12"/>
      <c r="CH5157" s="9"/>
    </row>
    <row r="5158" spans="6:86" x14ac:dyDescent="0.25">
      <c r="F5158" s="9"/>
      <c r="G5158" s="9"/>
      <c r="AA5158" s="10"/>
      <c r="AV5158" s="11"/>
      <c r="AW5158" s="11"/>
      <c r="BB5158" s="9"/>
      <c r="BC5158" s="11"/>
      <c r="BF5158" s="9"/>
      <c r="CF5158" s="12"/>
      <c r="CH5158" s="9"/>
    </row>
    <row r="5159" spans="6:86" x14ac:dyDescent="0.25">
      <c r="F5159" s="9"/>
      <c r="G5159" s="9"/>
      <c r="AA5159" s="10"/>
      <c r="AV5159" s="11"/>
      <c r="AW5159" s="11"/>
      <c r="BB5159" s="9"/>
      <c r="BC5159" s="11"/>
      <c r="BF5159" s="9"/>
      <c r="CF5159" s="12"/>
      <c r="CH5159" s="9"/>
    </row>
    <row r="5160" spans="6:86" x14ac:dyDescent="0.25">
      <c r="F5160" s="9"/>
      <c r="G5160" s="9"/>
      <c r="AA5160" s="10"/>
      <c r="AV5160" s="11"/>
      <c r="AW5160" s="11"/>
      <c r="BB5160" s="9"/>
      <c r="BC5160" s="11"/>
      <c r="BF5160" s="9"/>
      <c r="CF5160" s="12"/>
      <c r="CH5160" s="9"/>
    </row>
    <row r="5161" spans="6:86" x14ac:dyDescent="0.25">
      <c r="F5161" s="9"/>
      <c r="G5161" s="9"/>
      <c r="AA5161" s="10"/>
      <c r="AV5161" s="11"/>
      <c r="AW5161" s="11"/>
      <c r="BB5161" s="9"/>
      <c r="BC5161" s="11"/>
      <c r="BF5161" s="9"/>
      <c r="CH5161" s="9"/>
    </row>
    <row r="5162" spans="6:86" x14ac:dyDescent="0.25">
      <c r="F5162" s="9"/>
      <c r="G5162" s="9"/>
      <c r="AA5162" s="10"/>
      <c r="AV5162" s="11"/>
      <c r="AW5162" s="11"/>
      <c r="BB5162" s="9"/>
      <c r="BC5162" s="11"/>
      <c r="BF5162" s="9"/>
      <c r="CH5162" s="9"/>
    </row>
    <row r="5163" spans="6:86" x14ac:dyDescent="0.25">
      <c r="F5163" s="9"/>
      <c r="G5163" s="9"/>
      <c r="AA5163" s="10"/>
      <c r="AV5163" s="11"/>
      <c r="AW5163" s="11"/>
      <c r="BB5163" s="9"/>
      <c r="BC5163" s="11"/>
      <c r="BF5163" s="9"/>
      <c r="CF5163" s="12"/>
      <c r="CH5163" s="9"/>
    </row>
    <row r="5164" spans="6:86" x14ac:dyDescent="0.25">
      <c r="F5164" s="9"/>
      <c r="G5164" s="9"/>
      <c r="AA5164" s="10"/>
      <c r="AV5164" s="11"/>
      <c r="AW5164" s="11"/>
      <c r="BB5164" s="9"/>
      <c r="BC5164" s="11"/>
      <c r="BF5164" s="9"/>
      <c r="CF5164" s="12"/>
      <c r="CH5164" s="9"/>
    </row>
    <row r="5165" spans="6:86" x14ac:dyDescent="0.25">
      <c r="F5165" s="9"/>
      <c r="G5165" s="9"/>
      <c r="AA5165" s="10"/>
      <c r="AV5165" s="11"/>
      <c r="AW5165" s="11"/>
      <c r="BB5165" s="9"/>
      <c r="BC5165" s="11"/>
      <c r="BF5165" s="9"/>
      <c r="CF5165" s="12"/>
      <c r="CH5165" s="9"/>
    </row>
    <row r="5166" spans="6:86" x14ac:dyDescent="0.25">
      <c r="F5166" s="9"/>
      <c r="G5166" s="9"/>
      <c r="AA5166" s="10"/>
      <c r="AV5166" s="11"/>
      <c r="AW5166" s="11"/>
      <c r="BB5166" s="9"/>
      <c r="BC5166" s="11"/>
      <c r="BF5166" s="9"/>
      <c r="CF5166" s="12"/>
      <c r="CH5166" s="9"/>
    </row>
    <row r="5167" spans="6:86" x14ac:dyDescent="0.25">
      <c r="F5167" s="9"/>
      <c r="G5167" s="9"/>
      <c r="AA5167" s="10"/>
      <c r="AV5167" s="11"/>
      <c r="AW5167" s="11"/>
      <c r="BB5167" s="9"/>
      <c r="BC5167" s="11"/>
      <c r="BF5167" s="9"/>
      <c r="CH5167" s="9"/>
    </row>
    <row r="5168" spans="6:86" x14ac:dyDescent="0.25">
      <c r="F5168" s="9"/>
      <c r="G5168" s="9"/>
      <c r="AA5168" s="10"/>
      <c r="AV5168" s="11"/>
      <c r="AW5168" s="11"/>
      <c r="BB5168" s="9"/>
      <c r="BC5168" s="11"/>
      <c r="BF5168" s="9"/>
    </row>
    <row r="5169" spans="6:58" x14ac:dyDescent="0.25">
      <c r="F5169" s="9"/>
      <c r="G5169" s="9"/>
      <c r="AA5169" s="10"/>
      <c r="AV5169" s="11"/>
      <c r="AW5169" s="11"/>
      <c r="BB5169" s="9"/>
      <c r="BC5169" s="11"/>
      <c r="BF5169" s="9"/>
    </row>
    <row r="5170" spans="6:58" x14ac:dyDescent="0.25">
      <c r="F5170" s="9"/>
      <c r="G5170" s="9"/>
      <c r="T5170" s="10"/>
      <c r="U5170" s="12"/>
      <c r="Z5170" s="12"/>
      <c r="AA5170" s="10"/>
      <c r="AV5170" s="11"/>
      <c r="AW5170" s="11"/>
      <c r="BB5170" s="9"/>
      <c r="BC5170" s="11"/>
      <c r="BF5170" s="9"/>
    </row>
    <row r="5171" spans="6:58" x14ac:dyDescent="0.25">
      <c r="F5171" s="9"/>
      <c r="G5171" s="9"/>
      <c r="T5171" s="10"/>
      <c r="U5171" s="12"/>
      <c r="Z5171" s="12"/>
      <c r="AA5171" s="10"/>
      <c r="AV5171" s="11"/>
      <c r="AW5171" s="11"/>
      <c r="BB5171" s="9"/>
      <c r="BC5171" s="11"/>
      <c r="BF5171" s="9"/>
    </row>
    <row r="5172" spans="6:58" x14ac:dyDescent="0.25">
      <c r="F5172" s="9"/>
      <c r="G5172" s="9"/>
      <c r="U5172" s="12"/>
      <c r="Z5172" s="12"/>
      <c r="AA5172" s="10"/>
      <c r="AV5172" s="11"/>
      <c r="AW5172" s="11"/>
      <c r="BB5172" s="9"/>
      <c r="BC5172" s="11"/>
      <c r="BF5172" s="9"/>
    </row>
    <row r="5173" spans="6:58" x14ac:dyDescent="0.25">
      <c r="F5173" s="9"/>
      <c r="G5173" s="9"/>
      <c r="T5173" s="10"/>
      <c r="U5173" s="12"/>
      <c r="Z5173" s="12"/>
      <c r="AA5173" s="10"/>
      <c r="AV5173" s="11"/>
      <c r="AW5173" s="11"/>
      <c r="BB5173" s="9"/>
      <c r="BC5173" s="11"/>
      <c r="BF5173" s="9"/>
    </row>
    <row r="5174" spans="6:58" x14ac:dyDescent="0.25">
      <c r="F5174" s="9"/>
      <c r="G5174" s="9"/>
      <c r="U5174" s="12"/>
      <c r="Z5174" s="12"/>
      <c r="AA5174" s="10"/>
      <c r="AV5174" s="11"/>
      <c r="AW5174" s="11"/>
      <c r="BB5174" s="9"/>
      <c r="BC5174" s="11"/>
      <c r="BF5174" s="9"/>
    </row>
    <row r="5175" spans="6:58" x14ac:dyDescent="0.25">
      <c r="F5175" s="9"/>
      <c r="G5175" s="9"/>
      <c r="T5175" s="10"/>
      <c r="U5175" s="12"/>
      <c r="Z5175" s="12"/>
      <c r="AA5175" s="10"/>
      <c r="AV5175" s="11"/>
      <c r="AW5175" s="11"/>
      <c r="BB5175" s="9"/>
      <c r="BC5175" s="11"/>
      <c r="BF5175" s="9"/>
    </row>
    <row r="5176" spans="6:58" x14ac:dyDescent="0.25">
      <c r="F5176" s="9"/>
      <c r="G5176" s="9"/>
      <c r="AA5176" s="10"/>
      <c r="AV5176" s="11"/>
      <c r="AW5176" s="11"/>
      <c r="BB5176" s="9"/>
      <c r="BC5176" s="11"/>
      <c r="BF5176" s="9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2E7A-688F-4775-A2CB-C3895A47744E}">
  <sheetPr codeName="Planilha15"/>
  <dimension ref="A1:I18032"/>
  <sheetViews>
    <sheetView workbookViewId="0">
      <selection activeCell="L29" sqref="L29"/>
    </sheetView>
  </sheetViews>
  <sheetFormatPr defaultRowHeight="15" x14ac:dyDescent="0.25"/>
  <sheetData>
    <row r="1" spans="1:9" x14ac:dyDescent="0.25">
      <c r="A1" t="s">
        <v>3323</v>
      </c>
      <c r="B1" t="s">
        <v>3324</v>
      </c>
      <c r="G1" t="s">
        <v>8</v>
      </c>
      <c r="H1" t="s">
        <v>9</v>
      </c>
    </row>
    <row r="2" spans="1:9" x14ac:dyDescent="0.25">
      <c r="A2">
        <v>2</v>
      </c>
      <c r="B2">
        <v>0</v>
      </c>
      <c r="D2" s="110" t="s">
        <v>3333</v>
      </c>
      <c r="G2">
        <v>347</v>
      </c>
      <c r="H2" t="s">
        <v>3328</v>
      </c>
      <c r="I2" s="110" t="s">
        <v>3334</v>
      </c>
    </row>
    <row r="3" spans="1:9" x14ac:dyDescent="0.25">
      <c r="A3">
        <v>3</v>
      </c>
      <c r="B3">
        <v>0</v>
      </c>
      <c r="G3">
        <v>503</v>
      </c>
      <c r="H3" t="s">
        <v>3328</v>
      </c>
    </row>
    <row r="4" spans="1:9" x14ac:dyDescent="0.25">
      <c r="A4">
        <v>8</v>
      </c>
      <c r="B4">
        <v>0</v>
      </c>
      <c r="G4">
        <v>504</v>
      </c>
      <c r="H4" t="s">
        <v>3328</v>
      </c>
    </row>
    <row r="5" spans="1:9" x14ac:dyDescent="0.25">
      <c r="A5">
        <v>9</v>
      </c>
      <c r="B5">
        <v>0</v>
      </c>
      <c r="G5">
        <v>772</v>
      </c>
      <c r="H5" t="s">
        <v>3330</v>
      </c>
    </row>
    <row r="6" spans="1:9" x14ac:dyDescent="0.25">
      <c r="A6">
        <v>11</v>
      </c>
      <c r="B6">
        <v>0</v>
      </c>
      <c r="G6">
        <v>838</v>
      </c>
      <c r="H6" t="s">
        <v>3330</v>
      </c>
    </row>
    <row r="7" spans="1:9" x14ac:dyDescent="0.25">
      <c r="A7">
        <v>12</v>
      </c>
      <c r="B7">
        <v>0</v>
      </c>
      <c r="G7">
        <v>982</v>
      </c>
      <c r="H7" t="s">
        <v>3329</v>
      </c>
    </row>
    <row r="8" spans="1:9" x14ac:dyDescent="0.25">
      <c r="A8">
        <v>13</v>
      </c>
      <c r="B8">
        <v>0</v>
      </c>
      <c r="G8">
        <v>988</v>
      </c>
      <c r="H8" t="s">
        <v>3329</v>
      </c>
    </row>
    <row r="9" spans="1:9" x14ac:dyDescent="0.25">
      <c r="A9">
        <v>14</v>
      </c>
      <c r="B9">
        <v>0</v>
      </c>
      <c r="G9">
        <v>1166</v>
      </c>
      <c r="H9" t="s">
        <v>3328</v>
      </c>
    </row>
    <row r="10" spans="1:9" x14ac:dyDescent="0.25">
      <c r="A10">
        <v>15</v>
      </c>
      <c r="B10">
        <v>0</v>
      </c>
      <c r="G10">
        <v>1388</v>
      </c>
      <c r="H10" t="s">
        <v>3329</v>
      </c>
    </row>
    <row r="11" spans="1:9" x14ac:dyDescent="0.25">
      <c r="A11">
        <v>16</v>
      </c>
      <c r="B11">
        <v>0</v>
      </c>
      <c r="G11">
        <v>1695</v>
      </c>
      <c r="H11" t="s">
        <v>3329</v>
      </c>
    </row>
    <row r="12" spans="1:9" x14ac:dyDescent="0.25">
      <c r="A12">
        <v>17</v>
      </c>
      <c r="B12">
        <v>0</v>
      </c>
      <c r="G12">
        <v>1745</v>
      </c>
      <c r="H12" t="s">
        <v>3328</v>
      </c>
    </row>
    <row r="13" spans="1:9" x14ac:dyDescent="0.25">
      <c r="A13">
        <v>18</v>
      </c>
      <c r="B13">
        <v>0</v>
      </c>
      <c r="G13">
        <v>2006</v>
      </c>
      <c r="H13" t="s">
        <v>3329</v>
      </c>
    </row>
    <row r="14" spans="1:9" x14ac:dyDescent="0.25">
      <c r="A14">
        <v>19</v>
      </c>
      <c r="B14">
        <v>0</v>
      </c>
      <c r="G14">
        <v>2008</v>
      </c>
      <c r="H14" t="s">
        <v>3328</v>
      </c>
    </row>
    <row r="15" spans="1:9" x14ac:dyDescent="0.25">
      <c r="A15">
        <v>20</v>
      </c>
      <c r="B15">
        <v>0</v>
      </c>
      <c r="G15">
        <v>2137</v>
      </c>
      <c r="H15" t="s">
        <v>3331</v>
      </c>
    </row>
    <row r="16" spans="1:9" x14ac:dyDescent="0.25">
      <c r="A16">
        <v>21</v>
      </c>
      <c r="B16">
        <v>0</v>
      </c>
      <c r="G16">
        <v>2243</v>
      </c>
      <c r="H16" t="s">
        <v>3330</v>
      </c>
    </row>
    <row r="17" spans="1:8" x14ac:dyDescent="0.25">
      <c r="A17">
        <v>22</v>
      </c>
      <c r="B17">
        <v>0</v>
      </c>
      <c r="G17">
        <v>2319</v>
      </c>
      <c r="H17" t="s">
        <v>3328</v>
      </c>
    </row>
    <row r="18" spans="1:8" x14ac:dyDescent="0.25">
      <c r="A18">
        <v>23</v>
      </c>
      <c r="B18">
        <v>0</v>
      </c>
      <c r="G18">
        <v>2320</v>
      </c>
      <c r="H18" t="s">
        <v>3328</v>
      </c>
    </row>
    <row r="19" spans="1:8" x14ac:dyDescent="0.25">
      <c r="A19">
        <v>24</v>
      </c>
      <c r="B19">
        <v>0</v>
      </c>
      <c r="G19">
        <v>2349</v>
      </c>
      <c r="H19" t="s">
        <v>3328</v>
      </c>
    </row>
    <row r="20" spans="1:8" x14ac:dyDescent="0.25">
      <c r="A20">
        <v>25</v>
      </c>
      <c r="B20">
        <v>0</v>
      </c>
      <c r="G20">
        <v>2350</v>
      </c>
      <c r="H20" t="s">
        <v>3328</v>
      </c>
    </row>
    <row r="21" spans="1:8" x14ac:dyDescent="0.25">
      <c r="A21">
        <v>26</v>
      </c>
      <c r="B21">
        <v>0</v>
      </c>
      <c r="G21">
        <v>2353</v>
      </c>
      <c r="H21" t="s">
        <v>3328</v>
      </c>
    </row>
    <row r="22" spans="1:8" x14ac:dyDescent="0.25">
      <c r="A22">
        <v>27</v>
      </c>
      <c r="B22">
        <v>0</v>
      </c>
      <c r="G22">
        <v>2538</v>
      </c>
      <c r="H22" t="s">
        <v>3329</v>
      </c>
    </row>
    <row r="23" spans="1:8" x14ac:dyDescent="0.25">
      <c r="A23">
        <v>28</v>
      </c>
      <c r="B23">
        <v>0</v>
      </c>
      <c r="G23">
        <v>2546</v>
      </c>
      <c r="H23" t="s">
        <v>3329</v>
      </c>
    </row>
    <row r="24" spans="1:8" x14ac:dyDescent="0.25">
      <c r="A24">
        <v>29</v>
      </c>
      <c r="B24">
        <v>0</v>
      </c>
      <c r="G24">
        <v>2548</v>
      </c>
      <c r="H24" t="s">
        <v>3329</v>
      </c>
    </row>
    <row r="25" spans="1:8" x14ac:dyDescent="0.25">
      <c r="A25">
        <v>30</v>
      </c>
      <c r="B25">
        <v>0</v>
      </c>
      <c r="G25">
        <v>2585</v>
      </c>
      <c r="H25" t="s">
        <v>3329</v>
      </c>
    </row>
    <row r="26" spans="1:8" x14ac:dyDescent="0.25">
      <c r="A26">
        <v>31</v>
      </c>
      <c r="B26">
        <v>0</v>
      </c>
      <c r="G26">
        <v>4293</v>
      </c>
      <c r="H26" t="s">
        <v>3328</v>
      </c>
    </row>
    <row r="27" spans="1:8" x14ac:dyDescent="0.25">
      <c r="A27">
        <v>32</v>
      </c>
      <c r="B27">
        <v>0</v>
      </c>
      <c r="G27">
        <v>4367</v>
      </c>
      <c r="H27" t="s">
        <v>3328</v>
      </c>
    </row>
    <row r="28" spans="1:8" x14ac:dyDescent="0.25">
      <c r="A28">
        <v>33</v>
      </c>
      <c r="B28">
        <v>0</v>
      </c>
      <c r="G28">
        <v>6181</v>
      </c>
      <c r="H28" t="s">
        <v>3328</v>
      </c>
    </row>
    <row r="29" spans="1:8" x14ac:dyDescent="0.25">
      <c r="A29">
        <v>36</v>
      </c>
      <c r="B29">
        <v>0</v>
      </c>
      <c r="G29">
        <v>6183</v>
      </c>
      <c r="H29" t="s">
        <v>3328</v>
      </c>
    </row>
    <row r="30" spans="1:8" x14ac:dyDescent="0.25">
      <c r="A30">
        <v>39</v>
      </c>
      <c r="B30">
        <v>0</v>
      </c>
      <c r="G30">
        <v>6185</v>
      </c>
      <c r="H30" t="s">
        <v>3328</v>
      </c>
    </row>
    <row r="31" spans="1:8" x14ac:dyDescent="0.25">
      <c r="A31">
        <v>40</v>
      </c>
      <c r="B31">
        <v>0</v>
      </c>
      <c r="G31">
        <v>7325</v>
      </c>
      <c r="H31" t="s">
        <v>3328</v>
      </c>
    </row>
    <row r="32" spans="1:8" x14ac:dyDescent="0.25">
      <c r="A32">
        <v>41</v>
      </c>
      <c r="B32">
        <v>0</v>
      </c>
      <c r="G32">
        <v>7431</v>
      </c>
      <c r="H32" t="s">
        <v>3330</v>
      </c>
    </row>
    <row r="33" spans="1:8" x14ac:dyDescent="0.25">
      <c r="A33">
        <v>44</v>
      </c>
      <c r="B33">
        <v>0</v>
      </c>
      <c r="G33">
        <v>7945</v>
      </c>
      <c r="H33" t="s">
        <v>3328</v>
      </c>
    </row>
    <row r="34" spans="1:8" x14ac:dyDescent="0.25">
      <c r="A34">
        <v>46</v>
      </c>
      <c r="B34">
        <v>0</v>
      </c>
      <c r="G34">
        <v>7947</v>
      </c>
      <c r="H34" t="s">
        <v>3328</v>
      </c>
    </row>
    <row r="35" spans="1:8" x14ac:dyDescent="0.25">
      <c r="A35">
        <v>47</v>
      </c>
      <c r="B35">
        <v>0</v>
      </c>
      <c r="G35">
        <v>7977</v>
      </c>
      <c r="H35" t="s">
        <v>3328</v>
      </c>
    </row>
    <row r="36" spans="1:8" x14ac:dyDescent="0.25">
      <c r="A36">
        <v>48</v>
      </c>
      <c r="B36">
        <v>0</v>
      </c>
      <c r="G36">
        <v>7979</v>
      </c>
      <c r="H36" t="s">
        <v>3328</v>
      </c>
    </row>
    <row r="37" spans="1:8" x14ac:dyDescent="0.25">
      <c r="A37">
        <v>49</v>
      </c>
      <c r="B37">
        <v>0</v>
      </c>
      <c r="G37">
        <v>7980</v>
      </c>
      <c r="H37" t="s">
        <v>3328</v>
      </c>
    </row>
    <row r="38" spans="1:8" x14ac:dyDescent="0.25">
      <c r="A38">
        <v>50</v>
      </c>
      <c r="B38">
        <v>0</v>
      </c>
      <c r="G38">
        <v>7981</v>
      </c>
      <c r="H38" t="s">
        <v>3328</v>
      </c>
    </row>
    <row r="39" spans="1:8" x14ac:dyDescent="0.25">
      <c r="A39">
        <v>51</v>
      </c>
      <c r="B39">
        <v>0</v>
      </c>
      <c r="G39">
        <v>7982</v>
      </c>
      <c r="H39" t="s">
        <v>3328</v>
      </c>
    </row>
    <row r="40" spans="1:8" x14ac:dyDescent="0.25">
      <c r="A40">
        <v>52</v>
      </c>
      <c r="B40">
        <v>0</v>
      </c>
      <c r="G40">
        <v>7983</v>
      </c>
      <c r="H40" t="s">
        <v>3328</v>
      </c>
    </row>
    <row r="41" spans="1:8" x14ac:dyDescent="0.25">
      <c r="A41">
        <v>53</v>
      </c>
      <c r="B41">
        <v>0</v>
      </c>
      <c r="G41">
        <v>7985</v>
      </c>
      <c r="H41" t="s">
        <v>3328</v>
      </c>
    </row>
    <row r="42" spans="1:8" x14ac:dyDescent="0.25">
      <c r="A42">
        <v>54</v>
      </c>
      <c r="B42">
        <v>0</v>
      </c>
      <c r="G42">
        <v>8791</v>
      </c>
      <c r="H42" t="s">
        <v>3328</v>
      </c>
    </row>
    <row r="43" spans="1:8" x14ac:dyDescent="0.25">
      <c r="A43">
        <v>55</v>
      </c>
      <c r="B43">
        <v>0</v>
      </c>
      <c r="G43">
        <v>8793</v>
      </c>
      <c r="H43" t="s">
        <v>3328</v>
      </c>
    </row>
    <row r="44" spans="1:8" x14ac:dyDescent="0.25">
      <c r="A44">
        <v>56</v>
      </c>
      <c r="B44">
        <v>0</v>
      </c>
      <c r="G44">
        <v>8919</v>
      </c>
      <c r="H44" t="s">
        <v>3328</v>
      </c>
    </row>
    <row r="45" spans="1:8" x14ac:dyDescent="0.25">
      <c r="A45">
        <v>57</v>
      </c>
      <c r="B45">
        <v>0</v>
      </c>
      <c r="G45">
        <v>9067</v>
      </c>
      <c r="H45" t="s">
        <v>3328</v>
      </c>
    </row>
    <row r="46" spans="1:8" x14ac:dyDescent="0.25">
      <c r="A46">
        <v>59</v>
      </c>
      <c r="B46">
        <v>0</v>
      </c>
      <c r="G46">
        <v>9068</v>
      </c>
      <c r="H46" t="s">
        <v>3328</v>
      </c>
    </row>
    <row r="47" spans="1:8" x14ac:dyDescent="0.25">
      <c r="A47">
        <v>60</v>
      </c>
      <c r="B47">
        <v>0</v>
      </c>
      <c r="G47">
        <v>9069</v>
      </c>
      <c r="H47" t="s">
        <v>3328</v>
      </c>
    </row>
    <row r="48" spans="1:8" x14ac:dyDescent="0.25">
      <c r="A48">
        <v>63</v>
      </c>
      <c r="B48">
        <v>0</v>
      </c>
      <c r="G48">
        <v>9072</v>
      </c>
      <c r="H48" t="s">
        <v>3328</v>
      </c>
    </row>
    <row r="49" spans="1:8" x14ac:dyDescent="0.25">
      <c r="A49">
        <v>65</v>
      </c>
      <c r="B49">
        <v>0</v>
      </c>
      <c r="G49">
        <v>9083</v>
      </c>
      <c r="H49" t="s">
        <v>3328</v>
      </c>
    </row>
    <row r="50" spans="1:8" x14ac:dyDescent="0.25">
      <c r="A50">
        <v>72</v>
      </c>
      <c r="B50">
        <v>0</v>
      </c>
      <c r="G50">
        <v>9084</v>
      </c>
      <c r="H50" t="s">
        <v>3328</v>
      </c>
    </row>
    <row r="51" spans="1:8" x14ac:dyDescent="0.25">
      <c r="A51">
        <v>78</v>
      </c>
      <c r="B51">
        <v>0</v>
      </c>
      <c r="G51">
        <v>9085</v>
      </c>
      <c r="H51" t="s">
        <v>3328</v>
      </c>
    </row>
    <row r="52" spans="1:8" x14ac:dyDescent="0.25">
      <c r="A52">
        <v>79</v>
      </c>
      <c r="B52">
        <v>0</v>
      </c>
      <c r="G52">
        <v>9087</v>
      </c>
      <c r="H52" t="s">
        <v>3328</v>
      </c>
    </row>
    <row r="53" spans="1:8" x14ac:dyDescent="0.25">
      <c r="A53">
        <v>80</v>
      </c>
      <c r="B53">
        <v>0</v>
      </c>
      <c r="G53">
        <v>9089</v>
      </c>
      <c r="H53" t="s">
        <v>3328</v>
      </c>
    </row>
    <row r="54" spans="1:8" x14ac:dyDescent="0.25">
      <c r="A54">
        <v>91</v>
      </c>
      <c r="B54">
        <v>0</v>
      </c>
      <c r="G54">
        <v>9091</v>
      </c>
      <c r="H54" t="s">
        <v>3328</v>
      </c>
    </row>
    <row r="55" spans="1:8" x14ac:dyDescent="0.25">
      <c r="A55">
        <v>92</v>
      </c>
      <c r="B55">
        <v>0</v>
      </c>
      <c r="G55">
        <v>9092</v>
      </c>
      <c r="H55" t="s">
        <v>3328</v>
      </c>
    </row>
    <row r="56" spans="1:8" x14ac:dyDescent="0.25">
      <c r="A56">
        <v>93</v>
      </c>
      <c r="B56">
        <v>0</v>
      </c>
      <c r="G56">
        <v>9096</v>
      </c>
      <c r="H56" t="s">
        <v>3328</v>
      </c>
    </row>
    <row r="57" spans="1:8" x14ac:dyDescent="0.25">
      <c r="A57">
        <v>94</v>
      </c>
      <c r="B57">
        <v>0</v>
      </c>
      <c r="G57">
        <v>9274</v>
      </c>
      <c r="H57" t="s">
        <v>3328</v>
      </c>
    </row>
    <row r="58" spans="1:8" x14ac:dyDescent="0.25">
      <c r="A58">
        <v>100</v>
      </c>
      <c r="B58">
        <v>0</v>
      </c>
      <c r="G58">
        <v>9276</v>
      </c>
      <c r="H58" t="s">
        <v>3328</v>
      </c>
    </row>
    <row r="59" spans="1:8" x14ac:dyDescent="0.25">
      <c r="A59">
        <v>101</v>
      </c>
      <c r="B59">
        <v>0</v>
      </c>
      <c r="G59">
        <v>9320</v>
      </c>
      <c r="H59" t="s">
        <v>3328</v>
      </c>
    </row>
    <row r="60" spans="1:8" x14ac:dyDescent="0.25">
      <c r="A60">
        <v>102</v>
      </c>
      <c r="B60">
        <v>0</v>
      </c>
      <c r="G60">
        <v>9442</v>
      </c>
      <c r="H60" t="s">
        <v>3330</v>
      </c>
    </row>
    <row r="61" spans="1:8" x14ac:dyDescent="0.25">
      <c r="A61">
        <v>104</v>
      </c>
      <c r="B61">
        <v>0</v>
      </c>
      <c r="G61">
        <v>9795</v>
      </c>
      <c r="H61" t="s">
        <v>3328</v>
      </c>
    </row>
    <row r="62" spans="1:8" x14ac:dyDescent="0.25">
      <c r="A62">
        <v>107</v>
      </c>
      <c r="B62">
        <v>0</v>
      </c>
      <c r="G62">
        <v>10175</v>
      </c>
      <c r="H62" t="s">
        <v>3328</v>
      </c>
    </row>
    <row r="63" spans="1:8" x14ac:dyDescent="0.25">
      <c r="A63">
        <v>108</v>
      </c>
      <c r="B63">
        <v>0</v>
      </c>
      <c r="G63">
        <v>10530</v>
      </c>
      <c r="H63" t="s">
        <v>3329</v>
      </c>
    </row>
    <row r="64" spans="1:8" x14ac:dyDescent="0.25">
      <c r="A64">
        <v>110</v>
      </c>
      <c r="B64">
        <v>0</v>
      </c>
      <c r="G64">
        <v>12948</v>
      </c>
      <c r="H64" t="s">
        <v>3328</v>
      </c>
    </row>
    <row r="65" spans="1:8" x14ac:dyDescent="0.25">
      <c r="A65">
        <v>112</v>
      </c>
      <c r="B65">
        <v>0</v>
      </c>
      <c r="G65">
        <v>12951</v>
      </c>
      <c r="H65" t="s">
        <v>3328</v>
      </c>
    </row>
    <row r="66" spans="1:8" x14ac:dyDescent="0.25">
      <c r="A66">
        <v>113</v>
      </c>
      <c r="B66">
        <v>0</v>
      </c>
      <c r="G66">
        <v>13061</v>
      </c>
      <c r="H66" t="s">
        <v>3328</v>
      </c>
    </row>
    <row r="67" spans="1:8" x14ac:dyDescent="0.25">
      <c r="A67">
        <v>115</v>
      </c>
      <c r="B67">
        <v>0</v>
      </c>
      <c r="G67">
        <v>13065</v>
      </c>
      <c r="H67" t="s">
        <v>3328</v>
      </c>
    </row>
    <row r="68" spans="1:8" x14ac:dyDescent="0.25">
      <c r="A68">
        <v>116</v>
      </c>
      <c r="B68">
        <v>0</v>
      </c>
      <c r="G68">
        <v>13196</v>
      </c>
      <c r="H68" t="s">
        <v>3328</v>
      </c>
    </row>
    <row r="69" spans="1:8" x14ac:dyDescent="0.25">
      <c r="A69">
        <v>117</v>
      </c>
      <c r="B69">
        <v>0</v>
      </c>
      <c r="G69">
        <v>13201</v>
      </c>
      <c r="H69" t="s">
        <v>3328</v>
      </c>
    </row>
    <row r="70" spans="1:8" x14ac:dyDescent="0.25">
      <c r="A70">
        <v>119</v>
      </c>
      <c r="B70">
        <v>0</v>
      </c>
      <c r="G70">
        <v>13205</v>
      </c>
      <c r="H70" t="s">
        <v>3328</v>
      </c>
    </row>
    <row r="71" spans="1:8" x14ac:dyDescent="0.25">
      <c r="A71">
        <v>120</v>
      </c>
      <c r="B71">
        <v>0</v>
      </c>
      <c r="G71">
        <v>13307</v>
      </c>
      <c r="H71" t="s">
        <v>3328</v>
      </c>
    </row>
    <row r="72" spans="1:8" x14ac:dyDescent="0.25">
      <c r="A72">
        <v>125</v>
      </c>
      <c r="B72">
        <v>0</v>
      </c>
      <c r="G72">
        <v>13486</v>
      </c>
      <c r="H72" t="s">
        <v>3328</v>
      </c>
    </row>
    <row r="73" spans="1:8" x14ac:dyDescent="0.25">
      <c r="A73">
        <v>126</v>
      </c>
      <c r="B73">
        <v>0</v>
      </c>
      <c r="G73">
        <v>13566</v>
      </c>
      <c r="H73" t="s">
        <v>3328</v>
      </c>
    </row>
    <row r="74" spans="1:8" x14ac:dyDescent="0.25">
      <c r="A74">
        <v>127</v>
      </c>
      <c r="B74">
        <v>0</v>
      </c>
      <c r="G74">
        <v>14135</v>
      </c>
      <c r="H74" t="s">
        <v>3328</v>
      </c>
    </row>
    <row r="75" spans="1:8" x14ac:dyDescent="0.25">
      <c r="A75">
        <v>132</v>
      </c>
      <c r="B75">
        <v>0</v>
      </c>
      <c r="G75">
        <v>15190</v>
      </c>
      <c r="H75" t="s">
        <v>3330</v>
      </c>
    </row>
    <row r="76" spans="1:8" x14ac:dyDescent="0.25">
      <c r="A76">
        <v>133</v>
      </c>
      <c r="B76">
        <v>0</v>
      </c>
      <c r="G76">
        <v>17266</v>
      </c>
      <c r="H76" t="s">
        <v>3328</v>
      </c>
    </row>
    <row r="77" spans="1:8" x14ac:dyDescent="0.25">
      <c r="A77">
        <v>135</v>
      </c>
      <c r="B77">
        <v>0</v>
      </c>
      <c r="G77">
        <v>17808</v>
      </c>
      <c r="H77" t="s">
        <v>3328</v>
      </c>
    </row>
    <row r="78" spans="1:8" x14ac:dyDescent="0.25">
      <c r="A78">
        <v>136</v>
      </c>
      <c r="B78">
        <v>0</v>
      </c>
      <c r="G78">
        <v>18152</v>
      </c>
      <c r="H78" t="s">
        <v>3328</v>
      </c>
    </row>
    <row r="79" spans="1:8" x14ac:dyDescent="0.25">
      <c r="A79">
        <v>138</v>
      </c>
      <c r="B79">
        <v>0</v>
      </c>
      <c r="G79">
        <v>18266</v>
      </c>
      <c r="H79" t="s">
        <v>3328</v>
      </c>
    </row>
    <row r="80" spans="1:8" x14ac:dyDescent="0.25">
      <c r="A80">
        <v>142</v>
      </c>
      <c r="B80">
        <v>0</v>
      </c>
      <c r="G80">
        <v>18267</v>
      </c>
      <c r="H80" t="s">
        <v>3328</v>
      </c>
    </row>
    <row r="81" spans="1:8" x14ac:dyDescent="0.25">
      <c r="A81">
        <v>143</v>
      </c>
      <c r="B81">
        <v>0</v>
      </c>
      <c r="G81">
        <v>18268</v>
      </c>
      <c r="H81" t="s">
        <v>3328</v>
      </c>
    </row>
    <row r="82" spans="1:8" x14ac:dyDescent="0.25">
      <c r="A82">
        <v>144</v>
      </c>
      <c r="B82">
        <v>0</v>
      </c>
      <c r="G82">
        <v>18780</v>
      </c>
      <c r="H82" t="s">
        <v>3328</v>
      </c>
    </row>
    <row r="83" spans="1:8" x14ac:dyDescent="0.25">
      <c r="A83">
        <v>148</v>
      </c>
      <c r="B83">
        <v>0</v>
      </c>
      <c r="G83">
        <v>18807</v>
      </c>
      <c r="H83" t="s">
        <v>3328</v>
      </c>
    </row>
    <row r="84" spans="1:8" x14ac:dyDescent="0.25">
      <c r="A84">
        <v>150</v>
      </c>
      <c r="B84">
        <v>0</v>
      </c>
      <c r="G84">
        <v>18836</v>
      </c>
      <c r="H84" t="s">
        <v>3328</v>
      </c>
    </row>
    <row r="85" spans="1:8" x14ac:dyDescent="0.25">
      <c r="A85">
        <v>151</v>
      </c>
      <c r="B85">
        <v>0</v>
      </c>
      <c r="G85">
        <v>19164</v>
      </c>
      <c r="H85" t="s">
        <v>3328</v>
      </c>
    </row>
    <row r="86" spans="1:8" x14ac:dyDescent="0.25">
      <c r="A86">
        <v>153</v>
      </c>
      <c r="B86">
        <v>0</v>
      </c>
      <c r="G86">
        <v>19225</v>
      </c>
      <c r="H86" t="s">
        <v>3328</v>
      </c>
    </row>
    <row r="87" spans="1:8" x14ac:dyDescent="0.25">
      <c r="A87">
        <v>154</v>
      </c>
      <c r="B87">
        <v>0</v>
      </c>
      <c r="G87">
        <v>19229</v>
      </c>
      <c r="H87" t="s">
        <v>3328</v>
      </c>
    </row>
    <row r="88" spans="1:8" x14ac:dyDescent="0.25">
      <c r="A88">
        <v>155</v>
      </c>
      <c r="B88">
        <v>0</v>
      </c>
      <c r="G88">
        <v>19231</v>
      </c>
      <c r="H88" t="s">
        <v>3328</v>
      </c>
    </row>
    <row r="89" spans="1:8" x14ac:dyDescent="0.25">
      <c r="A89">
        <v>156</v>
      </c>
      <c r="B89">
        <v>0</v>
      </c>
      <c r="G89">
        <v>19321</v>
      </c>
      <c r="H89" t="s">
        <v>3328</v>
      </c>
    </row>
    <row r="90" spans="1:8" x14ac:dyDescent="0.25">
      <c r="A90">
        <v>157</v>
      </c>
      <c r="B90">
        <v>0</v>
      </c>
      <c r="G90">
        <v>19668</v>
      </c>
      <c r="H90" t="s">
        <v>3328</v>
      </c>
    </row>
    <row r="91" spans="1:8" x14ac:dyDescent="0.25">
      <c r="A91">
        <v>158</v>
      </c>
      <c r="B91">
        <v>0</v>
      </c>
      <c r="G91">
        <v>19729</v>
      </c>
      <c r="H91" t="s">
        <v>3328</v>
      </c>
    </row>
    <row r="92" spans="1:8" x14ac:dyDescent="0.25">
      <c r="A92">
        <v>159</v>
      </c>
      <c r="B92">
        <v>0</v>
      </c>
      <c r="G92">
        <v>19832</v>
      </c>
      <c r="H92" t="s">
        <v>3331</v>
      </c>
    </row>
    <row r="93" spans="1:8" x14ac:dyDescent="0.25">
      <c r="A93">
        <v>160</v>
      </c>
      <c r="B93">
        <v>0</v>
      </c>
      <c r="G93">
        <v>20217</v>
      </c>
      <c r="H93" t="s">
        <v>3328</v>
      </c>
    </row>
    <row r="94" spans="1:8" x14ac:dyDescent="0.25">
      <c r="A94">
        <v>164</v>
      </c>
      <c r="B94">
        <v>0</v>
      </c>
      <c r="G94">
        <v>20329</v>
      </c>
      <c r="H94" t="s">
        <v>3329</v>
      </c>
    </row>
    <row r="95" spans="1:8" x14ac:dyDescent="0.25">
      <c r="A95">
        <v>166</v>
      </c>
      <c r="B95">
        <v>0</v>
      </c>
      <c r="G95">
        <v>20498</v>
      </c>
      <c r="H95" t="s">
        <v>3328</v>
      </c>
    </row>
    <row r="96" spans="1:8" x14ac:dyDescent="0.25">
      <c r="A96">
        <v>169</v>
      </c>
      <c r="B96">
        <v>0</v>
      </c>
      <c r="G96">
        <v>20530</v>
      </c>
      <c r="H96" t="s">
        <v>3329</v>
      </c>
    </row>
    <row r="97" spans="1:8" x14ac:dyDescent="0.25">
      <c r="A97">
        <v>170</v>
      </c>
      <c r="B97">
        <v>0</v>
      </c>
      <c r="G97">
        <v>20535</v>
      </c>
      <c r="H97" t="s">
        <v>3328</v>
      </c>
    </row>
    <row r="98" spans="1:8" x14ac:dyDescent="0.25">
      <c r="A98">
        <v>173</v>
      </c>
      <c r="B98">
        <v>0</v>
      </c>
      <c r="G98">
        <v>20549</v>
      </c>
      <c r="H98" t="s">
        <v>3328</v>
      </c>
    </row>
    <row r="99" spans="1:8" x14ac:dyDescent="0.25">
      <c r="A99">
        <v>175</v>
      </c>
      <c r="B99">
        <v>0</v>
      </c>
      <c r="G99">
        <v>20651</v>
      </c>
      <c r="H99" t="s">
        <v>3328</v>
      </c>
    </row>
    <row r="100" spans="1:8" x14ac:dyDescent="0.25">
      <c r="A100">
        <v>176</v>
      </c>
      <c r="B100">
        <v>0</v>
      </c>
      <c r="G100">
        <v>21020</v>
      </c>
      <c r="H100" t="s">
        <v>3328</v>
      </c>
    </row>
    <row r="101" spans="1:8" x14ac:dyDescent="0.25">
      <c r="A101">
        <v>178</v>
      </c>
      <c r="B101">
        <v>0</v>
      </c>
      <c r="G101">
        <v>21119</v>
      </c>
      <c r="H101" t="s">
        <v>3328</v>
      </c>
    </row>
    <row r="102" spans="1:8" x14ac:dyDescent="0.25">
      <c r="A102">
        <v>180</v>
      </c>
      <c r="B102">
        <v>0</v>
      </c>
      <c r="G102">
        <v>21426</v>
      </c>
      <c r="H102" t="s">
        <v>3327</v>
      </c>
    </row>
    <row r="103" spans="1:8" x14ac:dyDescent="0.25">
      <c r="A103">
        <v>182</v>
      </c>
      <c r="B103">
        <v>0</v>
      </c>
      <c r="G103">
        <v>21526</v>
      </c>
      <c r="H103" t="s">
        <v>3327</v>
      </c>
    </row>
    <row r="104" spans="1:8" x14ac:dyDescent="0.25">
      <c r="A104">
        <v>183</v>
      </c>
      <c r="B104">
        <v>0</v>
      </c>
      <c r="G104">
        <v>21529</v>
      </c>
      <c r="H104" t="s">
        <v>3327</v>
      </c>
    </row>
    <row r="105" spans="1:8" x14ac:dyDescent="0.25">
      <c r="A105">
        <v>184</v>
      </c>
      <c r="B105">
        <v>0</v>
      </c>
      <c r="G105">
        <v>21530</v>
      </c>
      <c r="H105" t="s">
        <v>3327</v>
      </c>
    </row>
    <row r="106" spans="1:8" x14ac:dyDescent="0.25">
      <c r="A106">
        <v>185</v>
      </c>
      <c r="B106">
        <v>0</v>
      </c>
      <c r="G106">
        <v>21632</v>
      </c>
      <c r="H106" t="s">
        <v>3328</v>
      </c>
    </row>
    <row r="107" spans="1:8" x14ac:dyDescent="0.25">
      <c r="A107">
        <v>186</v>
      </c>
      <c r="B107">
        <v>0</v>
      </c>
      <c r="G107">
        <v>21658</v>
      </c>
      <c r="H107" t="s">
        <v>3328</v>
      </c>
    </row>
    <row r="108" spans="1:8" x14ac:dyDescent="0.25">
      <c r="A108">
        <v>187</v>
      </c>
      <c r="B108">
        <v>0</v>
      </c>
      <c r="G108">
        <v>21666</v>
      </c>
      <c r="H108" t="s">
        <v>3328</v>
      </c>
    </row>
    <row r="109" spans="1:8" x14ac:dyDescent="0.25">
      <c r="A109">
        <v>188</v>
      </c>
      <c r="B109">
        <v>0</v>
      </c>
      <c r="G109">
        <v>21668</v>
      </c>
      <c r="H109" t="s">
        <v>3328</v>
      </c>
    </row>
    <row r="110" spans="1:8" x14ac:dyDescent="0.25">
      <c r="A110">
        <v>189</v>
      </c>
      <c r="B110">
        <v>0</v>
      </c>
      <c r="G110">
        <v>21778</v>
      </c>
      <c r="H110" t="s">
        <v>3327</v>
      </c>
    </row>
    <row r="111" spans="1:8" x14ac:dyDescent="0.25">
      <c r="A111">
        <v>190</v>
      </c>
      <c r="B111">
        <v>0</v>
      </c>
      <c r="G111">
        <v>21789</v>
      </c>
      <c r="H111" t="s">
        <v>3327</v>
      </c>
    </row>
    <row r="112" spans="1:8" x14ac:dyDescent="0.25">
      <c r="A112">
        <v>191</v>
      </c>
      <c r="B112">
        <v>0</v>
      </c>
      <c r="G112">
        <v>21791</v>
      </c>
      <c r="H112" t="s">
        <v>3327</v>
      </c>
    </row>
    <row r="113" spans="1:8" x14ac:dyDescent="0.25">
      <c r="A113">
        <v>192</v>
      </c>
      <c r="B113">
        <v>0</v>
      </c>
      <c r="G113">
        <v>21792</v>
      </c>
      <c r="H113" t="s">
        <v>3327</v>
      </c>
    </row>
    <row r="114" spans="1:8" x14ac:dyDescent="0.25">
      <c r="A114">
        <v>193</v>
      </c>
      <c r="B114">
        <v>0</v>
      </c>
      <c r="G114">
        <v>21955</v>
      </c>
      <c r="H114" t="s">
        <v>3327</v>
      </c>
    </row>
    <row r="115" spans="1:8" x14ac:dyDescent="0.25">
      <c r="A115">
        <v>194</v>
      </c>
      <c r="B115">
        <v>0</v>
      </c>
      <c r="G115">
        <v>21968</v>
      </c>
      <c r="H115" t="s">
        <v>3328</v>
      </c>
    </row>
    <row r="116" spans="1:8" x14ac:dyDescent="0.25">
      <c r="A116">
        <v>195</v>
      </c>
      <c r="B116">
        <v>0</v>
      </c>
      <c r="G116">
        <v>21970</v>
      </c>
      <c r="H116" t="s">
        <v>3328</v>
      </c>
    </row>
    <row r="117" spans="1:8" x14ac:dyDescent="0.25">
      <c r="A117">
        <v>196</v>
      </c>
      <c r="B117">
        <v>0</v>
      </c>
      <c r="G117">
        <v>21973</v>
      </c>
      <c r="H117" t="s">
        <v>3328</v>
      </c>
    </row>
    <row r="118" spans="1:8" x14ac:dyDescent="0.25">
      <c r="A118">
        <v>198</v>
      </c>
      <c r="B118">
        <v>0</v>
      </c>
      <c r="G118">
        <v>21974</v>
      </c>
      <c r="H118" t="s">
        <v>3328</v>
      </c>
    </row>
    <row r="119" spans="1:8" x14ac:dyDescent="0.25">
      <c r="A119">
        <v>199</v>
      </c>
      <c r="B119">
        <v>0</v>
      </c>
      <c r="G119">
        <v>22003</v>
      </c>
      <c r="H119" t="s">
        <v>3328</v>
      </c>
    </row>
    <row r="120" spans="1:8" x14ac:dyDescent="0.25">
      <c r="A120">
        <v>200</v>
      </c>
      <c r="B120">
        <v>0</v>
      </c>
      <c r="G120">
        <v>22005</v>
      </c>
      <c r="H120" t="s">
        <v>3328</v>
      </c>
    </row>
    <row r="121" spans="1:8" x14ac:dyDescent="0.25">
      <c r="A121">
        <v>201</v>
      </c>
      <c r="B121">
        <v>0</v>
      </c>
      <c r="G121">
        <v>22007</v>
      </c>
      <c r="H121" t="s">
        <v>3328</v>
      </c>
    </row>
    <row r="122" spans="1:8" x14ac:dyDescent="0.25">
      <c r="A122">
        <v>205</v>
      </c>
      <c r="B122">
        <v>0</v>
      </c>
      <c r="G122">
        <v>22009</v>
      </c>
      <c r="H122" t="s">
        <v>3328</v>
      </c>
    </row>
    <row r="123" spans="1:8" x14ac:dyDescent="0.25">
      <c r="A123">
        <v>210</v>
      </c>
      <c r="B123">
        <v>0</v>
      </c>
      <c r="G123">
        <v>22177</v>
      </c>
      <c r="H123" t="s">
        <v>3328</v>
      </c>
    </row>
    <row r="124" spans="1:8" x14ac:dyDescent="0.25">
      <c r="A124">
        <v>212</v>
      </c>
      <c r="B124">
        <v>0</v>
      </c>
      <c r="G124">
        <v>22180</v>
      </c>
      <c r="H124" t="s">
        <v>3328</v>
      </c>
    </row>
    <row r="125" spans="1:8" x14ac:dyDescent="0.25">
      <c r="A125">
        <v>213</v>
      </c>
      <c r="B125">
        <v>0</v>
      </c>
      <c r="G125">
        <v>22330</v>
      </c>
      <c r="H125" t="s">
        <v>3328</v>
      </c>
    </row>
    <row r="126" spans="1:8" x14ac:dyDescent="0.25">
      <c r="A126">
        <v>214</v>
      </c>
      <c r="B126">
        <v>0</v>
      </c>
      <c r="G126">
        <v>22562</v>
      </c>
      <c r="H126" t="s">
        <v>3327</v>
      </c>
    </row>
    <row r="127" spans="1:8" x14ac:dyDescent="0.25">
      <c r="A127">
        <v>215</v>
      </c>
      <c r="B127">
        <v>0</v>
      </c>
      <c r="G127">
        <v>22859</v>
      </c>
      <c r="H127" t="s">
        <v>3328</v>
      </c>
    </row>
    <row r="128" spans="1:8" x14ac:dyDescent="0.25">
      <c r="A128">
        <v>216</v>
      </c>
      <c r="B128">
        <v>0</v>
      </c>
      <c r="G128">
        <v>23184</v>
      </c>
      <c r="H128" t="s">
        <v>3328</v>
      </c>
    </row>
    <row r="129" spans="1:8" x14ac:dyDescent="0.25">
      <c r="A129">
        <v>217</v>
      </c>
      <c r="B129">
        <v>0</v>
      </c>
      <c r="G129">
        <v>23186</v>
      </c>
      <c r="H129" t="s">
        <v>3329</v>
      </c>
    </row>
    <row r="130" spans="1:8" x14ac:dyDescent="0.25">
      <c r="A130">
        <v>218</v>
      </c>
      <c r="B130">
        <v>0</v>
      </c>
      <c r="G130">
        <v>23246</v>
      </c>
      <c r="H130" t="s">
        <v>3328</v>
      </c>
    </row>
    <row r="131" spans="1:8" x14ac:dyDescent="0.25">
      <c r="A131">
        <v>220</v>
      </c>
      <c r="B131">
        <v>0</v>
      </c>
      <c r="G131">
        <v>23256</v>
      </c>
      <c r="H131" t="s">
        <v>3328</v>
      </c>
    </row>
    <row r="132" spans="1:8" x14ac:dyDescent="0.25">
      <c r="A132">
        <v>222</v>
      </c>
      <c r="B132">
        <v>0</v>
      </c>
      <c r="G132">
        <v>23269</v>
      </c>
      <c r="H132" t="s">
        <v>3328</v>
      </c>
    </row>
    <row r="133" spans="1:8" x14ac:dyDescent="0.25">
      <c r="A133">
        <v>224</v>
      </c>
      <c r="B133">
        <v>0</v>
      </c>
      <c r="G133">
        <v>23271</v>
      </c>
      <c r="H133" t="s">
        <v>3328</v>
      </c>
    </row>
    <row r="134" spans="1:8" x14ac:dyDescent="0.25">
      <c r="A134">
        <v>225</v>
      </c>
      <c r="B134">
        <v>0</v>
      </c>
      <c r="G134">
        <v>23443</v>
      </c>
      <c r="H134" t="s">
        <v>3327</v>
      </c>
    </row>
    <row r="135" spans="1:8" x14ac:dyDescent="0.25">
      <c r="A135">
        <v>226</v>
      </c>
      <c r="B135">
        <v>0</v>
      </c>
      <c r="G135">
        <v>23546</v>
      </c>
      <c r="H135" t="s">
        <v>3328</v>
      </c>
    </row>
    <row r="136" spans="1:8" x14ac:dyDescent="0.25">
      <c r="A136">
        <v>228</v>
      </c>
      <c r="B136">
        <v>0</v>
      </c>
      <c r="G136">
        <v>23552</v>
      </c>
      <c r="H136" t="s">
        <v>3328</v>
      </c>
    </row>
    <row r="137" spans="1:8" x14ac:dyDescent="0.25">
      <c r="A137">
        <v>229</v>
      </c>
      <c r="B137">
        <v>0</v>
      </c>
      <c r="G137">
        <v>24256</v>
      </c>
      <c r="H137" t="s">
        <v>3328</v>
      </c>
    </row>
    <row r="138" spans="1:8" x14ac:dyDescent="0.25">
      <c r="A138">
        <v>230</v>
      </c>
      <c r="B138">
        <v>0</v>
      </c>
      <c r="G138">
        <v>24275</v>
      </c>
      <c r="H138" t="s">
        <v>3327</v>
      </c>
    </row>
    <row r="139" spans="1:8" x14ac:dyDescent="0.25">
      <c r="A139">
        <v>231</v>
      </c>
      <c r="B139">
        <v>0</v>
      </c>
      <c r="G139">
        <v>24306</v>
      </c>
      <c r="H139" t="s">
        <v>3328</v>
      </c>
    </row>
    <row r="140" spans="1:8" x14ac:dyDescent="0.25">
      <c r="A140">
        <v>232</v>
      </c>
      <c r="B140">
        <v>0</v>
      </c>
      <c r="G140">
        <v>24409</v>
      </c>
      <c r="H140" t="s">
        <v>3327</v>
      </c>
    </row>
    <row r="141" spans="1:8" x14ac:dyDescent="0.25">
      <c r="A141">
        <v>233</v>
      </c>
      <c r="B141">
        <v>0</v>
      </c>
      <c r="G141">
        <v>25151</v>
      </c>
      <c r="H141" t="s">
        <v>3327</v>
      </c>
    </row>
    <row r="142" spans="1:8" x14ac:dyDescent="0.25">
      <c r="A142">
        <v>234</v>
      </c>
      <c r="B142">
        <v>0</v>
      </c>
      <c r="G142">
        <v>25160</v>
      </c>
      <c r="H142" t="s">
        <v>3327</v>
      </c>
    </row>
    <row r="143" spans="1:8" x14ac:dyDescent="0.25">
      <c r="A143">
        <v>236</v>
      </c>
      <c r="B143">
        <v>0</v>
      </c>
      <c r="G143">
        <v>25178</v>
      </c>
      <c r="H143" t="s">
        <v>3328</v>
      </c>
    </row>
    <row r="144" spans="1:8" x14ac:dyDescent="0.25">
      <c r="A144">
        <v>238</v>
      </c>
      <c r="B144">
        <v>0</v>
      </c>
      <c r="G144">
        <v>25194</v>
      </c>
      <c r="H144" t="s">
        <v>3328</v>
      </c>
    </row>
    <row r="145" spans="1:8" x14ac:dyDescent="0.25">
      <c r="A145">
        <v>239</v>
      </c>
      <c r="B145">
        <v>0</v>
      </c>
      <c r="G145">
        <v>25220</v>
      </c>
      <c r="H145" t="s">
        <v>3327</v>
      </c>
    </row>
    <row r="146" spans="1:8" x14ac:dyDescent="0.25">
      <c r="A146">
        <v>241</v>
      </c>
      <c r="B146">
        <v>0</v>
      </c>
      <c r="G146">
        <v>25546</v>
      </c>
      <c r="H146" t="s">
        <v>3327</v>
      </c>
    </row>
    <row r="147" spans="1:8" x14ac:dyDescent="0.25">
      <c r="A147">
        <v>244</v>
      </c>
      <c r="B147">
        <v>0</v>
      </c>
      <c r="G147">
        <v>25700</v>
      </c>
      <c r="H147" t="s">
        <v>3328</v>
      </c>
    </row>
    <row r="148" spans="1:8" x14ac:dyDescent="0.25">
      <c r="A148">
        <v>245</v>
      </c>
      <c r="B148">
        <v>0</v>
      </c>
      <c r="G148">
        <v>25837</v>
      </c>
      <c r="H148" t="s">
        <v>3328</v>
      </c>
    </row>
    <row r="149" spans="1:8" x14ac:dyDescent="0.25">
      <c r="A149">
        <v>246</v>
      </c>
      <c r="B149">
        <v>0</v>
      </c>
      <c r="G149">
        <v>25937</v>
      </c>
      <c r="H149" t="s">
        <v>3327</v>
      </c>
    </row>
    <row r="150" spans="1:8" x14ac:dyDescent="0.25">
      <c r="A150">
        <v>247</v>
      </c>
      <c r="B150">
        <v>0</v>
      </c>
      <c r="G150">
        <v>26037</v>
      </c>
      <c r="H150" t="s">
        <v>3327</v>
      </c>
    </row>
    <row r="151" spans="1:8" x14ac:dyDescent="0.25">
      <c r="A151">
        <v>248</v>
      </c>
      <c r="B151">
        <v>0</v>
      </c>
      <c r="G151">
        <v>26462</v>
      </c>
      <c r="H151" t="s">
        <v>3328</v>
      </c>
    </row>
    <row r="152" spans="1:8" x14ac:dyDescent="0.25">
      <c r="A152">
        <v>249</v>
      </c>
      <c r="B152">
        <v>0</v>
      </c>
      <c r="G152">
        <v>27179</v>
      </c>
      <c r="H152" t="s">
        <v>3328</v>
      </c>
    </row>
    <row r="153" spans="1:8" x14ac:dyDescent="0.25">
      <c r="A153">
        <v>250</v>
      </c>
      <c r="B153">
        <v>0</v>
      </c>
      <c r="G153">
        <v>27522</v>
      </c>
      <c r="H153" t="s">
        <v>3328</v>
      </c>
    </row>
    <row r="154" spans="1:8" x14ac:dyDescent="0.25">
      <c r="A154">
        <v>251</v>
      </c>
      <c r="B154">
        <v>0</v>
      </c>
      <c r="G154">
        <v>27559</v>
      </c>
      <c r="H154" t="s">
        <v>3328</v>
      </c>
    </row>
    <row r="155" spans="1:8" x14ac:dyDescent="0.25">
      <c r="A155">
        <v>252</v>
      </c>
      <c r="B155">
        <v>0</v>
      </c>
      <c r="G155">
        <v>27866</v>
      </c>
      <c r="H155" t="s">
        <v>3328</v>
      </c>
    </row>
    <row r="156" spans="1:8" x14ac:dyDescent="0.25">
      <c r="A156">
        <v>253</v>
      </c>
      <c r="B156">
        <v>0</v>
      </c>
      <c r="G156">
        <v>29197</v>
      </c>
      <c r="H156" t="s">
        <v>3328</v>
      </c>
    </row>
    <row r="157" spans="1:8" x14ac:dyDescent="0.25">
      <c r="A157">
        <v>254</v>
      </c>
      <c r="B157">
        <v>0</v>
      </c>
      <c r="G157">
        <v>29199</v>
      </c>
      <c r="H157" t="s">
        <v>3328</v>
      </c>
    </row>
    <row r="158" spans="1:8" x14ac:dyDescent="0.25">
      <c r="A158">
        <v>255</v>
      </c>
      <c r="B158">
        <v>0</v>
      </c>
      <c r="G158">
        <v>29209</v>
      </c>
      <c r="H158" t="s">
        <v>3328</v>
      </c>
    </row>
    <row r="159" spans="1:8" x14ac:dyDescent="0.25">
      <c r="A159">
        <v>257</v>
      </c>
      <c r="B159">
        <v>0</v>
      </c>
      <c r="G159">
        <v>29215</v>
      </c>
      <c r="H159" t="s">
        <v>3328</v>
      </c>
    </row>
    <row r="160" spans="1:8" x14ac:dyDescent="0.25">
      <c r="A160">
        <v>258</v>
      </c>
      <c r="B160">
        <v>0</v>
      </c>
      <c r="G160">
        <v>29253</v>
      </c>
      <c r="H160" t="s">
        <v>3329</v>
      </c>
    </row>
    <row r="161" spans="1:8" x14ac:dyDescent="0.25">
      <c r="A161">
        <v>259</v>
      </c>
      <c r="B161">
        <v>0</v>
      </c>
      <c r="G161">
        <v>29505</v>
      </c>
      <c r="H161" t="s">
        <v>3327</v>
      </c>
    </row>
    <row r="162" spans="1:8" x14ac:dyDescent="0.25">
      <c r="A162">
        <v>261</v>
      </c>
      <c r="B162">
        <v>0</v>
      </c>
      <c r="G162">
        <v>29580</v>
      </c>
      <c r="H162" t="s">
        <v>3328</v>
      </c>
    </row>
    <row r="163" spans="1:8" x14ac:dyDescent="0.25">
      <c r="A163">
        <v>262</v>
      </c>
      <c r="B163">
        <v>0</v>
      </c>
      <c r="G163">
        <v>29733</v>
      </c>
      <c r="H163" t="s">
        <v>3328</v>
      </c>
    </row>
    <row r="164" spans="1:8" x14ac:dyDescent="0.25">
      <c r="A164">
        <v>263</v>
      </c>
      <c r="B164">
        <v>0</v>
      </c>
      <c r="G164">
        <v>29845</v>
      </c>
      <c r="H164" t="s">
        <v>3328</v>
      </c>
    </row>
    <row r="165" spans="1:8" x14ac:dyDescent="0.25">
      <c r="A165">
        <v>264</v>
      </c>
      <c r="B165">
        <v>0</v>
      </c>
      <c r="G165">
        <v>30045</v>
      </c>
      <c r="H165" t="s">
        <v>3328</v>
      </c>
    </row>
    <row r="166" spans="1:8" x14ac:dyDescent="0.25">
      <c r="A166">
        <v>265</v>
      </c>
      <c r="B166">
        <v>0</v>
      </c>
      <c r="G166">
        <v>30134</v>
      </c>
      <c r="H166" t="s">
        <v>3328</v>
      </c>
    </row>
    <row r="167" spans="1:8" x14ac:dyDescent="0.25">
      <c r="A167">
        <v>266</v>
      </c>
      <c r="B167">
        <v>0</v>
      </c>
      <c r="G167">
        <v>30148</v>
      </c>
      <c r="H167" t="s">
        <v>3328</v>
      </c>
    </row>
    <row r="168" spans="1:8" x14ac:dyDescent="0.25">
      <c r="A168">
        <v>268</v>
      </c>
      <c r="B168">
        <v>0</v>
      </c>
      <c r="G168">
        <v>30151</v>
      </c>
      <c r="H168" t="s">
        <v>3328</v>
      </c>
    </row>
    <row r="169" spans="1:8" x14ac:dyDescent="0.25">
      <c r="A169">
        <v>269</v>
      </c>
      <c r="B169">
        <v>0</v>
      </c>
      <c r="G169">
        <v>31064</v>
      </c>
      <c r="H169" t="s">
        <v>3328</v>
      </c>
    </row>
    <row r="170" spans="1:8" x14ac:dyDescent="0.25">
      <c r="A170">
        <v>270</v>
      </c>
      <c r="B170">
        <v>0</v>
      </c>
      <c r="G170">
        <v>31272</v>
      </c>
      <c r="H170" t="s">
        <v>3328</v>
      </c>
    </row>
    <row r="171" spans="1:8" x14ac:dyDescent="0.25">
      <c r="A171">
        <v>273</v>
      </c>
      <c r="B171">
        <v>0</v>
      </c>
      <c r="G171">
        <v>32067</v>
      </c>
      <c r="H171" t="s">
        <v>3328</v>
      </c>
    </row>
    <row r="172" spans="1:8" x14ac:dyDescent="0.25">
      <c r="A172">
        <v>274</v>
      </c>
      <c r="B172">
        <v>0</v>
      </c>
      <c r="G172">
        <v>32126</v>
      </c>
      <c r="H172" t="s">
        <v>3328</v>
      </c>
    </row>
    <row r="173" spans="1:8" x14ac:dyDescent="0.25">
      <c r="A173">
        <v>275</v>
      </c>
      <c r="B173">
        <v>0</v>
      </c>
      <c r="G173">
        <v>32128</v>
      </c>
      <c r="H173" t="s">
        <v>3328</v>
      </c>
    </row>
    <row r="174" spans="1:8" x14ac:dyDescent="0.25">
      <c r="A174">
        <v>276</v>
      </c>
      <c r="B174">
        <v>0</v>
      </c>
      <c r="G174">
        <v>32349</v>
      </c>
      <c r="H174" t="s">
        <v>3328</v>
      </c>
    </row>
    <row r="175" spans="1:8" x14ac:dyDescent="0.25">
      <c r="A175">
        <v>277</v>
      </c>
      <c r="B175">
        <v>0</v>
      </c>
      <c r="G175">
        <v>32425</v>
      </c>
      <c r="H175" t="s">
        <v>3328</v>
      </c>
    </row>
    <row r="176" spans="1:8" x14ac:dyDescent="0.25">
      <c r="A176">
        <v>279</v>
      </c>
      <c r="B176">
        <v>18</v>
      </c>
      <c r="G176">
        <v>32427</v>
      </c>
      <c r="H176" t="s">
        <v>3328</v>
      </c>
    </row>
    <row r="177" spans="1:8" x14ac:dyDescent="0.25">
      <c r="A177">
        <v>280</v>
      </c>
      <c r="B177">
        <v>0</v>
      </c>
      <c r="G177">
        <v>32500</v>
      </c>
      <c r="H177" t="s">
        <v>3328</v>
      </c>
    </row>
    <row r="178" spans="1:8" x14ac:dyDescent="0.25">
      <c r="A178">
        <v>282</v>
      </c>
      <c r="B178">
        <v>0</v>
      </c>
      <c r="G178">
        <v>32526</v>
      </c>
      <c r="H178" t="s">
        <v>3328</v>
      </c>
    </row>
    <row r="179" spans="1:8" x14ac:dyDescent="0.25">
      <c r="A179">
        <v>285</v>
      </c>
      <c r="B179">
        <v>0</v>
      </c>
      <c r="G179">
        <v>32528</v>
      </c>
      <c r="H179" t="s">
        <v>3328</v>
      </c>
    </row>
    <row r="180" spans="1:8" x14ac:dyDescent="0.25">
      <c r="A180">
        <v>286</v>
      </c>
      <c r="B180">
        <v>0</v>
      </c>
      <c r="G180">
        <v>32646</v>
      </c>
      <c r="H180" t="s">
        <v>3328</v>
      </c>
    </row>
    <row r="181" spans="1:8" x14ac:dyDescent="0.25">
      <c r="A181">
        <v>288</v>
      </c>
      <c r="B181">
        <v>0</v>
      </c>
      <c r="G181">
        <v>32754</v>
      </c>
      <c r="H181" t="s">
        <v>3328</v>
      </c>
    </row>
    <row r="182" spans="1:8" x14ac:dyDescent="0.25">
      <c r="A182">
        <v>289</v>
      </c>
      <c r="B182">
        <v>0</v>
      </c>
      <c r="G182">
        <v>33109</v>
      </c>
      <c r="H182" t="s">
        <v>3328</v>
      </c>
    </row>
    <row r="183" spans="1:8" x14ac:dyDescent="0.25">
      <c r="A183">
        <v>291</v>
      </c>
      <c r="B183">
        <v>0</v>
      </c>
      <c r="G183">
        <v>33734</v>
      </c>
      <c r="H183" t="s">
        <v>3328</v>
      </c>
    </row>
    <row r="184" spans="1:8" x14ac:dyDescent="0.25">
      <c r="A184">
        <v>292</v>
      </c>
      <c r="B184">
        <v>0</v>
      </c>
      <c r="G184">
        <v>33738</v>
      </c>
      <c r="H184" t="s">
        <v>3328</v>
      </c>
    </row>
    <row r="185" spans="1:8" x14ac:dyDescent="0.25">
      <c r="A185">
        <v>293</v>
      </c>
      <c r="B185">
        <v>0</v>
      </c>
      <c r="G185">
        <v>34296</v>
      </c>
      <c r="H185" t="s">
        <v>3328</v>
      </c>
    </row>
    <row r="186" spans="1:8" x14ac:dyDescent="0.25">
      <c r="A186">
        <v>294</v>
      </c>
      <c r="B186">
        <v>0</v>
      </c>
      <c r="G186">
        <v>34298</v>
      </c>
      <c r="H186" t="s">
        <v>3328</v>
      </c>
    </row>
    <row r="187" spans="1:8" x14ac:dyDescent="0.25">
      <c r="A187">
        <v>295</v>
      </c>
      <c r="B187">
        <v>0</v>
      </c>
      <c r="G187">
        <v>34410</v>
      </c>
      <c r="H187" t="s">
        <v>3328</v>
      </c>
    </row>
    <row r="188" spans="1:8" x14ac:dyDescent="0.25">
      <c r="A188">
        <v>296</v>
      </c>
      <c r="B188">
        <v>0</v>
      </c>
      <c r="G188">
        <v>34608</v>
      </c>
      <c r="H188" t="s">
        <v>3328</v>
      </c>
    </row>
    <row r="189" spans="1:8" x14ac:dyDescent="0.25">
      <c r="A189">
        <v>297</v>
      </c>
      <c r="B189">
        <v>0</v>
      </c>
      <c r="G189">
        <v>34677</v>
      </c>
      <c r="H189" t="s">
        <v>3328</v>
      </c>
    </row>
    <row r="190" spans="1:8" x14ac:dyDescent="0.25">
      <c r="A190">
        <v>298</v>
      </c>
      <c r="B190">
        <v>0</v>
      </c>
      <c r="G190">
        <v>34683</v>
      </c>
      <c r="H190" t="s">
        <v>3328</v>
      </c>
    </row>
    <row r="191" spans="1:8" x14ac:dyDescent="0.25">
      <c r="A191">
        <v>299</v>
      </c>
      <c r="B191">
        <v>0</v>
      </c>
      <c r="G191">
        <v>34685</v>
      </c>
      <c r="H191" t="s">
        <v>3328</v>
      </c>
    </row>
    <row r="192" spans="1:8" x14ac:dyDescent="0.25">
      <c r="A192">
        <v>301</v>
      </c>
      <c r="B192">
        <v>0</v>
      </c>
      <c r="G192">
        <v>34691</v>
      </c>
      <c r="H192" t="s">
        <v>3328</v>
      </c>
    </row>
    <row r="193" spans="1:8" x14ac:dyDescent="0.25">
      <c r="A193">
        <v>303</v>
      </c>
      <c r="B193">
        <v>0</v>
      </c>
      <c r="G193">
        <v>34693</v>
      </c>
      <c r="H193" t="s">
        <v>3328</v>
      </c>
    </row>
    <row r="194" spans="1:8" x14ac:dyDescent="0.25">
      <c r="A194">
        <v>304</v>
      </c>
      <c r="B194">
        <v>0</v>
      </c>
      <c r="G194">
        <v>347</v>
      </c>
      <c r="H194" t="s">
        <v>3328</v>
      </c>
    </row>
    <row r="195" spans="1:8" x14ac:dyDescent="0.25">
      <c r="A195">
        <v>305</v>
      </c>
      <c r="B195">
        <v>0</v>
      </c>
      <c r="G195">
        <v>503</v>
      </c>
      <c r="H195" t="s">
        <v>3328</v>
      </c>
    </row>
    <row r="196" spans="1:8" x14ac:dyDescent="0.25">
      <c r="A196">
        <v>306</v>
      </c>
      <c r="B196">
        <v>0</v>
      </c>
      <c r="G196">
        <v>504</v>
      </c>
      <c r="H196" t="s">
        <v>3328</v>
      </c>
    </row>
    <row r="197" spans="1:8" x14ac:dyDescent="0.25">
      <c r="A197">
        <v>307</v>
      </c>
      <c r="B197">
        <v>0</v>
      </c>
      <c r="G197">
        <v>982</v>
      </c>
      <c r="H197" t="s">
        <v>3329</v>
      </c>
    </row>
    <row r="198" spans="1:8" x14ac:dyDescent="0.25">
      <c r="A198">
        <v>308</v>
      </c>
      <c r="B198">
        <v>0</v>
      </c>
      <c r="G198">
        <v>988</v>
      </c>
      <c r="H198" t="s">
        <v>3329</v>
      </c>
    </row>
    <row r="199" spans="1:8" x14ac:dyDescent="0.25">
      <c r="A199">
        <v>309</v>
      </c>
      <c r="B199">
        <v>0</v>
      </c>
      <c r="G199">
        <v>1166</v>
      </c>
      <c r="H199" t="s">
        <v>3328</v>
      </c>
    </row>
    <row r="200" spans="1:8" x14ac:dyDescent="0.25">
      <c r="A200">
        <v>310</v>
      </c>
      <c r="B200">
        <v>0</v>
      </c>
      <c r="G200">
        <v>1388</v>
      </c>
      <c r="H200" t="s">
        <v>3329</v>
      </c>
    </row>
    <row r="201" spans="1:8" x14ac:dyDescent="0.25">
      <c r="A201">
        <v>312</v>
      </c>
      <c r="B201">
        <v>0</v>
      </c>
      <c r="G201">
        <v>1695</v>
      </c>
      <c r="H201" t="s">
        <v>3329</v>
      </c>
    </row>
    <row r="202" spans="1:8" x14ac:dyDescent="0.25">
      <c r="A202">
        <v>313</v>
      </c>
      <c r="B202">
        <v>0</v>
      </c>
      <c r="G202">
        <v>1745</v>
      </c>
      <c r="H202" t="s">
        <v>3328</v>
      </c>
    </row>
    <row r="203" spans="1:8" x14ac:dyDescent="0.25">
      <c r="A203">
        <v>316</v>
      </c>
      <c r="B203">
        <v>0</v>
      </c>
      <c r="G203">
        <v>2008</v>
      </c>
      <c r="H203" t="s">
        <v>3328</v>
      </c>
    </row>
    <row r="204" spans="1:8" x14ac:dyDescent="0.25">
      <c r="A204">
        <v>317</v>
      </c>
      <c r="B204">
        <v>0</v>
      </c>
      <c r="G204">
        <v>2319</v>
      </c>
      <c r="H204" t="s">
        <v>3328</v>
      </c>
    </row>
    <row r="205" spans="1:8" x14ac:dyDescent="0.25">
      <c r="A205">
        <v>318</v>
      </c>
      <c r="B205">
        <v>0</v>
      </c>
      <c r="G205">
        <v>2320</v>
      </c>
      <c r="H205" t="s">
        <v>3328</v>
      </c>
    </row>
    <row r="206" spans="1:8" x14ac:dyDescent="0.25">
      <c r="A206">
        <v>319</v>
      </c>
      <c r="B206">
        <v>0</v>
      </c>
      <c r="G206">
        <v>2349</v>
      </c>
      <c r="H206" t="s">
        <v>3328</v>
      </c>
    </row>
    <row r="207" spans="1:8" x14ac:dyDescent="0.25">
      <c r="A207">
        <v>322</v>
      </c>
      <c r="B207">
        <v>0</v>
      </c>
      <c r="G207">
        <v>2350</v>
      </c>
      <c r="H207" t="s">
        <v>3328</v>
      </c>
    </row>
    <row r="208" spans="1:8" x14ac:dyDescent="0.25">
      <c r="A208">
        <v>323</v>
      </c>
      <c r="B208">
        <v>0</v>
      </c>
      <c r="G208">
        <v>2353</v>
      </c>
      <c r="H208" t="s">
        <v>3328</v>
      </c>
    </row>
    <row r="209" spans="1:8" x14ac:dyDescent="0.25">
      <c r="A209">
        <v>324</v>
      </c>
      <c r="B209">
        <v>0</v>
      </c>
      <c r="G209">
        <v>2538</v>
      </c>
      <c r="H209" t="s">
        <v>3329</v>
      </c>
    </row>
    <row r="210" spans="1:8" x14ac:dyDescent="0.25">
      <c r="A210">
        <v>325</v>
      </c>
      <c r="B210">
        <v>0</v>
      </c>
      <c r="G210">
        <v>2546</v>
      </c>
      <c r="H210" t="s">
        <v>3329</v>
      </c>
    </row>
    <row r="211" spans="1:8" x14ac:dyDescent="0.25">
      <c r="A211">
        <v>326</v>
      </c>
      <c r="B211">
        <v>0</v>
      </c>
      <c r="G211">
        <v>2548</v>
      </c>
      <c r="H211" t="s">
        <v>3329</v>
      </c>
    </row>
    <row r="212" spans="1:8" x14ac:dyDescent="0.25">
      <c r="A212">
        <v>327</v>
      </c>
      <c r="B212">
        <v>0</v>
      </c>
      <c r="G212">
        <v>2585</v>
      </c>
      <c r="H212" t="s">
        <v>3329</v>
      </c>
    </row>
    <row r="213" spans="1:8" x14ac:dyDescent="0.25">
      <c r="A213">
        <v>328</v>
      </c>
      <c r="B213">
        <v>0</v>
      </c>
      <c r="G213">
        <v>4293</v>
      </c>
      <c r="H213" t="s">
        <v>3328</v>
      </c>
    </row>
    <row r="214" spans="1:8" x14ac:dyDescent="0.25">
      <c r="A214">
        <v>329</v>
      </c>
      <c r="B214">
        <v>0</v>
      </c>
      <c r="G214">
        <v>4367</v>
      </c>
      <c r="H214" t="s">
        <v>3328</v>
      </c>
    </row>
    <row r="215" spans="1:8" x14ac:dyDescent="0.25">
      <c r="A215">
        <v>330</v>
      </c>
      <c r="B215">
        <v>0</v>
      </c>
      <c r="G215">
        <v>6181</v>
      </c>
      <c r="H215" t="s">
        <v>3328</v>
      </c>
    </row>
    <row r="216" spans="1:8" x14ac:dyDescent="0.25">
      <c r="A216">
        <v>331</v>
      </c>
      <c r="B216">
        <v>0</v>
      </c>
      <c r="G216">
        <v>6183</v>
      </c>
      <c r="H216" t="s">
        <v>3328</v>
      </c>
    </row>
    <row r="217" spans="1:8" x14ac:dyDescent="0.25">
      <c r="A217">
        <v>332</v>
      </c>
      <c r="B217">
        <v>0</v>
      </c>
      <c r="G217">
        <v>7325</v>
      </c>
      <c r="H217" t="s">
        <v>3328</v>
      </c>
    </row>
    <row r="218" spans="1:8" x14ac:dyDescent="0.25">
      <c r="A218">
        <v>333</v>
      </c>
      <c r="B218">
        <v>0</v>
      </c>
      <c r="G218">
        <v>7945</v>
      </c>
      <c r="H218" t="s">
        <v>3328</v>
      </c>
    </row>
    <row r="219" spans="1:8" x14ac:dyDescent="0.25">
      <c r="A219">
        <v>334</v>
      </c>
      <c r="B219">
        <v>0</v>
      </c>
      <c r="G219">
        <v>7947</v>
      </c>
      <c r="H219" t="s">
        <v>3328</v>
      </c>
    </row>
    <row r="220" spans="1:8" x14ac:dyDescent="0.25">
      <c r="A220">
        <v>335</v>
      </c>
      <c r="B220">
        <v>0</v>
      </c>
      <c r="G220">
        <v>7977</v>
      </c>
      <c r="H220" t="s">
        <v>3328</v>
      </c>
    </row>
    <row r="221" spans="1:8" x14ac:dyDescent="0.25">
      <c r="A221">
        <v>336</v>
      </c>
      <c r="B221">
        <v>0</v>
      </c>
      <c r="G221">
        <v>7981</v>
      </c>
      <c r="H221" t="s">
        <v>3328</v>
      </c>
    </row>
    <row r="222" spans="1:8" x14ac:dyDescent="0.25">
      <c r="A222">
        <v>337</v>
      </c>
      <c r="B222">
        <v>0</v>
      </c>
      <c r="G222">
        <v>7982</v>
      </c>
      <c r="H222" t="s">
        <v>3328</v>
      </c>
    </row>
    <row r="223" spans="1:8" x14ac:dyDescent="0.25">
      <c r="A223">
        <v>338</v>
      </c>
      <c r="B223">
        <v>0</v>
      </c>
      <c r="G223">
        <v>7983</v>
      </c>
      <c r="H223" t="s">
        <v>3328</v>
      </c>
    </row>
    <row r="224" spans="1:8" x14ac:dyDescent="0.25">
      <c r="A224">
        <v>339</v>
      </c>
      <c r="B224">
        <v>0</v>
      </c>
      <c r="G224">
        <v>7985</v>
      </c>
      <c r="H224" t="s">
        <v>3328</v>
      </c>
    </row>
    <row r="225" spans="1:8" x14ac:dyDescent="0.25">
      <c r="A225">
        <v>340</v>
      </c>
      <c r="B225">
        <v>0</v>
      </c>
      <c r="G225">
        <v>8791</v>
      </c>
      <c r="H225" t="s">
        <v>3328</v>
      </c>
    </row>
    <row r="226" spans="1:8" x14ac:dyDescent="0.25">
      <c r="A226">
        <v>344</v>
      </c>
      <c r="B226">
        <v>0</v>
      </c>
      <c r="G226">
        <v>8919</v>
      </c>
      <c r="H226" t="s">
        <v>3328</v>
      </c>
    </row>
    <row r="227" spans="1:8" x14ac:dyDescent="0.25">
      <c r="A227">
        <v>345</v>
      </c>
      <c r="B227">
        <v>0</v>
      </c>
      <c r="G227">
        <v>9067</v>
      </c>
      <c r="H227" t="s">
        <v>3328</v>
      </c>
    </row>
    <row r="228" spans="1:8" x14ac:dyDescent="0.25">
      <c r="A228">
        <v>346</v>
      </c>
      <c r="B228">
        <v>0</v>
      </c>
      <c r="G228">
        <v>9068</v>
      </c>
      <c r="H228" t="s">
        <v>3328</v>
      </c>
    </row>
    <row r="229" spans="1:8" x14ac:dyDescent="0.25">
      <c r="A229">
        <v>347</v>
      </c>
      <c r="B229">
        <v>5</v>
      </c>
      <c r="G229">
        <v>9069</v>
      </c>
      <c r="H229" t="s">
        <v>3328</v>
      </c>
    </row>
    <row r="230" spans="1:8" x14ac:dyDescent="0.25">
      <c r="A230">
        <v>348</v>
      </c>
      <c r="B230">
        <v>0</v>
      </c>
      <c r="G230">
        <v>9072</v>
      </c>
      <c r="H230" t="s">
        <v>3328</v>
      </c>
    </row>
    <row r="231" spans="1:8" x14ac:dyDescent="0.25">
      <c r="A231">
        <v>349</v>
      </c>
      <c r="B231">
        <v>0</v>
      </c>
      <c r="G231">
        <v>9083</v>
      </c>
      <c r="H231" t="s">
        <v>3328</v>
      </c>
    </row>
    <row r="232" spans="1:8" x14ac:dyDescent="0.25">
      <c r="A232">
        <v>350</v>
      </c>
      <c r="B232">
        <v>0</v>
      </c>
      <c r="G232">
        <v>9084</v>
      </c>
      <c r="H232" t="s">
        <v>3328</v>
      </c>
    </row>
    <row r="233" spans="1:8" x14ac:dyDescent="0.25">
      <c r="A233">
        <v>351</v>
      </c>
      <c r="B233">
        <v>0</v>
      </c>
      <c r="G233">
        <v>9085</v>
      </c>
      <c r="H233" t="s">
        <v>3328</v>
      </c>
    </row>
    <row r="234" spans="1:8" x14ac:dyDescent="0.25">
      <c r="A234">
        <v>352</v>
      </c>
      <c r="B234">
        <v>0</v>
      </c>
      <c r="G234">
        <v>9087</v>
      </c>
      <c r="H234" t="s">
        <v>3328</v>
      </c>
    </row>
    <row r="235" spans="1:8" x14ac:dyDescent="0.25">
      <c r="A235">
        <v>353</v>
      </c>
      <c r="B235">
        <v>0</v>
      </c>
      <c r="G235">
        <v>9089</v>
      </c>
      <c r="H235" t="s">
        <v>3328</v>
      </c>
    </row>
    <row r="236" spans="1:8" x14ac:dyDescent="0.25">
      <c r="A236">
        <v>354</v>
      </c>
      <c r="B236">
        <v>0</v>
      </c>
      <c r="G236">
        <v>9091</v>
      </c>
      <c r="H236" t="s">
        <v>3328</v>
      </c>
    </row>
    <row r="237" spans="1:8" x14ac:dyDescent="0.25">
      <c r="A237">
        <v>355</v>
      </c>
      <c r="B237">
        <v>0</v>
      </c>
      <c r="G237">
        <v>9092</v>
      </c>
      <c r="H237" t="s">
        <v>3328</v>
      </c>
    </row>
    <row r="238" spans="1:8" x14ac:dyDescent="0.25">
      <c r="A238">
        <v>356</v>
      </c>
      <c r="B238">
        <v>0</v>
      </c>
      <c r="G238">
        <v>9096</v>
      </c>
      <c r="H238" t="s">
        <v>3328</v>
      </c>
    </row>
    <row r="239" spans="1:8" x14ac:dyDescent="0.25">
      <c r="A239">
        <v>357</v>
      </c>
      <c r="B239">
        <v>0</v>
      </c>
      <c r="G239">
        <v>9274</v>
      </c>
      <c r="H239" t="s">
        <v>3328</v>
      </c>
    </row>
    <row r="240" spans="1:8" x14ac:dyDescent="0.25">
      <c r="A240">
        <v>358</v>
      </c>
      <c r="B240">
        <v>0</v>
      </c>
      <c r="G240">
        <v>9276</v>
      </c>
      <c r="H240" t="s">
        <v>3328</v>
      </c>
    </row>
    <row r="241" spans="1:8" x14ac:dyDescent="0.25">
      <c r="A241">
        <v>359</v>
      </c>
      <c r="B241">
        <v>0</v>
      </c>
      <c r="G241">
        <v>9320</v>
      </c>
      <c r="H241" t="s">
        <v>3328</v>
      </c>
    </row>
    <row r="242" spans="1:8" x14ac:dyDescent="0.25">
      <c r="A242">
        <v>361</v>
      </c>
      <c r="B242">
        <v>0</v>
      </c>
      <c r="G242">
        <v>9795</v>
      </c>
      <c r="H242" t="s">
        <v>3328</v>
      </c>
    </row>
    <row r="243" spans="1:8" x14ac:dyDescent="0.25">
      <c r="A243">
        <v>362</v>
      </c>
      <c r="B243">
        <v>0</v>
      </c>
      <c r="G243">
        <v>10175</v>
      </c>
      <c r="H243" t="s">
        <v>3328</v>
      </c>
    </row>
    <row r="244" spans="1:8" x14ac:dyDescent="0.25">
      <c r="A244">
        <v>363</v>
      </c>
      <c r="B244">
        <v>0</v>
      </c>
      <c r="G244">
        <v>12948</v>
      </c>
      <c r="H244" t="s">
        <v>3328</v>
      </c>
    </row>
    <row r="245" spans="1:8" x14ac:dyDescent="0.25">
      <c r="A245">
        <v>365</v>
      </c>
      <c r="B245">
        <v>0</v>
      </c>
      <c r="G245">
        <v>12951</v>
      </c>
      <c r="H245" t="s">
        <v>3328</v>
      </c>
    </row>
    <row r="246" spans="1:8" x14ac:dyDescent="0.25">
      <c r="A246">
        <v>368</v>
      </c>
      <c r="B246">
        <v>0</v>
      </c>
      <c r="G246">
        <v>13061</v>
      </c>
      <c r="H246" t="s">
        <v>3328</v>
      </c>
    </row>
    <row r="247" spans="1:8" x14ac:dyDescent="0.25">
      <c r="A247">
        <v>369</v>
      </c>
      <c r="B247">
        <v>0</v>
      </c>
      <c r="G247">
        <v>13065</v>
      </c>
      <c r="H247" t="s">
        <v>3328</v>
      </c>
    </row>
    <row r="248" spans="1:8" x14ac:dyDescent="0.25">
      <c r="A248">
        <v>370</v>
      </c>
      <c r="B248">
        <v>0</v>
      </c>
      <c r="G248">
        <v>13196</v>
      </c>
      <c r="H248" t="s">
        <v>3328</v>
      </c>
    </row>
    <row r="249" spans="1:8" x14ac:dyDescent="0.25">
      <c r="A249">
        <v>371</v>
      </c>
      <c r="B249">
        <v>0</v>
      </c>
      <c r="G249">
        <v>13201</v>
      </c>
      <c r="H249" t="s">
        <v>3328</v>
      </c>
    </row>
    <row r="250" spans="1:8" x14ac:dyDescent="0.25">
      <c r="A250">
        <v>372</v>
      </c>
      <c r="B250">
        <v>0</v>
      </c>
      <c r="G250">
        <v>13205</v>
      </c>
      <c r="H250" t="s">
        <v>3328</v>
      </c>
    </row>
    <row r="251" spans="1:8" x14ac:dyDescent="0.25">
      <c r="A251">
        <v>373</v>
      </c>
      <c r="B251">
        <v>0</v>
      </c>
      <c r="G251">
        <v>13307</v>
      </c>
      <c r="H251" t="s">
        <v>3328</v>
      </c>
    </row>
    <row r="252" spans="1:8" x14ac:dyDescent="0.25">
      <c r="A252">
        <v>374</v>
      </c>
      <c r="B252">
        <v>0</v>
      </c>
      <c r="G252">
        <v>13486</v>
      </c>
      <c r="H252" t="s">
        <v>3328</v>
      </c>
    </row>
    <row r="253" spans="1:8" x14ac:dyDescent="0.25">
      <c r="A253">
        <v>375</v>
      </c>
      <c r="B253">
        <v>0</v>
      </c>
      <c r="G253">
        <v>13566</v>
      </c>
      <c r="H253" t="s">
        <v>3328</v>
      </c>
    </row>
    <row r="254" spans="1:8" x14ac:dyDescent="0.25">
      <c r="A254">
        <v>376</v>
      </c>
      <c r="B254">
        <v>0</v>
      </c>
      <c r="G254">
        <v>14135</v>
      </c>
      <c r="H254" t="s">
        <v>3328</v>
      </c>
    </row>
    <row r="255" spans="1:8" x14ac:dyDescent="0.25">
      <c r="A255">
        <v>377</v>
      </c>
      <c r="B255">
        <v>0</v>
      </c>
      <c r="G255">
        <v>17266</v>
      </c>
      <c r="H255" t="s">
        <v>3328</v>
      </c>
    </row>
    <row r="256" spans="1:8" x14ac:dyDescent="0.25">
      <c r="A256">
        <v>378</v>
      </c>
      <c r="B256">
        <v>0</v>
      </c>
      <c r="G256">
        <v>17808</v>
      </c>
      <c r="H256" t="s">
        <v>3328</v>
      </c>
    </row>
    <row r="257" spans="1:8" x14ac:dyDescent="0.25">
      <c r="A257">
        <v>379</v>
      </c>
      <c r="B257">
        <v>0</v>
      </c>
      <c r="G257">
        <v>18152</v>
      </c>
      <c r="H257" t="s">
        <v>3328</v>
      </c>
    </row>
    <row r="258" spans="1:8" x14ac:dyDescent="0.25">
      <c r="A258">
        <v>380</v>
      </c>
      <c r="B258">
        <v>0</v>
      </c>
      <c r="G258">
        <v>18266</v>
      </c>
      <c r="H258" t="s">
        <v>3328</v>
      </c>
    </row>
    <row r="259" spans="1:8" x14ac:dyDescent="0.25">
      <c r="A259">
        <v>381</v>
      </c>
      <c r="B259">
        <v>0</v>
      </c>
      <c r="G259">
        <v>18267</v>
      </c>
      <c r="H259" t="s">
        <v>3328</v>
      </c>
    </row>
    <row r="260" spans="1:8" x14ac:dyDescent="0.25">
      <c r="A260">
        <v>382</v>
      </c>
      <c r="B260">
        <v>0</v>
      </c>
      <c r="G260">
        <v>18268</v>
      </c>
      <c r="H260" t="s">
        <v>3328</v>
      </c>
    </row>
    <row r="261" spans="1:8" x14ac:dyDescent="0.25">
      <c r="A261">
        <v>383</v>
      </c>
      <c r="B261">
        <v>0</v>
      </c>
      <c r="G261">
        <v>18780</v>
      </c>
      <c r="H261" t="s">
        <v>3328</v>
      </c>
    </row>
    <row r="262" spans="1:8" x14ac:dyDescent="0.25">
      <c r="A262">
        <v>384</v>
      </c>
      <c r="B262">
        <v>0</v>
      </c>
      <c r="G262">
        <v>18807</v>
      </c>
      <c r="H262" t="s">
        <v>3328</v>
      </c>
    </row>
    <row r="263" spans="1:8" x14ac:dyDescent="0.25">
      <c r="A263">
        <v>385</v>
      </c>
      <c r="B263">
        <v>0</v>
      </c>
      <c r="G263">
        <v>18836</v>
      </c>
      <c r="H263" t="s">
        <v>3328</v>
      </c>
    </row>
    <row r="264" spans="1:8" x14ac:dyDescent="0.25">
      <c r="A264">
        <v>386</v>
      </c>
      <c r="B264">
        <v>0</v>
      </c>
      <c r="G264">
        <v>19164</v>
      </c>
      <c r="H264" t="s">
        <v>3328</v>
      </c>
    </row>
    <row r="265" spans="1:8" x14ac:dyDescent="0.25">
      <c r="A265">
        <v>388</v>
      </c>
      <c r="B265">
        <v>0</v>
      </c>
      <c r="G265">
        <v>19225</v>
      </c>
      <c r="H265" t="s">
        <v>3328</v>
      </c>
    </row>
    <row r="266" spans="1:8" x14ac:dyDescent="0.25">
      <c r="A266">
        <v>389</v>
      </c>
      <c r="B266">
        <v>0</v>
      </c>
      <c r="G266">
        <v>19229</v>
      </c>
      <c r="H266" t="s">
        <v>3328</v>
      </c>
    </row>
    <row r="267" spans="1:8" x14ac:dyDescent="0.25">
      <c r="A267">
        <v>390</v>
      </c>
      <c r="B267">
        <v>0</v>
      </c>
      <c r="G267">
        <v>19231</v>
      </c>
      <c r="H267" t="s">
        <v>3328</v>
      </c>
    </row>
    <row r="268" spans="1:8" x14ac:dyDescent="0.25">
      <c r="A268">
        <v>392</v>
      </c>
      <c r="B268">
        <v>0</v>
      </c>
      <c r="G268">
        <v>19321</v>
      </c>
      <c r="H268" t="s">
        <v>3328</v>
      </c>
    </row>
    <row r="269" spans="1:8" x14ac:dyDescent="0.25">
      <c r="A269">
        <v>393</v>
      </c>
      <c r="B269">
        <v>0</v>
      </c>
      <c r="G269">
        <v>19668</v>
      </c>
      <c r="H269" t="s">
        <v>3328</v>
      </c>
    </row>
    <row r="270" spans="1:8" x14ac:dyDescent="0.25">
      <c r="A270">
        <v>394</v>
      </c>
      <c r="B270">
        <v>0</v>
      </c>
      <c r="G270">
        <v>19729</v>
      </c>
      <c r="H270" t="s">
        <v>3328</v>
      </c>
    </row>
    <row r="271" spans="1:8" x14ac:dyDescent="0.25">
      <c r="A271">
        <v>395</v>
      </c>
      <c r="B271">
        <v>0</v>
      </c>
      <c r="G271">
        <v>20217</v>
      </c>
      <c r="H271" t="s">
        <v>3328</v>
      </c>
    </row>
    <row r="272" spans="1:8" x14ac:dyDescent="0.25">
      <c r="A272">
        <v>396</v>
      </c>
      <c r="B272">
        <v>0</v>
      </c>
      <c r="G272">
        <v>20329</v>
      </c>
      <c r="H272" t="s">
        <v>3329</v>
      </c>
    </row>
    <row r="273" spans="1:8" x14ac:dyDescent="0.25">
      <c r="A273">
        <v>397</v>
      </c>
      <c r="B273">
        <v>0</v>
      </c>
      <c r="G273">
        <v>20498</v>
      </c>
      <c r="H273" t="s">
        <v>3328</v>
      </c>
    </row>
    <row r="274" spans="1:8" x14ac:dyDescent="0.25">
      <c r="A274">
        <v>398</v>
      </c>
      <c r="B274">
        <v>0</v>
      </c>
      <c r="G274">
        <v>20530</v>
      </c>
      <c r="H274" t="s">
        <v>3329</v>
      </c>
    </row>
    <row r="275" spans="1:8" x14ac:dyDescent="0.25">
      <c r="A275">
        <v>399</v>
      </c>
      <c r="B275">
        <v>0</v>
      </c>
      <c r="G275">
        <v>20533</v>
      </c>
      <c r="H275" t="s">
        <v>3329</v>
      </c>
    </row>
    <row r="276" spans="1:8" x14ac:dyDescent="0.25">
      <c r="A276">
        <v>402</v>
      </c>
      <c r="B276">
        <v>0</v>
      </c>
      <c r="G276">
        <v>20535</v>
      </c>
      <c r="H276" t="s">
        <v>3328</v>
      </c>
    </row>
    <row r="277" spans="1:8" x14ac:dyDescent="0.25">
      <c r="A277">
        <v>403</v>
      </c>
      <c r="B277">
        <v>0</v>
      </c>
      <c r="G277">
        <v>20549</v>
      </c>
      <c r="H277" t="s">
        <v>3328</v>
      </c>
    </row>
    <row r="278" spans="1:8" x14ac:dyDescent="0.25">
      <c r="A278">
        <v>405</v>
      </c>
      <c r="B278">
        <v>0</v>
      </c>
      <c r="G278">
        <v>20651</v>
      </c>
      <c r="H278" t="s">
        <v>3328</v>
      </c>
    </row>
    <row r="279" spans="1:8" x14ac:dyDescent="0.25">
      <c r="A279">
        <v>406</v>
      </c>
      <c r="B279">
        <v>0</v>
      </c>
      <c r="G279">
        <v>21020</v>
      </c>
      <c r="H279" t="s">
        <v>3328</v>
      </c>
    </row>
    <row r="280" spans="1:8" x14ac:dyDescent="0.25">
      <c r="A280">
        <v>407</v>
      </c>
      <c r="B280">
        <v>0</v>
      </c>
      <c r="G280">
        <v>21119</v>
      </c>
      <c r="H280" t="s">
        <v>3328</v>
      </c>
    </row>
    <row r="281" spans="1:8" x14ac:dyDescent="0.25">
      <c r="A281">
        <v>412</v>
      </c>
      <c r="B281">
        <v>0</v>
      </c>
      <c r="G281">
        <v>21632</v>
      </c>
      <c r="H281" t="s">
        <v>3328</v>
      </c>
    </row>
    <row r="282" spans="1:8" x14ac:dyDescent="0.25">
      <c r="A282">
        <v>413</v>
      </c>
      <c r="B282">
        <v>0</v>
      </c>
      <c r="G282">
        <v>21658</v>
      </c>
      <c r="H282" t="s">
        <v>3328</v>
      </c>
    </row>
    <row r="283" spans="1:8" x14ac:dyDescent="0.25">
      <c r="A283">
        <v>415</v>
      </c>
      <c r="B283">
        <v>0</v>
      </c>
      <c r="G283">
        <v>21666</v>
      </c>
      <c r="H283" t="s">
        <v>3328</v>
      </c>
    </row>
    <row r="284" spans="1:8" x14ac:dyDescent="0.25">
      <c r="A284">
        <v>416</v>
      </c>
      <c r="B284">
        <v>0</v>
      </c>
      <c r="G284">
        <v>21668</v>
      </c>
      <c r="H284" t="s">
        <v>3328</v>
      </c>
    </row>
    <row r="285" spans="1:8" x14ac:dyDescent="0.25">
      <c r="A285">
        <v>417</v>
      </c>
      <c r="B285">
        <v>0</v>
      </c>
      <c r="G285">
        <v>21791</v>
      </c>
      <c r="H285" t="s">
        <v>3327</v>
      </c>
    </row>
    <row r="286" spans="1:8" x14ac:dyDescent="0.25">
      <c r="A286">
        <v>418</v>
      </c>
      <c r="B286">
        <v>0</v>
      </c>
      <c r="G286">
        <v>22177</v>
      </c>
      <c r="H286" t="s">
        <v>3328</v>
      </c>
    </row>
    <row r="287" spans="1:8" x14ac:dyDescent="0.25">
      <c r="A287">
        <v>419</v>
      </c>
      <c r="B287">
        <v>0</v>
      </c>
      <c r="G287">
        <v>22180</v>
      </c>
      <c r="H287" t="s">
        <v>3328</v>
      </c>
    </row>
    <row r="288" spans="1:8" x14ac:dyDescent="0.25">
      <c r="A288">
        <v>420</v>
      </c>
      <c r="B288">
        <v>0</v>
      </c>
      <c r="G288">
        <v>23184</v>
      </c>
      <c r="H288" t="s">
        <v>3328</v>
      </c>
    </row>
    <row r="289" spans="1:8" x14ac:dyDescent="0.25">
      <c r="A289">
        <v>425</v>
      </c>
      <c r="B289">
        <v>0</v>
      </c>
      <c r="G289">
        <v>23186</v>
      </c>
      <c r="H289" t="s">
        <v>3329</v>
      </c>
    </row>
    <row r="290" spans="1:8" x14ac:dyDescent="0.25">
      <c r="A290">
        <v>426</v>
      </c>
      <c r="B290">
        <v>0</v>
      </c>
      <c r="G290">
        <v>23269</v>
      </c>
      <c r="H290" t="s">
        <v>3328</v>
      </c>
    </row>
    <row r="291" spans="1:8" x14ac:dyDescent="0.25">
      <c r="A291">
        <v>435</v>
      </c>
      <c r="B291">
        <v>0</v>
      </c>
      <c r="G291">
        <v>23271</v>
      </c>
      <c r="H291" t="s">
        <v>3328</v>
      </c>
    </row>
    <row r="292" spans="1:8" x14ac:dyDescent="0.25">
      <c r="A292">
        <v>436</v>
      </c>
      <c r="B292">
        <v>0</v>
      </c>
      <c r="G292">
        <v>23546</v>
      </c>
      <c r="H292" t="s">
        <v>3328</v>
      </c>
    </row>
    <row r="293" spans="1:8" x14ac:dyDescent="0.25">
      <c r="A293">
        <v>438</v>
      </c>
      <c r="B293">
        <v>0</v>
      </c>
      <c r="G293">
        <v>23552</v>
      </c>
      <c r="H293" t="s">
        <v>3328</v>
      </c>
    </row>
    <row r="294" spans="1:8" x14ac:dyDescent="0.25">
      <c r="A294">
        <v>441</v>
      </c>
      <c r="B294">
        <v>0</v>
      </c>
      <c r="G294">
        <v>24256</v>
      </c>
      <c r="H294" t="s">
        <v>3328</v>
      </c>
    </row>
    <row r="295" spans="1:8" x14ac:dyDescent="0.25">
      <c r="A295">
        <v>442</v>
      </c>
      <c r="B295">
        <v>0</v>
      </c>
      <c r="G295">
        <v>24306</v>
      </c>
      <c r="H295" t="s">
        <v>3328</v>
      </c>
    </row>
    <row r="296" spans="1:8" x14ac:dyDescent="0.25">
      <c r="A296">
        <v>443</v>
      </c>
      <c r="B296">
        <v>0</v>
      </c>
      <c r="G296">
        <v>25178</v>
      </c>
      <c r="H296" t="s">
        <v>3328</v>
      </c>
    </row>
    <row r="297" spans="1:8" x14ac:dyDescent="0.25">
      <c r="A297">
        <v>446</v>
      </c>
      <c r="B297">
        <v>0</v>
      </c>
      <c r="G297">
        <v>25194</v>
      </c>
      <c r="H297" t="s">
        <v>3328</v>
      </c>
    </row>
    <row r="298" spans="1:8" x14ac:dyDescent="0.25">
      <c r="A298">
        <v>447</v>
      </c>
      <c r="B298">
        <v>0</v>
      </c>
      <c r="G298">
        <v>25220</v>
      </c>
      <c r="H298" t="s">
        <v>3327</v>
      </c>
    </row>
    <row r="299" spans="1:8" x14ac:dyDescent="0.25">
      <c r="A299">
        <v>448</v>
      </c>
      <c r="B299">
        <v>0</v>
      </c>
      <c r="G299">
        <v>25700</v>
      </c>
      <c r="H299" t="s">
        <v>3328</v>
      </c>
    </row>
    <row r="300" spans="1:8" x14ac:dyDescent="0.25">
      <c r="A300">
        <v>449</v>
      </c>
      <c r="B300">
        <v>0</v>
      </c>
      <c r="G300">
        <v>25837</v>
      </c>
      <c r="H300" t="s">
        <v>3328</v>
      </c>
    </row>
    <row r="301" spans="1:8" x14ac:dyDescent="0.25">
      <c r="A301">
        <v>450</v>
      </c>
      <c r="B301">
        <v>0</v>
      </c>
      <c r="G301">
        <v>26462</v>
      </c>
      <c r="H301" t="s">
        <v>3328</v>
      </c>
    </row>
    <row r="302" spans="1:8" x14ac:dyDescent="0.25">
      <c r="A302">
        <v>451</v>
      </c>
      <c r="B302">
        <v>0</v>
      </c>
      <c r="G302">
        <v>27559</v>
      </c>
      <c r="H302" t="s">
        <v>3328</v>
      </c>
    </row>
    <row r="303" spans="1:8" x14ac:dyDescent="0.25">
      <c r="A303">
        <v>452</v>
      </c>
      <c r="B303">
        <v>0</v>
      </c>
      <c r="G303">
        <v>27866</v>
      </c>
      <c r="H303" t="s">
        <v>3328</v>
      </c>
    </row>
    <row r="304" spans="1:8" x14ac:dyDescent="0.25">
      <c r="A304">
        <v>454</v>
      </c>
      <c r="B304">
        <v>0</v>
      </c>
      <c r="G304">
        <v>28700</v>
      </c>
      <c r="H304" t="s">
        <v>3328</v>
      </c>
    </row>
    <row r="305" spans="1:8" x14ac:dyDescent="0.25">
      <c r="A305">
        <v>455</v>
      </c>
      <c r="B305">
        <v>0</v>
      </c>
      <c r="G305">
        <v>29253</v>
      </c>
      <c r="H305" t="s">
        <v>3329</v>
      </c>
    </row>
    <row r="306" spans="1:8" x14ac:dyDescent="0.25">
      <c r="A306">
        <v>456</v>
      </c>
      <c r="B306">
        <v>0</v>
      </c>
      <c r="G306">
        <v>29580</v>
      </c>
      <c r="H306" t="s">
        <v>3328</v>
      </c>
    </row>
    <row r="307" spans="1:8" x14ac:dyDescent="0.25">
      <c r="A307">
        <v>457</v>
      </c>
      <c r="B307">
        <v>0</v>
      </c>
      <c r="G307">
        <v>29845</v>
      </c>
      <c r="H307" t="s">
        <v>3328</v>
      </c>
    </row>
    <row r="308" spans="1:8" x14ac:dyDescent="0.25">
      <c r="A308">
        <v>458</v>
      </c>
      <c r="B308">
        <v>0</v>
      </c>
      <c r="G308">
        <v>30045</v>
      </c>
      <c r="H308" t="s">
        <v>3328</v>
      </c>
    </row>
    <row r="309" spans="1:8" x14ac:dyDescent="0.25">
      <c r="A309">
        <v>459</v>
      </c>
      <c r="B309">
        <v>0</v>
      </c>
      <c r="G309">
        <v>31064</v>
      </c>
      <c r="H309" t="s">
        <v>3328</v>
      </c>
    </row>
    <row r="310" spans="1:8" x14ac:dyDescent="0.25">
      <c r="A310">
        <v>460</v>
      </c>
      <c r="B310">
        <v>0</v>
      </c>
      <c r="G310">
        <v>31272</v>
      </c>
      <c r="H310" t="s">
        <v>3328</v>
      </c>
    </row>
    <row r="311" spans="1:8" x14ac:dyDescent="0.25">
      <c r="A311">
        <v>461</v>
      </c>
      <c r="B311">
        <v>0</v>
      </c>
      <c r="G311">
        <v>32067</v>
      </c>
      <c r="H311" t="s">
        <v>3328</v>
      </c>
    </row>
    <row r="312" spans="1:8" x14ac:dyDescent="0.25">
      <c r="A312">
        <v>462</v>
      </c>
      <c r="B312">
        <v>0</v>
      </c>
      <c r="G312">
        <v>32349</v>
      </c>
      <c r="H312" t="s">
        <v>3328</v>
      </c>
    </row>
    <row r="313" spans="1:8" x14ac:dyDescent="0.25">
      <c r="A313">
        <v>463</v>
      </c>
      <c r="B313">
        <v>0</v>
      </c>
      <c r="G313">
        <v>32361</v>
      </c>
      <c r="H313" t="s">
        <v>3328</v>
      </c>
    </row>
    <row r="314" spans="1:8" x14ac:dyDescent="0.25">
      <c r="A314">
        <v>464</v>
      </c>
      <c r="B314">
        <v>0</v>
      </c>
      <c r="G314">
        <v>32425</v>
      </c>
      <c r="H314" t="s">
        <v>3328</v>
      </c>
    </row>
    <row r="315" spans="1:8" x14ac:dyDescent="0.25">
      <c r="A315">
        <v>465</v>
      </c>
      <c r="B315">
        <v>0</v>
      </c>
      <c r="G315">
        <v>32427</v>
      </c>
      <c r="H315" t="s">
        <v>3328</v>
      </c>
    </row>
    <row r="316" spans="1:8" x14ac:dyDescent="0.25">
      <c r="A316">
        <v>466</v>
      </c>
      <c r="B316">
        <v>0</v>
      </c>
      <c r="G316">
        <v>32500</v>
      </c>
      <c r="H316" t="s">
        <v>3328</v>
      </c>
    </row>
    <row r="317" spans="1:8" x14ac:dyDescent="0.25">
      <c r="A317">
        <v>467</v>
      </c>
      <c r="B317">
        <v>0</v>
      </c>
      <c r="G317">
        <v>32526</v>
      </c>
      <c r="H317" t="s">
        <v>3328</v>
      </c>
    </row>
    <row r="318" spans="1:8" x14ac:dyDescent="0.25">
      <c r="A318">
        <v>468</v>
      </c>
      <c r="B318">
        <v>0</v>
      </c>
      <c r="G318">
        <v>32528</v>
      </c>
      <c r="H318" t="s">
        <v>3328</v>
      </c>
    </row>
    <row r="319" spans="1:8" x14ac:dyDescent="0.25">
      <c r="A319">
        <v>469</v>
      </c>
      <c r="B319">
        <v>0</v>
      </c>
      <c r="G319">
        <v>33109</v>
      </c>
      <c r="H319" t="s">
        <v>3328</v>
      </c>
    </row>
    <row r="320" spans="1:8" x14ac:dyDescent="0.25">
      <c r="A320">
        <v>473</v>
      </c>
      <c r="B320">
        <v>0</v>
      </c>
      <c r="G320">
        <v>33734</v>
      </c>
      <c r="H320" t="s">
        <v>3328</v>
      </c>
    </row>
    <row r="321" spans="1:8" x14ac:dyDescent="0.25">
      <c r="A321">
        <v>475</v>
      </c>
      <c r="B321">
        <v>0</v>
      </c>
      <c r="G321">
        <v>33738</v>
      </c>
      <c r="H321" t="s">
        <v>3328</v>
      </c>
    </row>
    <row r="322" spans="1:8" x14ac:dyDescent="0.25">
      <c r="A322">
        <v>476</v>
      </c>
      <c r="B322">
        <v>0</v>
      </c>
      <c r="G322">
        <v>347</v>
      </c>
      <c r="H322" t="s">
        <v>3328</v>
      </c>
    </row>
    <row r="323" spans="1:8" x14ac:dyDescent="0.25">
      <c r="A323">
        <v>477</v>
      </c>
      <c r="B323">
        <v>0</v>
      </c>
      <c r="G323">
        <v>503</v>
      </c>
      <c r="H323" t="s">
        <v>3328</v>
      </c>
    </row>
    <row r="324" spans="1:8" x14ac:dyDescent="0.25">
      <c r="A324">
        <v>478</v>
      </c>
      <c r="B324">
        <v>0</v>
      </c>
      <c r="G324">
        <v>504</v>
      </c>
      <c r="H324" t="s">
        <v>3328</v>
      </c>
    </row>
    <row r="325" spans="1:8" x14ac:dyDescent="0.25">
      <c r="A325">
        <v>479</v>
      </c>
      <c r="B325">
        <v>0</v>
      </c>
      <c r="G325">
        <v>838</v>
      </c>
      <c r="H325" t="s">
        <v>3330</v>
      </c>
    </row>
    <row r="326" spans="1:8" x14ac:dyDescent="0.25">
      <c r="A326">
        <v>481</v>
      </c>
      <c r="B326">
        <v>0</v>
      </c>
      <c r="G326">
        <v>2319</v>
      </c>
      <c r="H326" t="s">
        <v>3328</v>
      </c>
    </row>
    <row r="327" spans="1:8" x14ac:dyDescent="0.25">
      <c r="A327">
        <v>487</v>
      </c>
      <c r="B327">
        <v>0</v>
      </c>
      <c r="G327">
        <v>2320</v>
      </c>
      <c r="H327" t="s">
        <v>3328</v>
      </c>
    </row>
    <row r="328" spans="1:8" x14ac:dyDescent="0.25">
      <c r="A328">
        <v>490</v>
      </c>
      <c r="B328">
        <v>0</v>
      </c>
      <c r="G328">
        <v>2349</v>
      </c>
      <c r="H328" t="s">
        <v>3328</v>
      </c>
    </row>
    <row r="329" spans="1:8" x14ac:dyDescent="0.25">
      <c r="A329">
        <v>491</v>
      </c>
      <c r="B329">
        <v>0</v>
      </c>
      <c r="G329">
        <v>2350</v>
      </c>
      <c r="H329" t="s">
        <v>3328</v>
      </c>
    </row>
    <row r="330" spans="1:8" x14ac:dyDescent="0.25">
      <c r="A330">
        <v>494</v>
      </c>
      <c r="B330">
        <v>0</v>
      </c>
      <c r="G330">
        <v>6181</v>
      </c>
      <c r="H330" t="s">
        <v>3328</v>
      </c>
    </row>
    <row r="331" spans="1:8" x14ac:dyDescent="0.25">
      <c r="A331">
        <v>495</v>
      </c>
      <c r="B331">
        <v>0</v>
      </c>
      <c r="G331">
        <v>7325</v>
      </c>
      <c r="H331" t="s">
        <v>3328</v>
      </c>
    </row>
    <row r="332" spans="1:8" x14ac:dyDescent="0.25">
      <c r="A332">
        <v>497</v>
      </c>
      <c r="B332">
        <v>0</v>
      </c>
      <c r="G332">
        <v>9068</v>
      </c>
      <c r="H332" t="s">
        <v>3328</v>
      </c>
    </row>
    <row r="333" spans="1:8" x14ac:dyDescent="0.25">
      <c r="A333">
        <v>498</v>
      </c>
      <c r="B333">
        <v>0</v>
      </c>
      <c r="G333">
        <v>9069</v>
      </c>
      <c r="H333" t="s">
        <v>3328</v>
      </c>
    </row>
    <row r="334" spans="1:8" x14ac:dyDescent="0.25">
      <c r="A334">
        <v>499</v>
      </c>
      <c r="B334">
        <v>0</v>
      </c>
      <c r="G334">
        <v>9084</v>
      </c>
      <c r="H334" t="s">
        <v>3328</v>
      </c>
    </row>
    <row r="335" spans="1:8" x14ac:dyDescent="0.25">
      <c r="A335">
        <v>500</v>
      </c>
      <c r="B335">
        <v>0</v>
      </c>
      <c r="G335">
        <v>9087</v>
      </c>
      <c r="H335" t="s">
        <v>3328</v>
      </c>
    </row>
    <row r="336" spans="1:8" x14ac:dyDescent="0.25">
      <c r="A336">
        <v>501</v>
      </c>
      <c r="B336">
        <v>0</v>
      </c>
      <c r="G336">
        <v>9089</v>
      </c>
      <c r="H336" t="s">
        <v>3328</v>
      </c>
    </row>
    <row r="337" spans="1:8" x14ac:dyDescent="0.25">
      <c r="A337">
        <v>502</v>
      </c>
      <c r="B337">
        <v>0</v>
      </c>
      <c r="G337">
        <v>9096</v>
      </c>
      <c r="H337" t="s">
        <v>3328</v>
      </c>
    </row>
    <row r="338" spans="1:8" x14ac:dyDescent="0.25">
      <c r="A338">
        <v>503</v>
      </c>
      <c r="B338">
        <v>4</v>
      </c>
      <c r="G338">
        <v>17808</v>
      </c>
      <c r="H338" t="s">
        <v>3328</v>
      </c>
    </row>
    <row r="339" spans="1:8" x14ac:dyDescent="0.25">
      <c r="A339">
        <v>504</v>
      </c>
      <c r="B339">
        <v>4</v>
      </c>
      <c r="G339">
        <v>18152</v>
      </c>
      <c r="H339" t="s">
        <v>3328</v>
      </c>
    </row>
    <row r="340" spans="1:8" x14ac:dyDescent="0.25">
      <c r="A340">
        <v>505</v>
      </c>
      <c r="B340">
        <v>0</v>
      </c>
      <c r="G340">
        <v>18266</v>
      </c>
      <c r="H340" t="s">
        <v>3328</v>
      </c>
    </row>
    <row r="341" spans="1:8" x14ac:dyDescent="0.25">
      <c r="A341">
        <v>506</v>
      </c>
      <c r="B341">
        <v>0</v>
      </c>
      <c r="G341">
        <v>18267</v>
      </c>
      <c r="H341" t="s">
        <v>3328</v>
      </c>
    </row>
    <row r="342" spans="1:8" x14ac:dyDescent="0.25">
      <c r="A342">
        <v>507</v>
      </c>
      <c r="B342">
        <v>0</v>
      </c>
      <c r="G342">
        <v>18780</v>
      </c>
      <c r="H342" t="s">
        <v>3328</v>
      </c>
    </row>
    <row r="343" spans="1:8" x14ac:dyDescent="0.25">
      <c r="A343">
        <v>508</v>
      </c>
      <c r="B343">
        <v>0</v>
      </c>
      <c r="G343">
        <v>18807</v>
      </c>
      <c r="H343" t="s">
        <v>3328</v>
      </c>
    </row>
    <row r="344" spans="1:8" x14ac:dyDescent="0.25">
      <c r="A344">
        <v>509</v>
      </c>
      <c r="B344">
        <v>0</v>
      </c>
      <c r="G344">
        <v>19225</v>
      </c>
      <c r="H344" t="s">
        <v>3328</v>
      </c>
    </row>
    <row r="345" spans="1:8" x14ac:dyDescent="0.25">
      <c r="A345">
        <v>510</v>
      </c>
      <c r="B345">
        <v>0</v>
      </c>
      <c r="G345">
        <v>19229</v>
      </c>
      <c r="H345" t="s">
        <v>3328</v>
      </c>
    </row>
    <row r="346" spans="1:8" x14ac:dyDescent="0.25">
      <c r="A346">
        <v>511</v>
      </c>
      <c r="B346">
        <v>0</v>
      </c>
      <c r="G346">
        <v>21020</v>
      </c>
      <c r="H346" t="s">
        <v>3328</v>
      </c>
    </row>
    <row r="347" spans="1:8" x14ac:dyDescent="0.25">
      <c r="A347">
        <v>512</v>
      </c>
      <c r="B347">
        <v>0</v>
      </c>
      <c r="G347">
        <v>21526</v>
      </c>
      <c r="H347" t="s">
        <v>3327</v>
      </c>
    </row>
    <row r="348" spans="1:8" x14ac:dyDescent="0.25">
      <c r="A348">
        <v>514</v>
      </c>
      <c r="B348">
        <v>0</v>
      </c>
      <c r="G348">
        <v>21530</v>
      </c>
      <c r="H348" t="s">
        <v>3327</v>
      </c>
    </row>
    <row r="349" spans="1:8" x14ac:dyDescent="0.25">
      <c r="A349">
        <v>515</v>
      </c>
      <c r="B349">
        <v>0</v>
      </c>
      <c r="G349">
        <v>21658</v>
      </c>
      <c r="H349" t="s">
        <v>3328</v>
      </c>
    </row>
    <row r="350" spans="1:8" x14ac:dyDescent="0.25">
      <c r="A350">
        <v>516</v>
      </c>
      <c r="B350">
        <v>0</v>
      </c>
      <c r="G350">
        <v>23271</v>
      </c>
      <c r="H350" t="s">
        <v>3328</v>
      </c>
    </row>
    <row r="351" spans="1:8" x14ac:dyDescent="0.25">
      <c r="A351">
        <v>518</v>
      </c>
      <c r="B351">
        <v>0</v>
      </c>
      <c r="G351">
        <v>23546</v>
      </c>
      <c r="H351" t="s">
        <v>3328</v>
      </c>
    </row>
    <row r="352" spans="1:8" x14ac:dyDescent="0.25">
      <c r="A352">
        <v>520</v>
      </c>
      <c r="B352">
        <v>0</v>
      </c>
      <c r="G352">
        <v>23552</v>
      </c>
      <c r="H352" t="s">
        <v>3328</v>
      </c>
    </row>
    <row r="353" spans="1:8" x14ac:dyDescent="0.25">
      <c r="A353">
        <v>521</v>
      </c>
      <c r="B353">
        <v>0</v>
      </c>
      <c r="G353">
        <v>25151</v>
      </c>
      <c r="H353" t="s">
        <v>3327</v>
      </c>
    </row>
    <row r="354" spans="1:8" x14ac:dyDescent="0.25">
      <c r="A354">
        <v>522</v>
      </c>
      <c r="B354">
        <v>0</v>
      </c>
      <c r="G354">
        <v>25160</v>
      </c>
      <c r="H354" t="s">
        <v>3327</v>
      </c>
    </row>
    <row r="355" spans="1:8" x14ac:dyDescent="0.25">
      <c r="A355">
        <v>523</v>
      </c>
      <c r="B355">
        <v>0</v>
      </c>
      <c r="G355">
        <v>982</v>
      </c>
      <c r="H355" t="s">
        <v>3329</v>
      </c>
    </row>
    <row r="356" spans="1:8" x14ac:dyDescent="0.25">
      <c r="A356">
        <v>524</v>
      </c>
      <c r="B356">
        <v>0</v>
      </c>
      <c r="G356">
        <v>2319</v>
      </c>
      <c r="H356" t="s">
        <v>3328</v>
      </c>
    </row>
    <row r="357" spans="1:8" x14ac:dyDescent="0.25">
      <c r="A357">
        <v>525</v>
      </c>
      <c r="B357">
        <v>0</v>
      </c>
      <c r="G357">
        <v>2349</v>
      </c>
      <c r="H357" t="s">
        <v>3328</v>
      </c>
    </row>
    <row r="358" spans="1:8" x14ac:dyDescent="0.25">
      <c r="A358">
        <v>527</v>
      </c>
      <c r="B358">
        <v>0</v>
      </c>
      <c r="G358">
        <v>2350</v>
      </c>
      <c r="H358" t="s">
        <v>3328</v>
      </c>
    </row>
    <row r="359" spans="1:8" x14ac:dyDescent="0.25">
      <c r="A359">
        <v>528</v>
      </c>
      <c r="B359">
        <v>0</v>
      </c>
      <c r="G359">
        <v>9068</v>
      </c>
      <c r="H359" t="s">
        <v>3328</v>
      </c>
    </row>
    <row r="360" spans="1:8" x14ac:dyDescent="0.25">
      <c r="A360">
        <v>529</v>
      </c>
      <c r="B360">
        <v>0</v>
      </c>
      <c r="G360">
        <v>9069</v>
      </c>
      <c r="H360" t="s">
        <v>3328</v>
      </c>
    </row>
    <row r="361" spans="1:8" x14ac:dyDescent="0.25">
      <c r="A361">
        <v>530</v>
      </c>
      <c r="B361">
        <v>0</v>
      </c>
      <c r="G361">
        <v>9084</v>
      </c>
      <c r="H361" t="s">
        <v>3328</v>
      </c>
    </row>
    <row r="362" spans="1:8" x14ac:dyDescent="0.25">
      <c r="A362">
        <v>531</v>
      </c>
      <c r="B362">
        <v>0</v>
      </c>
      <c r="G362">
        <v>17808</v>
      </c>
      <c r="H362" t="s">
        <v>3328</v>
      </c>
    </row>
    <row r="363" spans="1:8" x14ac:dyDescent="0.25">
      <c r="A363">
        <v>532</v>
      </c>
      <c r="B363">
        <v>0</v>
      </c>
      <c r="G363">
        <v>18152</v>
      </c>
      <c r="H363" t="s">
        <v>3328</v>
      </c>
    </row>
    <row r="364" spans="1:8" x14ac:dyDescent="0.25">
      <c r="A364">
        <v>533</v>
      </c>
      <c r="B364">
        <v>0</v>
      </c>
      <c r="G364">
        <v>18266</v>
      </c>
      <c r="H364" t="s">
        <v>3328</v>
      </c>
    </row>
    <row r="365" spans="1:8" x14ac:dyDescent="0.25">
      <c r="A365">
        <v>534</v>
      </c>
      <c r="B365">
        <v>0</v>
      </c>
      <c r="G365">
        <v>21658</v>
      </c>
      <c r="H365" t="s">
        <v>3328</v>
      </c>
    </row>
    <row r="366" spans="1:8" x14ac:dyDescent="0.25">
      <c r="A366">
        <v>535</v>
      </c>
      <c r="B366">
        <v>0</v>
      </c>
      <c r="G366">
        <v>22180</v>
      </c>
      <c r="H366" t="s">
        <v>3328</v>
      </c>
    </row>
    <row r="367" spans="1:8" x14ac:dyDescent="0.25">
      <c r="A367">
        <v>536</v>
      </c>
      <c r="B367">
        <v>0</v>
      </c>
      <c r="G367">
        <v>23546</v>
      </c>
      <c r="H367" t="s">
        <v>3328</v>
      </c>
    </row>
    <row r="368" spans="1:8" x14ac:dyDescent="0.25">
      <c r="A368">
        <v>537</v>
      </c>
      <c r="B368">
        <v>0</v>
      </c>
      <c r="G368">
        <v>27866</v>
      </c>
      <c r="H368" t="s">
        <v>3328</v>
      </c>
    </row>
    <row r="369" spans="1:8" x14ac:dyDescent="0.25">
      <c r="A369">
        <v>538</v>
      </c>
      <c r="B369">
        <v>0</v>
      </c>
      <c r="G369">
        <v>19166</v>
      </c>
      <c r="H369" t="s">
        <v>3328</v>
      </c>
    </row>
    <row r="370" spans="1:8" x14ac:dyDescent="0.25">
      <c r="A370">
        <v>539</v>
      </c>
      <c r="B370">
        <v>0</v>
      </c>
      <c r="G370">
        <v>20853</v>
      </c>
      <c r="H370" t="s">
        <v>3328</v>
      </c>
    </row>
    <row r="371" spans="1:8" x14ac:dyDescent="0.25">
      <c r="A371">
        <v>540</v>
      </c>
      <c r="B371">
        <v>0</v>
      </c>
      <c r="G371">
        <v>32067</v>
      </c>
      <c r="H371" t="s">
        <v>3328</v>
      </c>
    </row>
    <row r="372" spans="1:8" x14ac:dyDescent="0.25">
      <c r="A372">
        <v>541</v>
      </c>
      <c r="B372">
        <v>0</v>
      </c>
      <c r="G372">
        <v>23451</v>
      </c>
      <c r="H372" t="s">
        <v>3328</v>
      </c>
    </row>
    <row r="373" spans="1:8" x14ac:dyDescent="0.25">
      <c r="A373">
        <v>542</v>
      </c>
      <c r="B373">
        <v>0</v>
      </c>
    </row>
    <row r="374" spans="1:8" x14ac:dyDescent="0.25">
      <c r="A374">
        <v>543</v>
      </c>
      <c r="B374">
        <v>0</v>
      </c>
    </row>
    <row r="375" spans="1:8" x14ac:dyDescent="0.25">
      <c r="A375">
        <v>544</v>
      </c>
      <c r="B375">
        <v>0</v>
      </c>
    </row>
    <row r="376" spans="1:8" x14ac:dyDescent="0.25">
      <c r="A376">
        <v>545</v>
      </c>
      <c r="B376">
        <v>0</v>
      </c>
    </row>
    <row r="377" spans="1:8" x14ac:dyDescent="0.25">
      <c r="A377">
        <v>546</v>
      </c>
      <c r="B377">
        <v>0</v>
      </c>
    </row>
    <row r="378" spans="1:8" x14ac:dyDescent="0.25">
      <c r="A378">
        <v>547</v>
      </c>
      <c r="B378">
        <v>0</v>
      </c>
    </row>
    <row r="379" spans="1:8" x14ac:dyDescent="0.25">
      <c r="A379">
        <v>548</v>
      </c>
      <c r="B379">
        <v>0</v>
      </c>
    </row>
    <row r="380" spans="1:8" x14ac:dyDescent="0.25">
      <c r="A380">
        <v>549</v>
      </c>
      <c r="B380">
        <v>0</v>
      </c>
    </row>
    <row r="381" spans="1:8" x14ac:dyDescent="0.25">
      <c r="A381">
        <v>551</v>
      </c>
      <c r="B381">
        <v>0</v>
      </c>
    </row>
    <row r="382" spans="1:8" x14ac:dyDescent="0.25">
      <c r="A382">
        <v>554</v>
      </c>
      <c r="B382">
        <v>0</v>
      </c>
    </row>
    <row r="383" spans="1:8" x14ac:dyDescent="0.25">
      <c r="A383">
        <v>555</v>
      </c>
      <c r="B383">
        <v>0</v>
      </c>
    </row>
    <row r="384" spans="1:8" x14ac:dyDescent="0.25">
      <c r="A384">
        <v>556</v>
      </c>
      <c r="B384">
        <v>0</v>
      </c>
    </row>
    <row r="385" spans="1:2" x14ac:dyDescent="0.25">
      <c r="A385">
        <v>557</v>
      </c>
      <c r="B385">
        <v>0</v>
      </c>
    </row>
    <row r="386" spans="1:2" x14ac:dyDescent="0.25">
      <c r="A386">
        <v>558</v>
      </c>
      <c r="B386">
        <v>0</v>
      </c>
    </row>
    <row r="387" spans="1:2" x14ac:dyDescent="0.25">
      <c r="A387">
        <v>559</v>
      </c>
      <c r="B387">
        <v>0</v>
      </c>
    </row>
    <row r="388" spans="1:2" x14ac:dyDescent="0.25">
      <c r="A388">
        <v>560</v>
      </c>
      <c r="B388">
        <v>0</v>
      </c>
    </row>
    <row r="389" spans="1:2" x14ac:dyDescent="0.25">
      <c r="A389">
        <v>561</v>
      </c>
      <c r="B389">
        <v>0</v>
      </c>
    </row>
    <row r="390" spans="1:2" x14ac:dyDescent="0.25">
      <c r="A390">
        <v>562</v>
      </c>
      <c r="B390">
        <v>0</v>
      </c>
    </row>
    <row r="391" spans="1:2" x14ac:dyDescent="0.25">
      <c r="A391">
        <v>563</v>
      </c>
      <c r="B391">
        <v>0</v>
      </c>
    </row>
    <row r="392" spans="1:2" x14ac:dyDescent="0.25">
      <c r="A392">
        <v>564</v>
      </c>
      <c r="B392">
        <v>0</v>
      </c>
    </row>
    <row r="393" spans="1:2" x14ac:dyDescent="0.25">
      <c r="A393">
        <v>565</v>
      </c>
      <c r="B393">
        <v>0</v>
      </c>
    </row>
    <row r="394" spans="1:2" x14ac:dyDescent="0.25">
      <c r="A394">
        <v>566</v>
      </c>
      <c r="B394">
        <v>0</v>
      </c>
    </row>
    <row r="395" spans="1:2" x14ac:dyDescent="0.25">
      <c r="A395">
        <v>567</v>
      </c>
      <c r="B395">
        <v>0</v>
      </c>
    </row>
    <row r="396" spans="1:2" x14ac:dyDescent="0.25">
      <c r="A396">
        <v>568</v>
      </c>
      <c r="B396">
        <v>0</v>
      </c>
    </row>
    <row r="397" spans="1:2" x14ac:dyDescent="0.25">
      <c r="A397">
        <v>569</v>
      </c>
      <c r="B397">
        <v>0</v>
      </c>
    </row>
    <row r="398" spans="1:2" x14ac:dyDescent="0.25">
      <c r="A398">
        <v>570</v>
      </c>
      <c r="B398">
        <v>0</v>
      </c>
    </row>
    <row r="399" spans="1:2" x14ac:dyDescent="0.25">
      <c r="A399">
        <v>572</v>
      </c>
      <c r="B399">
        <v>0</v>
      </c>
    </row>
    <row r="400" spans="1:2" x14ac:dyDescent="0.25">
      <c r="A400">
        <v>573</v>
      </c>
      <c r="B400">
        <v>0</v>
      </c>
    </row>
    <row r="401" spans="1:2" x14ac:dyDescent="0.25">
      <c r="A401">
        <v>574</v>
      </c>
      <c r="B401">
        <v>0</v>
      </c>
    </row>
    <row r="402" spans="1:2" x14ac:dyDescent="0.25">
      <c r="A402">
        <v>575</v>
      </c>
      <c r="B402">
        <v>0</v>
      </c>
    </row>
    <row r="403" spans="1:2" x14ac:dyDescent="0.25">
      <c r="A403">
        <v>576</v>
      </c>
      <c r="B403">
        <v>0</v>
      </c>
    </row>
    <row r="404" spans="1:2" x14ac:dyDescent="0.25">
      <c r="A404">
        <v>577</v>
      </c>
      <c r="B404">
        <v>0</v>
      </c>
    </row>
    <row r="405" spans="1:2" x14ac:dyDescent="0.25">
      <c r="A405">
        <v>578</v>
      </c>
      <c r="B405">
        <v>0</v>
      </c>
    </row>
    <row r="406" spans="1:2" x14ac:dyDescent="0.25">
      <c r="A406">
        <v>579</v>
      </c>
      <c r="B406">
        <v>0</v>
      </c>
    </row>
    <row r="407" spans="1:2" x14ac:dyDescent="0.25">
      <c r="A407">
        <v>580</v>
      </c>
      <c r="B407">
        <v>0</v>
      </c>
    </row>
    <row r="408" spans="1:2" x14ac:dyDescent="0.25">
      <c r="A408">
        <v>582</v>
      </c>
      <c r="B408">
        <v>0</v>
      </c>
    </row>
    <row r="409" spans="1:2" x14ac:dyDescent="0.25">
      <c r="A409">
        <v>583</v>
      </c>
      <c r="B409">
        <v>0</v>
      </c>
    </row>
    <row r="410" spans="1:2" x14ac:dyDescent="0.25">
      <c r="A410">
        <v>584</v>
      </c>
      <c r="B410">
        <v>0</v>
      </c>
    </row>
    <row r="411" spans="1:2" x14ac:dyDescent="0.25">
      <c r="A411">
        <v>585</v>
      </c>
      <c r="B411">
        <v>0</v>
      </c>
    </row>
    <row r="412" spans="1:2" x14ac:dyDescent="0.25">
      <c r="A412">
        <v>586</v>
      </c>
      <c r="B412">
        <v>0</v>
      </c>
    </row>
    <row r="413" spans="1:2" x14ac:dyDescent="0.25">
      <c r="A413">
        <v>588</v>
      </c>
      <c r="B413">
        <v>0</v>
      </c>
    </row>
    <row r="414" spans="1:2" x14ac:dyDescent="0.25">
      <c r="A414">
        <v>590</v>
      </c>
      <c r="B414">
        <v>0</v>
      </c>
    </row>
    <row r="415" spans="1:2" x14ac:dyDescent="0.25">
      <c r="A415">
        <v>591</v>
      </c>
      <c r="B415">
        <v>0</v>
      </c>
    </row>
    <row r="416" spans="1:2" x14ac:dyDescent="0.25">
      <c r="A416">
        <v>592</v>
      </c>
      <c r="B416">
        <v>0</v>
      </c>
    </row>
    <row r="417" spans="1:2" x14ac:dyDescent="0.25">
      <c r="A417">
        <v>593</v>
      </c>
      <c r="B417">
        <v>0</v>
      </c>
    </row>
    <row r="418" spans="1:2" x14ac:dyDescent="0.25">
      <c r="A418">
        <v>594</v>
      </c>
      <c r="B418">
        <v>0</v>
      </c>
    </row>
    <row r="419" spans="1:2" x14ac:dyDescent="0.25">
      <c r="A419">
        <v>595</v>
      </c>
      <c r="B419">
        <v>0</v>
      </c>
    </row>
    <row r="420" spans="1:2" x14ac:dyDescent="0.25">
      <c r="A420">
        <v>596</v>
      </c>
      <c r="B420">
        <v>0</v>
      </c>
    </row>
    <row r="421" spans="1:2" x14ac:dyDescent="0.25">
      <c r="A421">
        <v>597</v>
      </c>
      <c r="B421">
        <v>0</v>
      </c>
    </row>
    <row r="422" spans="1:2" x14ac:dyDescent="0.25">
      <c r="A422">
        <v>598</v>
      </c>
      <c r="B422">
        <v>0</v>
      </c>
    </row>
    <row r="423" spans="1:2" x14ac:dyDescent="0.25">
      <c r="A423">
        <v>599</v>
      </c>
      <c r="B423">
        <v>0</v>
      </c>
    </row>
    <row r="424" spans="1:2" x14ac:dyDescent="0.25">
      <c r="A424">
        <v>600</v>
      </c>
      <c r="B424">
        <v>0</v>
      </c>
    </row>
    <row r="425" spans="1:2" x14ac:dyDescent="0.25">
      <c r="A425">
        <v>602</v>
      </c>
      <c r="B425">
        <v>0</v>
      </c>
    </row>
    <row r="426" spans="1:2" x14ac:dyDescent="0.25">
      <c r="A426">
        <v>603</v>
      </c>
      <c r="B426">
        <v>0</v>
      </c>
    </row>
    <row r="427" spans="1:2" x14ac:dyDescent="0.25">
      <c r="A427">
        <v>606</v>
      </c>
      <c r="B427">
        <v>0</v>
      </c>
    </row>
    <row r="428" spans="1:2" x14ac:dyDescent="0.25">
      <c r="A428">
        <v>607</v>
      </c>
      <c r="B428">
        <v>0</v>
      </c>
    </row>
    <row r="429" spans="1:2" x14ac:dyDescent="0.25">
      <c r="A429">
        <v>610</v>
      </c>
      <c r="B429">
        <v>0</v>
      </c>
    </row>
    <row r="430" spans="1:2" x14ac:dyDescent="0.25">
      <c r="A430">
        <v>611</v>
      </c>
      <c r="B430">
        <v>0</v>
      </c>
    </row>
    <row r="431" spans="1:2" x14ac:dyDescent="0.25">
      <c r="A431">
        <v>612</v>
      </c>
      <c r="B431">
        <v>0</v>
      </c>
    </row>
    <row r="432" spans="1:2" x14ac:dyDescent="0.25">
      <c r="A432">
        <v>614</v>
      </c>
      <c r="B432">
        <v>0</v>
      </c>
    </row>
    <row r="433" spans="1:2" x14ac:dyDescent="0.25">
      <c r="A433">
        <v>616</v>
      </c>
      <c r="B433">
        <v>0</v>
      </c>
    </row>
    <row r="434" spans="1:2" x14ac:dyDescent="0.25">
      <c r="A434">
        <v>617</v>
      </c>
      <c r="B434">
        <v>0</v>
      </c>
    </row>
    <row r="435" spans="1:2" x14ac:dyDescent="0.25">
      <c r="A435">
        <v>618</v>
      </c>
      <c r="B435">
        <v>0</v>
      </c>
    </row>
    <row r="436" spans="1:2" x14ac:dyDescent="0.25">
      <c r="A436">
        <v>620</v>
      </c>
      <c r="B436">
        <v>18</v>
      </c>
    </row>
    <row r="437" spans="1:2" x14ac:dyDescent="0.25">
      <c r="A437">
        <v>621</v>
      </c>
      <c r="B437">
        <v>0</v>
      </c>
    </row>
    <row r="438" spans="1:2" x14ac:dyDescent="0.25">
      <c r="A438">
        <v>622</v>
      </c>
      <c r="B438">
        <v>0</v>
      </c>
    </row>
    <row r="439" spans="1:2" x14ac:dyDescent="0.25">
      <c r="A439">
        <v>624</v>
      </c>
      <c r="B439">
        <v>0</v>
      </c>
    </row>
    <row r="440" spans="1:2" x14ac:dyDescent="0.25">
      <c r="A440">
        <v>625</v>
      </c>
      <c r="B440">
        <v>0</v>
      </c>
    </row>
    <row r="441" spans="1:2" x14ac:dyDescent="0.25">
      <c r="A441">
        <v>626</v>
      </c>
      <c r="B441">
        <v>0</v>
      </c>
    </row>
    <row r="442" spans="1:2" x14ac:dyDescent="0.25">
      <c r="A442">
        <v>630</v>
      </c>
      <c r="B442">
        <v>0</v>
      </c>
    </row>
    <row r="443" spans="1:2" x14ac:dyDescent="0.25">
      <c r="A443">
        <v>634</v>
      </c>
      <c r="B443">
        <v>0</v>
      </c>
    </row>
    <row r="444" spans="1:2" x14ac:dyDescent="0.25">
      <c r="A444">
        <v>636</v>
      </c>
      <c r="B444">
        <v>0</v>
      </c>
    </row>
    <row r="445" spans="1:2" x14ac:dyDescent="0.25">
      <c r="A445">
        <v>637</v>
      </c>
      <c r="B445">
        <v>0</v>
      </c>
    </row>
    <row r="446" spans="1:2" x14ac:dyDescent="0.25">
      <c r="A446">
        <v>638</v>
      </c>
      <c r="B446">
        <v>0</v>
      </c>
    </row>
    <row r="447" spans="1:2" x14ac:dyDescent="0.25">
      <c r="A447">
        <v>640</v>
      </c>
      <c r="B447">
        <v>0</v>
      </c>
    </row>
    <row r="448" spans="1:2" x14ac:dyDescent="0.25">
      <c r="A448">
        <v>641</v>
      </c>
      <c r="B448">
        <v>0</v>
      </c>
    </row>
    <row r="449" spans="1:2" x14ac:dyDescent="0.25">
      <c r="A449">
        <v>642</v>
      </c>
      <c r="B449">
        <v>0</v>
      </c>
    </row>
    <row r="450" spans="1:2" x14ac:dyDescent="0.25">
      <c r="A450">
        <v>644</v>
      </c>
      <c r="B450">
        <v>0</v>
      </c>
    </row>
    <row r="451" spans="1:2" x14ac:dyDescent="0.25">
      <c r="A451">
        <v>646</v>
      </c>
      <c r="B451">
        <v>0</v>
      </c>
    </row>
    <row r="452" spans="1:2" x14ac:dyDescent="0.25">
      <c r="A452">
        <v>648</v>
      </c>
      <c r="B452">
        <v>0</v>
      </c>
    </row>
    <row r="453" spans="1:2" x14ac:dyDescent="0.25">
      <c r="A453">
        <v>649</v>
      </c>
      <c r="B453">
        <v>0</v>
      </c>
    </row>
    <row r="454" spans="1:2" x14ac:dyDescent="0.25">
      <c r="A454">
        <v>650</v>
      </c>
      <c r="B454">
        <v>0</v>
      </c>
    </row>
    <row r="455" spans="1:2" x14ac:dyDescent="0.25">
      <c r="A455">
        <v>651</v>
      </c>
      <c r="B455">
        <v>0</v>
      </c>
    </row>
    <row r="456" spans="1:2" x14ac:dyDescent="0.25">
      <c r="A456">
        <v>652</v>
      </c>
      <c r="B456">
        <v>0</v>
      </c>
    </row>
    <row r="457" spans="1:2" x14ac:dyDescent="0.25">
      <c r="A457">
        <v>653</v>
      </c>
      <c r="B457">
        <v>0</v>
      </c>
    </row>
    <row r="458" spans="1:2" x14ac:dyDescent="0.25">
      <c r="A458">
        <v>656</v>
      </c>
      <c r="B458">
        <v>0</v>
      </c>
    </row>
    <row r="459" spans="1:2" x14ac:dyDescent="0.25">
      <c r="A459">
        <v>657</v>
      </c>
      <c r="B459">
        <v>0</v>
      </c>
    </row>
    <row r="460" spans="1:2" x14ac:dyDescent="0.25">
      <c r="A460">
        <v>658</v>
      </c>
      <c r="B460">
        <v>0</v>
      </c>
    </row>
    <row r="461" spans="1:2" x14ac:dyDescent="0.25">
      <c r="A461">
        <v>659</v>
      </c>
      <c r="B461">
        <v>0</v>
      </c>
    </row>
    <row r="462" spans="1:2" x14ac:dyDescent="0.25">
      <c r="A462">
        <v>660</v>
      </c>
      <c r="B462">
        <v>0</v>
      </c>
    </row>
    <row r="463" spans="1:2" x14ac:dyDescent="0.25">
      <c r="A463">
        <v>661</v>
      </c>
      <c r="B463">
        <v>0</v>
      </c>
    </row>
    <row r="464" spans="1:2" x14ac:dyDescent="0.25">
      <c r="A464">
        <v>662</v>
      </c>
      <c r="B464">
        <v>0</v>
      </c>
    </row>
    <row r="465" spans="1:2" x14ac:dyDescent="0.25">
      <c r="A465">
        <v>663</v>
      </c>
      <c r="B465">
        <v>0</v>
      </c>
    </row>
    <row r="466" spans="1:2" x14ac:dyDescent="0.25">
      <c r="A466">
        <v>664</v>
      </c>
      <c r="B466">
        <v>0</v>
      </c>
    </row>
    <row r="467" spans="1:2" x14ac:dyDescent="0.25">
      <c r="A467">
        <v>665</v>
      </c>
      <c r="B467">
        <v>0</v>
      </c>
    </row>
    <row r="468" spans="1:2" x14ac:dyDescent="0.25">
      <c r="A468">
        <v>666</v>
      </c>
      <c r="B468">
        <v>0</v>
      </c>
    </row>
    <row r="469" spans="1:2" x14ac:dyDescent="0.25">
      <c r="A469">
        <v>667</v>
      </c>
      <c r="B469">
        <v>0</v>
      </c>
    </row>
    <row r="470" spans="1:2" x14ac:dyDescent="0.25">
      <c r="A470">
        <v>668</v>
      </c>
      <c r="B470">
        <v>0</v>
      </c>
    </row>
    <row r="471" spans="1:2" x14ac:dyDescent="0.25">
      <c r="A471">
        <v>669</v>
      </c>
      <c r="B471">
        <v>0</v>
      </c>
    </row>
    <row r="472" spans="1:2" x14ac:dyDescent="0.25">
      <c r="A472">
        <v>670</v>
      </c>
      <c r="B472">
        <v>0</v>
      </c>
    </row>
    <row r="473" spans="1:2" x14ac:dyDescent="0.25">
      <c r="A473">
        <v>671</v>
      </c>
      <c r="B473">
        <v>0</v>
      </c>
    </row>
    <row r="474" spans="1:2" x14ac:dyDescent="0.25">
      <c r="A474">
        <v>672</v>
      </c>
      <c r="B474">
        <v>0</v>
      </c>
    </row>
    <row r="475" spans="1:2" x14ac:dyDescent="0.25">
      <c r="A475">
        <v>673</v>
      </c>
      <c r="B475">
        <v>0</v>
      </c>
    </row>
    <row r="476" spans="1:2" x14ac:dyDescent="0.25">
      <c r="A476">
        <v>674</v>
      </c>
      <c r="B476">
        <v>0</v>
      </c>
    </row>
    <row r="477" spans="1:2" x14ac:dyDescent="0.25">
      <c r="A477">
        <v>675</v>
      </c>
      <c r="B477">
        <v>0</v>
      </c>
    </row>
    <row r="478" spans="1:2" x14ac:dyDescent="0.25">
      <c r="A478">
        <v>676</v>
      </c>
      <c r="B478">
        <v>0</v>
      </c>
    </row>
    <row r="479" spans="1:2" x14ac:dyDescent="0.25">
      <c r="A479">
        <v>677</v>
      </c>
      <c r="B479">
        <v>0</v>
      </c>
    </row>
    <row r="480" spans="1:2" x14ac:dyDescent="0.25">
      <c r="A480">
        <v>678</v>
      </c>
      <c r="B480">
        <v>0</v>
      </c>
    </row>
    <row r="481" spans="1:2" x14ac:dyDescent="0.25">
      <c r="A481">
        <v>679</v>
      </c>
      <c r="B481">
        <v>0</v>
      </c>
    </row>
    <row r="482" spans="1:2" x14ac:dyDescent="0.25">
      <c r="A482">
        <v>680</v>
      </c>
      <c r="B482">
        <v>0</v>
      </c>
    </row>
    <row r="483" spans="1:2" x14ac:dyDescent="0.25">
      <c r="A483">
        <v>681</v>
      </c>
      <c r="B483">
        <v>0</v>
      </c>
    </row>
    <row r="484" spans="1:2" x14ac:dyDescent="0.25">
      <c r="A484">
        <v>682</v>
      </c>
      <c r="B484">
        <v>0</v>
      </c>
    </row>
    <row r="485" spans="1:2" x14ac:dyDescent="0.25">
      <c r="A485">
        <v>683</v>
      </c>
      <c r="B485">
        <v>0</v>
      </c>
    </row>
    <row r="486" spans="1:2" x14ac:dyDescent="0.25">
      <c r="A486">
        <v>684</v>
      </c>
      <c r="B486">
        <v>0</v>
      </c>
    </row>
    <row r="487" spans="1:2" x14ac:dyDescent="0.25">
      <c r="A487">
        <v>685</v>
      </c>
      <c r="B487">
        <v>0</v>
      </c>
    </row>
    <row r="488" spans="1:2" x14ac:dyDescent="0.25">
      <c r="A488">
        <v>686</v>
      </c>
      <c r="B488">
        <v>0</v>
      </c>
    </row>
    <row r="489" spans="1:2" x14ac:dyDescent="0.25">
      <c r="A489">
        <v>687</v>
      </c>
      <c r="B489">
        <v>0</v>
      </c>
    </row>
    <row r="490" spans="1:2" x14ac:dyDescent="0.25">
      <c r="A490">
        <v>688</v>
      </c>
      <c r="B490">
        <v>0</v>
      </c>
    </row>
    <row r="491" spans="1:2" x14ac:dyDescent="0.25">
      <c r="A491">
        <v>689</v>
      </c>
      <c r="B491">
        <v>0</v>
      </c>
    </row>
    <row r="492" spans="1:2" x14ac:dyDescent="0.25">
      <c r="A492">
        <v>690</v>
      </c>
      <c r="B492">
        <v>0</v>
      </c>
    </row>
    <row r="493" spans="1:2" x14ac:dyDescent="0.25">
      <c r="A493">
        <v>691</v>
      </c>
      <c r="B493">
        <v>0</v>
      </c>
    </row>
    <row r="494" spans="1:2" x14ac:dyDescent="0.25">
      <c r="A494">
        <v>692</v>
      </c>
      <c r="B494">
        <v>0</v>
      </c>
    </row>
    <row r="495" spans="1:2" x14ac:dyDescent="0.25">
      <c r="A495">
        <v>693</v>
      </c>
      <c r="B495">
        <v>0</v>
      </c>
    </row>
    <row r="496" spans="1:2" x14ac:dyDescent="0.25">
      <c r="A496">
        <v>694</v>
      </c>
      <c r="B496">
        <v>0</v>
      </c>
    </row>
    <row r="497" spans="1:2" x14ac:dyDescent="0.25">
      <c r="A497">
        <v>698</v>
      </c>
      <c r="B497">
        <v>0</v>
      </c>
    </row>
    <row r="498" spans="1:2" x14ac:dyDescent="0.25">
      <c r="A498">
        <v>699</v>
      </c>
      <c r="B498">
        <v>0</v>
      </c>
    </row>
    <row r="499" spans="1:2" x14ac:dyDescent="0.25">
      <c r="A499">
        <v>701</v>
      </c>
      <c r="B499">
        <v>0</v>
      </c>
    </row>
    <row r="500" spans="1:2" x14ac:dyDescent="0.25">
      <c r="A500">
        <v>702</v>
      </c>
      <c r="B500">
        <v>0</v>
      </c>
    </row>
    <row r="501" spans="1:2" x14ac:dyDescent="0.25">
      <c r="A501">
        <v>704</v>
      </c>
      <c r="B501">
        <v>0</v>
      </c>
    </row>
    <row r="502" spans="1:2" x14ac:dyDescent="0.25">
      <c r="A502">
        <v>705</v>
      </c>
      <c r="B502">
        <v>0</v>
      </c>
    </row>
    <row r="503" spans="1:2" x14ac:dyDescent="0.25">
      <c r="A503">
        <v>706</v>
      </c>
      <c r="B503">
        <v>0</v>
      </c>
    </row>
    <row r="504" spans="1:2" x14ac:dyDescent="0.25">
      <c r="A504">
        <v>707</v>
      </c>
      <c r="B504">
        <v>0</v>
      </c>
    </row>
    <row r="505" spans="1:2" x14ac:dyDescent="0.25">
      <c r="A505">
        <v>708</v>
      </c>
      <c r="B505">
        <v>0</v>
      </c>
    </row>
    <row r="506" spans="1:2" x14ac:dyDescent="0.25">
      <c r="A506">
        <v>709</v>
      </c>
      <c r="B506">
        <v>0</v>
      </c>
    </row>
    <row r="507" spans="1:2" x14ac:dyDescent="0.25">
      <c r="A507">
        <v>710</v>
      </c>
      <c r="B507">
        <v>0</v>
      </c>
    </row>
    <row r="508" spans="1:2" x14ac:dyDescent="0.25">
      <c r="A508">
        <v>711</v>
      </c>
      <c r="B508">
        <v>0</v>
      </c>
    </row>
    <row r="509" spans="1:2" x14ac:dyDescent="0.25">
      <c r="A509">
        <v>712</v>
      </c>
      <c r="B509">
        <v>0</v>
      </c>
    </row>
    <row r="510" spans="1:2" x14ac:dyDescent="0.25">
      <c r="A510">
        <v>715</v>
      </c>
      <c r="B510">
        <v>0</v>
      </c>
    </row>
    <row r="511" spans="1:2" x14ac:dyDescent="0.25">
      <c r="A511">
        <v>716</v>
      </c>
      <c r="B511">
        <v>0</v>
      </c>
    </row>
    <row r="512" spans="1:2" x14ac:dyDescent="0.25">
      <c r="A512">
        <v>718</v>
      </c>
      <c r="B512">
        <v>0</v>
      </c>
    </row>
    <row r="513" spans="1:2" x14ac:dyDescent="0.25">
      <c r="A513">
        <v>720</v>
      </c>
      <c r="B513">
        <v>0</v>
      </c>
    </row>
    <row r="514" spans="1:2" x14ac:dyDescent="0.25">
      <c r="A514">
        <v>721</v>
      </c>
      <c r="B514">
        <v>0</v>
      </c>
    </row>
    <row r="515" spans="1:2" x14ac:dyDescent="0.25">
      <c r="A515">
        <v>723</v>
      </c>
      <c r="B515">
        <v>0</v>
      </c>
    </row>
    <row r="516" spans="1:2" x14ac:dyDescent="0.25">
      <c r="A516">
        <v>724</v>
      </c>
      <c r="B516">
        <v>0</v>
      </c>
    </row>
    <row r="517" spans="1:2" x14ac:dyDescent="0.25">
      <c r="A517">
        <v>725</v>
      </c>
      <c r="B517">
        <v>0</v>
      </c>
    </row>
    <row r="518" spans="1:2" x14ac:dyDescent="0.25">
      <c r="A518">
        <v>726</v>
      </c>
      <c r="B518">
        <v>0</v>
      </c>
    </row>
    <row r="519" spans="1:2" x14ac:dyDescent="0.25">
      <c r="A519">
        <v>727</v>
      </c>
      <c r="B519">
        <v>0</v>
      </c>
    </row>
    <row r="520" spans="1:2" x14ac:dyDescent="0.25">
      <c r="A520">
        <v>729</v>
      </c>
      <c r="B520">
        <v>0</v>
      </c>
    </row>
    <row r="521" spans="1:2" x14ac:dyDescent="0.25">
      <c r="A521">
        <v>730</v>
      </c>
      <c r="B521">
        <v>0</v>
      </c>
    </row>
    <row r="522" spans="1:2" x14ac:dyDescent="0.25">
      <c r="A522">
        <v>732</v>
      </c>
      <c r="B522">
        <v>0</v>
      </c>
    </row>
    <row r="523" spans="1:2" x14ac:dyDescent="0.25">
      <c r="A523">
        <v>733</v>
      </c>
      <c r="B523">
        <v>0</v>
      </c>
    </row>
    <row r="524" spans="1:2" x14ac:dyDescent="0.25">
      <c r="A524">
        <v>734</v>
      </c>
      <c r="B524">
        <v>0</v>
      </c>
    </row>
    <row r="525" spans="1:2" x14ac:dyDescent="0.25">
      <c r="A525">
        <v>736</v>
      </c>
      <c r="B525">
        <v>0</v>
      </c>
    </row>
    <row r="526" spans="1:2" x14ac:dyDescent="0.25">
      <c r="A526">
        <v>737</v>
      </c>
      <c r="B526">
        <v>0</v>
      </c>
    </row>
    <row r="527" spans="1:2" x14ac:dyDescent="0.25">
      <c r="A527">
        <v>738</v>
      </c>
      <c r="B527">
        <v>0</v>
      </c>
    </row>
    <row r="528" spans="1:2" x14ac:dyDescent="0.25">
      <c r="A528">
        <v>739</v>
      </c>
      <c r="B528">
        <v>0</v>
      </c>
    </row>
    <row r="529" spans="1:2" x14ac:dyDescent="0.25">
      <c r="A529">
        <v>740</v>
      </c>
      <c r="B529">
        <v>0</v>
      </c>
    </row>
    <row r="530" spans="1:2" x14ac:dyDescent="0.25">
      <c r="A530">
        <v>741</v>
      </c>
      <c r="B530">
        <v>0</v>
      </c>
    </row>
    <row r="531" spans="1:2" x14ac:dyDescent="0.25">
      <c r="A531">
        <v>742</v>
      </c>
      <c r="B531">
        <v>0</v>
      </c>
    </row>
    <row r="532" spans="1:2" x14ac:dyDescent="0.25">
      <c r="A532">
        <v>743</v>
      </c>
      <c r="B532">
        <v>0</v>
      </c>
    </row>
    <row r="533" spans="1:2" x14ac:dyDescent="0.25">
      <c r="A533">
        <v>744</v>
      </c>
      <c r="B533">
        <v>0</v>
      </c>
    </row>
    <row r="534" spans="1:2" x14ac:dyDescent="0.25">
      <c r="A534">
        <v>745</v>
      </c>
      <c r="B534">
        <v>0</v>
      </c>
    </row>
    <row r="535" spans="1:2" x14ac:dyDescent="0.25">
      <c r="A535">
        <v>746</v>
      </c>
      <c r="B535">
        <v>0</v>
      </c>
    </row>
    <row r="536" spans="1:2" x14ac:dyDescent="0.25">
      <c r="A536">
        <v>747</v>
      </c>
      <c r="B536">
        <v>0</v>
      </c>
    </row>
    <row r="537" spans="1:2" x14ac:dyDescent="0.25">
      <c r="A537">
        <v>748</v>
      </c>
      <c r="B537">
        <v>0</v>
      </c>
    </row>
    <row r="538" spans="1:2" x14ac:dyDescent="0.25">
      <c r="A538">
        <v>749</v>
      </c>
      <c r="B538">
        <v>0</v>
      </c>
    </row>
    <row r="539" spans="1:2" x14ac:dyDescent="0.25">
      <c r="A539">
        <v>750</v>
      </c>
      <c r="B539">
        <v>0</v>
      </c>
    </row>
    <row r="540" spans="1:2" x14ac:dyDescent="0.25">
      <c r="A540">
        <v>751</v>
      </c>
      <c r="B540">
        <v>0</v>
      </c>
    </row>
    <row r="541" spans="1:2" x14ac:dyDescent="0.25">
      <c r="A541">
        <v>752</v>
      </c>
      <c r="B541">
        <v>0</v>
      </c>
    </row>
    <row r="542" spans="1:2" x14ac:dyDescent="0.25">
      <c r="A542">
        <v>753</v>
      </c>
      <c r="B542">
        <v>0</v>
      </c>
    </row>
    <row r="543" spans="1:2" x14ac:dyDescent="0.25">
      <c r="A543">
        <v>754</v>
      </c>
      <c r="B543">
        <v>0</v>
      </c>
    </row>
    <row r="544" spans="1:2" x14ac:dyDescent="0.25">
      <c r="A544">
        <v>755</v>
      </c>
      <c r="B544">
        <v>0</v>
      </c>
    </row>
    <row r="545" spans="1:2" x14ac:dyDescent="0.25">
      <c r="A545">
        <v>756</v>
      </c>
      <c r="B545">
        <v>0</v>
      </c>
    </row>
    <row r="546" spans="1:2" x14ac:dyDescent="0.25">
      <c r="A546">
        <v>757</v>
      </c>
      <c r="B546">
        <v>0</v>
      </c>
    </row>
    <row r="547" spans="1:2" x14ac:dyDescent="0.25">
      <c r="A547">
        <v>758</v>
      </c>
      <c r="B547">
        <v>0</v>
      </c>
    </row>
    <row r="548" spans="1:2" x14ac:dyDescent="0.25">
      <c r="A548">
        <v>759</v>
      </c>
      <c r="B548">
        <v>0</v>
      </c>
    </row>
    <row r="549" spans="1:2" x14ac:dyDescent="0.25">
      <c r="A549">
        <v>760</v>
      </c>
      <c r="B549">
        <v>0</v>
      </c>
    </row>
    <row r="550" spans="1:2" x14ac:dyDescent="0.25">
      <c r="A550">
        <v>761</v>
      </c>
      <c r="B550">
        <v>0</v>
      </c>
    </row>
    <row r="551" spans="1:2" x14ac:dyDescent="0.25">
      <c r="A551">
        <v>762</v>
      </c>
      <c r="B551">
        <v>0</v>
      </c>
    </row>
    <row r="552" spans="1:2" x14ac:dyDescent="0.25">
      <c r="A552">
        <v>764</v>
      </c>
      <c r="B552">
        <v>0</v>
      </c>
    </row>
    <row r="553" spans="1:2" x14ac:dyDescent="0.25">
      <c r="A553">
        <v>765</v>
      </c>
      <c r="B553">
        <v>0</v>
      </c>
    </row>
    <row r="554" spans="1:2" x14ac:dyDescent="0.25">
      <c r="A554">
        <v>766</v>
      </c>
      <c r="B554">
        <v>0</v>
      </c>
    </row>
    <row r="555" spans="1:2" x14ac:dyDescent="0.25">
      <c r="A555">
        <v>767</v>
      </c>
      <c r="B555">
        <v>0</v>
      </c>
    </row>
    <row r="556" spans="1:2" x14ac:dyDescent="0.25">
      <c r="A556">
        <v>768</v>
      </c>
      <c r="B556">
        <v>0</v>
      </c>
    </row>
    <row r="557" spans="1:2" x14ac:dyDescent="0.25">
      <c r="A557">
        <v>769</v>
      </c>
      <c r="B557">
        <v>0</v>
      </c>
    </row>
    <row r="558" spans="1:2" x14ac:dyDescent="0.25">
      <c r="A558">
        <v>770</v>
      </c>
      <c r="B558">
        <v>0</v>
      </c>
    </row>
    <row r="559" spans="1:2" x14ac:dyDescent="0.25">
      <c r="A559">
        <v>771</v>
      </c>
      <c r="B559">
        <v>0</v>
      </c>
    </row>
    <row r="560" spans="1:2" x14ac:dyDescent="0.25">
      <c r="A560">
        <v>772</v>
      </c>
      <c r="B560">
        <v>0</v>
      </c>
    </row>
    <row r="561" spans="1:2" x14ac:dyDescent="0.25">
      <c r="A561">
        <v>774</v>
      </c>
      <c r="B561">
        <v>0</v>
      </c>
    </row>
    <row r="562" spans="1:2" x14ac:dyDescent="0.25">
      <c r="A562">
        <v>775</v>
      </c>
      <c r="B562">
        <v>0</v>
      </c>
    </row>
    <row r="563" spans="1:2" x14ac:dyDescent="0.25">
      <c r="A563">
        <v>777</v>
      </c>
      <c r="B563">
        <v>0</v>
      </c>
    </row>
    <row r="564" spans="1:2" x14ac:dyDescent="0.25">
      <c r="A564">
        <v>780</v>
      </c>
      <c r="B564">
        <v>0</v>
      </c>
    </row>
    <row r="565" spans="1:2" x14ac:dyDescent="0.25">
      <c r="A565">
        <v>782</v>
      </c>
      <c r="B565">
        <v>0</v>
      </c>
    </row>
    <row r="566" spans="1:2" x14ac:dyDescent="0.25">
      <c r="A566">
        <v>783</v>
      </c>
      <c r="B566">
        <v>0</v>
      </c>
    </row>
    <row r="567" spans="1:2" x14ac:dyDescent="0.25">
      <c r="A567">
        <v>784</v>
      </c>
      <c r="B567">
        <v>0</v>
      </c>
    </row>
    <row r="568" spans="1:2" x14ac:dyDescent="0.25">
      <c r="A568">
        <v>788</v>
      </c>
      <c r="B568">
        <v>0</v>
      </c>
    </row>
    <row r="569" spans="1:2" x14ac:dyDescent="0.25">
      <c r="A569">
        <v>789</v>
      </c>
      <c r="B569">
        <v>0</v>
      </c>
    </row>
    <row r="570" spans="1:2" x14ac:dyDescent="0.25">
      <c r="A570">
        <v>791</v>
      </c>
      <c r="B570">
        <v>0</v>
      </c>
    </row>
    <row r="571" spans="1:2" x14ac:dyDescent="0.25">
      <c r="A571">
        <v>792</v>
      </c>
      <c r="B571">
        <v>0</v>
      </c>
    </row>
    <row r="572" spans="1:2" x14ac:dyDescent="0.25">
      <c r="A572">
        <v>793</v>
      </c>
      <c r="B572">
        <v>0</v>
      </c>
    </row>
    <row r="573" spans="1:2" x14ac:dyDescent="0.25">
      <c r="A573">
        <v>794</v>
      </c>
      <c r="B573">
        <v>0</v>
      </c>
    </row>
    <row r="574" spans="1:2" x14ac:dyDescent="0.25">
      <c r="A574">
        <v>795</v>
      </c>
      <c r="B574">
        <v>0</v>
      </c>
    </row>
    <row r="575" spans="1:2" x14ac:dyDescent="0.25">
      <c r="A575">
        <v>796</v>
      </c>
      <c r="B575">
        <v>0</v>
      </c>
    </row>
    <row r="576" spans="1:2" x14ac:dyDescent="0.25">
      <c r="A576">
        <v>797</v>
      </c>
      <c r="B576">
        <v>0</v>
      </c>
    </row>
    <row r="577" spans="1:2" x14ac:dyDescent="0.25">
      <c r="A577">
        <v>798</v>
      </c>
      <c r="B577">
        <v>0</v>
      </c>
    </row>
    <row r="578" spans="1:2" x14ac:dyDescent="0.25">
      <c r="A578">
        <v>800</v>
      </c>
      <c r="B578">
        <v>0</v>
      </c>
    </row>
    <row r="579" spans="1:2" x14ac:dyDescent="0.25">
      <c r="A579">
        <v>801</v>
      </c>
      <c r="B579">
        <v>0</v>
      </c>
    </row>
    <row r="580" spans="1:2" x14ac:dyDescent="0.25">
      <c r="A580">
        <v>802</v>
      </c>
      <c r="B580">
        <v>0</v>
      </c>
    </row>
    <row r="581" spans="1:2" x14ac:dyDescent="0.25">
      <c r="A581">
        <v>803</v>
      </c>
      <c r="B581">
        <v>0</v>
      </c>
    </row>
    <row r="582" spans="1:2" x14ac:dyDescent="0.25">
      <c r="A582">
        <v>804</v>
      </c>
      <c r="B582">
        <v>0</v>
      </c>
    </row>
    <row r="583" spans="1:2" x14ac:dyDescent="0.25">
      <c r="A583">
        <v>806</v>
      </c>
      <c r="B583">
        <v>0</v>
      </c>
    </row>
    <row r="584" spans="1:2" x14ac:dyDescent="0.25">
      <c r="A584">
        <v>807</v>
      </c>
      <c r="B584">
        <v>0</v>
      </c>
    </row>
    <row r="585" spans="1:2" x14ac:dyDescent="0.25">
      <c r="A585">
        <v>808</v>
      </c>
      <c r="B585">
        <v>0</v>
      </c>
    </row>
    <row r="586" spans="1:2" x14ac:dyDescent="0.25">
      <c r="A586">
        <v>809</v>
      </c>
      <c r="B586">
        <v>0</v>
      </c>
    </row>
    <row r="587" spans="1:2" x14ac:dyDescent="0.25">
      <c r="A587">
        <v>810</v>
      </c>
      <c r="B587">
        <v>0</v>
      </c>
    </row>
    <row r="588" spans="1:2" x14ac:dyDescent="0.25">
      <c r="A588">
        <v>812</v>
      </c>
      <c r="B588">
        <v>0</v>
      </c>
    </row>
    <row r="589" spans="1:2" x14ac:dyDescent="0.25">
      <c r="A589">
        <v>813</v>
      </c>
      <c r="B589">
        <v>0</v>
      </c>
    </row>
    <row r="590" spans="1:2" x14ac:dyDescent="0.25">
      <c r="A590">
        <v>814</v>
      </c>
      <c r="B590">
        <v>0</v>
      </c>
    </row>
    <row r="591" spans="1:2" x14ac:dyDescent="0.25">
      <c r="A591">
        <v>815</v>
      </c>
      <c r="B591">
        <v>0</v>
      </c>
    </row>
    <row r="592" spans="1:2" x14ac:dyDescent="0.25">
      <c r="A592">
        <v>816</v>
      </c>
      <c r="B592">
        <v>0</v>
      </c>
    </row>
    <row r="593" spans="1:2" x14ac:dyDescent="0.25">
      <c r="A593">
        <v>817</v>
      </c>
      <c r="B593">
        <v>0</v>
      </c>
    </row>
    <row r="594" spans="1:2" x14ac:dyDescent="0.25">
      <c r="A594">
        <v>818</v>
      </c>
      <c r="B594">
        <v>0</v>
      </c>
    </row>
    <row r="595" spans="1:2" x14ac:dyDescent="0.25">
      <c r="A595">
        <v>819</v>
      </c>
      <c r="B595">
        <v>0</v>
      </c>
    </row>
    <row r="596" spans="1:2" x14ac:dyDescent="0.25">
      <c r="A596">
        <v>820</v>
      </c>
      <c r="B596">
        <v>0</v>
      </c>
    </row>
    <row r="597" spans="1:2" x14ac:dyDescent="0.25">
      <c r="A597">
        <v>821</v>
      </c>
      <c r="B597">
        <v>0</v>
      </c>
    </row>
    <row r="598" spans="1:2" x14ac:dyDescent="0.25">
      <c r="A598">
        <v>822</v>
      </c>
      <c r="B598">
        <v>0</v>
      </c>
    </row>
    <row r="599" spans="1:2" x14ac:dyDescent="0.25">
      <c r="A599">
        <v>823</v>
      </c>
      <c r="B599">
        <v>0</v>
      </c>
    </row>
    <row r="600" spans="1:2" x14ac:dyDescent="0.25">
      <c r="A600">
        <v>824</v>
      </c>
      <c r="B600">
        <v>0</v>
      </c>
    </row>
    <row r="601" spans="1:2" x14ac:dyDescent="0.25">
      <c r="A601">
        <v>825</v>
      </c>
      <c r="B601">
        <v>0</v>
      </c>
    </row>
    <row r="602" spans="1:2" x14ac:dyDescent="0.25">
      <c r="A602">
        <v>826</v>
      </c>
      <c r="B602">
        <v>0</v>
      </c>
    </row>
    <row r="603" spans="1:2" x14ac:dyDescent="0.25">
      <c r="A603">
        <v>827</v>
      </c>
      <c r="B603">
        <v>0</v>
      </c>
    </row>
    <row r="604" spans="1:2" x14ac:dyDescent="0.25">
      <c r="A604">
        <v>828</v>
      </c>
      <c r="B604">
        <v>0</v>
      </c>
    </row>
    <row r="605" spans="1:2" x14ac:dyDescent="0.25">
      <c r="A605">
        <v>829</v>
      </c>
      <c r="B605">
        <v>0</v>
      </c>
    </row>
    <row r="606" spans="1:2" x14ac:dyDescent="0.25">
      <c r="A606">
        <v>830</v>
      </c>
      <c r="B606">
        <v>0</v>
      </c>
    </row>
    <row r="607" spans="1:2" x14ac:dyDescent="0.25">
      <c r="A607">
        <v>831</v>
      </c>
      <c r="B607">
        <v>0</v>
      </c>
    </row>
    <row r="608" spans="1:2" x14ac:dyDescent="0.25">
      <c r="A608">
        <v>832</v>
      </c>
      <c r="B608">
        <v>0</v>
      </c>
    </row>
    <row r="609" spans="1:2" x14ac:dyDescent="0.25">
      <c r="A609">
        <v>833</v>
      </c>
      <c r="B609">
        <v>0</v>
      </c>
    </row>
    <row r="610" spans="1:2" x14ac:dyDescent="0.25">
      <c r="A610">
        <v>834</v>
      </c>
      <c r="B610">
        <v>0</v>
      </c>
    </row>
    <row r="611" spans="1:2" x14ac:dyDescent="0.25">
      <c r="A611">
        <v>835</v>
      </c>
      <c r="B611">
        <v>0</v>
      </c>
    </row>
    <row r="612" spans="1:2" x14ac:dyDescent="0.25">
      <c r="A612">
        <v>836</v>
      </c>
      <c r="B612">
        <v>0</v>
      </c>
    </row>
    <row r="613" spans="1:2" x14ac:dyDescent="0.25">
      <c r="A613">
        <v>837</v>
      </c>
      <c r="B613">
        <v>0</v>
      </c>
    </row>
    <row r="614" spans="1:2" x14ac:dyDescent="0.25">
      <c r="A614">
        <v>838</v>
      </c>
      <c r="B614">
        <v>0</v>
      </c>
    </row>
    <row r="615" spans="1:2" x14ac:dyDescent="0.25">
      <c r="A615">
        <v>839</v>
      </c>
      <c r="B615">
        <v>0</v>
      </c>
    </row>
    <row r="616" spans="1:2" x14ac:dyDescent="0.25">
      <c r="A616">
        <v>840</v>
      </c>
      <c r="B616">
        <v>0</v>
      </c>
    </row>
    <row r="617" spans="1:2" x14ac:dyDescent="0.25">
      <c r="A617">
        <v>841</v>
      </c>
      <c r="B617">
        <v>0</v>
      </c>
    </row>
    <row r="618" spans="1:2" x14ac:dyDescent="0.25">
      <c r="A618">
        <v>842</v>
      </c>
      <c r="B618">
        <v>0</v>
      </c>
    </row>
    <row r="619" spans="1:2" x14ac:dyDescent="0.25">
      <c r="A619">
        <v>843</v>
      </c>
      <c r="B619">
        <v>0</v>
      </c>
    </row>
    <row r="620" spans="1:2" x14ac:dyDescent="0.25">
      <c r="A620">
        <v>844</v>
      </c>
      <c r="B620">
        <v>0</v>
      </c>
    </row>
    <row r="621" spans="1:2" x14ac:dyDescent="0.25">
      <c r="A621">
        <v>845</v>
      </c>
      <c r="B621">
        <v>0</v>
      </c>
    </row>
    <row r="622" spans="1:2" x14ac:dyDescent="0.25">
      <c r="A622">
        <v>846</v>
      </c>
      <c r="B622">
        <v>0</v>
      </c>
    </row>
    <row r="623" spans="1:2" x14ac:dyDescent="0.25">
      <c r="A623">
        <v>847</v>
      </c>
      <c r="B623">
        <v>0</v>
      </c>
    </row>
    <row r="624" spans="1:2" x14ac:dyDescent="0.25">
      <c r="A624">
        <v>848</v>
      </c>
      <c r="B624">
        <v>0</v>
      </c>
    </row>
    <row r="625" spans="1:2" x14ac:dyDescent="0.25">
      <c r="A625">
        <v>849</v>
      </c>
      <c r="B625">
        <v>0</v>
      </c>
    </row>
    <row r="626" spans="1:2" x14ac:dyDescent="0.25">
      <c r="A626">
        <v>850</v>
      </c>
      <c r="B626">
        <v>0</v>
      </c>
    </row>
    <row r="627" spans="1:2" x14ac:dyDescent="0.25">
      <c r="A627">
        <v>851</v>
      </c>
      <c r="B627">
        <v>0</v>
      </c>
    </row>
    <row r="628" spans="1:2" x14ac:dyDescent="0.25">
      <c r="A628">
        <v>852</v>
      </c>
      <c r="B628">
        <v>0</v>
      </c>
    </row>
    <row r="629" spans="1:2" x14ac:dyDescent="0.25">
      <c r="A629">
        <v>853</v>
      </c>
      <c r="B629">
        <v>0</v>
      </c>
    </row>
    <row r="630" spans="1:2" x14ac:dyDescent="0.25">
      <c r="A630">
        <v>854</v>
      </c>
      <c r="B630">
        <v>0</v>
      </c>
    </row>
    <row r="631" spans="1:2" x14ac:dyDescent="0.25">
      <c r="A631">
        <v>855</v>
      </c>
      <c r="B631">
        <v>0</v>
      </c>
    </row>
    <row r="632" spans="1:2" x14ac:dyDescent="0.25">
      <c r="A632">
        <v>856</v>
      </c>
      <c r="B632">
        <v>0</v>
      </c>
    </row>
    <row r="633" spans="1:2" x14ac:dyDescent="0.25">
      <c r="A633">
        <v>857</v>
      </c>
      <c r="B633">
        <v>0</v>
      </c>
    </row>
    <row r="634" spans="1:2" x14ac:dyDescent="0.25">
      <c r="A634">
        <v>858</v>
      </c>
      <c r="B634">
        <v>0</v>
      </c>
    </row>
    <row r="635" spans="1:2" x14ac:dyDescent="0.25">
      <c r="A635">
        <v>859</v>
      </c>
      <c r="B635">
        <v>0</v>
      </c>
    </row>
    <row r="636" spans="1:2" x14ac:dyDescent="0.25">
      <c r="A636">
        <v>860</v>
      </c>
      <c r="B636">
        <v>0</v>
      </c>
    </row>
    <row r="637" spans="1:2" x14ac:dyDescent="0.25">
      <c r="A637">
        <v>861</v>
      </c>
      <c r="B637">
        <v>0</v>
      </c>
    </row>
    <row r="638" spans="1:2" x14ac:dyDescent="0.25">
      <c r="A638">
        <v>862</v>
      </c>
      <c r="B638">
        <v>0</v>
      </c>
    </row>
    <row r="639" spans="1:2" x14ac:dyDescent="0.25">
      <c r="A639">
        <v>863</v>
      </c>
      <c r="B639">
        <v>0</v>
      </c>
    </row>
    <row r="640" spans="1:2" x14ac:dyDescent="0.25">
      <c r="A640">
        <v>864</v>
      </c>
      <c r="B640">
        <v>0</v>
      </c>
    </row>
    <row r="641" spans="1:2" x14ac:dyDescent="0.25">
      <c r="A641">
        <v>865</v>
      </c>
      <c r="B641">
        <v>0</v>
      </c>
    </row>
    <row r="642" spans="1:2" x14ac:dyDescent="0.25">
      <c r="A642">
        <v>866</v>
      </c>
      <c r="B642">
        <v>0</v>
      </c>
    </row>
    <row r="643" spans="1:2" x14ac:dyDescent="0.25">
      <c r="A643">
        <v>867</v>
      </c>
      <c r="B643">
        <v>0</v>
      </c>
    </row>
    <row r="644" spans="1:2" x14ac:dyDescent="0.25">
      <c r="A644">
        <v>868</v>
      </c>
      <c r="B644">
        <v>0</v>
      </c>
    </row>
    <row r="645" spans="1:2" x14ac:dyDescent="0.25">
      <c r="A645">
        <v>869</v>
      </c>
      <c r="B645">
        <v>0</v>
      </c>
    </row>
    <row r="646" spans="1:2" x14ac:dyDescent="0.25">
      <c r="A646">
        <v>870</v>
      </c>
      <c r="B646">
        <v>0</v>
      </c>
    </row>
    <row r="647" spans="1:2" x14ac:dyDescent="0.25">
      <c r="A647">
        <v>871</v>
      </c>
      <c r="B647">
        <v>0</v>
      </c>
    </row>
    <row r="648" spans="1:2" x14ac:dyDescent="0.25">
      <c r="A648">
        <v>872</v>
      </c>
      <c r="B648">
        <v>0</v>
      </c>
    </row>
    <row r="649" spans="1:2" x14ac:dyDescent="0.25">
      <c r="A649">
        <v>873</v>
      </c>
      <c r="B649">
        <v>0</v>
      </c>
    </row>
    <row r="650" spans="1:2" x14ac:dyDescent="0.25">
      <c r="A650">
        <v>874</v>
      </c>
      <c r="B650">
        <v>0</v>
      </c>
    </row>
    <row r="651" spans="1:2" x14ac:dyDescent="0.25">
      <c r="A651">
        <v>875</v>
      </c>
      <c r="B651">
        <v>0</v>
      </c>
    </row>
    <row r="652" spans="1:2" x14ac:dyDescent="0.25">
      <c r="A652">
        <v>876</v>
      </c>
      <c r="B652">
        <v>0</v>
      </c>
    </row>
    <row r="653" spans="1:2" x14ac:dyDescent="0.25">
      <c r="A653">
        <v>877</v>
      </c>
      <c r="B653">
        <v>0</v>
      </c>
    </row>
    <row r="654" spans="1:2" x14ac:dyDescent="0.25">
      <c r="A654">
        <v>878</v>
      </c>
      <c r="B654">
        <v>0</v>
      </c>
    </row>
    <row r="655" spans="1:2" x14ac:dyDescent="0.25">
      <c r="A655">
        <v>879</v>
      </c>
      <c r="B655">
        <v>0</v>
      </c>
    </row>
    <row r="656" spans="1:2" x14ac:dyDescent="0.25">
      <c r="A656">
        <v>880</v>
      </c>
      <c r="B656">
        <v>0</v>
      </c>
    </row>
    <row r="657" spans="1:2" x14ac:dyDescent="0.25">
      <c r="A657">
        <v>881</v>
      </c>
      <c r="B657">
        <v>0</v>
      </c>
    </row>
    <row r="658" spans="1:2" x14ac:dyDescent="0.25">
      <c r="A658">
        <v>882</v>
      </c>
      <c r="B658">
        <v>0</v>
      </c>
    </row>
    <row r="659" spans="1:2" x14ac:dyDescent="0.25">
      <c r="A659">
        <v>883</v>
      </c>
      <c r="B659">
        <v>0</v>
      </c>
    </row>
    <row r="660" spans="1:2" x14ac:dyDescent="0.25">
      <c r="A660">
        <v>884</v>
      </c>
      <c r="B660">
        <v>0</v>
      </c>
    </row>
    <row r="661" spans="1:2" x14ac:dyDescent="0.25">
      <c r="A661">
        <v>885</v>
      </c>
      <c r="B661">
        <v>0</v>
      </c>
    </row>
    <row r="662" spans="1:2" x14ac:dyDescent="0.25">
      <c r="A662">
        <v>886</v>
      </c>
      <c r="B662">
        <v>0</v>
      </c>
    </row>
    <row r="663" spans="1:2" x14ac:dyDescent="0.25">
      <c r="A663">
        <v>887</v>
      </c>
      <c r="B663">
        <v>0</v>
      </c>
    </row>
    <row r="664" spans="1:2" x14ac:dyDescent="0.25">
      <c r="A664">
        <v>888</v>
      </c>
      <c r="B664">
        <v>0</v>
      </c>
    </row>
    <row r="665" spans="1:2" x14ac:dyDescent="0.25">
      <c r="A665">
        <v>889</v>
      </c>
      <c r="B665">
        <v>0</v>
      </c>
    </row>
    <row r="666" spans="1:2" x14ac:dyDescent="0.25">
      <c r="A666">
        <v>890</v>
      </c>
      <c r="B666">
        <v>0</v>
      </c>
    </row>
    <row r="667" spans="1:2" x14ac:dyDescent="0.25">
      <c r="A667">
        <v>891</v>
      </c>
      <c r="B667">
        <v>0</v>
      </c>
    </row>
    <row r="668" spans="1:2" x14ac:dyDescent="0.25">
      <c r="A668">
        <v>892</v>
      </c>
      <c r="B668">
        <v>0</v>
      </c>
    </row>
    <row r="669" spans="1:2" x14ac:dyDescent="0.25">
      <c r="A669">
        <v>893</v>
      </c>
      <c r="B669">
        <v>0</v>
      </c>
    </row>
    <row r="670" spans="1:2" x14ac:dyDescent="0.25">
      <c r="A670">
        <v>894</v>
      </c>
      <c r="B670">
        <v>0</v>
      </c>
    </row>
    <row r="671" spans="1:2" x14ac:dyDescent="0.25">
      <c r="A671">
        <v>895</v>
      </c>
      <c r="B671">
        <v>0</v>
      </c>
    </row>
    <row r="672" spans="1:2" x14ac:dyDescent="0.25">
      <c r="A672">
        <v>896</v>
      </c>
      <c r="B672">
        <v>0</v>
      </c>
    </row>
    <row r="673" spans="1:2" x14ac:dyDescent="0.25">
      <c r="A673">
        <v>897</v>
      </c>
      <c r="B673">
        <v>0</v>
      </c>
    </row>
    <row r="674" spans="1:2" x14ac:dyDescent="0.25">
      <c r="A674">
        <v>898</v>
      </c>
      <c r="B674">
        <v>0</v>
      </c>
    </row>
    <row r="675" spans="1:2" x14ac:dyDescent="0.25">
      <c r="A675">
        <v>899</v>
      </c>
      <c r="B675">
        <v>0</v>
      </c>
    </row>
    <row r="676" spans="1:2" x14ac:dyDescent="0.25">
      <c r="A676">
        <v>901</v>
      </c>
      <c r="B676">
        <v>0</v>
      </c>
    </row>
    <row r="677" spans="1:2" x14ac:dyDescent="0.25">
      <c r="A677">
        <v>905</v>
      </c>
      <c r="B677">
        <v>0</v>
      </c>
    </row>
    <row r="678" spans="1:2" x14ac:dyDescent="0.25">
      <c r="A678">
        <v>906</v>
      </c>
      <c r="B678">
        <v>0</v>
      </c>
    </row>
    <row r="679" spans="1:2" x14ac:dyDescent="0.25">
      <c r="A679">
        <v>907</v>
      </c>
      <c r="B679">
        <v>0</v>
      </c>
    </row>
    <row r="680" spans="1:2" x14ac:dyDescent="0.25">
      <c r="A680">
        <v>908</v>
      </c>
      <c r="B680">
        <v>0</v>
      </c>
    </row>
    <row r="681" spans="1:2" x14ac:dyDescent="0.25">
      <c r="A681">
        <v>909</v>
      </c>
      <c r="B681">
        <v>0</v>
      </c>
    </row>
    <row r="682" spans="1:2" x14ac:dyDescent="0.25">
      <c r="A682">
        <v>911</v>
      </c>
      <c r="B682">
        <v>0</v>
      </c>
    </row>
    <row r="683" spans="1:2" x14ac:dyDescent="0.25">
      <c r="A683">
        <v>913</v>
      </c>
      <c r="B683">
        <v>0</v>
      </c>
    </row>
    <row r="684" spans="1:2" x14ac:dyDescent="0.25">
      <c r="A684">
        <v>914</v>
      </c>
      <c r="B684">
        <v>0</v>
      </c>
    </row>
    <row r="685" spans="1:2" x14ac:dyDescent="0.25">
      <c r="A685">
        <v>917</v>
      </c>
      <c r="B685">
        <v>0</v>
      </c>
    </row>
    <row r="686" spans="1:2" x14ac:dyDescent="0.25">
      <c r="A686">
        <v>918</v>
      </c>
      <c r="B686">
        <v>0</v>
      </c>
    </row>
    <row r="687" spans="1:2" x14ac:dyDescent="0.25">
      <c r="A687">
        <v>919</v>
      </c>
      <c r="B687">
        <v>0</v>
      </c>
    </row>
    <row r="688" spans="1:2" x14ac:dyDescent="0.25">
      <c r="A688">
        <v>920</v>
      </c>
      <c r="B688">
        <v>0</v>
      </c>
    </row>
    <row r="689" spans="1:2" x14ac:dyDescent="0.25">
      <c r="A689">
        <v>921</v>
      </c>
      <c r="B689">
        <v>0</v>
      </c>
    </row>
    <row r="690" spans="1:2" x14ac:dyDescent="0.25">
      <c r="A690">
        <v>922</v>
      </c>
      <c r="B690">
        <v>0</v>
      </c>
    </row>
    <row r="691" spans="1:2" x14ac:dyDescent="0.25">
      <c r="A691">
        <v>923</v>
      </c>
      <c r="B691">
        <v>0</v>
      </c>
    </row>
    <row r="692" spans="1:2" x14ac:dyDescent="0.25">
      <c r="A692">
        <v>924</v>
      </c>
      <c r="B692">
        <v>0</v>
      </c>
    </row>
    <row r="693" spans="1:2" x14ac:dyDescent="0.25">
      <c r="A693">
        <v>925</v>
      </c>
      <c r="B693">
        <v>0</v>
      </c>
    </row>
    <row r="694" spans="1:2" x14ac:dyDescent="0.25">
      <c r="A694">
        <v>926</v>
      </c>
      <c r="B694">
        <v>0</v>
      </c>
    </row>
    <row r="695" spans="1:2" x14ac:dyDescent="0.25">
      <c r="A695">
        <v>927</v>
      </c>
      <c r="B695">
        <v>0</v>
      </c>
    </row>
    <row r="696" spans="1:2" x14ac:dyDescent="0.25">
      <c r="A696">
        <v>928</v>
      </c>
      <c r="B696">
        <v>0</v>
      </c>
    </row>
    <row r="697" spans="1:2" x14ac:dyDescent="0.25">
      <c r="A697">
        <v>929</v>
      </c>
      <c r="B697">
        <v>0</v>
      </c>
    </row>
    <row r="698" spans="1:2" x14ac:dyDescent="0.25">
      <c r="A698">
        <v>930</v>
      </c>
      <c r="B698">
        <v>0</v>
      </c>
    </row>
    <row r="699" spans="1:2" x14ac:dyDescent="0.25">
      <c r="A699">
        <v>931</v>
      </c>
      <c r="B699">
        <v>0</v>
      </c>
    </row>
    <row r="700" spans="1:2" x14ac:dyDescent="0.25">
      <c r="A700">
        <v>932</v>
      </c>
      <c r="B700">
        <v>0</v>
      </c>
    </row>
    <row r="701" spans="1:2" x14ac:dyDescent="0.25">
      <c r="A701">
        <v>933</v>
      </c>
      <c r="B701">
        <v>0</v>
      </c>
    </row>
    <row r="702" spans="1:2" x14ac:dyDescent="0.25">
      <c r="A702">
        <v>934</v>
      </c>
      <c r="B702">
        <v>0</v>
      </c>
    </row>
    <row r="703" spans="1:2" x14ac:dyDescent="0.25">
      <c r="A703">
        <v>935</v>
      </c>
      <c r="B703">
        <v>0</v>
      </c>
    </row>
    <row r="704" spans="1:2" x14ac:dyDescent="0.25">
      <c r="A704">
        <v>936</v>
      </c>
      <c r="B704">
        <v>0</v>
      </c>
    </row>
    <row r="705" spans="1:2" x14ac:dyDescent="0.25">
      <c r="A705">
        <v>937</v>
      </c>
      <c r="B705">
        <v>0</v>
      </c>
    </row>
    <row r="706" spans="1:2" x14ac:dyDescent="0.25">
      <c r="A706">
        <v>938</v>
      </c>
      <c r="B706">
        <v>0</v>
      </c>
    </row>
    <row r="707" spans="1:2" x14ac:dyDescent="0.25">
      <c r="A707">
        <v>939</v>
      </c>
      <c r="B707">
        <v>0</v>
      </c>
    </row>
    <row r="708" spans="1:2" x14ac:dyDescent="0.25">
      <c r="A708">
        <v>940</v>
      </c>
      <c r="B708">
        <v>0</v>
      </c>
    </row>
    <row r="709" spans="1:2" x14ac:dyDescent="0.25">
      <c r="A709">
        <v>941</v>
      </c>
      <c r="B709">
        <v>0</v>
      </c>
    </row>
    <row r="710" spans="1:2" x14ac:dyDescent="0.25">
      <c r="A710">
        <v>942</v>
      </c>
      <c r="B710">
        <v>0</v>
      </c>
    </row>
    <row r="711" spans="1:2" x14ac:dyDescent="0.25">
      <c r="A711">
        <v>943</v>
      </c>
      <c r="B711">
        <v>0</v>
      </c>
    </row>
    <row r="712" spans="1:2" x14ac:dyDescent="0.25">
      <c r="A712">
        <v>944</v>
      </c>
      <c r="B712">
        <v>0</v>
      </c>
    </row>
    <row r="713" spans="1:2" x14ac:dyDescent="0.25">
      <c r="A713">
        <v>946</v>
      </c>
      <c r="B713">
        <v>0</v>
      </c>
    </row>
    <row r="714" spans="1:2" x14ac:dyDescent="0.25">
      <c r="A714">
        <v>947</v>
      </c>
      <c r="B714">
        <v>0</v>
      </c>
    </row>
    <row r="715" spans="1:2" x14ac:dyDescent="0.25">
      <c r="A715">
        <v>948</v>
      </c>
      <c r="B715">
        <v>0</v>
      </c>
    </row>
    <row r="716" spans="1:2" x14ac:dyDescent="0.25">
      <c r="A716">
        <v>949</v>
      </c>
      <c r="B716">
        <v>0</v>
      </c>
    </row>
    <row r="717" spans="1:2" x14ac:dyDescent="0.25">
      <c r="A717">
        <v>950</v>
      </c>
      <c r="B717">
        <v>0</v>
      </c>
    </row>
    <row r="718" spans="1:2" x14ac:dyDescent="0.25">
      <c r="A718">
        <v>951</v>
      </c>
      <c r="B718">
        <v>0</v>
      </c>
    </row>
    <row r="719" spans="1:2" x14ac:dyDescent="0.25">
      <c r="A719">
        <v>952</v>
      </c>
      <c r="B719">
        <v>0</v>
      </c>
    </row>
    <row r="720" spans="1:2" x14ac:dyDescent="0.25">
      <c r="A720">
        <v>953</v>
      </c>
      <c r="B720">
        <v>0</v>
      </c>
    </row>
    <row r="721" spans="1:2" x14ac:dyDescent="0.25">
      <c r="A721">
        <v>954</v>
      </c>
      <c r="B721">
        <v>0</v>
      </c>
    </row>
    <row r="722" spans="1:2" x14ac:dyDescent="0.25">
      <c r="A722">
        <v>955</v>
      </c>
      <c r="B722">
        <v>0</v>
      </c>
    </row>
    <row r="723" spans="1:2" x14ac:dyDescent="0.25">
      <c r="A723">
        <v>956</v>
      </c>
      <c r="B723">
        <v>0</v>
      </c>
    </row>
    <row r="724" spans="1:2" x14ac:dyDescent="0.25">
      <c r="A724">
        <v>957</v>
      </c>
      <c r="B724">
        <v>0</v>
      </c>
    </row>
    <row r="725" spans="1:2" x14ac:dyDescent="0.25">
      <c r="A725">
        <v>959</v>
      </c>
      <c r="B725">
        <v>0</v>
      </c>
    </row>
    <row r="726" spans="1:2" x14ac:dyDescent="0.25">
      <c r="A726">
        <v>960</v>
      </c>
      <c r="B726">
        <v>0</v>
      </c>
    </row>
    <row r="727" spans="1:2" x14ac:dyDescent="0.25">
      <c r="A727">
        <v>961</v>
      </c>
      <c r="B727">
        <v>0</v>
      </c>
    </row>
    <row r="728" spans="1:2" x14ac:dyDescent="0.25">
      <c r="A728">
        <v>962</v>
      </c>
      <c r="B728">
        <v>0</v>
      </c>
    </row>
    <row r="729" spans="1:2" x14ac:dyDescent="0.25">
      <c r="A729">
        <v>963</v>
      </c>
      <c r="B729">
        <v>0</v>
      </c>
    </row>
    <row r="730" spans="1:2" x14ac:dyDescent="0.25">
      <c r="A730">
        <v>965</v>
      </c>
      <c r="B730">
        <v>0</v>
      </c>
    </row>
    <row r="731" spans="1:2" x14ac:dyDescent="0.25">
      <c r="A731">
        <v>968</v>
      </c>
      <c r="B731">
        <v>0</v>
      </c>
    </row>
    <row r="732" spans="1:2" x14ac:dyDescent="0.25">
      <c r="A732">
        <v>969</v>
      </c>
      <c r="B732">
        <v>0</v>
      </c>
    </row>
    <row r="733" spans="1:2" x14ac:dyDescent="0.25">
      <c r="A733">
        <v>970</v>
      </c>
      <c r="B733">
        <v>0</v>
      </c>
    </row>
    <row r="734" spans="1:2" x14ac:dyDescent="0.25">
      <c r="A734">
        <v>971</v>
      </c>
      <c r="B734">
        <v>0</v>
      </c>
    </row>
    <row r="735" spans="1:2" x14ac:dyDescent="0.25">
      <c r="A735">
        <v>972</v>
      </c>
      <c r="B735">
        <v>0</v>
      </c>
    </row>
    <row r="736" spans="1:2" x14ac:dyDescent="0.25">
      <c r="A736">
        <v>973</v>
      </c>
      <c r="B736">
        <v>0</v>
      </c>
    </row>
    <row r="737" spans="1:2" x14ac:dyDescent="0.25">
      <c r="A737">
        <v>974</v>
      </c>
      <c r="B737">
        <v>0</v>
      </c>
    </row>
    <row r="738" spans="1:2" x14ac:dyDescent="0.25">
      <c r="A738">
        <v>976</v>
      </c>
      <c r="B738">
        <v>0</v>
      </c>
    </row>
    <row r="739" spans="1:2" x14ac:dyDescent="0.25">
      <c r="A739">
        <v>977</v>
      </c>
      <c r="B739">
        <v>0</v>
      </c>
    </row>
    <row r="740" spans="1:2" x14ac:dyDescent="0.25">
      <c r="A740">
        <v>978</v>
      </c>
      <c r="B740">
        <v>0</v>
      </c>
    </row>
    <row r="741" spans="1:2" x14ac:dyDescent="0.25">
      <c r="A741">
        <v>979</v>
      </c>
      <c r="B741">
        <v>0</v>
      </c>
    </row>
    <row r="742" spans="1:2" x14ac:dyDescent="0.25">
      <c r="A742">
        <v>980</v>
      </c>
      <c r="B742">
        <v>0</v>
      </c>
    </row>
    <row r="743" spans="1:2" x14ac:dyDescent="0.25">
      <c r="A743">
        <v>981</v>
      </c>
      <c r="B743">
        <v>0</v>
      </c>
    </row>
    <row r="744" spans="1:2" x14ac:dyDescent="0.25">
      <c r="A744">
        <v>982</v>
      </c>
      <c r="B744">
        <v>2</v>
      </c>
    </row>
    <row r="745" spans="1:2" x14ac:dyDescent="0.25">
      <c r="A745">
        <v>984</v>
      </c>
      <c r="B745">
        <v>0</v>
      </c>
    </row>
    <row r="746" spans="1:2" x14ac:dyDescent="0.25">
      <c r="A746">
        <v>985</v>
      </c>
      <c r="B746">
        <v>0</v>
      </c>
    </row>
    <row r="747" spans="1:2" x14ac:dyDescent="0.25">
      <c r="A747">
        <v>986</v>
      </c>
      <c r="B747">
        <v>0</v>
      </c>
    </row>
    <row r="748" spans="1:2" x14ac:dyDescent="0.25">
      <c r="A748">
        <v>987</v>
      </c>
      <c r="B748">
        <v>0</v>
      </c>
    </row>
    <row r="749" spans="1:2" x14ac:dyDescent="0.25">
      <c r="A749">
        <v>988</v>
      </c>
      <c r="B749">
        <v>2</v>
      </c>
    </row>
    <row r="750" spans="1:2" x14ac:dyDescent="0.25">
      <c r="A750">
        <v>989</v>
      </c>
      <c r="B750">
        <v>0</v>
      </c>
    </row>
    <row r="751" spans="1:2" x14ac:dyDescent="0.25">
      <c r="A751">
        <v>990</v>
      </c>
      <c r="B751">
        <v>0</v>
      </c>
    </row>
    <row r="752" spans="1:2" x14ac:dyDescent="0.25">
      <c r="A752">
        <v>991</v>
      </c>
      <c r="B752">
        <v>0</v>
      </c>
    </row>
    <row r="753" spans="1:2" x14ac:dyDescent="0.25">
      <c r="A753">
        <v>993</v>
      </c>
      <c r="B753">
        <v>0</v>
      </c>
    </row>
    <row r="754" spans="1:2" x14ac:dyDescent="0.25">
      <c r="A754">
        <v>994</v>
      </c>
      <c r="B754">
        <v>0</v>
      </c>
    </row>
    <row r="755" spans="1:2" x14ac:dyDescent="0.25">
      <c r="A755">
        <v>996</v>
      </c>
      <c r="B755">
        <v>0</v>
      </c>
    </row>
    <row r="756" spans="1:2" x14ac:dyDescent="0.25">
      <c r="A756">
        <v>997</v>
      </c>
      <c r="B756">
        <v>0</v>
      </c>
    </row>
    <row r="757" spans="1:2" x14ac:dyDescent="0.25">
      <c r="A757">
        <v>998</v>
      </c>
      <c r="B757">
        <v>0</v>
      </c>
    </row>
    <row r="758" spans="1:2" x14ac:dyDescent="0.25">
      <c r="A758">
        <v>999</v>
      </c>
      <c r="B758">
        <v>0</v>
      </c>
    </row>
    <row r="759" spans="1:2" x14ac:dyDescent="0.25">
      <c r="A759">
        <v>1001</v>
      </c>
      <c r="B759">
        <v>0</v>
      </c>
    </row>
    <row r="760" spans="1:2" x14ac:dyDescent="0.25">
      <c r="A760">
        <v>1002</v>
      </c>
      <c r="B760">
        <v>0</v>
      </c>
    </row>
    <row r="761" spans="1:2" x14ac:dyDescent="0.25">
      <c r="A761">
        <v>1004</v>
      </c>
      <c r="B761">
        <v>0</v>
      </c>
    </row>
    <row r="762" spans="1:2" x14ac:dyDescent="0.25">
      <c r="A762">
        <v>1011</v>
      </c>
      <c r="B762">
        <v>0</v>
      </c>
    </row>
    <row r="763" spans="1:2" x14ac:dyDescent="0.25">
      <c r="A763">
        <v>1017</v>
      </c>
      <c r="B763">
        <v>0</v>
      </c>
    </row>
    <row r="764" spans="1:2" x14ac:dyDescent="0.25">
      <c r="A764">
        <v>1028</v>
      </c>
      <c r="B764">
        <v>0</v>
      </c>
    </row>
    <row r="765" spans="1:2" x14ac:dyDescent="0.25">
      <c r="A765">
        <v>1030</v>
      </c>
      <c r="B765">
        <v>0</v>
      </c>
    </row>
    <row r="766" spans="1:2" x14ac:dyDescent="0.25">
      <c r="A766">
        <v>1076</v>
      </c>
      <c r="B766">
        <v>0</v>
      </c>
    </row>
    <row r="767" spans="1:2" x14ac:dyDescent="0.25">
      <c r="A767">
        <v>1095</v>
      </c>
      <c r="B767">
        <v>0</v>
      </c>
    </row>
    <row r="768" spans="1:2" x14ac:dyDescent="0.25">
      <c r="A768">
        <v>1099</v>
      </c>
      <c r="B768">
        <v>0</v>
      </c>
    </row>
    <row r="769" spans="1:2" x14ac:dyDescent="0.25">
      <c r="A769">
        <v>1102</v>
      </c>
      <c r="B769">
        <v>0</v>
      </c>
    </row>
    <row r="770" spans="1:2" x14ac:dyDescent="0.25">
      <c r="A770">
        <v>1103</v>
      </c>
      <c r="B770">
        <v>0</v>
      </c>
    </row>
    <row r="771" spans="1:2" x14ac:dyDescent="0.25">
      <c r="A771">
        <v>1105</v>
      </c>
      <c r="B771">
        <v>0</v>
      </c>
    </row>
    <row r="772" spans="1:2" x14ac:dyDescent="0.25">
      <c r="A772">
        <v>1106</v>
      </c>
      <c r="B772">
        <v>0</v>
      </c>
    </row>
    <row r="773" spans="1:2" x14ac:dyDescent="0.25">
      <c r="A773">
        <v>1114</v>
      </c>
      <c r="B773">
        <v>6</v>
      </c>
    </row>
    <row r="774" spans="1:2" x14ac:dyDescent="0.25">
      <c r="A774">
        <v>1116</v>
      </c>
      <c r="B774">
        <v>6</v>
      </c>
    </row>
    <row r="775" spans="1:2" x14ac:dyDescent="0.25">
      <c r="A775">
        <v>1117</v>
      </c>
      <c r="B775">
        <v>0</v>
      </c>
    </row>
    <row r="776" spans="1:2" x14ac:dyDescent="0.25">
      <c r="A776">
        <v>1118</v>
      </c>
      <c r="B776">
        <v>0</v>
      </c>
    </row>
    <row r="777" spans="1:2" x14ac:dyDescent="0.25">
      <c r="A777">
        <v>1119</v>
      </c>
      <c r="B777">
        <v>0</v>
      </c>
    </row>
    <row r="778" spans="1:2" x14ac:dyDescent="0.25">
      <c r="A778">
        <v>1121</v>
      </c>
      <c r="B778">
        <v>0</v>
      </c>
    </row>
    <row r="779" spans="1:2" x14ac:dyDescent="0.25">
      <c r="A779">
        <v>1123</v>
      </c>
      <c r="B779">
        <v>0</v>
      </c>
    </row>
    <row r="780" spans="1:2" x14ac:dyDescent="0.25">
      <c r="A780">
        <v>1125</v>
      </c>
      <c r="B780">
        <v>0</v>
      </c>
    </row>
    <row r="781" spans="1:2" x14ac:dyDescent="0.25">
      <c r="A781">
        <v>1127</v>
      </c>
      <c r="B781">
        <v>0</v>
      </c>
    </row>
    <row r="782" spans="1:2" x14ac:dyDescent="0.25">
      <c r="A782">
        <v>1128</v>
      </c>
      <c r="B782">
        <v>0</v>
      </c>
    </row>
    <row r="783" spans="1:2" x14ac:dyDescent="0.25">
      <c r="A783">
        <v>1129</v>
      </c>
      <c r="B783">
        <v>0</v>
      </c>
    </row>
    <row r="784" spans="1:2" x14ac:dyDescent="0.25">
      <c r="A784">
        <v>1130</v>
      </c>
      <c r="B784">
        <v>0</v>
      </c>
    </row>
    <row r="785" spans="1:2" x14ac:dyDescent="0.25">
      <c r="A785">
        <v>1132</v>
      </c>
      <c r="B785">
        <v>0</v>
      </c>
    </row>
    <row r="786" spans="1:2" x14ac:dyDescent="0.25">
      <c r="A786">
        <v>1135</v>
      </c>
      <c r="B786">
        <v>0</v>
      </c>
    </row>
    <row r="787" spans="1:2" x14ac:dyDescent="0.25">
      <c r="A787">
        <v>1136</v>
      </c>
      <c r="B787">
        <v>0</v>
      </c>
    </row>
    <row r="788" spans="1:2" x14ac:dyDescent="0.25">
      <c r="A788">
        <v>1137</v>
      </c>
      <c r="B788">
        <v>0</v>
      </c>
    </row>
    <row r="789" spans="1:2" x14ac:dyDescent="0.25">
      <c r="A789">
        <v>1139</v>
      </c>
      <c r="B789">
        <v>0</v>
      </c>
    </row>
    <row r="790" spans="1:2" x14ac:dyDescent="0.25">
      <c r="A790">
        <v>1140</v>
      </c>
      <c r="B790">
        <v>0</v>
      </c>
    </row>
    <row r="791" spans="1:2" x14ac:dyDescent="0.25">
      <c r="A791">
        <v>1142</v>
      </c>
      <c r="B791">
        <v>0</v>
      </c>
    </row>
    <row r="792" spans="1:2" x14ac:dyDescent="0.25">
      <c r="A792">
        <v>1143</v>
      </c>
      <c r="B792">
        <v>0</v>
      </c>
    </row>
    <row r="793" spans="1:2" x14ac:dyDescent="0.25">
      <c r="A793">
        <v>1145</v>
      </c>
      <c r="B793">
        <v>0</v>
      </c>
    </row>
    <row r="794" spans="1:2" x14ac:dyDescent="0.25">
      <c r="A794">
        <v>1147</v>
      </c>
      <c r="B794">
        <v>0</v>
      </c>
    </row>
    <row r="795" spans="1:2" x14ac:dyDescent="0.25">
      <c r="A795">
        <v>1149</v>
      </c>
      <c r="B795">
        <v>0</v>
      </c>
    </row>
    <row r="796" spans="1:2" x14ac:dyDescent="0.25">
      <c r="A796">
        <v>1151</v>
      </c>
      <c r="B796">
        <v>0</v>
      </c>
    </row>
    <row r="797" spans="1:2" x14ac:dyDescent="0.25">
      <c r="A797">
        <v>1153</v>
      </c>
      <c r="B797">
        <v>0</v>
      </c>
    </row>
    <row r="798" spans="1:2" x14ac:dyDescent="0.25">
      <c r="A798">
        <v>1155</v>
      </c>
      <c r="B798">
        <v>0</v>
      </c>
    </row>
    <row r="799" spans="1:2" x14ac:dyDescent="0.25">
      <c r="A799">
        <v>1157</v>
      </c>
      <c r="B799">
        <v>0</v>
      </c>
    </row>
    <row r="800" spans="1:2" x14ac:dyDescent="0.25">
      <c r="A800">
        <v>1159</v>
      </c>
      <c r="B800">
        <v>0</v>
      </c>
    </row>
    <row r="801" spans="1:2" x14ac:dyDescent="0.25">
      <c r="A801">
        <v>1162</v>
      </c>
      <c r="B801">
        <v>0</v>
      </c>
    </row>
    <row r="802" spans="1:2" x14ac:dyDescent="0.25">
      <c r="A802">
        <v>1164</v>
      </c>
      <c r="B802">
        <v>0</v>
      </c>
    </row>
    <row r="803" spans="1:2" x14ac:dyDescent="0.25">
      <c r="A803">
        <v>1166</v>
      </c>
      <c r="B803">
        <v>4</v>
      </c>
    </row>
    <row r="804" spans="1:2" x14ac:dyDescent="0.25">
      <c r="A804">
        <v>1168</v>
      </c>
      <c r="B804">
        <v>0</v>
      </c>
    </row>
    <row r="805" spans="1:2" x14ac:dyDescent="0.25">
      <c r="A805">
        <v>1170</v>
      </c>
      <c r="B805">
        <v>0</v>
      </c>
    </row>
    <row r="806" spans="1:2" x14ac:dyDescent="0.25">
      <c r="A806">
        <v>1172</v>
      </c>
      <c r="B806">
        <v>0</v>
      </c>
    </row>
    <row r="807" spans="1:2" x14ac:dyDescent="0.25">
      <c r="A807">
        <v>1173</v>
      </c>
      <c r="B807">
        <v>0</v>
      </c>
    </row>
    <row r="808" spans="1:2" x14ac:dyDescent="0.25">
      <c r="A808">
        <v>1174</v>
      </c>
      <c r="B808">
        <v>0</v>
      </c>
    </row>
    <row r="809" spans="1:2" x14ac:dyDescent="0.25">
      <c r="A809">
        <v>1176</v>
      </c>
      <c r="B809">
        <v>0</v>
      </c>
    </row>
    <row r="810" spans="1:2" x14ac:dyDescent="0.25">
      <c r="A810">
        <v>1177</v>
      </c>
      <c r="B810">
        <v>0</v>
      </c>
    </row>
    <row r="811" spans="1:2" x14ac:dyDescent="0.25">
      <c r="A811">
        <v>1180</v>
      </c>
      <c r="B811">
        <v>0</v>
      </c>
    </row>
    <row r="812" spans="1:2" x14ac:dyDescent="0.25">
      <c r="A812">
        <v>1200</v>
      </c>
      <c r="B812">
        <v>0</v>
      </c>
    </row>
    <row r="813" spans="1:2" x14ac:dyDescent="0.25">
      <c r="A813">
        <v>1201</v>
      </c>
      <c r="B813">
        <v>0</v>
      </c>
    </row>
    <row r="814" spans="1:2" x14ac:dyDescent="0.25">
      <c r="A814">
        <v>1202</v>
      </c>
      <c r="B814">
        <v>0</v>
      </c>
    </row>
    <row r="815" spans="1:2" x14ac:dyDescent="0.25">
      <c r="A815">
        <v>1203</v>
      </c>
      <c r="B815">
        <v>0</v>
      </c>
    </row>
    <row r="816" spans="1:2" x14ac:dyDescent="0.25">
      <c r="A816">
        <v>1204</v>
      </c>
      <c r="B816">
        <v>0</v>
      </c>
    </row>
    <row r="817" spans="1:2" x14ac:dyDescent="0.25">
      <c r="A817">
        <v>1205</v>
      </c>
      <c r="B817">
        <v>0</v>
      </c>
    </row>
    <row r="818" spans="1:2" x14ac:dyDescent="0.25">
      <c r="A818">
        <v>1206</v>
      </c>
      <c r="B818">
        <v>0</v>
      </c>
    </row>
    <row r="819" spans="1:2" x14ac:dyDescent="0.25">
      <c r="A819">
        <v>1207</v>
      </c>
      <c r="B819">
        <v>0</v>
      </c>
    </row>
    <row r="820" spans="1:2" x14ac:dyDescent="0.25">
      <c r="A820">
        <v>1208</v>
      </c>
      <c r="B820">
        <v>0</v>
      </c>
    </row>
    <row r="821" spans="1:2" x14ac:dyDescent="0.25">
      <c r="A821">
        <v>1209</v>
      </c>
      <c r="B821">
        <v>0</v>
      </c>
    </row>
    <row r="822" spans="1:2" x14ac:dyDescent="0.25">
      <c r="A822">
        <v>1210</v>
      </c>
      <c r="B822">
        <v>0</v>
      </c>
    </row>
    <row r="823" spans="1:2" x14ac:dyDescent="0.25">
      <c r="A823">
        <v>1211</v>
      </c>
      <c r="B823">
        <v>0</v>
      </c>
    </row>
    <row r="824" spans="1:2" x14ac:dyDescent="0.25">
      <c r="A824">
        <v>1212</v>
      </c>
      <c r="B824">
        <v>0</v>
      </c>
    </row>
    <row r="825" spans="1:2" x14ac:dyDescent="0.25">
      <c r="A825">
        <v>1213</v>
      </c>
      <c r="B825">
        <v>0</v>
      </c>
    </row>
    <row r="826" spans="1:2" x14ac:dyDescent="0.25">
      <c r="A826">
        <v>1214</v>
      </c>
      <c r="B826">
        <v>0</v>
      </c>
    </row>
    <row r="827" spans="1:2" x14ac:dyDescent="0.25">
      <c r="A827">
        <v>1215</v>
      </c>
      <c r="B827">
        <v>0</v>
      </c>
    </row>
    <row r="828" spans="1:2" x14ac:dyDescent="0.25">
      <c r="A828">
        <v>1216</v>
      </c>
      <c r="B828">
        <v>0</v>
      </c>
    </row>
    <row r="829" spans="1:2" x14ac:dyDescent="0.25">
      <c r="A829">
        <v>1218</v>
      </c>
      <c r="B829">
        <v>0</v>
      </c>
    </row>
    <row r="830" spans="1:2" x14ac:dyDescent="0.25">
      <c r="A830">
        <v>1220</v>
      </c>
      <c r="B830">
        <v>0</v>
      </c>
    </row>
    <row r="831" spans="1:2" x14ac:dyDescent="0.25">
      <c r="A831">
        <v>1222</v>
      </c>
      <c r="B831">
        <v>0</v>
      </c>
    </row>
    <row r="832" spans="1:2" x14ac:dyDescent="0.25">
      <c r="A832">
        <v>1224</v>
      </c>
      <c r="B832">
        <v>0</v>
      </c>
    </row>
    <row r="833" spans="1:2" x14ac:dyDescent="0.25">
      <c r="A833">
        <v>1226</v>
      </c>
      <c r="B833">
        <v>0</v>
      </c>
    </row>
    <row r="834" spans="1:2" x14ac:dyDescent="0.25">
      <c r="A834">
        <v>1227</v>
      </c>
      <c r="B834">
        <v>0</v>
      </c>
    </row>
    <row r="835" spans="1:2" x14ac:dyDescent="0.25">
      <c r="A835">
        <v>1232</v>
      </c>
      <c r="B835">
        <v>0</v>
      </c>
    </row>
    <row r="836" spans="1:2" x14ac:dyDescent="0.25">
      <c r="A836">
        <v>1234</v>
      </c>
      <c r="B836">
        <v>0</v>
      </c>
    </row>
    <row r="837" spans="1:2" x14ac:dyDescent="0.25">
      <c r="A837">
        <v>1236</v>
      </c>
      <c r="B837">
        <v>0</v>
      </c>
    </row>
    <row r="838" spans="1:2" x14ac:dyDescent="0.25">
      <c r="A838">
        <v>1239</v>
      </c>
      <c r="B838">
        <v>0</v>
      </c>
    </row>
    <row r="839" spans="1:2" x14ac:dyDescent="0.25">
      <c r="A839">
        <v>1240</v>
      </c>
      <c r="B839">
        <v>0</v>
      </c>
    </row>
    <row r="840" spans="1:2" x14ac:dyDescent="0.25">
      <c r="A840">
        <v>1241</v>
      </c>
      <c r="B840">
        <v>0</v>
      </c>
    </row>
    <row r="841" spans="1:2" x14ac:dyDescent="0.25">
      <c r="A841">
        <v>1242</v>
      </c>
      <c r="B841">
        <v>0</v>
      </c>
    </row>
    <row r="842" spans="1:2" x14ac:dyDescent="0.25">
      <c r="A842">
        <v>1243</v>
      </c>
      <c r="B842">
        <v>0</v>
      </c>
    </row>
    <row r="843" spans="1:2" x14ac:dyDescent="0.25">
      <c r="A843">
        <v>1244</v>
      </c>
      <c r="B843">
        <v>0</v>
      </c>
    </row>
    <row r="844" spans="1:2" x14ac:dyDescent="0.25">
      <c r="A844">
        <v>1245</v>
      </c>
      <c r="B844">
        <v>0</v>
      </c>
    </row>
    <row r="845" spans="1:2" x14ac:dyDescent="0.25">
      <c r="A845">
        <v>1246</v>
      </c>
      <c r="B845">
        <v>0</v>
      </c>
    </row>
    <row r="846" spans="1:2" x14ac:dyDescent="0.25">
      <c r="A846">
        <v>1247</v>
      </c>
      <c r="B846">
        <v>0</v>
      </c>
    </row>
    <row r="847" spans="1:2" x14ac:dyDescent="0.25">
      <c r="A847">
        <v>1248</v>
      </c>
      <c r="B847">
        <v>0</v>
      </c>
    </row>
    <row r="848" spans="1:2" x14ac:dyDescent="0.25">
      <c r="A848">
        <v>1254</v>
      </c>
      <c r="B848">
        <v>0</v>
      </c>
    </row>
    <row r="849" spans="1:2" x14ac:dyDescent="0.25">
      <c r="A849">
        <v>1255</v>
      </c>
      <c r="B849">
        <v>0</v>
      </c>
    </row>
    <row r="850" spans="1:2" x14ac:dyDescent="0.25">
      <c r="A850">
        <v>1256</v>
      </c>
      <c r="B850">
        <v>0</v>
      </c>
    </row>
    <row r="851" spans="1:2" x14ac:dyDescent="0.25">
      <c r="A851">
        <v>1257</v>
      </c>
      <c r="B851">
        <v>0</v>
      </c>
    </row>
    <row r="852" spans="1:2" x14ac:dyDescent="0.25">
      <c r="A852">
        <v>1259</v>
      </c>
      <c r="B852">
        <v>0</v>
      </c>
    </row>
    <row r="853" spans="1:2" x14ac:dyDescent="0.25">
      <c r="A853">
        <v>1260</v>
      </c>
      <c r="B853">
        <v>0</v>
      </c>
    </row>
    <row r="854" spans="1:2" x14ac:dyDescent="0.25">
      <c r="A854">
        <v>1262</v>
      </c>
      <c r="B854">
        <v>0</v>
      </c>
    </row>
    <row r="855" spans="1:2" x14ac:dyDescent="0.25">
      <c r="A855">
        <v>1263</v>
      </c>
      <c r="B855">
        <v>0</v>
      </c>
    </row>
    <row r="856" spans="1:2" x14ac:dyDescent="0.25">
      <c r="A856">
        <v>1266</v>
      </c>
      <c r="B856">
        <v>0</v>
      </c>
    </row>
    <row r="857" spans="1:2" x14ac:dyDescent="0.25">
      <c r="A857">
        <v>1267</v>
      </c>
      <c r="B857">
        <v>0</v>
      </c>
    </row>
    <row r="858" spans="1:2" x14ac:dyDescent="0.25">
      <c r="A858">
        <v>1269</v>
      </c>
      <c r="B858">
        <v>0</v>
      </c>
    </row>
    <row r="859" spans="1:2" x14ac:dyDescent="0.25">
      <c r="A859">
        <v>1271</v>
      </c>
      <c r="B859">
        <v>0</v>
      </c>
    </row>
    <row r="860" spans="1:2" x14ac:dyDescent="0.25">
      <c r="A860">
        <v>1273</v>
      </c>
      <c r="B860">
        <v>0</v>
      </c>
    </row>
    <row r="861" spans="1:2" x14ac:dyDescent="0.25">
      <c r="A861">
        <v>1275</v>
      </c>
      <c r="B861">
        <v>0</v>
      </c>
    </row>
    <row r="862" spans="1:2" x14ac:dyDescent="0.25">
      <c r="A862">
        <v>1277</v>
      </c>
      <c r="B862">
        <v>0</v>
      </c>
    </row>
    <row r="863" spans="1:2" x14ac:dyDescent="0.25">
      <c r="A863">
        <v>1279</v>
      </c>
      <c r="B863">
        <v>0</v>
      </c>
    </row>
    <row r="864" spans="1:2" x14ac:dyDescent="0.25">
      <c r="A864">
        <v>1281</v>
      </c>
      <c r="B864">
        <v>0</v>
      </c>
    </row>
    <row r="865" spans="1:2" x14ac:dyDescent="0.25">
      <c r="A865">
        <v>1283</v>
      </c>
      <c r="B865">
        <v>0</v>
      </c>
    </row>
    <row r="866" spans="1:2" x14ac:dyDescent="0.25">
      <c r="A866">
        <v>1285</v>
      </c>
      <c r="B866">
        <v>0</v>
      </c>
    </row>
    <row r="867" spans="1:2" x14ac:dyDescent="0.25">
      <c r="A867">
        <v>1288</v>
      </c>
      <c r="B867">
        <v>0</v>
      </c>
    </row>
    <row r="868" spans="1:2" x14ac:dyDescent="0.25">
      <c r="A868">
        <v>1290</v>
      </c>
      <c r="B868">
        <v>0</v>
      </c>
    </row>
    <row r="869" spans="1:2" x14ac:dyDescent="0.25">
      <c r="A869">
        <v>1291</v>
      </c>
      <c r="B869">
        <v>0</v>
      </c>
    </row>
    <row r="870" spans="1:2" x14ac:dyDescent="0.25">
      <c r="A870">
        <v>1292</v>
      </c>
      <c r="B870">
        <v>0</v>
      </c>
    </row>
    <row r="871" spans="1:2" x14ac:dyDescent="0.25">
      <c r="A871">
        <v>1293</v>
      </c>
      <c r="B871">
        <v>0</v>
      </c>
    </row>
    <row r="872" spans="1:2" x14ac:dyDescent="0.25">
      <c r="A872">
        <v>1294</v>
      </c>
      <c r="B872">
        <v>0</v>
      </c>
    </row>
    <row r="873" spans="1:2" x14ac:dyDescent="0.25">
      <c r="A873">
        <v>1295</v>
      </c>
      <c r="B873">
        <v>0</v>
      </c>
    </row>
    <row r="874" spans="1:2" x14ac:dyDescent="0.25">
      <c r="A874">
        <v>1296</v>
      </c>
      <c r="B874">
        <v>0</v>
      </c>
    </row>
    <row r="875" spans="1:2" x14ac:dyDescent="0.25">
      <c r="A875">
        <v>1297</v>
      </c>
      <c r="B875">
        <v>0</v>
      </c>
    </row>
    <row r="876" spans="1:2" x14ac:dyDescent="0.25">
      <c r="A876">
        <v>1298</v>
      </c>
      <c r="B876">
        <v>0</v>
      </c>
    </row>
    <row r="877" spans="1:2" x14ac:dyDescent="0.25">
      <c r="A877">
        <v>1299</v>
      </c>
      <c r="B877">
        <v>0</v>
      </c>
    </row>
    <row r="878" spans="1:2" x14ac:dyDescent="0.25">
      <c r="A878">
        <v>1300</v>
      </c>
      <c r="B878">
        <v>0</v>
      </c>
    </row>
    <row r="879" spans="1:2" x14ac:dyDescent="0.25">
      <c r="A879">
        <v>1301</v>
      </c>
      <c r="B879">
        <v>0</v>
      </c>
    </row>
    <row r="880" spans="1:2" x14ac:dyDescent="0.25">
      <c r="A880">
        <v>1302</v>
      </c>
      <c r="B880">
        <v>0</v>
      </c>
    </row>
    <row r="881" spans="1:2" x14ac:dyDescent="0.25">
      <c r="A881">
        <v>1303</v>
      </c>
      <c r="B881">
        <v>0</v>
      </c>
    </row>
    <row r="882" spans="1:2" x14ac:dyDescent="0.25">
      <c r="A882">
        <v>1304</v>
      </c>
      <c r="B882">
        <v>0</v>
      </c>
    </row>
    <row r="883" spans="1:2" x14ac:dyDescent="0.25">
      <c r="A883">
        <v>1305</v>
      </c>
      <c r="B883">
        <v>0</v>
      </c>
    </row>
    <row r="884" spans="1:2" x14ac:dyDescent="0.25">
      <c r="A884">
        <v>1306</v>
      </c>
      <c r="B884">
        <v>0</v>
      </c>
    </row>
    <row r="885" spans="1:2" x14ac:dyDescent="0.25">
      <c r="A885">
        <v>1307</v>
      </c>
      <c r="B885">
        <v>0</v>
      </c>
    </row>
    <row r="886" spans="1:2" x14ac:dyDescent="0.25">
      <c r="A886">
        <v>1309</v>
      </c>
      <c r="B886">
        <v>0</v>
      </c>
    </row>
    <row r="887" spans="1:2" x14ac:dyDescent="0.25">
      <c r="A887">
        <v>1310</v>
      </c>
      <c r="B887">
        <v>0</v>
      </c>
    </row>
    <row r="888" spans="1:2" x14ac:dyDescent="0.25">
      <c r="A888">
        <v>1311</v>
      </c>
      <c r="B888">
        <v>0</v>
      </c>
    </row>
    <row r="889" spans="1:2" x14ac:dyDescent="0.25">
      <c r="A889">
        <v>1312</v>
      </c>
      <c r="B889">
        <v>0</v>
      </c>
    </row>
    <row r="890" spans="1:2" x14ac:dyDescent="0.25">
      <c r="A890">
        <v>1313</v>
      </c>
      <c r="B890">
        <v>0</v>
      </c>
    </row>
    <row r="891" spans="1:2" x14ac:dyDescent="0.25">
      <c r="A891">
        <v>1314</v>
      </c>
      <c r="B891">
        <v>0</v>
      </c>
    </row>
    <row r="892" spans="1:2" x14ac:dyDescent="0.25">
      <c r="A892">
        <v>1315</v>
      </c>
      <c r="B892">
        <v>0</v>
      </c>
    </row>
    <row r="893" spans="1:2" x14ac:dyDescent="0.25">
      <c r="A893">
        <v>1316</v>
      </c>
      <c r="B893">
        <v>0</v>
      </c>
    </row>
    <row r="894" spans="1:2" x14ac:dyDescent="0.25">
      <c r="A894">
        <v>1317</v>
      </c>
      <c r="B894">
        <v>0</v>
      </c>
    </row>
    <row r="895" spans="1:2" x14ac:dyDescent="0.25">
      <c r="A895">
        <v>1318</v>
      </c>
      <c r="B895">
        <v>0</v>
      </c>
    </row>
    <row r="896" spans="1:2" x14ac:dyDescent="0.25">
      <c r="A896">
        <v>1319</v>
      </c>
      <c r="B896">
        <v>0</v>
      </c>
    </row>
    <row r="897" spans="1:2" x14ac:dyDescent="0.25">
      <c r="A897">
        <v>1320</v>
      </c>
      <c r="B897">
        <v>0</v>
      </c>
    </row>
    <row r="898" spans="1:2" x14ac:dyDescent="0.25">
      <c r="A898">
        <v>1321</v>
      </c>
      <c r="B898">
        <v>0</v>
      </c>
    </row>
    <row r="899" spans="1:2" x14ac:dyDescent="0.25">
      <c r="A899">
        <v>1322</v>
      </c>
      <c r="B899">
        <v>0</v>
      </c>
    </row>
    <row r="900" spans="1:2" x14ac:dyDescent="0.25">
      <c r="A900">
        <v>1323</v>
      </c>
      <c r="B900">
        <v>0</v>
      </c>
    </row>
    <row r="901" spans="1:2" x14ac:dyDescent="0.25">
      <c r="A901">
        <v>1324</v>
      </c>
      <c r="B901">
        <v>0</v>
      </c>
    </row>
    <row r="902" spans="1:2" x14ac:dyDescent="0.25">
      <c r="A902">
        <v>1325</v>
      </c>
      <c r="B902">
        <v>0</v>
      </c>
    </row>
    <row r="903" spans="1:2" x14ac:dyDescent="0.25">
      <c r="A903">
        <v>1326</v>
      </c>
      <c r="B903">
        <v>0</v>
      </c>
    </row>
    <row r="904" spans="1:2" x14ac:dyDescent="0.25">
      <c r="A904">
        <v>1327</v>
      </c>
      <c r="B904">
        <v>0</v>
      </c>
    </row>
    <row r="905" spans="1:2" x14ac:dyDescent="0.25">
      <c r="A905">
        <v>1328</v>
      </c>
      <c r="B905">
        <v>0</v>
      </c>
    </row>
    <row r="906" spans="1:2" x14ac:dyDescent="0.25">
      <c r="A906">
        <v>1329</v>
      </c>
      <c r="B906">
        <v>0</v>
      </c>
    </row>
    <row r="907" spans="1:2" x14ac:dyDescent="0.25">
      <c r="A907">
        <v>1331</v>
      </c>
      <c r="B907">
        <v>0</v>
      </c>
    </row>
    <row r="908" spans="1:2" x14ac:dyDescent="0.25">
      <c r="A908">
        <v>1333</v>
      </c>
      <c r="B908">
        <v>0</v>
      </c>
    </row>
    <row r="909" spans="1:2" x14ac:dyDescent="0.25">
      <c r="A909">
        <v>1335</v>
      </c>
      <c r="B909">
        <v>0</v>
      </c>
    </row>
    <row r="910" spans="1:2" x14ac:dyDescent="0.25">
      <c r="A910">
        <v>1336</v>
      </c>
      <c r="B910">
        <v>0</v>
      </c>
    </row>
    <row r="911" spans="1:2" x14ac:dyDescent="0.25">
      <c r="A911">
        <v>1338</v>
      </c>
      <c r="B911">
        <v>0</v>
      </c>
    </row>
    <row r="912" spans="1:2" x14ac:dyDescent="0.25">
      <c r="A912">
        <v>1340</v>
      </c>
      <c r="B912">
        <v>0</v>
      </c>
    </row>
    <row r="913" spans="1:2" x14ac:dyDescent="0.25">
      <c r="A913">
        <v>1343</v>
      </c>
      <c r="B913">
        <v>0</v>
      </c>
    </row>
    <row r="914" spans="1:2" x14ac:dyDescent="0.25">
      <c r="A914">
        <v>1345</v>
      </c>
      <c r="B914">
        <v>0</v>
      </c>
    </row>
    <row r="915" spans="1:2" x14ac:dyDescent="0.25">
      <c r="A915">
        <v>1347</v>
      </c>
      <c r="B915">
        <v>0</v>
      </c>
    </row>
    <row r="916" spans="1:2" x14ac:dyDescent="0.25">
      <c r="A916">
        <v>1349</v>
      </c>
      <c r="B916">
        <v>0</v>
      </c>
    </row>
    <row r="917" spans="1:2" x14ac:dyDescent="0.25">
      <c r="A917">
        <v>1351</v>
      </c>
      <c r="B917">
        <v>0</v>
      </c>
    </row>
    <row r="918" spans="1:2" x14ac:dyDescent="0.25">
      <c r="A918">
        <v>1353</v>
      </c>
      <c r="B918">
        <v>0</v>
      </c>
    </row>
    <row r="919" spans="1:2" x14ac:dyDescent="0.25">
      <c r="A919">
        <v>1354</v>
      </c>
      <c r="B919">
        <v>0</v>
      </c>
    </row>
    <row r="920" spans="1:2" x14ac:dyDescent="0.25">
      <c r="A920">
        <v>1356</v>
      </c>
      <c r="B920">
        <v>0</v>
      </c>
    </row>
    <row r="921" spans="1:2" x14ac:dyDescent="0.25">
      <c r="A921">
        <v>1358</v>
      </c>
      <c r="B921">
        <v>0</v>
      </c>
    </row>
    <row r="922" spans="1:2" x14ac:dyDescent="0.25">
      <c r="A922">
        <v>1360</v>
      </c>
      <c r="B922">
        <v>0</v>
      </c>
    </row>
    <row r="923" spans="1:2" x14ac:dyDescent="0.25">
      <c r="A923">
        <v>1362</v>
      </c>
      <c r="B923">
        <v>0</v>
      </c>
    </row>
    <row r="924" spans="1:2" x14ac:dyDescent="0.25">
      <c r="A924">
        <v>1363</v>
      </c>
      <c r="B924">
        <v>0</v>
      </c>
    </row>
    <row r="925" spans="1:2" x14ac:dyDescent="0.25">
      <c r="A925">
        <v>1366</v>
      </c>
      <c r="B925">
        <v>0</v>
      </c>
    </row>
    <row r="926" spans="1:2" x14ac:dyDescent="0.25">
      <c r="A926">
        <v>1368</v>
      </c>
      <c r="B926">
        <v>0</v>
      </c>
    </row>
    <row r="927" spans="1:2" x14ac:dyDescent="0.25">
      <c r="A927">
        <v>1370</v>
      </c>
      <c r="B927">
        <v>0</v>
      </c>
    </row>
    <row r="928" spans="1:2" x14ac:dyDescent="0.25">
      <c r="A928">
        <v>1371</v>
      </c>
      <c r="B928">
        <v>0</v>
      </c>
    </row>
    <row r="929" spans="1:2" x14ac:dyDescent="0.25">
      <c r="A929">
        <v>1372</v>
      </c>
      <c r="B929">
        <v>0</v>
      </c>
    </row>
    <row r="930" spans="1:2" x14ac:dyDescent="0.25">
      <c r="A930">
        <v>1373</v>
      </c>
      <c r="B930">
        <v>0</v>
      </c>
    </row>
    <row r="931" spans="1:2" x14ac:dyDescent="0.25">
      <c r="A931">
        <v>1374</v>
      </c>
      <c r="B931">
        <v>0</v>
      </c>
    </row>
    <row r="932" spans="1:2" x14ac:dyDescent="0.25">
      <c r="A932">
        <v>1376</v>
      </c>
      <c r="B932">
        <v>0</v>
      </c>
    </row>
    <row r="933" spans="1:2" x14ac:dyDescent="0.25">
      <c r="A933">
        <v>1377</v>
      </c>
      <c r="B933">
        <v>0</v>
      </c>
    </row>
    <row r="934" spans="1:2" x14ac:dyDescent="0.25">
      <c r="A934">
        <v>1379</v>
      </c>
      <c r="B934">
        <v>0</v>
      </c>
    </row>
    <row r="935" spans="1:2" x14ac:dyDescent="0.25">
      <c r="A935">
        <v>1382</v>
      </c>
      <c r="B935">
        <v>0</v>
      </c>
    </row>
    <row r="936" spans="1:2" x14ac:dyDescent="0.25">
      <c r="A936">
        <v>1383</v>
      </c>
      <c r="B936">
        <v>0</v>
      </c>
    </row>
    <row r="937" spans="1:2" x14ac:dyDescent="0.25">
      <c r="A937">
        <v>1384</v>
      </c>
      <c r="B937">
        <v>0</v>
      </c>
    </row>
    <row r="938" spans="1:2" x14ac:dyDescent="0.25">
      <c r="A938">
        <v>1385</v>
      </c>
      <c r="B938">
        <v>0</v>
      </c>
    </row>
    <row r="939" spans="1:2" x14ac:dyDescent="0.25">
      <c r="A939">
        <v>1387</v>
      </c>
      <c r="B939">
        <v>0</v>
      </c>
    </row>
    <row r="940" spans="1:2" x14ac:dyDescent="0.25">
      <c r="A940">
        <v>1388</v>
      </c>
      <c r="B940">
        <v>3</v>
      </c>
    </row>
    <row r="941" spans="1:2" x14ac:dyDescent="0.25">
      <c r="A941">
        <v>1389</v>
      </c>
      <c r="B941">
        <v>0</v>
      </c>
    </row>
    <row r="942" spans="1:2" x14ac:dyDescent="0.25">
      <c r="A942">
        <v>1390</v>
      </c>
      <c r="B942">
        <v>0</v>
      </c>
    </row>
    <row r="943" spans="1:2" x14ac:dyDescent="0.25">
      <c r="A943">
        <v>1391</v>
      </c>
      <c r="B943">
        <v>0</v>
      </c>
    </row>
    <row r="944" spans="1:2" x14ac:dyDescent="0.25">
      <c r="A944">
        <v>1393</v>
      </c>
      <c r="B944">
        <v>0</v>
      </c>
    </row>
    <row r="945" spans="1:2" x14ac:dyDescent="0.25">
      <c r="A945">
        <v>1396</v>
      </c>
      <c r="B945">
        <v>0</v>
      </c>
    </row>
    <row r="946" spans="1:2" x14ac:dyDescent="0.25">
      <c r="A946">
        <v>1397</v>
      </c>
      <c r="B946">
        <v>0</v>
      </c>
    </row>
    <row r="947" spans="1:2" x14ac:dyDescent="0.25">
      <c r="A947">
        <v>1399</v>
      </c>
      <c r="B947">
        <v>0</v>
      </c>
    </row>
    <row r="948" spans="1:2" x14ac:dyDescent="0.25">
      <c r="A948">
        <v>1400</v>
      </c>
      <c r="B948">
        <v>0</v>
      </c>
    </row>
    <row r="949" spans="1:2" x14ac:dyDescent="0.25">
      <c r="A949">
        <v>1402</v>
      </c>
      <c r="B949">
        <v>0</v>
      </c>
    </row>
    <row r="950" spans="1:2" x14ac:dyDescent="0.25">
      <c r="A950">
        <v>1403</v>
      </c>
      <c r="B950">
        <v>0</v>
      </c>
    </row>
    <row r="951" spans="1:2" x14ac:dyDescent="0.25">
      <c r="A951">
        <v>1405</v>
      </c>
      <c r="B951">
        <v>0</v>
      </c>
    </row>
    <row r="952" spans="1:2" x14ac:dyDescent="0.25">
      <c r="A952">
        <v>1407</v>
      </c>
      <c r="B952">
        <v>0</v>
      </c>
    </row>
    <row r="953" spans="1:2" x14ac:dyDescent="0.25">
      <c r="A953">
        <v>1408</v>
      </c>
      <c r="B953">
        <v>0</v>
      </c>
    </row>
    <row r="954" spans="1:2" x14ac:dyDescent="0.25">
      <c r="A954">
        <v>1410</v>
      </c>
      <c r="B954">
        <v>0</v>
      </c>
    </row>
    <row r="955" spans="1:2" x14ac:dyDescent="0.25">
      <c r="A955">
        <v>1411</v>
      </c>
      <c r="B955">
        <v>0</v>
      </c>
    </row>
    <row r="956" spans="1:2" x14ac:dyDescent="0.25">
      <c r="A956">
        <v>1412</v>
      </c>
      <c r="B956">
        <v>0</v>
      </c>
    </row>
    <row r="957" spans="1:2" x14ac:dyDescent="0.25">
      <c r="A957">
        <v>1413</v>
      </c>
      <c r="B957">
        <v>0</v>
      </c>
    </row>
    <row r="958" spans="1:2" x14ac:dyDescent="0.25">
      <c r="A958">
        <v>1414</v>
      </c>
      <c r="B958">
        <v>0</v>
      </c>
    </row>
    <row r="959" spans="1:2" x14ac:dyDescent="0.25">
      <c r="A959">
        <v>1415</v>
      </c>
      <c r="B959">
        <v>0</v>
      </c>
    </row>
    <row r="960" spans="1:2" x14ac:dyDescent="0.25">
      <c r="A960">
        <v>1416</v>
      </c>
      <c r="B960">
        <v>0</v>
      </c>
    </row>
    <row r="961" spans="1:2" x14ac:dyDescent="0.25">
      <c r="A961">
        <v>1417</v>
      </c>
      <c r="B961">
        <v>0</v>
      </c>
    </row>
    <row r="962" spans="1:2" x14ac:dyDescent="0.25">
      <c r="A962">
        <v>1418</v>
      </c>
      <c r="B962">
        <v>0</v>
      </c>
    </row>
    <row r="963" spans="1:2" x14ac:dyDescent="0.25">
      <c r="A963">
        <v>1419</v>
      </c>
      <c r="B963">
        <v>0</v>
      </c>
    </row>
    <row r="964" spans="1:2" x14ac:dyDescent="0.25">
      <c r="A964">
        <v>1420</v>
      </c>
      <c r="B964">
        <v>0</v>
      </c>
    </row>
    <row r="965" spans="1:2" x14ac:dyDescent="0.25">
      <c r="A965">
        <v>1421</v>
      </c>
      <c r="B965">
        <v>0</v>
      </c>
    </row>
    <row r="966" spans="1:2" x14ac:dyDescent="0.25">
      <c r="A966">
        <v>1422</v>
      </c>
      <c r="B966">
        <v>0</v>
      </c>
    </row>
    <row r="967" spans="1:2" x14ac:dyDescent="0.25">
      <c r="A967">
        <v>1423</v>
      </c>
      <c r="B967">
        <v>0</v>
      </c>
    </row>
    <row r="968" spans="1:2" x14ac:dyDescent="0.25">
      <c r="A968">
        <v>1424</v>
      </c>
      <c r="B968">
        <v>0</v>
      </c>
    </row>
    <row r="969" spans="1:2" x14ac:dyDescent="0.25">
      <c r="A969">
        <v>1425</v>
      </c>
      <c r="B969">
        <v>0</v>
      </c>
    </row>
    <row r="970" spans="1:2" x14ac:dyDescent="0.25">
      <c r="A970">
        <v>1427</v>
      </c>
      <c r="B970">
        <v>0</v>
      </c>
    </row>
    <row r="971" spans="1:2" x14ac:dyDescent="0.25">
      <c r="A971">
        <v>1429</v>
      </c>
      <c r="B971">
        <v>0</v>
      </c>
    </row>
    <row r="972" spans="1:2" x14ac:dyDescent="0.25">
      <c r="A972">
        <v>1431</v>
      </c>
      <c r="B972">
        <v>0</v>
      </c>
    </row>
    <row r="973" spans="1:2" x14ac:dyDescent="0.25">
      <c r="A973">
        <v>1432</v>
      </c>
      <c r="B973">
        <v>0</v>
      </c>
    </row>
    <row r="974" spans="1:2" x14ac:dyDescent="0.25">
      <c r="A974">
        <v>1434</v>
      </c>
      <c r="B974">
        <v>0</v>
      </c>
    </row>
    <row r="975" spans="1:2" x14ac:dyDescent="0.25">
      <c r="A975">
        <v>1435</v>
      </c>
      <c r="B975">
        <v>0</v>
      </c>
    </row>
    <row r="976" spans="1:2" x14ac:dyDescent="0.25">
      <c r="A976">
        <v>1436</v>
      </c>
      <c r="B976">
        <v>0</v>
      </c>
    </row>
    <row r="977" spans="1:2" x14ac:dyDescent="0.25">
      <c r="A977">
        <v>1437</v>
      </c>
      <c r="B977">
        <v>0</v>
      </c>
    </row>
    <row r="978" spans="1:2" x14ac:dyDescent="0.25">
      <c r="A978">
        <v>1438</v>
      </c>
      <c r="B978">
        <v>0</v>
      </c>
    </row>
    <row r="979" spans="1:2" x14ac:dyDescent="0.25">
      <c r="A979">
        <v>1439</v>
      </c>
      <c r="B979">
        <v>0</v>
      </c>
    </row>
    <row r="980" spans="1:2" x14ac:dyDescent="0.25">
      <c r="A980">
        <v>1440</v>
      </c>
      <c r="B980">
        <v>0</v>
      </c>
    </row>
    <row r="981" spans="1:2" x14ac:dyDescent="0.25">
      <c r="A981">
        <v>1442</v>
      </c>
      <c r="B981">
        <v>0</v>
      </c>
    </row>
    <row r="982" spans="1:2" x14ac:dyDescent="0.25">
      <c r="A982">
        <v>1444</v>
      </c>
      <c r="B982">
        <v>0</v>
      </c>
    </row>
    <row r="983" spans="1:2" x14ac:dyDescent="0.25">
      <c r="A983">
        <v>1445</v>
      </c>
      <c r="B983">
        <v>0</v>
      </c>
    </row>
    <row r="984" spans="1:2" x14ac:dyDescent="0.25">
      <c r="A984">
        <v>1450</v>
      </c>
      <c r="B984">
        <v>0</v>
      </c>
    </row>
    <row r="985" spans="1:2" x14ac:dyDescent="0.25">
      <c r="A985">
        <v>1451</v>
      </c>
      <c r="B985">
        <v>0</v>
      </c>
    </row>
    <row r="986" spans="1:2" x14ac:dyDescent="0.25">
      <c r="A986">
        <v>1452</v>
      </c>
      <c r="B986">
        <v>0</v>
      </c>
    </row>
    <row r="987" spans="1:2" x14ac:dyDescent="0.25">
      <c r="A987">
        <v>1454</v>
      </c>
      <c r="B987">
        <v>0</v>
      </c>
    </row>
    <row r="988" spans="1:2" x14ac:dyDescent="0.25">
      <c r="A988">
        <v>1456</v>
      </c>
      <c r="B988">
        <v>0</v>
      </c>
    </row>
    <row r="989" spans="1:2" x14ac:dyDescent="0.25">
      <c r="A989">
        <v>1457</v>
      </c>
      <c r="B989">
        <v>0</v>
      </c>
    </row>
    <row r="990" spans="1:2" x14ac:dyDescent="0.25">
      <c r="A990">
        <v>1458</v>
      </c>
      <c r="B990">
        <v>0</v>
      </c>
    </row>
    <row r="991" spans="1:2" x14ac:dyDescent="0.25">
      <c r="A991">
        <v>1459</v>
      </c>
      <c r="B991">
        <v>0</v>
      </c>
    </row>
    <row r="992" spans="1:2" x14ac:dyDescent="0.25">
      <c r="A992">
        <v>1460</v>
      </c>
      <c r="B992">
        <v>0</v>
      </c>
    </row>
    <row r="993" spans="1:2" x14ac:dyDescent="0.25">
      <c r="A993">
        <v>1462</v>
      </c>
      <c r="B993">
        <v>0</v>
      </c>
    </row>
    <row r="994" spans="1:2" x14ac:dyDescent="0.25">
      <c r="A994">
        <v>1464</v>
      </c>
      <c r="B994">
        <v>0</v>
      </c>
    </row>
    <row r="995" spans="1:2" x14ac:dyDescent="0.25">
      <c r="A995">
        <v>1468</v>
      </c>
      <c r="B995">
        <v>0</v>
      </c>
    </row>
    <row r="996" spans="1:2" x14ac:dyDescent="0.25">
      <c r="A996">
        <v>1469</v>
      </c>
      <c r="B996">
        <v>0</v>
      </c>
    </row>
    <row r="997" spans="1:2" x14ac:dyDescent="0.25">
      <c r="A997">
        <v>1472</v>
      </c>
      <c r="B997">
        <v>0</v>
      </c>
    </row>
    <row r="998" spans="1:2" x14ac:dyDescent="0.25">
      <c r="A998">
        <v>1474</v>
      </c>
      <c r="B998">
        <v>0</v>
      </c>
    </row>
    <row r="999" spans="1:2" x14ac:dyDescent="0.25">
      <c r="A999">
        <v>1479</v>
      </c>
      <c r="B999">
        <v>0</v>
      </c>
    </row>
    <row r="1000" spans="1:2" x14ac:dyDescent="0.25">
      <c r="A1000">
        <v>1480</v>
      </c>
      <c r="B1000">
        <v>0</v>
      </c>
    </row>
    <row r="1001" spans="1:2" x14ac:dyDescent="0.25">
      <c r="A1001">
        <v>1481</v>
      </c>
      <c r="B1001">
        <v>0</v>
      </c>
    </row>
    <row r="1002" spans="1:2" x14ac:dyDescent="0.25">
      <c r="A1002">
        <v>1482</v>
      </c>
      <c r="B1002">
        <v>0</v>
      </c>
    </row>
    <row r="1003" spans="1:2" x14ac:dyDescent="0.25">
      <c r="A1003">
        <v>1486</v>
      </c>
      <c r="B1003">
        <v>0</v>
      </c>
    </row>
    <row r="1004" spans="1:2" x14ac:dyDescent="0.25">
      <c r="A1004">
        <v>1487</v>
      </c>
      <c r="B1004">
        <v>0</v>
      </c>
    </row>
    <row r="1005" spans="1:2" x14ac:dyDescent="0.25">
      <c r="A1005">
        <v>1490</v>
      </c>
      <c r="B1005">
        <v>0</v>
      </c>
    </row>
    <row r="1006" spans="1:2" x14ac:dyDescent="0.25">
      <c r="A1006">
        <v>1493</v>
      </c>
      <c r="B1006">
        <v>0</v>
      </c>
    </row>
    <row r="1007" spans="1:2" x14ac:dyDescent="0.25">
      <c r="A1007">
        <v>1494</v>
      </c>
      <c r="B1007">
        <v>0</v>
      </c>
    </row>
    <row r="1008" spans="1:2" x14ac:dyDescent="0.25">
      <c r="A1008">
        <v>1496</v>
      </c>
      <c r="B1008">
        <v>0</v>
      </c>
    </row>
    <row r="1009" spans="1:2" x14ac:dyDescent="0.25">
      <c r="A1009">
        <v>1498</v>
      </c>
      <c r="B1009">
        <v>0</v>
      </c>
    </row>
    <row r="1010" spans="1:2" x14ac:dyDescent="0.25">
      <c r="A1010">
        <v>1500</v>
      </c>
      <c r="B1010">
        <v>0</v>
      </c>
    </row>
    <row r="1011" spans="1:2" x14ac:dyDescent="0.25">
      <c r="A1011">
        <v>1501</v>
      </c>
      <c r="B1011">
        <v>0</v>
      </c>
    </row>
    <row r="1012" spans="1:2" x14ac:dyDescent="0.25">
      <c r="A1012">
        <v>1502</v>
      </c>
      <c r="B1012">
        <v>0</v>
      </c>
    </row>
    <row r="1013" spans="1:2" x14ac:dyDescent="0.25">
      <c r="A1013">
        <v>1504</v>
      </c>
      <c r="B1013">
        <v>0</v>
      </c>
    </row>
    <row r="1014" spans="1:2" x14ac:dyDescent="0.25">
      <c r="A1014">
        <v>1507</v>
      </c>
      <c r="B1014">
        <v>0</v>
      </c>
    </row>
    <row r="1015" spans="1:2" x14ac:dyDescent="0.25">
      <c r="A1015">
        <v>1509</v>
      </c>
      <c r="B1015">
        <v>0</v>
      </c>
    </row>
    <row r="1016" spans="1:2" x14ac:dyDescent="0.25">
      <c r="A1016">
        <v>1510</v>
      </c>
      <c r="B1016">
        <v>0</v>
      </c>
    </row>
    <row r="1017" spans="1:2" x14ac:dyDescent="0.25">
      <c r="A1017">
        <v>1511</v>
      </c>
      <c r="B1017">
        <v>0</v>
      </c>
    </row>
    <row r="1018" spans="1:2" x14ac:dyDescent="0.25">
      <c r="A1018">
        <v>1513</v>
      </c>
      <c r="B1018">
        <v>0</v>
      </c>
    </row>
    <row r="1019" spans="1:2" x14ac:dyDescent="0.25">
      <c r="A1019">
        <v>1514</v>
      </c>
      <c r="B1019">
        <v>0</v>
      </c>
    </row>
    <row r="1020" spans="1:2" x14ac:dyDescent="0.25">
      <c r="A1020">
        <v>1515</v>
      </c>
      <c r="B1020">
        <v>0</v>
      </c>
    </row>
    <row r="1021" spans="1:2" x14ac:dyDescent="0.25">
      <c r="A1021">
        <v>1516</v>
      </c>
      <c r="B1021">
        <v>0</v>
      </c>
    </row>
    <row r="1022" spans="1:2" x14ac:dyDescent="0.25">
      <c r="A1022">
        <v>1517</v>
      </c>
      <c r="B1022">
        <v>0</v>
      </c>
    </row>
    <row r="1023" spans="1:2" x14ac:dyDescent="0.25">
      <c r="A1023">
        <v>1518</v>
      </c>
      <c r="B1023">
        <v>0</v>
      </c>
    </row>
    <row r="1024" spans="1:2" x14ac:dyDescent="0.25">
      <c r="A1024">
        <v>1522</v>
      </c>
      <c r="B1024">
        <v>0</v>
      </c>
    </row>
    <row r="1025" spans="1:2" x14ac:dyDescent="0.25">
      <c r="A1025">
        <v>1523</v>
      </c>
      <c r="B1025">
        <v>0</v>
      </c>
    </row>
    <row r="1026" spans="1:2" x14ac:dyDescent="0.25">
      <c r="A1026">
        <v>1524</v>
      </c>
      <c r="B1026">
        <v>0</v>
      </c>
    </row>
    <row r="1027" spans="1:2" x14ac:dyDescent="0.25">
      <c r="A1027">
        <v>1527</v>
      </c>
      <c r="B1027">
        <v>0</v>
      </c>
    </row>
    <row r="1028" spans="1:2" x14ac:dyDescent="0.25">
      <c r="A1028">
        <v>1532</v>
      </c>
      <c r="B1028">
        <v>0</v>
      </c>
    </row>
    <row r="1029" spans="1:2" x14ac:dyDescent="0.25">
      <c r="A1029">
        <v>1534</v>
      </c>
      <c r="B1029">
        <v>0</v>
      </c>
    </row>
    <row r="1030" spans="1:2" x14ac:dyDescent="0.25">
      <c r="A1030">
        <v>1536</v>
      </c>
      <c r="B1030">
        <v>0</v>
      </c>
    </row>
    <row r="1031" spans="1:2" x14ac:dyDescent="0.25">
      <c r="A1031">
        <v>1538</v>
      </c>
      <c r="B1031">
        <v>0</v>
      </c>
    </row>
    <row r="1032" spans="1:2" x14ac:dyDescent="0.25">
      <c r="A1032">
        <v>1540</v>
      </c>
      <c r="B1032">
        <v>0</v>
      </c>
    </row>
    <row r="1033" spans="1:2" x14ac:dyDescent="0.25">
      <c r="A1033">
        <v>1542</v>
      </c>
      <c r="B1033">
        <v>0</v>
      </c>
    </row>
    <row r="1034" spans="1:2" x14ac:dyDescent="0.25">
      <c r="A1034">
        <v>1546</v>
      </c>
      <c r="B1034">
        <v>0</v>
      </c>
    </row>
    <row r="1035" spans="1:2" x14ac:dyDescent="0.25">
      <c r="A1035">
        <v>1548</v>
      </c>
      <c r="B1035">
        <v>0</v>
      </c>
    </row>
    <row r="1036" spans="1:2" x14ac:dyDescent="0.25">
      <c r="A1036">
        <v>1551</v>
      </c>
      <c r="B1036">
        <v>0</v>
      </c>
    </row>
    <row r="1037" spans="1:2" x14ac:dyDescent="0.25">
      <c r="A1037">
        <v>1556</v>
      </c>
      <c r="B1037">
        <v>0</v>
      </c>
    </row>
    <row r="1038" spans="1:2" x14ac:dyDescent="0.25">
      <c r="A1038">
        <v>1559</v>
      </c>
      <c r="B1038">
        <v>0</v>
      </c>
    </row>
    <row r="1039" spans="1:2" x14ac:dyDescent="0.25">
      <c r="A1039">
        <v>1561</v>
      </c>
      <c r="B1039">
        <v>0</v>
      </c>
    </row>
    <row r="1040" spans="1:2" x14ac:dyDescent="0.25">
      <c r="A1040">
        <v>1563</v>
      </c>
      <c r="B1040">
        <v>0</v>
      </c>
    </row>
    <row r="1041" spans="1:2" x14ac:dyDescent="0.25">
      <c r="A1041">
        <v>1565</v>
      </c>
      <c r="B1041">
        <v>0</v>
      </c>
    </row>
    <row r="1042" spans="1:2" x14ac:dyDescent="0.25">
      <c r="A1042">
        <v>1568</v>
      </c>
      <c r="B1042">
        <v>0</v>
      </c>
    </row>
    <row r="1043" spans="1:2" x14ac:dyDescent="0.25">
      <c r="A1043">
        <v>1570</v>
      </c>
      <c r="B1043">
        <v>0</v>
      </c>
    </row>
    <row r="1044" spans="1:2" x14ac:dyDescent="0.25">
      <c r="A1044">
        <v>1571</v>
      </c>
      <c r="B1044">
        <v>0</v>
      </c>
    </row>
    <row r="1045" spans="1:2" x14ac:dyDescent="0.25">
      <c r="A1045">
        <v>1574</v>
      </c>
      <c r="B1045">
        <v>0</v>
      </c>
    </row>
    <row r="1046" spans="1:2" x14ac:dyDescent="0.25">
      <c r="A1046">
        <v>1579</v>
      </c>
      <c r="B1046">
        <v>0</v>
      </c>
    </row>
    <row r="1047" spans="1:2" x14ac:dyDescent="0.25">
      <c r="A1047">
        <v>1581</v>
      </c>
      <c r="B1047">
        <v>0</v>
      </c>
    </row>
    <row r="1048" spans="1:2" x14ac:dyDescent="0.25">
      <c r="A1048">
        <v>1594</v>
      </c>
      <c r="B1048">
        <v>0</v>
      </c>
    </row>
    <row r="1049" spans="1:2" x14ac:dyDescent="0.25">
      <c r="A1049">
        <v>1595</v>
      </c>
      <c r="B1049">
        <v>0</v>
      </c>
    </row>
    <row r="1050" spans="1:2" x14ac:dyDescent="0.25">
      <c r="A1050">
        <v>1596</v>
      </c>
      <c r="B1050">
        <v>0</v>
      </c>
    </row>
    <row r="1051" spans="1:2" x14ac:dyDescent="0.25">
      <c r="A1051">
        <v>1597</v>
      </c>
      <c r="B1051">
        <v>0</v>
      </c>
    </row>
    <row r="1052" spans="1:2" x14ac:dyDescent="0.25">
      <c r="A1052">
        <v>1598</v>
      </c>
      <c r="B1052">
        <v>0</v>
      </c>
    </row>
    <row r="1053" spans="1:2" x14ac:dyDescent="0.25">
      <c r="A1053">
        <v>1599</v>
      </c>
      <c r="B1053">
        <v>0</v>
      </c>
    </row>
    <row r="1054" spans="1:2" x14ac:dyDescent="0.25">
      <c r="A1054">
        <v>1600</v>
      </c>
      <c r="B1054">
        <v>0</v>
      </c>
    </row>
    <row r="1055" spans="1:2" x14ac:dyDescent="0.25">
      <c r="A1055">
        <v>1601</v>
      </c>
      <c r="B1055">
        <v>0</v>
      </c>
    </row>
    <row r="1056" spans="1:2" x14ac:dyDescent="0.25">
      <c r="A1056">
        <v>1602</v>
      </c>
      <c r="B1056">
        <v>0</v>
      </c>
    </row>
    <row r="1057" spans="1:2" x14ac:dyDescent="0.25">
      <c r="A1057">
        <v>1603</v>
      </c>
      <c r="B1057">
        <v>0</v>
      </c>
    </row>
    <row r="1058" spans="1:2" x14ac:dyDescent="0.25">
      <c r="A1058">
        <v>1604</v>
      </c>
      <c r="B1058">
        <v>0</v>
      </c>
    </row>
    <row r="1059" spans="1:2" x14ac:dyDescent="0.25">
      <c r="A1059">
        <v>1605</v>
      </c>
      <c r="B1059">
        <v>0</v>
      </c>
    </row>
    <row r="1060" spans="1:2" x14ac:dyDescent="0.25">
      <c r="A1060">
        <v>1606</v>
      </c>
      <c r="B1060">
        <v>0</v>
      </c>
    </row>
    <row r="1061" spans="1:2" x14ac:dyDescent="0.25">
      <c r="A1061">
        <v>1607</v>
      </c>
      <c r="B1061">
        <v>0</v>
      </c>
    </row>
    <row r="1062" spans="1:2" x14ac:dyDescent="0.25">
      <c r="A1062">
        <v>1608</v>
      </c>
      <c r="B1062">
        <v>0</v>
      </c>
    </row>
    <row r="1063" spans="1:2" x14ac:dyDescent="0.25">
      <c r="A1063">
        <v>1609</v>
      </c>
      <c r="B1063">
        <v>0</v>
      </c>
    </row>
    <row r="1064" spans="1:2" x14ac:dyDescent="0.25">
      <c r="A1064">
        <v>1610</v>
      </c>
      <c r="B1064">
        <v>0</v>
      </c>
    </row>
    <row r="1065" spans="1:2" x14ac:dyDescent="0.25">
      <c r="A1065">
        <v>1611</v>
      </c>
      <c r="B1065">
        <v>0</v>
      </c>
    </row>
    <row r="1066" spans="1:2" x14ac:dyDescent="0.25">
      <c r="A1066">
        <v>1612</v>
      </c>
      <c r="B1066">
        <v>0</v>
      </c>
    </row>
    <row r="1067" spans="1:2" x14ac:dyDescent="0.25">
      <c r="A1067">
        <v>1613</v>
      </c>
      <c r="B1067">
        <v>0</v>
      </c>
    </row>
    <row r="1068" spans="1:2" x14ac:dyDescent="0.25">
      <c r="A1068">
        <v>1614</v>
      </c>
      <c r="B1068">
        <v>0</v>
      </c>
    </row>
    <row r="1069" spans="1:2" x14ac:dyDescent="0.25">
      <c r="A1069">
        <v>1615</v>
      </c>
      <c r="B1069">
        <v>0</v>
      </c>
    </row>
    <row r="1070" spans="1:2" x14ac:dyDescent="0.25">
      <c r="A1070">
        <v>1616</v>
      </c>
      <c r="B1070">
        <v>0</v>
      </c>
    </row>
    <row r="1071" spans="1:2" x14ac:dyDescent="0.25">
      <c r="A1071">
        <v>1617</v>
      </c>
      <c r="B1071">
        <v>0</v>
      </c>
    </row>
    <row r="1072" spans="1:2" x14ac:dyDescent="0.25">
      <c r="A1072">
        <v>1618</v>
      </c>
      <c r="B1072">
        <v>0</v>
      </c>
    </row>
    <row r="1073" spans="1:2" x14ac:dyDescent="0.25">
      <c r="A1073">
        <v>1619</v>
      </c>
      <c r="B1073">
        <v>0</v>
      </c>
    </row>
    <row r="1074" spans="1:2" x14ac:dyDescent="0.25">
      <c r="A1074">
        <v>1620</v>
      </c>
      <c r="B1074">
        <v>0</v>
      </c>
    </row>
    <row r="1075" spans="1:2" x14ac:dyDescent="0.25">
      <c r="A1075">
        <v>1622</v>
      </c>
      <c r="B1075">
        <v>0</v>
      </c>
    </row>
    <row r="1076" spans="1:2" x14ac:dyDescent="0.25">
      <c r="A1076">
        <v>1623</v>
      </c>
      <c r="B1076">
        <v>0</v>
      </c>
    </row>
    <row r="1077" spans="1:2" x14ac:dyDescent="0.25">
      <c r="A1077">
        <v>1624</v>
      </c>
      <c r="B1077">
        <v>0</v>
      </c>
    </row>
    <row r="1078" spans="1:2" x14ac:dyDescent="0.25">
      <c r="A1078">
        <v>1625</v>
      </c>
      <c r="B1078">
        <v>0</v>
      </c>
    </row>
    <row r="1079" spans="1:2" x14ac:dyDescent="0.25">
      <c r="A1079">
        <v>1626</v>
      </c>
      <c r="B1079">
        <v>0</v>
      </c>
    </row>
    <row r="1080" spans="1:2" x14ac:dyDescent="0.25">
      <c r="A1080">
        <v>1627</v>
      </c>
      <c r="B1080">
        <v>0</v>
      </c>
    </row>
    <row r="1081" spans="1:2" x14ac:dyDescent="0.25">
      <c r="A1081">
        <v>1628</v>
      </c>
      <c r="B1081">
        <v>0</v>
      </c>
    </row>
    <row r="1082" spans="1:2" x14ac:dyDescent="0.25">
      <c r="A1082">
        <v>1629</v>
      </c>
      <c r="B1082">
        <v>0</v>
      </c>
    </row>
    <row r="1083" spans="1:2" x14ac:dyDescent="0.25">
      <c r="A1083">
        <v>1630</v>
      </c>
      <c r="B1083">
        <v>0</v>
      </c>
    </row>
    <row r="1084" spans="1:2" x14ac:dyDescent="0.25">
      <c r="A1084">
        <v>1631</v>
      </c>
      <c r="B1084">
        <v>0</v>
      </c>
    </row>
    <row r="1085" spans="1:2" x14ac:dyDescent="0.25">
      <c r="A1085">
        <v>1632</v>
      </c>
      <c r="B1085">
        <v>0</v>
      </c>
    </row>
    <row r="1086" spans="1:2" x14ac:dyDescent="0.25">
      <c r="A1086">
        <v>1633</v>
      </c>
      <c r="B1086">
        <v>0</v>
      </c>
    </row>
    <row r="1087" spans="1:2" x14ac:dyDescent="0.25">
      <c r="A1087">
        <v>1634</v>
      </c>
      <c r="B1087">
        <v>0</v>
      </c>
    </row>
    <row r="1088" spans="1:2" x14ac:dyDescent="0.25">
      <c r="A1088">
        <v>1635</v>
      </c>
      <c r="B1088">
        <v>0</v>
      </c>
    </row>
    <row r="1089" spans="1:2" x14ac:dyDescent="0.25">
      <c r="A1089">
        <v>1636</v>
      </c>
      <c r="B1089">
        <v>0</v>
      </c>
    </row>
    <row r="1090" spans="1:2" x14ac:dyDescent="0.25">
      <c r="A1090">
        <v>1637</v>
      </c>
      <c r="B1090">
        <v>0</v>
      </c>
    </row>
    <row r="1091" spans="1:2" x14ac:dyDescent="0.25">
      <c r="A1091">
        <v>1638</v>
      </c>
      <c r="B1091">
        <v>0</v>
      </c>
    </row>
    <row r="1092" spans="1:2" x14ac:dyDescent="0.25">
      <c r="A1092">
        <v>1639</v>
      </c>
      <c r="B1092">
        <v>0</v>
      </c>
    </row>
    <row r="1093" spans="1:2" x14ac:dyDescent="0.25">
      <c r="A1093">
        <v>1640</v>
      </c>
      <c r="B1093">
        <v>0</v>
      </c>
    </row>
    <row r="1094" spans="1:2" x14ac:dyDescent="0.25">
      <c r="A1094">
        <v>1641</v>
      </c>
      <c r="B1094">
        <v>0</v>
      </c>
    </row>
    <row r="1095" spans="1:2" x14ac:dyDescent="0.25">
      <c r="A1095">
        <v>1642</v>
      </c>
      <c r="B1095">
        <v>0</v>
      </c>
    </row>
    <row r="1096" spans="1:2" x14ac:dyDescent="0.25">
      <c r="A1096">
        <v>1643</v>
      </c>
      <c r="B1096">
        <v>0</v>
      </c>
    </row>
    <row r="1097" spans="1:2" x14ac:dyDescent="0.25">
      <c r="A1097">
        <v>1644</v>
      </c>
      <c r="B1097">
        <v>0</v>
      </c>
    </row>
    <row r="1098" spans="1:2" x14ac:dyDescent="0.25">
      <c r="A1098">
        <v>1645</v>
      </c>
      <c r="B1098">
        <v>0</v>
      </c>
    </row>
    <row r="1099" spans="1:2" x14ac:dyDescent="0.25">
      <c r="A1099">
        <v>1646</v>
      </c>
      <c r="B1099">
        <v>0</v>
      </c>
    </row>
    <row r="1100" spans="1:2" x14ac:dyDescent="0.25">
      <c r="A1100">
        <v>1647</v>
      </c>
      <c r="B1100">
        <v>0</v>
      </c>
    </row>
    <row r="1101" spans="1:2" x14ac:dyDescent="0.25">
      <c r="A1101">
        <v>1648</v>
      </c>
      <c r="B1101">
        <v>0</v>
      </c>
    </row>
    <row r="1102" spans="1:2" x14ac:dyDescent="0.25">
      <c r="A1102">
        <v>1649</v>
      </c>
      <c r="B1102">
        <v>0</v>
      </c>
    </row>
    <row r="1103" spans="1:2" x14ac:dyDescent="0.25">
      <c r="A1103">
        <v>1650</v>
      </c>
      <c r="B1103">
        <v>0</v>
      </c>
    </row>
    <row r="1104" spans="1:2" x14ac:dyDescent="0.25">
      <c r="A1104">
        <v>1651</v>
      </c>
      <c r="B1104">
        <v>0</v>
      </c>
    </row>
    <row r="1105" spans="1:2" x14ac:dyDescent="0.25">
      <c r="A1105">
        <v>1652</v>
      </c>
      <c r="B1105">
        <v>0</v>
      </c>
    </row>
    <row r="1106" spans="1:2" x14ac:dyDescent="0.25">
      <c r="A1106">
        <v>1653</v>
      </c>
      <c r="B1106">
        <v>0</v>
      </c>
    </row>
    <row r="1107" spans="1:2" x14ac:dyDescent="0.25">
      <c r="A1107">
        <v>1654</v>
      </c>
      <c r="B1107">
        <v>0</v>
      </c>
    </row>
    <row r="1108" spans="1:2" x14ac:dyDescent="0.25">
      <c r="A1108">
        <v>1655</v>
      </c>
      <c r="B1108">
        <v>0</v>
      </c>
    </row>
    <row r="1109" spans="1:2" x14ac:dyDescent="0.25">
      <c r="A1109">
        <v>1656</v>
      </c>
      <c r="B1109">
        <v>0</v>
      </c>
    </row>
    <row r="1110" spans="1:2" x14ac:dyDescent="0.25">
      <c r="A1110">
        <v>1657</v>
      </c>
      <c r="B1110">
        <v>0</v>
      </c>
    </row>
    <row r="1111" spans="1:2" x14ac:dyDescent="0.25">
      <c r="A1111">
        <v>1658</v>
      </c>
      <c r="B1111">
        <v>0</v>
      </c>
    </row>
    <row r="1112" spans="1:2" x14ac:dyDescent="0.25">
      <c r="A1112">
        <v>1659</v>
      </c>
      <c r="B1112">
        <v>0</v>
      </c>
    </row>
    <row r="1113" spans="1:2" x14ac:dyDescent="0.25">
      <c r="A1113">
        <v>1660</v>
      </c>
      <c r="B1113">
        <v>0</v>
      </c>
    </row>
    <row r="1114" spans="1:2" x14ac:dyDescent="0.25">
      <c r="A1114">
        <v>1661</v>
      </c>
      <c r="B1114">
        <v>0</v>
      </c>
    </row>
    <row r="1115" spans="1:2" x14ac:dyDescent="0.25">
      <c r="A1115">
        <v>1662</v>
      </c>
      <c r="B1115">
        <v>0</v>
      </c>
    </row>
    <row r="1116" spans="1:2" x14ac:dyDescent="0.25">
      <c r="A1116">
        <v>1663</v>
      </c>
      <c r="B1116">
        <v>0</v>
      </c>
    </row>
    <row r="1117" spans="1:2" x14ac:dyDescent="0.25">
      <c r="A1117">
        <v>1664</v>
      </c>
      <c r="B1117">
        <v>0</v>
      </c>
    </row>
    <row r="1118" spans="1:2" x14ac:dyDescent="0.25">
      <c r="A1118">
        <v>1665</v>
      </c>
      <c r="B1118">
        <v>0</v>
      </c>
    </row>
    <row r="1119" spans="1:2" x14ac:dyDescent="0.25">
      <c r="A1119">
        <v>1666</v>
      </c>
      <c r="B1119">
        <v>0</v>
      </c>
    </row>
    <row r="1120" spans="1:2" x14ac:dyDescent="0.25">
      <c r="A1120">
        <v>1667</v>
      </c>
      <c r="B1120">
        <v>0</v>
      </c>
    </row>
    <row r="1121" spans="1:2" x14ac:dyDescent="0.25">
      <c r="A1121">
        <v>1668</v>
      </c>
      <c r="B1121">
        <v>0</v>
      </c>
    </row>
    <row r="1122" spans="1:2" x14ac:dyDescent="0.25">
      <c r="A1122">
        <v>1669</v>
      </c>
      <c r="B1122">
        <v>0</v>
      </c>
    </row>
    <row r="1123" spans="1:2" x14ac:dyDescent="0.25">
      <c r="A1123">
        <v>1670</v>
      </c>
      <c r="B1123">
        <v>0</v>
      </c>
    </row>
    <row r="1124" spans="1:2" x14ac:dyDescent="0.25">
      <c r="A1124">
        <v>1671</v>
      </c>
      <c r="B1124">
        <v>0</v>
      </c>
    </row>
    <row r="1125" spans="1:2" x14ac:dyDescent="0.25">
      <c r="A1125">
        <v>1672</v>
      </c>
      <c r="B1125">
        <v>0</v>
      </c>
    </row>
    <row r="1126" spans="1:2" x14ac:dyDescent="0.25">
      <c r="A1126">
        <v>1673</v>
      </c>
      <c r="B1126">
        <v>0</v>
      </c>
    </row>
    <row r="1127" spans="1:2" x14ac:dyDescent="0.25">
      <c r="A1127">
        <v>1674</v>
      </c>
      <c r="B1127">
        <v>0</v>
      </c>
    </row>
    <row r="1128" spans="1:2" x14ac:dyDescent="0.25">
      <c r="A1128">
        <v>1675</v>
      </c>
      <c r="B1128">
        <v>0</v>
      </c>
    </row>
    <row r="1129" spans="1:2" x14ac:dyDescent="0.25">
      <c r="A1129">
        <v>1676</v>
      </c>
      <c r="B1129">
        <v>0</v>
      </c>
    </row>
    <row r="1130" spans="1:2" x14ac:dyDescent="0.25">
      <c r="A1130">
        <v>1677</v>
      </c>
      <c r="B1130">
        <v>0</v>
      </c>
    </row>
    <row r="1131" spans="1:2" x14ac:dyDescent="0.25">
      <c r="A1131">
        <v>1678</v>
      </c>
      <c r="B1131">
        <v>0</v>
      </c>
    </row>
    <row r="1132" spans="1:2" x14ac:dyDescent="0.25">
      <c r="A1132">
        <v>1679</v>
      </c>
      <c r="B1132">
        <v>0</v>
      </c>
    </row>
    <row r="1133" spans="1:2" x14ac:dyDescent="0.25">
      <c r="A1133">
        <v>1681</v>
      </c>
      <c r="B1133">
        <v>0</v>
      </c>
    </row>
    <row r="1134" spans="1:2" x14ac:dyDescent="0.25">
      <c r="A1134">
        <v>1683</v>
      </c>
      <c r="B1134">
        <v>0</v>
      </c>
    </row>
    <row r="1135" spans="1:2" x14ac:dyDescent="0.25">
      <c r="A1135">
        <v>1684</v>
      </c>
      <c r="B1135">
        <v>0</v>
      </c>
    </row>
    <row r="1136" spans="1:2" x14ac:dyDescent="0.25">
      <c r="A1136">
        <v>1686</v>
      </c>
      <c r="B1136">
        <v>0</v>
      </c>
    </row>
    <row r="1137" spans="1:2" x14ac:dyDescent="0.25">
      <c r="A1137">
        <v>1688</v>
      </c>
      <c r="B1137">
        <v>0</v>
      </c>
    </row>
    <row r="1138" spans="1:2" x14ac:dyDescent="0.25">
      <c r="A1138">
        <v>1690</v>
      </c>
      <c r="B1138">
        <v>0</v>
      </c>
    </row>
    <row r="1139" spans="1:2" x14ac:dyDescent="0.25">
      <c r="A1139">
        <v>1691</v>
      </c>
      <c r="B1139">
        <v>0</v>
      </c>
    </row>
    <row r="1140" spans="1:2" x14ac:dyDescent="0.25">
      <c r="A1140">
        <v>1693</v>
      </c>
      <c r="B1140">
        <v>0</v>
      </c>
    </row>
    <row r="1141" spans="1:2" x14ac:dyDescent="0.25">
      <c r="A1141">
        <v>1694</v>
      </c>
      <c r="B1141">
        <v>0</v>
      </c>
    </row>
    <row r="1142" spans="1:2" x14ac:dyDescent="0.25">
      <c r="A1142">
        <v>1695</v>
      </c>
      <c r="B1142">
        <v>3</v>
      </c>
    </row>
    <row r="1143" spans="1:2" x14ac:dyDescent="0.25">
      <c r="A1143">
        <v>1697</v>
      </c>
      <c r="B1143">
        <v>0</v>
      </c>
    </row>
    <row r="1144" spans="1:2" x14ac:dyDescent="0.25">
      <c r="A1144">
        <v>1699</v>
      </c>
      <c r="B1144">
        <v>11</v>
      </c>
    </row>
    <row r="1145" spans="1:2" x14ac:dyDescent="0.25">
      <c r="A1145">
        <v>1701</v>
      </c>
      <c r="B1145">
        <v>0</v>
      </c>
    </row>
    <row r="1146" spans="1:2" x14ac:dyDescent="0.25">
      <c r="A1146">
        <v>1703</v>
      </c>
      <c r="B1146">
        <v>0</v>
      </c>
    </row>
    <row r="1147" spans="1:2" x14ac:dyDescent="0.25">
      <c r="A1147">
        <v>1705</v>
      </c>
      <c r="B1147">
        <v>0</v>
      </c>
    </row>
    <row r="1148" spans="1:2" x14ac:dyDescent="0.25">
      <c r="A1148">
        <v>1706</v>
      </c>
      <c r="B1148">
        <v>0</v>
      </c>
    </row>
    <row r="1149" spans="1:2" x14ac:dyDescent="0.25">
      <c r="A1149">
        <v>1708</v>
      </c>
      <c r="B1149">
        <v>0</v>
      </c>
    </row>
    <row r="1150" spans="1:2" x14ac:dyDescent="0.25">
      <c r="A1150">
        <v>1709</v>
      </c>
      <c r="B1150">
        <v>0</v>
      </c>
    </row>
    <row r="1151" spans="1:2" x14ac:dyDescent="0.25">
      <c r="A1151">
        <v>1711</v>
      </c>
      <c r="B1151">
        <v>0</v>
      </c>
    </row>
    <row r="1152" spans="1:2" x14ac:dyDescent="0.25">
      <c r="A1152">
        <v>1712</v>
      </c>
      <c r="B1152">
        <v>0</v>
      </c>
    </row>
    <row r="1153" spans="1:2" x14ac:dyDescent="0.25">
      <c r="A1153">
        <v>1714</v>
      </c>
      <c r="B1153">
        <v>0</v>
      </c>
    </row>
    <row r="1154" spans="1:2" x14ac:dyDescent="0.25">
      <c r="A1154">
        <v>1716</v>
      </c>
      <c r="B1154">
        <v>0</v>
      </c>
    </row>
    <row r="1155" spans="1:2" x14ac:dyDescent="0.25">
      <c r="A1155">
        <v>1718</v>
      </c>
      <c r="B1155">
        <v>0</v>
      </c>
    </row>
    <row r="1156" spans="1:2" x14ac:dyDescent="0.25">
      <c r="A1156">
        <v>1720</v>
      </c>
      <c r="B1156">
        <v>0</v>
      </c>
    </row>
    <row r="1157" spans="1:2" x14ac:dyDescent="0.25">
      <c r="A1157">
        <v>1721</v>
      </c>
      <c r="B1157">
        <v>0</v>
      </c>
    </row>
    <row r="1158" spans="1:2" x14ac:dyDescent="0.25">
      <c r="A1158">
        <v>1723</v>
      </c>
      <c r="B1158">
        <v>0</v>
      </c>
    </row>
    <row r="1159" spans="1:2" x14ac:dyDescent="0.25">
      <c r="A1159">
        <v>1724</v>
      </c>
      <c r="B1159">
        <v>0</v>
      </c>
    </row>
    <row r="1160" spans="1:2" x14ac:dyDescent="0.25">
      <c r="A1160">
        <v>1726</v>
      </c>
      <c r="B1160">
        <v>0</v>
      </c>
    </row>
    <row r="1161" spans="1:2" x14ac:dyDescent="0.25">
      <c r="A1161">
        <v>1728</v>
      </c>
      <c r="B1161">
        <v>0</v>
      </c>
    </row>
    <row r="1162" spans="1:2" x14ac:dyDescent="0.25">
      <c r="A1162">
        <v>1730</v>
      </c>
      <c r="B1162">
        <v>0</v>
      </c>
    </row>
    <row r="1163" spans="1:2" x14ac:dyDescent="0.25">
      <c r="A1163">
        <v>1732</v>
      </c>
      <c r="B1163">
        <v>0</v>
      </c>
    </row>
    <row r="1164" spans="1:2" x14ac:dyDescent="0.25">
      <c r="A1164">
        <v>1734</v>
      </c>
      <c r="B1164">
        <v>0</v>
      </c>
    </row>
    <row r="1165" spans="1:2" x14ac:dyDescent="0.25">
      <c r="A1165">
        <v>1736</v>
      </c>
      <c r="B1165">
        <v>0</v>
      </c>
    </row>
    <row r="1166" spans="1:2" x14ac:dyDescent="0.25">
      <c r="A1166">
        <v>1738</v>
      </c>
      <c r="B1166">
        <v>0</v>
      </c>
    </row>
    <row r="1167" spans="1:2" x14ac:dyDescent="0.25">
      <c r="A1167">
        <v>1739</v>
      </c>
      <c r="B1167">
        <v>0</v>
      </c>
    </row>
    <row r="1168" spans="1:2" x14ac:dyDescent="0.25">
      <c r="A1168">
        <v>1740</v>
      </c>
      <c r="B1168">
        <v>0</v>
      </c>
    </row>
    <row r="1169" spans="1:2" x14ac:dyDescent="0.25">
      <c r="A1169">
        <v>1741</v>
      </c>
      <c r="B1169">
        <v>0</v>
      </c>
    </row>
    <row r="1170" spans="1:2" x14ac:dyDescent="0.25">
      <c r="A1170">
        <v>1742</v>
      </c>
      <c r="B1170">
        <v>0</v>
      </c>
    </row>
    <row r="1171" spans="1:2" x14ac:dyDescent="0.25">
      <c r="A1171">
        <v>1743</v>
      </c>
      <c r="B1171">
        <v>0</v>
      </c>
    </row>
    <row r="1172" spans="1:2" x14ac:dyDescent="0.25">
      <c r="A1172">
        <v>1744</v>
      </c>
      <c r="B1172">
        <v>0</v>
      </c>
    </row>
    <row r="1173" spans="1:2" x14ac:dyDescent="0.25">
      <c r="A1173">
        <v>1745</v>
      </c>
      <c r="B1173">
        <v>0</v>
      </c>
    </row>
    <row r="1174" spans="1:2" x14ac:dyDescent="0.25">
      <c r="A1174">
        <v>1748</v>
      </c>
      <c r="B1174">
        <v>0</v>
      </c>
    </row>
    <row r="1175" spans="1:2" x14ac:dyDescent="0.25">
      <c r="A1175">
        <v>1749</v>
      </c>
      <c r="B1175">
        <v>0</v>
      </c>
    </row>
    <row r="1176" spans="1:2" x14ac:dyDescent="0.25">
      <c r="A1176">
        <v>1750</v>
      </c>
      <c r="B1176">
        <v>0</v>
      </c>
    </row>
    <row r="1177" spans="1:2" x14ac:dyDescent="0.25">
      <c r="A1177">
        <v>1751</v>
      </c>
      <c r="B1177">
        <v>0</v>
      </c>
    </row>
    <row r="1178" spans="1:2" x14ac:dyDescent="0.25">
      <c r="A1178">
        <v>1752</v>
      </c>
      <c r="B1178">
        <v>0</v>
      </c>
    </row>
    <row r="1179" spans="1:2" x14ac:dyDescent="0.25">
      <c r="A1179">
        <v>1753</v>
      </c>
      <c r="B1179">
        <v>0</v>
      </c>
    </row>
    <row r="1180" spans="1:2" x14ac:dyDescent="0.25">
      <c r="A1180">
        <v>1754</v>
      </c>
      <c r="B1180">
        <v>0</v>
      </c>
    </row>
    <row r="1181" spans="1:2" x14ac:dyDescent="0.25">
      <c r="A1181">
        <v>1756</v>
      </c>
      <c r="B1181">
        <v>0</v>
      </c>
    </row>
    <row r="1182" spans="1:2" x14ac:dyDescent="0.25">
      <c r="A1182">
        <v>1758</v>
      </c>
      <c r="B1182">
        <v>0</v>
      </c>
    </row>
    <row r="1183" spans="1:2" x14ac:dyDescent="0.25">
      <c r="A1183">
        <v>1760</v>
      </c>
      <c r="B1183">
        <v>0</v>
      </c>
    </row>
    <row r="1184" spans="1:2" x14ac:dyDescent="0.25">
      <c r="A1184">
        <v>1762</v>
      </c>
      <c r="B1184">
        <v>0</v>
      </c>
    </row>
    <row r="1185" spans="1:2" x14ac:dyDescent="0.25">
      <c r="A1185">
        <v>1764</v>
      </c>
      <c r="B1185">
        <v>0</v>
      </c>
    </row>
    <row r="1186" spans="1:2" x14ac:dyDescent="0.25">
      <c r="A1186">
        <v>1766</v>
      </c>
      <c r="B1186">
        <v>0</v>
      </c>
    </row>
    <row r="1187" spans="1:2" x14ac:dyDescent="0.25">
      <c r="A1187">
        <v>1768</v>
      </c>
      <c r="B1187">
        <v>0</v>
      </c>
    </row>
    <row r="1188" spans="1:2" x14ac:dyDescent="0.25">
      <c r="A1188">
        <v>1770</v>
      </c>
      <c r="B1188">
        <v>0</v>
      </c>
    </row>
    <row r="1189" spans="1:2" x14ac:dyDescent="0.25">
      <c r="A1189">
        <v>1771</v>
      </c>
      <c r="B1189">
        <v>0</v>
      </c>
    </row>
    <row r="1190" spans="1:2" x14ac:dyDescent="0.25">
      <c r="A1190">
        <v>1773</v>
      </c>
      <c r="B1190">
        <v>0</v>
      </c>
    </row>
    <row r="1191" spans="1:2" x14ac:dyDescent="0.25">
      <c r="A1191">
        <v>1775</v>
      </c>
      <c r="B1191">
        <v>0</v>
      </c>
    </row>
    <row r="1192" spans="1:2" x14ac:dyDescent="0.25">
      <c r="A1192">
        <v>1777</v>
      </c>
      <c r="B1192">
        <v>0</v>
      </c>
    </row>
    <row r="1193" spans="1:2" x14ac:dyDescent="0.25">
      <c r="A1193">
        <v>1779</v>
      </c>
      <c r="B1193">
        <v>0</v>
      </c>
    </row>
    <row r="1194" spans="1:2" x14ac:dyDescent="0.25">
      <c r="A1194">
        <v>1780</v>
      </c>
      <c r="B1194">
        <v>0</v>
      </c>
    </row>
    <row r="1195" spans="1:2" x14ac:dyDescent="0.25">
      <c r="A1195">
        <v>1781</v>
      </c>
      <c r="B1195">
        <v>0</v>
      </c>
    </row>
    <row r="1196" spans="1:2" x14ac:dyDescent="0.25">
      <c r="A1196">
        <v>1782</v>
      </c>
      <c r="B1196">
        <v>0</v>
      </c>
    </row>
    <row r="1197" spans="1:2" x14ac:dyDescent="0.25">
      <c r="A1197">
        <v>1785</v>
      </c>
      <c r="B1197">
        <v>0</v>
      </c>
    </row>
    <row r="1198" spans="1:2" x14ac:dyDescent="0.25">
      <c r="A1198">
        <v>1786</v>
      </c>
      <c r="B1198">
        <v>0</v>
      </c>
    </row>
    <row r="1199" spans="1:2" x14ac:dyDescent="0.25">
      <c r="A1199">
        <v>1788</v>
      </c>
      <c r="B1199">
        <v>0</v>
      </c>
    </row>
    <row r="1200" spans="1:2" x14ac:dyDescent="0.25">
      <c r="A1200">
        <v>1789</v>
      </c>
      <c r="B1200">
        <v>0</v>
      </c>
    </row>
    <row r="1201" spans="1:2" x14ac:dyDescent="0.25">
      <c r="A1201">
        <v>1790</v>
      </c>
      <c r="B1201">
        <v>0</v>
      </c>
    </row>
    <row r="1202" spans="1:2" x14ac:dyDescent="0.25">
      <c r="A1202">
        <v>1791</v>
      </c>
      <c r="B1202">
        <v>0</v>
      </c>
    </row>
    <row r="1203" spans="1:2" x14ac:dyDescent="0.25">
      <c r="A1203">
        <v>1792</v>
      </c>
      <c r="B1203">
        <v>0</v>
      </c>
    </row>
    <row r="1204" spans="1:2" x14ac:dyDescent="0.25">
      <c r="A1204">
        <v>1793</v>
      </c>
      <c r="B1204">
        <v>0</v>
      </c>
    </row>
    <row r="1205" spans="1:2" x14ac:dyDescent="0.25">
      <c r="A1205">
        <v>1796</v>
      </c>
      <c r="B1205">
        <v>0</v>
      </c>
    </row>
    <row r="1206" spans="1:2" x14ac:dyDescent="0.25">
      <c r="A1206">
        <v>1797</v>
      </c>
      <c r="B1206">
        <v>0</v>
      </c>
    </row>
    <row r="1207" spans="1:2" x14ac:dyDescent="0.25">
      <c r="A1207">
        <v>1798</v>
      </c>
      <c r="B1207">
        <v>0</v>
      </c>
    </row>
    <row r="1208" spans="1:2" x14ac:dyDescent="0.25">
      <c r="A1208">
        <v>1799</v>
      </c>
      <c r="B1208">
        <v>0</v>
      </c>
    </row>
    <row r="1209" spans="1:2" x14ac:dyDescent="0.25">
      <c r="A1209">
        <v>1800</v>
      </c>
      <c r="B1209">
        <v>0</v>
      </c>
    </row>
    <row r="1210" spans="1:2" x14ac:dyDescent="0.25">
      <c r="A1210">
        <v>1801</v>
      </c>
      <c r="B1210">
        <v>0</v>
      </c>
    </row>
    <row r="1211" spans="1:2" x14ac:dyDescent="0.25">
      <c r="A1211">
        <v>1802</v>
      </c>
      <c r="B1211">
        <v>0</v>
      </c>
    </row>
    <row r="1212" spans="1:2" x14ac:dyDescent="0.25">
      <c r="A1212">
        <v>1803</v>
      </c>
      <c r="B1212">
        <v>0</v>
      </c>
    </row>
    <row r="1213" spans="1:2" x14ac:dyDescent="0.25">
      <c r="A1213">
        <v>1804</v>
      </c>
      <c r="B1213">
        <v>0</v>
      </c>
    </row>
    <row r="1214" spans="1:2" x14ac:dyDescent="0.25">
      <c r="A1214">
        <v>1805</v>
      </c>
      <c r="B1214">
        <v>0</v>
      </c>
    </row>
    <row r="1215" spans="1:2" x14ac:dyDescent="0.25">
      <c r="A1215">
        <v>1807</v>
      </c>
      <c r="B1215">
        <v>0</v>
      </c>
    </row>
    <row r="1216" spans="1:2" x14ac:dyDescent="0.25">
      <c r="A1216">
        <v>1808</v>
      </c>
      <c r="B1216">
        <v>0</v>
      </c>
    </row>
    <row r="1217" spans="1:2" x14ac:dyDescent="0.25">
      <c r="A1217">
        <v>1813</v>
      </c>
      <c r="B1217">
        <v>0</v>
      </c>
    </row>
    <row r="1218" spans="1:2" x14ac:dyDescent="0.25">
      <c r="A1218">
        <v>1815</v>
      </c>
      <c r="B1218">
        <v>0</v>
      </c>
    </row>
    <row r="1219" spans="1:2" x14ac:dyDescent="0.25">
      <c r="A1219">
        <v>1816</v>
      </c>
      <c r="B1219">
        <v>0</v>
      </c>
    </row>
    <row r="1220" spans="1:2" x14ac:dyDescent="0.25">
      <c r="A1220">
        <v>1818</v>
      </c>
      <c r="B1220">
        <v>0</v>
      </c>
    </row>
    <row r="1221" spans="1:2" x14ac:dyDescent="0.25">
      <c r="A1221">
        <v>1820</v>
      </c>
      <c r="B1221">
        <v>0</v>
      </c>
    </row>
    <row r="1222" spans="1:2" x14ac:dyDescent="0.25">
      <c r="A1222">
        <v>1822</v>
      </c>
      <c r="B1222">
        <v>0</v>
      </c>
    </row>
    <row r="1223" spans="1:2" x14ac:dyDescent="0.25">
      <c r="A1223">
        <v>1824</v>
      </c>
      <c r="B1223">
        <v>0</v>
      </c>
    </row>
    <row r="1224" spans="1:2" x14ac:dyDescent="0.25">
      <c r="A1224">
        <v>1826</v>
      </c>
      <c r="B1224">
        <v>0</v>
      </c>
    </row>
    <row r="1225" spans="1:2" x14ac:dyDescent="0.25">
      <c r="A1225">
        <v>1828</v>
      </c>
      <c r="B1225">
        <v>0</v>
      </c>
    </row>
    <row r="1226" spans="1:2" x14ac:dyDescent="0.25">
      <c r="A1226">
        <v>1830</v>
      </c>
      <c r="B1226">
        <v>0</v>
      </c>
    </row>
    <row r="1227" spans="1:2" x14ac:dyDescent="0.25">
      <c r="A1227">
        <v>1832</v>
      </c>
      <c r="B1227">
        <v>0</v>
      </c>
    </row>
    <row r="1228" spans="1:2" x14ac:dyDescent="0.25">
      <c r="A1228">
        <v>1834</v>
      </c>
      <c r="B1228">
        <v>0</v>
      </c>
    </row>
    <row r="1229" spans="1:2" x14ac:dyDescent="0.25">
      <c r="A1229">
        <v>1836</v>
      </c>
      <c r="B1229">
        <v>0</v>
      </c>
    </row>
    <row r="1230" spans="1:2" x14ac:dyDescent="0.25">
      <c r="A1230">
        <v>1838</v>
      </c>
      <c r="B1230">
        <v>0</v>
      </c>
    </row>
    <row r="1231" spans="1:2" x14ac:dyDescent="0.25">
      <c r="A1231">
        <v>1840</v>
      </c>
      <c r="B1231">
        <v>0</v>
      </c>
    </row>
    <row r="1232" spans="1:2" x14ac:dyDescent="0.25">
      <c r="A1232">
        <v>1841</v>
      </c>
      <c r="B1232">
        <v>0</v>
      </c>
    </row>
    <row r="1233" spans="1:2" x14ac:dyDescent="0.25">
      <c r="A1233">
        <v>1842</v>
      </c>
      <c r="B1233">
        <v>0</v>
      </c>
    </row>
    <row r="1234" spans="1:2" x14ac:dyDescent="0.25">
      <c r="A1234">
        <v>1843</v>
      </c>
      <c r="B1234">
        <v>0</v>
      </c>
    </row>
    <row r="1235" spans="1:2" x14ac:dyDescent="0.25">
      <c r="A1235">
        <v>1844</v>
      </c>
      <c r="B1235">
        <v>0</v>
      </c>
    </row>
    <row r="1236" spans="1:2" x14ac:dyDescent="0.25">
      <c r="A1236">
        <v>1845</v>
      </c>
      <c r="B1236">
        <v>0</v>
      </c>
    </row>
    <row r="1237" spans="1:2" x14ac:dyDescent="0.25">
      <c r="A1237">
        <v>1846</v>
      </c>
      <c r="B1237">
        <v>0</v>
      </c>
    </row>
    <row r="1238" spans="1:2" x14ac:dyDescent="0.25">
      <c r="A1238">
        <v>1847</v>
      </c>
      <c r="B1238">
        <v>0</v>
      </c>
    </row>
    <row r="1239" spans="1:2" x14ac:dyDescent="0.25">
      <c r="A1239">
        <v>1848</v>
      </c>
      <c r="B1239">
        <v>0</v>
      </c>
    </row>
    <row r="1240" spans="1:2" x14ac:dyDescent="0.25">
      <c r="A1240">
        <v>1849</v>
      </c>
      <c r="B1240">
        <v>0</v>
      </c>
    </row>
    <row r="1241" spans="1:2" x14ac:dyDescent="0.25">
      <c r="A1241">
        <v>1850</v>
      </c>
      <c r="B1241">
        <v>0</v>
      </c>
    </row>
    <row r="1242" spans="1:2" x14ac:dyDescent="0.25">
      <c r="A1242">
        <v>1851</v>
      </c>
      <c r="B1242">
        <v>0</v>
      </c>
    </row>
    <row r="1243" spans="1:2" x14ac:dyDescent="0.25">
      <c r="A1243">
        <v>1852</v>
      </c>
      <c r="B1243">
        <v>0</v>
      </c>
    </row>
    <row r="1244" spans="1:2" x14ac:dyDescent="0.25">
      <c r="A1244">
        <v>1853</v>
      </c>
      <c r="B1244">
        <v>0</v>
      </c>
    </row>
    <row r="1245" spans="1:2" x14ac:dyDescent="0.25">
      <c r="A1245">
        <v>1854</v>
      </c>
      <c r="B1245">
        <v>0</v>
      </c>
    </row>
    <row r="1246" spans="1:2" x14ac:dyDescent="0.25">
      <c r="A1246">
        <v>1855</v>
      </c>
      <c r="B1246">
        <v>0</v>
      </c>
    </row>
    <row r="1247" spans="1:2" x14ac:dyDescent="0.25">
      <c r="A1247">
        <v>1856</v>
      </c>
      <c r="B1247">
        <v>0</v>
      </c>
    </row>
    <row r="1248" spans="1:2" x14ac:dyDescent="0.25">
      <c r="A1248">
        <v>1857</v>
      </c>
      <c r="B1248">
        <v>0</v>
      </c>
    </row>
    <row r="1249" spans="1:2" x14ac:dyDescent="0.25">
      <c r="A1249">
        <v>1858</v>
      </c>
      <c r="B1249">
        <v>0</v>
      </c>
    </row>
    <row r="1250" spans="1:2" x14ac:dyDescent="0.25">
      <c r="A1250">
        <v>1859</v>
      </c>
      <c r="B1250">
        <v>0</v>
      </c>
    </row>
    <row r="1251" spans="1:2" x14ac:dyDescent="0.25">
      <c r="A1251">
        <v>1860</v>
      </c>
      <c r="B1251">
        <v>0</v>
      </c>
    </row>
    <row r="1252" spans="1:2" x14ac:dyDescent="0.25">
      <c r="A1252">
        <v>1861</v>
      </c>
      <c r="B1252">
        <v>0</v>
      </c>
    </row>
    <row r="1253" spans="1:2" x14ac:dyDescent="0.25">
      <c r="A1253">
        <v>1862</v>
      </c>
      <c r="B1253">
        <v>0</v>
      </c>
    </row>
    <row r="1254" spans="1:2" x14ac:dyDescent="0.25">
      <c r="A1254">
        <v>1863</v>
      </c>
      <c r="B1254">
        <v>0</v>
      </c>
    </row>
    <row r="1255" spans="1:2" x14ac:dyDescent="0.25">
      <c r="A1255">
        <v>1864</v>
      </c>
      <c r="B1255">
        <v>0</v>
      </c>
    </row>
    <row r="1256" spans="1:2" x14ac:dyDescent="0.25">
      <c r="A1256">
        <v>1866</v>
      </c>
      <c r="B1256">
        <v>0</v>
      </c>
    </row>
    <row r="1257" spans="1:2" x14ac:dyDescent="0.25">
      <c r="A1257">
        <v>1868</v>
      </c>
      <c r="B1257">
        <v>0</v>
      </c>
    </row>
    <row r="1258" spans="1:2" x14ac:dyDescent="0.25">
      <c r="A1258">
        <v>1869</v>
      </c>
      <c r="B1258">
        <v>0</v>
      </c>
    </row>
    <row r="1259" spans="1:2" x14ac:dyDescent="0.25">
      <c r="A1259">
        <v>1870</v>
      </c>
      <c r="B1259">
        <v>0</v>
      </c>
    </row>
    <row r="1260" spans="1:2" x14ac:dyDescent="0.25">
      <c r="A1260">
        <v>1871</v>
      </c>
      <c r="B1260">
        <v>0</v>
      </c>
    </row>
    <row r="1261" spans="1:2" x14ac:dyDescent="0.25">
      <c r="A1261">
        <v>1872</v>
      </c>
      <c r="B1261">
        <v>0</v>
      </c>
    </row>
    <row r="1262" spans="1:2" x14ac:dyDescent="0.25">
      <c r="A1262">
        <v>1873</v>
      </c>
      <c r="B1262">
        <v>0</v>
      </c>
    </row>
    <row r="1263" spans="1:2" x14ac:dyDescent="0.25">
      <c r="A1263">
        <v>1876</v>
      </c>
      <c r="B1263">
        <v>0</v>
      </c>
    </row>
    <row r="1264" spans="1:2" x14ac:dyDescent="0.25">
      <c r="A1264">
        <v>1878</v>
      </c>
      <c r="B1264">
        <v>0</v>
      </c>
    </row>
    <row r="1265" spans="1:2" x14ac:dyDescent="0.25">
      <c r="A1265">
        <v>1881</v>
      </c>
      <c r="B1265">
        <v>0</v>
      </c>
    </row>
    <row r="1266" spans="1:2" x14ac:dyDescent="0.25">
      <c r="A1266">
        <v>1884</v>
      </c>
      <c r="B1266">
        <v>0</v>
      </c>
    </row>
    <row r="1267" spans="1:2" x14ac:dyDescent="0.25">
      <c r="A1267">
        <v>1887</v>
      </c>
      <c r="B1267">
        <v>0</v>
      </c>
    </row>
    <row r="1268" spans="1:2" x14ac:dyDescent="0.25">
      <c r="A1268">
        <v>1888</v>
      </c>
      <c r="B1268">
        <v>0</v>
      </c>
    </row>
    <row r="1269" spans="1:2" x14ac:dyDescent="0.25">
      <c r="A1269">
        <v>1890</v>
      </c>
      <c r="B1269">
        <v>0</v>
      </c>
    </row>
    <row r="1270" spans="1:2" x14ac:dyDescent="0.25">
      <c r="A1270">
        <v>1891</v>
      </c>
      <c r="B1270">
        <v>0</v>
      </c>
    </row>
    <row r="1271" spans="1:2" x14ac:dyDescent="0.25">
      <c r="A1271">
        <v>1893</v>
      </c>
      <c r="B1271">
        <v>0</v>
      </c>
    </row>
    <row r="1272" spans="1:2" x14ac:dyDescent="0.25">
      <c r="A1272">
        <v>1894</v>
      </c>
      <c r="B1272">
        <v>0</v>
      </c>
    </row>
    <row r="1273" spans="1:2" x14ac:dyDescent="0.25">
      <c r="A1273">
        <v>1897</v>
      </c>
      <c r="B1273">
        <v>0</v>
      </c>
    </row>
    <row r="1274" spans="1:2" x14ac:dyDescent="0.25">
      <c r="A1274">
        <v>1898</v>
      </c>
      <c r="B1274">
        <v>0</v>
      </c>
    </row>
    <row r="1275" spans="1:2" x14ac:dyDescent="0.25">
      <c r="A1275">
        <v>1901</v>
      </c>
      <c r="B1275">
        <v>0</v>
      </c>
    </row>
    <row r="1276" spans="1:2" x14ac:dyDescent="0.25">
      <c r="A1276">
        <v>1902</v>
      </c>
      <c r="B1276">
        <v>0</v>
      </c>
    </row>
    <row r="1277" spans="1:2" x14ac:dyDescent="0.25">
      <c r="A1277">
        <v>1903</v>
      </c>
      <c r="B1277">
        <v>0</v>
      </c>
    </row>
    <row r="1278" spans="1:2" x14ac:dyDescent="0.25">
      <c r="A1278">
        <v>1904</v>
      </c>
      <c r="B1278">
        <v>0</v>
      </c>
    </row>
    <row r="1279" spans="1:2" x14ac:dyDescent="0.25">
      <c r="A1279">
        <v>1906</v>
      </c>
      <c r="B1279">
        <v>0</v>
      </c>
    </row>
    <row r="1280" spans="1:2" x14ac:dyDescent="0.25">
      <c r="A1280">
        <v>1923</v>
      </c>
      <c r="B1280">
        <v>0</v>
      </c>
    </row>
    <row r="1281" spans="1:2" x14ac:dyDescent="0.25">
      <c r="A1281">
        <v>1924</v>
      </c>
      <c r="B1281">
        <v>0</v>
      </c>
    </row>
    <row r="1282" spans="1:2" x14ac:dyDescent="0.25">
      <c r="A1282">
        <v>1925</v>
      </c>
      <c r="B1282">
        <v>0</v>
      </c>
    </row>
    <row r="1283" spans="1:2" x14ac:dyDescent="0.25">
      <c r="A1283">
        <v>1926</v>
      </c>
      <c r="B1283">
        <v>0</v>
      </c>
    </row>
    <row r="1284" spans="1:2" x14ac:dyDescent="0.25">
      <c r="A1284">
        <v>1927</v>
      </c>
      <c r="B1284">
        <v>0</v>
      </c>
    </row>
    <row r="1285" spans="1:2" x14ac:dyDescent="0.25">
      <c r="A1285">
        <v>1928</v>
      </c>
      <c r="B1285">
        <v>0</v>
      </c>
    </row>
    <row r="1286" spans="1:2" x14ac:dyDescent="0.25">
      <c r="A1286">
        <v>1929</v>
      </c>
      <c r="B1286">
        <v>0</v>
      </c>
    </row>
    <row r="1287" spans="1:2" x14ac:dyDescent="0.25">
      <c r="A1287">
        <v>1930</v>
      </c>
      <c r="B1287">
        <v>0</v>
      </c>
    </row>
    <row r="1288" spans="1:2" x14ac:dyDescent="0.25">
      <c r="A1288">
        <v>1931</v>
      </c>
      <c r="B1288">
        <v>0</v>
      </c>
    </row>
    <row r="1289" spans="1:2" x14ac:dyDescent="0.25">
      <c r="A1289">
        <v>1933</v>
      </c>
      <c r="B1289">
        <v>0</v>
      </c>
    </row>
    <row r="1290" spans="1:2" x14ac:dyDescent="0.25">
      <c r="A1290">
        <v>1935</v>
      </c>
      <c r="B1290">
        <v>0</v>
      </c>
    </row>
    <row r="1291" spans="1:2" x14ac:dyDescent="0.25">
      <c r="A1291">
        <v>1936</v>
      </c>
      <c r="B1291">
        <v>0</v>
      </c>
    </row>
    <row r="1292" spans="1:2" x14ac:dyDescent="0.25">
      <c r="A1292">
        <v>1938</v>
      </c>
      <c r="B1292">
        <v>0</v>
      </c>
    </row>
    <row r="1293" spans="1:2" x14ac:dyDescent="0.25">
      <c r="A1293">
        <v>1940</v>
      </c>
      <c r="B1293">
        <v>0</v>
      </c>
    </row>
    <row r="1294" spans="1:2" x14ac:dyDescent="0.25">
      <c r="A1294">
        <v>1942</v>
      </c>
      <c r="B1294">
        <v>0</v>
      </c>
    </row>
    <row r="1295" spans="1:2" x14ac:dyDescent="0.25">
      <c r="A1295">
        <v>1944</v>
      </c>
      <c r="B1295">
        <v>0</v>
      </c>
    </row>
    <row r="1296" spans="1:2" x14ac:dyDescent="0.25">
      <c r="A1296">
        <v>1947</v>
      </c>
      <c r="B1296">
        <v>0</v>
      </c>
    </row>
    <row r="1297" spans="1:2" x14ac:dyDescent="0.25">
      <c r="A1297">
        <v>1948</v>
      </c>
      <c r="B1297">
        <v>0</v>
      </c>
    </row>
    <row r="1298" spans="1:2" x14ac:dyDescent="0.25">
      <c r="A1298">
        <v>1949</v>
      </c>
      <c r="B1298">
        <v>0</v>
      </c>
    </row>
    <row r="1299" spans="1:2" x14ac:dyDescent="0.25">
      <c r="A1299">
        <v>1950</v>
      </c>
      <c r="B1299">
        <v>0</v>
      </c>
    </row>
    <row r="1300" spans="1:2" x14ac:dyDescent="0.25">
      <c r="A1300">
        <v>1951</v>
      </c>
      <c r="B1300">
        <v>0</v>
      </c>
    </row>
    <row r="1301" spans="1:2" x14ac:dyDescent="0.25">
      <c r="A1301">
        <v>1953</v>
      </c>
      <c r="B1301">
        <v>0</v>
      </c>
    </row>
    <row r="1302" spans="1:2" x14ac:dyDescent="0.25">
      <c r="A1302">
        <v>1955</v>
      </c>
      <c r="B1302">
        <v>0</v>
      </c>
    </row>
    <row r="1303" spans="1:2" x14ac:dyDescent="0.25">
      <c r="A1303">
        <v>1956</v>
      </c>
      <c r="B1303">
        <v>0</v>
      </c>
    </row>
    <row r="1304" spans="1:2" x14ac:dyDescent="0.25">
      <c r="A1304">
        <v>1960</v>
      </c>
      <c r="B1304">
        <v>0</v>
      </c>
    </row>
    <row r="1305" spans="1:2" x14ac:dyDescent="0.25">
      <c r="A1305">
        <v>1962</v>
      </c>
      <c r="B1305">
        <v>0</v>
      </c>
    </row>
    <row r="1306" spans="1:2" x14ac:dyDescent="0.25">
      <c r="A1306">
        <v>1964</v>
      </c>
      <c r="B1306">
        <v>0</v>
      </c>
    </row>
    <row r="1307" spans="1:2" x14ac:dyDescent="0.25">
      <c r="A1307">
        <v>1966</v>
      </c>
      <c r="B1307">
        <v>0</v>
      </c>
    </row>
    <row r="1308" spans="1:2" x14ac:dyDescent="0.25">
      <c r="A1308">
        <v>1970</v>
      </c>
      <c r="B1308">
        <v>0</v>
      </c>
    </row>
    <row r="1309" spans="1:2" x14ac:dyDescent="0.25">
      <c r="A1309">
        <v>1972</v>
      </c>
      <c r="B1309">
        <v>0</v>
      </c>
    </row>
    <row r="1310" spans="1:2" x14ac:dyDescent="0.25">
      <c r="A1310">
        <v>1974</v>
      </c>
      <c r="B1310">
        <v>0</v>
      </c>
    </row>
    <row r="1311" spans="1:2" x14ac:dyDescent="0.25">
      <c r="A1311">
        <v>1976</v>
      </c>
      <c r="B1311">
        <v>0</v>
      </c>
    </row>
    <row r="1312" spans="1:2" x14ac:dyDescent="0.25">
      <c r="A1312">
        <v>1978</v>
      </c>
      <c r="B1312">
        <v>0</v>
      </c>
    </row>
    <row r="1313" spans="1:2" x14ac:dyDescent="0.25">
      <c r="A1313">
        <v>1979</v>
      </c>
      <c r="B1313">
        <v>0</v>
      </c>
    </row>
    <row r="1314" spans="1:2" x14ac:dyDescent="0.25">
      <c r="A1314">
        <v>1980</v>
      </c>
      <c r="B1314">
        <v>0</v>
      </c>
    </row>
    <row r="1315" spans="1:2" x14ac:dyDescent="0.25">
      <c r="A1315">
        <v>1982</v>
      </c>
      <c r="B1315">
        <v>0</v>
      </c>
    </row>
    <row r="1316" spans="1:2" x14ac:dyDescent="0.25">
      <c r="A1316">
        <v>1984</v>
      </c>
      <c r="B1316">
        <v>0</v>
      </c>
    </row>
    <row r="1317" spans="1:2" x14ac:dyDescent="0.25">
      <c r="A1317">
        <v>1986</v>
      </c>
      <c r="B1317">
        <v>0</v>
      </c>
    </row>
    <row r="1318" spans="1:2" x14ac:dyDescent="0.25">
      <c r="A1318">
        <v>1988</v>
      </c>
      <c r="B1318">
        <v>0</v>
      </c>
    </row>
    <row r="1319" spans="1:2" x14ac:dyDescent="0.25">
      <c r="A1319">
        <v>1990</v>
      </c>
      <c r="B1319">
        <v>0</v>
      </c>
    </row>
    <row r="1320" spans="1:2" x14ac:dyDescent="0.25">
      <c r="A1320">
        <v>1992</v>
      </c>
      <c r="B1320">
        <v>0</v>
      </c>
    </row>
    <row r="1321" spans="1:2" x14ac:dyDescent="0.25">
      <c r="A1321">
        <v>1994</v>
      </c>
      <c r="B1321">
        <v>0</v>
      </c>
    </row>
    <row r="1322" spans="1:2" x14ac:dyDescent="0.25">
      <c r="A1322">
        <v>1996</v>
      </c>
      <c r="B1322">
        <v>0</v>
      </c>
    </row>
    <row r="1323" spans="1:2" x14ac:dyDescent="0.25">
      <c r="A1323">
        <v>1998</v>
      </c>
      <c r="B1323">
        <v>0</v>
      </c>
    </row>
    <row r="1324" spans="1:2" x14ac:dyDescent="0.25">
      <c r="A1324">
        <v>1999</v>
      </c>
      <c r="B1324">
        <v>0</v>
      </c>
    </row>
    <row r="1325" spans="1:2" x14ac:dyDescent="0.25">
      <c r="A1325">
        <v>2001</v>
      </c>
      <c r="B1325">
        <v>0</v>
      </c>
    </row>
    <row r="1326" spans="1:2" x14ac:dyDescent="0.25">
      <c r="A1326">
        <v>2002</v>
      </c>
      <c r="B1326">
        <v>0</v>
      </c>
    </row>
    <row r="1327" spans="1:2" x14ac:dyDescent="0.25">
      <c r="A1327">
        <v>2006</v>
      </c>
      <c r="B1327">
        <v>2</v>
      </c>
    </row>
    <row r="1328" spans="1:2" x14ac:dyDescent="0.25">
      <c r="A1328">
        <v>2008</v>
      </c>
      <c r="B1328">
        <v>9</v>
      </c>
    </row>
    <row r="1329" spans="1:2" x14ac:dyDescent="0.25">
      <c r="A1329">
        <v>2010</v>
      </c>
      <c r="B1329">
        <v>0</v>
      </c>
    </row>
    <row r="1330" spans="1:2" x14ac:dyDescent="0.25">
      <c r="A1330">
        <v>2012</v>
      </c>
      <c r="B1330">
        <v>0</v>
      </c>
    </row>
    <row r="1331" spans="1:2" x14ac:dyDescent="0.25">
      <c r="A1331">
        <v>2015</v>
      </c>
      <c r="B1331">
        <v>0</v>
      </c>
    </row>
    <row r="1332" spans="1:2" x14ac:dyDescent="0.25">
      <c r="A1332">
        <v>2022</v>
      </c>
      <c r="B1332">
        <v>0</v>
      </c>
    </row>
    <row r="1333" spans="1:2" x14ac:dyDescent="0.25">
      <c r="A1333">
        <v>2026</v>
      </c>
      <c r="B1333">
        <v>0</v>
      </c>
    </row>
    <row r="1334" spans="1:2" x14ac:dyDescent="0.25">
      <c r="A1334">
        <v>2029</v>
      </c>
      <c r="B1334">
        <v>0</v>
      </c>
    </row>
    <row r="1335" spans="1:2" x14ac:dyDescent="0.25">
      <c r="A1335">
        <v>2030</v>
      </c>
      <c r="B1335">
        <v>0</v>
      </c>
    </row>
    <row r="1336" spans="1:2" x14ac:dyDescent="0.25">
      <c r="A1336">
        <v>2031</v>
      </c>
      <c r="B1336">
        <v>0</v>
      </c>
    </row>
    <row r="1337" spans="1:2" x14ac:dyDescent="0.25">
      <c r="A1337">
        <v>2032</v>
      </c>
      <c r="B1337">
        <v>0</v>
      </c>
    </row>
    <row r="1338" spans="1:2" x14ac:dyDescent="0.25">
      <c r="A1338">
        <v>2033</v>
      </c>
      <c r="B1338">
        <v>0</v>
      </c>
    </row>
    <row r="1339" spans="1:2" x14ac:dyDescent="0.25">
      <c r="A1339">
        <v>2034</v>
      </c>
      <c r="B1339">
        <v>0</v>
      </c>
    </row>
    <row r="1340" spans="1:2" x14ac:dyDescent="0.25">
      <c r="A1340">
        <v>2035</v>
      </c>
      <c r="B1340">
        <v>0</v>
      </c>
    </row>
    <row r="1341" spans="1:2" x14ac:dyDescent="0.25">
      <c r="A1341">
        <v>2040</v>
      </c>
      <c r="B1341">
        <v>0</v>
      </c>
    </row>
    <row r="1342" spans="1:2" x14ac:dyDescent="0.25">
      <c r="A1342">
        <v>2041</v>
      </c>
      <c r="B1342">
        <v>0</v>
      </c>
    </row>
    <row r="1343" spans="1:2" x14ac:dyDescent="0.25">
      <c r="A1343">
        <v>2042</v>
      </c>
      <c r="B1343">
        <v>0</v>
      </c>
    </row>
    <row r="1344" spans="1:2" x14ac:dyDescent="0.25">
      <c r="A1344">
        <v>2043</v>
      </c>
      <c r="B1344">
        <v>0</v>
      </c>
    </row>
    <row r="1345" spans="1:2" x14ac:dyDescent="0.25">
      <c r="A1345">
        <v>2044</v>
      </c>
      <c r="B1345">
        <v>0</v>
      </c>
    </row>
    <row r="1346" spans="1:2" x14ac:dyDescent="0.25">
      <c r="A1346">
        <v>2045</v>
      </c>
      <c r="B1346">
        <v>0</v>
      </c>
    </row>
    <row r="1347" spans="1:2" x14ac:dyDescent="0.25">
      <c r="A1347">
        <v>2046</v>
      </c>
      <c r="B1347">
        <v>0</v>
      </c>
    </row>
    <row r="1348" spans="1:2" x14ac:dyDescent="0.25">
      <c r="A1348">
        <v>2047</v>
      </c>
      <c r="B1348">
        <v>0</v>
      </c>
    </row>
    <row r="1349" spans="1:2" x14ac:dyDescent="0.25">
      <c r="A1349">
        <v>2048</v>
      </c>
      <c r="B1349">
        <v>0</v>
      </c>
    </row>
    <row r="1350" spans="1:2" x14ac:dyDescent="0.25">
      <c r="A1350">
        <v>2049</v>
      </c>
      <c r="B1350">
        <v>0</v>
      </c>
    </row>
    <row r="1351" spans="1:2" x14ac:dyDescent="0.25">
      <c r="A1351">
        <v>2050</v>
      </c>
      <c r="B1351">
        <v>0</v>
      </c>
    </row>
    <row r="1352" spans="1:2" x14ac:dyDescent="0.25">
      <c r="A1352">
        <v>2052</v>
      </c>
      <c r="B1352">
        <v>0</v>
      </c>
    </row>
    <row r="1353" spans="1:2" x14ac:dyDescent="0.25">
      <c r="A1353">
        <v>2062</v>
      </c>
      <c r="B1353">
        <v>0</v>
      </c>
    </row>
    <row r="1354" spans="1:2" x14ac:dyDescent="0.25">
      <c r="A1354">
        <v>2064</v>
      </c>
      <c r="B1354">
        <v>0</v>
      </c>
    </row>
    <row r="1355" spans="1:2" x14ac:dyDescent="0.25">
      <c r="A1355">
        <v>2066</v>
      </c>
      <c r="B1355">
        <v>0</v>
      </c>
    </row>
    <row r="1356" spans="1:2" x14ac:dyDescent="0.25">
      <c r="A1356">
        <v>2068</v>
      </c>
      <c r="B1356">
        <v>0</v>
      </c>
    </row>
    <row r="1357" spans="1:2" x14ac:dyDescent="0.25">
      <c r="A1357">
        <v>2070</v>
      </c>
      <c r="B1357">
        <v>0</v>
      </c>
    </row>
    <row r="1358" spans="1:2" x14ac:dyDescent="0.25">
      <c r="A1358">
        <v>2072</v>
      </c>
      <c r="B1358">
        <v>0</v>
      </c>
    </row>
    <row r="1359" spans="1:2" x14ac:dyDescent="0.25">
      <c r="A1359">
        <v>2073</v>
      </c>
      <c r="B1359">
        <v>0</v>
      </c>
    </row>
    <row r="1360" spans="1:2" x14ac:dyDescent="0.25">
      <c r="A1360">
        <v>2074</v>
      </c>
      <c r="B1360">
        <v>0</v>
      </c>
    </row>
    <row r="1361" spans="1:2" x14ac:dyDescent="0.25">
      <c r="A1361">
        <v>2075</v>
      </c>
      <c r="B1361">
        <v>0</v>
      </c>
    </row>
    <row r="1362" spans="1:2" x14ac:dyDescent="0.25">
      <c r="A1362">
        <v>2081</v>
      </c>
      <c r="B1362">
        <v>0</v>
      </c>
    </row>
    <row r="1363" spans="1:2" x14ac:dyDescent="0.25">
      <c r="A1363">
        <v>2084</v>
      </c>
      <c r="B1363">
        <v>0</v>
      </c>
    </row>
    <row r="1364" spans="1:2" x14ac:dyDescent="0.25">
      <c r="A1364">
        <v>2085</v>
      </c>
      <c r="B1364">
        <v>0</v>
      </c>
    </row>
    <row r="1365" spans="1:2" x14ac:dyDescent="0.25">
      <c r="A1365">
        <v>2086</v>
      </c>
      <c r="B1365">
        <v>0</v>
      </c>
    </row>
    <row r="1366" spans="1:2" x14ac:dyDescent="0.25">
      <c r="A1366">
        <v>2088</v>
      </c>
      <c r="B1366">
        <v>0</v>
      </c>
    </row>
    <row r="1367" spans="1:2" x14ac:dyDescent="0.25">
      <c r="A1367">
        <v>2089</v>
      </c>
      <c r="B1367">
        <v>0</v>
      </c>
    </row>
    <row r="1368" spans="1:2" x14ac:dyDescent="0.25">
      <c r="A1368">
        <v>2091</v>
      </c>
      <c r="B1368">
        <v>0</v>
      </c>
    </row>
    <row r="1369" spans="1:2" x14ac:dyDescent="0.25">
      <c r="A1369">
        <v>2093</v>
      </c>
      <c r="B1369">
        <v>0</v>
      </c>
    </row>
    <row r="1370" spans="1:2" x14ac:dyDescent="0.25">
      <c r="A1370">
        <v>2094</v>
      </c>
      <c r="B1370">
        <v>0</v>
      </c>
    </row>
    <row r="1371" spans="1:2" x14ac:dyDescent="0.25">
      <c r="A1371">
        <v>2096</v>
      </c>
      <c r="B1371">
        <v>0</v>
      </c>
    </row>
    <row r="1372" spans="1:2" x14ac:dyDescent="0.25">
      <c r="A1372">
        <v>2101</v>
      </c>
      <c r="B1372">
        <v>0</v>
      </c>
    </row>
    <row r="1373" spans="1:2" x14ac:dyDescent="0.25">
      <c r="A1373">
        <v>2102</v>
      </c>
      <c r="B1373">
        <v>0</v>
      </c>
    </row>
    <row r="1374" spans="1:2" x14ac:dyDescent="0.25">
      <c r="A1374">
        <v>2103</v>
      </c>
      <c r="B1374">
        <v>0</v>
      </c>
    </row>
    <row r="1375" spans="1:2" x14ac:dyDescent="0.25">
      <c r="A1375">
        <v>2104</v>
      </c>
      <c r="B1375">
        <v>0</v>
      </c>
    </row>
    <row r="1376" spans="1:2" x14ac:dyDescent="0.25">
      <c r="A1376">
        <v>2105</v>
      </c>
      <c r="B1376">
        <v>0</v>
      </c>
    </row>
    <row r="1377" spans="1:2" x14ac:dyDescent="0.25">
      <c r="A1377">
        <v>2106</v>
      </c>
      <c r="B1377">
        <v>0</v>
      </c>
    </row>
    <row r="1378" spans="1:2" x14ac:dyDescent="0.25">
      <c r="A1378">
        <v>2107</v>
      </c>
      <c r="B1378">
        <v>0</v>
      </c>
    </row>
    <row r="1379" spans="1:2" x14ac:dyDescent="0.25">
      <c r="A1379">
        <v>2108</v>
      </c>
      <c r="B1379">
        <v>0</v>
      </c>
    </row>
    <row r="1380" spans="1:2" x14ac:dyDescent="0.25">
      <c r="A1380">
        <v>2109</v>
      </c>
      <c r="B1380">
        <v>0</v>
      </c>
    </row>
    <row r="1381" spans="1:2" x14ac:dyDescent="0.25">
      <c r="A1381">
        <v>2110</v>
      </c>
      <c r="B1381">
        <v>0</v>
      </c>
    </row>
    <row r="1382" spans="1:2" x14ac:dyDescent="0.25">
      <c r="A1382">
        <v>2111</v>
      </c>
      <c r="B1382">
        <v>0</v>
      </c>
    </row>
    <row r="1383" spans="1:2" x14ac:dyDescent="0.25">
      <c r="A1383">
        <v>2112</v>
      </c>
      <c r="B1383">
        <v>0</v>
      </c>
    </row>
    <row r="1384" spans="1:2" x14ac:dyDescent="0.25">
      <c r="A1384">
        <v>2113</v>
      </c>
      <c r="B1384">
        <v>0</v>
      </c>
    </row>
    <row r="1385" spans="1:2" x14ac:dyDescent="0.25">
      <c r="A1385">
        <v>2115</v>
      </c>
      <c r="B1385">
        <v>0</v>
      </c>
    </row>
    <row r="1386" spans="1:2" x14ac:dyDescent="0.25">
      <c r="A1386">
        <v>2117</v>
      </c>
      <c r="B1386">
        <v>0</v>
      </c>
    </row>
    <row r="1387" spans="1:2" x14ac:dyDescent="0.25">
      <c r="A1387">
        <v>2119</v>
      </c>
      <c r="B1387">
        <v>0</v>
      </c>
    </row>
    <row r="1388" spans="1:2" x14ac:dyDescent="0.25">
      <c r="A1388">
        <v>2123</v>
      </c>
      <c r="B1388">
        <v>0</v>
      </c>
    </row>
    <row r="1389" spans="1:2" x14ac:dyDescent="0.25">
      <c r="A1389">
        <v>2125</v>
      </c>
      <c r="B1389">
        <v>0</v>
      </c>
    </row>
    <row r="1390" spans="1:2" x14ac:dyDescent="0.25">
      <c r="A1390">
        <v>2126</v>
      </c>
      <c r="B1390">
        <v>0</v>
      </c>
    </row>
    <row r="1391" spans="1:2" x14ac:dyDescent="0.25">
      <c r="A1391">
        <v>2127</v>
      </c>
      <c r="B1391">
        <v>0</v>
      </c>
    </row>
    <row r="1392" spans="1:2" x14ac:dyDescent="0.25">
      <c r="A1392">
        <v>2128</v>
      </c>
      <c r="B1392">
        <v>0</v>
      </c>
    </row>
    <row r="1393" spans="1:2" x14ac:dyDescent="0.25">
      <c r="A1393">
        <v>2129</v>
      </c>
      <c r="B1393">
        <v>0</v>
      </c>
    </row>
    <row r="1394" spans="1:2" x14ac:dyDescent="0.25">
      <c r="A1394">
        <v>2130</v>
      </c>
      <c r="B1394">
        <v>0</v>
      </c>
    </row>
    <row r="1395" spans="1:2" x14ac:dyDescent="0.25">
      <c r="A1395">
        <v>2132</v>
      </c>
      <c r="B1395">
        <v>0</v>
      </c>
    </row>
    <row r="1396" spans="1:2" x14ac:dyDescent="0.25">
      <c r="A1396">
        <v>2134</v>
      </c>
      <c r="B1396">
        <v>0</v>
      </c>
    </row>
    <row r="1397" spans="1:2" x14ac:dyDescent="0.25">
      <c r="A1397">
        <v>2137</v>
      </c>
      <c r="B1397">
        <v>0</v>
      </c>
    </row>
    <row r="1398" spans="1:2" x14ac:dyDescent="0.25">
      <c r="A1398">
        <v>2139</v>
      </c>
      <c r="B1398">
        <v>0</v>
      </c>
    </row>
    <row r="1399" spans="1:2" x14ac:dyDescent="0.25">
      <c r="A1399">
        <v>2141</v>
      </c>
      <c r="B1399">
        <v>0</v>
      </c>
    </row>
    <row r="1400" spans="1:2" x14ac:dyDescent="0.25">
      <c r="A1400">
        <v>2142</v>
      </c>
      <c r="B1400">
        <v>0</v>
      </c>
    </row>
    <row r="1401" spans="1:2" x14ac:dyDescent="0.25">
      <c r="A1401">
        <v>2144</v>
      </c>
      <c r="B1401">
        <v>0</v>
      </c>
    </row>
    <row r="1402" spans="1:2" x14ac:dyDescent="0.25">
      <c r="A1402">
        <v>2145</v>
      </c>
      <c r="B1402">
        <v>0</v>
      </c>
    </row>
    <row r="1403" spans="1:2" x14ac:dyDescent="0.25">
      <c r="A1403">
        <v>2146</v>
      </c>
      <c r="B1403">
        <v>0</v>
      </c>
    </row>
    <row r="1404" spans="1:2" x14ac:dyDescent="0.25">
      <c r="A1404">
        <v>2147</v>
      </c>
      <c r="B1404">
        <v>0</v>
      </c>
    </row>
    <row r="1405" spans="1:2" x14ac:dyDescent="0.25">
      <c r="A1405">
        <v>2150</v>
      </c>
      <c r="B1405">
        <v>0</v>
      </c>
    </row>
    <row r="1406" spans="1:2" x14ac:dyDescent="0.25">
      <c r="A1406">
        <v>2151</v>
      </c>
      <c r="B1406">
        <v>0</v>
      </c>
    </row>
    <row r="1407" spans="1:2" x14ac:dyDescent="0.25">
      <c r="A1407">
        <v>2152</v>
      </c>
      <c r="B1407">
        <v>0</v>
      </c>
    </row>
    <row r="1408" spans="1:2" x14ac:dyDescent="0.25">
      <c r="A1408">
        <v>2154</v>
      </c>
      <c r="B1408">
        <v>0</v>
      </c>
    </row>
    <row r="1409" spans="1:2" x14ac:dyDescent="0.25">
      <c r="A1409">
        <v>2156</v>
      </c>
      <c r="B1409">
        <v>0</v>
      </c>
    </row>
    <row r="1410" spans="1:2" x14ac:dyDescent="0.25">
      <c r="A1410">
        <v>2158</v>
      </c>
      <c r="B1410">
        <v>0</v>
      </c>
    </row>
    <row r="1411" spans="1:2" x14ac:dyDescent="0.25">
      <c r="A1411">
        <v>2160</v>
      </c>
      <c r="B1411">
        <v>0</v>
      </c>
    </row>
    <row r="1412" spans="1:2" x14ac:dyDescent="0.25">
      <c r="A1412">
        <v>2162</v>
      </c>
      <c r="B1412">
        <v>0</v>
      </c>
    </row>
    <row r="1413" spans="1:2" x14ac:dyDescent="0.25">
      <c r="A1413">
        <v>2164</v>
      </c>
      <c r="B1413">
        <v>0</v>
      </c>
    </row>
    <row r="1414" spans="1:2" x14ac:dyDescent="0.25">
      <c r="A1414">
        <v>2166</v>
      </c>
      <c r="B1414">
        <v>0</v>
      </c>
    </row>
    <row r="1415" spans="1:2" x14ac:dyDescent="0.25">
      <c r="A1415">
        <v>2168</v>
      </c>
      <c r="B1415">
        <v>0</v>
      </c>
    </row>
    <row r="1416" spans="1:2" x14ac:dyDescent="0.25">
      <c r="A1416">
        <v>2170</v>
      </c>
      <c r="B1416">
        <v>0</v>
      </c>
    </row>
    <row r="1417" spans="1:2" x14ac:dyDescent="0.25">
      <c r="A1417">
        <v>2172</v>
      </c>
      <c r="B1417">
        <v>0</v>
      </c>
    </row>
    <row r="1418" spans="1:2" x14ac:dyDescent="0.25">
      <c r="A1418">
        <v>2174</v>
      </c>
      <c r="B1418">
        <v>0</v>
      </c>
    </row>
    <row r="1419" spans="1:2" x14ac:dyDescent="0.25">
      <c r="A1419">
        <v>2176</v>
      </c>
      <c r="B1419">
        <v>0</v>
      </c>
    </row>
    <row r="1420" spans="1:2" x14ac:dyDescent="0.25">
      <c r="A1420">
        <v>2178</v>
      </c>
      <c r="B1420">
        <v>0</v>
      </c>
    </row>
    <row r="1421" spans="1:2" x14ac:dyDescent="0.25">
      <c r="A1421">
        <v>2180</v>
      </c>
      <c r="B1421">
        <v>0</v>
      </c>
    </row>
    <row r="1422" spans="1:2" x14ac:dyDescent="0.25">
      <c r="A1422">
        <v>2182</v>
      </c>
      <c r="B1422">
        <v>0</v>
      </c>
    </row>
    <row r="1423" spans="1:2" x14ac:dyDescent="0.25">
      <c r="A1423">
        <v>2184</v>
      </c>
      <c r="B1423">
        <v>0</v>
      </c>
    </row>
    <row r="1424" spans="1:2" x14ac:dyDescent="0.25">
      <c r="A1424">
        <v>2186</v>
      </c>
      <c r="B1424">
        <v>0</v>
      </c>
    </row>
    <row r="1425" spans="1:2" x14ac:dyDescent="0.25">
      <c r="A1425">
        <v>2188</v>
      </c>
      <c r="B1425">
        <v>0</v>
      </c>
    </row>
    <row r="1426" spans="1:2" x14ac:dyDescent="0.25">
      <c r="A1426">
        <v>2190</v>
      </c>
      <c r="B1426">
        <v>0</v>
      </c>
    </row>
    <row r="1427" spans="1:2" x14ac:dyDescent="0.25">
      <c r="A1427">
        <v>2192</v>
      </c>
      <c r="B1427">
        <v>0</v>
      </c>
    </row>
    <row r="1428" spans="1:2" x14ac:dyDescent="0.25">
      <c r="A1428">
        <v>2194</v>
      </c>
      <c r="B1428">
        <v>0</v>
      </c>
    </row>
    <row r="1429" spans="1:2" x14ac:dyDescent="0.25">
      <c r="A1429">
        <v>2196</v>
      </c>
      <c r="B1429">
        <v>0</v>
      </c>
    </row>
    <row r="1430" spans="1:2" x14ac:dyDescent="0.25">
      <c r="A1430">
        <v>2197</v>
      </c>
      <c r="B1430">
        <v>0</v>
      </c>
    </row>
    <row r="1431" spans="1:2" x14ac:dyDescent="0.25">
      <c r="A1431">
        <v>2199</v>
      </c>
      <c r="B1431">
        <v>0</v>
      </c>
    </row>
    <row r="1432" spans="1:2" x14ac:dyDescent="0.25">
      <c r="A1432">
        <v>2201</v>
      </c>
      <c r="B1432">
        <v>0</v>
      </c>
    </row>
    <row r="1433" spans="1:2" x14ac:dyDescent="0.25">
      <c r="A1433">
        <v>2203</v>
      </c>
      <c r="B1433">
        <v>0</v>
      </c>
    </row>
    <row r="1434" spans="1:2" x14ac:dyDescent="0.25">
      <c r="A1434">
        <v>2205</v>
      </c>
      <c r="B1434">
        <v>0</v>
      </c>
    </row>
    <row r="1435" spans="1:2" x14ac:dyDescent="0.25">
      <c r="A1435">
        <v>2212</v>
      </c>
      <c r="B1435">
        <v>0</v>
      </c>
    </row>
    <row r="1436" spans="1:2" x14ac:dyDescent="0.25">
      <c r="A1436">
        <v>2213</v>
      </c>
      <c r="B1436">
        <v>0</v>
      </c>
    </row>
    <row r="1437" spans="1:2" x14ac:dyDescent="0.25">
      <c r="A1437">
        <v>2214</v>
      </c>
      <c r="B1437">
        <v>0</v>
      </c>
    </row>
    <row r="1438" spans="1:2" x14ac:dyDescent="0.25">
      <c r="A1438">
        <v>2215</v>
      </c>
      <c r="B1438">
        <v>0</v>
      </c>
    </row>
    <row r="1439" spans="1:2" x14ac:dyDescent="0.25">
      <c r="A1439">
        <v>2216</v>
      </c>
      <c r="B1439">
        <v>0</v>
      </c>
    </row>
    <row r="1440" spans="1:2" x14ac:dyDescent="0.25">
      <c r="A1440">
        <v>2217</v>
      </c>
      <c r="B1440">
        <v>0</v>
      </c>
    </row>
    <row r="1441" spans="1:2" x14ac:dyDescent="0.25">
      <c r="A1441">
        <v>2218</v>
      </c>
      <c r="B1441">
        <v>0</v>
      </c>
    </row>
    <row r="1442" spans="1:2" x14ac:dyDescent="0.25">
      <c r="A1442">
        <v>2219</v>
      </c>
      <c r="B1442">
        <v>0</v>
      </c>
    </row>
    <row r="1443" spans="1:2" x14ac:dyDescent="0.25">
      <c r="A1443">
        <v>2220</v>
      </c>
      <c r="B1443">
        <v>0</v>
      </c>
    </row>
    <row r="1444" spans="1:2" x14ac:dyDescent="0.25">
      <c r="A1444">
        <v>2222</v>
      </c>
      <c r="B1444">
        <v>0</v>
      </c>
    </row>
    <row r="1445" spans="1:2" x14ac:dyDescent="0.25">
      <c r="A1445">
        <v>2223</v>
      </c>
      <c r="B1445">
        <v>0</v>
      </c>
    </row>
    <row r="1446" spans="1:2" x14ac:dyDescent="0.25">
      <c r="A1446">
        <v>2224</v>
      </c>
      <c r="B1446">
        <v>0</v>
      </c>
    </row>
    <row r="1447" spans="1:2" x14ac:dyDescent="0.25">
      <c r="A1447">
        <v>2225</v>
      </c>
      <c r="B1447">
        <v>0</v>
      </c>
    </row>
    <row r="1448" spans="1:2" x14ac:dyDescent="0.25">
      <c r="A1448">
        <v>2226</v>
      </c>
      <c r="B1448">
        <v>0</v>
      </c>
    </row>
    <row r="1449" spans="1:2" x14ac:dyDescent="0.25">
      <c r="A1449">
        <v>2227</v>
      </c>
      <c r="B1449">
        <v>0</v>
      </c>
    </row>
    <row r="1450" spans="1:2" x14ac:dyDescent="0.25">
      <c r="A1450">
        <v>2228</v>
      </c>
      <c r="B1450">
        <v>0</v>
      </c>
    </row>
    <row r="1451" spans="1:2" x14ac:dyDescent="0.25">
      <c r="A1451">
        <v>2230</v>
      </c>
      <c r="B1451">
        <v>0</v>
      </c>
    </row>
    <row r="1452" spans="1:2" x14ac:dyDescent="0.25">
      <c r="A1452">
        <v>2231</v>
      </c>
      <c r="B1452">
        <v>0</v>
      </c>
    </row>
    <row r="1453" spans="1:2" x14ac:dyDescent="0.25">
      <c r="A1453">
        <v>2233</v>
      </c>
      <c r="B1453">
        <v>0</v>
      </c>
    </row>
    <row r="1454" spans="1:2" x14ac:dyDescent="0.25">
      <c r="A1454">
        <v>2236</v>
      </c>
      <c r="B1454">
        <v>0</v>
      </c>
    </row>
    <row r="1455" spans="1:2" x14ac:dyDescent="0.25">
      <c r="A1455">
        <v>2237</v>
      </c>
      <c r="B1455">
        <v>0</v>
      </c>
    </row>
    <row r="1456" spans="1:2" x14ac:dyDescent="0.25">
      <c r="A1456">
        <v>2239</v>
      </c>
      <c r="B1456">
        <v>0</v>
      </c>
    </row>
    <row r="1457" spans="1:2" x14ac:dyDescent="0.25">
      <c r="A1457">
        <v>2240</v>
      </c>
      <c r="B1457">
        <v>0</v>
      </c>
    </row>
    <row r="1458" spans="1:2" x14ac:dyDescent="0.25">
      <c r="A1458">
        <v>2242</v>
      </c>
      <c r="B1458">
        <v>0</v>
      </c>
    </row>
    <row r="1459" spans="1:2" x14ac:dyDescent="0.25">
      <c r="A1459">
        <v>2243</v>
      </c>
      <c r="B1459">
        <v>0</v>
      </c>
    </row>
    <row r="1460" spans="1:2" x14ac:dyDescent="0.25">
      <c r="A1460">
        <v>2244</v>
      </c>
      <c r="B1460">
        <v>0</v>
      </c>
    </row>
    <row r="1461" spans="1:2" x14ac:dyDescent="0.25">
      <c r="A1461">
        <v>2245</v>
      </c>
      <c r="B1461">
        <v>0</v>
      </c>
    </row>
    <row r="1462" spans="1:2" x14ac:dyDescent="0.25">
      <c r="A1462">
        <v>2246</v>
      </c>
      <c r="B1462">
        <v>0</v>
      </c>
    </row>
    <row r="1463" spans="1:2" x14ac:dyDescent="0.25">
      <c r="A1463">
        <v>2248</v>
      </c>
      <c r="B1463">
        <v>0</v>
      </c>
    </row>
    <row r="1464" spans="1:2" x14ac:dyDescent="0.25">
      <c r="A1464">
        <v>2249</v>
      </c>
      <c r="B1464">
        <v>0</v>
      </c>
    </row>
    <row r="1465" spans="1:2" x14ac:dyDescent="0.25">
      <c r="A1465">
        <v>2250</v>
      </c>
      <c r="B1465">
        <v>0</v>
      </c>
    </row>
    <row r="1466" spans="1:2" x14ac:dyDescent="0.25">
      <c r="A1466">
        <v>2251</v>
      </c>
      <c r="B1466">
        <v>0</v>
      </c>
    </row>
    <row r="1467" spans="1:2" x14ac:dyDescent="0.25">
      <c r="A1467">
        <v>2252</v>
      </c>
      <c r="B1467">
        <v>0</v>
      </c>
    </row>
    <row r="1468" spans="1:2" x14ac:dyDescent="0.25">
      <c r="A1468">
        <v>2253</v>
      </c>
      <c r="B1468">
        <v>0</v>
      </c>
    </row>
    <row r="1469" spans="1:2" x14ac:dyDescent="0.25">
      <c r="A1469">
        <v>2254</v>
      </c>
      <c r="B1469">
        <v>0</v>
      </c>
    </row>
    <row r="1470" spans="1:2" x14ac:dyDescent="0.25">
      <c r="A1470">
        <v>2255</v>
      </c>
      <c r="B1470">
        <v>0</v>
      </c>
    </row>
    <row r="1471" spans="1:2" x14ac:dyDescent="0.25">
      <c r="A1471">
        <v>2256</v>
      </c>
      <c r="B1471">
        <v>0</v>
      </c>
    </row>
    <row r="1472" spans="1:2" x14ac:dyDescent="0.25">
      <c r="A1472">
        <v>2257</v>
      </c>
      <c r="B1472">
        <v>0</v>
      </c>
    </row>
    <row r="1473" spans="1:2" x14ac:dyDescent="0.25">
      <c r="A1473">
        <v>2258</v>
      </c>
      <c r="B1473">
        <v>0</v>
      </c>
    </row>
    <row r="1474" spans="1:2" x14ac:dyDescent="0.25">
      <c r="A1474">
        <v>2260</v>
      </c>
      <c r="B1474">
        <v>0</v>
      </c>
    </row>
    <row r="1475" spans="1:2" x14ac:dyDescent="0.25">
      <c r="A1475">
        <v>2262</v>
      </c>
      <c r="B1475">
        <v>0</v>
      </c>
    </row>
    <row r="1476" spans="1:2" x14ac:dyDescent="0.25">
      <c r="A1476">
        <v>2264</v>
      </c>
      <c r="B1476">
        <v>0</v>
      </c>
    </row>
    <row r="1477" spans="1:2" x14ac:dyDescent="0.25">
      <c r="A1477">
        <v>2265</v>
      </c>
      <c r="B1477">
        <v>0</v>
      </c>
    </row>
    <row r="1478" spans="1:2" x14ac:dyDescent="0.25">
      <c r="A1478">
        <v>2267</v>
      </c>
      <c r="B1478">
        <v>0</v>
      </c>
    </row>
    <row r="1479" spans="1:2" x14ac:dyDescent="0.25">
      <c r="A1479">
        <v>2269</v>
      </c>
      <c r="B1479">
        <v>0</v>
      </c>
    </row>
    <row r="1480" spans="1:2" x14ac:dyDescent="0.25">
      <c r="A1480">
        <v>2271</v>
      </c>
      <c r="B1480">
        <v>0</v>
      </c>
    </row>
    <row r="1481" spans="1:2" x14ac:dyDescent="0.25">
      <c r="A1481">
        <v>2273</v>
      </c>
      <c r="B1481">
        <v>0</v>
      </c>
    </row>
    <row r="1482" spans="1:2" x14ac:dyDescent="0.25">
      <c r="A1482">
        <v>2275</v>
      </c>
      <c r="B1482">
        <v>0</v>
      </c>
    </row>
    <row r="1483" spans="1:2" x14ac:dyDescent="0.25">
      <c r="A1483">
        <v>2277</v>
      </c>
      <c r="B1483">
        <v>0</v>
      </c>
    </row>
    <row r="1484" spans="1:2" x14ac:dyDescent="0.25">
      <c r="A1484">
        <v>2279</v>
      </c>
      <c r="B1484">
        <v>0</v>
      </c>
    </row>
    <row r="1485" spans="1:2" x14ac:dyDescent="0.25">
      <c r="A1485">
        <v>2281</v>
      </c>
      <c r="B1485">
        <v>0</v>
      </c>
    </row>
    <row r="1486" spans="1:2" x14ac:dyDescent="0.25">
      <c r="A1486">
        <v>2283</v>
      </c>
      <c r="B1486">
        <v>0</v>
      </c>
    </row>
    <row r="1487" spans="1:2" x14ac:dyDescent="0.25">
      <c r="A1487">
        <v>2285</v>
      </c>
      <c r="B1487">
        <v>0</v>
      </c>
    </row>
    <row r="1488" spans="1:2" x14ac:dyDescent="0.25">
      <c r="A1488">
        <v>2286</v>
      </c>
      <c r="B1488">
        <v>0</v>
      </c>
    </row>
    <row r="1489" spans="1:2" x14ac:dyDescent="0.25">
      <c r="A1489">
        <v>2287</v>
      </c>
      <c r="B1489">
        <v>0</v>
      </c>
    </row>
    <row r="1490" spans="1:2" x14ac:dyDescent="0.25">
      <c r="A1490">
        <v>2288</v>
      </c>
      <c r="B1490">
        <v>0</v>
      </c>
    </row>
    <row r="1491" spans="1:2" x14ac:dyDescent="0.25">
      <c r="A1491">
        <v>2289</v>
      </c>
      <c r="B1491">
        <v>0</v>
      </c>
    </row>
    <row r="1492" spans="1:2" x14ac:dyDescent="0.25">
      <c r="A1492">
        <v>2290</v>
      </c>
      <c r="B1492">
        <v>0</v>
      </c>
    </row>
    <row r="1493" spans="1:2" x14ac:dyDescent="0.25">
      <c r="A1493">
        <v>2291</v>
      </c>
      <c r="B1493">
        <v>0</v>
      </c>
    </row>
    <row r="1494" spans="1:2" x14ac:dyDescent="0.25">
      <c r="A1494">
        <v>2292</v>
      </c>
      <c r="B1494">
        <v>0</v>
      </c>
    </row>
    <row r="1495" spans="1:2" x14ac:dyDescent="0.25">
      <c r="A1495">
        <v>2293</v>
      </c>
      <c r="B1495">
        <v>0</v>
      </c>
    </row>
    <row r="1496" spans="1:2" x14ac:dyDescent="0.25">
      <c r="A1496">
        <v>2294</v>
      </c>
      <c r="B1496">
        <v>0</v>
      </c>
    </row>
    <row r="1497" spans="1:2" x14ac:dyDescent="0.25">
      <c r="A1497">
        <v>2295</v>
      </c>
      <c r="B1497">
        <v>0</v>
      </c>
    </row>
    <row r="1498" spans="1:2" x14ac:dyDescent="0.25">
      <c r="A1498">
        <v>2296</v>
      </c>
      <c r="B1498">
        <v>0</v>
      </c>
    </row>
    <row r="1499" spans="1:2" x14ac:dyDescent="0.25">
      <c r="A1499">
        <v>2297</v>
      </c>
      <c r="B1499">
        <v>0</v>
      </c>
    </row>
    <row r="1500" spans="1:2" x14ac:dyDescent="0.25">
      <c r="A1500">
        <v>2298</v>
      </c>
      <c r="B1500">
        <v>0</v>
      </c>
    </row>
    <row r="1501" spans="1:2" x14ac:dyDescent="0.25">
      <c r="A1501">
        <v>2300</v>
      </c>
      <c r="B1501">
        <v>0</v>
      </c>
    </row>
    <row r="1502" spans="1:2" x14ac:dyDescent="0.25">
      <c r="A1502">
        <v>2301</v>
      </c>
      <c r="B1502">
        <v>0</v>
      </c>
    </row>
    <row r="1503" spans="1:2" x14ac:dyDescent="0.25">
      <c r="A1503">
        <v>2302</v>
      </c>
      <c r="B1503">
        <v>0</v>
      </c>
    </row>
    <row r="1504" spans="1:2" x14ac:dyDescent="0.25">
      <c r="A1504">
        <v>2303</v>
      </c>
      <c r="B1504">
        <v>0</v>
      </c>
    </row>
    <row r="1505" spans="1:2" x14ac:dyDescent="0.25">
      <c r="A1505">
        <v>2319</v>
      </c>
      <c r="B1505">
        <v>5</v>
      </c>
    </row>
    <row r="1506" spans="1:2" x14ac:dyDescent="0.25">
      <c r="A1506">
        <v>2320</v>
      </c>
      <c r="B1506">
        <v>5</v>
      </c>
    </row>
    <row r="1507" spans="1:2" x14ac:dyDescent="0.25">
      <c r="A1507">
        <v>2321</v>
      </c>
      <c r="B1507">
        <v>0</v>
      </c>
    </row>
    <row r="1508" spans="1:2" x14ac:dyDescent="0.25">
      <c r="A1508">
        <v>2322</v>
      </c>
      <c r="B1508">
        <v>0</v>
      </c>
    </row>
    <row r="1509" spans="1:2" x14ac:dyDescent="0.25">
      <c r="A1509">
        <v>2323</v>
      </c>
      <c r="B1509">
        <v>0</v>
      </c>
    </row>
    <row r="1510" spans="1:2" x14ac:dyDescent="0.25">
      <c r="A1510">
        <v>2324</v>
      </c>
      <c r="B1510">
        <v>0</v>
      </c>
    </row>
    <row r="1511" spans="1:2" x14ac:dyDescent="0.25">
      <c r="A1511">
        <v>2325</v>
      </c>
      <c r="B1511">
        <v>0</v>
      </c>
    </row>
    <row r="1512" spans="1:2" x14ac:dyDescent="0.25">
      <c r="A1512">
        <v>2326</v>
      </c>
      <c r="B1512">
        <v>0</v>
      </c>
    </row>
    <row r="1513" spans="1:2" x14ac:dyDescent="0.25">
      <c r="A1513">
        <v>2327</v>
      </c>
      <c r="B1513">
        <v>0</v>
      </c>
    </row>
    <row r="1514" spans="1:2" x14ac:dyDescent="0.25">
      <c r="A1514">
        <v>2328</v>
      </c>
      <c r="B1514">
        <v>0</v>
      </c>
    </row>
    <row r="1515" spans="1:2" x14ac:dyDescent="0.25">
      <c r="A1515">
        <v>2329</v>
      </c>
      <c r="B1515">
        <v>0</v>
      </c>
    </row>
    <row r="1516" spans="1:2" x14ac:dyDescent="0.25">
      <c r="A1516">
        <v>2330</v>
      </c>
      <c r="B1516">
        <v>0</v>
      </c>
    </row>
    <row r="1517" spans="1:2" x14ac:dyDescent="0.25">
      <c r="A1517">
        <v>2349</v>
      </c>
      <c r="B1517">
        <v>4</v>
      </c>
    </row>
    <row r="1518" spans="1:2" x14ac:dyDescent="0.25">
      <c r="A1518">
        <v>2350</v>
      </c>
      <c r="B1518">
        <v>4</v>
      </c>
    </row>
    <row r="1519" spans="1:2" x14ac:dyDescent="0.25">
      <c r="A1519">
        <v>2351</v>
      </c>
      <c r="B1519">
        <v>0</v>
      </c>
    </row>
    <row r="1520" spans="1:2" x14ac:dyDescent="0.25">
      <c r="A1520">
        <v>2352</v>
      </c>
      <c r="B1520">
        <v>0</v>
      </c>
    </row>
    <row r="1521" spans="1:2" x14ac:dyDescent="0.25">
      <c r="A1521">
        <v>2353</v>
      </c>
      <c r="B1521">
        <v>4</v>
      </c>
    </row>
    <row r="1522" spans="1:2" x14ac:dyDescent="0.25">
      <c r="A1522">
        <v>2354</v>
      </c>
      <c r="B1522">
        <v>0</v>
      </c>
    </row>
    <row r="1523" spans="1:2" x14ac:dyDescent="0.25">
      <c r="A1523">
        <v>2355</v>
      </c>
      <c r="B1523">
        <v>0</v>
      </c>
    </row>
    <row r="1524" spans="1:2" x14ac:dyDescent="0.25">
      <c r="A1524">
        <v>2356</v>
      </c>
      <c r="B1524">
        <v>0</v>
      </c>
    </row>
    <row r="1525" spans="1:2" x14ac:dyDescent="0.25">
      <c r="A1525">
        <v>2357</v>
      </c>
      <c r="B1525">
        <v>0</v>
      </c>
    </row>
    <row r="1526" spans="1:2" x14ac:dyDescent="0.25">
      <c r="A1526">
        <v>2358</v>
      </c>
      <c r="B1526">
        <v>0</v>
      </c>
    </row>
    <row r="1527" spans="1:2" x14ac:dyDescent="0.25">
      <c r="A1527">
        <v>2359</v>
      </c>
      <c r="B1527">
        <v>0</v>
      </c>
    </row>
    <row r="1528" spans="1:2" x14ac:dyDescent="0.25">
      <c r="A1528">
        <v>2360</v>
      </c>
      <c r="B1528">
        <v>0</v>
      </c>
    </row>
    <row r="1529" spans="1:2" x14ac:dyDescent="0.25">
      <c r="A1529">
        <v>2361</v>
      </c>
      <c r="B1529">
        <v>0</v>
      </c>
    </row>
    <row r="1530" spans="1:2" x14ac:dyDescent="0.25">
      <c r="A1530">
        <v>2362</v>
      </c>
      <c r="B1530">
        <v>0</v>
      </c>
    </row>
    <row r="1531" spans="1:2" x14ac:dyDescent="0.25">
      <c r="A1531">
        <v>2363</v>
      </c>
      <c r="B1531">
        <v>0</v>
      </c>
    </row>
    <row r="1532" spans="1:2" x14ac:dyDescent="0.25">
      <c r="A1532">
        <v>2364</v>
      </c>
      <c r="B1532">
        <v>0</v>
      </c>
    </row>
    <row r="1533" spans="1:2" x14ac:dyDescent="0.25">
      <c r="A1533">
        <v>2365</v>
      </c>
      <c r="B1533">
        <v>0</v>
      </c>
    </row>
    <row r="1534" spans="1:2" x14ac:dyDescent="0.25">
      <c r="A1534">
        <v>2366</v>
      </c>
      <c r="B1534">
        <v>0</v>
      </c>
    </row>
    <row r="1535" spans="1:2" x14ac:dyDescent="0.25">
      <c r="A1535">
        <v>2367</v>
      </c>
      <c r="B1535">
        <v>0</v>
      </c>
    </row>
    <row r="1536" spans="1:2" x14ac:dyDescent="0.25">
      <c r="A1536">
        <v>2368</v>
      </c>
      <c r="B1536">
        <v>0</v>
      </c>
    </row>
    <row r="1537" spans="1:2" x14ac:dyDescent="0.25">
      <c r="A1537">
        <v>2369</v>
      </c>
      <c r="B1537">
        <v>0</v>
      </c>
    </row>
    <row r="1538" spans="1:2" x14ac:dyDescent="0.25">
      <c r="A1538">
        <v>2370</v>
      </c>
      <c r="B1538">
        <v>0</v>
      </c>
    </row>
    <row r="1539" spans="1:2" x14ac:dyDescent="0.25">
      <c r="A1539">
        <v>2371</v>
      </c>
      <c r="B1539">
        <v>0</v>
      </c>
    </row>
    <row r="1540" spans="1:2" x14ac:dyDescent="0.25">
      <c r="A1540">
        <v>2388</v>
      </c>
      <c r="B1540">
        <v>0</v>
      </c>
    </row>
    <row r="1541" spans="1:2" x14ac:dyDescent="0.25">
      <c r="A1541">
        <v>2389</v>
      </c>
      <c r="B1541">
        <v>0</v>
      </c>
    </row>
    <row r="1542" spans="1:2" x14ac:dyDescent="0.25">
      <c r="A1542">
        <v>2390</v>
      </c>
      <c r="B1542">
        <v>0</v>
      </c>
    </row>
    <row r="1543" spans="1:2" x14ac:dyDescent="0.25">
      <c r="A1543">
        <v>2391</v>
      </c>
      <c r="B1543">
        <v>0</v>
      </c>
    </row>
    <row r="1544" spans="1:2" x14ac:dyDescent="0.25">
      <c r="A1544">
        <v>2392</v>
      </c>
      <c r="B1544">
        <v>0</v>
      </c>
    </row>
    <row r="1545" spans="1:2" x14ac:dyDescent="0.25">
      <c r="A1545">
        <v>2393</v>
      </c>
      <c r="B1545">
        <v>0</v>
      </c>
    </row>
    <row r="1546" spans="1:2" x14ac:dyDescent="0.25">
      <c r="A1546">
        <v>2394</v>
      </c>
      <c r="B1546">
        <v>0</v>
      </c>
    </row>
    <row r="1547" spans="1:2" x14ac:dyDescent="0.25">
      <c r="A1547">
        <v>2395</v>
      </c>
      <c r="B1547">
        <v>0</v>
      </c>
    </row>
    <row r="1548" spans="1:2" x14ac:dyDescent="0.25">
      <c r="A1548">
        <v>2396</v>
      </c>
      <c r="B1548">
        <v>0</v>
      </c>
    </row>
    <row r="1549" spans="1:2" x14ac:dyDescent="0.25">
      <c r="A1549">
        <v>2397</v>
      </c>
      <c r="B1549">
        <v>0</v>
      </c>
    </row>
    <row r="1550" spans="1:2" x14ac:dyDescent="0.25">
      <c r="A1550">
        <v>2398</v>
      </c>
      <c r="B1550">
        <v>0</v>
      </c>
    </row>
    <row r="1551" spans="1:2" x14ac:dyDescent="0.25">
      <c r="A1551">
        <v>2399</v>
      </c>
      <c r="B1551">
        <v>0</v>
      </c>
    </row>
    <row r="1552" spans="1:2" x14ac:dyDescent="0.25">
      <c r="A1552">
        <v>2400</v>
      </c>
      <c r="B1552">
        <v>0</v>
      </c>
    </row>
    <row r="1553" spans="1:2" x14ac:dyDescent="0.25">
      <c r="A1553">
        <v>2401</v>
      </c>
      <c r="B1553">
        <v>0</v>
      </c>
    </row>
    <row r="1554" spans="1:2" x14ac:dyDescent="0.25">
      <c r="A1554">
        <v>2402</v>
      </c>
      <c r="B1554">
        <v>0</v>
      </c>
    </row>
    <row r="1555" spans="1:2" x14ac:dyDescent="0.25">
      <c r="A1555">
        <v>2403</v>
      </c>
      <c r="B1555">
        <v>0</v>
      </c>
    </row>
    <row r="1556" spans="1:2" x14ac:dyDescent="0.25">
      <c r="A1556">
        <v>2404</v>
      </c>
      <c r="B1556">
        <v>0</v>
      </c>
    </row>
    <row r="1557" spans="1:2" x14ac:dyDescent="0.25">
      <c r="A1557">
        <v>2405</v>
      </c>
      <c r="B1557">
        <v>0</v>
      </c>
    </row>
    <row r="1558" spans="1:2" x14ac:dyDescent="0.25">
      <c r="A1558">
        <v>2406</v>
      </c>
      <c r="B1558">
        <v>0</v>
      </c>
    </row>
    <row r="1559" spans="1:2" x14ac:dyDescent="0.25">
      <c r="A1559">
        <v>2407</v>
      </c>
      <c r="B1559">
        <v>0</v>
      </c>
    </row>
    <row r="1560" spans="1:2" x14ac:dyDescent="0.25">
      <c r="A1560">
        <v>2408</v>
      </c>
      <c r="B1560">
        <v>0</v>
      </c>
    </row>
    <row r="1561" spans="1:2" x14ac:dyDescent="0.25">
      <c r="A1561">
        <v>2409</v>
      </c>
      <c r="B1561">
        <v>0</v>
      </c>
    </row>
    <row r="1562" spans="1:2" x14ac:dyDescent="0.25">
      <c r="A1562">
        <v>2410</v>
      </c>
      <c r="B1562">
        <v>0</v>
      </c>
    </row>
    <row r="1563" spans="1:2" x14ac:dyDescent="0.25">
      <c r="A1563">
        <v>2411</v>
      </c>
      <c r="B1563">
        <v>0</v>
      </c>
    </row>
    <row r="1564" spans="1:2" x14ac:dyDescent="0.25">
      <c r="A1564">
        <v>2412</v>
      </c>
      <c r="B1564">
        <v>0</v>
      </c>
    </row>
    <row r="1565" spans="1:2" x14ac:dyDescent="0.25">
      <c r="A1565">
        <v>2413</v>
      </c>
      <c r="B1565">
        <v>0</v>
      </c>
    </row>
    <row r="1566" spans="1:2" x14ac:dyDescent="0.25">
      <c r="A1566">
        <v>2414</v>
      </c>
      <c r="B1566">
        <v>0</v>
      </c>
    </row>
    <row r="1567" spans="1:2" x14ac:dyDescent="0.25">
      <c r="A1567">
        <v>2415</v>
      </c>
      <c r="B1567">
        <v>0</v>
      </c>
    </row>
    <row r="1568" spans="1:2" x14ac:dyDescent="0.25">
      <c r="A1568">
        <v>2416</v>
      </c>
      <c r="B1568">
        <v>0</v>
      </c>
    </row>
    <row r="1569" spans="1:2" x14ac:dyDescent="0.25">
      <c r="A1569">
        <v>2417</v>
      </c>
      <c r="B1569">
        <v>0</v>
      </c>
    </row>
    <row r="1570" spans="1:2" x14ac:dyDescent="0.25">
      <c r="A1570">
        <v>2418</v>
      </c>
      <c r="B1570">
        <v>0</v>
      </c>
    </row>
    <row r="1571" spans="1:2" x14ac:dyDescent="0.25">
      <c r="A1571">
        <v>2419</v>
      </c>
      <c r="B1571">
        <v>0</v>
      </c>
    </row>
    <row r="1572" spans="1:2" x14ac:dyDescent="0.25">
      <c r="A1572">
        <v>2420</v>
      </c>
      <c r="B1572">
        <v>0</v>
      </c>
    </row>
    <row r="1573" spans="1:2" x14ac:dyDescent="0.25">
      <c r="A1573">
        <v>2421</v>
      </c>
      <c r="B1573">
        <v>0</v>
      </c>
    </row>
    <row r="1574" spans="1:2" x14ac:dyDescent="0.25">
      <c r="A1574">
        <v>2422</v>
      </c>
      <c r="B1574">
        <v>0</v>
      </c>
    </row>
    <row r="1575" spans="1:2" x14ac:dyDescent="0.25">
      <c r="A1575">
        <v>2423</v>
      </c>
      <c r="B1575">
        <v>0</v>
      </c>
    </row>
    <row r="1576" spans="1:2" x14ac:dyDescent="0.25">
      <c r="A1576">
        <v>2424</v>
      </c>
      <c r="B1576">
        <v>0</v>
      </c>
    </row>
    <row r="1577" spans="1:2" x14ac:dyDescent="0.25">
      <c r="A1577">
        <v>2425</v>
      </c>
      <c r="B1577">
        <v>0</v>
      </c>
    </row>
    <row r="1578" spans="1:2" x14ac:dyDescent="0.25">
      <c r="A1578">
        <v>2426</v>
      </c>
      <c r="B1578">
        <v>0</v>
      </c>
    </row>
    <row r="1579" spans="1:2" x14ac:dyDescent="0.25">
      <c r="A1579">
        <v>2427</v>
      </c>
      <c r="B1579">
        <v>0</v>
      </c>
    </row>
    <row r="1580" spans="1:2" x14ac:dyDescent="0.25">
      <c r="A1580">
        <v>2428</v>
      </c>
      <c r="B1580">
        <v>0</v>
      </c>
    </row>
    <row r="1581" spans="1:2" x14ac:dyDescent="0.25">
      <c r="A1581">
        <v>2429</v>
      </c>
      <c r="B1581">
        <v>0</v>
      </c>
    </row>
    <row r="1582" spans="1:2" x14ac:dyDescent="0.25">
      <c r="A1582">
        <v>2430</v>
      </c>
      <c r="B1582">
        <v>0</v>
      </c>
    </row>
    <row r="1583" spans="1:2" x14ac:dyDescent="0.25">
      <c r="A1583">
        <v>2431</v>
      </c>
      <c r="B1583">
        <v>0</v>
      </c>
    </row>
    <row r="1584" spans="1:2" x14ac:dyDescent="0.25">
      <c r="A1584">
        <v>2432</v>
      </c>
      <c r="B1584">
        <v>0</v>
      </c>
    </row>
    <row r="1585" spans="1:2" x14ac:dyDescent="0.25">
      <c r="A1585">
        <v>2433</v>
      </c>
      <c r="B1585">
        <v>0</v>
      </c>
    </row>
    <row r="1586" spans="1:2" x14ac:dyDescent="0.25">
      <c r="A1586">
        <v>2434</v>
      </c>
      <c r="B1586">
        <v>0</v>
      </c>
    </row>
    <row r="1587" spans="1:2" x14ac:dyDescent="0.25">
      <c r="A1587">
        <v>2435</v>
      </c>
      <c r="B1587">
        <v>0</v>
      </c>
    </row>
    <row r="1588" spans="1:2" x14ac:dyDescent="0.25">
      <c r="A1588">
        <v>2436</v>
      </c>
      <c r="B1588">
        <v>0</v>
      </c>
    </row>
    <row r="1589" spans="1:2" x14ac:dyDescent="0.25">
      <c r="A1589">
        <v>2437</v>
      </c>
      <c r="B1589">
        <v>0</v>
      </c>
    </row>
    <row r="1590" spans="1:2" x14ac:dyDescent="0.25">
      <c r="A1590">
        <v>2438</v>
      </c>
      <c r="B1590">
        <v>0</v>
      </c>
    </row>
    <row r="1591" spans="1:2" x14ac:dyDescent="0.25">
      <c r="A1591">
        <v>2439</v>
      </c>
      <c r="B1591">
        <v>0</v>
      </c>
    </row>
    <row r="1592" spans="1:2" x14ac:dyDescent="0.25">
      <c r="A1592">
        <v>2440</v>
      </c>
      <c r="B1592">
        <v>0</v>
      </c>
    </row>
    <row r="1593" spans="1:2" x14ac:dyDescent="0.25">
      <c r="A1593">
        <v>2441</v>
      </c>
      <c r="B1593">
        <v>0</v>
      </c>
    </row>
    <row r="1594" spans="1:2" x14ac:dyDescent="0.25">
      <c r="A1594">
        <v>2444</v>
      </c>
      <c r="B1594">
        <v>0</v>
      </c>
    </row>
    <row r="1595" spans="1:2" x14ac:dyDescent="0.25">
      <c r="A1595">
        <v>2445</v>
      </c>
      <c r="B1595">
        <v>0</v>
      </c>
    </row>
    <row r="1596" spans="1:2" x14ac:dyDescent="0.25">
      <c r="A1596">
        <v>2446</v>
      </c>
      <c r="B1596">
        <v>0</v>
      </c>
    </row>
    <row r="1597" spans="1:2" x14ac:dyDescent="0.25">
      <c r="A1597">
        <v>2447</v>
      </c>
      <c r="B1597">
        <v>0</v>
      </c>
    </row>
    <row r="1598" spans="1:2" x14ac:dyDescent="0.25">
      <c r="A1598">
        <v>2448</v>
      </c>
      <c r="B1598">
        <v>0</v>
      </c>
    </row>
    <row r="1599" spans="1:2" x14ac:dyDescent="0.25">
      <c r="A1599">
        <v>2449</v>
      </c>
      <c r="B1599">
        <v>0</v>
      </c>
    </row>
    <row r="1600" spans="1:2" x14ac:dyDescent="0.25">
      <c r="A1600">
        <v>2450</v>
      </c>
      <c r="B1600">
        <v>0</v>
      </c>
    </row>
    <row r="1601" spans="1:2" x14ac:dyDescent="0.25">
      <c r="A1601">
        <v>2451</v>
      </c>
      <c r="B1601">
        <v>0</v>
      </c>
    </row>
    <row r="1602" spans="1:2" x14ac:dyDescent="0.25">
      <c r="A1602">
        <v>2452</v>
      </c>
      <c r="B1602">
        <v>0</v>
      </c>
    </row>
    <row r="1603" spans="1:2" x14ac:dyDescent="0.25">
      <c r="A1603">
        <v>2463</v>
      </c>
      <c r="B1603">
        <v>0</v>
      </c>
    </row>
    <row r="1604" spans="1:2" x14ac:dyDescent="0.25">
      <c r="A1604">
        <v>2471</v>
      </c>
      <c r="B1604">
        <v>0</v>
      </c>
    </row>
    <row r="1605" spans="1:2" x14ac:dyDescent="0.25">
      <c r="A1605">
        <v>2477</v>
      </c>
      <c r="B1605">
        <v>0</v>
      </c>
    </row>
    <row r="1606" spans="1:2" x14ac:dyDescent="0.25">
      <c r="A1606">
        <v>2485</v>
      </c>
      <c r="B1606">
        <v>0</v>
      </c>
    </row>
    <row r="1607" spans="1:2" x14ac:dyDescent="0.25">
      <c r="A1607">
        <v>2486</v>
      </c>
      <c r="B1607">
        <v>0</v>
      </c>
    </row>
    <row r="1608" spans="1:2" x14ac:dyDescent="0.25">
      <c r="A1608">
        <v>2487</v>
      </c>
      <c r="B1608">
        <v>0</v>
      </c>
    </row>
    <row r="1609" spans="1:2" x14ac:dyDescent="0.25">
      <c r="A1609">
        <v>2488</v>
      </c>
      <c r="B1609">
        <v>0</v>
      </c>
    </row>
    <row r="1610" spans="1:2" x14ac:dyDescent="0.25">
      <c r="A1610">
        <v>2489</v>
      </c>
      <c r="B1610">
        <v>0</v>
      </c>
    </row>
    <row r="1611" spans="1:2" x14ac:dyDescent="0.25">
      <c r="A1611">
        <v>2490</v>
      </c>
      <c r="B1611">
        <v>0</v>
      </c>
    </row>
    <row r="1612" spans="1:2" x14ac:dyDescent="0.25">
      <c r="A1612">
        <v>2491</v>
      </c>
      <c r="B1612">
        <v>0</v>
      </c>
    </row>
    <row r="1613" spans="1:2" x14ac:dyDescent="0.25">
      <c r="A1613">
        <v>2492</v>
      </c>
      <c r="B1613">
        <v>0</v>
      </c>
    </row>
    <row r="1614" spans="1:2" x14ac:dyDescent="0.25">
      <c r="A1614">
        <v>2493</v>
      </c>
      <c r="B1614">
        <v>0</v>
      </c>
    </row>
    <row r="1615" spans="1:2" x14ac:dyDescent="0.25">
      <c r="A1615">
        <v>2494</v>
      </c>
      <c r="B1615">
        <v>0</v>
      </c>
    </row>
    <row r="1616" spans="1:2" x14ac:dyDescent="0.25">
      <c r="A1616">
        <v>2496</v>
      </c>
      <c r="B1616">
        <v>0</v>
      </c>
    </row>
    <row r="1617" spans="1:2" x14ac:dyDescent="0.25">
      <c r="A1617">
        <v>2497</v>
      </c>
      <c r="B1617">
        <v>0</v>
      </c>
    </row>
    <row r="1618" spans="1:2" x14ac:dyDescent="0.25">
      <c r="A1618">
        <v>2498</v>
      </c>
      <c r="B1618">
        <v>0</v>
      </c>
    </row>
    <row r="1619" spans="1:2" x14ac:dyDescent="0.25">
      <c r="A1619">
        <v>2499</v>
      </c>
      <c r="B1619">
        <v>0</v>
      </c>
    </row>
    <row r="1620" spans="1:2" x14ac:dyDescent="0.25">
      <c r="A1620">
        <v>2500</v>
      </c>
      <c r="B1620">
        <v>0</v>
      </c>
    </row>
    <row r="1621" spans="1:2" x14ac:dyDescent="0.25">
      <c r="A1621">
        <v>2501</v>
      </c>
      <c r="B1621">
        <v>0</v>
      </c>
    </row>
    <row r="1622" spans="1:2" x14ac:dyDescent="0.25">
      <c r="A1622">
        <v>2502</v>
      </c>
      <c r="B1622">
        <v>0</v>
      </c>
    </row>
    <row r="1623" spans="1:2" x14ac:dyDescent="0.25">
      <c r="A1623">
        <v>2503</v>
      </c>
      <c r="B1623">
        <v>0</v>
      </c>
    </row>
    <row r="1624" spans="1:2" x14ac:dyDescent="0.25">
      <c r="A1624">
        <v>2508</v>
      </c>
      <c r="B1624">
        <v>0</v>
      </c>
    </row>
    <row r="1625" spans="1:2" x14ac:dyDescent="0.25">
      <c r="A1625">
        <v>2509</v>
      </c>
      <c r="B1625">
        <v>0</v>
      </c>
    </row>
    <row r="1626" spans="1:2" x14ac:dyDescent="0.25">
      <c r="A1626">
        <v>2510</v>
      </c>
      <c r="B1626">
        <v>0</v>
      </c>
    </row>
    <row r="1627" spans="1:2" x14ac:dyDescent="0.25">
      <c r="A1627">
        <v>2511</v>
      </c>
      <c r="B1627">
        <v>0</v>
      </c>
    </row>
    <row r="1628" spans="1:2" x14ac:dyDescent="0.25">
      <c r="A1628">
        <v>2523</v>
      </c>
      <c r="B1628">
        <v>0</v>
      </c>
    </row>
    <row r="1629" spans="1:2" x14ac:dyDescent="0.25">
      <c r="A1629">
        <v>2526</v>
      </c>
      <c r="B1629">
        <v>0</v>
      </c>
    </row>
    <row r="1630" spans="1:2" x14ac:dyDescent="0.25">
      <c r="A1630">
        <v>2527</v>
      </c>
      <c r="B1630">
        <v>0</v>
      </c>
    </row>
    <row r="1631" spans="1:2" x14ac:dyDescent="0.25">
      <c r="A1631">
        <v>2529</v>
      </c>
      <c r="B1631">
        <v>0</v>
      </c>
    </row>
    <row r="1632" spans="1:2" x14ac:dyDescent="0.25">
      <c r="A1632">
        <v>2530</v>
      </c>
      <c r="B1632">
        <v>0</v>
      </c>
    </row>
    <row r="1633" spans="1:2" x14ac:dyDescent="0.25">
      <c r="A1633">
        <v>2531</v>
      </c>
      <c r="B1633">
        <v>0</v>
      </c>
    </row>
    <row r="1634" spans="1:2" x14ac:dyDescent="0.25">
      <c r="A1634">
        <v>2532</v>
      </c>
      <c r="B1634">
        <v>0</v>
      </c>
    </row>
    <row r="1635" spans="1:2" x14ac:dyDescent="0.25">
      <c r="A1635">
        <v>2533</v>
      </c>
      <c r="B1635">
        <v>0</v>
      </c>
    </row>
    <row r="1636" spans="1:2" x14ac:dyDescent="0.25">
      <c r="A1636">
        <v>2538</v>
      </c>
      <c r="B1636">
        <v>2</v>
      </c>
    </row>
    <row r="1637" spans="1:2" x14ac:dyDescent="0.25">
      <c r="A1637">
        <v>2540</v>
      </c>
      <c r="B1637">
        <v>0</v>
      </c>
    </row>
    <row r="1638" spans="1:2" x14ac:dyDescent="0.25">
      <c r="A1638">
        <v>2541</v>
      </c>
      <c r="B1638">
        <v>0</v>
      </c>
    </row>
    <row r="1639" spans="1:2" x14ac:dyDescent="0.25">
      <c r="A1639">
        <v>2542</v>
      </c>
      <c r="B1639">
        <v>0</v>
      </c>
    </row>
    <row r="1640" spans="1:2" x14ac:dyDescent="0.25">
      <c r="A1640">
        <v>2543</v>
      </c>
      <c r="B1640">
        <v>0</v>
      </c>
    </row>
    <row r="1641" spans="1:2" x14ac:dyDescent="0.25">
      <c r="A1641">
        <v>2544</v>
      </c>
      <c r="B1641">
        <v>18</v>
      </c>
    </row>
    <row r="1642" spans="1:2" x14ac:dyDescent="0.25">
      <c r="A1642">
        <v>2545</v>
      </c>
      <c r="B1642">
        <v>0</v>
      </c>
    </row>
    <row r="1643" spans="1:2" x14ac:dyDescent="0.25">
      <c r="A1643">
        <v>2546</v>
      </c>
      <c r="B1643">
        <v>2</v>
      </c>
    </row>
    <row r="1644" spans="1:2" x14ac:dyDescent="0.25">
      <c r="A1644">
        <v>2547</v>
      </c>
      <c r="B1644">
        <v>0</v>
      </c>
    </row>
    <row r="1645" spans="1:2" x14ac:dyDescent="0.25">
      <c r="A1645">
        <v>2548</v>
      </c>
      <c r="B1645">
        <v>0</v>
      </c>
    </row>
    <row r="1646" spans="1:2" x14ac:dyDescent="0.25">
      <c r="A1646">
        <v>2549</v>
      </c>
      <c r="B1646">
        <v>0</v>
      </c>
    </row>
    <row r="1647" spans="1:2" x14ac:dyDescent="0.25">
      <c r="A1647">
        <v>2550</v>
      </c>
      <c r="B1647">
        <v>0</v>
      </c>
    </row>
    <row r="1648" spans="1:2" x14ac:dyDescent="0.25">
      <c r="A1648">
        <v>2556</v>
      </c>
      <c r="B1648">
        <v>0</v>
      </c>
    </row>
    <row r="1649" spans="1:2" x14ac:dyDescent="0.25">
      <c r="A1649">
        <v>2559</v>
      </c>
      <c r="B1649">
        <v>0</v>
      </c>
    </row>
    <row r="1650" spans="1:2" x14ac:dyDescent="0.25">
      <c r="A1650">
        <v>2563</v>
      </c>
      <c r="B1650">
        <v>0</v>
      </c>
    </row>
    <row r="1651" spans="1:2" x14ac:dyDescent="0.25">
      <c r="A1651">
        <v>2564</v>
      </c>
      <c r="B1651">
        <v>0</v>
      </c>
    </row>
    <row r="1652" spans="1:2" x14ac:dyDescent="0.25">
      <c r="A1652">
        <v>2565</v>
      </c>
      <c r="B1652">
        <v>0</v>
      </c>
    </row>
    <row r="1653" spans="1:2" x14ac:dyDescent="0.25">
      <c r="A1653">
        <v>2566</v>
      </c>
      <c r="B1653">
        <v>0</v>
      </c>
    </row>
    <row r="1654" spans="1:2" x14ac:dyDescent="0.25">
      <c r="A1654">
        <v>2567</v>
      </c>
      <c r="B1654">
        <v>0</v>
      </c>
    </row>
    <row r="1655" spans="1:2" x14ac:dyDescent="0.25">
      <c r="A1655">
        <v>2568</v>
      </c>
      <c r="B1655">
        <v>0</v>
      </c>
    </row>
    <row r="1656" spans="1:2" x14ac:dyDescent="0.25">
      <c r="A1656">
        <v>2569</v>
      </c>
      <c r="B1656">
        <v>0</v>
      </c>
    </row>
    <row r="1657" spans="1:2" x14ac:dyDescent="0.25">
      <c r="A1657">
        <v>2570</v>
      </c>
      <c r="B1657">
        <v>0</v>
      </c>
    </row>
    <row r="1658" spans="1:2" x14ac:dyDescent="0.25">
      <c r="A1658">
        <v>2571</v>
      </c>
      <c r="B1658">
        <v>0</v>
      </c>
    </row>
    <row r="1659" spans="1:2" x14ac:dyDescent="0.25">
      <c r="A1659">
        <v>2572</v>
      </c>
      <c r="B1659">
        <v>0</v>
      </c>
    </row>
    <row r="1660" spans="1:2" x14ac:dyDescent="0.25">
      <c r="A1660">
        <v>2573</v>
      </c>
      <c r="B1660">
        <v>0</v>
      </c>
    </row>
    <row r="1661" spans="1:2" x14ac:dyDescent="0.25">
      <c r="A1661">
        <v>2574</v>
      </c>
      <c r="B1661">
        <v>0</v>
      </c>
    </row>
    <row r="1662" spans="1:2" x14ac:dyDescent="0.25">
      <c r="A1662">
        <v>2575</v>
      </c>
      <c r="B1662">
        <v>0</v>
      </c>
    </row>
    <row r="1663" spans="1:2" x14ac:dyDescent="0.25">
      <c r="A1663">
        <v>2576</v>
      </c>
      <c r="B1663">
        <v>0</v>
      </c>
    </row>
    <row r="1664" spans="1:2" x14ac:dyDescent="0.25">
      <c r="A1664">
        <v>2579</v>
      </c>
      <c r="B1664">
        <v>0</v>
      </c>
    </row>
    <row r="1665" spans="1:2" x14ac:dyDescent="0.25">
      <c r="A1665">
        <v>2580</v>
      </c>
      <c r="B1665">
        <v>0</v>
      </c>
    </row>
    <row r="1666" spans="1:2" x14ac:dyDescent="0.25">
      <c r="A1666">
        <v>2582</v>
      </c>
      <c r="B1666">
        <v>0</v>
      </c>
    </row>
    <row r="1667" spans="1:2" x14ac:dyDescent="0.25">
      <c r="A1667">
        <v>2583</v>
      </c>
      <c r="B1667">
        <v>0</v>
      </c>
    </row>
    <row r="1668" spans="1:2" x14ac:dyDescent="0.25">
      <c r="A1668">
        <v>2584</v>
      </c>
      <c r="B1668">
        <v>0</v>
      </c>
    </row>
    <row r="1669" spans="1:2" x14ac:dyDescent="0.25">
      <c r="A1669">
        <v>2585</v>
      </c>
      <c r="B1669">
        <v>3</v>
      </c>
    </row>
    <row r="1670" spans="1:2" x14ac:dyDescent="0.25">
      <c r="A1670">
        <v>2587</v>
      </c>
      <c r="B1670">
        <v>0</v>
      </c>
    </row>
    <row r="1671" spans="1:2" x14ac:dyDescent="0.25">
      <c r="A1671">
        <v>2588</v>
      </c>
      <c r="B1671">
        <v>0</v>
      </c>
    </row>
    <row r="1672" spans="1:2" x14ac:dyDescent="0.25">
      <c r="A1672">
        <v>2589</v>
      </c>
      <c r="B1672">
        <v>0</v>
      </c>
    </row>
    <row r="1673" spans="1:2" x14ac:dyDescent="0.25">
      <c r="A1673">
        <v>2590</v>
      </c>
      <c r="B1673">
        <v>0</v>
      </c>
    </row>
    <row r="1674" spans="1:2" x14ac:dyDescent="0.25">
      <c r="A1674">
        <v>2592</v>
      </c>
      <c r="B1674">
        <v>0</v>
      </c>
    </row>
    <row r="1675" spans="1:2" x14ac:dyDescent="0.25">
      <c r="A1675">
        <v>2595</v>
      </c>
      <c r="B1675">
        <v>0</v>
      </c>
    </row>
    <row r="1676" spans="1:2" x14ac:dyDescent="0.25">
      <c r="A1676">
        <v>2597</v>
      </c>
      <c r="B1676">
        <v>0</v>
      </c>
    </row>
    <row r="1677" spans="1:2" x14ac:dyDescent="0.25">
      <c r="A1677">
        <v>2599</v>
      </c>
      <c r="B1677">
        <v>0</v>
      </c>
    </row>
    <row r="1678" spans="1:2" x14ac:dyDescent="0.25">
      <c r="A1678">
        <v>2601</v>
      </c>
      <c r="B1678">
        <v>0</v>
      </c>
    </row>
    <row r="1679" spans="1:2" x14ac:dyDescent="0.25">
      <c r="A1679">
        <v>2603</v>
      </c>
      <c r="B1679">
        <v>0</v>
      </c>
    </row>
    <row r="1680" spans="1:2" x14ac:dyDescent="0.25">
      <c r="A1680">
        <v>2605</v>
      </c>
      <c r="B1680">
        <v>0</v>
      </c>
    </row>
    <row r="1681" spans="1:2" x14ac:dyDescent="0.25">
      <c r="A1681">
        <v>2607</v>
      </c>
      <c r="B1681">
        <v>0</v>
      </c>
    </row>
    <row r="1682" spans="1:2" x14ac:dyDescent="0.25">
      <c r="A1682">
        <v>2609</v>
      </c>
      <c r="B1682">
        <v>0</v>
      </c>
    </row>
    <row r="1683" spans="1:2" x14ac:dyDescent="0.25">
      <c r="A1683">
        <v>2612</v>
      </c>
      <c r="B1683">
        <v>0</v>
      </c>
    </row>
    <row r="1684" spans="1:2" x14ac:dyDescent="0.25">
      <c r="A1684">
        <v>2614</v>
      </c>
      <c r="B1684">
        <v>0</v>
      </c>
    </row>
    <row r="1685" spans="1:2" x14ac:dyDescent="0.25">
      <c r="A1685">
        <v>2617</v>
      </c>
      <c r="B1685">
        <v>0</v>
      </c>
    </row>
    <row r="1686" spans="1:2" x14ac:dyDescent="0.25">
      <c r="A1686">
        <v>2618</v>
      </c>
      <c r="B1686">
        <v>0</v>
      </c>
    </row>
    <row r="1687" spans="1:2" x14ac:dyDescent="0.25">
      <c r="A1687">
        <v>2622</v>
      </c>
      <c r="B1687">
        <v>0</v>
      </c>
    </row>
    <row r="1688" spans="1:2" x14ac:dyDescent="0.25">
      <c r="A1688">
        <v>2624</v>
      </c>
      <c r="B1688">
        <v>0</v>
      </c>
    </row>
    <row r="1689" spans="1:2" x14ac:dyDescent="0.25">
      <c r="A1689">
        <v>2626</v>
      </c>
      <c r="B1689">
        <v>0</v>
      </c>
    </row>
    <row r="1690" spans="1:2" x14ac:dyDescent="0.25">
      <c r="A1690">
        <v>2631</v>
      </c>
      <c r="B1690">
        <v>0</v>
      </c>
    </row>
    <row r="1691" spans="1:2" x14ac:dyDescent="0.25">
      <c r="A1691">
        <v>2634</v>
      </c>
      <c r="B1691">
        <v>0</v>
      </c>
    </row>
    <row r="1692" spans="1:2" x14ac:dyDescent="0.25">
      <c r="A1692">
        <v>2637</v>
      </c>
      <c r="B1692">
        <v>0</v>
      </c>
    </row>
    <row r="1693" spans="1:2" x14ac:dyDescent="0.25">
      <c r="A1693">
        <v>2640</v>
      </c>
      <c r="B1693">
        <v>0</v>
      </c>
    </row>
    <row r="1694" spans="1:2" x14ac:dyDescent="0.25">
      <c r="A1694">
        <v>2643</v>
      </c>
      <c r="B1694">
        <v>0</v>
      </c>
    </row>
    <row r="1695" spans="1:2" x14ac:dyDescent="0.25">
      <c r="A1695">
        <v>2646</v>
      </c>
      <c r="B1695">
        <v>0</v>
      </c>
    </row>
    <row r="1696" spans="1:2" x14ac:dyDescent="0.25">
      <c r="A1696">
        <v>2649</v>
      </c>
      <c r="B1696">
        <v>0</v>
      </c>
    </row>
    <row r="1697" spans="1:2" x14ac:dyDescent="0.25">
      <c r="A1697">
        <v>2652</v>
      </c>
      <c r="B1697">
        <v>0</v>
      </c>
    </row>
    <row r="1698" spans="1:2" x14ac:dyDescent="0.25">
      <c r="A1698">
        <v>2655</v>
      </c>
      <c r="B1698">
        <v>13</v>
      </c>
    </row>
    <row r="1699" spans="1:2" x14ac:dyDescent="0.25">
      <c r="A1699">
        <v>2657</v>
      </c>
      <c r="B1699">
        <v>0</v>
      </c>
    </row>
    <row r="1700" spans="1:2" x14ac:dyDescent="0.25">
      <c r="A1700">
        <v>2660</v>
      </c>
      <c r="B1700">
        <v>0</v>
      </c>
    </row>
    <row r="1701" spans="1:2" x14ac:dyDescent="0.25">
      <c r="A1701">
        <v>2661</v>
      </c>
      <c r="B1701">
        <v>0</v>
      </c>
    </row>
    <row r="1702" spans="1:2" x14ac:dyDescent="0.25">
      <c r="A1702">
        <v>2662</v>
      </c>
      <c r="B1702">
        <v>0</v>
      </c>
    </row>
    <row r="1703" spans="1:2" x14ac:dyDescent="0.25">
      <c r="A1703">
        <v>2663</v>
      </c>
      <c r="B1703">
        <v>0</v>
      </c>
    </row>
    <row r="1704" spans="1:2" x14ac:dyDescent="0.25">
      <c r="A1704">
        <v>2664</v>
      </c>
      <c r="B1704">
        <v>0</v>
      </c>
    </row>
    <row r="1705" spans="1:2" x14ac:dyDescent="0.25">
      <c r="A1705">
        <v>2665</v>
      </c>
      <c r="B1705">
        <v>0</v>
      </c>
    </row>
    <row r="1706" spans="1:2" x14ac:dyDescent="0.25">
      <c r="A1706">
        <v>2666</v>
      </c>
      <c r="B1706">
        <v>0</v>
      </c>
    </row>
    <row r="1707" spans="1:2" x14ac:dyDescent="0.25">
      <c r="A1707">
        <v>2667</v>
      </c>
      <c r="B1707">
        <v>0</v>
      </c>
    </row>
    <row r="1708" spans="1:2" x14ac:dyDescent="0.25">
      <c r="A1708">
        <v>2668</v>
      </c>
      <c r="B1708">
        <v>0</v>
      </c>
    </row>
    <row r="1709" spans="1:2" x14ac:dyDescent="0.25">
      <c r="A1709">
        <v>2674</v>
      </c>
      <c r="B1709">
        <v>0</v>
      </c>
    </row>
    <row r="1710" spans="1:2" x14ac:dyDescent="0.25">
      <c r="A1710">
        <v>2679</v>
      </c>
      <c r="B1710">
        <v>0</v>
      </c>
    </row>
    <row r="1711" spans="1:2" x14ac:dyDescent="0.25">
      <c r="A1711">
        <v>2680</v>
      </c>
      <c r="B1711">
        <v>0</v>
      </c>
    </row>
    <row r="1712" spans="1:2" x14ac:dyDescent="0.25">
      <c r="A1712">
        <v>2682</v>
      </c>
      <c r="B1712">
        <v>0</v>
      </c>
    </row>
    <row r="1713" spans="1:2" x14ac:dyDescent="0.25">
      <c r="A1713">
        <v>2684</v>
      </c>
      <c r="B1713">
        <v>0</v>
      </c>
    </row>
    <row r="1714" spans="1:2" x14ac:dyDescent="0.25">
      <c r="A1714">
        <v>2686</v>
      </c>
      <c r="B1714">
        <v>0</v>
      </c>
    </row>
    <row r="1715" spans="1:2" x14ac:dyDescent="0.25">
      <c r="A1715">
        <v>2689</v>
      </c>
      <c r="B1715">
        <v>0</v>
      </c>
    </row>
    <row r="1716" spans="1:2" x14ac:dyDescent="0.25">
      <c r="A1716">
        <v>2690</v>
      </c>
      <c r="B1716">
        <v>0</v>
      </c>
    </row>
    <row r="1717" spans="1:2" x14ac:dyDescent="0.25">
      <c r="A1717">
        <v>2691</v>
      </c>
      <c r="B1717">
        <v>0</v>
      </c>
    </row>
    <row r="1718" spans="1:2" x14ac:dyDescent="0.25">
      <c r="A1718">
        <v>2692</v>
      </c>
      <c r="B1718">
        <v>0</v>
      </c>
    </row>
    <row r="1719" spans="1:2" x14ac:dyDescent="0.25">
      <c r="A1719">
        <v>2693</v>
      </c>
      <c r="B1719">
        <v>0</v>
      </c>
    </row>
    <row r="1720" spans="1:2" x14ac:dyDescent="0.25">
      <c r="A1720">
        <v>2694</v>
      </c>
      <c r="B1720">
        <v>0</v>
      </c>
    </row>
    <row r="1721" spans="1:2" x14ac:dyDescent="0.25">
      <c r="A1721">
        <v>2695</v>
      </c>
      <c r="B1721">
        <v>0</v>
      </c>
    </row>
    <row r="1722" spans="1:2" x14ac:dyDescent="0.25">
      <c r="A1722">
        <v>2696</v>
      </c>
      <c r="B1722">
        <v>0</v>
      </c>
    </row>
    <row r="1723" spans="1:2" x14ac:dyDescent="0.25">
      <c r="A1723">
        <v>2697</v>
      </c>
      <c r="B1723">
        <v>0</v>
      </c>
    </row>
    <row r="1724" spans="1:2" x14ac:dyDescent="0.25">
      <c r="A1724">
        <v>2699</v>
      </c>
      <c r="B1724">
        <v>0</v>
      </c>
    </row>
    <row r="1725" spans="1:2" x14ac:dyDescent="0.25">
      <c r="A1725">
        <v>2700</v>
      </c>
      <c r="B1725">
        <v>0</v>
      </c>
    </row>
    <row r="1726" spans="1:2" x14ac:dyDescent="0.25">
      <c r="A1726">
        <v>2702</v>
      </c>
      <c r="B1726">
        <v>0</v>
      </c>
    </row>
    <row r="1727" spans="1:2" x14ac:dyDescent="0.25">
      <c r="A1727">
        <v>2704</v>
      </c>
      <c r="B1727">
        <v>0</v>
      </c>
    </row>
    <row r="1728" spans="1:2" x14ac:dyDescent="0.25">
      <c r="A1728">
        <v>2705</v>
      </c>
      <c r="B1728">
        <v>0</v>
      </c>
    </row>
    <row r="1729" spans="1:2" x14ac:dyDescent="0.25">
      <c r="A1729">
        <v>2707</v>
      </c>
      <c r="B1729">
        <v>0</v>
      </c>
    </row>
    <row r="1730" spans="1:2" x14ac:dyDescent="0.25">
      <c r="A1730">
        <v>2709</v>
      </c>
      <c r="B1730">
        <v>0</v>
      </c>
    </row>
    <row r="1731" spans="1:2" x14ac:dyDescent="0.25">
      <c r="A1731">
        <v>2710</v>
      </c>
      <c r="B1731">
        <v>0</v>
      </c>
    </row>
    <row r="1732" spans="1:2" x14ac:dyDescent="0.25">
      <c r="A1732">
        <v>2711</v>
      </c>
      <c r="B1732">
        <v>0</v>
      </c>
    </row>
    <row r="1733" spans="1:2" x14ac:dyDescent="0.25">
      <c r="A1733">
        <v>2712</v>
      </c>
      <c r="B1733">
        <v>0</v>
      </c>
    </row>
    <row r="1734" spans="1:2" x14ac:dyDescent="0.25">
      <c r="A1734">
        <v>2713</v>
      </c>
      <c r="B1734">
        <v>0</v>
      </c>
    </row>
    <row r="1735" spans="1:2" x14ac:dyDescent="0.25">
      <c r="A1735">
        <v>2714</v>
      </c>
      <c r="B1735">
        <v>0</v>
      </c>
    </row>
    <row r="1736" spans="1:2" x14ac:dyDescent="0.25">
      <c r="A1736">
        <v>2715</v>
      </c>
      <c r="B1736">
        <v>0</v>
      </c>
    </row>
    <row r="1737" spans="1:2" x14ac:dyDescent="0.25">
      <c r="A1737">
        <v>2716</v>
      </c>
      <c r="B1737">
        <v>0</v>
      </c>
    </row>
    <row r="1738" spans="1:2" x14ac:dyDescent="0.25">
      <c r="A1738">
        <v>2717</v>
      </c>
      <c r="B1738">
        <v>0</v>
      </c>
    </row>
    <row r="1739" spans="1:2" x14ac:dyDescent="0.25">
      <c r="A1739">
        <v>2718</v>
      </c>
      <c r="B1739">
        <v>0</v>
      </c>
    </row>
    <row r="1740" spans="1:2" x14ac:dyDescent="0.25">
      <c r="A1740">
        <v>2719</v>
      </c>
      <c r="B1740">
        <v>0</v>
      </c>
    </row>
    <row r="1741" spans="1:2" x14ac:dyDescent="0.25">
      <c r="A1741">
        <v>2721</v>
      </c>
      <c r="B1741">
        <v>0</v>
      </c>
    </row>
    <row r="1742" spans="1:2" x14ac:dyDescent="0.25">
      <c r="A1742">
        <v>2722</v>
      </c>
      <c r="B1742">
        <v>0</v>
      </c>
    </row>
    <row r="1743" spans="1:2" x14ac:dyDescent="0.25">
      <c r="A1743">
        <v>2723</v>
      </c>
      <c r="B1743">
        <v>0</v>
      </c>
    </row>
    <row r="1744" spans="1:2" x14ac:dyDescent="0.25">
      <c r="A1744">
        <v>2724</v>
      </c>
      <c r="B1744">
        <v>0</v>
      </c>
    </row>
    <row r="1745" spans="1:2" x14ac:dyDescent="0.25">
      <c r="A1745">
        <v>2725</v>
      </c>
      <c r="B1745">
        <v>0</v>
      </c>
    </row>
    <row r="1746" spans="1:2" x14ac:dyDescent="0.25">
      <c r="A1746">
        <v>2728</v>
      </c>
      <c r="B1746">
        <v>0</v>
      </c>
    </row>
    <row r="1747" spans="1:2" x14ac:dyDescent="0.25">
      <c r="A1747">
        <v>2729</v>
      </c>
      <c r="B1747">
        <v>0</v>
      </c>
    </row>
    <row r="1748" spans="1:2" x14ac:dyDescent="0.25">
      <c r="A1748">
        <v>2732</v>
      </c>
      <c r="B1748">
        <v>0</v>
      </c>
    </row>
    <row r="1749" spans="1:2" x14ac:dyDescent="0.25">
      <c r="A1749">
        <v>2733</v>
      </c>
      <c r="B1749">
        <v>0</v>
      </c>
    </row>
    <row r="1750" spans="1:2" x14ac:dyDescent="0.25">
      <c r="A1750">
        <v>2734</v>
      </c>
      <c r="B1750">
        <v>0</v>
      </c>
    </row>
    <row r="1751" spans="1:2" x14ac:dyDescent="0.25">
      <c r="A1751">
        <v>2735</v>
      </c>
      <c r="B1751">
        <v>0</v>
      </c>
    </row>
    <row r="1752" spans="1:2" x14ac:dyDescent="0.25">
      <c r="A1752">
        <v>2736</v>
      </c>
      <c r="B1752">
        <v>0</v>
      </c>
    </row>
    <row r="1753" spans="1:2" x14ac:dyDescent="0.25">
      <c r="A1753">
        <v>2737</v>
      </c>
      <c r="B1753">
        <v>0</v>
      </c>
    </row>
    <row r="1754" spans="1:2" x14ac:dyDescent="0.25">
      <c r="A1754">
        <v>2738</v>
      </c>
      <c r="B1754">
        <v>0</v>
      </c>
    </row>
    <row r="1755" spans="1:2" x14ac:dyDescent="0.25">
      <c r="A1755">
        <v>2739</v>
      </c>
      <c r="B1755">
        <v>0</v>
      </c>
    </row>
    <row r="1756" spans="1:2" x14ac:dyDescent="0.25">
      <c r="A1756">
        <v>2740</v>
      </c>
      <c r="B1756">
        <v>0</v>
      </c>
    </row>
    <row r="1757" spans="1:2" x14ac:dyDescent="0.25">
      <c r="A1757">
        <v>2741</v>
      </c>
      <c r="B1757">
        <v>0</v>
      </c>
    </row>
    <row r="1758" spans="1:2" x14ac:dyDescent="0.25">
      <c r="A1758">
        <v>2742</v>
      </c>
      <c r="B1758">
        <v>0</v>
      </c>
    </row>
    <row r="1759" spans="1:2" x14ac:dyDescent="0.25">
      <c r="A1759">
        <v>2744</v>
      </c>
      <c r="B1759">
        <v>0</v>
      </c>
    </row>
    <row r="1760" spans="1:2" x14ac:dyDescent="0.25">
      <c r="A1760">
        <v>2746</v>
      </c>
      <c r="B1760">
        <v>0</v>
      </c>
    </row>
    <row r="1761" spans="1:2" x14ac:dyDescent="0.25">
      <c r="A1761">
        <v>2749</v>
      </c>
      <c r="B1761">
        <v>0</v>
      </c>
    </row>
    <row r="1762" spans="1:2" x14ac:dyDescent="0.25">
      <c r="A1762">
        <v>2750</v>
      </c>
      <c r="B1762">
        <v>0</v>
      </c>
    </row>
    <row r="1763" spans="1:2" x14ac:dyDescent="0.25">
      <c r="A1763">
        <v>2751</v>
      </c>
      <c r="B1763">
        <v>0</v>
      </c>
    </row>
    <row r="1764" spans="1:2" x14ac:dyDescent="0.25">
      <c r="A1764">
        <v>2752</v>
      </c>
      <c r="B1764">
        <v>0</v>
      </c>
    </row>
    <row r="1765" spans="1:2" x14ac:dyDescent="0.25">
      <c r="A1765">
        <v>2756</v>
      </c>
      <c r="B1765">
        <v>0</v>
      </c>
    </row>
    <row r="1766" spans="1:2" x14ac:dyDescent="0.25">
      <c r="A1766">
        <v>2757</v>
      </c>
      <c r="B1766">
        <v>0</v>
      </c>
    </row>
    <row r="1767" spans="1:2" x14ac:dyDescent="0.25">
      <c r="A1767">
        <v>2758</v>
      </c>
      <c r="B1767">
        <v>0</v>
      </c>
    </row>
    <row r="1768" spans="1:2" x14ac:dyDescent="0.25">
      <c r="A1768">
        <v>2759</v>
      </c>
      <c r="B1768">
        <v>0</v>
      </c>
    </row>
    <row r="1769" spans="1:2" x14ac:dyDescent="0.25">
      <c r="A1769">
        <v>2760</v>
      </c>
      <c r="B1769">
        <v>0</v>
      </c>
    </row>
    <row r="1770" spans="1:2" x14ac:dyDescent="0.25">
      <c r="A1770">
        <v>2761</v>
      </c>
      <c r="B1770">
        <v>0</v>
      </c>
    </row>
    <row r="1771" spans="1:2" x14ac:dyDescent="0.25">
      <c r="A1771">
        <v>2762</v>
      </c>
      <c r="B1771">
        <v>0</v>
      </c>
    </row>
    <row r="1772" spans="1:2" x14ac:dyDescent="0.25">
      <c r="A1772">
        <v>2763</v>
      </c>
      <c r="B1772">
        <v>0</v>
      </c>
    </row>
    <row r="1773" spans="1:2" x14ac:dyDescent="0.25">
      <c r="A1773">
        <v>2764</v>
      </c>
      <c r="B1773">
        <v>0</v>
      </c>
    </row>
    <row r="1774" spans="1:2" x14ac:dyDescent="0.25">
      <c r="A1774">
        <v>2765</v>
      </c>
      <c r="B1774">
        <v>0</v>
      </c>
    </row>
    <row r="1775" spans="1:2" x14ac:dyDescent="0.25">
      <c r="A1775">
        <v>2766</v>
      </c>
      <c r="B1775">
        <v>0</v>
      </c>
    </row>
    <row r="1776" spans="1:2" x14ac:dyDescent="0.25">
      <c r="A1776">
        <v>2767</v>
      </c>
      <c r="B1776">
        <v>0</v>
      </c>
    </row>
    <row r="1777" spans="1:2" x14ac:dyDescent="0.25">
      <c r="A1777">
        <v>2768</v>
      </c>
      <c r="B1777">
        <v>0</v>
      </c>
    </row>
    <row r="1778" spans="1:2" x14ac:dyDescent="0.25">
      <c r="A1778">
        <v>2769</v>
      </c>
      <c r="B1778">
        <v>0</v>
      </c>
    </row>
    <row r="1779" spans="1:2" x14ac:dyDescent="0.25">
      <c r="A1779">
        <v>2770</v>
      </c>
      <c r="B1779">
        <v>0</v>
      </c>
    </row>
    <row r="1780" spans="1:2" x14ac:dyDescent="0.25">
      <c r="A1780">
        <v>2771</v>
      </c>
      <c r="B1780">
        <v>0</v>
      </c>
    </row>
    <row r="1781" spans="1:2" x14ac:dyDescent="0.25">
      <c r="A1781">
        <v>2772</v>
      </c>
      <c r="B1781">
        <v>0</v>
      </c>
    </row>
    <row r="1782" spans="1:2" x14ac:dyDescent="0.25">
      <c r="A1782">
        <v>2773</v>
      </c>
      <c r="B1782">
        <v>0</v>
      </c>
    </row>
    <row r="1783" spans="1:2" x14ac:dyDescent="0.25">
      <c r="A1783">
        <v>2774</v>
      </c>
      <c r="B1783">
        <v>0</v>
      </c>
    </row>
    <row r="1784" spans="1:2" x14ac:dyDescent="0.25">
      <c r="A1784">
        <v>2775</v>
      </c>
      <c r="B1784">
        <v>0</v>
      </c>
    </row>
    <row r="1785" spans="1:2" x14ac:dyDescent="0.25">
      <c r="A1785">
        <v>2777</v>
      </c>
      <c r="B1785">
        <v>13</v>
      </c>
    </row>
    <row r="1786" spans="1:2" x14ac:dyDescent="0.25">
      <c r="A1786">
        <v>2779</v>
      </c>
      <c r="B1786">
        <v>0</v>
      </c>
    </row>
    <row r="1787" spans="1:2" x14ac:dyDescent="0.25">
      <c r="A1787">
        <v>2780</v>
      </c>
      <c r="B1787">
        <v>0</v>
      </c>
    </row>
    <row r="1788" spans="1:2" x14ac:dyDescent="0.25">
      <c r="A1788">
        <v>2781</v>
      </c>
      <c r="B1788">
        <v>0</v>
      </c>
    </row>
    <row r="1789" spans="1:2" x14ac:dyDescent="0.25">
      <c r="A1789">
        <v>2782</v>
      </c>
      <c r="B1789">
        <v>0</v>
      </c>
    </row>
    <row r="1790" spans="1:2" x14ac:dyDescent="0.25">
      <c r="A1790">
        <v>2783</v>
      </c>
      <c r="B1790">
        <v>0</v>
      </c>
    </row>
    <row r="1791" spans="1:2" x14ac:dyDescent="0.25">
      <c r="A1791">
        <v>2784</v>
      </c>
      <c r="B1791">
        <v>0</v>
      </c>
    </row>
    <row r="1792" spans="1:2" x14ac:dyDescent="0.25">
      <c r="A1792">
        <v>2785</v>
      </c>
      <c r="B1792">
        <v>0</v>
      </c>
    </row>
    <row r="1793" spans="1:2" x14ac:dyDescent="0.25">
      <c r="A1793">
        <v>2786</v>
      </c>
      <c r="B1793">
        <v>0</v>
      </c>
    </row>
    <row r="1794" spans="1:2" x14ac:dyDescent="0.25">
      <c r="A1794">
        <v>2792</v>
      </c>
      <c r="B1794">
        <v>0</v>
      </c>
    </row>
    <row r="1795" spans="1:2" x14ac:dyDescent="0.25">
      <c r="A1795">
        <v>2794</v>
      </c>
      <c r="B1795">
        <v>0</v>
      </c>
    </row>
    <row r="1796" spans="1:2" x14ac:dyDescent="0.25">
      <c r="A1796">
        <v>2795</v>
      </c>
      <c r="B1796">
        <v>0</v>
      </c>
    </row>
    <row r="1797" spans="1:2" x14ac:dyDescent="0.25">
      <c r="A1797">
        <v>2797</v>
      </c>
      <c r="B1797">
        <v>0</v>
      </c>
    </row>
    <row r="1798" spans="1:2" x14ac:dyDescent="0.25">
      <c r="A1798">
        <v>2798</v>
      </c>
      <c r="B1798">
        <v>0</v>
      </c>
    </row>
    <row r="1799" spans="1:2" x14ac:dyDescent="0.25">
      <c r="A1799">
        <v>2799</v>
      </c>
      <c r="B1799">
        <v>0</v>
      </c>
    </row>
    <row r="1800" spans="1:2" x14ac:dyDescent="0.25">
      <c r="A1800">
        <v>2802</v>
      </c>
      <c r="B1800">
        <v>0</v>
      </c>
    </row>
    <row r="1801" spans="1:2" x14ac:dyDescent="0.25">
      <c r="A1801">
        <v>2807</v>
      </c>
      <c r="B1801">
        <v>0</v>
      </c>
    </row>
    <row r="1802" spans="1:2" x14ac:dyDescent="0.25">
      <c r="A1802">
        <v>2808</v>
      </c>
      <c r="B1802">
        <v>0</v>
      </c>
    </row>
    <row r="1803" spans="1:2" x14ac:dyDescent="0.25">
      <c r="A1803">
        <v>2809</v>
      </c>
      <c r="B1803">
        <v>0</v>
      </c>
    </row>
    <row r="1804" spans="1:2" x14ac:dyDescent="0.25">
      <c r="A1804">
        <v>2810</v>
      </c>
      <c r="B1804">
        <v>0</v>
      </c>
    </row>
    <row r="1805" spans="1:2" x14ac:dyDescent="0.25">
      <c r="A1805">
        <v>2812</v>
      </c>
      <c r="B1805">
        <v>0</v>
      </c>
    </row>
    <row r="1806" spans="1:2" x14ac:dyDescent="0.25">
      <c r="A1806">
        <v>2813</v>
      </c>
      <c r="B1806">
        <v>0</v>
      </c>
    </row>
    <row r="1807" spans="1:2" x14ac:dyDescent="0.25">
      <c r="A1807">
        <v>2814</v>
      </c>
      <c r="B1807">
        <v>0</v>
      </c>
    </row>
    <row r="1808" spans="1:2" x14ac:dyDescent="0.25">
      <c r="A1808">
        <v>2815</v>
      </c>
      <c r="B1808">
        <v>0</v>
      </c>
    </row>
    <row r="1809" spans="1:2" x14ac:dyDescent="0.25">
      <c r="A1809">
        <v>2816</v>
      </c>
      <c r="B1809">
        <v>0</v>
      </c>
    </row>
    <row r="1810" spans="1:2" x14ac:dyDescent="0.25">
      <c r="A1810">
        <v>2817</v>
      </c>
      <c r="B1810">
        <v>0</v>
      </c>
    </row>
    <row r="1811" spans="1:2" x14ac:dyDescent="0.25">
      <c r="A1811">
        <v>2818</v>
      </c>
      <c r="B1811">
        <v>0</v>
      </c>
    </row>
    <row r="1812" spans="1:2" x14ac:dyDescent="0.25">
      <c r="A1812">
        <v>2819</v>
      </c>
      <c r="B1812">
        <v>0</v>
      </c>
    </row>
    <row r="1813" spans="1:2" x14ac:dyDescent="0.25">
      <c r="A1813">
        <v>2822</v>
      </c>
      <c r="B1813">
        <v>0</v>
      </c>
    </row>
    <row r="1814" spans="1:2" x14ac:dyDescent="0.25">
      <c r="A1814">
        <v>2823</v>
      </c>
      <c r="B1814">
        <v>0</v>
      </c>
    </row>
    <row r="1815" spans="1:2" x14ac:dyDescent="0.25">
      <c r="A1815">
        <v>2824</v>
      </c>
      <c r="B1815">
        <v>0</v>
      </c>
    </row>
    <row r="1816" spans="1:2" x14ac:dyDescent="0.25">
      <c r="A1816">
        <v>2825</v>
      </c>
      <c r="B1816">
        <v>0</v>
      </c>
    </row>
    <row r="1817" spans="1:2" x14ac:dyDescent="0.25">
      <c r="A1817">
        <v>2826</v>
      </c>
      <c r="B1817">
        <v>0</v>
      </c>
    </row>
    <row r="1818" spans="1:2" x14ac:dyDescent="0.25">
      <c r="A1818">
        <v>2827</v>
      </c>
      <c r="B1818">
        <v>0</v>
      </c>
    </row>
    <row r="1819" spans="1:2" x14ac:dyDescent="0.25">
      <c r="A1819">
        <v>2828</v>
      </c>
      <c r="B1819">
        <v>0</v>
      </c>
    </row>
    <row r="1820" spans="1:2" x14ac:dyDescent="0.25">
      <c r="A1820">
        <v>2829</v>
      </c>
      <c r="B1820">
        <v>0</v>
      </c>
    </row>
    <row r="1821" spans="1:2" x14ac:dyDescent="0.25">
      <c r="A1821">
        <v>2830</v>
      </c>
      <c r="B1821">
        <v>0</v>
      </c>
    </row>
    <row r="1822" spans="1:2" x14ac:dyDescent="0.25">
      <c r="A1822">
        <v>2833</v>
      </c>
      <c r="B1822">
        <v>0</v>
      </c>
    </row>
    <row r="1823" spans="1:2" x14ac:dyDescent="0.25">
      <c r="A1823">
        <v>2835</v>
      </c>
      <c r="B1823">
        <v>0</v>
      </c>
    </row>
    <row r="1824" spans="1:2" x14ac:dyDescent="0.25">
      <c r="A1824">
        <v>2836</v>
      </c>
      <c r="B1824">
        <v>0</v>
      </c>
    </row>
    <row r="1825" spans="1:2" x14ac:dyDescent="0.25">
      <c r="A1825">
        <v>2838</v>
      </c>
      <c r="B1825">
        <v>0</v>
      </c>
    </row>
    <row r="1826" spans="1:2" x14ac:dyDescent="0.25">
      <c r="A1826">
        <v>2839</v>
      </c>
      <c r="B1826">
        <v>0</v>
      </c>
    </row>
    <row r="1827" spans="1:2" x14ac:dyDescent="0.25">
      <c r="A1827">
        <v>2840</v>
      </c>
      <c r="B1827">
        <v>0</v>
      </c>
    </row>
    <row r="1828" spans="1:2" x14ac:dyDescent="0.25">
      <c r="A1828">
        <v>2841</v>
      </c>
      <c r="B1828">
        <v>0</v>
      </c>
    </row>
    <row r="1829" spans="1:2" x14ac:dyDescent="0.25">
      <c r="A1829">
        <v>2842</v>
      </c>
      <c r="B1829">
        <v>0</v>
      </c>
    </row>
    <row r="1830" spans="1:2" x14ac:dyDescent="0.25">
      <c r="A1830">
        <v>2843</v>
      </c>
      <c r="B1830">
        <v>0</v>
      </c>
    </row>
    <row r="1831" spans="1:2" x14ac:dyDescent="0.25">
      <c r="A1831">
        <v>2844</v>
      </c>
      <c r="B1831">
        <v>0</v>
      </c>
    </row>
    <row r="1832" spans="1:2" x14ac:dyDescent="0.25">
      <c r="A1832">
        <v>2845</v>
      </c>
      <c r="B1832">
        <v>0</v>
      </c>
    </row>
    <row r="1833" spans="1:2" x14ac:dyDescent="0.25">
      <c r="A1833">
        <v>2847</v>
      </c>
      <c r="B1833">
        <v>0</v>
      </c>
    </row>
    <row r="1834" spans="1:2" x14ac:dyDescent="0.25">
      <c r="A1834">
        <v>2849</v>
      </c>
      <c r="B1834">
        <v>0</v>
      </c>
    </row>
    <row r="1835" spans="1:2" x14ac:dyDescent="0.25">
      <c r="A1835">
        <v>2850</v>
      </c>
      <c r="B1835">
        <v>0</v>
      </c>
    </row>
    <row r="1836" spans="1:2" x14ac:dyDescent="0.25">
      <c r="A1836">
        <v>2852</v>
      </c>
      <c r="B1836">
        <v>0</v>
      </c>
    </row>
    <row r="1837" spans="1:2" x14ac:dyDescent="0.25">
      <c r="A1837">
        <v>2853</v>
      </c>
      <c r="B1837">
        <v>0</v>
      </c>
    </row>
    <row r="1838" spans="1:2" x14ac:dyDescent="0.25">
      <c r="A1838">
        <v>2855</v>
      </c>
      <c r="B1838">
        <v>0</v>
      </c>
    </row>
    <row r="1839" spans="1:2" x14ac:dyDescent="0.25">
      <c r="A1839">
        <v>2856</v>
      </c>
      <c r="B1839">
        <v>0</v>
      </c>
    </row>
    <row r="1840" spans="1:2" x14ac:dyDescent="0.25">
      <c r="A1840">
        <v>2858</v>
      </c>
      <c r="B1840">
        <v>0</v>
      </c>
    </row>
    <row r="1841" spans="1:2" x14ac:dyDescent="0.25">
      <c r="A1841">
        <v>2859</v>
      </c>
      <c r="B1841">
        <v>0</v>
      </c>
    </row>
    <row r="1842" spans="1:2" x14ac:dyDescent="0.25">
      <c r="A1842">
        <v>2861</v>
      </c>
      <c r="B1842">
        <v>0</v>
      </c>
    </row>
    <row r="1843" spans="1:2" x14ac:dyDescent="0.25">
      <c r="A1843">
        <v>2862</v>
      </c>
      <c r="B1843">
        <v>0</v>
      </c>
    </row>
    <row r="1844" spans="1:2" x14ac:dyDescent="0.25">
      <c r="A1844">
        <v>2864</v>
      </c>
      <c r="B1844">
        <v>0</v>
      </c>
    </row>
    <row r="1845" spans="1:2" x14ac:dyDescent="0.25">
      <c r="A1845">
        <v>2865</v>
      </c>
      <c r="B1845">
        <v>0</v>
      </c>
    </row>
    <row r="1846" spans="1:2" x14ac:dyDescent="0.25">
      <c r="A1846">
        <v>2868</v>
      </c>
      <c r="B1846">
        <v>0</v>
      </c>
    </row>
    <row r="1847" spans="1:2" x14ac:dyDescent="0.25">
      <c r="A1847">
        <v>2869</v>
      </c>
      <c r="B1847">
        <v>0</v>
      </c>
    </row>
    <row r="1848" spans="1:2" x14ac:dyDescent="0.25">
      <c r="A1848">
        <v>2889</v>
      </c>
      <c r="B1848">
        <v>0</v>
      </c>
    </row>
    <row r="1849" spans="1:2" x14ac:dyDescent="0.25">
      <c r="A1849">
        <v>2897</v>
      </c>
      <c r="B1849">
        <v>0</v>
      </c>
    </row>
    <row r="1850" spans="1:2" x14ac:dyDescent="0.25">
      <c r="A1850">
        <v>2902</v>
      </c>
      <c r="B1850">
        <v>0</v>
      </c>
    </row>
    <row r="1851" spans="1:2" x14ac:dyDescent="0.25">
      <c r="A1851">
        <v>2903</v>
      </c>
      <c r="B1851">
        <v>0</v>
      </c>
    </row>
    <row r="1852" spans="1:2" x14ac:dyDescent="0.25">
      <c r="A1852">
        <v>2904</v>
      </c>
      <c r="B1852">
        <v>0</v>
      </c>
    </row>
    <row r="1853" spans="1:2" x14ac:dyDescent="0.25">
      <c r="A1853">
        <v>2907</v>
      </c>
      <c r="B1853">
        <v>0</v>
      </c>
    </row>
    <row r="1854" spans="1:2" x14ac:dyDescent="0.25">
      <c r="A1854">
        <v>2908</v>
      </c>
      <c r="B1854">
        <v>0</v>
      </c>
    </row>
    <row r="1855" spans="1:2" x14ac:dyDescent="0.25">
      <c r="A1855">
        <v>2909</v>
      </c>
      <c r="B1855">
        <v>0</v>
      </c>
    </row>
    <row r="1856" spans="1:2" x14ac:dyDescent="0.25">
      <c r="A1856">
        <v>2911</v>
      </c>
      <c r="B1856">
        <v>0</v>
      </c>
    </row>
    <row r="1857" spans="1:2" x14ac:dyDescent="0.25">
      <c r="A1857">
        <v>2912</v>
      </c>
      <c r="B1857">
        <v>0</v>
      </c>
    </row>
    <row r="1858" spans="1:2" x14ac:dyDescent="0.25">
      <c r="A1858">
        <v>2913</v>
      </c>
      <c r="B1858">
        <v>0</v>
      </c>
    </row>
    <row r="1859" spans="1:2" x14ac:dyDescent="0.25">
      <c r="A1859">
        <v>2914</v>
      </c>
      <c r="B1859">
        <v>0</v>
      </c>
    </row>
    <row r="1860" spans="1:2" x14ac:dyDescent="0.25">
      <c r="A1860">
        <v>2915</v>
      </c>
      <c r="B1860">
        <v>0</v>
      </c>
    </row>
    <row r="1861" spans="1:2" x14ac:dyDescent="0.25">
      <c r="A1861">
        <v>2916</v>
      </c>
      <c r="B1861">
        <v>0</v>
      </c>
    </row>
    <row r="1862" spans="1:2" x14ac:dyDescent="0.25">
      <c r="A1862">
        <v>2917</v>
      </c>
      <c r="B1862">
        <v>0</v>
      </c>
    </row>
    <row r="1863" spans="1:2" x14ac:dyDescent="0.25">
      <c r="A1863">
        <v>2918</v>
      </c>
      <c r="B1863">
        <v>0</v>
      </c>
    </row>
    <row r="1864" spans="1:2" x14ac:dyDescent="0.25">
      <c r="A1864">
        <v>2919</v>
      </c>
      <c r="B1864">
        <v>0</v>
      </c>
    </row>
    <row r="1865" spans="1:2" x14ac:dyDescent="0.25">
      <c r="A1865">
        <v>2921</v>
      </c>
      <c r="B1865">
        <v>0</v>
      </c>
    </row>
    <row r="1866" spans="1:2" x14ac:dyDescent="0.25">
      <c r="A1866">
        <v>2922</v>
      </c>
      <c r="B1866">
        <v>0</v>
      </c>
    </row>
    <row r="1867" spans="1:2" x14ac:dyDescent="0.25">
      <c r="A1867">
        <v>2923</v>
      </c>
      <c r="B1867">
        <v>0</v>
      </c>
    </row>
    <row r="1868" spans="1:2" x14ac:dyDescent="0.25">
      <c r="A1868">
        <v>2924</v>
      </c>
      <c r="B1868">
        <v>0</v>
      </c>
    </row>
    <row r="1869" spans="1:2" x14ac:dyDescent="0.25">
      <c r="A1869">
        <v>2925</v>
      </c>
      <c r="B1869">
        <v>0</v>
      </c>
    </row>
    <row r="1870" spans="1:2" x14ac:dyDescent="0.25">
      <c r="A1870">
        <v>2927</v>
      </c>
      <c r="B1870">
        <v>0</v>
      </c>
    </row>
    <row r="1871" spans="1:2" x14ac:dyDescent="0.25">
      <c r="A1871">
        <v>2928</v>
      </c>
      <c r="B1871">
        <v>0</v>
      </c>
    </row>
    <row r="1872" spans="1:2" x14ac:dyDescent="0.25">
      <c r="A1872">
        <v>2930</v>
      </c>
      <c r="B1872">
        <v>0</v>
      </c>
    </row>
    <row r="1873" spans="1:2" x14ac:dyDescent="0.25">
      <c r="A1873">
        <v>2931</v>
      </c>
      <c r="B1873">
        <v>0</v>
      </c>
    </row>
    <row r="1874" spans="1:2" x14ac:dyDescent="0.25">
      <c r="A1874">
        <v>2932</v>
      </c>
      <c r="B1874">
        <v>0</v>
      </c>
    </row>
    <row r="1875" spans="1:2" x14ac:dyDescent="0.25">
      <c r="A1875">
        <v>2933</v>
      </c>
      <c r="B1875">
        <v>0</v>
      </c>
    </row>
    <row r="1876" spans="1:2" x14ac:dyDescent="0.25">
      <c r="A1876">
        <v>2934</v>
      </c>
      <c r="B1876">
        <v>0</v>
      </c>
    </row>
    <row r="1877" spans="1:2" x14ac:dyDescent="0.25">
      <c r="A1877">
        <v>2935</v>
      </c>
      <c r="B1877">
        <v>0</v>
      </c>
    </row>
    <row r="1878" spans="1:2" x14ac:dyDescent="0.25">
      <c r="A1878">
        <v>2936</v>
      </c>
      <c r="B1878">
        <v>0</v>
      </c>
    </row>
    <row r="1879" spans="1:2" x14ac:dyDescent="0.25">
      <c r="A1879">
        <v>2937</v>
      </c>
      <c r="B1879">
        <v>0</v>
      </c>
    </row>
    <row r="1880" spans="1:2" x14ac:dyDescent="0.25">
      <c r="A1880">
        <v>2938</v>
      </c>
      <c r="B1880">
        <v>0</v>
      </c>
    </row>
    <row r="1881" spans="1:2" x14ac:dyDescent="0.25">
      <c r="A1881">
        <v>2939</v>
      </c>
      <c r="B1881">
        <v>0</v>
      </c>
    </row>
    <row r="1882" spans="1:2" x14ac:dyDescent="0.25">
      <c r="A1882">
        <v>2940</v>
      </c>
      <c r="B1882">
        <v>0</v>
      </c>
    </row>
    <row r="1883" spans="1:2" x14ac:dyDescent="0.25">
      <c r="A1883">
        <v>2941</v>
      </c>
      <c r="B1883">
        <v>0</v>
      </c>
    </row>
    <row r="1884" spans="1:2" x14ac:dyDescent="0.25">
      <c r="A1884">
        <v>2942</v>
      </c>
      <c r="B1884">
        <v>0</v>
      </c>
    </row>
    <row r="1885" spans="1:2" x14ac:dyDescent="0.25">
      <c r="A1885">
        <v>2943</v>
      </c>
      <c r="B1885">
        <v>0</v>
      </c>
    </row>
    <row r="1886" spans="1:2" x14ac:dyDescent="0.25">
      <c r="A1886">
        <v>2973</v>
      </c>
      <c r="B1886">
        <v>0</v>
      </c>
    </row>
    <row r="1887" spans="1:2" x14ac:dyDescent="0.25">
      <c r="A1887">
        <v>2974</v>
      </c>
      <c r="B1887">
        <v>0</v>
      </c>
    </row>
    <row r="1888" spans="1:2" x14ac:dyDescent="0.25">
      <c r="A1888">
        <v>2975</v>
      </c>
      <c r="B1888">
        <v>0</v>
      </c>
    </row>
    <row r="1889" spans="1:2" x14ac:dyDescent="0.25">
      <c r="A1889">
        <v>2976</v>
      </c>
      <c r="B1889">
        <v>0</v>
      </c>
    </row>
    <row r="1890" spans="1:2" x14ac:dyDescent="0.25">
      <c r="A1890">
        <v>2977</v>
      </c>
      <c r="B1890">
        <v>0</v>
      </c>
    </row>
    <row r="1891" spans="1:2" x14ac:dyDescent="0.25">
      <c r="A1891">
        <v>2978</v>
      </c>
      <c r="B1891">
        <v>0</v>
      </c>
    </row>
    <row r="1892" spans="1:2" x14ac:dyDescent="0.25">
      <c r="A1892">
        <v>2982</v>
      </c>
      <c r="B1892">
        <v>0</v>
      </c>
    </row>
    <row r="1893" spans="1:2" x14ac:dyDescent="0.25">
      <c r="A1893">
        <v>2983</v>
      </c>
      <c r="B1893">
        <v>0</v>
      </c>
    </row>
    <row r="1894" spans="1:2" x14ac:dyDescent="0.25">
      <c r="A1894">
        <v>2984</v>
      </c>
      <c r="B1894">
        <v>0</v>
      </c>
    </row>
    <row r="1895" spans="1:2" x14ac:dyDescent="0.25">
      <c r="A1895">
        <v>2985</v>
      </c>
      <c r="B1895">
        <v>0</v>
      </c>
    </row>
    <row r="1896" spans="1:2" x14ac:dyDescent="0.25">
      <c r="A1896">
        <v>2988</v>
      </c>
      <c r="B1896">
        <v>0</v>
      </c>
    </row>
    <row r="1897" spans="1:2" x14ac:dyDescent="0.25">
      <c r="A1897">
        <v>2989</v>
      </c>
      <c r="B1897">
        <v>0</v>
      </c>
    </row>
    <row r="1898" spans="1:2" x14ac:dyDescent="0.25">
      <c r="A1898">
        <v>3005</v>
      </c>
      <c r="B1898">
        <v>0</v>
      </c>
    </row>
    <row r="1899" spans="1:2" x14ac:dyDescent="0.25">
      <c r="A1899">
        <v>3007</v>
      </c>
      <c r="B1899">
        <v>0</v>
      </c>
    </row>
    <row r="1900" spans="1:2" x14ac:dyDescent="0.25">
      <c r="A1900">
        <v>3050</v>
      </c>
      <c r="B1900">
        <v>0</v>
      </c>
    </row>
    <row r="1901" spans="1:2" x14ac:dyDescent="0.25">
      <c r="A1901">
        <v>3051</v>
      </c>
      <c r="B1901">
        <v>0</v>
      </c>
    </row>
    <row r="1902" spans="1:2" x14ac:dyDescent="0.25">
      <c r="A1902">
        <v>3052</v>
      </c>
      <c r="B1902">
        <v>0</v>
      </c>
    </row>
    <row r="1903" spans="1:2" x14ac:dyDescent="0.25">
      <c r="A1903">
        <v>3053</v>
      </c>
      <c r="B1903">
        <v>0</v>
      </c>
    </row>
    <row r="1904" spans="1:2" x14ac:dyDescent="0.25">
      <c r="A1904">
        <v>3054</v>
      </c>
      <c r="B1904">
        <v>0</v>
      </c>
    </row>
    <row r="1905" spans="1:2" x14ac:dyDescent="0.25">
      <c r="A1905">
        <v>3055</v>
      </c>
      <c r="B1905">
        <v>0</v>
      </c>
    </row>
    <row r="1906" spans="1:2" x14ac:dyDescent="0.25">
      <c r="A1906">
        <v>3077</v>
      </c>
      <c r="B1906">
        <v>0</v>
      </c>
    </row>
    <row r="1907" spans="1:2" x14ac:dyDescent="0.25">
      <c r="A1907">
        <v>3079</v>
      </c>
      <c r="B1907">
        <v>0</v>
      </c>
    </row>
    <row r="1908" spans="1:2" x14ac:dyDescent="0.25">
      <c r="A1908">
        <v>3084</v>
      </c>
      <c r="B1908">
        <v>0</v>
      </c>
    </row>
    <row r="1909" spans="1:2" x14ac:dyDescent="0.25">
      <c r="A1909">
        <v>3089</v>
      </c>
      <c r="B1909">
        <v>0</v>
      </c>
    </row>
    <row r="1910" spans="1:2" x14ac:dyDescent="0.25">
      <c r="A1910">
        <v>3091</v>
      </c>
      <c r="B1910">
        <v>0</v>
      </c>
    </row>
    <row r="1911" spans="1:2" x14ac:dyDescent="0.25">
      <c r="A1911">
        <v>3092</v>
      </c>
      <c r="B1911">
        <v>0</v>
      </c>
    </row>
    <row r="1912" spans="1:2" x14ac:dyDescent="0.25">
      <c r="A1912">
        <v>3094</v>
      </c>
      <c r="B1912">
        <v>0</v>
      </c>
    </row>
    <row r="1913" spans="1:2" x14ac:dyDescent="0.25">
      <c r="A1913">
        <v>3095</v>
      </c>
      <c r="B1913">
        <v>0</v>
      </c>
    </row>
    <row r="1914" spans="1:2" x14ac:dyDescent="0.25">
      <c r="A1914">
        <v>3096</v>
      </c>
      <c r="B1914">
        <v>0</v>
      </c>
    </row>
    <row r="1915" spans="1:2" x14ac:dyDescent="0.25">
      <c r="A1915">
        <v>3098</v>
      </c>
      <c r="B1915">
        <v>0</v>
      </c>
    </row>
    <row r="1916" spans="1:2" x14ac:dyDescent="0.25">
      <c r="A1916">
        <v>3100</v>
      </c>
      <c r="B1916">
        <v>0</v>
      </c>
    </row>
    <row r="1917" spans="1:2" x14ac:dyDescent="0.25">
      <c r="A1917">
        <v>3101</v>
      </c>
      <c r="B1917">
        <v>0</v>
      </c>
    </row>
    <row r="1918" spans="1:2" x14ac:dyDescent="0.25">
      <c r="A1918">
        <v>3103</v>
      </c>
      <c r="B1918">
        <v>0</v>
      </c>
    </row>
    <row r="1919" spans="1:2" x14ac:dyDescent="0.25">
      <c r="A1919">
        <v>3104</v>
      </c>
      <c r="B1919">
        <v>0</v>
      </c>
    </row>
    <row r="1920" spans="1:2" x14ac:dyDescent="0.25">
      <c r="A1920">
        <v>3105</v>
      </c>
      <c r="B1920">
        <v>0</v>
      </c>
    </row>
    <row r="1921" spans="1:2" x14ac:dyDescent="0.25">
      <c r="A1921">
        <v>3109</v>
      </c>
      <c r="B1921">
        <v>0</v>
      </c>
    </row>
    <row r="1922" spans="1:2" x14ac:dyDescent="0.25">
      <c r="A1922">
        <v>3110</v>
      </c>
      <c r="B1922">
        <v>0</v>
      </c>
    </row>
    <row r="1923" spans="1:2" x14ac:dyDescent="0.25">
      <c r="A1923">
        <v>3112</v>
      </c>
      <c r="B1923">
        <v>0</v>
      </c>
    </row>
    <row r="1924" spans="1:2" x14ac:dyDescent="0.25">
      <c r="A1924">
        <v>3114</v>
      </c>
      <c r="B1924">
        <v>0</v>
      </c>
    </row>
    <row r="1925" spans="1:2" x14ac:dyDescent="0.25">
      <c r="A1925">
        <v>3115</v>
      </c>
      <c r="B1925">
        <v>0</v>
      </c>
    </row>
    <row r="1926" spans="1:2" x14ac:dyDescent="0.25">
      <c r="A1926">
        <v>3119</v>
      </c>
      <c r="B1926">
        <v>0</v>
      </c>
    </row>
    <row r="1927" spans="1:2" x14ac:dyDescent="0.25">
      <c r="A1927">
        <v>3120</v>
      </c>
      <c r="B1927">
        <v>0</v>
      </c>
    </row>
    <row r="1928" spans="1:2" x14ac:dyDescent="0.25">
      <c r="A1928">
        <v>3121</v>
      </c>
      <c r="B1928">
        <v>0</v>
      </c>
    </row>
    <row r="1929" spans="1:2" x14ac:dyDescent="0.25">
      <c r="A1929">
        <v>3122</v>
      </c>
      <c r="B1929">
        <v>0</v>
      </c>
    </row>
    <row r="1930" spans="1:2" x14ac:dyDescent="0.25">
      <c r="A1930">
        <v>3124</v>
      </c>
      <c r="B1930">
        <v>0</v>
      </c>
    </row>
    <row r="1931" spans="1:2" x14ac:dyDescent="0.25">
      <c r="A1931">
        <v>3125</v>
      </c>
      <c r="B1931">
        <v>0</v>
      </c>
    </row>
    <row r="1932" spans="1:2" x14ac:dyDescent="0.25">
      <c r="A1932">
        <v>3127</v>
      </c>
      <c r="B1932">
        <v>0</v>
      </c>
    </row>
    <row r="1933" spans="1:2" x14ac:dyDescent="0.25">
      <c r="A1933">
        <v>3129</v>
      </c>
      <c r="B1933">
        <v>0</v>
      </c>
    </row>
    <row r="1934" spans="1:2" x14ac:dyDescent="0.25">
      <c r="A1934">
        <v>3130</v>
      </c>
      <c r="B1934">
        <v>0</v>
      </c>
    </row>
    <row r="1935" spans="1:2" x14ac:dyDescent="0.25">
      <c r="A1935">
        <v>3132</v>
      </c>
      <c r="B1935">
        <v>0</v>
      </c>
    </row>
    <row r="1936" spans="1:2" x14ac:dyDescent="0.25">
      <c r="A1936">
        <v>3134</v>
      </c>
      <c r="B1936">
        <v>0</v>
      </c>
    </row>
    <row r="1937" spans="1:2" x14ac:dyDescent="0.25">
      <c r="A1937">
        <v>3135</v>
      </c>
      <c r="B1937">
        <v>0</v>
      </c>
    </row>
    <row r="1938" spans="1:2" x14ac:dyDescent="0.25">
      <c r="A1938">
        <v>3137</v>
      </c>
      <c r="B1938">
        <v>0</v>
      </c>
    </row>
    <row r="1939" spans="1:2" x14ac:dyDescent="0.25">
      <c r="A1939">
        <v>3138</v>
      </c>
      <c r="B1939">
        <v>0</v>
      </c>
    </row>
    <row r="1940" spans="1:2" x14ac:dyDescent="0.25">
      <c r="A1940">
        <v>3141</v>
      </c>
      <c r="B1940">
        <v>0</v>
      </c>
    </row>
    <row r="1941" spans="1:2" x14ac:dyDescent="0.25">
      <c r="A1941">
        <v>3142</v>
      </c>
      <c r="B1941">
        <v>0</v>
      </c>
    </row>
    <row r="1942" spans="1:2" x14ac:dyDescent="0.25">
      <c r="A1942">
        <v>3143</v>
      </c>
      <c r="B1942">
        <v>0</v>
      </c>
    </row>
    <row r="1943" spans="1:2" x14ac:dyDescent="0.25">
      <c r="A1943">
        <v>3146</v>
      </c>
      <c r="B1943">
        <v>0</v>
      </c>
    </row>
    <row r="1944" spans="1:2" x14ac:dyDescent="0.25">
      <c r="A1944">
        <v>3147</v>
      </c>
      <c r="B1944">
        <v>0</v>
      </c>
    </row>
    <row r="1945" spans="1:2" x14ac:dyDescent="0.25">
      <c r="A1945">
        <v>3149</v>
      </c>
      <c r="B1945">
        <v>0</v>
      </c>
    </row>
    <row r="1946" spans="1:2" x14ac:dyDescent="0.25">
      <c r="A1946">
        <v>3150</v>
      </c>
      <c r="B1946">
        <v>0</v>
      </c>
    </row>
    <row r="1947" spans="1:2" x14ac:dyDescent="0.25">
      <c r="A1947">
        <v>3152</v>
      </c>
      <c r="B1947">
        <v>0</v>
      </c>
    </row>
    <row r="1948" spans="1:2" x14ac:dyDescent="0.25">
      <c r="A1948">
        <v>3154</v>
      </c>
      <c r="B1948">
        <v>0</v>
      </c>
    </row>
    <row r="1949" spans="1:2" x14ac:dyDescent="0.25">
      <c r="A1949">
        <v>3155</v>
      </c>
      <c r="B1949">
        <v>0</v>
      </c>
    </row>
    <row r="1950" spans="1:2" x14ac:dyDescent="0.25">
      <c r="A1950">
        <v>3179</v>
      </c>
      <c r="B1950">
        <v>0</v>
      </c>
    </row>
    <row r="1951" spans="1:2" x14ac:dyDescent="0.25">
      <c r="A1951">
        <v>3181</v>
      </c>
      <c r="B1951">
        <v>0</v>
      </c>
    </row>
    <row r="1952" spans="1:2" x14ac:dyDescent="0.25">
      <c r="A1952">
        <v>3182</v>
      </c>
      <c r="B1952">
        <v>0</v>
      </c>
    </row>
    <row r="1953" spans="1:2" x14ac:dyDescent="0.25">
      <c r="A1953">
        <v>3184</v>
      </c>
      <c r="B1953">
        <v>0</v>
      </c>
    </row>
    <row r="1954" spans="1:2" x14ac:dyDescent="0.25">
      <c r="A1954">
        <v>3194</v>
      </c>
      <c r="B1954">
        <v>0</v>
      </c>
    </row>
    <row r="1955" spans="1:2" x14ac:dyDescent="0.25">
      <c r="A1955">
        <v>3196</v>
      </c>
      <c r="B1955">
        <v>0</v>
      </c>
    </row>
    <row r="1956" spans="1:2" x14ac:dyDescent="0.25">
      <c r="A1956">
        <v>3198</v>
      </c>
      <c r="B1956">
        <v>0</v>
      </c>
    </row>
    <row r="1957" spans="1:2" x14ac:dyDescent="0.25">
      <c r="A1957">
        <v>3200</v>
      </c>
      <c r="B1957">
        <v>0</v>
      </c>
    </row>
    <row r="1958" spans="1:2" x14ac:dyDescent="0.25">
      <c r="A1958">
        <v>3202</v>
      </c>
      <c r="B1958">
        <v>0</v>
      </c>
    </row>
    <row r="1959" spans="1:2" x14ac:dyDescent="0.25">
      <c r="A1959">
        <v>3204</v>
      </c>
      <c r="B1959">
        <v>0</v>
      </c>
    </row>
    <row r="1960" spans="1:2" x14ac:dyDescent="0.25">
      <c r="A1960">
        <v>3205</v>
      </c>
      <c r="B1960">
        <v>0</v>
      </c>
    </row>
    <row r="1961" spans="1:2" x14ac:dyDescent="0.25">
      <c r="A1961">
        <v>3207</v>
      </c>
      <c r="B1961">
        <v>0</v>
      </c>
    </row>
    <row r="1962" spans="1:2" x14ac:dyDescent="0.25">
      <c r="A1962">
        <v>3209</v>
      </c>
      <c r="B1962">
        <v>0</v>
      </c>
    </row>
    <row r="1963" spans="1:2" x14ac:dyDescent="0.25">
      <c r="A1963">
        <v>3211</v>
      </c>
      <c r="B1963">
        <v>0</v>
      </c>
    </row>
    <row r="1964" spans="1:2" x14ac:dyDescent="0.25">
      <c r="A1964">
        <v>3213</v>
      </c>
      <c r="B1964">
        <v>0</v>
      </c>
    </row>
    <row r="1965" spans="1:2" x14ac:dyDescent="0.25">
      <c r="A1965">
        <v>3215</v>
      </c>
      <c r="B1965">
        <v>0</v>
      </c>
    </row>
    <row r="1966" spans="1:2" x14ac:dyDescent="0.25">
      <c r="A1966">
        <v>3216</v>
      </c>
      <c r="B1966">
        <v>0</v>
      </c>
    </row>
    <row r="1967" spans="1:2" x14ac:dyDescent="0.25">
      <c r="A1967">
        <v>3217</v>
      </c>
      <c r="B1967">
        <v>0</v>
      </c>
    </row>
    <row r="1968" spans="1:2" x14ac:dyDescent="0.25">
      <c r="A1968">
        <v>3218</v>
      </c>
      <c r="B1968">
        <v>0</v>
      </c>
    </row>
    <row r="1969" spans="1:2" x14ac:dyDescent="0.25">
      <c r="A1969">
        <v>3219</v>
      </c>
      <c r="B1969">
        <v>0</v>
      </c>
    </row>
    <row r="1970" spans="1:2" x14ac:dyDescent="0.25">
      <c r="A1970">
        <v>3236</v>
      </c>
      <c r="B1970">
        <v>0</v>
      </c>
    </row>
    <row r="1971" spans="1:2" x14ac:dyDescent="0.25">
      <c r="A1971">
        <v>3238</v>
      </c>
      <c r="B1971">
        <v>0</v>
      </c>
    </row>
    <row r="1972" spans="1:2" x14ac:dyDescent="0.25">
      <c r="A1972">
        <v>3239</v>
      </c>
      <c r="B1972">
        <v>0</v>
      </c>
    </row>
    <row r="1973" spans="1:2" x14ac:dyDescent="0.25">
      <c r="A1973">
        <v>3241</v>
      </c>
      <c r="B1973">
        <v>0</v>
      </c>
    </row>
    <row r="1974" spans="1:2" x14ac:dyDescent="0.25">
      <c r="A1974">
        <v>3242</v>
      </c>
      <c r="B1974">
        <v>0</v>
      </c>
    </row>
    <row r="1975" spans="1:2" x14ac:dyDescent="0.25">
      <c r="A1975">
        <v>3243</v>
      </c>
      <c r="B1975">
        <v>0</v>
      </c>
    </row>
    <row r="1976" spans="1:2" x14ac:dyDescent="0.25">
      <c r="A1976">
        <v>3244</v>
      </c>
      <c r="B1976">
        <v>0</v>
      </c>
    </row>
    <row r="1977" spans="1:2" x14ac:dyDescent="0.25">
      <c r="A1977">
        <v>3246</v>
      </c>
      <c r="B1977">
        <v>0</v>
      </c>
    </row>
    <row r="1978" spans="1:2" x14ac:dyDescent="0.25">
      <c r="A1978">
        <v>3248</v>
      </c>
      <c r="B1978">
        <v>0</v>
      </c>
    </row>
    <row r="1979" spans="1:2" x14ac:dyDescent="0.25">
      <c r="A1979">
        <v>3250</v>
      </c>
      <c r="B1979">
        <v>0</v>
      </c>
    </row>
    <row r="1980" spans="1:2" x14ac:dyDescent="0.25">
      <c r="A1980">
        <v>3251</v>
      </c>
      <c r="B1980">
        <v>0</v>
      </c>
    </row>
    <row r="1981" spans="1:2" x14ac:dyDescent="0.25">
      <c r="A1981">
        <v>3252</v>
      </c>
      <c r="B1981">
        <v>0</v>
      </c>
    </row>
    <row r="1982" spans="1:2" x14ac:dyDescent="0.25">
      <c r="A1982">
        <v>3253</v>
      </c>
      <c r="B1982">
        <v>0</v>
      </c>
    </row>
    <row r="1983" spans="1:2" x14ac:dyDescent="0.25">
      <c r="A1983">
        <v>3254</v>
      </c>
      <c r="B1983">
        <v>0</v>
      </c>
    </row>
    <row r="1984" spans="1:2" x14ac:dyDescent="0.25">
      <c r="A1984">
        <v>3256</v>
      </c>
      <c r="B1984">
        <v>0</v>
      </c>
    </row>
    <row r="1985" spans="1:2" x14ac:dyDescent="0.25">
      <c r="A1985">
        <v>3257</v>
      </c>
      <c r="B1985">
        <v>0</v>
      </c>
    </row>
    <row r="1986" spans="1:2" x14ac:dyDescent="0.25">
      <c r="A1986">
        <v>3258</v>
      </c>
      <c r="B1986">
        <v>0</v>
      </c>
    </row>
    <row r="1987" spans="1:2" x14ac:dyDescent="0.25">
      <c r="A1987">
        <v>3260</v>
      </c>
      <c r="B1987">
        <v>0</v>
      </c>
    </row>
    <row r="1988" spans="1:2" x14ac:dyDescent="0.25">
      <c r="A1988">
        <v>3262</v>
      </c>
      <c r="B1988">
        <v>0</v>
      </c>
    </row>
    <row r="1989" spans="1:2" x14ac:dyDescent="0.25">
      <c r="A1989">
        <v>3264</v>
      </c>
      <c r="B1989">
        <v>0</v>
      </c>
    </row>
    <row r="1990" spans="1:2" x14ac:dyDescent="0.25">
      <c r="A1990">
        <v>3266</v>
      </c>
      <c r="B1990">
        <v>0</v>
      </c>
    </row>
    <row r="1991" spans="1:2" x14ac:dyDescent="0.25">
      <c r="A1991">
        <v>3268</v>
      </c>
      <c r="B1991">
        <v>0</v>
      </c>
    </row>
    <row r="1992" spans="1:2" x14ac:dyDescent="0.25">
      <c r="A1992">
        <v>3270</v>
      </c>
      <c r="B1992">
        <v>0</v>
      </c>
    </row>
    <row r="1993" spans="1:2" x14ac:dyDescent="0.25">
      <c r="A1993">
        <v>3272</v>
      </c>
      <c r="B1993">
        <v>0</v>
      </c>
    </row>
    <row r="1994" spans="1:2" x14ac:dyDescent="0.25">
      <c r="A1994">
        <v>3274</v>
      </c>
      <c r="B1994">
        <v>0</v>
      </c>
    </row>
    <row r="1995" spans="1:2" x14ac:dyDescent="0.25">
      <c r="A1995">
        <v>3276</v>
      </c>
      <c r="B1995">
        <v>0</v>
      </c>
    </row>
    <row r="1996" spans="1:2" x14ac:dyDescent="0.25">
      <c r="A1996">
        <v>3343</v>
      </c>
      <c r="B1996">
        <v>0</v>
      </c>
    </row>
    <row r="1997" spans="1:2" x14ac:dyDescent="0.25">
      <c r="A1997">
        <v>3345</v>
      </c>
      <c r="B1997">
        <v>0</v>
      </c>
    </row>
    <row r="1998" spans="1:2" x14ac:dyDescent="0.25">
      <c r="A1998">
        <v>3347</v>
      </c>
      <c r="B1998">
        <v>0</v>
      </c>
    </row>
    <row r="1999" spans="1:2" x14ac:dyDescent="0.25">
      <c r="A1999">
        <v>3349</v>
      </c>
      <c r="B1999">
        <v>0</v>
      </c>
    </row>
    <row r="2000" spans="1:2" x14ac:dyDescent="0.25">
      <c r="A2000">
        <v>3351</v>
      </c>
      <c r="B2000">
        <v>0</v>
      </c>
    </row>
    <row r="2001" spans="1:2" x14ac:dyDescent="0.25">
      <c r="A2001">
        <v>3353</v>
      </c>
      <c r="B2001">
        <v>0</v>
      </c>
    </row>
    <row r="2002" spans="1:2" x14ac:dyDescent="0.25">
      <c r="A2002">
        <v>3355</v>
      </c>
      <c r="B2002">
        <v>0</v>
      </c>
    </row>
    <row r="2003" spans="1:2" x14ac:dyDescent="0.25">
      <c r="A2003">
        <v>3357</v>
      </c>
      <c r="B2003">
        <v>0</v>
      </c>
    </row>
    <row r="2004" spans="1:2" x14ac:dyDescent="0.25">
      <c r="A2004">
        <v>3359</v>
      </c>
      <c r="B2004">
        <v>0</v>
      </c>
    </row>
    <row r="2005" spans="1:2" x14ac:dyDescent="0.25">
      <c r="A2005">
        <v>3361</v>
      </c>
      <c r="B2005">
        <v>0</v>
      </c>
    </row>
    <row r="2006" spans="1:2" x14ac:dyDescent="0.25">
      <c r="A2006">
        <v>3363</v>
      </c>
      <c r="B2006">
        <v>0</v>
      </c>
    </row>
    <row r="2007" spans="1:2" x14ac:dyDescent="0.25">
      <c r="A2007">
        <v>3365</v>
      </c>
      <c r="B2007">
        <v>0</v>
      </c>
    </row>
    <row r="2008" spans="1:2" x14ac:dyDescent="0.25">
      <c r="A2008">
        <v>3367</v>
      </c>
      <c r="B2008">
        <v>0</v>
      </c>
    </row>
    <row r="2009" spans="1:2" x14ac:dyDescent="0.25">
      <c r="A2009">
        <v>3369</v>
      </c>
      <c r="B2009">
        <v>0</v>
      </c>
    </row>
    <row r="2010" spans="1:2" x14ac:dyDescent="0.25">
      <c r="A2010">
        <v>3371</v>
      </c>
      <c r="B2010">
        <v>0</v>
      </c>
    </row>
    <row r="2011" spans="1:2" x14ac:dyDescent="0.25">
      <c r="A2011">
        <v>3373</v>
      </c>
      <c r="B2011">
        <v>0</v>
      </c>
    </row>
    <row r="2012" spans="1:2" x14ac:dyDescent="0.25">
      <c r="A2012">
        <v>3375</v>
      </c>
      <c r="B2012">
        <v>0</v>
      </c>
    </row>
    <row r="2013" spans="1:2" x14ac:dyDescent="0.25">
      <c r="A2013">
        <v>3377</v>
      </c>
      <c r="B2013">
        <v>0</v>
      </c>
    </row>
    <row r="2014" spans="1:2" x14ac:dyDescent="0.25">
      <c r="A2014">
        <v>3379</v>
      </c>
      <c r="B2014">
        <v>0</v>
      </c>
    </row>
    <row r="2015" spans="1:2" x14ac:dyDescent="0.25">
      <c r="A2015">
        <v>3381</v>
      </c>
      <c r="B2015">
        <v>0</v>
      </c>
    </row>
    <row r="2016" spans="1:2" x14ac:dyDescent="0.25">
      <c r="A2016">
        <v>3383</v>
      </c>
      <c r="B2016">
        <v>0</v>
      </c>
    </row>
    <row r="2017" spans="1:2" x14ac:dyDescent="0.25">
      <c r="A2017">
        <v>3385</v>
      </c>
      <c r="B2017">
        <v>0</v>
      </c>
    </row>
    <row r="2018" spans="1:2" x14ac:dyDescent="0.25">
      <c r="A2018">
        <v>3387</v>
      </c>
      <c r="B2018">
        <v>0</v>
      </c>
    </row>
    <row r="2019" spans="1:2" x14ac:dyDescent="0.25">
      <c r="A2019">
        <v>3389</v>
      </c>
      <c r="B2019">
        <v>0</v>
      </c>
    </row>
    <row r="2020" spans="1:2" x14ac:dyDescent="0.25">
      <c r="A2020">
        <v>3391</v>
      </c>
      <c r="B2020">
        <v>0</v>
      </c>
    </row>
    <row r="2021" spans="1:2" x14ac:dyDescent="0.25">
      <c r="A2021">
        <v>3393</v>
      </c>
      <c r="B2021">
        <v>0</v>
      </c>
    </row>
    <row r="2022" spans="1:2" x14ac:dyDescent="0.25">
      <c r="A2022">
        <v>3395</v>
      </c>
      <c r="B2022">
        <v>0</v>
      </c>
    </row>
    <row r="2023" spans="1:2" x14ac:dyDescent="0.25">
      <c r="A2023">
        <v>3491</v>
      </c>
      <c r="B2023">
        <v>0</v>
      </c>
    </row>
    <row r="2024" spans="1:2" x14ac:dyDescent="0.25">
      <c r="A2024">
        <v>3492</v>
      </c>
      <c r="B2024">
        <v>0</v>
      </c>
    </row>
    <row r="2025" spans="1:2" x14ac:dyDescent="0.25">
      <c r="A2025">
        <v>3493</v>
      </c>
      <c r="B2025">
        <v>0</v>
      </c>
    </row>
    <row r="2026" spans="1:2" x14ac:dyDescent="0.25">
      <c r="A2026">
        <v>3494</v>
      </c>
      <c r="B2026">
        <v>0</v>
      </c>
    </row>
    <row r="2027" spans="1:2" x14ac:dyDescent="0.25">
      <c r="A2027">
        <v>3498</v>
      </c>
      <c r="B2027">
        <v>0</v>
      </c>
    </row>
    <row r="2028" spans="1:2" x14ac:dyDescent="0.25">
      <c r="A2028">
        <v>3500</v>
      </c>
      <c r="B2028">
        <v>0</v>
      </c>
    </row>
    <row r="2029" spans="1:2" x14ac:dyDescent="0.25">
      <c r="A2029">
        <v>3501</v>
      </c>
      <c r="B2029">
        <v>0</v>
      </c>
    </row>
    <row r="2030" spans="1:2" x14ac:dyDescent="0.25">
      <c r="A2030">
        <v>3502</v>
      </c>
      <c r="B2030">
        <v>0</v>
      </c>
    </row>
    <row r="2031" spans="1:2" x14ac:dyDescent="0.25">
      <c r="A2031">
        <v>3503</v>
      </c>
      <c r="B2031">
        <v>0</v>
      </c>
    </row>
    <row r="2032" spans="1:2" x14ac:dyDescent="0.25">
      <c r="A2032">
        <v>3504</v>
      </c>
      <c r="B2032">
        <v>0</v>
      </c>
    </row>
    <row r="2033" spans="1:2" x14ac:dyDescent="0.25">
      <c r="A2033">
        <v>3505</v>
      </c>
      <c r="B2033">
        <v>0</v>
      </c>
    </row>
    <row r="2034" spans="1:2" x14ac:dyDescent="0.25">
      <c r="A2034">
        <v>3507</v>
      </c>
      <c r="B2034">
        <v>0</v>
      </c>
    </row>
    <row r="2035" spans="1:2" x14ac:dyDescent="0.25">
      <c r="A2035">
        <v>3508</v>
      </c>
      <c r="B2035">
        <v>0</v>
      </c>
    </row>
    <row r="2036" spans="1:2" x14ac:dyDescent="0.25">
      <c r="A2036">
        <v>3509</v>
      </c>
      <c r="B2036">
        <v>0</v>
      </c>
    </row>
    <row r="2037" spans="1:2" x14ac:dyDescent="0.25">
      <c r="A2037">
        <v>3510</v>
      </c>
      <c r="B2037">
        <v>0</v>
      </c>
    </row>
    <row r="2038" spans="1:2" x14ac:dyDescent="0.25">
      <c r="A2038">
        <v>3515</v>
      </c>
      <c r="B2038">
        <v>0</v>
      </c>
    </row>
    <row r="2039" spans="1:2" x14ac:dyDescent="0.25">
      <c r="A2039">
        <v>3516</v>
      </c>
      <c r="B2039">
        <v>0</v>
      </c>
    </row>
    <row r="2040" spans="1:2" x14ac:dyDescent="0.25">
      <c r="A2040">
        <v>3517</v>
      </c>
      <c r="B2040">
        <v>0</v>
      </c>
    </row>
    <row r="2041" spans="1:2" x14ac:dyDescent="0.25">
      <c r="A2041">
        <v>3518</v>
      </c>
      <c r="B2041">
        <v>0</v>
      </c>
    </row>
    <row r="2042" spans="1:2" x14ac:dyDescent="0.25">
      <c r="A2042">
        <v>3519</v>
      </c>
      <c r="B2042">
        <v>0</v>
      </c>
    </row>
    <row r="2043" spans="1:2" x14ac:dyDescent="0.25">
      <c r="A2043">
        <v>3521</v>
      </c>
      <c r="B2043">
        <v>0</v>
      </c>
    </row>
    <row r="2044" spans="1:2" x14ac:dyDescent="0.25">
      <c r="A2044">
        <v>3522</v>
      </c>
      <c r="B2044">
        <v>0</v>
      </c>
    </row>
    <row r="2045" spans="1:2" x14ac:dyDescent="0.25">
      <c r="A2045">
        <v>3523</v>
      </c>
      <c r="B2045">
        <v>0</v>
      </c>
    </row>
    <row r="2046" spans="1:2" x14ac:dyDescent="0.25">
      <c r="A2046">
        <v>3524</v>
      </c>
      <c r="B2046">
        <v>0</v>
      </c>
    </row>
    <row r="2047" spans="1:2" x14ac:dyDescent="0.25">
      <c r="A2047">
        <v>3525</v>
      </c>
      <c r="B2047">
        <v>0</v>
      </c>
    </row>
    <row r="2048" spans="1:2" x14ac:dyDescent="0.25">
      <c r="A2048">
        <v>3526</v>
      </c>
      <c r="B2048">
        <v>0</v>
      </c>
    </row>
    <row r="2049" spans="1:2" x14ac:dyDescent="0.25">
      <c r="A2049">
        <v>3527</v>
      </c>
      <c r="B2049">
        <v>0</v>
      </c>
    </row>
    <row r="2050" spans="1:2" x14ac:dyDescent="0.25">
      <c r="A2050">
        <v>3528</v>
      </c>
      <c r="B2050">
        <v>0</v>
      </c>
    </row>
    <row r="2051" spans="1:2" x14ac:dyDescent="0.25">
      <c r="A2051">
        <v>3529</v>
      </c>
      <c r="B2051">
        <v>0</v>
      </c>
    </row>
    <row r="2052" spans="1:2" x14ac:dyDescent="0.25">
      <c r="A2052">
        <v>3530</v>
      </c>
      <c r="B2052">
        <v>0</v>
      </c>
    </row>
    <row r="2053" spans="1:2" x14ac:dyDescent="0.25">
      <c r="A2053">
        <v>3531</v>
      </c>
      <c r="B2053">
        <v>0</v>
      </c>
    </row>
    <row r="2054" spans="1:2" x14ac:dyDescent="0.25">
      <c r="A2054">
        <v>3532</v>
      </c>
      <c r="B2054">
        <v>0</v>
      </c>
    </row>
    <row r="2055" spans="1:2" x14ac:dyDescent="0.25">
      <c r="A2055">
        <v>3533</v>
      </c>
      <c r="B2055">
        <v>0</v>
      </c>
    </row>
    <row r="2056" spans="1:2" x14ac:dyDescent="0.25">
      <c r="A2056">
        <v>3534</v>
      </c>
      <c r="B2056">
        <v>0</v>
      </c>
    </row>
    <row r="2057" spans="1:2" x14ac:dyDescent="0.25">
      <c r="A2057">
        <v>3535</v>
      </c>
      <c r="B2057">
        <v>0</v>
      </c>
    </row>
    <row r="2058" spans="1:2" x14ac:dyDescent="0.25">
      <c r="A2058">
        <v>3536</v>
      </c>
      <c r="B2058">
        <v>0</v>
      </c>
    </row>
    <row r="2059" spans="1:2" x14ac:dyDescent="0.25">
      <c r="A2059">
        <v>3537</v>
      </c>
      <c r="B2059">
        <v>0</v>
      </c>
    </row>
    <row r="2060" spans="1:2" x14ac:dyDescent="0.25">
      <c r="A2060">
        <v>3538</v>
      </c>
      <c r="B2060">
        <v>0</v>
      </c>
    </row>
    <row r="2061" spans="1:2" x14ac:dyDescent="0.25">
      <c r="A2061">
        <v>3539</v>
      </c>
      <c r="B2061">
        <v>0</v>
      </c>
    </row>
    <row r="2062" spans="1:2" x14ac:dyDescent="0.25">
      <c r="A2062">
        <v>3540</v>
      </c>
      <c r="B2062">
        <v>0</v>
      </c>
    </row>
    <row r="2063" spans="1:2" x14ac:dyDescent="0.25">
      <c r="A2063">
        <v>3541</v>
      </c>
      <c r="B2063">
        <v>0</v>
      </c>
    </row>
    <row r="2064" spans="1:2" x14ac:dyDescent="0.25">
      <c r="A2064">
        <v>3542</v>
      </c>
      <c r="B2064">
        <v>0</v>
      </c>
    </row>
    <row r="2065" spans="1:2" x14ac:dyDescent="0.25">
      <c r="A2065">
        <v>3543</v>
      </c>
      <c r="B2065">
        <v>0</v>
      </c>
    </row>
    <row r="2066" spans="1:2" x14ac:dyDescent="0.25">
      <c r="A2066">
        <v>3544</v>
      </c>
      <c r="B2066">
        <v>0</v>
      </c>
    </row>
    <row r="2067" spans="1:2" x14ac:dyDescent="0.25">
      <c r="A2067">
        <v>3545</v>
      </c>
      <c r="B2067">
        <v>0</v>
      </c>
    </row>
    <row r="2068" spans="1:2" x14ac:dyDescent="0.25">
      <c r="A2068">
        <v>3546</v>
      </c>
      <c r="B2068">
        <v>0</v>
      </c>
    </row>
    <row r="2069" spans="1:2" x14ac:dyDescent="0.25">
      <c r="A2069">
        <v>3547</v>
      </c>
      <c r="B2069">
        <v>0</v>
      </c>
    </row>
    <row r="2070" spans="1:2" x14ac:dyDescent="0.25">
      <c r="A2070">
        <v>3548</v>
      </c>
      <c r="B2070">
        <v>0</v>
      </c>
    </row>
    <row r="2071" spans="1:2" x14ac:dyDescent="0.25">
      <c r="A2071">
        <v>3549</v>
      </c>
      <c r="B2071">
        <v>0</v>
      </c>
    </row>
    <row r="2072" spans="1:2" x14ac:dyDescent="0.25">
      <c r="A2072">
        <v>3550</v>
      </c>
      <c r="B2072">
        <v>0</v>
      </c>
    </row>
    <row r="2073" spans="1:2" x14ac:dyDescent="0.25">
      <c r="A2073">
        <v>3551</v>
      </c>
      <c r="B2073">
        <v>0</v>
      </c>
    </row>
    <row r="2074" spans="1:2" x14ac:dyDescent="0.25">
      <c r="A2074">
        <v>3552</v>
      </c>
      <c r="B2074">
        <v>0</v>
      </c>
    </row>
    <row r="2075" spans="1:2" x14ac:dyDescent="0.25">
      <c r="A2075">
        <v>3553</v>
      </c>
      <c r="B2075">
        <v>0</v>
      </c>
    </row>
    <row r="2076" spans="1:2" x14ac:dyDescent="0.25">
      <c r="A2076">
        <v>3554</v>
      </c>
      <c r="B2076">
        <v>0</v>
      </c>
    </row>
    <row r="2077" spans="1:2" x14ac:dyDescent="0.25">
      <c r="A2077">
        <v>3555</v>
      </c>
      <c r="B2077">
        <v>0</v>
      </c>
    </row>
    <row r="2078" spans="1:2" x14ac:dyDescent="0.25">
      <c r="A2078">
        <v>3556</v>
      </c>
      <c r="B2078">
        <v>0</v>
      </c>
    </row>
    <row r="2079" spans="1:2" x14ac:dyDescent="0.25">
      <c r="A2079">
        <v>3557</v>
      </c>
      <c r="B2079">
        <v>0</v>
      </c>
    </row>
    <row r="2080" spans="1:2" x14ac:dyDescent="0.25">
      <c r="A2080">
        <v>3558</v>
      </c>
      <c r="B2080">
        <v>0</v>
      </c>
    </row>
    <row r="2081" spans="1:2" x14ac:dyDescent="0.25">
      <c r="A2081">
        <v>3559</v>
      </c>
      <c r="B2081">
        <v>0</v>
      </c>
    </row>
    <row r="2082" spans="1:2" x14ac:dyDescent="0.25">
      <c r="A2082">
        <v>3560</v>
      </c>
      <c r="B2082">
        <v>0</v>
      </c>
    </row>
    <row r="2083" spans="1:2" x14ac:dyDescent="0.25">
      <c r="A2083">
        <v>3561</v>
      </c>
      <c r="B2083">
        <v>0</v>
      </c>
    </row>
    <row r="2084" spans="1:2" x14ac:dyDescent="0.25">
      <c r="A2084">
        <v>3562</v>
      </c>
      <c r="B2084">
        <v>0</v>
      </c>
    </row>
    <row r="2085" spans="1:2" x14ac:dyDescent="0.25">
      <c r="A2085">
        <v>3563</v>
      </c>
      <c r="B2085">
        <v>0</v>
      </c>
    </row>
    <row r="2086" spans="1:2" x14ac:dyDescent="0.25">
      <c r="A2086">
        <v>3564</v>
      </c>
      <c r="B2086">
        <v>0</v>
      </c>
    </row>
    <row r="2087" spans="1:2" x14ac:dyDescent="0.25">
      <c r="A2087">
        <v>3565</v>
      </c>
      <c r="B2087">
        <v>0</v>
      </c>
    </row>
    <row r="2088" spans="1:2" x14ac:dyDescent="0.25">
      <c r="A2088">
        <v>3566</v>
      </c>
      <c r="B2088">
        <v>0</v>
      </c>
    </row>
    <row r="2089" spans="1:2" x14ac:dyDescent="0.25">
      <c r="A2089">
        <v>3567</v>
      </c>
      <c r="B2089">
        <v>0</v>
      </c>
    </row>
    <row r="2090" spans="1:2" x14ac:dyDescent="0.25">
      <c r="A2090">
        <v>3568</v>
      </c>
      <c r="B2090">
        <v>0</v>
      </c>
    </row>
    <row r="2091" spans="1:2" x14ac:dyDescent="0.25">
      <c r="A2091">
        <v>3569</v>
      </c>
      <c r="B2091">
        <v>0</v>
      </c>
    </row>
    <row r="2092" spans="1:2" x14ac:dyDescent="0.25">
      <c r="A2092">
        <v>3570</v>
      </c>
      <c r="B2092">
        <v>0</v>
      </c>
    </row>
    <row r="2093" spans="1:2" x14ac:dyDescent="0.25">
      <c r="A2093">
        <v>3571</v>
      </c>
      <c r="B2093">
        <v>0</v>
      </c>
    </row>
    <row r="2094" spans="1:2" x14ac:dyDescent="0.25">
      <c r="A2094">
        <v>3572</v>
      </c>
      <c r="B2094">
        <v>0</v>
      </c>
    </row>
    <row r="2095" spans="1:2" x14ac:dyDescent="0.25">
      <c r="A2095">
        <v>3573</v>
      </c>
      <c r="B2095">
        <v>0</v>
      </c>
    </row>
    <row r="2096" spans="1:2" x14ac:dyDescent="0.25">
      <c r="A2096">
        <v>3574</v>
      </c>
      <c r="B2096">
        <v>0</v>
      </c>
    </row>
    <row r="2097" spans="1:2" x14ac:dyDescent="0.25">
      <c r="A2097">
        <v>3575</v>
      </c>
      <c r="B2097">
        <v>0</v>
      </c>
    </row>
    <row r="2098" spans="1:2" x14ac:dyDescent="0.25">
      <c r="A2098">
        <v>3576</v>
      </c>
      <c r="B2098">
        <v>0</v>
      </c>
    </row>
    <row r="2099" spans="1:2" x14ac:dyDescent="0.25">
      <c r="A2099">
        <v>3577</v>
      </c>
      <c r="B2099">
        <v>0</v>
      </c>
    </row>
    <row r="2100" spans="1:2" x14ac:dyDescent="0.25">
      <c r="A2100">
        <v>3578</v>
      </c>
      <c r="B2100">
        <v>0</v>
      </c>
    </row>
    <row r="2101" spans="1:2" x14ac:dyDescent="0.25">
      <c r="A2101">
        <v>3579</v>
      </c>
      <c r="B2101">
        <v>0</v>
      </c>
    </row>
    <row r="2102" spans="1:2" x14ac:dyDescent="0.25">
      <c r="A2102">
        <v>3580</v>
      </c>
      <c r="B2102">
        <v>0</v>
      </c>
    </row>
    <row r="2103" spans="1:2" x14ac:dyDescent="0.25">
      <c r="A2103">
        <v>3581</v>
      </c>
      <c r="B2103">
        <v>0</v>
      </c>
    </row>
    <row r="2104" spans="1:2" x14ac:dyDescent="0.25">
      <c r="A2104">
        <v>3582</v>
      </c>
      <c r="B2104">
        <v>0</v>
      </c>
    </row>
    <row r="2105" spans="1:2" x14ac:dyDescent="0.25">
      <c r="A2105">
        <v>3583</v>
      </c>
      <c r="B2105">
        <v>0</v>
      </c>
    </row>
    <row r="2106" spans="1:2" x14ac:dyDescent="0.25">
      <c r="A2106">
        <v>3584</v>
      </c>
      <c r="B2106">
        <v>0</v>
      </c>
    </row>
    <row r="2107" spans="1:2" x14ac:dyDescent="0.25">
      <c r="A2107">
        <v>3585</v>
      </c>
      <c r="B2107">
        <v>0</v>
      </c>
    </row>
    <row r="2108" spans="1:2" x14ac:dyDescent="0.25">
      <c r="A2108">
        <v>3586</v>
      </c>
      <c r="B2108">
        <v>0</v>
      </c>
    </row>
    <row r="2109" spans="1:2" x14ac:dyDescent="0.25">
      <c r="A2109">
        <v>3587</v>
      </c>
      <c r="B2109">
        <v>0</v>
      </c>
    </row>
    <row r="2110" spans="1:2" x14ac:dyDescent="0.25">
      <c r="A2110">
        <v>3588</v>
      </c>
      <c r="B2110">
        <v>0</v>
      </c>
    </row>
    <row r="2111" spans="1:2" x14ac:dyDescent="0.25">
      <c r="A2111">
        <v>3589</v>
      </c>
      <c r="B2111">
        <v>0</v>
      </c>
    </row>
    <row r="2112" spans="1:2" x14ac:dyDescent="0.25">
      <c r="A2112">
        <v>3590</v>
      </c>
      <c r="B2112">
        <v>0</v>
      </c>
    </row>
    <row r="2113" spans="1:2" x14ac:dyDescent="0.25">
      <c r="A2113">
        <v>3591</v>
      </c>
      <c r="B2113">
        <v>0</v>
      </c>
    </row>
    <row r="2114" spans="1:2" x14ac:dyDescent="0.25">
      <c r="A2114">
        <v>3592</v>
      </c>
      <c r="B2114">
        <v>0</v>
      </c>
    </row>
    <row r="2115" spans="1:2" x14ac:dyDescent="0.25">
      <c r="A2115">
        <v>3593</v>
      </c>
      <c r="B2115">
        <v>0</v>
      </c>
    </row>
    <row r="2116" spans="1:2" x14ac:dyDescent="0.25">
      <c r="A2116">
        <v>3594</v>
      </c>
      <c r="B2116">
        <v>0</v>
      </c>
    </row>
    <row r="2117" spans="1:2" x14ac:dyDescent="0.25">
      <c r="A2117">
        <v>3595</v>
      </c>
      <c r="B2117">
        <v>0</v>
      </c>
    </row>
    <row r="2118" spans="1:2" x14ac:dyDescent="0.25">
      <c r="A2118">
        <v>3596</v>
      </c>
      <c r="B2118">
        <v>0</v>
      </c>
    </row>
    <row r="2119" spans="1:2" x14ac:dyDescent="0.25">
      <c r="A2119">
        <v>3597</v>
      </c>
      <c r="B2119">
        <v>0</v>
      </c>
    </row>
    <row r="2120" spans="1:2" x14ac:dyDescent="0.25">
      <c r="A2120">
        <v>3598</v>
      </c>
      <c r="B2120">
        <v>0</v>
      </c>
    </row>
    <row r="2121" spans="1:2" x14ac:dyDescent="0.25">
      <c r="A2121">
        <v>3599</v>
      </c>
      <c r="B2121">
        <v>0</v>
      </c>
    </row>
    <row r="2122" spans="1:2" x14ac:dyDescent="0.25">
      <c r="A2122">
        <v>3600</v>
      </c>
      <c r="B2122">
        <v>0</v>
      </c>
    </row>
    <row r="2123" spans="1:2" x14ac:dyDescent="0.25">
      <c r="A2123">
        <v>3601</v>
      </c>
      <c r="B2123">
        <v>0</v>
      </c>
    </row>
    <row r="2124" spans="1:2" x14ac:dyDescent="0.25">
      <c r="A2124">
        <v>3602</v>
      </c>
      <c r="B2124">
        <v>0</v>
      </c>
    </row>
    <row r="2125" spans="1:2" x14ac:dyDescent="0.25">
      <c r="A2125">
        <v>3604</v>
      </c>
      <c r="B2125">
        <v>0</v>
      </c>
    </row>
    <row r="2126" spans="1:2" x14ac:dyDescent="0.25">
      <c r="A2126">
        <v>3606</v>
      </c>
      <c r="B2126">
        <v>0</v>
      </c>
    </row>
    <row r="2127" spans="1:2" x14ac:dyDescent="0.25">
      <c r="A2127">
        <v>3608</v>
      </c>
      <c r="B2127">
        <v>0</v>
      </c>
    </row>
    <row r="2128" spans="1:2" x14ac:dyDescent="0.25">
      <c r="A2128">
        <v>3610</v>
      </c>
      <c r="B2128">
        <v>0</v>
      </c>
    </row>
    <row r="2129" spans="1:2" x14ac:dyDescent="0.25">
      <c r="A2129">
        <v>3611</v>
      </c>
      <c r="B2129">
        <v>0</v>
      </c>
    </row>
    <row r="2130" spans="1:2" x14ac:dyDescent="0.25">
      <c r="A2130">
        <v>3612</v>
      </c>
      <c r="B2130">
        <v>0</v>
      </c>
    </row>
    <row r="2131" spans="1:2" x14ac:dyDescent="0.25">
      <c r="A2131">
        <v>3614</v>
      </c>
      <c r="B2131">
        <v>0</v>
      </c>
    </row>
    <row r="2132" spans="1:2" x14ac:dyDescent="0.25">
      <c r="A2132">
        <v>3615</v>
      </c>
      <c r="B2132">
        <v>0</v>
      </c>
    </row>
    <row r="2133" spans="1:2" x14ac:dyDescent="0.25">
      <c r="A2133">
        <v>3616</v>
      </c>
      <c r="B2133">
        <v>0</v>
      </c>
    </row>
    <row r="2134" spans="1:2" x14ac:dyDescent="0.25">
      <c r="A2134">
        <v>3617</v>
      </c>
      <c r="B2134">
        <v>0</v>
      </c>
    </row>
    <row r="2135" spans="1:2" x14ac:dyDescent="0.25">
      <c r="A2135">
        <v>3618</v>
      </c>
      <c r="B2135">
        <v>0</v>
      </c>
    </row>
    <row r="2136" spans="1:2" x14ac:dyDescent="0.25">
      <c r="A2136">
        <v>3620</v>
      </c>
      <c r="B2136">
        <v>0</v>
      </c>
    </row>
    <row r="2137" spans="1:2" x14ac:dyDescent="0.25">
      <c r="A2137">
        <v>3621</v>
      </c>
      <c r="B2137">
        <v>0</v>
      </c>
    </row>
    <row r="2138" spans="1:2" x14ac:dyDescent="0.25">
      <c r="A2138">
        <v>3622</v>
      </c>
      <c r="B2138">
        <v>0</v>
      </c>
    </row>
    <row r="2139" spans="1:2" x14ac:dyDescent="0.25">
      <c r="A2139">
        <v>3624</v>
      </c>
      <c r="B2139">
        <v>0</v>
      </c>
    </row>
    <row r="2140" spans="1:2" x14ac:dyDescent="0.25">
      <c r="A2140">
        <v>3626</v>
      </c>
      <c r="B2140">
        <v>0</v>
      </c>
    </row>
    <row r="2141" spans="1:2" x14ac:dyDescent="0.25">
      <c r="A2141">
        <v>3630</v>
      </c>
      <c r="B2141">
        <v>0</v>
      </c>
    </row>
    <row r="2142" spans="1:2" x14ac:dyDescent="0.25">
      <c r="A2142">
        <v>3632</v>
      </c>
      <c r="B2142">
        <v>0</v>
      </c>
    </row>
    <row r="2143" spans="1:2" x14ac:dyDescent="0.25">
      <c r="A2143">
        <v>3633</v>
      </c>
      <c r="B2143">
        <v>0</v>
      </c>
    </row>
    <row r="2144" spans="1:2" x14ac:dyDescent="0.25">
      <c r="A2144">
        <v>3634</v>
      </c>
      <c r="B2144">
        <v>0</v>
      </c>
    </row>
    <row r="2145" spans="1:2" x14ac:dyDescent="0.25">
      <c r="A2145">
        <v>3635</v>
      </c>
      <c r="B2145">
        <v>0</v>
      </c>
    </row>
    <row r="2146" spans="1:2" x14ac:dyDescent="0.25">
      <c r="A2146">
        <v>3636</v>
      </c>
      <c r="B2146">
        <v>0</v>
      </c>
    </row>
    <row r="2147" spans="1:2" x14ac:dyDescent="0.25">
      <c r="A2147">
        <v>3637</v>
      </c>
      <c r="B2147">
        <v>0</v>
      </c>
    </row>
    <row r="2148" spans="1:2" x14ac:dyDescent="0.25">
      <c r="A2148">
        <v>3639</v>
      </c>
      <c r="B2148">
        <v>0</v>
      </c>
    </row>
    <row r="2149" spans="1:2" x14ac:dyDescent="0.25">
      <c r="A2149">
        <v>3642</v>
      </c>
      <c r="B2149">
        <v>0</v>
      </c>
    </row>
    <row r="2150" spans="1:2" x14ac:dyDescent="0.25">
      <c r="A2150">
        <v>3643</v>
      </c>
      <c r="B2150">
        <v>0</v>
      </c>
    </row>
    <row r="2151" spans="1:2" x14ac:dyDescent="0.25">
      <c r="A2151">
        <v>3645</v>
      </c>
      <c r="B2151">
        <v>0</v>
      </c>
    </row>
    <row r="2152" spans="1:2" x14ac:dyDescent="0.25">
      <c r="A2152">
        <v>3647</v>
      </c>
      <c r="B2152">
        <v>0</v>
      </c>
    </row>
    <row r="2153" spans="1:2" x14ac:dyDescent="0.25">
      <c r="A2153">
        <v>3649</v>
      </c>
      <c r="B2153">
        <v>0</v>
      </c>
    </row>
    <row r="2154" spans="1:2" x14ac:dyDescent="0.25">
      <c r="A2154">
        <v>3650</v>
      </c>
      <c r="B2154">
        <v>0</v>
      </c>
    </row>
    <row r="2155" spans="1:2" x14ac:dyDescent="0.25">
      <c r="A2155">
        <v>3652</v>
      </c>
      <c r="B2155">
        <v>0</v>
      </c>
    </row>
    <row r="2156" spans="1:2" x14ac:dyDescent="0.25">
      <c r="A2156">
        <v>3655</v>
      </c>
      <c r="B2156">
        <v>0</v>
      </c>
    </row>
    <row r="2157" spans="1:2" x14ac:dyDescent="0.25">
      <c r="A2157">
        <v>3657</v>
      </c>
      <c r="B2157">
        <v>0</v>
      </c>
    </row>
    <row r="2158" spans="1:2" x14ac:dyDescent="0.25">
      <c r="A2158">
        <v>3658</v>
      </c>
      <c r="B2158">
        <v>0</v>
      </c>
    </row>
    <row r="2159" spans="1:2" x14ac:dyDescent="0.25">
      <c r="A2159">
        <v>3659</v>
      </c>
      <c r="B2159">
        <v>0</v>
      </c>
    </row>
    <row r="2160" spans="1:2" x14ac:dyDescent="0.25">
      <c r="A2160">
        <v>3660</v>
      </c>
      <c r="B2160">
        <v>0</v>
      </c>
    </row>
    <row r="2161" spans="1:2" x14ac:dyDescent="0.25">
      <c r="A2161">
        <v>3661</v>
      </c>
      <c r="B2161">
        <v>0</v>
      </c>
    </row>
    <row r="2162" spans="1:2" x14ac:dyDescent="0.25">
      <c r="A2162">
        <v>3662</v>
      </c>
      <c r="B2162">
        <v>0</v>
      </c>
    </row>
    <row r="2163" spans="1:2" x14ac:dyDescent="0.25">
      <c r="A2163">
        <v>3663</v>
      </c>
      <c r="B2163">
        <v>0</v>
      </c>
    </row>
    <row r="2164" spans="1:2" x14ac:dyDescent="0.25">
      <c r="A2164">
        <v>3664</v>
      </c>
      <c r="B2164">
        <v>0</v>
      </c>
    </row>
    <row r="2165" spans="1:2" x14ac:dyDescent="0.25">
      <c r="A2165">
        <v>3666</v>
      </c>
      <c r="B2165">
        <v>0</v>
      </c>
    </row>
    <row r="2166" spans="1:2" x14ac:dyDescent="0.25">
      <c r="A2166">
        <v>3669</v>
      </c>
      <c r="B2166">
        <v>0</v>
      </c>
    </row>
    <row r="2167" spans="1:2" x14ac:dyDescent="0.25">
      <c r="A2167">
        <v>3670</v>
      </c>
      <c r="B2167">
        <v>0</v>
      </c>
    </row>
    <row r="2168" spans="1:2" x14ac:dyDescent="0.25">
      <c r="A2168">
        <v>3675</v>
      </c>
      <c r="B2168">
        <v>0</v>
      </c>
    </row>
    <row r="2169" spans="1:2" x14ac:dyDescent="0.25">
      <c r="A2169">
        <v>3676</v>
      </c>
      <c r="B2169">
        <v>0</v>
      </c>
    </row>
    <row r="2170" spans="1:2" x14ac:dyDescent="0.25">
      <c r="A2170">
        <v>3677</v>
      </c>
      <c r="B2170">
        <v>0</v>
      </c>
    </row>
    <row r="2171" spans="1:2" x14ac:dyDescent="0.25">
      <c r="A2171">
        <v>3678</v>
      </c>
      <c r="B2171">
        <v>0</v>
      </c>
    </row>
    <row r="2172" spans="1:2" x14ac:dyDescent="0.25">
      <c r="A2172">
        <v>3679</v>
      </c>
      <c r="B2172">
        <v>0</v>
      </c>
    </row>
    <row r="2173" spans="1:2" x14ac:dyDescent="0.25">
      <c r="A2173">
        <v>3680</v>
      </c>
      <c r="B2173">
        <v>0</v>
      </c>
    </row>
    <row r="2174" spans="1:2" x14ac:dyDescent="0.25">
      <c r="A2174">
        <v>3681</v>
      </c>
      <c r="B2174">
        <v>0</v>
      </c>
    </row>
    <row r="2175" spans="1:2" x14ac:dyDescent="0.25">
      <c r="A2175">
        <v>3683</v>
      </c>
      <c r="B2175">
        <v>0</v>
      </c>
    </row>
    <row r="2176" spans="1:2" x14ac:dyDescent="0.25">
      <c r="A2176">
        <v>3684</v>
      </c>
      <c r="B2176">
        <v>0</v>
      </c>
    </row>
    <row r="2177" spans="1:2" x14ac:dyDescent="0.25">
      <c r="A2177">
        <v>3685</v>
      </c>
      <c r="B2177">
        <v>0</v>
      </c>
    </row>
    <row r="2178" spans="1:2" x14ac:dyDescent="0.25">
      <c r="A2178">
        <v>3686</v>
      </c>
      <c r="B2178">
        <v>0</v>
      </c>
    </row>
    <row r="2179" spans="1:2" x14ac:dyDescent="0.25">
      <c r="A2179">
        <v>3687</v>
      </c>
      <c r="B2179">
        <v>0</v>
      </c>
    </row>
    <row r="2180" spans="1:2" x14ac:dyDescent="0.25">
      <c r="A2180">
        <v>3688</v>
      </c>
      <c r="B2180">
        <v>0</v>
      </c>
    </row>
    <row r="2181" spans="1:2" x14ac:dyDescent="0.25">
      <c r="A2181">
        <v>3689</v>
      </c>
      <c r="B2181">
        <v>0</v>
      </c>
    </row>
    <row r="2182" spans="1:2" x14ac:dyDescent="0.25">
      <c r="A2182">
        <v>3691</v>
      </c>
      <c r="B2182">
        <v>0</v>
      </c>
    </row>
    <row r="2183" spans="1:2" x14ac:dyDescent="0.25">
      <c r="A2183">
        <v>3692</v>
      </c>
      <c r="B2183">
        <v>0</v>
      </c>
    </row>
    <row r="2184" spans="1:2" x14ac:dyDescent="0.25">
      <c r="A2184">
        <v>3694</v>
      </c>
      <c r="B2184">
        <v>0</v>
      </c>
    </row>
    <row r="2185" spans="1:2" x14ac:dyDescent="0.25">
      <c r="A2185">
        <v>3695</v>
      </c>
      <c r="B2185">
        <v>0</v>
      </c>
    </row>
    <row r="2186" spans="1:2" x14ac:dyDescent="0.25">
      <c r="A2186">
        <v>3696</v>
      </c>
      <c r="B2186">
        <v>0</v>
      </c>
    </row>
    <row r="2187" spans="1:2" x14ac:dyDescent="0.25">
      <c r="A2187">
        <v>3697</v>
      </c>
      <c r="B2187">
        <v>0</v>
      </c>
    </row>
    <row r="2188" spans="1:2" x14ac:dyDescent="0.25">
      <c r="A2188">
        <v>3701</v>
      </c>
      <c r="B2188">
        <v>0</v>
      </c>
    </row>
    <row r="2189" spans="1:2" x14ac:dyDescent="0.25">
      <c r="A2189">
        <v>3703</v>
      </c>
      <c r="B2189">
        <v>0</v>
      </c>
    </row>
    <row r="2190" spans="1:2" x14ac:dyDescent="0.25">
      <c r="A2190">
        <v>3705</v>
      </c>
      <c r="B2190">
        <v>0</v>
      </c>
    </row>
    <row r="2191" spans="1:2" x14ac:dyDescent="0.25">
      <c r="A2191">
        <v>3707</v>
      </c>
      <c r="B2191">
        <v>0</v>
      </c>
    </row>
    <row r="2192" spans="1:2" x14ac:dyDescent="0.25">
      <c r="A2192">
        <v>3712</v>
      </c>
      <c r="B2192">
        <v>0</v>
      </c>
    </row>
    <row r="2193" spans="1:2" x14ac:dyDescent="0.25">
      <c r="A2193">
        <v>3713</v>
      </c>
      <c r="B2193">
        <v>0</v>
      </c>
    </row>
    <row r="2194" spans="1:2" x14ac:dyDescent="0.25">
      <c r="A2194">
        <v>3714</v>
      </c>
      <c r="B2194">
        <v>0</v>
      </c>
    </row>
    <row r="2195" spans="1:2" x14ac:dyDescent="0.25">
      <c r="A2195">
        <v>3715</v>
      </c>
      <c r="B2195">
        <v>0</v>
      </c>
    </row>
    <row r="2196" spans="1:2" x14ac:dyDescent="0.25">
      <c r="A2196">
        <v>3716</v>
      </c>
      <c r="B2196">
        <v>0</v>
      </c>
    </row>
    <row r="2197" spans="1:2" x14ac:dyDescent="0.25">
      <c r="A2197">
        <v>3717</v>
      </c>
      <c r="B2197">
        <v>0</v>
      </c>
    </row>
    <row r="2198" spans="1:2" x14ac:dyDescent="0.25">
      <c r="A2198">
        <v>3718</v>
      </c>
      <c r="B2198">
        <v>0</v>
      </c>
    </row>
    <row r="2199" spans="1:2" x14ac:dyDescent="0.25">
      <c r="A2199">
        <v>3721</v>
      </c>
      <c r="B2199">
        <v>0</v>
      </c>
    </row>
    <row r="2200" spans="1:2" x14ac:dyDescent="0.25">
      <c r="A2200">
        <v>3722</v>
      </c>
      <c r="B2200">
        <v>0</v>
      </c>
    </row>
    <row r="2201" spans="1:2" x14ac:dyDescent="0.25">
      <c r="A2201">
        <v>3723</v>
      </c>
      <c r="B2201">
        <v>0</v>
      </c>
    </row>
    <row r="2202" spans="1:2" x14ac:dyDescent="0.25">
      <c r="A2202">
        <v>3725</v>
      </c>
      <c r="B2202">
        <v>0</v>
      </c>
    </row>
    <row r="2203" spans="1:2" x14ac:dyDescent="0.25">
      <c r="A2203">
        <v>3727</v>
      </c>
      <c r="B2203">
        <v>0</v>
      </c>
    </row>
    <row r="2204" spans="1:2" x14ac:dyDescent="0.25">
      <c r="A2204">
        <v>3730</v>
      </c>
      <c r="B2204">
        <v>0</v>
      </c>
    </row>
    <row r="2205" spans="1:2" x14ac:dyDescent="0.25">
      <c r="A2205">
        <v>3732</v>
      </c>
      <c r="B2205">
        <v>0</v>
      </c>
    </row>
    <row r="2206" spans="1:2" x14ac:dyDescent="0.25">
      <c r="A2206">
        <v>3733</v>
      </c>
      <c r="B2206">
        <v>2</v>
      </c>
    </row>
    <row r="2207" spans="1:2" x14ac:dyDescent="0.25">
      <c r="A2207">
        <v>3734</v>
      </c>
      <c r="B2207">
        <v>0</v>
      </c>
    </row>
    <row r="2208" spans="1:2" x14ac:dyDescent="0.25">
      <c r="A2208">
        <v>3735</v>
      </c>
      <c r="B2208">
        <v>7</v>
      </c>
    </row>
    <row r="2209" spans="1:2" x14ac:dyDescent="0.25">
      <c r="A2209">
        <v>3736</v>
      </c>
      <c r="B2209">
        <v>0</v>
      </c>
    </row>
    <row r="2210" spans="1:2" x14ac:dyDescent="0.25">
      <c r="A2210">
        <v>3737</v>
      </c>
      <c r="B2210">
        <v>0</v>
      </c>
    </row>
    <row r="2211" spans="1:2" x14ac:dyDescent="0.25">
      <c r="A2211">
        <v>3738</v>
      </c>
      <c r="B2211">
        <v>0</v>
      </c>
    </row>
    <row r="2212" spans="1:2" x14ac:dyDescent="0.25">
      <c r="A2212">
        <v>3739</v>
      </c>
      <c r="B2212">
        <v>0</v>
      </c>
    </row>
    <row r="2213" spans="1:2" x14ac:dyDescent="0.25">
      <c r="A2213">
        <v>3742</v>
      </c>
      <c r="B2213">
        <v>0</v>
      </c>
    </row>
    <row r="2214" spans="1:2" x14ac:dyDescent="0.25">
      <c r="A2214">
        <v>3744</v>
      </c>
      <c r="B2214">
        <v>0</v>
      </c>
    </row>
    <row r="2215" spans="1:2" x14ac:dyDescent="0.25">
      <c r="A2215">
        <v>3746</v>
      </c>
      <c r="B2215">
        <v>0</v>
      </c>
    </row>
    <row r="2216" spans="1:2" x14ac:dyDescent="0.25">
      <c r="A2216">
        <v>3747</v>
      </c>
      <c r="B2216">
        <v>0</v>
      </c>
    </row>
    <row r="2217" spans="1:2" x14ac:dyDescent="0.25">
      <c r="A2217">
        <v>3751</v>
      </c>
      <c r="B2217">
        <v>0</v>
      </c>
    </row>
    <row r="2218" spans="1:2" x14ac:dyDescent="0.25">
      <c r="A2218">
        <v>3799</v>
      </c>
      <c r="B2218">
        <v>0</v>
      </c>
    </row>
    <row r="2219" spans="1:2" x14ac:dyDescent="0.25">
      <c r="A2219">
        <v>3801</v>
      </c>
      <c r="B2219">
        <v>0</v>
      </c>
    </row>
    <row r="2220" spans="1:2" x14ac:dyDescent="0.25">
      <c r="A2220">
        <v>3802</v>
      </c>
      <c r="B2220">
        <v>0</v>
      </c>
    </row>
    <row r="2221" spans="1:2" x14ac:dyDescent="0.25">
      <c r="A2221">
        <v>3803</v>
      </c>
      <c r="B2221">
        <v>0</v>
      </c>
    </row>
    <row r="2222" spans="1:2" x14ac:dyDescent="0.25">
      <c r="A2222">
        <v>3804</v>
      </c>
      <c r="B2222">
        <v>0</v>
      </c>
    </row>
    <row r="2223" spans="1:2" x14ac:dyDescent="0.25">
      <c r="A2223">
        <v>3805</v>
      </c>
      <c r="B2223">
        <v>0</v>
      </c>
    </row>
    <row r="2224" spans="1:2" x14ac:dyDescent="0.25">
      <c r="A2224">
        <v>3806</v>
      </c>
      <c r="B2224">
        <v>0</v>
      </c>
    </row>
    <row r="2225" spans="1:2" x14ac:dyDescent="0.25">
      <c r="A2225">
        <v>3807</v>
      </c>
      <c r="B2225">
        <v>0</v>
      </c>
    </row>
    <row r="2226" spans="1:2" x14ac:dyDescent="0.25">
      <c r="A2226">
        <v>3808</v>
      </c>
      <c r="B2226">
        <v>0</v>
      </c>
    </row>
    <row r="2227" spans="1:2" x14ac:dyDescent="0.25">
      <c r="A2227">
        <v>3809</v>
      </c>
      <c r="B2227">
        <v>0</v>
      </c>
    </row>
    <row r="2228" spans="1:2" x14ac:dyDescent="0.25">
      <c r="A2228">
        <v>3810</v>
      </c>
      <c r="B2228">
        <v>0</v>
      </c>
    </row>
    <row r="2229" spans="1:2" x14ac:dyDescent="0.25">
      <c r="A2229">
        <v>3811</v>
      </c>
      <c r="B2229">
        <v>0</v>
      </c>
    </row>
    <row r="2230" spans="1:2" x14ac:dyDescent="0.25">
      <c r="A2230">
        <v>3812</v>
      </c>
      <c r="B2230">
        <v>0</v>
      </c>
    </row>
    <row r="2231" spans="1:2" x14ac:dyDescent="0.25">
      <c r="A2231">
        <v>3813</v>
      </c>
      <c r="B2231">
        <v>0</v>
      </c>
    </row>
    <row r="2232" spans="1:2" x14ac:dyDescent="0.25">
      <c r="A2232">
        <v>3814</v>
      </c>
      <c r="B2232">
        <v>0</v>
      </c>
    </row>
    <row r="2233" spans="1:2" x14ac:dyDescent="0.25">
      <c r="A2233">
        <v>3815</v>
      </c>
      <c r="B2233">
        <v>0</v>
      </c>
    </row>
    <row r="2234" spans="1:2" x14ac:dyDescent="0.25">
      <c r="A2234">
        <v>3816</v>
      </c>
      <c r="B2234">
        <v>0</v>
      </c>
    </row>
    <row r="2235" spans="1:2" x14ac:dyDescent="0.25">
      <c r="A2235">
        <v>3817</v>
      </c>
      <c r="B2235">
        <v>0</v>
      </c>
    </row>
    <row r="2236" spans="1:2" x14ac:dyDescent="0.25">
      <c r="A2236">
        <v>3818</v>
      </c>
      <c r="B2236">
        <v>0</v>
      </c>
    </row>
    <row r="2237" spans="1:2" x14ac:dyDescent="0.25">
      <c r="A2237">
        <v>3819</v>
      </c>
      <c r="B2237">
        <v>0</v>
      </c>
    </row>
    <row r="2238" spans="1:2" x14ac:dyDescent="0.25">
      <c r="A2238">
        <v>3820</v>
      </c>
      <c r="B2238">
        <v>0</v>
      </c>
    </row>
    <row r="2239" spans="1:2" x14ac:dyDescent="0.25">
      <c r="A2239">
        <v>3821</v>
      </c>
      <c r="B2239">
        <v>0</v>
      </c>
    </row>
    <row r="2240" spans="1:2" x14ac:dyDescent="0.25">
      <c r="A2240">
        <v>3822</v>
      </c>
      <c r="B2240">
        <v>0</v>
      </c>
    </row>
    <row r="2241" spans="1:2" x14ac:dyDescent="0.25">
      <c r="A2241">
        <v>3823</v>
      </c>
      <c r="B2241">
        <v>0</v>
      </c>
    </row>
    <row r="2242" spans="1:2" x14ac:dyDescent="0.25">
      <c r="A2242">
        <v>3824</v>
      </c>
      <c r="B2242">
        <v>0</v>
      </c>
    </row>
    <row r="2243" spans="1:2" x14ac:dyDescent="0.25">
      <c r="A2243">
        <v>3825</v>
      </c>
      <c r="B2243">
        <v>0</v>
      </c>
    </row>
    <row r="2244" spans="1:2" x14ac:dyDescent="0.25">
      <c r="A2244">
        <v>3826</v>
      </c>
      <c r="B2244">
        <v>0</v>
      </c>
    </row>
    <row r="2245" spans="1:2" x14ac:dyDescent="0.25">
      <c r="A2245">
        <v>3827</v>
      </c>
      <c r="B2245">
        <v>0</v>
      </c>
    </row>
    <row r="2246" spans="1:2" x14ac:dyDescent="0.25">
      <c r="A2246">
        <v>3828</v>
      </c>
      <c r="B2246">
        <v>0</v>
      </c>
    </row>
    <row r="2247" spans="1:2" x14ac:dyDescent="0.25">
      <c r="A2247">
        <v>3829</v>
      </c>
      <c r="B2247">
        <v>0</v>
      </c>
    </row>
    <row r="2248" spans="1:2" x14ac:dyDescent="0.25">
      <c r="A2248">
        <v>3830</v>
      </c>
      <c r="B2248">
        <v>0</v>
      </c>
    </row>
    <row r="2249" spans="1:2" x14ac:dyDescent="0.25">
      <c r="A2249">
        <v>3831</v>
      </c>
      <c r="B2249">
        <v>0</v>
      </c>
    </row>
    <row r="2250" spans="1:2" x14ac:dyDescent="0.25">
      <c r="A2250">
        <v>3832</v>
      </c>
      <c r="B2250">
        <v>0</v>
      </c>
    </row>
    <row r="2251" spans="1:2" x14ac:dyDescent="0.25">
      <c r="A2251">
        <v>3833</v>
      </c>
      <c r="B2251">
        <v>0</v>
      </c>
    </row>
    <row r="2252" spans="1:2" x14ac:dyDescent="0.25">
      <c r="A2252">
        <v>3834</v>
      </c>
      <c r="B2252">
        <v>0</v>
      </c>
    </row>
    <row r="2253" spans="1:2" x14ac:dyDescent="0.25">
      <c r="A2253">
        <v>3835</v>
      </c>
      <c r="B2253">
        <v>0</v>
      </c>
    </row>
    <row r="2254" spans="1:2" x14ac:dyDescent="0.25">
      <c r="A2254">
        <v>3836</v>
      </c>
      <c r="B2254">
        <v>0</v>
      </c>
    </row>
    <row r="2255" spans="1:2" x14ac:dyDescent="0.25">
      <c r="A2255">
        <v>3837</v>
      </c>
      <c r="B2255">
        <v>0</v>
      </c>
    </row>
    <row r="2256" spans="1:2" x14ac:dyDescent="0.25">
      <c r="A2256">
        <v>3838</v>
      </c>
      <c r="B2256">
        <v>0</v>
      </c>
    </row>
    <row r="2257" spans="1:2" x14ac:dyDescent="0.25">
      <c r="A2257">
        <v>3839</v>
      </c>
      <c r="B2257">
        <v>0</v>
      </c>
    </row>
    <row r="2258" spans="1:2" x14ac:dyDescent="0.25">
      <c r="A2258">
        <v>3840</v>
      </c>
      <c r="B2258">
        <v>0</v>
      </c>
    </row>
    <row r="2259" spans="1:2" x14ac:dyDescent="0.25">
      <c r="A2259">
        <v>3841</v>
      </c>
      <c r="B2259">
        <v>0</v>
      </c>
    </row>
    <row r="2260" spans="1:2" x14ac:dyDescent="0.25">
      <c r="A2260">
        <v>3842</v>
      </c>
      <c r="B2260">
        <v>0</v>
      </c>
    </row>
    <row r="2261" spans="1:2" x14ac:dyDescent="0.25">
      <c r="A2261">
        <v>3843</v>
      </c>
      <c r="B2261">
        <v>0</v>
      </c>
    </row>
    <row r="2262" spans="1:2" x14ac:dyDescent="0.25">
      <c r="A2262">
        <v>3844</v>
      </c>
      <c r="B2262">
        <v>0</v>
      </c>
    </row>
    <row r="2263" spans="1:2" x14ac:dyDescent="0.25">
      <c r="A2263">
        <v>3845</v>
      </c>
      <c r="B2263">
        <v>0</v>
      </c>
    </row>
    <row r="2264" spans="1:2" x14ac:dyDescent="0.25">
      <c r="A2264">
        <v>3846</v>
      </c>
      <c r="B2264">
        <v>0</v>
      </c>
    </row>
    <row r="2265" spans="1:2" x14ac:dyDescent="0.25">
      <c r="A2265">
        <v>3847</v>
      </c>
      <c r="B2265">
        <v>0</v>
      </c>
    </row>
    <row r="2266" spans="1:2" x14ac:dyDescent="0.25">
      <c r="A2266">
        <v>3848</v>
      </c>
      <c r="B2266">
        <v>0</v>
      </c>
    </row>
    <row r="2267" spans="1:2" x14ac:dyDescent="0.25">
      <c r="A2267">
        <v>3849</v>
      </c>
      <c r="B2267">
        <v>0</v>
      </c>
    </row>
    <row r="2268" spans="1:2" x14ac:dyDescent="0.25">
      <c r="A2268">
        <v>3850</v>
      </c>
      <c r="B2268">
        <v>0</v>
      </c>
    </row>
    <row r="2269" spans="1:2" x14ac:dyDescent="0.25">
      <c r="A2269">
        <v>3851</v>
      </c>
      <c r="B2269">
        <v>0</v>
      </c>
    </row>
    <row r="2270" spans="1:2" x14ac:dyDescent="0.25">
      <c r="A2270">
        <v>3852</v>
      </c>
      <c r="B2270">
        <v>0</v>
      </c>
    </row>
    <row r="2271" spans="1:2" x14ac:dyDescent="0.25">
      <c r="A2271">
        <v>3853</v>
      </c>
      <c r="B2271">
        <v>0</v>
      </c>
    </row>
    <row r="2272" spans="1:2" x14ac:dyDescent="0.25">
      <c r="A2272">
        <v>3857</v>
      </c>
      <c r="B2272">
        <v>0</v>
      </c>
    </row>
    <row r="2273" spans="1:2" x14ac:dyDescent="0.25">
      <c r="A2273">
        <v>3858</v>
      </c>
      <c r="B2273">
        <v>0</v>
      </c>
    </row>
    <row r="2274" spans="1:2" x14ac:dyDescent="0.25">
      <c r="A2274">
        <v>3866</v>
      </c>
      <c r="B2274">
        <v>0</v>
      </c>
    </row>
    <row r="2275" spans="1:2" x14ac:dyDescent="0.25">
      <c r="A2275">
        <v>3871</v>
      </c>
      <c r="B2275">
        <v>0</v>
      </c>
    </row>
    <row r="2276" spans="1:2" x14ac:dyDescent="0.25">
      <c r="A2276">
        <v>3893</v>
      </c>
      <c r="B2276">
        <v>0</v>
      </c>
    </row>
    <row r="2277" spans="1:2" x14ac:dyDescent="0.25">
      <c r="A2277">
        <v>3896</v>
      </c>
      <c r="B2277">
        <v>0</v>
      </c>
    </row>
    <row r="2278" spans="1:2" x14ac:dyDescent="0.25">
      <c r="A2278">
        <v>3897</v>
      </c>
      <c r="B2278">
        <v>0</v>
      </c>
    </row>
    <row r="2279" spans="1:2" x14ac:dyDescent="0.25">
      <c r="A2279">
        <v>3899</v>
      </c>
      <c r="B2279">
        <v>0</v>
      </c>
    </row>
    <row r="2280" spans="1:2" x14ac:dyDescent="0.25">
      <c r="A2280">
        <v>3900</v>
      </c>
      <c r="B2280">
        <v>0</v>
      </c>
    </row>
    <row r="2281" spans="1:2" x14ac:dyDescent="0.25">
      <c r="A2281">
        <v>3901</v>
      </c>
      <c r="B2281">
        <v>0</v>
      </c>
    </row>
    <row r="2282" spans="1:2" x14ac:dyDescent="0.25">
      <c r="A2282">
        <v>3902</v>
      </c>
      <c r="B2282">
        <v>0</v>
      </c>
    </row>
    <row r="2283" spans="1:2" x14ac:dyDescent="0.25">
      <c r="A2283">
        <v>3903</v>
      </c>
      <c r="B2283">
        <v>0</v>
      </c>
    </row>
    <row r="2284" spans="1:2" x14ac:dyDescent="0.25">
      <c r="A2284">
        <v>3904</v>
      </c>
      <c r="B2284">
        <v>0</v>
      </c>
    </row>
    <row r="2285" spans="1:2" x14ac:dyDescent="0.25">
      <c r="A2285">
        <v>3905</v>
      </c>
      <c r="B2285">
        <v>0</v>
      </c>
    </row>
    <row r="2286" spans="1:2" x14ac:dyDescent="0.25">
      <c r="A2286">
        <v>3906</v>
      </c>
      <c r="B2286">
        <v>0</v>
      </c>
    </row>
    <row r="2287" spans="1:2" x14ac:dyDescent="0.25">
      <c r="A2287">
        <v>3907</v>
      </c>
      <c r="B2287">
        <v>0</v>
      </c>
    </row>
    <row r="2288" spans="1:2" x14ac:dyDescent="0.25">
      <c r="A2288">
        <v>3908</v>
      </c>
      <c r="B2288">
        <v>0</v>
      </c>
    </row>
    <row r="2289" spans="1:2" x14ac:dyDescent="0.25">
      <c r="A2289">
        <v>3909</v>
      </c>
      <c r="B2289">
        <v>0</v>
      </c>
    </row>
    <row r="2290" spans="1:2" x14ac:dyDescent="0.25">
      <c r="A2290">
        <v>3916</v>
      </c>
      <c r="B2290">
        <v>0</v>
      </c>
    </row>
    <row r="2291" spans="1:2" x14ac:dyDescent="0.25">
      <c r="A2291">
        <v>3918</v>
      </c>
      <c r="B2291">
        <v>0</v>
      </c>
    </row>
    <row r="2292" spans="1:2" x14ac:dyDescent="0.25">
      <c r="A2292">
        <v>3920</v>
      </c>
      <c r="B2292">
        <v>0</v>
      </c>
    </row>
    <row r="2293" spans="1:2" x14ac:dyDescent="0.25">
      <c r="A2293">
        <v>3924</v>
      </c>
      <c r="B2293">
        <v>0</v>
      </c>
    </row>
    <row r="2294" spans="1:2" x14ac:dyDescent="0.25">
      <c r="A2294">
        <v>3926</v>
      </c>
      <c r="B2294">
        <v>0</v>
      </c>
    </row>
    <row r="2295" spans="1:2" x14ac:dyDescent="0.25">
      <c r="A2295">
        <v>3928</v>
      </c>
      <c r="B2295">
        <v>0</v>
      </c>
    </row>
    <row r="2296" spans="1:2" x14ac:dyDescent="0.25">
      <c r="A2296">
        <v>3930</v>
      </c>
      <c r="B2296">
        <v>0</v>
      </c>
    </row>
    <row r="2297" spans="1:2" x14ac:dyDescent="0.25">
      <c r="A2297">
        <v>3931</v>
      </c>
      <c r="B2297">
        <v>0</v>
      </c>
    </row>
    <row r="2298" spans="1:2" x14ac:dyDescent="0.25">
      <c r="A2298">
        <v>3932</v>
      </c>
      <c r="B2298">
        <v>0</v>
      </c>
    </row>
    <row r="2299" spans="1:2" x14ac:dyDescent="0.25">
      <c r="A2299">
        <v>3933</v>
      </c>
      <c r="B2299">
        <v>0</v>
      </c>
    </row>
    <row r="2300" spans="1:2" x14ac:dyDescent="0.25">
      <c r="A2300">
        <v>3937</v>
      </c>
      <c r="B2300">
        <v>0</v>
      </c>
    </row>
    <row r="2301" spans="1:2" x14ac:dyDescent="0.25">
      <c r="A2301">
        <v>3939</v>
      </c>
      <c r="B2301">
        <v>0</v>
      </c>
    </row>
    <row r="2302" spans="1:2" x14ac:dyDescent="0.25">
      <c r="A2302">
        <v>3941</v>
      </c>
      <c r="B2302">
        <v>0</v>
      </c>
    </row>
    <row r="2303" spans="1:2" x14ac:dyDescent="0.25">
      <c r="A2303">
        <v>3943</v>
      </c>
      <c r="B2303">
        <v>0</v>
      </c>
    </row>
    <row r="2304" spans="1:2" x14ac:dyDescent="0.25">
      <c r="A2304">
        <v>3945</v>
      </c>
      <c r="B2304">
        <v>0</v>
      </c>
    </row>
    <row r="2305" spans="1:2" x14ac:dyDescent="0.25">
      <c r="A2305">
        <v>3946</v>
      </c>
      <c r="B2305">
        <v>0</v>
      </c>
    </row>
    <row r="2306" spans="1:2" x14ac:dyDescent="0.25">
      <c r="A2306">
        <v>3947</v>
      </c>
      <c r="B2306">
        <v>0</v>
      </c>
    </row>
    <row r="2307" spans="1:2" x14ac:dyDescent="0.25">
      <c r="A2307">
        <v>3948</v>
      </c>
      <c r="B2307">
        <v>0</v>
      </c>
    </row>
    <row r="2308" spans="1:2" x14ac:dyDescent="0.25">
      <c r="A2308">
        <v>3950</v>
      </c>
      <c r="B2308">
        <v>0</v>
      </c>
    </row>
    <row r="2309" spans="1:2" x14ac:dyDescent="0.25">
      <c r="A2309">
        <v>3953</v>
      </c>
      <c r="B2309">
        <v>0</v>
      </c>
    </row>
    <row r="2310" spans="1:2" x14ac:dyDescent="0.25">
      <c r="A2310">
        <v>3955</v>
      </c>
      <c r="B2310">
        <v>0</v>
      </c>
    </row>
    <row r="2311" spans="1:2" x14ac:dyDescent="0.25">
      <c r="A2311">
        <v>3956</v>
      </c>
      <c r="B2311">
        <v>0</v>
      </c>
    </row>
    <row r="2312" spans="1:2" x14ac:dyDescent="0.25">
      <c r="A2312">
        <v>3957</v>
      </c>
      <c r="B2312">
        <v>0</v>
      </c>
    </row>
    <row r="2313" spans="1:2" x14ac:dyDescent="0.25">
      <c r="A2313">
        <v>3959</v>
      </c>
      <c r="B2313">
        <v>0</v>
      </c>
    </row>
    <row r="2314" spans="1:2" x14ac:dyDescent="0.25">
      <c r="A2314">
        <v>3961</v>
      </c>
      <c r="B2314">
        <v>0</v>
      </c>
    </row>
    <row r="2315" spans="1:2" x14ac:dyDescent="0.25">
      <c r="A2315">
        <v>3962</v>
      </c>
      <c r="B2315">
        <v>0</v>
      </c>
    </row>
    <row r="2316" spans="1:2" x14ac:dyDescent="0.25">
      <c r="A2316">
        <v>3963</v>
      </c>
      <c r="B2316">
        <v>0</v>
      </c>
    </row>
    <row r="2317" spans="1:2" x14ac:dyDescent="0.25">
      <c r="A2317">
        <v>3964</v>
      </c>
      <c r="B2317">
        <v>0</v>
      </c>
    </row>
    <row r="2318" spans="1:2" x14ac:dyDescent="0.25">
      <c r="A2318">
        <v>3965</v>
      </c>
      <c r="B2318">
        <v>0</v>
      </c>
    </row>
    <row r="2319" spans="1:2" x14ac:dyDescent="0.25">
      <c r="A2319">
        <v>3966</v>
      </c>
      <c r="B2319">
        <v>0</v>
      </c>
    </row>
    <row r="2320" spans="1:2" x14ac:dyDescent="0.25">
      <c r="A2320">
        <v>3967</v>
      </c>
      <c r="B2320">
        <v>0</v>
      </c>
    </row>
    <row r="2321" spans="1:2" x14ac:dyDescent="0.25">
      <c r="A2321">
        <v>3968</v>
      </c>
      <c r="B2321">
        <v>0</v>
      </c>
    </row>
    <row r="2322" spans="1:2" x14ac:dyDescent="0.25">
      <c r="A2322">
        <v>3969</v>
      </c>
      <c r="B2322">
        <v>0</v>
      </c>
    </row>
    <row r="2323" spans="1:2" x14ac:dyDescent="0.25">
      <c r="A2323">
        <v>3970</v>
      </c>
      <c r="B2323">
        <v>0</v>
      </c>
    </row>
    <row r="2324" spans="1:2" x14ac:dyDescent="0.25">
      <c r="A2324">
        <v>3971</v>
      </c>
      <c r="B2324">
        <v>0</v>
      </c>
    </row>
    <row r="2325" spans="1:2" x14ac:dyDescent="0.25">
      <c r="A2325">
        <v>3972</v>
      </c>
      <c r="B2325">
        <v>0</v>
      </c>
    </row>
    <row r="2326" spans="1:2" x14ac:dyDescent="0.25">
      <c r="A2326">
        <v>3973</v>
      </c>
      <c r="B2326">
        <v>0</v>
      </c>
    </row>
    <row r="2327" spans="1:2" x14ac:dyDescent="0.25">
      <c r="A2327">
        <v>3974</v>
      </c>
      <c r="B2327">
        <v>0</v>
      </c>
    </row>
    <row r="2328" spans="1:2" x14ac:dyDescent="0.25">
      <c r="A2328">
        <v>3975</v>
      </c>
      <c r="B2328">
        <v>0</v>
      </c>
    </row>
    <row r="2329" spans="1:2" x14ac:dyDescent="0.25">
      <c r="A2329">
        <v>3976</v>
      </c>
      <c r="B2329">
        <v>0</v>
      </c>
    </row>
    <row r="2330" spans="1:2" x14ac:dyDescent="0.25">
      <c r="A2330">
        <v>3977</v>
      </c>
      <c r="B2330">
        <v>0</v>
      </c>
    </row>
    <row r="2331" spans="1:2" x14ac:dyDescent="0.25">
      <c r="A2331">
        <v>3978</v>
      </c>
      <c r="B2331">
        <v>0</v>
      </c>
    </row>
    <row r="2332" spans="1:2" x14ac:dyDescent="0.25">
      <c r="A2332">
        <v>3979</v>
      </c>
      <c r="B2332">
        <v>0</v>
      </c>
    </row>
    <row r="2333" spans="1:2" x14ac:dyDescent="0.25">
      <c r="A2333">
        <v>3980</v>
      </c>
      <c r="B2333">
        <v>0</v>
      </c>
    </row>
    <row r="2334" spans="1:2" x14ac:dyDescent="0.25">
      <c r="A2334">
        <v>3981</v>
      </c>
      <c r="B2334">
        <v>0</v>
      </c>
    </row>
    <row r="2335" spans="1:2" x14ac:dyDescent="0.25">
      <c r="A2335">
        <v>3982</v>
      </c>
      <c r="B2335">
        <v>0</v>
      </c>
    </row>
    <row r="2336" spans="1:2" x14ac:dyDescent="0.25">
      <c r="A2336">
        <v>3983</v>
      </c>
      <c r="B2336">
        <v>0</v>
      </c>
    </row>
    <row r="2337" spans="1:2" x14ac:dyDescent="0.25">
      <c r="A2337">
        <v>3984</v>
      </c>
      <c r="B2337">
        <v>0</v>
      </c>
    </row>
    <row r="2338" spans="1:2" x14ac:dyDescent="0.25">
      <c r="A2338">
        <v>3985</v>
      </c>
      <c r="B2338">
        <v>0</v>
      </c>
    </row>
    <row r="2339" spans="1:2" x14ac:dyDescent="0.25">
      <c r="A2339">
        <v>3986</v>
      </c>
      <c r="B2339">
        <v>0</v>
      </c>
    </row>
    <row r="2340" spans="1:2" x14ac:dyDescent="0.25">
      <c r="A2340">
        <v>3987</v>
      </c>
      <c r="B2340">
        <v>0</v>
      </c>
    </row>
    <row r="2341" spans="1:2" x14ac:dyDescent="0.25">
      <c r="A2341">
        <v>3988</v>
      </c>
      <c r="B2341">
        <v>0</v>
      </c>
    </row>
    <row r="2342" spans="1:2" x14ac:dyDescent="0.25">
      <c r="A2342">
        <v>3989</v>
      </c>
      <c r="B2342">
        <v>0</v>
      </c>
    </row>
    <row r="2343" spans="1:2" x14ac:dyDescent="0.25">
      <c r="A2343">
        <v>3990</v>
      </c>
      <c r="B2343">
        <v>0</v>
      </c>
    </row>
    <row r="2344" spans="1:2" x14ac:dyDescent="0.25">
      <c r="A2344">
        <v>3991</v>
      </c>
      <c r="B2344">
        <v>0</v>
      </c>
    </row>
    <row r="2345" spans="1:2" x14ac:dyDescent="0.25">
      <c r="A2345">
        <v>3992</v>
      </c>
      <c r="B2345">
        <v>0</v>
      </c>
    </row>
    <row r="2346" spans="1:2" x14ac:dyDescent="0.25">
      <c r="A2346">
        <v>3993</v>
      </c>
      <c r="B2346">
        <v>0</v>
      </c>
    </row>
    <row r="2347" spans="1:2" x14ac:dyDescent="0.25">
      <c r="A2347">
        <v>3994</v>
      </c>
      <c r="B2347">
        <v>0</v>
      </c>
    </row>
    <row r="2348" spans="1:2" x14ac:dyDescent="0.25">
      <c r="A2348">
        <v>3995</v>
      </c>
      <c r="B2348">
        <v>0</v>
      </c>
    </row>
    <row r="2349" spans="1:2" x14ac:dyDescent="0.25">
      <c r="A2349">
        <v>3996</v>
      </c>
      <c r="B2349">
        <v>0</v>
      </c>
    </row>
    <row r="2350" spans="1:2" x14ac:dyDescent="0.25">
      <c r="A2350">
        <v>3997</v>
      </c>
      <c r="B2350">
        <v>0</v>
      </c>
    </row>
    <row r="2351" spans="1:2" x14ac:dyDescent="0.25">
      <c r="A2351">
        <v>3998</v>
      </c>
      <c r="B2351">
        <v>0</v>
      </c>
    </row>
    <row r="2352" spans="1:2" x14ac:dyDescent="0.25">
      <c r="A2352">
        <v>3999</v>
      </c>
      <c r="B2352">
        <v>0</v>
      </c>
    </row>
    <row r="2353" spans="1:2" x14ac:dyDescent="0.25">
      <c r="A2353">
        <v>4000</v>
      </c>
      <c r="B2353">
        <v>0</v>
      </c>
    </row>
    <row r="2354" spans="1:2" x14ac:dyDescent="0.25">
      <c r="A2354">
        <v>4001</v>
      </c>
      <c r="B2354">
        <v>0</v>
      </c>
    </row>
    <row r="2355" spans="1:2" x14ac:dyDescent="0.25">
      <c r="A2355">
        <v>4002</v>
      </c>
      <c r="B2355">
        <v>0</v>
      </c>
    </row>
    <row r="2356" spans="1:2" x14ac:dyDescent="0.25">
      <c r="A2356">
        <v>4003</v>
      </c>
      <c r="B2356">
        <v>0</v>
      </c>
    </row>
    <row r="2357" spans="1:2" x14ac:dyDescent="0.25">
      <c r="A2357">
        <v>4004</v>
      </c>
      <c r="B2357">
        <v>0</v>
      </c>
    </row>
    <row r="2358" spans="1:2" x14ac:dyDescent="0.25">
      <c r="A2358">
        <v>4005</v>
      </c>
      <c r="B2358">
        <v>0</v>
      </c>
    </row>
    <row r="2359" spans="1:2" x14ac:dyDescent="0.25">
      <c r="A2359">
        <v>4006</v>
      </c>
      <c r="B2359">
        <v>0</v>
      </c>
    </row>
    <row r="2360" spans="1:2" x14ac:dyDescent="0.25">
      <c r="A2360">
        <v>4007</v>
      </c>
      <c r="B2360">
        <v>0</v>
      </c>
    </row>
    <row r="2361" spans="1:2" x14ac:dyDescent="0.25">
      <c r="A2361">
        <v>4008</v>
      </c>
      <c r="B2361">
        <v>0</v>
      </c>
    </row>
    <row r="2362" spans="1:2" x14ac:dyDescent="0.25">
      <c r="A2362">
        <v>4009</v>
      </c>
      <c r="B2362">
        <v>0</v>
      </c>
    </row>
    <row r="2363" spans="1:2" x14ac:dyDescent="0.25">
      <c r="A2363">
        <v>4010</v>
      </c>
      <c r="B2363">
        <v>0</v>
      </c>
    </row>
    <row r="2364" spans="1:2" x14ac:dyDescent="0.25">
      <c r="A2364">
        <v>4011</v>
      </c>
      <c r="B2364">
        <v>0</v>
      </c>
    </row>
    <row r="2365" spans="1:2" x14ac:dyDescent="0.25">
      <c r="A2365">
        <v>4012</v>
      </c>
      <c r="B2365">
        <v>0</v>
      </c>
    </row>
    <row r="2366" spans="1:2" x14ac:dyDescent="0.25">
      <c r="A2366">
        <v>4013</v>
      </c>
      <c r="B2366">
        <v>0</v>
      </c>
    </row>
    <row r="2367" spans="1:2" x14ac:dyDescent="0.25">
      <c r="A2367">
        <v>4014</v>
      </c>
      <c r="B2367">
        <v>0</v>
      </c>
    </row>
    <row r="2368" spans="1:2" x14ac:dyDescent="0.25">
      <c r="A2368">
        <v>4015</v>
      </c>
      <c r="B2368">
        <v>0</v>
      </c>
    </row>
    <row r="2369" spans="1:2" x14ac:dyDescent="0.25">
      <c r="A2369">
        <v>4016</v>
      </c>
      <c r="B2369">
        <v>0</v>
      </c>
    </row>
    <row r="2370" spans="1:2" x14ac:dyDescent="0.25">
      <c r="A2370">
        <v>4017</v>
      </c>
      <c r="B2370">
        <v>0</v>
      </c>
    </row>
    <row r="2371" spans="1:2" x14ac:dyDescent="0.25">
      <c r="A2371">
        <v>4018</v>
      </c>
      <c r="B2371">
        <v>0</v>
      </c>
    </row>
    <row r="2372" spans="1:2" x14ac:dyDescent="0.25">
      <c r="A2372">
        <v>4019</v>
      </c>
      <c r="B2372">
        <v>0</v>
      </c>
    </row>
    <row r="2373" spans="1:2" x14ac:dyDescent="0.25">
      <c r="A2373">
        <v>4020</v>
      </c>
      <c r="B2373">
        <v>0</v>
      </c>
    </row>
    <row r="2374" spans="1:2" x14ac:dyDescent="0.25">
      <c r="A2374">
        <v>4021</v>
      </c>
      <c r="B2374">
        <v>0</v>
      </c>
    </row>
    <row r="2375" spans="1:2" x14ac:dyDescent="0.25">
      <c r="A2375">
        <v>4022</v>
      </c>
      <c r="B2375">
        <v>0</v>
      </c>
    </row>
    <row r="2376" spans="1:2" x14ac:dyDescent="0.25">
      <c r="A2376">
        <v>4023</v>
      </c>
      <c r="B2376">
        <v>0</v>
      </c>
    </row>
    <row r="2377" spans="1:2" x14ac:dyDescent="0.25">
      <c r="A2377">
        <v>4024</v>
      </c>
      <c r="B2377">
        <v>0</v>
      </c>
    </row>
    <row r="2378" spans="1:2" x14ac:dyDescent="0.25">
      <c r="A2378">
        <v>4025</v>
      </c>
      <c r="B2378">
        <v>0</v>
      </c>
    </row>
    <row r="2379" spans="1:2" x14ac:dyDescent="0.25">
      <c r="A2379">
        <v>4026</v>
      </c>
      <c r="B2379">
        <v>0</v>
      </c>
    </row>
    <row r="2380" spans="1:2" x14ac:dyDescent="0.25">
      <c r="A2380">
        <v>4027</v>
      </c>
      <c r="B2380">
        <v>0</v>
      </c>
    </row>
    <row r="2381" spans="1:2" x14ac:dyDescent="0.25">
      <c r="A2381">
        <v>4028</v>
      </c>
      <c r="B2381">
        <v>0</v>
      </c>
    </row>
    <row r="2382" spans="1:2" x14ac:dyDescent="0.25">
      <c r="A2382">
        <v>4029</v>
      </c>
      <c r="B2382">
        <v>0</v>
      </c>
    </row>
    <row r="2383" spans="1:2" x14ac:dyDescent="0.25">
      <c r="A2383">
        <v>4030</v>
      </c>
      <c r="B2383">
        <v>0</v>
      </c>
    </row>
    <row r="2384" spans="1:2" x14ac:dyDescent="0.25">
      <c r="A2384">
        <v>4031</v>
      </c>
      <c r="B2384">
        <v>0</v>
      </c>
    </row>
    <row r="2385" spans="1:2" x14ac:dyDescent="0.25">
      <c r="A2385">
        <v>4032</v>
      </c>
      <c r="B2385">
        <v>0</v>
      </c>
    </row>
    <row r="2386" spans="1:2" x14ac:dyDescent="0.25">
      <c r="A2386">
        <v>4033</v>
      </c>
      <c r="B2386">
        <v>0</v>
      </c>
    </row>
    <row r="2387" spans="1:2" x14ac:dyDescent="0.25">
      <c r="A2387">
        <v>4034</v>
      </c>
      <c r="B2387">
        <v>0</v>
      </c>
    </row>
    <row r="2388" spans="1:2" x14ac:dyDescent="0.25">
      <c r="A2388">
        <v>4035</v>
      </c>
      <c r="B2388">
        <v>0</v>
      </c>
    </row>
    <row r="2389" spans="1:2" x14ac:dyDescent="0.25">
      <c r="A2389">
        <v>4036</v>
      </c>
      <c r="B2389">
        <v>0</v>
      </c>
    </row>
    <row r="2390" spans="1:2" x14ac:dyDescent="0.25">
      <c r="A2390">
        <v>4037</v>
      </c>
      <c r="B2390">
        <v>0</v>
      </c>
    </row>
    <row r="2391" spans="1:2" x14ac:dyDescent="0.25">
      <c r="A2391">
        <v>4038</v>
      </c>
      <c r="B2391">
        <v>0</v>
      </c>
    </row>
    <row r="2392" spans="1:2" x14ac:dyDescent="0.25">
      <c r="A2392">
        <v>4039</v>
      </c>
      <c r="B2392">
        <v>0</v>
      </c>
    </row>
    <row r="2393" spans="1:2" x14ac:dyDescent="0.25">
      <c r="A2393">
        <v>4040</v>
      </c>
      <c r="B2393">
        <v>0</v>
      </c>
    </row>
    <row r="2394" spans="1:2" x14ac:dyDescent="0.25">
      <c r="A2394">
        <v>4041</v>
      </c>
      <c r="B2394">
        <v>0</v>
      </c>
    </row>
    <row r="2395" spans="1:2" x14ac:dyDescent="0.25">
      <c r="A2395">
        <v>4042</v>
      </c>
      <c r="B2395">
        <v>0</v>
      </c>
    </row>
    <row r="2396" spans="1:2" x14ac:dyDescent="0.25">
      <c r="A2396">
        <v>4043</v>
      </c>
      <c r="B2396">
        <v>0</v>
      </c>
    </row>
    <row r="2397" spans="1:2" x14ac:dyDescent="0.25">
      <c r="A2397">
        <v>4044</v>
      </c>
      <c r="B2397">
        <v>0</v>
      </c>
    </row>
    <row r="2398" spans="1:2" x14ac:dyDescent="0.25">
      <c r="A2398">
        <v>4045</v>
      </c>
      <c r="B2398">
        <v>0</v>
      </c>
    </row>
    <row r="2399" spans="1:2" x14ac:dyDescent="0.25">
      <c r="A2399">
        <v>4046</v>
      </c>
      <c r="B2399">
        <v>0</v>
      </c>
    </row>
    <row r="2400" spans="1:2" x14ac:dyDescent="0.25">
      <c r="A2400">
        <v>4047</v>
      </c>
      <c r="B2400">
        <v>0</v>
      </c>
    </row>
    <row r="2401" spans="1:2" x14ac:dyDescent="0.25">
      <c r="A2401">
        <v>4048</v>
      </c>
      <c r="B2401">
        <v>0</v>
      </c>
    </row>
    <row r="2402" spans="1:2" x14ac:dyDescent="0.25">
      <c r="A2402">
        <v>4049</v>
      </c>
      <c r="B2402">
        <v>0</v>
      </c>
    </row>
    <row r="2403" spans="1:2" x14ac:dyDescent="0.25">
      <c r="A2403">
        <v>4052</v>
      </c>
      <c r="B2403">
        <v>0</v>
      </c>
    </row>
    <row r="2404" spans="1:2" x14ac:dyDescent="0.25">
      <c r="A2404">
        <v>4054</v>
      </c>
      <c r="B2404">
        <v>0</v>
      </c>
    </row>
    <row r="2405" spans="1:2" x14ac:dyDescent="0.25">
      <c r="A2405">
        <v>4056</v>
      </c>
      <c r="B2405">
        <v>0</v>
      </c>
    </row>
    <row r="2406" spans="1:2" x14ac:dyDescent="0.25">
      <c r="A2406">
        <v>4058</v>
      </c>
      <c r="B2406">
        <v>0</v>
      </c>
    </row>
    <row r="2407" spans="1:2" x14ac:dyDescent="0.25">
      <c r="A2407">
        <v>4060</v>
      </c>
      <c r="B2407">
        <v>0</v>
      </c>
    </row>
    <row r="2408" spans="1:2" x14ac:dyDescent="0.25">
      <c r="A2408">
        <v>4061</v>
      </c>
      <c r="B2408">
        <v>0</v>
      </c>
    </row>
    <row r="2409" spans="1:2" x14ac:dyDescent="0.25">
      <c r="A2409">
        <v>4062</v>
      </c>
      <c r="B2409">
        <v>0</v>
      </c>
    </row>
    <row r="2410" spans="1:2" x14ac:dyDescent="0.25">
      <c r="A2410">
        <v>4063</v>
      </c>
      <c r="B2410">
        <v>0</v>
      </c>
    </row>
    <row r="2411" spans="1:2" x14ac:dyDescent="0.25">
      <c r="A2411">
        <v>4064</v>
      </c>
      <c r="B2411">
        <v>0</v>
      </c>
    </row>
    <row r="2412" spans="1:2" x14ac:dyDescent="0.25">
      <c r="A2412">
        <v>4066</v>
      </c>
      <c r="B2412">
        <v>0</v>
      </c>
    </row>
    <row r="2413" spans="1:2" x14ac:dyDescent="0.25">
      <c r="A2413">
        <v>4067</v>
      </c>
      <c r="B2413">
        <v>0</v>
      </c>
    </row>
    <row r="2414" spans="1:2" x14ac:dyDescent="0.25">
      <c r="A2414">
        <v>4069</v>
      </c>
      <c r="B2414">
        <v>0</v>
      </c>
    </row>
    <row r="2415" spans="1:2" x14ac:dyDescent="0.25">
      <c r="A2415">
        <v>4071</v>
      </c>
      <c r="B2415">
        <v>0</v>
      </c>
    </row>
    <row r="2416" spans="1:2" x14ac:dyDescent="0.25">
      <c r="A2416">
        <v>4072</v>
      </c>
      <c r="B2416">
        <v>0</v>
      </c>
    </row>
    <row r="2417" spans="1:2" x14ac:dyDescent="0.25">
      <c r="A2417">
        <v>4075</v>
      </c>
      <c r="B2417">
        <v>0</v>
      </c>
    </row>
    <row r="2418" spans="1:2" x14ac:dyDescent="0.25">
      <c r="A2418">
        <v>4076</v>
      </c>
      <c r="B2418">
        <v>0</v>
      </c>
    </row>
    <row r="2419" spans="1:2" x14ac:dyDescent="0.25">
      <c r="A2419">
        <v>4077</v>
      </c>
      <c r="B2419">
        <v>0</v>
      </c>
    </row>
    <row r="2420" spans="1:2" x14ac:dyDescent="0.25">
      <c r="A2420">
        <v>4082</v>
      </c>
      <c r="B2420">
        <v>0</v>
      </c>
    </row>
    <row r="2421" spans="1:2" x14ac:dyDescent="0.25">
      <c r="A2421">
        <v>4089</v>
      </c>
      <c r="B2421">
        <v>0</v>
      </c>
    </row>
    <row r="2422" spans="1:2" x14ac:dyDescent="0.25">
      <c r="A2422">
        <v>4091</v>
      </c>
      <c r="B2422">
        <v>0</v>
      </c>
    </row>
    <row r="2423" spans="1:2" x14ac:dyDescent="0.25">
      <c r="A2423">
        <v>4093</v>
      </c>
      <c r="B2423">
        <v>0</v>
      </c>
    </row>
    <row r="2424" spans="1:2" x14ac:dyDescent="0.25">
      <c r="A2424">
        <v>4096</v>
      </c>
      <c r="B2424">
        <v>0</v>
      </c>
    </row>
    <row r="2425" spans="1:2" x14ac:dyDescent="0.25">
      <c r="A2425">
        <v>4099</v>
      </c>
      <c r="B2425">
        <v>0</v>
      </c>
    </row>
    <row r="2426" spans="1:2" x14ac:dyDescent="0.25">
      <c r="A2426">
        <v>4103</v>
      </c>
      <c r="B2426">
        <v>0</v>
      </c>
    </row>
    <row r="2427" spans="1:2" x14ac:dyDescent="0.25">
      <c r="A2427">
        <v>4106</v>
      </c>
      <c r="B2427">
        <v>0</v>
      </c>
    </row>
    <row r="2428" spans="1:2" x14ac:dyDescent="0.25">
      <c r="A2428">
        <v>4108</v>
      </c>
      <c r="B2428">
        <v>0</v>
      </c>
    </row>
    <row r="2429" spans="1:2" x14ac:dyDescent="0.25">
      <c r="A2429">
        <v>4117</v>
      </c>
      <c r="B2429">
        <v>0</v>
      </c>
    </row>
    <row r="2430" spans="1:2" x14ac:dyDescent="0.25">
      <c r="A2430">
        <v>4121</v>
      </c>
      <c r="B2430">
        <v>0</v>
      </c>
    </row>
    <row r="2431" spans="1:2" x14ac:dyDescent="0.25">
      <c r="A2431">
        <v>4124</v>
      </c>
      <c r="B2431">
        <v>0</v>
      </c>
    </row>
    <row r="2432" spans="1:2" x14ac:dyDescent="0.25">
      <c r="A2432">
        <v>4133</v>
      </c>
      <c r="B2432">
        <v>0</v>
      </c>
    </row>
    <row r="2433" spans="1:2" x14ac:dyDescent="0.25">
      <c r="A2433">
        <v>4138</v>
      </c>
      <c r="B2433">
        <v>0</v>
      </c>
    </row>
    <row r="2434" spans="1:2" x14ac:dyDescent="0.25">
      <c r="A2434">
        <v>4141</v>
      </c>
      <c r="B2434">
        <v>0</v>
      </c>
    </row>
    <row r="2435" spans="1:2" x14ac:dyDescent="0.25">
      <c r="A2435">
        <v>4143</v>
      </c>
      <c r="B2435">
        <v>0</v>
      </c>
    </row>
    <row r="2436" spans="1:2" x14ac:dyDescent="0.25">
      <c r="A2436">
        <v>4145</v>
      </c>
      <c r="B2436">
        <v>0</v>
      </c>
    </row>
    <row r="2437" spans="1:2" x14ac:dyDescent="0.25">
      <c r="A2437">
        <v>4147</v>
      </c>
      <c r="B2437">
        <v>0</v>
      </c>
    </row>
    <row r="2438" spans="1:2" x14ac:dyDescent="0.25">
      <c r="A2438">
        <v>4148</v>
      </c>
      <c r="B2438">
        <v>0</v>
      </c>
    </row>
    <row r="2439" spans="1:2" x14ac:dyDescent="0.25">
      <c r="A2439">
        <v>4151</v>
      </c>
      <c r="B2439">
        <v>0</v>
      </c>
    </row>
    <row r="2440" spans="1:2" x14ac:dyDescent="0.25">
      <c r="A2440">
        <v>4155</v>
      </c>
      <c r="B2440">
        <v>0</v>
      </c>
    </row>
    <row r="2441" spans="1:2" x14ac:dyDescent="0.25">
      <c r="A2441">
        <v>4157</v>
      </c>
      <c r="B2441">
        <v>0</v>
      </c>
    </row>
    <row r="2442" spans="1:2" x14ac:dyDescent="0.25">
      <c r="A2442">
        <v>4164</v>
      </c>
      <c r="B2442">
        <v>0</v>
      </c>
    </row>
    <row r="2443" spans="1:2" x14ac:dyDescent="0.25">
      <c r="A2443">
        <v>4166</v>
      </c>
      <c r="B2443">
        <v>0</v>
      </c>
    </row>
    <row r="2444" spans="1:2" x14ac:dyDescent="0.25">
      <c r="A2444">
        <v>4173</v>
      </c>
      <c r="B2444">
        <v>0</v>
      </c>
    </row>
    <row r="2445" spans="1:2" x14ac:dyDescent="0.25">
      <c r="A2445">
        <v>4174</v>
      </c>
      <c r="B2445">
        <v>0</v>
      </c>
    </row>
    <row r="2446" spans="1:2" x14ac:dyDescent="0.25">
      <c r="A2446">
        <v>4177</v>
      </c>
      <c r="B2446">
        <v>0</v>
      </c>
    </row>
    <row r="2447" spans="1:2" x14ac:dyDescent="0.25">
      <c r="A2447">
        <v>4181</v>
      </c>
      <c r="B2447">
        <v>0</v>
      </c>
    </row>
    <row r="2448" spans="1:2" x14ac:dyDescent="0.25">
      <c r="A2448">
        <v>4187</v>
      </c>
      <c r="B2448">
        <v>0</v>
      </c>
    </row>
    <row r="2449" spans="1:2" x14ac:dyDescent="0.25">
      <c r="A2449">
        <v>4188</v>
      </c>
      <c r="B2449">
        <v>0</v>
      </c>
    </row>
    <row r="2450" spans="1:2" x14ac:dyDescent="0.25">
      <c r="A2450">
        <v>4189</v>
      </c>
      <c r="B2450">
        <v>0</v>
      </c>
    </row>
    <row r="2451" spans="1:2" x14ac:dyDescent="0.25">
      <c r="A2451">
        <v>4193</v>
      </c>
      <c r="B2451">
        <v>0</v>
      </c>
    </row>
    <row r="2452" spans="1:2" x14ac:dyDescent="0.25">
      <c r="A2452">
        <v>4196</v>
      </c>
      <c r="B2452">
        <v>0</v>
      </c>
    </row>
    <row r="2453" spans="1:2" x14ac:dyDescent="0.25">
      <c r="A2453">
        <v>4197</v>
      </c>
      <c r="B2453">
        <v>0</v>
      </c>
    </row>
    <row r="2454" spans="1:2" x14ac:dyDescent="0.25">
      <c r="A2454">
        <v>4198</v>
      </c>
      <c r="B2454">
        <v>0</v>
      </c>
    </row>
    <row r="2455" spans="1:2" x14ac:dyDescent="0.25">
      <c r="A2455">
        <v>4202</v>
      </c>
      <c r="B2455">
        <v>0</v>
      </c>
    </row>
    <row r="2456" spans="1:2" x14ac:dyDescent="0.25">
      <c r="A2456">
        <v>4204</v>
      </c>
      <c r="B2456">
        <v>0</v>
      </c>
    </row>
    <row r="2457" spans="1:2" x14ac:dyDescent="0.25">
      <c r="A2457">
        <v>4206</v>
      </c>
      <c r="B2457">
        <v>0</v>
      </c>
    </row>
    <row r="2458" spans="1:2" x14ac:dyDescent="0.25">
      <c r="A2458">
        <v>4217</v>
      </c>
      <c r="B2458">
        <v>0</v>
      </c>
    </row>
    <row r="2459" spans="1:2" x14ac:dyDescent="0.25">
      <c r="A2459">
        <v>4219</v>
      </c>
      <c r="B2459">
        <v>0</v>
      </c>
    </row>
    <row r="2460" spans="1:2" x14ac:dyDescent="0.25">
      <c r="A2460">
        <v>4221</v>
      </c>
      <c r="B2460">
        <v>0</v>
      </c>
    </row>
    <row r="2461" spans="1:2" x14ac:dyDescent="0.25">
      <c r="A2461">
        <v>4222</v>
      </c>
      <c r="B2461">
        <v>0</v>
      </c>
    </row>
    <row r="2462" spans="1:2" x14ac:dyDescent="0.25">
      <c r="A2462">
        <v>4223</v>
      </c>
      <c r="B2462">
        <v>0</v>
      </c>
    </row>
    <row r="2463" spans="1:2" x14ac:dyDescent="0.25">
      <c r="A2463">
        <v>4224</v>
      </c>
      <c r="B2463">
        <v>0</v>
      </c>
    </row>
    <row r="2464" spans="1:2" x14ac:dyDescent="0.25">
      <c r="A2464">
        <v>4225</v>
      </c>
      <c r="B2464">
        <v>0</v>
      </c>
    </row>
    <row r="2465" spans="1:2" x14ac:dyDescent="0.25">
      <c r="A2465">
        <v>4231</v>
      </c>
      <c r="B2465">
        <v>0</v>
      </c>
    </row>
    <row r="2466" spans="1:2" x14ac:dyDescent="0.25">
      <c r="A2466">
        <v>4238</v>
      </c>
      <c r="B2466">
        <v>0</v>
      </c>
    </row>
    <row r="2467" spans="1:2" x14ac:dyDescent="0.25">
      <c r="A2467">
        <v>4241</v>
      </c>
      <c r="B2467">
        <v>0</v>
      </c>
    </row>
    <row r="2468" spans="1:2" x14ac:dyDescent="0.25">
      <c r="A2468">
        <v>4242</v>
      </c>
      <c r="B2468">
        <v>0</v>
      </c>
    </row>
    <row r="2469" spans="1:2" x14ac:dyDescent="0.25">
      <c r="A2469">
        <v>4243</v>
      </c>
      <c r="B2469">
        <v>0</v>
      </c>
    </row>
    <row r="2470" spans="1:2" x14ac:dyDescent="0.25">
      <c r="A2470">
        <v>4245</v>
      </c>
      <c r="B2470">
        <v>0</v>
      </c>
    </row>
    <row r="2471" spans="1:2" x14ac:dyDescent="0.25">
      <c r="A2471">
        <v>4247</v>
      </c>
      <c r="B2471">
        <v>0</v>
      </c>
    </row>
    <row r="2472" spans="1:2" x14ac:dyDescent="0.25">
      <c r="A2472">
        <v>4249</v>
      </c>
      <c r="B2472">
        <v>0</v>
      </c>
    </row>
    <row r="2473" spans="1:2" x14ac:dyDescent="0.25">
      <c r="A2473">
        <v>4254</v>
      </c>
      <c r="B2473">
        <v>0</v>
      </c>
    </row>
    <row r="2474" spans="1:2" x14ac:dyDescent="0.25">
      <c r="A2474">
        <v>4262</v>
      </c>
      <c r="B2474">
        <v>0</v>
      </c>
    </row>
    <row r="2475" spans="1:2" x14ac:dyDescent="0.25">
      <c r="A2475">
        <v>4263</v>
      </c>
      <c r="B2475">
        <v>0</v>
      </c>
    </row>
    <row r="2476" spans="1:2" x14ac:dyDescent="0.25">
      <c r="A2476">
        <v>4264</v>
      </c>
      <c r="B2476">
        <v>0</v>
      </c>
    </row>
    <row r="2477" spans="1:2" x14ac:dyDescent="0.25">
      <c r="A2477">
        <v>4265</v>
      </c>
      <c r="B2477">
        <v>0</v>
      </c>
    </row>
    <row r="2478" spans="1:2" x14ac:dyDescent="0.25">
      <c r="A2478">
        <v>4266</v>
      </c>
      <c r="B2478">
        <v>0</v>
      </c>
    </row>
    <row r="2479" spans="1:2" x14ac:dyDescent="0.25">
      <c r="A2479">
        <v>4267</v>
      </c>
      <c r="B2479">
        <v>0</v>
      </c>
    </row>
    <row r="2480" spans="1:2" x14ac:dyDescent="0.25">
      <c r="A2480">
        <v>4268</v>
      </c>
      <c r="B2480">
        <v>0</v>
      </c>
    </row>
    <row r="2481" spans="1:2" x14ac:dyDescent="0.25">
      <c r="A2481">
        <v>4269</v>
      </c>
      <c r="B2481">
        <v>0</v>
      </c>
    </row>
    <row r="2482" spans="1:2" x14ac:dyDescent="0.25">
      <c r="A2482">
        <v>4270</v>
      </c>
      <c r="B2482">
        <v>0</v>
      </c>
    </row>
    <row r="2483" spans="1:2" x14ac:dyDescent="0.25">
      <c r="A2483">
        <v>4271</v>
      </c>
      <c r="B2483">
        <v>0</v>
      </c>
    </row>
    <row r="2484" spans="1:2" x14ac:dyDescent="0.25">
      <c r="A2484">
        <v>4272</v>
      </c>
      <c r="B2484">
        <v>0</v>
      </c>
    </row>
    <row r="2485" spans="1:2" x14ac:dyDescent="0.25">
      <c r="A2485">
        <v>4273</v>
      </c>
      <c r="B2485">
        <v>0</v>
      </c>
    </row>
    <row r="2486" spans="1:2" x14ac:dyDescent="0.25">
      <c r="A2486">
        <v>4274</v>
      </c>
      <c r="B2486">
        <v>0</v>
      </c>
    </row>
    <row r="2487" spans="1:2" x14ac:dyDescent="0.25">
      <c r="A2487">
        <v>4275</v>
      </c>
      <c r="B2487">
        <v>0</v>
      </c>
    </row>
    <row r="2488" spans="1:2" x14ac:dyDescent="0.25">
      <c r="A2488">
        <v>4276</v>
      </c>
      <c r="B2488">
        <v>0</v>
      </c>
    </row>
    <row r="2489" spans="1:2" x14ac:dyDescent="0.25">
      <c r="A2489">
        <v>4277</v>
      </c>
      <c r="B2489">
        <v>0</v>
      </c>
    </row>
    <row r="2490" spans="1:2" x14ac:dyDescent="0.25">
      <c r="A2490">
        <v>4278</v>
      </c>
      <c r="B2490">
        <v>0</v>
      </c>
    </row>
    <row r="2491" spans="1:2" x14ac:dyDescent="0.25">
      <c r="A2491">
        <v>4279</v>
      </c>
      <c r="B2491">
        <v>0</v>
      </c>
    </row>
    <row r="2492" spans="1:2" x14ac:dyDescent="0.25">
      <c r="A2492">
        <v>4280</v>
      </c>
      <c r="B2492">
        <v>0</v>
      </c>
    </row>
    <row r="2493" spans="1:2" x14ac:dyDescent="0.25">
      <c r="A2493">
        <v>4281</v>
      </c>
      <c r="B2493">
        <v>0</v>
      </c>
    </row>
    <row r="2494" spans="1:2" x14ac:dyDescent="0.25">
      <c r="A2494">
        <v>4282</v>
      </c>
      <c r="B2494">
        <v>0</v>
      </c>
    </row>
    <row r="2495" spans="1:2" x14ac:dyDescent="0.25">
      <c r="A2495">
        <v>4293</v>
      </c>
      <c r="B2495">
        <v>0</v>
      </c>
    </row>
    <row r="2496" spans="1:2" x14ac:dyDescent="0.25">
      <c r="A2496">
        <v>4298</v>
      </c>
      <c r="B2496">
        <v>0</v>
      </c>
    </row>
    <row r="2497" spans="1:2" x14ac:dyDescent="0.25">
      <c r="A2497">
        <v>4301</v>
      </c>
      <c r="B2497">
        <v>0</v>
      </c>
    </row>
    <row r="2498" spans="1:2" x14ac:dyDescent="0.25">
      <c r="A2498">
        <v>4303</v>
      </c>
      <c r="B2498">
        <v>0</v>
      </c>
    </row>
    <row r="2499" spans="1:2" x14ac:dyDescent="0.25">
      <c r="A2499">
        <v>4306</v>
      </c>
      <c r="B2499">
        <v>0</v>
      </c>
    </row>
    <row r="2500" spans="1:2" x14ac:dyDescent="0.25">
      <c r="A2500">
        <v>4311</v>
      </c>
      <c r="B2500">
        <v>0</v>
      </c>
    </row>
    <row r="2501" spans="1:2" x14ac:dyDescent="0.25">
      <c r="A2501">
        <v>4324</v>
      </c>
      <c r="B2501">
        <v>0</v>
      </c>
    </row>
    <row r="2502" spans="1:2" x14ac:dyDescent="0.25">
      <c r="A2502">
        <v>4326</v>
      </c>
      <c r="B2502">
        <v>0</v>
      </c>
    </row>
    <row r="2503" spans="1:2" x14ac:dyDescent="0.25">
      <c r="A2503">
        <v>4327</v>
      </c>
      <c r="B2503">
        <v>0</v>
      </c>
    </row>
    <row r="2504" spans="1:2" x14ac:dyDescent="0.25">
      <c r="A2504">
        <v>4337</v>
      </c>
      <c r="B2504">
        <v>0</v>
      </c>
    </row>
    <row r="2505" spans="1:2" x14ac:dyDescent="0.25">
      <c r="A2505">
        <v>4339</v>
      </c>
      <c r="B2505">
        <v>0</v>
      </c>
    </row>
    <row r="2506" spans="1:2" x14ac:dyDescent="0.25">
      <c r="A2506">
        <v>4340</v>
      </c>
      <c r="B2506">
        <v>0</v>
      </c>
    </row>
    <row r="2507" spans="1:2" x14ac:dyDescent="0.25">
      <c r="A2507">
        <v>4341</v>
      </c>
      <c r="B2507">
        <v>0</v>
      </c>
    </row>
    <row r="2508" spans="1:2" x14ac:dyDescent="0.25">
      <c r="A2508">
        <v>4342</v>
      </c>
      <c r="B2508">
        <v>0</v>
      </c>
    </row>
    <row r="2509" spans="1:2" x14ac:dyDescent="0.25">
      <c r="A2509">
        <v>4344</v>
      </c>
      <c r="B2509">
        <v>0</v>
      </c>
    </row>
    <row r="2510" spans="1:2" x14ac:dyDescent="0.25">
      <c r="A2510">
        <v>4345</v>
      </c>
      <c r="B2510">
        <v>0</v>
      </c>
    </row>
    <row r="2511" spans="1:2" x14ac:dyDescent="0.25">
      <c r="A2511">
        <v>4349</v>
      </c>
      <c r="B2511">
        <v>0</v>
      </c>
    </row>
    <row r="2512" spans="1:2" x14ac:dyDescent="0.25">
      <c r="A2512">
        <v>4350</v>
      </c>
      <c r="B2512">
        <v>0</v>
      </c>
    </row>
    <row r="2513" spans="1:2" x14ac:dyDescent="0.25">
      <c r="A2513">
        <v>4352</v>
      </c>
      <c r="B2513">
        <v>0</v>
      </c>
    </row>
    <row r="2514" spans="1:2" x14ac:dyDescent="0.25">
      <c r="A2514">
        <v>4356</v>
      </c>
      <c r="B2514">
        <v>0</v>
      </c>
    </row>
    <row r="2515" spans="1:2" x14ac:dyDescent="0.25">
      <c r="A2515">
        <v>4357</v>
      </c>
      <c r="B2515">
        <v>0</v>
      </c>
    </row>
    <row r="2516" spans="1:2" x14ac:dyDescent="0.25">
      <c r="A2516">
        <v>4358</v>
      </c>
      <c r="B2516">
        <v>0</v>
      </c>
    </row>
    <row r="2517" spans="1:2" x14ac:dyDescent="0.25">
      <c r="A2517">
        <v>4359</v>
      </c>
      <c r="B2517">
        <v>0</v>
      </c>
    </row>
    <row r="2518" spans="1:2" x14ac:dyDescent="0.25">
      <c r="A2518">
        <v>4360</v>
      </c>
      <c r="B2518">
        <v>0</v>
      </c>
    </row>
    <row r="2519" spans="1:2" x14ac:dyDescent="0.25">
      <c r="A2519">
        <v>4364</v>
      </c>
      <c r="B2519">
        <v>0</v>
      </c>
    </row>
    <row r="2520" spans="1:2" x14ac:dyDescent="0.25">
      <c r="A2520">
        <v>4367</v>
      </c>
      <c r="B2520">
        <v>0</v>
      </c>
    </row>
    <row r="2521" spans="1:2" x14ac:dyDescent="0.25">
      <c r="A2521">
        <v>4389</v>
      </c>
      <c r="B2521">
        <v>0</v>
      </c>
    </row>
    <row r="2522" spans="1:2" x14ac:dyDescent="0.25">
      <c r="A2522">
        <v>4391</v>
      </c>
      <c r="B2522">
        <v>0</v>
      </c>
    </row>
    <row r="2523" spans="1:2" x14ac:dyDescent="0.25">
      <c r="A2523">
        <v>4393</v>
      </c>
      <c r="B2523">
        <v>0</v>
      </c>
    </row>
    <row r="2524" spans="1:2" x14ac:dyDescent="0.25">
      <c r="A2524">
        <v>4394</v>
      </c>
      <c r="B2524">
        <v>0</v>
      </c>
    </row>
    <row r="2525" spans="1:2" x14ac:dyDescent="0.25">
      <c r="A2525">
        <v>4398</v>
      </c>
      <c r="B2525">
        <v>0</v>
      </c>
    </row>
    <row r="2526" spans="1:2" x14ac:dyDescent="0.25">
      <c r="A2526">
        <v>4399</v>
      </c>
      <c r="B2526">
        <v>0</v>
      </c>
    </row>
    <row r="2527" spans="1:2" x14ac:dyDescent="0.25">
      <c r="A2527">
        <v>4400</v>
      </c>
      <c r="B2527">
        <v>0</v>
      </c>
    </row>
    <row r="2528" spans="1:2" x14ac:dyDescent="0.25">
      <c r="A2528">
        <v>4401</v>
      </c>
      <c r="B2528">
        <v>0</v>
      </c>
    </row>
    <row r="2529" spans="1:2" x14ac:dyDescent="0.25">
      <c r="A2529">
        <v>4403</v>
      </c>
      <c r="B2529">
        <v>0</v>
      </c>
    </row>
    <row r="2530" spans="1:2" x14ac:dyDescent="0.25">
      <c r="A2530">
        <v>4405</v>
      </c>
      <c r="B2530">
        <v>0</v>
      </c>
    </row>
    <row r="2531" spans="1:2" x14ac:dyDescent="0.25">
      <c r="A2531">
        <v>4407</v>
      </c>
      <c r="B2531">
        <v>0</v>
      </c>
    </row>
    <row r="2532" spans="1:2" x14ac:dyDescent="0.25">
      <c r="A2532">
        <v>4409</v>
      </c>
      <c r="B2532">
        <v>18</v>
      </c>
    </row>
    <row r="2533" spans="1:2" x14ac:dyDescent="0.25">
      <c r="A2533">
        <v>4410</v>
      </c>
      <c r="B2533">
        <v>0</v>
      </c>
    </row>
    <row r="2534" spans="1:2" x14ac:dyDescent="0.25">
      <c r="A2534">
        <v>4414</v>
      </c>
      <c r="B2534">
        <v>0</v>
      </c>
    </row>
    <row r="2535" spans="1:2" x14ac:dyDescent="0.25">
      <c r="A2535">
        <v>4416</v>
      </c>
      <c r="B2535">
        <v>0</v>
      </c>
    </row>
    <row r="2536" spans="1:2" x14ac:dyDescent="0.25">
      <c r="A2536">
        <v>4418</v>
      </c>
      <c r="B2536">
        <v>0</v>
      </c>
    </row>
    <row r="2537" spans="1:2" x14ac:dyDescent="0.25">
      <c r="A2537">
        <v>4420</v>
      </c>
      <c r="B2537">
        <v>0</v>
      </c>
    </row>
    <row r="2538" spans="1:2" x14ac:dyDescent="0.25">
      <c r="A2538">
        <v>4422</v>
      </c>
      <c r="B2538">
        <v>0</v>
      </c>
    </row>
    <row r="2539" spans="1:2" x14ac:dyDescent="0.25">
      <c r="A2539">
        <v>4426</v>
      </c>
      <c r="B2539">
        <v>0</v>
      </c>
    </row>
    <row r="2540" spans="1:2" x14ac:dyDescent="0.25">
      <c r="A2540">
        <v>4427</v>
      </c>
      <c r="B2540">
        <v>0</v>
      </c>
    </row>
    <row r="2541" spans="1:2" x14ac:dyDescent="0.25">
      <c r="A2541">
        <v>4432</v>
      </c>
      <c r="B2541">
        <v>0</v>
      </c>
    </row>
    <row r="2542" spans="1:2" x14ac:dyDescent="0.25">
      <c r="A2542">
        <v>4434</v>
      </c>
      <c r="B2542">
        <v>0</v>
      </c>
    </row>
    <row r="2543" spans="1:2" x14ac:dyDescent="0.25">
      <c r="A2543">
        <v>4436</v>
      </c>
      <c r="B2543">
        <v>0</v>
      </c>
    </row>
    <row r="2544" spans="1:2" x14ac:dyDescent="0.25">
      <c r="A2544">
        <v>4438</v>
      </c>
      <c r="B2544">
        <v>0</v>
      </c>
    </row>
    <row r="2545" spans="1:2" x14ac:dyDescent="0.25">
      <c r="A2545">
        <v>4440</v>
      </c>
      <c r="B2545">
        <v>0</v>
      </c>
    </row>
    <row r="2546" spans="1:2" x14ac:dyDescent="0.25">
      <c r="A2546">
        <v>4442</v>
      </c>
      <c r="B2546">
        <v>0</v>
      </c>
    </row>
    <row r="2547" spans="1:2" x14ac:dyDescent="0.25">
      <c r="A2547">
        <v>4444</v>
      </c>
      <c r="B2547">
        <v>0</v>
      </c>
    </row>
    <row r="2548" spans="1:2" x14ac:dyDescent="0.25">
      <c r="A2548">
        <v>4446</v>
      </c>
      <c r="B2548">
        <v>0</v>
      </c>
    </row>
    <row r="2549" spans="1:2" x14ac:dyDescent="0.25">
      <c r="A2549">
        <v>4448</v>
      </c>
      <c r="B2549">
        <v>0</v>
      </c>
    </row>
    <row r="2550" spans="1:2" x14ac:dyDescent="0.25">
      <c r="A2550">
        <v>4450</v>
      </c>
      <c r="B2550">
        <v>0</v>
      </c>
    </row>
    <row r="2551" spans="1:2" x14ac:dyDescent="0.25">
      <c r="A2551">
        <v>4452</v>
      </c>
      <c r="B2551">
        <v>0</v>
      </c>
    </row>
    <row r="2552" spans="1:2" x14ac:dyDescent="0.25">
      <c r="A2552">
        <v>4454</v>
      </c>
      <c r="B2552">
        <v>0</v>
      </c>
    </row>
    <row r="2553" spans="1:2" x14ac:dyDescent="0.25">
      <c r="A2553">
        <v>4455</v>
      </c>
      <c r="B2553">
        <v>0</v>
      </c>
    </row>
    <row r="2554" spans="1:2" x14ac:dyDescent="0.25">
      <c r="A2554">
        <v>4458</v>
      </c>
      <c r="B2554">
        <v>0</v>
      </c>
    </row>
    <row r="2555" spans="1:2" x14ac:dyDescent="0.25">
      <c r="A2555">
        <v>4460</v>
      </c>
      <c r="B2555">
        <v>0</v>
      </c>
    </row>
    <row r="2556" spans="1:2" x14ac:dyDescent="0.25">
      <c r="A2556">
        <v>4462</v>
      </c>
      <c r="B2556">
        <v>0</v>
      </c>
    </row>
    <row r="2557" spans="1:2" x14ac:dyDescent="0.25">
      <c r="A2557">
        <v>4464</v>
      </c>
      <c r="B2557">
        <v>0</v>
      </c>
    </row>
    <row r="2558" spans="1:2" x14ac:dyDescent="0.25">
      <c r="A2558">
        <v>4466</v>
      </c>
      <c r="B2558">
        <v>0</v>
      </c>
    </row>
    <row r="2559" spans="1:2" x14ac:dyDescent="0.25">
      <c r="A2559">
        <v>4468</v>
      </c>
      <c r="B2559">
        <v>0</v>
      </c>
    </row>
    <row r="2560" spans="1:2" x14ac:dyDescent="0.25">
      <c r="A2560">
        <v>4470</v>
      </c>
      <c r="B2560">
        <v>0</v>
      </c>
    </row>
    <row r="2561" spans="1:2" x14ac:dyDescent="0.25">
      <c r="A2561">
        <v>4471</v>
      </c>
      <c r="B2561">
        <v>0</v>
      </c>
    </row>
    <row r="2562" spans="1:2" x14ac:dyDescent="0.25">
      <c r="A2562">
        <v>4472</v>
      </c>
      <c r="B2562">
        <v>0</v>
      </c>
    </row>
    <row r="2563" spans="1:2" x14ac:dyDescent="0.25">
      <c r="A2563">
        <v>4473</v>
      </c>
      <c r="B2563">
        <v>0</v>
      </c>
    </row>
    <row r="2564" spans="1:2" x14ac:dyDescent="0.25">
      <c r="A2564">
        <v>4474</v>
      </c>
      <c r="B2564">
        <v>0</v>
      </c>
    </row>
    <row r="2565" spans="1:2" x14ac:dyDescent="0.25">
      <c r="A2565">
        <v>4475</v>
      </c>
      <c r="B2565">
        <v>0</v>
      </c>
    </row>
    <row r="2566" spans="1:2" x14ac:dyDescent="0.25">
      <c r="A2566">
        <v>4476</v>
      </c>
      <c r="B2566">
        <v>0</v>
      </c>
    </row>
    <row r="2567" spans="1:2" x14ac:dyDescent="0.25">
      <c r="A2567">
        <v>4477</v>
      </c>
      <c r="B2567">
        <v>0</v>
      </c>
    </row>
    <row r="2568" spans="1:2" x14ac:dyDescent="0.25">
      <c r="A2568">
        <v>4478</v>
      </c>
      <c r="B2568">
        <v>0</v>
      </c>
    </row>
    <row r="2569" spans="1:2" x14ac:dyDescent="0.25">
      <c r="A2569">
        <v>4479</v>
      </c>
      <c r="B2569">
        <v>0</v>
      </c>
    </row>
    <row r="2570" spans="1:2" x14ac:dyDescent="0.25">
      <c r="A2570">
        <v>4480</v>
      </c>
      <c r="B2570">
        <v>0</v>
      </c>
    </row>
    <row r="2571" spans="1:2" x14ac:dyDescent="0.25">
      <c r="A2571">
        <v>4484</v>
      </c>
      <c r="B2571">
        <v>0</v>
      </c>
    </row>
    <row r="2572" spans="1:2" x14ac:dyDescent="0.25">
      <c r="A2572">
        <v>4485</v>
      </c>
      <c r="B2572">
        <v>0</v>
      </c>
    </row>
    <row r="2573" spans="1:2" x14ac:dyDescent="0.25">
      <c r="A2573">
        <v>4486</v>
      </c>
      <c r="B2573">
        <v>0</v>
      </c>
    </row>
    <row r="2574" spans="1:2" x14ac:dyDescent="0.25">
      <c r="A2574">
        <v>4487</v>
      </c>
      <c r="B2574">
        <v>0</v>
      </c>
    </row>
    <row r="2575" spans="1:2" x14ac:dyDescent="0.25">
      <c r="A2575">
        <v>4488</v>
      </c>
      <c r="B2575">
        <v>0</v>
      </c>
    </row>
    <row r="2576" spans="1:2" x14ac:dyDescent="0.25">
      <c r="A2576">
        <v>4489</v>
      </c>
      <c r="B2576">
        <v>0</v>
      </c>
    </row>
    <row r="2577" spans="1:2" x14ac:dyDescent="0.25">
      <c r="A2577">
        <v>4490</v>
      </c>
      <c r="B2577">
        <v>0</v>
      </c>
    </row>
    <row r="2578" spans="1:2" x14ac:dyDescent="0.25">
      <c r="A2578">
        <v>4491</v>
      </c>
      <c r="B2578">
        <v>0</v>
      </c>
    </row>
    <row r="2579" spans="1:2" x14ac:dyDescent="0.25">
      <c r="A2579">
        <v>4492</v>
      </c>
      <c r="B2579">
        <v>0</v>
      </c>
    </row>
    <row r="2580" spans="1:2" x14ac:dyDescent="0.25">
      <c r="A2580">
        <v>4493</v>
      </c>
      <c r="B2580">
        <v>0</v>
      </c>
    </row>
    <row r="2581" spans="1:2" x14ac:dyDescent="0.25">
      <c r="A2581">
        <v>4494</v>
      </c>
      <c r="B2581">
        <v>0</v>
      </c>
    </row>
    <row r="2582" spans="1:2" x14ac:dyDescent="0.25">
      <c r="A2582">
        <v>4495</v>
      </c>
      <c r="B2582">
        <v>0</v>
      </c>
    </row>
    <row r="2583" spans="1:2" x14ac:dyDescent="0.25">
      <c r="A2583">
        <v>4496</v>
      </c>
      <c r="B2583">
        <v>0</v>
      </c>
    </row>
    <row r="2584" spans="1:2" x14ac:dyDescent="0.25">
      <c r="A2584">
        <v>4497</v>
      </c>
      <c r="B2584">
        <v>0</v>
      </c>
    </row>
    <row r="2585" spans="1:2" x14ac:dyDescent="0.25">
      <c r="A2585">
        <v>4499</v>
      </c>
      <c r="B2585">
        <v>0</v>
      </c>
    </row>
    <row r="2586" spans="1:2" x14ac:dyDescent="0.25">
      <c r="A2586">
        <v>4507</v>
      </c>
      <c r="B2586">
        <v>0</v>
      </c>
    </row>
    <row r="2587" spans="1:2" x14ac:dyDescent="0.25">
      <c r="A2587">
        <v>4509</v>
      </c>
      <c r="B2587">
        <v>0</v>
      </c>
    </row>
    <row r="2588" spans="1:2" x14ac:dyDescent="0.25">
      <c r="A2588">
        <v>4516</v>
      </c>
      <c r="B2588">
        <v>0</v>
      </c>
    </row>
    <row r="2589" spans="1:2" x14ac:dyDescent="0.25">
      <c r="A2589">
        <v>4517</v>
      </c>
      <c r="B2589">
        <v>0</v>
      </c>
    </row>
    <row r="2590" spans="1:2" x14ac:dyDescent="0.25">
      <c r="A2590">
        <v>4518</v>
      </c>
      <c r="B2590">
        <v>0</v>
      </c>
    </row>
    <row r="2591" spans="1:2" x14ac:dyDescent="0.25">
      <c r="A2591">
        <v>4519</v>
      </c>
      <c r="B2591">
        <v>0</v>
      </c>
    </row>
    <row r="2592" spans="1:2" x14ac:dyDescent="0.25">
      <c r="A2592">
        <v>4520</v>
      </c>
      <c r="B2592">
        <v>0</v>
      </c>
    </row>
    <row r="2593" spans="1:2" x14ac:dyDescent="0.25">
      <c r="A2593">
        <v>4521</v>
      </c>
      <c r="B2593">
        <v>0</v>
      </c>
    </row>
    <row r="2594" spans="1:2" x14ac:dyDescent="0.25">
      <c r="A2594">
        <v>4522</v>
      </c>
      <c r="B2594">
        <v>0</v>
      </c>
    </row>
    <row r="2595" spans="1:2" x14ac:dyDescent="0.25">
      <c r="A2595">
        <v>4523</v>
      </c>
      <c r="B2595">
        <v>0</v>
      </c>
    </row>
    <row r="2596" spans="1:2" x14ac:dyDescent="0.25">
      <c r="A2596">
        <v>4524</v>
      </c>
      <c r="B2596">
        <v>0</v>
      </c>
    </row>
    <row r="2597" spans="1:2" x14ac:dyDescent="0.25">
      <c r="A2597">
        <v>4525</v>
      </c>
      <c r="B2597">
        <v>0</v>
      </c>
    </row>
    <row r="2598" spans="1:2" x14ac:dyDescent="0.25">
      <c r="A2598">
        <v>4566</v>
      </c>
      <c r="B2598">
        <v>0</v>
      </c>
    </row>
    <row r="2599" spans="1:2" x14ac:dyDescent="0.25">
      <c r="A2599">
        <v>4567</v>
      </c>
      <c r="B2599">
        <v>0</v>
      </c>
    </row>
    <row r="2600" spans="1:2" x14ac:dyDescent="0.25">
      <c r="A2600">
        <v>4568</v>
      </c>
      <c r="B2600">
        <v>0</v>
      </c>
    </row>
    <row r="2601" spans="1:2" x14ac:dyDescent="0.25">
      <c r="A2601">
        <v>4569</v>
      </c>
      <c r="B2601">
        <v>0</v>
      </c>
    </row>
    <row r="2602" spans="1:2" x14ac:dyDescent="0.25">
      <c r="A2602">
        <v>4570</v>
      </c>
      <c r="B2602">
        <v>0</v>
      </c>
    </row>
    <row r="2603" spans="1:2" x14ac:dyDescent="0.25">
      <c r="A2603">
        <v>4571</v>
      </c>
      <c r="B2603">
        <v>0</v>
      </c>
    </row>
    <row r="2604" spans="1:2" x14ac:dyDescent="0.25">
      <c r="A2604">
        <v>4572</v>
      </c>
      <c r="B2604">
        <v>0</v>
      </c>
    </row>
    <row r="2605" spans="1:2" x14ac:dyDescent="0.25">
      <c r="A2605">
        <v>4573</v>
      </c>
      <c r="B2605">
        <v>0</v>
      </c>
    </row>
    <row r="2606" spans="1:2" x14ac:dyDescent="0.25">
      <c r="A2606">
        <v>4574</v>
      </c>
      <c r="B2606">
        <v>0</v>
      </c>
    </row>
    <row r="2607" spans="1:2" x14ac:dyDescent="0.25">
      <c r="A2607">
        <v>4575</v>
      </c>
      <c r="B2607">
        <v>0</v>
      </c>
    </row>
    <row r="2608" spans="1:2" x14ac:dyDescent="0.25">
      <c r="A2608">
        <v>4576</v>
      </c>
      <c r="B2608">
        <v>0</v>
      </c>
    </row>
    <row r="2609" spans="1:2" x14ac:dyDescent="0.25">
      <c r="A2609">
        <v>4577</v>
      </c>
      <c r="B2609">
        <v>0</v>
      </c>
    </row>
    <row r="2610" spans="1:2" x14ac:dyDescent="0.25">
      <c r="A2610">
        <v>4578</v>
      </c>
      <c r="B2610">
        <v>0</v>
      </c>
    </row>
    <row r="2611" spans="1:2" x14ac:dyDescent="0.25">
      <c r="A2611">
        <v>4579</v>
      </c>
      <c r="B2611">
        <v>0</v>
      </c>
    </row>
    <row r="2612" spans="1:2" x14ac:dyDescent="0.25">
      <c r="A2612">
        <v>4584</v>
      </c>
      <c r="B2612">
        <v>0</v>
      </c>
    </row>
    <row r="2613" spans="1:2" x14ac:dyDescent="0.25">
      <c r="A2613">
        <v>4585</v>
      </c>
      <c r="B2613">
        <v>0</v>
      </c>
    </row>
    <row r="2614" spans="1:2" x14ac:dyDescent="0.25">
      <c r="A2614">
        <v>4586</v>
      </c>
      <c r="B2614">
        <v>0</v>
      </c>
    </row>
    <row r="2615" spans="1:2" x14ac:dyDescent="0.25">
      <c r="A2615">
        <v>4587</v>
      </c>
      <c r="B2615">
        <v>0</v>
      </c>
    </row>
    <row r="2616" spans="1:2" x14ac:dyDescent="0.25">
      <c r="A2616">
        <v>4588</v>
      </c>
      <c r="B2616">
        <v>0</v>
      </c>
    </row>
    <row r="2617" spans="1:2" x14ac:dyDescent="0.25">
      <c r="A2617">
        <v>4589</v>
      </c>
      <c r="B2617">
        <v>0</v>
      </c>
    </row>
    <row r="2618" spans="1:2" x14ac:dyDescent="0.25">
      <c r="A2618">
        <v>4590</v>
      </c>
      <c r="B2618">
        <v>0</v>
      </c>
    </row>
    <row r="2619" spans="1:2" x14ac:dyDescent="0.25">
      <c r="A2619">
        <v>4591</v>
      </c>
      <c r="B2619">
        <v>0</v>
      </c>
    </row>
    <row r="2620" spans="1:2" x14ac:dyDescent="0.25">
      <c r="A2620">
        <v>4592</v>
      </c>
      <c r="B2620">
        <v>0</v>
      </c>
    </row>
    <row r="2621" spans="1:2" x14ac:dyDescent="0.25">
      <c r="A2621">
        <v>4593</v>
      </c>
      <c r="B2621">
        <v>0</v>
      </c>
    </row>
    <row r="2622" spans="1:2" x14ac:dyDescent="0.25">
      <c r="A2622">
        <v>4594</v>
      </c>
      <c r="B2622">
        <v>0</v>
      </c>
    </row>
    <row r="2623" spans="1:2" x14ac:dyDescent="0.25">
      <c r="A2623">
        <v>4596</v>
      </c>
      <c r="B2623">
        <v>0</v>
      </c>
    </row>
    <row r="2624" spans="1:2" x14ac:dyDescent="0.25">
      <c r="A2624">
        <v>4598</v>
      </c>
      <c r="B2624">
        <v>0</v>
      </c>
    </row>
    <row r="2625" spans="1:2" x14ac:dyDescent="0.25">
      <c r="A2625">
        <v>4623</v>
      </c>
      <c r="B2625">
        <v>0</v>
      </c>
    </row>
    <row r="2626" spans="1:2" x14ac:dyDescent="0.25">
      <c r="A2626">
        <v>4626</v>
      </c>
      <c r="B2626">
        <v>0</v>
      </c>
    </row>
    <row r="2627" spans="1:2" x14ac:dyDescent="0.25">
      <c r="A2627">
        <v>4627</v>
      </c>
      <c r="B2627">
        <v>0</v>
      </c>
    </row>
    <row r="2628" spans="1:2" x14ac:dyDescent="0.25">
      <c r="A2628">
        <v>4628</v>
      </c>
      <c r="B2628">
        <v>0</v>
      </c>
    </row>
    <row r="2629" spans="1:2" x14ac:dyDescent="0.25">
      <c r="A2629">
        <v>4629</v>
      </c>
      <c r="B2629">
        <v>0</v>
      </c>
    </row>
    <row r="2630" spans="1:2" x14ac:dyDescent="0.25">
      <c r="A2630">
        <v>4630</v>
      </c>
      <c r="B2630">
        <v>0</v>
      </c>
    </row>
    <row r="2631" spans="1:2" x14ac:dyDescent="0.25">
      <c r="A2631">
        <v>4631</v>
      </c>
      <c r="B2631">
        <v>0</v>
      </c>
    </row>
    <row r="2632" spans="1:2" x14ac:dyDescent="0.25">
      <c r="A2632">
        <v>4632</v>
      </c>
      <c r="B2632">
        <v>0</v>
      </c>
    </row>
    <row r="2633" spans="1:2" x14ac:dyDescent="0.25">
      <c r="A2633">
        <v>4633</v>
      </c>
      <c r="B2633">
        <v>0</v>
      </c>
    </row>
    <row r="2634" spans="1:2" x14ac:dyDescent="0.25">
      <c r="A2634">
        <v>4634</v>
      </c>
      <c r="B2634">
        <v>0</v>
      </c>
    </row>
    <row r="2635" spans="1:2" x14ac:dyDescent="0.25">
      <c r="A2635">
        <v>4635</v>
      </c>
      <c r="B2635">
        <v>0</v>
      </c>
    </row>
    <row r="2636" spans="1:2" x14ac:dyDescent="0.25">
      <c r="A2636">
        <v>4636</v>
      </c>
      <c r="B2636">
        <v>0</v>
      </c>
    </row>
    <row r="2637" spans="1:2" x14ac:dyDescent="0.25">
      <c r="A2637">
        <v>4637</v>
      </c>
      <c r="B2637">
        <v>0</v>
      </c>
    </row>
    <row r="2638" spans="1:2" x14ac:dyDescent="0.25">
      <c r="A2638">
        <v>4638</v>
      </c>
      <c r="B2638">
        <v>0</v>
      </c>
    </row>
    <row r="2639" spans="1:2" x14ac:dyDescent="0.25">
      <c r="A2639">
        <v>4639</v>
      </c>
      <c r="B2639">
        <v>0</v>
      </c>
    </row>
    <row r="2640" spans="1:2" x14ac:dyDescent="0.25">
      <c r="A2640">
        <v>4640</v>
      </c>
      <c r="B2640">
        <v>0</v>
      </c>
    </row>
    <row r="2641" spans="1:2" x14ac:dyDescent="0.25">
      <c r="A2641">
        <v>4641</v>
      </c>
      <c r="B2641">
        <v>0</v>
      </c>
    </row>
    <row r="2642" spans="1:2" x14ac:dyDescent="0.25">
      <c r="A2642">
        <v>4642</v>
      </c>
      <c r="B2642">
        <v>0</v>
      </c>
    </row>
    <row r="2643" spans="1:2" x14ac:dyDescent="0.25">
      <c r="A2643">
        <v>4643</v>
      </c>
      <c r="B2643">
        <v>0</v>
      </c>
    </row>
    <row r="2644" spans="1:2" x14ac:dyDescent="0.25">
      <c r="A2644">
        <v>4644</v>
      </c>
      <c r="B2644">
        <v>0</v>
      </c>
    </row>
    <row r="2645" spans="1:2" x14ac:dyDescent="0.25">
      <c r="A2645">
        <v>4645</v>
      </c>
      <c r="B2645">
        <v>0</v>
      </c>
    </row>
    <row r="2646" spans="1:2" x14ac:dyDescent="0.25">
      <c r="A2646">
        <v>4646</v>
      </c>
      <c r="B2646">
        <v>0</v>
      </c>
    </row>
    <row r="2647" spans="1:2" x14ac:dyDescent="0.25">
      <c r="A2647">
        <v>4647</v>
      </c>
      <c r="B2647">
        <v>0</v>
      </c>
    </row>
    <row r="2648" spans="1:2" x14ac:dyDescent="0.25">
      <c r="A2648">
        <v>4658</v>
      </c>
      <c r="B2648">
        <v>0</v>
      </c>
    </row>
    <row r="2649" spans="1:2" x14ac:dyDescent="0.25">
      <c r="A2649">
        <v>4660</v>
      </c>
      <c r="B2649">
        <v>0</v>
      </c>
    </row>
    <row r="2650" spans="1:2" x14ac:dyDescent="0.25">
      <c r="A2650">
        <v>4662</v>
      </c>
      <c r="B2650">
        <v>0</v>
      </c>
    </row>
    <row r="2651" spans="1:2" x14ac:dyDescent="0.25">
      <c r="A2651">
        <v>4669</v>
      </c>
      <c r="B2651">
        <v>0</v>
      </c>
    </row>
    <row r="2652" spans="1:2" x14ac:dyDescent="0.25">
      <c r="A2652">
        <v>4670</v>
      </c>
      <c r="B2652">
        <v>0</v>
      </c>
    </row>
    <row r="2653" spans="1:2" x14ac:dyDescent="0.25">
      <c r="A2653">
        <v>4675</v>
      </c>
      <c r="B2653">
        <v>0</v>
      </c>
    </row>
    <row r="2654" spans="1:2" x14ac:dyDescent="0.25">
      <c r="A2654">
        <v>4678</v>
      </c>
      <c r="B2654">
        <v>0</v>
      </c>
    </row>
    <row r="2655" spans="1:2" x14ac:dyDescent="0.25">
      <c r="A2655">
        <v>4679</v>
      </c>
      <c r="B2655">
        <v>0</v>
      </c>
    </row>
    <row r="2656" spans="1:2" x14ac:dyDescent="0.25">
      <c r="A2656">
        <v>4694</v>
      </c>
      <c r="B2656">
        <v>0</v>
      </c>
    </row>
    <row r="2657" spans="1:2" x14ac:dyDescent="0.25">
      <c r="A2657">
        <v>4695</v>
      </c>
      <c r="B2657">
        <v>0</v>
      </c>
    </row>
    <row r="2658" spans="1:2" x14ac:dyDescent="0.25">
      <c r="A2658">
        <v>4697</v>
      </c>
      <c r="B2658">
        <v>0</v>
      </c>
    </row>
    <row r="2659" spans="1:2" x14ac:dyDescent="0.25">
      <c r="A2659">
        <v>4698</v>
      </c>
      <c r="B2659">
        <v>0</v>
      </c>
    </row>
    <row r="2660" spans="1:2" x14ac:dyDescent="0.25">
      <c r="A2660">
        <v>4699</v>
      </c>
      <c r="B2660">
        <v>0</v>
      </c>
    </row>
    <row r="2661" spans="1:2" x14ac:dyDescent="0.25">
      <c r="A2661">
        <v>4700</v>
      </c>
      <c r="B2661">
        <v>0</v>
      </c>
    </row>
    <row r="2662" spans="1:2" x14ac:dyDescent="0.25">
      <c r="A2662">
        <v>4701</v>
      </c>
      <c r="B2662">
        <v>0</v>
      </c>
    </row>
    <row r="2663" spans="1:2" x14ac:dyDescent="0.25">
      <c r="A2663">
        <v>4702</v>
      </c>
      <c r="B2663">
        <v>0</v>
      </c>
    </row>
    <row r="2664" spans="1:2" x14ac:dyDescent="0.25">
      <c r="A2664">
        <v>4703</v>
      </c>
      <c r="B2664">
        <v>0</v>
      </c>
    </row>
    <row r="2665" spans="1:2" x14ac:dyDescent="0.25">
      <c r="A2665">
        <v>4704</v>
      </c>
      <c r="B2665">
        <v>0</v>
      </c>
    </row>
    <row r="2666" spans="1:2" x14ac:dyDescent="0.25">
      <c r="A2666">
        <v>4705</v>
      </c>
      <c r="B2666">
        <v>0</v>
      </c>
    </row>
    <row r="2667" spans="1:2" x14ac:dyDescent="0.25">
      <c r="A2667">
        <v>4709</v>
      </c>
      <c r="B2667">
        <v>0</v>
      </c>
    </row>
    <row r="2668" spans="1:2" x14ac:dyDescent="0.25">
      <c r="A2668">
        <v>4710</v>
      </c>
      <c r="B2668">
        <v>0</v>
      </c>
    </row>
    <row r="2669" spans="1:2" x14ac:dyDescent="0.25">
      <c r="A2669">
        <v>4711</v>
      </c>
      <c r="B2669">
        <v>0</v>
      </c>
    </row>
    <row r="2670" spans="1:2" x14ac:dyDescent="0.25">
      <c r="A2670">
        <v>4712</v>
      </c>
      <c r="B2670">
        <v>0</v>
      </c>
    </row>
    <row r="2671" spans="1:2" x14ac:dyDescent="0.25">
      <c r="A2671">
        <v>4713</v>
      </c>
      <c r="B2671">
        <v>0</v>
      </c>
    </row>
    <row r="2672" spans="1:2" x14ac:dyDescent="0.25">
      <c r="A2672">
        <v>4714</v>
      </c>
      <c r="B2672">
        <v>0</v>
      </c>
    </row>
    <row r="2673" spans="1:2" x14ac:dyDescent="0.25">
      <c r="A2673">
        <v>4715</v>
      </c>
      <c r="B2673">
        <v>0</v>
      </c>
    </row>
    <row r="2674" spans="1:2" x14ac:dyDescent="0.25">
      <c r="A2674">
        <v>4716</v>
      </c>
      <c r="B2674">
        <v>0</v>
      </c>
    </row>
    <row r="2675" spans="1:2" x14ac:dyDescent="0.25">
      <c r="A2675">
        <v>4717</v>
      </c>
      <c r="B2675">
        <v>0</v>
      </c>
    </row>
    <row r="2676" spans="1:2" x14ac:dyDescent="0.25">
      <c r="A2676">
        <v>4718</v>
      </c>
      <c r="B2676">
        <v>0</v>
      </c>
    </row>
    <row r="2677" spans="1:2" x14ac:dyDescent="0.25">
      <c r="A2677">
        <v>4719</v>
      </c>
      <c r="B2677">
        <v>0</v>
      </c>
    </row>
    <row r="2678" spans="1:2" x14ac:dyDescent="0.25">
      <c r="A2678">
        <v>4720</v>
      </c>
      <c r="B2678">
        <v>0</v>
      </c>
    </row>
    <row r="2679" spans="1:2" x14ac:dyDescent="0.25">
      <c r="A2679">
        <v>4721</v>
      </c>
      <c r="B2679">
        <v>0</v>
      </c>
    </row>
    <row r="2680" spans="1:2" x14ac:dyDescent="0.25">
      <c r="A2680">
        <v>4722</v>
      </c>
      <c r="B2680">
        <v>0</v>
      </c>
    </row>
    <row r="2681" spans="1:2" x14ac:dyDescent="0.25">
      <c r="A2681">
        <v>4724</v>
      </c>
      <c r="B2681">
        <v>0</v>
      </c>
    </row>
    <row r="2682" spans="1:2" x14ac:dyDescent="0.25">
      <c r="A2682">
        <v>4726</v>
      </c>
      <c r="B2682">
        <v>0</v>
      </c>
    </row>
    <row r="2683" spans="1:2" x14ac:dyDescent="0.25">
      <c r="A2683">
        <v>4728</v>
      </c>
      <c r="B2683">
        <v>0</v>
      </c>
    </row>
    <row r="2684" spans="1:2" x14ac:dyDescent="0.25">
      <c r="A2684">
        <v>4730</v>
      </c>
      <c r="B2684">
        <v>0</v>
      </c>
    </row>
    <row r="2685" spans="1:2" x14ac:dyDescent="0.25">
      <c r="A2685">
        <v>4742</v>
      </c>
      <c r="B2685">
        <v>0</v>
      </c>
    </row>
    <row r="2686" spans="1:2" x14ac:dyDescent="0.25">
      <c r="A2686">
        <v>4744</v>
      </c>
      <c r="B2686">
        <v>0</v>
      </c>
    </row>
    <row r="2687" spans="1:2" x14ac:dyDescent="0.25">
      <c r="A2687">
        <v>4745</v>
      </c>
      <c r="B2687">
        <v>0</v>
      </c>
    </row>
    <row r="2688" spans="1:2" x14ac:dyDescent="0.25">
      <c r="A2688">
        <v>4746</v>
      </c>
      <c r="B2688">
        <v>0</v>
      </c>
    </row>
    <row r="2689" spans="1:2" x14ac:dyDescent="0.25">
      <c r="A2689">
        <v>4747</v>
      </c>
      <c r="B2689">
        <v>0</v>
      </c>
    </row>
    <row r="2690" spans="1:2" x14ac:dyDescent="0.25">
      <c r="A2690">
        <v>4748</v>
      </c>
      <c r="B2690">
        <v>0</v>
      </c>
    </row>
    <row r="2691" spans="1:2" x14ac:dyDescent="0.25">
      <c r="A2691">
        <v>4749</v>
      </c>
      <c r="B2691">
        <v>0</v>
      </c>
    </row>
    <row r="2692" spans="1:2" x14ac:dyDescent="0.25">
      <c r="A2692">
        <v>4750</v>
      </c>
      <c r="B2692">
        <v>0</v>
      </c>
    </row>
    <row r="2693" spans="1:2" x14ac:dyDescent="0.25">
      <c r="A2693">
        <v>4751</v>
      </c>
      <c r="B2693">
        <v>0</v>
      </c>
    </row>
    <row r="2694" spans="1:2" x14ac:dyDescent="0.25">
      <c r="A2694">
        <v>4752</v>
      </c>
      <c r="B2694">
        <v>0</v>
      </c>
    </row>
    <row r="2695" spans="1:2" x14ac:dyDescent="0.25">
      <c r="A2695">
        <v>4753</v>
      </c>
      <c r="B2695">
        <v>0</v>
      </c>
    </row>
    <row r="2696" spans="1:2" x14ac:dyDescent="0.25">
      <c r="A2696">
        <v>4754</v>
      </c>
      <c r="B2696">
        <v>0</v>
      </c>
    </row>
    <row r="2697" spans="1:2" x14ac:dyDescent="0.25">
      <c r="A2697">
        <v>4755</v>
      </c>
      <c r="B2697">
        <v>0</v>
      </c>
    </row>
    <row r="2698" spans="1:2" x14ac:dyDescent="0.25">
      <c r="A2698">
        <v>4756</v>
      </c>
      <c r="B2698">
        <v>0</v>
      </c>
    </row>
    <row r="2699" spans="1:2" x14ac:dyDescent="0.25">
      <c r="A2699">
        <v>4757</v>
      </c>
      <c r="B2699">
        <v>0</v>
      </c>
    </row>
    <row r="2700" spans="1:2" x14ac:dyDescent="0.25">
      <c r="A2700">
        <v>4758</v>
      </c>
      <c r="B2700">
        <v>0</v>
      </c>
    </row>
    <row r="2701" spans="1:2" x14ac:dyDescent="0.25">
      <c r="A2701">
        <v>4759</v>
      </c>
      <c r="B2701">
        <v>0</v>
      </c>
    </row>
    <row r="2702" spans="1:2" x14ac:dyDescent="0.25">
      <c r="A2702">
        <v>4760</v>
      </c>
      <c r="B2702">
        <v>0</v>
      </c>
    </row>
    <row r="2703" spans="1:2" x14ac:dyDescent="0.25">
      <c r="A2703">
        <v>4761</v>
      </c>
      <c r="B2703">
        <v>0</v>
      </c>
    </row>
    <row r="2704" spans="1:2" x14ac:dyDescent="0.25">
      <c r="A2704">
        <v>4762</v>
      </c>
      <c r="B2704">
        <v>0</v>
      </c>
    </row>
    <row r="2705" spans="1:2" x14ac:dyDescent="0.25">
      <c r="A2705">
        <v>4763</v>
      </c>
      <c r="B2705">
        <v>0</v>
      </c>
    </row>
    <row r="2706" spans="1:2" x14ac:dyDescent="0.25">
      <c r="A2706">
        <v>4764</v>
      </c>
      <c r="B2706">
        <v>0</v>
      </c>
    </row>
    <row r="2707" spans="1:2" x14ac:dyDescent="0.25">
      <c r="A2707">
        <v>4765</v>
      </c>
      <c r="B2707">
        <v>0</v>
      </c>
    </row>
    <row r="2708" spans="1:2" x14ac:dyDescent="0.25">
      <c r="A2708">
        <v>4766</v>
      </c>
      <c r="B2708">
        <v>0</v>
      </c>
    </row>
    <row r="2709" spans="1:2" x14ac:dyDescent="0.25">
      <c r="A2709">
        <v>4767</v>
      </c>
      <c r="B2709">
        <v>0</v>
      </c>
    </row>
    <row r="2710" spans="1:2" x14ac:dyDescent="0.25">
      <c r="A2710">
        <v>4768</v>
      </c>
      <c r="B2710">
        <v>0</v>
      </c>
    </row>
    <row r="2711" spans="1:2" x14ac:dyDescent="0.25">
      <c r="A2711">
        <v>4769</v>
      </c>
      <c r="B2711">
        <v>0</v>
      </c>
    </row>
    <row r="2712" spans="1:2" x14ac:dyDescent="0.25">
      <c r="A2712">
        <v>4770</v>
      </c>
      <c r="B2712">
        <v>0</v>
      </c>
    </row>
    <row r="2713" spans="1:2" x14ac:dyDescent="0.25">
      <c r="A2713">
        <v>4771</v>
      </c>
      <c r="B2713">
        <v>0</v>
      </c>
    </row>
    <row r="2714" spans="1:2" x14ac:dyDescent="0.25">
      <c r="A2714">
        <v>4772</v>
      </c>
      <c r="B2714">
        <v>0</v>
      </c>
    </row>
    <row r="2715" spans="1:2" x14ac:dyDescent="0.25">
      <c r="A2715">
        <v>4773</v>
      </c>
      <c r="B2715">
        <v>0</v>
      </c>
    </row>
    <row r="2716" spans="1:2" x14ac:dyDescent="0.25">
      <c r="A2716">
        <v>4774</v>
      </c>
      <c r="B2716">
        <v>0</v>
      </c>
    </row>
    <row r="2717" spans="1:2" x14ac:dyDescent="0.25">
      <c r="A2717">
        <v>4775</v>
      </c>
      <c r="B2717">
        <v>0</v>
      </c>
    </row>
    <row r="2718" spans="1:2" x14ac:dyDescent="0.25">
      <c r="A2718">
        <v>4776</v>
      </c>
      <c r="B2718">
        <v>0</v>
      </c>
    </row>
    <row r="2719" spans="1:2" x14ac:dyDescent="0.25">
      <c r="A2719">
        <v>4777</v>
      </c>
      <c r="B2719">
        <v>0</v>
      </c>
    </row>
    <row r="2720" spans="1:2" x14ac:dyDescent="0.25">
      <c r="A2720">
        <v>4778</v>
      </c>
      <c r="B2720">
        <v>0</v>
      </c>
    </row>
    <row r="2721" spans="1:2" x14ac:dyDescent="0.25">
      <c r="A2721">
        <v>4779</v>
      </c>
      <c r="B2721">
        <v>0</v>
      </c>
    </row>
    <row r="2722" spans="1:2" x14ac:dyDescent="0.25">
      <c r="A2722">
        <v>4780</v>
      </c>
      <c r="B2722">
        <v>0</v>
      </c>
    </row>
    <row r="2723" spans="1:2" x14ac:dyDescent="0.25">
      <c r="A2723">
        <v>4805</v>
      </c>
      <c r="B2723">
        <v>0</v>
      </c>
    </row>
    <row r="2724" spans="1:2" x14ac:dyDescent="0.25">
      <c r="A2724">
        <v>4806</v>
      </c>
      <c r="B2724">
        <v>0</v>
      </c>
    </row>
    <row r="2725" spans="1:2" x14ac:dyDescent="0.25">
      <c r="A2725">
        <v>4807</v>
      </c>
      <c r="B2725">
        <v>0</v>
      </c>
    </row>
    <row r="2726" spans="1:2" x14ac:dyDescent="0.25">
      <c r="A2726">
        <v>4808</v>
      </c>
      <c r="B2726">
        <v>0</v>
      </c>
    </row>
    <row r="2727" spans="1:2" x14ac:dyDescent="0.25">
      <c r="A2727">
        <v>4809</v>
      </c>
      <c r="B2727">
        <v>0</v>
      </c>
    </row>
    <row r="2728" spans="1:2" x14ac:dyDescent="0.25">
      <c r="A2728">
        <v>4810</v>
      </c>
      <c r="B2728">
        <v>0</v>
      </c>
    </row>
    <row r="2729" spans="1:2" x14ac:dyDescent="0.25">
      <c r="A2729">
        <v>4811</v>
      </c>
      <c r="B2729">
        <v>0</v>
      </c>
    </row>
    <row r="2730" spans="1:2" x14ac:dyDescent="0.25">
      <c r="A2730">
        <v>4812</v>
      </c>
      <c r="B2730">
        <v>0</v>
      </c>
    </row>
    <row r="2731" spans="1:2" x14ac:dyDescent="0.25">
      <c r="A2731">
        <v>4813</v>
      </c>
      <c r="B2731">
        <v>0</v>
      </c>
    </row>
    <row r="2732" spans="1:2" x14ac:dyDescent="0.25">
      <c r="A2732">
        <v>4814</v>
      </c>
      <c r="B2732">
        <v>0</v>
      </c>
    </row>
    <row r="2733" spans="1:2" x14ac:dyDescent="0.25">
      <c r="A2733">
        <v>4815</v>
      </c>
      <c r="B2733">
        <v>0</v>
      </c>
    </row>
    <row r="2734" spans="1:2" x14ac:dyDescent="0.25">
      <c r="A2734">
        <v>4816</v>
      </c>
      <c r="B2734">
        <v>0</v>
      </c>
    </row>
    <row r="2735" spans="1:2" x14ac:dyDescent="0.25">
      <c r="A2735">
        <v>4817</v>
      </c>
      <c r="B2735">
        <v>0</v>
      </c>
    </row>
    <row r="2736" spans="1:2" x14ac:dyDescent="0.25">
      <c r="A2736">
        <v>4818</v>
      </c>
      <c r="B2736">
        <v>0</v>
      </c>
    </row>
    <row r="2737" spans="1:2" x14ac:dyDescent="0.25">
      <c r="A2737">
        <v>4819</v>
      </c>
      <c r="B2737">
        <v>0</v>
      </c>
    </row>
    <row r="2738" spans="1:2" x14ac:dyDescent="0.25">
      <c r="A2738">
        <v>4820</v>
      </c>
      <c r="B2738">
        <v>0</v>
      </c>
    </row>
    <row r="2739" spans="1:2" x14ac:dyDescent="0.25">
      <c r="A2739">
        <v>4821</v>
      </c>
      <c r="B2739">
        <v>0</v>
      </c>
    </row>
    <row r="2740" spans="1:2" x14ac:dyDescent="0.25">
      <c r="A2740">
        <v>4822</v>
      </c>
      <c r="B2740">
        <v>0</v>
      </c>
    </row>
    <row r="2741" spans="1:2" x14ac:dyDescent="0.25">
      <c r="A2741">
        <v>4823</v>
      </c>
      <c r="B2741">
        <v>0</v>
      </c>
    </row>
    <row r="2742" spans="1:2" x14ac:dyDescent="0.25">
      <c r="A2742">
        <v>4824</v>
      </c>
      <c r="B2742">
        <v>0</v>
      </c>
    </row>
    <row r="2743" spans="1:2" x14ac:dyDescent="0.25">
      <c r="A2743">
        <v>4825</v>
      </c>
      <c r="B2743">
        <v>0</v>
      </c>
    </row>
    <row r="2744" spans="1:2" x14ac:dyDescent="0.25">
      <c r="A2744">
        <v>4826</v>
      </c>
      <c r="B2744">
        <v>0</v>
      </c>
    </row>
    <row r="2745" spans="1:2" x14ac:dyDescent="0.25">
      <c r="A2745">
        <v>4827</v>
      </c>
      <c r="B2745">
        <v>0</v>
      </c>
    </row>
    <row r="2746" spans="1:2" x14ac:dyDescent="0.25">
      <c r="A2746">
        <v>4828</v>
      </c>
      <c r="B2746">
        <v>0</v>
      </c>
    </row>
    <row r="2747" spans="1:2" x14ac:dyDescent="0.25">
      <c r="A2747">
        <v>4829</v>
      </c>
      <c r="B2747">
        <v>0</v>
      </c>
    </row>
    <row r="2748" spans="1:2" x14ac:dyDescent="0.25">
      <c r="A2748">
        <v>4830</v>
      </c>
      <c r="B2748">
        <v>0</v>
      </c>
    </row>
    <row r="2749" spans="1:2" x14ac:dyDescent="0.25">
      <c r="A2749">
        <v>4831</v>
      </c>
      <c r="B2749">
        <v>0</v>
      </c>
    </row>
    <row r="2750" spans="1:2" x14ac:dyDescent="0.25">
      <c r="A2750">
        <v>4832</v>
      </c>
      <c r="B2750">
        <v>0</v>
      </c>
    </row>
    <row r="2751" spans="1:2" x14ac:dyDescent="0.25">
      <c r="A2751">
        <v>4833</v>
      </c>
      <c r="B2751">
        <v>0</v>
      </c>
    </row>
    <row r="2752" spans="1:2" x14ac:dyDescent="0.25">
      <c r="A2752">
        <v>4834</v>
      </c>
      <c r="B2752">
        <v>0</v>
      </c>
    </row>
    <row r="2753" spans="1:2" x14ac:dyDescent="0.25">
      <c r="A2753">
        <v>4835</v>
      </c>
      <c r="B2753">
        <v>0</v>
      </c>
    </row>
    <row r="2754" spans="1:2" x14ac:dyDescent="0.25">
      <c r="A2754">
        <v>4836</v>
      </c>
      <c r="B2754">
        <v>0</v>
      </c>
    </row>
    <row r="2755" spans="1:2" x14ac:dyDescent="0.25">
      <c r="A2755">
        <v>4857</v>
      </c>
      <c r="B2755">
        <v>0</v>
      </c>
    </row>
    <row r="2756" spans="1:2" x14ac:dyDescent="0.25">
      <c r="A2756">
        <v>4858</v>
      </c>
      <c r="B2756">
        <v>0</v>
      </c>
    </row>
    <row r="2757" spans="1:2" x14ac:dyDescent="0.25">
      <c r="A2757">
        <v>4863</v>
      </c>
      <c r="B2757">
        <v>0</v>
      </c>
    </row>
    <row r="2758" spans="1:2" x14ac:dyDescent="0.25">
      <c r="A2758">
        <v>4864</v>
      </c>
      <c r="B2758">
        <v>0</v>
      </c>
    </row>
    <row r="2759" spans="1:2" x14ac:dyDescent="0.25">
      <c r="A2759">
        <v>4865</v>
      </c>
      <c r="B2759">
        <v>0</v>
      </c>
    </row>
    <row r="2760" spans="1:2" x14ac:dyDescent="0.25">
      <c r="A2760">
        <v>4867</v>
      </c>
      <c r="B2760">
        <v>0</v>
      </c>
    </row>
    <row r="2761" spans="1:2" x14ac:dyDescent="0.25">
      <c r="A2761">
        <v>4868</v>
      </c>
      <c r="B2761">
        <v>0</v>
      </c>
    </row>
    <row r="2762" spans="1:2" x14ac:dyDescent="0.25">
      <c r="A2762">
        <v>4869</v>
      </c>
      <c r="B2762">
        <v>0</v>
      </c>
    </row>
    <row r="2763" spans="1:2" x14ac:dyDescent="0.25">
      <c r="A2763">
        <v>4873</v>
      </c>
      <c r="B2763">
        <v>0</v>
      </c>
    </row>
    <row r="2764" spans="1:2" x14ac:dyDescent="0.25">
      <c r="A2764">
        <v>4874</v>
      </c>
      <c r="B2764">
        <v>0</v>
      </c>
    </row>
    <row r="2765" spans="1:2" x14ac:dyDescent="0.25">
      <c r="A2765">
        <v>4875</v>
      </c>
      <c r="B2765">
        <v>0</v>
      </c>
    </row>
    <row r="2766" spans="1:2" x14ac:dyDescent="0.25">
      <c r="A2766">
        <v>4879</v>
      </c>
      <c r="B2766">
        <v>0</v>
      </c>
    </row>
    <row r="2767" spans="1:2" x14ac:dyDescent="0.25">
      <c r="A2767">
        <v>4880</v>
      </c>
      <c r="B2767">
        <v>0</v>
      </c>
    </row>
    <row r="2768" spans="1:2" x14ac:dyDescent="0.25">
      <c r="A2768">
        <v>4881</v>
      </c>
      <c r="B2768">
        <v>0</v>
      </c>
    </row>
    <row r="2769" spans="1:2" x14ac:dyDescent="0.25">
      <c r="A2769">
        <v>4882</v>
      </c>
      <c r="B2769">
        <v>0</v>
      </c>
    </row>
    <row r="2770" spans="1:2" x14ac:dyDescent="0.25">
      <c r="A2770">
        <v>4883</v>
      </c>
      <c r="B2770">
        <v>0</v>
      </c>
    </row>
    <row r="2771" spans="1:2" x14ac:dyDescent="0.25">
      <c r="A2771">
        <v>4884</v>
      </c>
      <c r="B2771">
        <v>0</v>
      </c>
    </row>
    <row r="2772" spans="1:2" x14ac:dyDescent="0.25">
      <c r="A2772">
        <v>4889</v>
      </c>
      <c r="B2772">
        <v>0</v>
      </c>
    </row>
    <row r="2773" spans="1:2" x14ac:dyDescent="0.25">
      <c r="A2773">
        <v>4896</v>
      </c>
      <c r="B2773">
        <v>0</v>
      </c>
    </row>
    <row r="2774" spans="1:2" x14ac:dyDescent="0.25">
      <c r="A2774">
        <v>4897</v>
      </c>
      <c r="B2774">
        <v>0</v>
      </c>
    </row>
    <row r="2775" spans="1:2" x14ac:dyDescent="0.25">
      <c r="A2775">
        <v>4898</v>
      </c>
      <c r="B2775">
        <v>0</v>
      </c>
    </row>
    <row r="2776" spans="1:2" x14ac:dyDescent="0.25">
      <c r="A2776">
        <v>4899</v>
      </c>
      <c r="B2776">
        <v>0</v>
      </c>
    </row>
    <row r="2777" spans="1:2" x14ac:dyDescent="0.25">
      <c r="A2777">
        <v>4900</v>
      </c>
      <c r="B2777">
        <v>0</v>
      </c>
    </row>
    <row r="2778" spans="1:2" x14ac:dyDescent="0.25">
      <c r="A2778">
        <v>4901</v>
      </c>
      <c r="B2778">
        <v>0</v>
      </c>
    </row>
    <row r="2779" spans="1:2" x14ac:dyDescent="0.25">
      <c r="A2779">
        <v>4902</v>
      </c>
      <c r="B2779">
        <v>0</v>
      </c>
    </row>
    <row r="2780" spans="1:2" x14ac:dyDescent="0.25">
      <c r="A2780">
        <v>4903</v>
      </c>
      <c r="B2780">
        <v>0</v>
      </c>
    </row>
    <row r="2781" spans="1:2" x14ac:dyDescent="0.25">
      <c r="A2781">
        <v>4904</v>
      </c>
      <c r="B2781">
        <v>0</v>
      </c>
    </row>
    <row r="2782" spans="1:2" x14ac:dyDescent="0.25">
      <c r="A2782">
        <v>4910</v>
      </c>
      <c r="B2782">
        <v>0</v>
      </c>
    </row>
    <row r="2783" spans="1:2" x14ac:dyDescent="0.25">
      <c r="A2783">
        <v>4943</v>
      </c>
      <c r="B2783">
        <v>0</v>
      </c>
    </row>
    <row r="2784" spans="1:2" x14ac:dyDescent="0.25">
      <c r="A2784">
        <v>4945</v>
      </c>
      <c r="B2784">
        <v>0</v>
      </c>
    </row>
    <row r="2785" spans="1:2" x14ac:dyDescent="0.25">
      <c r="A2785">
        <v>4946</v>
      </c>
      <c r="B2785">
        <v>0</v>
      </c>
    </row>
    <row r="2786" spans="1:2" x14ac:dyDescent="0.25">
      <c r="A2786">
        <v>4947</v>
      </c>
      <c r="B2786">
        <v>0</v>
      </c>
    </row>
    <row r="2787" spans="1:2" x14ac:dyDescent="0.25">
      <c r="A2787">
        <v>4948</v>
      </c>
      <c r="B2787">
        <v>0</v>
      </c>
    </row>
    <row r="2788" spans="1:2" x14ac:dyDescent="0.25">
      <c r="A2788">
        <v>4949</v>
      </c>
      <c r="B2788">
        <v>0</v>
      </c>
    </row>
    <row r="2789" spans="1:2" x14ac:dyDescent="0.25">
      <c r="A2789">
        <v>4956</v>
      </c>
      <c r="B2789">
        <v>0</v>
      </c>
    </row>
    <row r="2790" spans="1:2" x14ac:dyDescent="0.25">
      <c r="A2790">
        <v>4957</v>
      </c>
      <c r="B2790">
        <v>0</v>
      </c>
    </row>
    <row r="2791" spans="1:2" x14ac:dyDescent="0.25">
      <c r="A2791">
        <v>4958</v>
      </c>
      <c r="B2791">
        <v>0</v>
      </c>
    </row>
    <row r="2792" spans="1:2" x14ac:dyDescent="0.25">
      <c r="A2792">
        <v>4959</v>
      </c>
      <c r="B2792">
        <v>0</v>
      </c>
    </row>
    <row r="2793" spans="1:2" x14ac:dyDescent="0.25">
      <c r="A2793">
        <v>4960</v>
      </c>
      <c r="B2793">
        <v>0</v>
      </c>
    </row>
    <row r="2794" spans="1:2" x14ac:dyDescent="0.25">
      <c r="A2794">
        <v>4961</v>
      </c>
      <c r="B2794">
        <v>0</v>
      </c>
    </row>
    <row r="2795" spans="1:2" x14ac:dyDescent="0.25">
      <c r="A2795">
        <v>4963</v>
      </c>
      <c r="B2795">
        <v>0</v>
      </c>
    </row>
    <row r="2796" spans="1:2" x14ac:dyDescent="0.25">
      <c r="A2796">
        <v>4965</v>
      </c>
      <c r="B2796">
        <v>0</v>
      </c>
    </row>
    <row r="2797" spans="1:2" x14ac:dyDescent="0.25">
      <c r="A2797">
        <v>4966</v>
      </c>
      <c r="B2797">
        <v>0</v>
      </c>
    </row>
    <row r="2798" spans="1:2" x14ac:dyDescent="0.25">
      <c r="A2798">
        <v>4969</v>
      </c>
      <c r="B2798">
        <v>0</v>
      </c>
    </row>
    <row r="2799" spans="1:2" x14ac:dyDescent="0.25">
      <c r="A2799">
        <v>4970</v>
      </c>
      <c r="B2799">
        <v>0</v>
      </c>
    </row>
    <row r="2800" spans="1:2" x14ac:dyDescent="0.25">
      <c r="A2800">
        <v>4971</v>
      </c>
      <c r="B2800">
        <v>0</v>
      </c>
    </row>
    <row r="2801" spans="1:2" x14ac:dyDescent="0.25">
      <c r="A2801">
        <v>4972</v>
      </c>
      <c r="B2801">
        <v>0</v>
      </c>
    </row>
    <row r="2802" spans="1:2" x14ac:dyDescent="0.25">
      <c r="A2802">
        <v>4973</v>
      </c>
      <c r="B2802">
        <v>0</v>
      </c>
    </row>
    <row r="2803" spans="1:2" x14ac:dyDescent="0.25">
      <c r="A2803">
        <v>4974</v>
      </c>
      <c r="B2803">
        <v>0</v>
      </c>
    </row>
    <row r="2804" spans="1:2" x14ac:dyDescent="0.25">
      <c r="A2804">
        <v>4976</v>
      </c>
      <c r="B2804">
        <v>0</v>
      </c>
    </row>
    <row r="2805" spans="1:2" x14ac:dyDescent="0.25">
      <c r="A2805">
        <v>4977</v>
      </c>
      <c r="B2805">
        <v>0</v>
      </c>
    </row>
    <row r="2806" spans="1:2" x14ac:dyDescent="0.25">
      <c r="A2806">
        <v>4978</v>
      </c>
      <c r="B2806">
        <v>0</v>
      </c>
    </row>
    <row r="2807" spans="1:2" x14ac:dyDescent="0.25">
      <c r="A2807">
        <v>4979</v>
      </c>
      <c r="B2807">
        <v>0</v>
      </c>
    </row>
    <row r="2808" spans="1:2" x14ac:dyDescent="0.25">
      <c r="A2808">
        <v>4980</v>
      </c>
      <c r="B2808">
        <v>0</v>
      </c>
    </row>
    <row r="2809" spans="1:2" x14ac:dyDescent="0.25">
      <c r="A2809">
        <v>4981</v>
      </c>
      <c r="B2809">
        <v>0</v>
      </c>
    </row>
    <row r="2810" spans="1:2" x14ac:dyDescent="0.25">
      <c r="A2810">
        <v>4982</v>
      </c>
      <c r="B2810">
        <v>0</v>
      </c>
    </row>
    <row r="2811" spans="1:2" x14ac:dyDescent="0.25">
      <c r="A2811">
        <v>4983</v>
      </c>
      <c r="B2811">
        <v>0</v>
      </c>
    </row>
    <row r="2812" spans="1:2" x14ac:dyDescent="0.25">
      <c r="A2812">
        <v>4984</v>
      </c>
      <c r="B2812">
        <v>0</v>
      </c>
    </row>
    <row r="2813" spans="1:2" x14ac:dyDescent="0.25">
      <c r="A2813">
        <v>4990</v>
      </c>
      <c r="B2813">
        <v>0</v>
      </c>
    </row>
    <row r="2814" spans="1:2" x14ac:dyDescent="0.25">
      <c r="A2814">
        <v>4993</v>
      </c>
      <c r="B2814">
        <v>0</v>
      </c>
    </row>
    <row r="2815" spans="1:2" x14ac:dyDescent="0.25">
      <c r="A2815">
        <v>4994</v>
      </c>
      <c r="B2815">
        <v>0</v>
      </c>
    </row>
    <row r="2816" spans="1:2" x14ac:dyDescent="0.25">
      <c r="A2816">
        <v>4995</v>
      </c>
      <c r="B2816">
        <v>0</v>
      </c>
    </row>
    <row r="2817" spans="1:2" x14ac:dyDescent="0.25">
      <c r="A2817">
        <v>4997</v>
      </c>
      <c r="B2817">
        <v>0</v>
      </c>
    </row>
    <row r="2818" spans="1:2" x14ac:dyDescent="0.25">
      <c r="A2818">
        <v>4998</v>
      </c>
      <c r="B2818">
        <v>0</v>
      </c>
    </row>
    <row r="2819" spans="1:2" x14ac:dyDescent="0.25">
      <c r="A2819">
        <v>4999</v>
      </c>
      <c r="B2819">
        <v>0</v>
      </c>
    </row>
    <row r="2820" spans="1:2" x14ac:dyDescent="0.25">
      <c r="A2820">
        <v>5000</v>
      </c>
      <c r="B2820">
        <v>0</v>
      </c>
    </row>
    <row r="2821" spans="1:2" x14ac:dyDescent="0.25">
      <c r="A2821">
        <v>5001</v>
      </c>
      <c r="B2821">
        <v>0</v>
      </c>
    </row>
    <row r="2822" spans="1:2" x14ac:dyDescent="0.25">
      <c r="A2822">
        <v>5002</v>
      </c>
      <c r="B2822">
        <v>0</v>
      </c>
    </row>
    <row r="2823" spans="1:2" x14ac:dyDescent="0.25">
      <c r="A2823">
        <v>5003</v>
      </c>
      <c r="B2823">
        <v>0</v>
      </c>
    </row>
    <row r="2824" spans="1:2" x14ac:dyDescent="0.25">
      <c r="A2824">
        <v>5004</v>
      </c>
      <c r="B2824">
        <v>0</v>
      </c>
    </row>
    <row r="2825" spans="1:2" x14ac:dyDescent="0.25">
      <c r="A2825">
        <v>5005</v>
      </c>
      <c r="B2825">
        <v>0</v>
      </c>
    </row>
    <row r="2826" spans="1:2" x14ac:dyDescent="0.25">
      <c r="A2826">
        <v>5006</v>
      </c>
      <c r="B2826">
        <v>0</v>
      </c>
    </row>
    <row r="2827" spans="1:2" x14ac:dyDescent="0.25">
      <c r="A2827">
        <v>5007</v>
      </c>
      <c r="B2827">
        <v>0</v>
      </c>
    </row>
    <row r="2828" spans="1:2" x14ac:dyDescent="0.25">
      <c r="A2828">
        <v>5008</v>
      </c>
      <c r="B2828">
        <v>0</v>
      </c>
    </row>
    <row r="2829" spans="1:2" x14ac:dyDescent="0.25">
      <c r="A2829">
        <v>5010</v>
      </c>
      <c r="B2829">
        <v>0</v>
      </c>
    </row>
    <row r="2830" spans="1:2" x14ac:dyDescent="0.25">
      <c r="A2830">
        <v>5015</v>
      </c>
      <c r="B2830">
        <v>0</v>
      </c>
    </row>
    <row r="2831" spans="1:2" x14ac:dyDescent="0.25">
      <c r="A2831">
        <v>5017</v>
      </c>
      <c r="B2831">
        <v>0</v>
      </c>
    </row>
    <row r="2832" spans="1:2" x14ac:dyDescent="0.25">
      <c r="A2832">
        <v>5018</v>
      </c>
      <c r="B2832">
        <v>0</v>
      </c>
    </row>
    <row r="2833" spans="1:2" x14ac:dyDescent="0.25">
      <c r="A2833">
        <v>5021</v>
      </c>
      <c r="B2833">
        <v>0</v>
      </c>
    </row>
    <row r="2834" spans="1:2" x14ac:dyDescent="0.25">
      <c r="A2834">
        <v>5024</v>
      </c>
      <c r="B2834">
        <v>0</v>
      </c>
    </row>
    <row r="2835" spans="1:2" x14ac:dyDescent="0.25">
      <c r="A2835">
        <v>5027</v>
      </c>
      <c r="B2835">
        <v>0</v>
      </c>
    </row>
    <row r="2836" spans="1:2" x14ac:dyDescent="0.25">
      <c r="A2836">
        <v>5028</v>
      </c>
      <c r="B2836">
        <v>0</v>
      </c>
    </row>
    <row r="2837" spans="1:2" x14ac:dyDescent="0.25">
      <c r="A2837">
        <v>5029</v>
      </c>
      <c r="B2837">
        <v>0</v>
      </c>
    </row>
    <row r="2838" spans="1:2" x14ac:dyDescent="0.25">
      <c r="A2838">
        <v>5030</v>
      </c>
      <c r="B2838">
        <v>0</v>
      </c>
    </row>
    <row r="2839" spans="1:2" x14ac:dyDescent="0.25">
      <c r="A2839">
        <v>5031</v>
      </c>
      <c r="B2839">
        <v>0</v>
      </c>
    </row>
    <row r="2840" spans="1:2" x14ac:dyDescent="0.25">
      <c r="A2840">
        <v>5032</v>
      </c>
      <c r="B2840">
        <v>0</v>
      </c>
    </row>
    <row r="2841" spans="1:2" x14ac:dyDescent="0.25">
      <c r="A2841">
        <v>5033</v>
      </c>
      <c r="B2841">
        <v>0</v>
      </c>
    </row>
    <row r="2842" spans="1:2" x14ac:dyDescent="0.25">
      <c r="A2842">
        <v>5034</v>
      </c>
      <c r="B2842">
        <v>0</v>
      </c>
    </row>
    <row r="2843" spans="1:2" x14ac:dyDescent="0.25">
      <c r="A2843">
        <v>5035</v>
      </c>
      <c r="B2843">
        <v>0</v>
      </c>
    </row>
    <row r="2844" spans="1:2" x14ac:dyDescent="0.25">
      <c r="A2844">
        <v>5036</v>
      </c>
      <c r="B2844">
        <v>0</v>
      </c>
    </row>
    <row r="2845" spans="1:2" x14ac:dyDescent="0.25">
      <c r="A2845">
        <v>5037</v>
      </c>
      <c r="B2845">
        <v>0</v>
      </c>
    </row>
    <row r="2846" spans="1:2" x14ac:dyDescent="0.25">
      <c r="A2846">
        <v>5038</v>
      </c>
      <c r="B2846">
        <v>0</v>
      </c>
    </row>
    <row r="2847" spans="1:2" x14ac:dyDescent="0.25">
      <c r="A2847">
        <v>5039</v>
      </c>
      <c r="B2847">
        <v>0</v>
      </c>
    </row>
    <row r="2848" spans="1:2" x14ac:dyDescent="0.25">
      <c r="A2848">
        <v>5040</v>
      </c>
      <c r="B2848">
        <v>0</v>
      </c>
    </row>
    <row r="2849" spans="1:2" x14ac:dyDescent="0.25">
      <c r="A2849">
        <v>5041</v>
      </c>
      <c r="B2849">
        <v>0</v>
      </c>
    </row>
    <row r="2850" spans="1:2" x14ac:dyDescent="0.25">
      <c r="A2850">
        <v>5042</v>
      </c>
      <c r="B2850">
        <v>0</v>
      </c>
    </row>
    <row r="2851" spans="1:2" x14ac:dyDescent="0.25">
      <c r="A2851">
        <v>5043</v>
      </c>
      <c r="B2851">
        <v>0</v>
      </c>
    </row>
    <row r="2852" spans="1:2" x14ac:dyDescent="0.25">
      <c r="A2852">
        <v>5044</v>
      </c>
      <c r="B2852">
        <v>0</v>
      </c>
    </row>
    <row r="2853" spans="1:2" x14ac:dyDescent="0.25">
      <c r="A2853">
        <v>5045</v>
      </c>
      <c r="B2853">
        <v>0</v>
      </c>
    </row>
    <row r="2854" spans="1:2" x14ac:dyDescent="0.25">
      <c r="A2854">
        <v>5046</v>
      </c>
      <c r="B2854">
        <v>0</v>
      </c>
    </row>
    <row r="2855" spans="1:2" x14ac:dyDescent="0.25">
      <c r="A2855">
        <v>5047</v>
      </c>
      <c r="B2855">
        <v>0</v>
      </c>
    </row>
    <row r="2856" spans="1:2" x14ac:dyDescent="0.25">
      <c r="A2856">
        <v>5048</v>
      </c>
      <c r="B2856">
        <v>0</v>
      </c>
    </row>
    <row r="2857" spans="1:2" x14ac:dyDescent="0.25">
      <c r="A2857">
        <v>5049</v>
      </c>
      <c r="B2857">
        <v>0</v>
      </c>
    </row>
    <row r="2858" spans="1:2" x14ac:dyDescent="0.25">
      <c r="A2858">
        <v>5050</v>
      </c>
      <c r="B2858">
        <v>0</v>
      </c>
    </row>
    <row r="2859" spans="1:2" x14ac:dyDescent="0.25">
      <c r="A2859">
        <v>5051</v>
      </c>
      <c r="B2859">
        <v>0</v>
      </c>
    </row>
    <row r="2860" spans="1:2" x14ac:dyDescent="0.25">
      <c r="A2860">
        <v>5052</v>
      </c>
      <c r="B2860">
        <v>0</v>
      </c>
    </row>
    <row r="2861" spans="1:2" x14ac:dyDescent="0.25">
      <c r="A2861">
        <v>5053</v>
      </c>
      <c r="B2861">
        <v>0</v>
      </c>
    </row>
    <row r="2862" spans="1:2" x14ac:dyDescent="0.25">
      <c r="A2862">
        <v>5054</v>
      </c>
      <c r="B2862">
        <v>0</v>
      </c>
    </row>
    <row r="2863" spans="1:2" x14ac:dyDescent="0.25">
      <c r="A2863">
        <v>5061</v>
      </c>
      <c r="B2863">
        <v>0</v>
      </c>
    </row>
    <row r="2864" spans="1:2" x14ac:dyDescent="0.25">
      <c r="A2864">
        <v>5063</v>
      </c>
      <c r="B2864">
        <v>0</v>
      </c>
    </row>
    <row r="2865" spans="1:2" x14ac:dyDescent="0.25">
      <c r="A2865">
        <v>5068</v>
      </c>
      <c r="B2865">
        <v>0</v>
      </c>
    </row>
    <row r="2866" spans="1:2" x14ac:dyDescent="0.25">
      <c r="A2866">
        <v>5073</v>
      </c>
      <c r="B2866">
        <v>0</v>
      </c>
    </row>
    <row r="2867" spans="1:2" x14ac:dyDescent="0.25">
      <c r="A2867">
        <v>5074</v>
      </c>
      <c r="B2867">
        <v>0</v>
      </c>
    </row>
    <row r="2868" spans="1:2" x14ac:dyDescent="0.25">
      <c r="A2868">
        <v>5075</v>
      </c>
      <c r="B2868">
        <v>0</v>
      </c>
    </row>
    <row r="2869" spans="1:2" x14ac:dyDescent="0.25">
      <c r="A2869">
        <v>5076</v>
      </c>
      <c r="B2869">
        <v>0</v>
      </c>
    </row>
    <row r="2870" spans="1:2" x14ac:dyDescent="0.25">
      <c r="A2870">
        <v>5077</v>
      </c>
      <c r="B2870">
        <v>0</v>
      </c>
    </row>
    <row r="2871" spans="1:2" x14ac:dyDescent="0.25">
      <c r="A2871">
        <v>5079</v>
      </c>
      <c r="B2871">
        <v>0</v>
      </c>
    </row>
    <row r="2872" spans="1:2" x14ac:dyDescent="0.25">
      <c r="A2872">
        <v>5081</v>
      </c>
      <c r="B2872">
        <v>0</v>
      </c>
    </row>
    <row r="2873" spans="1:2" x14ac:dyDescent="0.25">
      <c r="A2873">
        <v>5083</v>
      </c>
      <c r="B2873">
        <v>0</v>
      </c>
    </row>
    <row r="2874" spans="1:2" x14ac:dyDescent="0.25">
      <c r="A2874">
        <v>5085</v>
      </c>
      <c r="B2874">
        <v>0</v>
      </c>
    </row>
    <row r="2875" spans="1:2" x14ac:dyDescent="0.25">
      <c r="A2875">
        <v>5089</v>
      </c>
      <c r="B2875">
        <v>0</v>
      </c>
    </row>
    <row r="2876" spans="1:2" x14ac:dyDescent="0.25">
      <c r="A2876">
        <v>5090</v>
      </c>
      <c r="B2876">
        <v>0</v>
      </c>
    </row>
    <row r="2877" spans="1:2" x14ac:dyDescent="0.25">
      <c r="A2877">
        <v>5091</v>
      </c>
      <c r="B2877">
        <v>0</v>
      </c>
    </row>
    <row r="2878" spans="1:2" x14ac:dyDescent="0.25">
      <c r="A2878">
        <v>5103</v>
      </c>
      <c r="B2878">
        <v>0</v>
      </c>
    </row>
    <row r="2879" spans="1:2" x14ac:dyDescent="0.25">
      <c r="A2879">
        <v>5104</v>
      </c>
      <c r="B2879">
        <v>0</v>
      </c>
    </row>
    <row r="2880" spans="1:2" x14ac:dyDescent="0.25">
      <c r="A2880">
        <v>5106</v>
      </c>
      <c r="B2880">
        <v>0</v>
      </c>
    </row>
    <row r="2881" spans="1:2" x14ac:dyDescent="0.25">
      <c r="A2881">
        <v>5107</v>
      </c>
      <c r="B2881">
        <v>0</v>
      </c>
    </row>
    <row r="2882" spans="1:2" x14ac:dyDescent="0.25">
      <c r="A2882">
        <v>5115</v>
      </c>
      <c r="B2882">
        <v>0</v>
      </c>
    </row>
    <row r="2883" spans="1:2" x14ac:dyDescent="0.25">
      <c r="A2883">
        <v>5120</v>
      </c>
      <c r="B2883">
        <v>0</v>
      </c>
    </row>
    <row r="2884" spans="1:2" x14ac:dyDescent="0.25">
      <c r="A2884">
        <v>5122</v>
      </c>
      <c r="B2884">
        <v>0</v>
      </c>
    </row>
    <row r="2885" spans="1:2" x14ac:dyDescent="0.25">
      <c r="A2885">
        <v>5124</v>
      </c>
      <c r="B2885">
        <v>0</v>
      </c>
    </row>
    <row r="2886" spans="1:2" x14ac:dyDescent="0.25">
      <c r="A2886">
        <v>5125</v>
      </c>
      <c r="B2886">
        <v>0</v>
      </c>
    </row>
    <row r="2887" spans="1:2" x14ac:dyDescent="0.25">
      <c r="A2887">
        <v>5126</v>
      </c>
      <c r="B2887">
        <v>0</v>
      </c>
    </row>
    <row r="2888" spans="1:2" x14ac:dyDescent="0.25">
      <c r="A2888">
        <v>5127</v>
      </c>
      <c r="B2888">
        <v>0</v>
      </c>
    </row>
    <row r="2889" spans="1:2" x14ac:dyDescent="0.25">
      <c r="A2889">
        <v>5128</v>
      </c>
      <c r="B2889">
        <v>0</v>
      </c>
    </row>
    <row r="2890" spans="1:2" x14ac:dyDescent="0.25">
      <c r="A2890">
        <v>5129</v>
      </c>
      <c r="B2890">
        <v>0</v>
      </c>
    </row>
    <row r="2891" spans="1:2" x14ac:dyDescent="0.25">
      <c r="A2891">
        <v>5130</v>
      </c>
      <c r="B2891">
        <v>0</v>
      </c>
    </row>
    <row r="2892" spans="1:2" x14ac:dyDescent="0.25">
      <c r="A2892">
        <v>5131</v>
      </c>
      <c r="B2892">
        <v>0</v>
      </c>
    </row>
    <row r="2893" spans="1:2" x14ac:dyDescent="0.25">
      <c r="A2893">
        <v>5132</v>
      </c>
      <c r="B2893">
        <v>0</v>
      </c>
    </row>
    <row r="2894" spans="1:2" x14ac:dyDescent="0.25">
      <c r="A2894">
        <v>5133</v>
      </c>
      <c r="B2894">
        <v>0</v>
      </c>
    </row>
    <row r="2895" spans="1:2" x14ac:dyDescent="0.25">
      <c r="A2895">
        <v>5138</v>
      </c>
      <c r="B2895">
        <v>0</v>
      </c>
    </row>
    <row r="2896" spans="1:2" x14ac:dyDescent="0.25">
      <c r="A2896">
        <v>5141</v>
      </c>
      <c r="B2896">
        <v>0</v>
      </c>
    </row>
    <row r="2897" spans="1:2" x14ac:dyDescent="0.25">
      <c r="A2897">
        <v>5142</v>
      </c>
      <c r="B2897">
        <v>0</v>
      </c>
    </row>
    <row r="2898" spans="1:2" x14ac:dyDescent="0.25">
      <c r="A2898">
        <v>5144</v>
      </c>
      <c r="B2898">
        <v>0</v>
      </c>
    </row>
    <row r="2899" spans="1:2" x14ac:dyDescent="0.25">
      <c r="A2899">
        <v>5146</v>
      </c>
      <c r="B2899">
        <v>0</v>
      </c>
    </row>
    <row r="2900" spans="1:2" x14ac:dyDescent="0.25">
      <c r="A2900">
        <v>5149</v>
      </c>
      <c r="B2900">
        <v>0</v>
      </c>
    </row>
    <row r="2901" spans="1:2" x14ac:dyDescent="0.25">
      <c r="A2901">
        <v>5150</v>
      </c>
      <c r="B2901">
        <v>0</v>
      </c>
    </row>
    <row r="2902" spans="1:2" x14ac:dyDescent="0.25">
      <c r="A2902">
        <v>5151</v>
      </c>
      <c r="B2902">
        <v>0</v>
      </c>
    </row>
    <row r="2903" spans="1:2" x14ac:dyDescent="0.25">
      <c r="A2903">
        <v>5152</v>
      </c>
      <c r="B2903">
        <v>0</v>
      </c>
    </row>
    <row r="2904" spans="1:2" x14ac:dyDescent="0.25">
      <c r="A2904">
        <v>5156</v>
      </c>
      <c r="B2904">
        <v>0</v>
      </c>
    </row>
    <row r="2905" spans="1:2" x14ac:dyDescent="0.25">
      <c r="A2905">
        <v>5179</v>
      </c>
      <c r="B2905">
        <v>0</v>
      </c>
    </row>
    <row r="2906" spans="1:2" x14ac:dyDescent="0.25">
      <c r="A2906">
        <v>5180</v>
      </c>
      <c r="B2906">
        <v>0</v>
      </c>
    </row>
    <row r="2907" spans="1:2" x14ac:dyDescent="0.25">
      <c r="A2907">
        <v>5183</v>
      </c>
      <c r="B2907">
        <v>0</v>
      </c>
    </row>
    <row r="2908" spans="1:2" x14ac:dyDescent="0.25">
      <c r="A2908">
        <v>5184</v>
      </c>
      <c r="B2908">
        <v>0</v>
      </c>
    </row>
    <row r="2909" spans="1:2" x14ac:dyDescent="0.25">
      <c r="A2909">
        <v>5185</v>
      </c>
      <c r="B2909">
        <v>0</v>
      </c>
    </row>
    <row r="2910" spans="1:2" x14ac:dyDescent="0.25">
      <c r="A2910">
        <v>5186</v>
      </c>
      <c r="B2910">
        <v>0</v>
      </c>
    </row>
    <row r="2911" spans="1:2" x14ac:dyDescent="0.25">
      <c r="A2911">
        <v>5188</v>
      </c>
      <c r="B2911">
        <v>0</v>
      </c>
    </row>
    <row r="2912" spans="1:2" x14ac:dyDescent="0.25">
      <c r="A2912">
        <v>5190</v>
      </c>
      <c r="B2912">
        <v>0</v>
      </c>
    </row>
    <row r="2913" spans="1:2" x14ac:dyDescent="0.25">
      <c r="A2913">
        <v>5192</v>
      </c>
      <c r="B2913">
        <v>0</v>
      </c>
    </row>
    <row r="2914" spans="1:2" x14ac:dyDescent="0.25">
      <c r="A2914">
        <v>5193</v>
      </c>
      <c r="B2914">
        <v>0</v>
      </c>
    </row>
    <row r="2915" spans="1:2" x14ac:dyDescent="0.25">
      <c r="A2915">
        <v>5194</v>
      </c>
      <c r="B2915">
        <v>0</v>
      </c>
    </row>
    <row r="2916" spans="1:2" x14ac:dyDescent="0.25">
      <c r="A2916">
        <v>5195</v>
      </c>
      <c r="B2916">
        <v>0</v>
      </c>
    </row>
    <row r="2917" spans="1:2" x14ac:dyDescent="0.25">
      <c r="A2917">
        <v>5198</v>
      </c>
      <c r="B2917">
        <v>0</v>
      </c>
    </row>
    <row r="2918" spans="1:2" x14ac:dyDescent="0.25">
      <c r="A2918">
        <v>5199</v>
      </c>
      <c r="B2918">
        <v>0</v>
      </c>
    </row>
    <row r="2919" spans="1:2" x14ac:dyDescent="0.25">
      <c r="A2919">
        <v>5200</v>
      </c>
      <c r="B2919">
        <v>0</v>
      </c>
    </row>
    <row r="2920" spans="1:2" x14ac:dyDescent="0.25">
      <c r="A2920">
        <v>5201</v>
      </c>
      <c r="B2920">
        <v>0</v>
      </c>
    </row>
    <row r="2921" spans="1:2" x14ac:dyDescent="0.25">
      <c r="A2921">
        <v>5202</v>
      </c>
      <c r="B2921">
        <v>0</v>
      </c>
    </row>
    <row r="2922" spans="1:2" x14ac:dyDescent="0.25">
      <c r="A2922">
        <v>5203</v>
      </c>
      <c r="B2922">
        <v>0</v>
      </c>
    </row>
    <row r="2923" spans="1:2" x14ac:dyDescent="0.25">
      <c r="A2923">
        <v>5204</v>
      </c>
      <c r="B2923">
        <v>0</v>
      </c>
    </row>
    <row r="2924" spans="1:2" x14ac:dyDescent="0.25">
      <c r="A2924">
        <v>5205</v>
      </c>
      <c r="B2924">
        <v>0</v>
      </c>
    </row>
    <row r="2925" spans="1:2" x14ac:dyDescent="0.25">
      <c r="A2925">
        <v>5206</v>
      </c>
      <c r="B2925">
        <v>0</v>
      </c>
    </row>
    <row r="2926" spans="1:2" x14ac:dyDescent="0.25">
      <c r="A2926">
        <v>5207</v>
      </c>
      <c r="B2926">
        <v>0</v>
      </c>
    </row>
    <row r="2927" spans="1:2" x14ac:dyDescent="0.25">
      <c r="A2927">
        <v>5208</v>
      </c>
      <c r="B2927">
        <v>0</v>
      </c>
    </row>
    <row r="2928" spans="1:2" x14ac:dyDescent="0.25">
      <c r="A2928">
        <v>5209</v>
      </c>
      <c r="B2928">
        <v>0</v>
      </c>
    </row>
    <row r="2929" spans="1:2" x14ac:dyDescent="0.25">
      <c r="A2929">
        <v>5210</v>
      </c>
      <c r="B2929">
        <v>0</v>
      </c>
    </row>
    <row r="2930" spans="1:2" x14ac:dyDescent="0.25">
      <c r="A2930">
        <v>5211</v>
      </c>
      <c r="B2930">
        <v>0</v>
      </c>
    </row>
    <row r="2931" spans="1:2" x14ac:dyDescent="0.25">
      <c r="A2931">
        <v>5212</v>
      </c>
      <c r="B2931">
        <v>0</v>
      </c>
    </row>
    <row r="2932" spans="1:2" x14ac:dyDescent="0.25">
      <c r="A2932">
        <v>5213</v>
      </c>
      <c r="B2932">
        <v>0</v>
      </c>
    </row>
    <row r="2933" spans="1:2" x14ac:dyDescent="0.25">
      <c r="A2933">
        <v>5214</v>
      </c>
      <c r="B2933">
        <v>0</v>
      </c>
    </row>
    <row r="2934" spans="1:2" x14ac:dyDescent="0.25">
      <c r="A2934">
        <v>5215</v>
      </c>
      <c r="B2934">
        <v>0</v>
      </c>
    </row>
    <row r="2935" spans="1:2" x14ac:dyDescent="0.25">
      <c r="A2935">
        <v>5216</v>
      </c>
      <c r="B2935">
        <v>0</v>
      </c>
    </row>
    <row r="2936" spans="1:2" x14ac:dyDescent="0.25">
      <c r="A2936">
        <v>5217</v>
      </c>
      <c r="B2936">
        <v>0</v>
      </c>
    </row>
    <row r="2937" spans="1:2" x14ac:dyDescent="0.25">
      <c r="A2937">
        <v>5218</v>
      </c>
      <c r="B2937">
        <v>0</v>
      </c>
    </row>
    <row r="2938" spans="1:2" x14ac:dyDescent="0.25">
      <c r="A2938">
        <v>5219</v>
      </c>
      <c r="B2938">
        <v>0</v>
      </c>
    </row>
    <row r="2939" spans="1:2" x14ac:dyDescent="0.25">
      <c r="A2939">
        <v>5220</v>
      </c>
      <c r="B2939">
        <v>0</v>
      </c>
    </row>
    <row r="2940" spans="1:2" x14ac:dyDescent="0.25">
      <c r="A2940">
        <v>5221</v>
      </c>
      <c r="B2940">
        <v>0</v>
      </c>
    </row>
    <row r="2941" spans="1:2" x14ac:dyDescent="0.25">
      <c r="A2941">
        <v>5222</v>
      </c>
      <c r="B2941">
        <v>0</v>
      </c>
    </row>
    <row r="2942" spans="1:2" x14ac:dyDescent="0.25">
      <c r="A2942">
        <v>5223</v>
      </c>
      <c r="B2942">
        <v>0</v>
      </c>
    </row>
    <row r="2943" spans="1:2" x14ac:dyDescent="0.25">
      <c r="A2943">
        <v>5224</v>
      </c>
      <c r="B2943">
        <v>0</v>
      </c>
    </row>
    <row r="2944" spans="1:2" x14ac:dyDescent="0.25">
      <c r="A2944">
        <v>5225</v>
      </c>
      <c r="B2944">
        <v>0</v>
      </c>
    </row>
    <row r="2945" spans="1:2" x14ac:dyDescent="0.25">
      <c r="A2945">
        <v>5226</v>
      </c>
      <c r="B2945">
        <v>0</v>
      </c>
    </row>
    <row r="2946" spans="1:2" x14ac:dyDescent="0.25">
      <c r="A2946">
        <v>5227</v>
      </c>
      <c r="B2946">
        <v>0</v>
      </c>
    </row>
    <row r="2947" spans="1:2" x14ac:dyDescent="0.25">
      <c r="A2947">
        <v>5228</v>
      </c>
      <c r="B2947">
        <v>0</v>
      </c>
    </row>
    <row r="2948" spans="1:2" x14ac:dyDescent="0.25">
      <c r="A2948">
        <v>5229</v>
      </c>
      <c r="B2948">
        <v>0</v>
      </c>
    </row>
    <row r="2949" spans="1:2" x14ac:dyDescent="0.25">
      <c r="A2949">
        <v>5230</v>
      </c>
      <c r="B2949">
        <v>0</v>
      </c>
    </row>
    <row r="2950" spans="1:2" x14ac:dyDescent="0.25">
      <c r="A2950">
        <v>5231</v>
      </c>
      <c r="B2950">
        <v>0</v>
      </c>
    </row>
    <row r="2951" spans="1:2" x14ac:dyDescent="0.25">
      <c r="A2951">
        <v>5232</v>
      </c>
      <c r="B2951">
        <v>0</v>
      </c>
    </row>
    <row r="2952" spans="1:2" x14ac:dyDescent="0.25">
      <c r="A2952">
        <v>5233</v>
      </c>
      <c r="B2952">
        <v>0</v>
      </c>
    </row>
    <row r="2953" spans="1:2" x14ac:dyDescent="0.25">
      <c r="A2953">
        <v>5234</v>
      </c>
      <c r="B2953">
        <v>0</v>
      </c>
    </row>
    <row r="2954" spans="1:2" x14ac:dyDescent="0.25">
      <c r="A2954">
        <v>5235</v>
      </c>
      <c r="B2954">
        <v>0</v>
      </c>
    </row>
    <row r="2955" spans="1:2" x14ac:dyDescent="0.25">
      <c r="A2955">
        <v>5236</v>
      </c>
      <c r="B2955">
        <v>0</v>
      </c>
    </row>
    <row r="2956" spans="1:2" x14ac:dyDescent="0.25">
      <c r="A2956">
        <v>5237</v>
      </c>
      <c r="B2956">
        <v>0</v>
      </c>
    </row>
    <row r="2957" spans="1:2" x14ac:dyDescent="0.25">
      <c r="A2957">
        <v>5238</v>
      </c>
      <c r="B2957">
        <v>0</v>
      </c>
    </row>
    <row r="2958" spans="1:2" x14ac:dyDescent="0.25">
      <c r="A2958">
        <v>5239</v>
      </c>
      <c r="B2958">
        <v>0</v>
      </c>
    </row>
    <row r="2959" spans="1:2" x14ac:dyDescent="0.25">
      <c r="A2959">
        <v>5240</v>
      </c>
      <c r="B2959">
        <v>0</v>
      </c>
    </row>
    <row r="2960" spans="1:2" x14ac:dyDescent="0.25">
      <c r="A2960">
        <v>5241</v>
      </c>
      <c r="B2960">
        <v>0</v>
      </c>
    </row>
    <row r="2961" spans="1:2" x14ac:dyDescent="0.25">
      <c r="A2961">
        <v>5242</v>
      </c>
      <c r="B2961">
        <v>0</v>
      </c>
    </row>
    <row r="2962" spans="1:2" x14ac:dyDescent="0.25">
      <c r="A2962">
        <v>5243</v>
      </c>
      <c r="B2962">
        <v>0</v>
      </c>
    </row>
    <row r="2963" spans="1:2" x14ac:dyDescent="0.25">
      <c r="A2963">
        <v>5249</v>
      </c>
      <c r="B2963">
        <v>0</v>
      </c>
    </row>
    <row r="2964" spans="1:2" x14ac:dyDescent="0.25">
      <c r="A2964">
        <v>5250</v>
      </c>
      <c r="B2964">
        <v>0</v>
      </c>
    </row>
    <row r="2965" spans="1:2" x14ac:dyDescent="0.25">
      <c r="A2965">
        <v>5262</v>
      </c>
      <c r="B2965">
        <v>0</v>
      </c>
    </row>
    <row r="2966" spans="1:2" x14ac:dyDescent="0.25">
      <c r="A2966">
        <v>5263</v>
      </c>
      <c r="B2966">
        <v>0</v>
      </c>
    </row>
    <row r="2967" spans="1:2" x14ac:dyDescent="0.25">
      <c r="A2967">
        <v>5264</v>
      </c>
      <c r="B2967">
        <v>0</v>
      </c>
    </row>
    <row r="2968" spans="1:2" x14ac:dyDescent="0.25">
      <c r="A2968">
        <v>5265</v>
      </c>
      <c r="B2968">
        <v>0</v>
      </c>
    </row>
    <row r="2969" spans="1:2" x14ac:dyDescent="0.25">
      <c r="A2969">
        <v>5266</v>
      </c>
      <c r="B2969">
        <v>0</v>
      </c>
    </row>
    <row r="2970" spans="1:2" x14ac:dyDescent="0.25">
      <c r="A2970">
        <v>5267</v>
      </c>
      <c r="B2970">
        <v>0</v>
      </c>
    </row>
    <row r="2971" spans="1:2" x14ac:dyDescent="0.25">
      <c r="A2971">
        <v>5268</v>
      </c>
      <c r="B2971">
        <v>0</v>
      </c>
    </row>
    <row r="2972" spans="1:2" x14ac:dyDescent="0.25">
      <c r="A2972">
        <v>5269</v>
      </c>
      <c r="B2972">
        <v>0</v>
      </c>
    </row>
    <row r="2973" spans="1:2" x14ac:dyDescent="0.25">
      <c r="A2973">
        <v>5270</v>
      </c>
      <c r="B2973">
        <v>0</v>
      </c>
    </row>
    <row r="2974" spans="1:2" x14ac:dyDescent="0.25">
      <c r="A2974">
        <v>5271</v>
      </c>
      <c r="B2974">
        <v>0</v>
      </c>
    </row>
    <row r="2975" spans="1:2" x14ac:dyDescent="0.25">
      <c r="A2975">
        <v>5272</v>
      </c>
      <c r="B2975">
        <v>0</v>
      </c>
    </row>
    <row r="2976" spans="1:2" x14ac:dyDescent="0.25">
      <c r="A2976">
        <v>5273</v>
      </c>
      <c r="B2976">
        <v>0</v>
      </c>
    </row>
    <row r="2977" spans="1:2" x14ac:dyDescent="0.25">
      <c r="A2977">
        <v>5274</v>
      </c>
      <c r="B2977">
        <v>0</v>
      </c>
    </row>
    <row r="2978" spans="1:2" x14ac:dyDescent="0.25">
      <c r="A2978">
        <v>5275</v>
      </c>
      <c r="B2978">
        <v>0</v>
      </c>
    </row>
    <row r="2979" spans="1:2" x14ac:dyDescent="0.25">
      <c r="A2979">
        <v>5276</v>
      </c>
      <c r="B2979">
        <v>0</v>
      </c>
    </row>
    <row r="2980" spans="1:2" x14ac:dyDescent="0.25">
      <c r="A2980">
        <v>5277</v>
      </c>
      <c r="B2980">
        <v>0</v>
      </c>
    </row>
    <row r="2981" spans="1:2" x14ac:dyDescent="0.25">
      <c r="A2981">
        <v>5278</v>
      </c>
      <c r="B2981">
        <v>0</v>
      </c>
    </row>
    <row r="2982" spans="1:2" x14ac:dyDescent="0.25">
      <c r="A2982">
        <v>5279</v>
      </c>
      <c r="B2982">
        <v>0</v>
      </c>
    </row>
    <row r="2983" spans="1:2" x14ac:dyDescent="0.25">
      <c r="A2983">
        <v>5280</v>
      </c>
      <c r="B2983">
        <v>0</v>
      </c>
    </row>
    <row r="2984" spans="1:2" x14ac:dyDescent="0.25">
      <c r="A2984">
        <v>5281</v>
      </c>
      <c r="B2984">
        <v>0</v>
      </c>
    </row>
    <row r="2985" spans="1:2" x14ac:dyDescent="0.25">
      <c r="A2985">
        <v>5283</v>
      </c>
      <c r="B2985">
        <v>0</v>
      </c>
    </row>
    <row r="2986" spans="1:2" x14ac:dyDescent="0.25">
      <c r="A2986">
        <v>5284</v>
      </c>
      <c r="B2986">
        <v>0</v>
      </c>
    </row>
    <row r="2987" spans="1:2" x14ac:dyDescent="0.25">
      <c r="A2987">
        <v>5287</v>
      </c>
      <c r="B2987">
        <v>0</v>
      </c>
    </row>
    <row r="2988" spans="1:2" x14ac:dyDescent="0.25">
      <c r="A2988">
        <v>5294</v>
      </c>
      <c r="B2988">
        <v>0</v>
      </c>
    </row>
    <row r="2989" spans="1:2" x14ac:dyDescent="0.25">
      <c r="A2989">
        <v>5310</v>
      </c>
      <c r="B2989">
        <v>0</v>
      </c>
    </row>
    <row r="2990" spans="1:2" x14ac:dyDescent="0.25">
      <c r="A2990">
        <v>5311</v>
      </c>
      <c r="B2990">
        <v>0</v>
      </c>
    </row>
    <row r="2991" spans="1:2" x14ac:dyDescent="0.25">
      <c r="A2991">
        <v>5313</v>
      </c>
      <c r="B2991">
        <v>0</v>
      </c>
    </row>
    <row r="2992" spans="1:2" x14ac:dyDescent="0.25">
      <c r="A2992">
        <v>5314</v>
      </c>
      <c r="B2992">
        <v>0</v>
      </c>
    </row>
    <row r="2993" spans="1:2" x14ac:dyDescent="0.25">
      <c r="A2993">
        <v>5315</v>
      </c>
      <c r="B2993">
        <v>0</v>
      </c>
    </row>
    <row r="2994" spans="1:2" x14ac:dyDescent="0.25">
      <c r="A2994">
        <v>5316</v>
      </c>
      <c r="B2994">
        <v>0</v>
      </c>
    </row>
    <row r="2995" spans="1:2" x14ac:dyDescent="0.25">
      <c r="A2995">
        <v>5317</v>
      </c>
      <c r="B2995">
        <v>17</v>
      </c>
    </row>
    <row r="2996" spans="1:2" x14ac:dyDescent="0.25">
      <c r="A2996">
        <v>5318</v>
      </c>
      <c r="B2996">
        <v>0</v>
      </c>
    </row>
    <row r="2997" spans="1:2" x14ac:dyDescent="0.25">
      <c r="A2997">
        <v>5319</v>
      </c>
      <c r="B2997">
        <v>0</v>
      </c>
    </row>
    <row r="2998" spans="1:2" x14ac:dyDescent="0.25">
      <c r="A2998">
        <v>5320</v>
      </c>
      <c r="B2998">
        <v>0</v>
      </c>
    </row>
    <row r="2999" spans="1:2" x14ac:dyDescent="0.25">
      <c r="A2999">
        <v>5321</v>
      </c>
      <c r="B2999">
        <v>0</v>
      </c>
    </row>
    <row r="3000" spans="1:2" x14ac:dyDescent="0.25">
      <c r="A3000">
        <v>5322</v>
      </c>
      <c r="B3000">
        <v>0</v>
      </c>
    </row>
    <row r="3001" spans="1:2" x14ac:dyDescent="0.25">
      <c r="A3001">
        <v>5323</v>
      </c>
      <c r="B3001">
        <v>17</v>
      </c>
    </row>
    <row r="3002" spans="1:2" x14ac:dyDescent="0.25">
      <c r="A3002">
        <v>5324</v>
      </c>
      <c r="B3002">
        <v>0</v>
      </c>
    </row>
    <row r="3003" spans="1:2" x14ac:dyDescent="0.25">
      <c r="A3003">
        <v>5325</v>
      </c>
      <c r="B3003">
        <v>0</v>
      </c>
    </row>
    <row r="3004" spans="1:2" x14ac:dyDescent="0.25">
      <c r="A3004">
        <v>5326</v>
      </c>
      <c r="B3004">
        <v>0</v>
      </c>
    </row>
    <row r="3005" spans="1:2" x14ac:dyDescent="0.25">
      <c r="A3005">
        <v>5327</v>
      </c>
      <c r="B3005">
        <v>0</v>
      </c>
    </row>
    <row r="3006" spans="1:2" x14ac:dyDescent="0.25">
      <c r="A3006">
        <v>5328</v>
      </c>
      <c r="B3006">
        <v>0</v>
      </c>
    </row>
    <row r="3007" spans="1:2" x14ac:dyDescent="0.25">
      <c r="A3007">
        <v>5329</v>
      </c>
      <c r="B3007">
        <v>0</v>
      </c>
    </row>
    <row r="3008" spans="1:2" x14ac:dyDescent="0.25">
      <c r="A3008">
        <v>5330</v>
      </c>
      <c r="B3008">
        <v>0</v>
      </c>
    </row>
    <row r="3009" spans="1:2" x14ac:dyDescent="0.25">
      <c r="A3009">
        <v>5331</v>
      </c>
      <c r="B3009">
        <v>0</v>
      </c>
    </row>
    <row r="3010" spans="1:2" x14ac:dyDescent="0.25">
      <c r="A3010">
        <v>5332</v>
      </c>
      <c r="B3010">
        <v>0</v>
      </c>
    </row>
    <row r="3011" spans="1:2" x14ac:dyDescent="0.25">
      <c r="A3011">
        <v>5333</v>
      </c>
      <c r="B3011">
        <v>0</v>
      </c>
    </row>
    <row r="3012" spans="1:2" x14ac:dyDescent="0.25">
      <c r="A3012">
        <v>5336</v>
      </c>
      <c r="B3012">
        <v>0</v>
      </c>
    </row>
    <row r="3013" spans="1:2" x14ac:dyDescent="0.25">
      <c r="A3013">
        <v>5340</v>
      </c>
      <c r="B3013">
        <v>0</v>
      </c>
    </row>
    <row r="3014" spans="1:2" x14ac:dyDescent="0.25">
      <c r="A3014">
        <v>5341</v>
      </c>
      <c r="B3014">
        <v>0</v>
      </c>
    </row>
    <row r="3015" spans="1:2" x14ac:dyDescent="0.25">
      <c r="A3015">
        <v>5342</v>
      </c>
      <c r="B3015">
        <v>0</v>
      </c>
    </row>
    <row r="3016" spans="1:2" x14ac:dyDescent="0.25">
      <c r="A3016">
        <v>5343</v>
      </c>
      <c r="B3016">
        <v>0</v>
      </c>
    </row>
    <row r="3017" spans="1:2" x14ac:dyDescent="0.25">
      <c r="A3017">
        <v>5352</v>
      </c>
      <c r="B3017">
        <v>0</v>
      </c>
    </row>
    <row r="3018" spans="1:2" x14ac:dyDescent="0.25">
      <c r="A3018">
        <v>5362</v>
      </c>
      <c r="B3018">
        <v>0</v>
      </c>
    </row>
    <row r="3019" spans="1:2" x14ac:dyDescent="0.25">
      <c r="A3019">
        <v>5364</v>
      </c>
      <c r="B3019">
        <v>0</v>
      </c>
    </row>
    <row r="3020" spans="1:2" x14ac:dyDescent="0.25">
      <c r="A3020">
        <v>5373</v>
      </c>
      <c r="B3020">
        <v>0</v>
      </c>
    </row>
    <row r="3021" spans="1:2" x14ac:dyDescent="0.25">
      <c r="A3021">
        <v>5374</v>
      </c>
      <c r="B3021">
        <v>0</v>
      </c>
    </row>
    <row r="3022" spans="1:2" x14ac:dyDescent="0.25">
      <c r="A3022">
        <v>5375</v>
      </c>
      <c r="B3022">
        <v>0</v>
      </c>
    </row>
    <row r="3023" spans="1:2" x14ac:dyDescent="0.25">
      <c r="A3023">
        <v>5376</v>
      </c>
      <c r="B3023">
        <v>0</v>
      </c>
    </row>
    <row r="3024" spans="1:2" x14ac:dyDescent="0.25">
      <c r="A3024">
        <v>5377</v>
      </c>
      <c r="B3024">
        <v>0</v>
      </c>
    </row>
    <row r="3025" spans="1:2" x14ac:dyDescent="0.25">
      <c r="A3025">
        <v>5378</v>
      </c>
      <c r="B3025">
        <v>0</v>
      </c>
    </row>
    <row r="3026" spans="1:2" x14ac:dyDescent="0.25">
      <c r="A3026">
        <v>5402</v>
      </c>
      <c r="B3026">
        <v>0</v>
      </c>
    </row>
    <row r="3027" spans="1:2" x14ac:dyDescent="0.25">
      <c r="A3027">
        <v>5404</v>
      </c>
      <c r="B3027">
        <v>0</v>
      </c>
    </row>
    <row r="3028" spans="1:2" x14ac:dyDescent="0.25">
      <c r="A3028">
        <v>5405</v>
      </c>
      <c r="B3028">
        <v>0</v>
      </c>
    </row>
    <row r="3029" spans="1:2" x14ac:dyDescent="0.25">
      <c r="A3029">
        <v>5409</v>
      </c>
      <c r="B3029">
        <v>0</v>
      </c>
    </row>
    <row r="3030" spans="1:2" x14ac:dyDescent="0.25">
      <c r="A3030">
        <v>5410</v>
      </c>
      <c r="B3030">
        <v>0</v>
      </c>
    </row>
    <row r="3031" spans="1:2" x14ac:dyDescent="0.25">
      <c r="A3031">
        <v>5418</v>
      </c>
      <c r="B3031">
        <v>0</v>
      </c>
    </row>
    <row r="3032" spans="1:2" x14ac:dyDescent="0.25">
      <c r="A3032">
        <v>5419</v>
      </c>
      <c r="B3032">
        <v>0</v>
      </c>
    </row>
    <row r="3033" spans="1:2" x14ac:dyDescent="0.25">
      <c r="A3033">
        <v>5421</v>
      </c>
      <c r="B3033">
        <v>0</v>
      </c>
    </row>
    <row r="3034" spans="1:2" x14ac:dyDescent="0.25">
      <c r="A3034">
        <v>5423</v>
      </c>
      <c r="B3034">
        <v>0</v>
      </c>
    </row>
    <row r="3035" spans="1:2" x14ac:dyDescent="0.25">
      <c r="A3035">
        <v>5426</v>
      </c>
      <c r="B3035">
        <v>0</v>
      </c>
    </row>
    <row r="3036" spans="1:2" x14ac:dyDescent="0.25">
      <c r="A3036">
        <v>5428</v>
      </c>
      <c r="B3036">
        <v>0</v>
      </c>
    </row>
    <row r="3037" spans="1:2" x14ac:dyDescent="0.25">
      <c r="A3037">
        <v>5429</v>
      </c>
      <c r="B3037">
        <v>0</v>
      </c>
    </row>
    <row r="3038" spans="1:2" x14ac:dyDescent="0.25">
      <c r="A3038">
        <v>5431</v>
      </c>
      <c r="B3038">
        <v>0</v>
      </c>
    </row>
    <row r="3039" spans="1:2" x14ac:dyDescent="0.25">
      <c r="A3039">
        <v>5433</v>
      </c>
      <c r="B3039">
        <v>0</v>
      </c>
    </row>
    <row r="3040" spans="1:2" x14ac:dyDescent="0.25">
      <c r="A3040">
        <v>5435</v>
      </c>
      <c r="B3040">
        <v>0</v>
      </c>
    </row>
    <row r="3041" spans="1:2" x14ac:dyDescent="0.25">
      <c r="A3041">
        <v>5436</v>
      </c>
      <c r="B3041">
        <v>0</v>
      </c>
    </row>
    <row r="3042" spans="1:2" x14ac:dyDescent="0.25">
      <c r="A3042">
        <v>5437</v>
      </c>
      <c r="B3042">
        <v>0</v>
      </c>
    </row>
    <row r="3043" spans="1:2" x14ac:dyDescent="0.25">
      <c r="A3043">
        <v>5438</v>
      </c>
      <c r="B3043">
        <v>0</v>
      </c>
    </row>
    <row r="3044" spans="1:2" x14ac:dyDescent="0.25">
      <c r="A3044">
        <v>5439</v>
      </c>
      <c r="B3044">
        <v>0</v>
      </c>
    </row>
    <row r="3045" spans="1:2" x14ac:dyDescent="0.25">
      <c r="A3045">
        <v>5440</v>
      </c>
      <c r="B3045">
        <v>0</v>
      </c>
    </row>
    <row r="3046" spans="1:2" x14ac:dyDescent="0.25">
      <c r="A3046">
        <v>5441</v>
      </c>
      <c r="B3046">
        <v>0</v>
      </c>
    </row>
    <row r="3047" spans="1:2" x14ac:dyDescent="0.25">
      <c r="A3047">
        <v>5442</v>
      </c>
      <c r="B3047">
        <v>0</v>
      </c>
    </row>
    <row r="3048" spans="1:2" x14ac:dyDescent="0.25">
      <c r="A3048">
        <v>5443</v>
      </c>
      <c r="B3048">
        <v>0</v>
      </c>
    </row>
    <row r="3049" spans="1:2" x14ac:dyDescent="0.25">
      <c r="A3049">
        <v>5444</v>
      </c>
      <c r="B3049">
        <v>0</v>
      </c>
    </row>
    <row r="3050" spans="1:2" x14ac:dyDescent="0.25">
      <c r="A3050">
        <v>5445</v>
      </c>
      <c r="B3050">
        <v>0</v>
      </c>
    </row>
    <row r="3051" spans="1:2" x14ac:dyDescent="0.25">
      <c r="A3051">
        <v>5446</v>
      </c>
      <c r="B3051">
        <v>0</v>
      </c>
    </row>
    <row r="3052" spans="1:2" x14ac:dyDescent="0.25">
      <c r="A3052">
        <v>5447</v>
      </c>
      <c r="B3052">
        <v>0</v>
      </c>
    </row>
    <row r="3053" spans="1:2" x14ac:dyDescent="0.25">
      <c r="A3053">
        <v>5448</v>
      </c>
      <c r="B3053">
        <v>0</v>
      </c>
    </row>
    <row r="3054" spans="1:2" x14ac:dyDescent="0.25">
      <c r="A3054">
        <v>5449</v>
      </c>
      <c r="B3054">
        <v>0</v>
      </c>
    </row>
    <row r="3055" spans="1:2" x14ac:dyDescent="0.25">
      <c r="A3055">
        <v>5450</v>
      </c>
      <c r="B3055">
        <v>0</v>
      </c>
    </row>
    <row r="3056" spans="1:2" x14ac:dyDescent="0.25">
      <c r="A3056">
        <v>5451</v>
      </c>
      <c r="B3056">
        <v>0</v>
      </c>
    </row>
    <row r="3057" spans="1:2" x14ac:dyDescent="0.25">
      <c r="A3057">
        <v>5452</v>
      </c>
      <c r="B3057">
        <v>0</v>
      </c>
    </row>
    <row r="3058" spans="1:2" x14ac:dyDescent="0.25">
      <c r="A3058">
        <v>5453</v>
      </c>
      <c r="B3058">
        <v>0</v>
      </c>
    </row>
    <row r="3059" spans="1:2" x14ac:dyDescent="0.25">
      <c r="A3059">
        <v>5454</v>
      </c>
      <c r="B3059">
        <v>0</v>
      </c>
    </row>
    <row r="3060" spans="1:2" x14ac:dyDescent="0.25">
      <c r="A3060">
        <v>5455</v>
      </c>
      <c r="B3060">
        <v>0</v>
      </c>
    </row>
    <row r="3061" spans="1:2" x14ac:dyDescent="0.25">
      <c r="A3061">
        <v>5456</v>
      </c>
      <c r="B3061">
        <v>0</v>
      </c>
    </row>
    <row r="3062" spans="1:2" x14ac:dyDescent="0.25">
      <c r="A3062">
        <v>5457</v>
      </c>
      <c r="B3062">
        <v>0</v>
      </c>
    </row>
    <row r="3063" spans="1:2" x14ac:dyDescent="0.25">
      <c r="A3063">
        <v>5458</v>
      </c>
      <c r="B3063">
        <v>0</v>
      </c>
    </row>
    <row r="3064" spans="1:2" x14ac:dyDescent="0.25">
      <c r="A3064">
        <v>5459</v>
      </c>
      <c r="B3064">
        <v>0</v>
      </c>
    </row>
    <row r="3065" spans="1:2" x14ac:dyDescent="0.25">
      <c r="A3065">
        <v>5463</v>
      </c>
      <c r="B3065">
        <v>0</v>
      </c>
    </row>
    <row r="3066" spans="1:2" x14ac:dyDescent="0.25">
      <c r="A3066">
        <v>5464</v>
      </c>
      <c r="B3066">
        <v>0</v>
      </c>
    </row>
    <row r="3067" spans="1:2" x14ac:dyDescent="0.25">
      <c r="A3067">
        <v>5466</v>
      </c>
      <c r="B3067">
        <v>0</v>
      </c>
    </row>
    <row r="3068" spans="1:2" x14ac:dyDescent="0.25">
      <c r="A3068">
        <v>5467</v>
      </c>
      <c r="B3068">
        <v>0</v>
      </c>
    </row>
    <row r="3069" spans="1:2" x14ac:dyDescent="0.25">
      <c r="A3069">
        <v>5468</v>
      </c>
      <c r="B3069">
        <v>0</v>
      </c>
    </row>
    <row r="3070" spans="1:2" x14ac:dyDescent="0.25">
      <c r="A3070">
        <v>5470</v>
      </c>
      <c r="B3070">
        <v>0</v>
      </c>
    </row>
    <row r="3071" spans="1:2" x14ac:dyDescent="0.25">
      <c r="A3071">
        <v>5472</v>
      </c>
      <c r="B3071">
        <v>0</v>
      </c>
    </row>
    <row r="3072" spans="1:2" x14ac:dyDescent="0.25">
      <c r="A3072">
        <v>5486</v>
      </c>
      <c r="B3072">
        <v>0</v>
      </c>
    </row>
    <row r="3073" spans="1:2" x14ac:dyDescent="0.25">
      <c r="A3073">
        <v>5487</v>
      </c>
      <c r="B3073">
        <v>0</v>
      </c>
    </row>
    <row r="3074" spans="1:2" x14ac:dyDescent="0.25">
      <c r="A3074">
        <v>5488</v>
      </c>
      <c r="B3074">
        <v>0</v>
      </c>
    </row>
    <row r="3075" spans="1:2" x14ac:dyDescent="0.25">
      <c r="A3075">
        <v>5489</v>
      </c>
      <c r="B3075">
        <v>0</v>
      </c>
    </row>
    <row r="3076" spans="1:2" x14ac:dyDescent="0.25">
      <c r="A3076">
        <v>5490</v>
      </c>
      <c r="B3076">
        <v>0</v>
      </c>
    </row>
    <row r="3077" spans="1:2" x14ac:dyDescent="0.25">
      <c r="A3077">
        <v>5491</v>
      </c>
      <c r="B3077">
        <v>0</v>
      </c>
    </row>
    <row r="3078" spans="1:2" x14ac:dyDescent="0.25">
      <c r="A3078">
        <v>5492</v>
      </c>
      <c r="B3078">
        <v>0</v>
      </c>
    </row>
    <row r="3079" spans="1:2" x14ac:dyDescent="0.25">
      <c r="A3079">
        <v>5493</v>
      </c>
      <c r="B3079">
        <v>0</v>
      </c>
    </row>
    <row r="3080" spans="1:2" x14ac:dyDescent="0.25">
      <c r="A3080">
        <v>5496</v>
      </c>
      <c r="B3080">
        <v>0</v>
      </c>
    </row>
    <row r="3081" spans="1:2" x14ac:dyDescent="0.25">
      <c r="A3081">
        <v>5497</v>
      </c>
      <c r="B3081">
        <v>0</v>
      </c>
    </row>
    <row r="3082" spans="1:2" x14ac:dyDescent="0.25">
      <c r="A3082">
        <v>5501</v>
      </c>
      <c r="B3082">
        <v>0</v>
      </c>
    </row>
    <row r="3083" spans="1:2" x14ac:dyDescent="0.25">
      <c r="A3083">
        <v>5508</v>
      </c>
      <c r="B3083">
        <v>0</v>
      </c>
    </row>
    <row r="3084" spans="1:2" x14ac:dyDescent="0.25">
      <c r="A3084">
        <v>5509</v>
      </c>
      <c r="B3084">
        <v>0</v>
      </c>
    </row>
    <row r="3085" spans="1:2" x14ac:dyDescent="0.25">
      <c r="A3085">
        <v>5510</v>
      </c>
      <c r="B3085">
        <v>0</v>
      </c>
    </row>
    <row r="3086" spans="1:2" x14ac:dyDescent="0.25">
      <c r="A3086">
        <v>5511</v>
      </c>
      <c r="B3086">
        <v>0</v>
      </c>
    </row>
    <row r="3087" spans="1:2" x14ac:dyDescent="0.25">
      <c r="A3087">
        <v>5512</v>
      </c>
      <c r="B3087">
        <v>0</v>
      </c>
    </row>
    <row r="3088" spans="1:2" x14ac:dyDescent="0.25">
      <c r="A3088">
        <v>5513</v>
      </c>
      <c r="B3088">
        <v>0</v>
      </c>
    </row>
    <row r="3089" spans="1:2" x14ac:dyDescent="0.25">
      <c r="A3089">
        <v>5514</v>
      </c>
      <c r="B3089">
        <v>0</v>
      </c>
    </row>
    <row r="3090" spans="1:2" x14ac:dyDescent="0.25">
      <c r="A3090">
        <v>5515</v>
      </c>
      <c r="B3090">
        <v>0</v>
      </c>
    </row>
    <row r="3091" spans="1:2" x14ac:dyDescent="0.25">
      <c r="A3091">
        <v>5516</v>
      </c>
      <c r="B3091">
        <v>0</v>
      </c>
    </row>
    <row r="3092" spans="1:2" x14ac:dyDescent="0.25">
      <c r="A3092">
        <v>5518</v>
      </c>
      <c r="B3092">
        <v>0</v>
      </c>
    </row>
    <row r="3093" spans="1:2" x14ac:dyDescent="0.25">
      <c r="A3093">
        <v>5520</v>
      </c>
      <c r="B3093">
        <v>0</v>
      </c>
    </row>
    <row r="3094" spans="1:2" x14ac:dyDescent="0.25">
      <c r="A3094">
        <v>5521</v>
      </c>
      <c r="B3094">
        <v>0</v>
      </c>
    </row>
    <row r="3095" spans="1:2" x14ac:dyDescent="0.25">
      <c r="A3095">
        <v>5522</v>
      </c>
      <c r="B3095">
        <v>0</v>
      </c>
    </row>
    <row r="3096" spans="1:2" x14ac:dyDescent="0.25">
      <c r="A3096">
        <v>5523</v>
      </c>
      <c r="B3096">
        <v>0</v>
      </c>
    </row>
    <row r="3097" spans="1:2" x14ac:dyDescent="0.25">
      <c r="A3097">
        <v>5524</v>
      </c>
      <c r="B3097">
        <v>0</v>
      </c>
    </row>
    <row r="3098" spans="1:2" x14ac:dyDescent="0.25">
      <c r="A3098">
        <v>5525</v>
      </c>
      <c r="B3098">
        <v>0</v>
      </c>
    </row>
    <row r="3099" spans="1:2" x14ac:dyDescent="0.25">
      <c r="A3099">
        <v>5526</v>
      </c>
      <c r="B3099">
        <v>0</v>
      </c>
    </row>
    <row r="3100" spans="1:2" x14ac:dyDescent="0.25">
      <c r="A3100">
        <v>5527</v>
      </c>
      <c r="B3100">
        <v>0</v>
      </c>
    </row>
    <row r="3101" spans="1:2" x14ac:dyDescent="0.25">
      <c r="A3101">
        <v>5528</v>
      </c>
      <c r="B3101">
        <v>0</v>
      </c>
    </row>
    <row r="3102" spans="1:2" x14ac:dyDescent="0.25">
      <c r="A3102">
        <v>5529</v>
      </c>
      <c r="B3102">
        <v>0</v>
      </c>
    </row>
    <row r="3103" spans="1:2" x14ac:dyDescent="0.25">
      <c r="A3103">
        <v>5530</v>
      </c>
      <c r="B3103">
        <v>0</v>
      </c>
    </row>
    <row r="3104" spans="1:2" x14ac:dyDescent="0.25">
      <c r="A3104">
        <v>5531</v>
      </c>
      <c r="B3104">
        <v>0</v>
      </c>
    </row>
    <row r="3105" spans="1:2" x14ac:dyDescent="0.25">
      <c r="A3105">
        <v>5532</v>
      </c>
      <c r="B3105">
        <v>0</v>
      </c>
    </row>
    <row r="3106" spans="1:2" x14ac:dyDescent="0.25">
      <c r="A3106">
        <v>5533</v>
      </c>
      <c r="B3106">
        <v>0</v>
      </c>
    </row>
    <row r="3107" spans="1:2" x14ac:dyDescent="0.25">
      <c r="A3107">
        <v>5535</v>
      </c>
      <c r="B3107">
        <v>0</v>
      </c>
    </row>
    <row r="3108" spans="1:2" x14ac:dyDescent="0.25">
      <c r="A3108">
        <v>5536</v>
      </c>
      <c r="B3108">
        <v>0</v>
      </c>
    </row>
    <row r="3109" spans="1:2" x14ac:dyDescent="0.25">
      <c r="A3109">
        <v>5537</v>
      </c>
      <c r="B3109">
        <v>0</v>
      </c>
    </row>
    <row r="3110" spans="1:2" x14ac:dyDescent="0.25">
      <c r="A3110">
        <v>5538</v>
      </c>
      <c r="B3110">
        <v>0</v>
      </c>
    </row>
    <row r="3111" spans="1:2" x14ac:dyDescent="0.25">
      <c r="A3111">
        <v>5539</v>
      </c>
      <c r="B3111">
        <v>0</v>
      </c>
    </row>
    <row r="3112" spans="1:2" x14ac:dyDescent="0.25">
      <c r="A3112">
        <v>5540</v>
      </c>
      <c r="B3112">
        <v>0</v>
      </c>
    </row>
    <row r="3113" spans="1:2" x14ac:dyDescent="0.25">
      <c r="A3113">
        <v>5541</v>
      </c>
      <c r="B3113">
        <v>0</v>
      </c>
    </row>
    <row r="3114" spans="1:2" x14ac:dyDescent="0.25">
      <c r="A3114">
        <v>5542</v>
      </c>
      <c r="B3114">
        <v>0</v>
      </c>
    </row>
    <row r="3115" spans="1:2" x14ac:dyDescent="0.25">
      <c r="A3115">
        <v>5543</v>
      </c>
      <c r="B3115">
        <v>0</v>
      </c>
    </row>
    <row r="3116" spans="1:2" x14ac:dyDescent="0.25">
      <c r="A3116">
        <v>5544</v>
      </c>
      <c r="B3116">
        <v>0</v>
      </c>
    </row>
    <row r="3117" spans="1:2" x14ac:dyDescent="0.25">
      <c r="A3117">
        <v>5545</v>
      </c>
      <c r="B3117">
        <v>0</v>
      </c>
    </row>
    <row r="3118" spans="1:2" x14ac:dyDescent="0.25">
      <c r="A3118">
        <v>5546</v>
      </c>
      <c r="B3118">
        <v>0</v>
      </c>
    </row>
    <row r="3119" spans="1:2" x14ac:dyDescent="0.25">
      <c r="A3119">
        <v>5547</v>
      </c>
      <c r="B3119">
        <v>0</v>
      </c>
    </row>
    <row r="3120" spans="1:2" x14ac:dyDescent="0.25">
      <c r="A3120">
        <v>5548</v>
      </c>
      <c r="B3120">
        <v>0</v>
      </c>
    </row>
    <row r="3121" spans="1:2" x14ac:dyDescent="0.25">
      <c r="A3121">
        <v>5549</v>
      </c>
      <c r="B3121">
        <v>0</v>
      </c>
    </row>
    <row r="3122" spans="1:2" x14ac:dyDescent="0.25">
      <c r="A3122">
        <v>5550</v>
      </c>
      <c r="B3122">
        <v>0</v>
      </c>
    </row>
    <row r="3123" spans="1:2" x14ac:dyDescent="0.25">
      <c r="A3123">
        <v>5551</v>
      </c>
      <c r="B3123">
        <v>0</v>
      </c>
    </row>
    <row r="3124" spans="1:2" x14ac:dyDescent="0.25">
      <c r="A3124">
        <v>5552</v>
      </c>
      <c r="B3124">
        <v>0</v>
      </c>
    </row>
    <row r="3125" spans="1:2" x14ac:dyDescent="0.25">
      <c r="A3125">
        <v>5553</v>
      </c>
      <c r="B3125">
        <v>0</v>
      </c>
    </row>
    <row r="3126" spans="1:2" x14ac:dyDescent="0.25">
      <c r="A3126">
        <v>5554</v>
      </c>
      <c r="B3126">
        <v>0</v>
      </c>
    </row>
    <row r="3127" spans="1:2" x14ac:dyDescent="0.25">
      <c r="A3127">
        <v>5555</v>
      </c>
      <c r="B3127">
        <v>0</v>
      </c>
    </row>
    <row r="3128" spans="1:2" x14ac:dyDescent="0.25">
      <c r="A3128">
        <v>5556</v>
      </c>
      <c r="B3128">
        <v>0</v>
      </c>
    </row>
    <row r="3129" spans="1:2" x14ac:dyDescent="0.25">
      <c r="A3129">
        <v>5557</v>
      </c>
      <c r="B3129">
        <v>0</v>
      </c>
    </row>
    <row r="3130" spans="1:2" x14ac:dyDescent="0.25">
      <c r="A3130">
        <v>5558</v>
      </c>
      <c r="B3130">
        <v>0</v>
      </c>
    </row>
    <row r="3131" spans="1:2" x14ac:dyDescent="0.25">
      <c r="A3131">
        <v>5559</v>
      </c>
      <c r="B3131">
        <v>0</v>
      </c>
    </row>
    <row r="3132" spans="1:2" x14ac:dyDescent="0.25">
      <c r="A3132">
        <v>5560</v>
      </c>
      <c r="B3132">
        <v>0</v>
      </c>
    </row>
    <row r="3133" spans="1:2" x14ac:dyDescent="0.25">
      <c r="A3133">
        <v>5561</v>
      </c>
      <c r="B3133">
        <v>0</v>
      </c>
    </row>
    <row r="3134" spans="1:2" x14ac:dyDescent="0.25">
      <c r="A3134">
        <v>5562</v>
      </c>
      <c r="B3134">
        <v>0</v>
      </c>
    </row>
    <row r="3135" spans="1:2" x14ac:dyDescent="0.25">
      <c r="A3135">
        <v>5563</v>
      </c>
      <c r="B3135">
        <v>0</v>
      </c>
    </row>
    <row r="3136" spans="1:2" x14ac:dyDescent="0.25">
      <c r="A3136">
        <v>5564</v>
      </c>
      <c r="B3136">
        <v>0</v>
      </c>
    </row>
    <row r="3137" spans="1:2" x14ac:dyDescent="0.25">
      <c r="A3137">
        <v>5565</v>
      </c>
      <c r="B3137">
        <v>0</v>
      </c>
    </row>
    <row r="3138" spans="1:2" x14ac:dyDescent="0.25">
      <c r="A3138">
        <v>5566</v>
      </c>
      <c r="B3138">
        <v>0</v>
      </c>
    </row>
    <row r="3139" spans="1:2" x14ac:dyDescent="0.25">
      <c r="A3139">
        <v>5567</v>
      </c>
      <c r="B3139">
        <v>0</v>
      </c>
    </row>
    <row r="3140" spans="1:2" x14ac:dyDescent="0.25">
      <c r="A3140">
        <v>5568</v>
      </c>
      <c r="B3140">
        <v>0</v>
      </c>
    </row>
    <row r="3141" spans="1:2" x14ac:dyDescent="0.25">
      <c r="A3141">
        <v>5569</v>
      </c>
      <c r="B3141">
        <v>0</v>
      </c>
    </row>
    <row r="3142" spans="1:2" x14ac:dyDescent="0.25">
      <c r="A3142">
        <v>5570</v>
      </c>
      <c r="B3142">
        <v>0</v>
      </c>
    </row>
    <row r="3143" spans="1:2" x14ac:dyDescent="0.25">
      <c r="A3143">
        <v>5571</v>
      </c>
      <c r="B3143">
        <v>0</v>
      </c>
    </row>
    <row r="3144" spans="1:2" x14ac:dyDescent="0.25">
      <c r="A3144">
        <v>5572</v>
      </c>
      <c r="B3144">
        <v>0</v>
      </c>
    </row>
    <row r="3145" spans="1:2" x14ac:dyDescent="0.25">
      <c r="A3145">
        <v>5573</v>
      </c>
      <c r="B3145">
        <v>0</v>
      </c>
    </row>
    <row r="3146" spans="1:2" x14ac:dyDescent="0.25">
      <c r="A3146">
        <v>5574</v>
      </c>
      <c r="B3146">
        <v>0</v>
      </c>
    </row>
    <row r="3147" spans="1:2" x14ac:dyDescent="0.25">
      <c r="A3147">
        <v>5575</v>
      </c>
      <c r="B3147">
        <v>0</v>
      </c>
    </row>
    <row r="3148" spans="1:2" x14ac:dyDescent="0.25">
      <c r="A3148">
        <v>5576</v>
      </c>
      <c r="B3148">
        <v>0</v>
      </c>
    </row>
    <row r="3149" spans="1:2" x14ac:dyDescent="0.25">
      <c r="A3149">
        <v>5577</v>
      </c>
      <c r="B3149">
        <v>0</v>
      </c>
    </row>
    <row r="3150" spans="1:2" x14ac:dyDescent="0.25">
      <c r="A3150">
        <v>5578</v>
      </c>
      <c r="B3150">
        <v>0</v>
      </c>
    </row>
    <row r="3151" spans="1:2" x14ac:dyDescent="0.25">
      <c r="A3151">
        <v>5579</v>
      </c>
      <c r="B3151">
        <v>0</v>
      </c>
    </row>
    <row r="3152" spans="1:2" x14ac:dyDescent="0.25">
      <c r="A3152">
        <v>5580</v>
      </c>
      <c r="B3152">
        <v>0</v>
      </c>
    </row>
    <row r="3153" spans="1:2" x14ac:dyDescent="0.25">
      <c r="A3153">
        <v>5581</v>
      </c>
      <c r="B3153">
        <v>0</v>
      </c>
    </row>
    <row r="3154" spans="1:2" x14ac:dyDescent="0.25">
      <c r="A3154">
        <v>5582</v>
      </c>
      <c r="B3154">
        <v>0</v>
      </c>
    </row>
    <row r="3155" spans="1:2" x14ac:dyDescent="0.25">
      <c r="A3155">
        <v>5583</v>
      </c>
      <c r="B3155">
        <v>0</v>
      </c>
    </row>
    <row r="3156" spans="1:2" x14ac:dyDescent="0.25">
      <c r="A3156">
        <v>5584</v>
      </c>
      <c r="B3156">
        <v>0</v>
      </c>
    </row>
    <row r="3157" spans="1:2" x14ac:dyDescent="0.25">
      <c r="A3157">
        <v>5585</v>
      </c>
      <c r="B3157">
        <v>0</v>
      </c>
    </row>
    <row r="3158" spans="1:2" x14ac:dyDescent="0.25">
      <c r="A3158">
        <v>5586</v>
      </c>
      <c r="B3158">
        <v>0</v>
      </c>
    </row>
    <row r="3159" spans="1:2" x14ac:dyDescent="0.25">
      <c r="A3159">
        <v>5587</v>
      </c>
      <c r="B3159">
        <v>0</v>
      </c>
    </row>
    <row r="3160" spans="1:2" x14ac:dyDescent="0.25">
      <c r="A3160">
        <v>5588</v>
      </c>
      <c r="B3160">
        <v>0</v>
      </c>
    </row>
    <row r="3161" spans="1:2" x14ac:dyDescent="0.25">
      <c r="A3161">
        <v>5591</v>
      </c>
      <c r="B3161">
        <v>0</v>
      </c>
    </row>
    <row r="3162" spans="1:2" x14ac:dyDescent="0.25">
      <c r="A3162">
        <v>5592</v>
      </c>
      <c r="B3162">
        <v>0</v>
      </c>
    </row>
    <row r="3163" spans="1:2" x14ac:dyDescent="0.25">
      <c r="A3163">
        <v>5593</v>
      </c>
      <c r="B3163">
        <v>0</v>
      </c>
    </row>
    <row r="3164" spans="1:2" x14ac:dyDescent="0.25">
      <c r="A3164">
        <v>5594</v>
      </c>
      <c r="B3164">
        <v>0</v>
      </c>
    </row>
    <row r="3165" spans="1:2" x14ac:dyDescent="0.25">
      <c r="A3165">
        <v>5595</v>
      </c>
      <c r="B3165">
        <v>0</v>
      </c>
    </row>
    <row r="3166" spans="1:2" x14ac:dyDescent="0.25">
      <c r="A3166">
        <v>5596</v>
      </c>
      <c r="B3166">
        <v>0</v>
      </c>
    </row>
    <row r="3167" spans="1:2" x14ac:dyDescent="0.25">
      <c r="A3167">
        <v>5597</v>
      </c>
      <c r="B3167">
        <v>0</v>
      </c>
    </row>
    <row r="3168" spans="1:2" x14ac:dyDescent="0.25">
      <c r="A3168">
        <v>5598</v>
      </c>
      <c r="B3168">
        <v>0</v>
      </c>
    </row>
    <row r="3169" spans="1:2" x14ac:dyDescent="0.25">
      <c r="A3169">
        <v>5599</v>
      </c>
      <c r="B3169">
        <v>0</v>
      </c>
    </row>
    <row r="3170" spans="1:2" x14ac:dyDescent="0.25">
      <c r="A3170">
        <v>5600</v>
      </c>
      <c r="B3170">
        <v>0</v>
      </c>
    </row>
    <row r="3171" spans="1:2" x14ac:dyDescent="0.25">
      <c r="A3171">
        <v>5607</v>
      </c>
      <c r="B3171">
        <v>0</v>
      </c>
    </row>
    <row r="3172" spans="1:2" x14ac:dyDescent="0.25">
      <c r="A3172">
        <v>5608</v>
      </c>
      <c r="B3172">
        <v>0</v>
      </c>
    </row>
    <row r="3173" spans="1:2" x14ac:dyDescent="0.25">
      <c r="A3173">
        <v>5609</v>
      </c>
      <c r="B3173">
        <v>0</v>
      </c>
    </row>
    <row r="3174" spans="1:2" x14ac:dyDescent="0.25">
      <c r="A3174">
        <v>5610</v>
      </c>
      <c r="B3174">
        <v>0</v>
      </c>
    </row>
    <row r="3175" spans="1:2" x14ac:dyDescent="0.25">
      <c r="A3175">
        <v>5611</v>
      </c>
      <c r="B3175">
        <v>0</v>
      </c>
    </row>
    <row r="3176" spans="1:2" x14ac:dyDescent="0.25">
      <c r="A3176">
        <v>5612</v>
      </c>
      <c r="B3176">
        <v>0</v>
      </c>
    </row>
    <row r="3177" spans="1:2" x14ac:dyDescent="0.25">
      <c r="A3177">
        <v>5613</v>
      </c>
      <c r="B3177">
        <v>0</v>
      </c>
    </row>
    <row r="3178" spans="1:2" x14ac:dyDescent="0.25">
      <c r="A3178">
        <v>5614</v>
      </c>
      <c r="B3178">
        <v>0</v>
      </c>
    </row>
    <row r="3179" spans="1:2" x14ac:dyDescent="0.25">
      <c r="A3179">
        <v>5615</v>
      </c>
      <c r="B3179">
        <v>0</v>
      </c>
    </row>
    <row r="3180" spans="1:2" x14ac:dyDescent="0.25">
      <c r="A3180">
        <v>5616</v>
      </c>
      <c r="B3180">
        <v>0</v>
      </c>
    </row>
    <row r="3181" spans="1:2" x14ac:dyDescent="0.25">
      <c r="A3181">
        <v>5617</v>
      </c>
      <c r="B3181">
        <v>0</v>
      </c>
    </row>
    <row r="3182" spans="1:2" x14ac:dyDescent="0.25">
      <c r="A3182">
        <v>5618</v>
      </c>
      <c r="B3182">
        <v>0</v>
      </c>
    </row>
    <row r="3183" spans="1:2" x14ac:dyDescent="0.25">
      <c r="A3183">
        <v>5619</v>
      </c>
      <c r="B3183">
        <v>0</v>
      </c>
    </row>
    <row r="3184" spans="1:2" x14ac:dyDescent="0.25">
      <c r="A3184">
        <v>5620</v>
      </c>
      <c r="B3184">
        <v>0</v>
      </c>
    </row>
    <row r="3185" spans="1:2" x14ac:dyDescent="0.25">
      <c r="A3185">
        <v>5621</v>
      </c>
      <c r="B3185">
        <v>0</v>
      </c>
    </row>
    <row r="3186" spans="1:2" x14ac:dyDescent="0.25">
      <c r="A3186">
        <v>5622</v>
      </c>
      <c r="B3186">
        <v>0</v>
      </c>
    </row>
    <row r="3187" spans="1:2" x14ac:dyDescent="0.25">
      <c r="A3187">
        <v>5623</v>
      </c>
      <c r="B3187">
        <v>0</v>
      </c>
    </row>
    <row r="3188" spans="1:2" x14ac:dyDescent="0.25">
      <c r="A3188">
        <v>5625</v>
      </c>
      <c r="B3188">
        <v>0</v>
      </c>
    </row>
    <row r="3189" spans="1:2" x14ac:dyDescent="0.25">
      <c r="A3189">
        <v>5626</v>
      </c>
      <c r="B3189">
        <v>0</v>
      </c>
    </row>
    <row r="3190" spans="1:2" x14ac:dyDescent="0.25">
      <c r="A3190">
        <v>5627</v>
      </c>
      <c r="B3190">
        <v>0</v>
      </c>
    </row>
    <row r="3191" spans="1:2" x14ac:dyDescent="0.25">
      <c r="A3191">
        <v>5628</v>
      </c>
      <c r="B3191">
        <v>0</v>
      </c>
    </row>
    <row r="3192" spans="1:2" x14ac:dyDescent="0.25">
      <c r="A3192">
        <v>5629</v>
      </c>
      <c r="B3192">
        <v>0</v>
      </c>
    </row>
    <row r="3193" spans="1:2" x14ac:dyDescent="0.25">
      <c r="A3193">
        <v>5642</v>
      </c>
      <c r="B3193">
        <v>0</v>
      </c>
    </row>
    <row r="3194" spans="1:2" x14ac:dyDescent="0.25">
      <c r="A3194">
        <v>5659</v>
      </c>
      <c r="B3194">
        <v>0</v>
      </c>
    </row>
    <row r="3195" spans="1:2" x14ac:dyDescent="0.25">
      <c r="A3195">
        <v>5671</v>
      </c>
      <c r="B3195">
        <v>0</v>
      </c>
    </row>
    <row r="3196" spans="1:2" x14ac:dyDescent="0.25">
      <c r="A3196">
        <v>5700</v>
      </c>
      <c r="B3196">
        <v>0</v>
      </c>
    </row>
    <row r="3197" spans="1:2" x14ac:dyDescent="0.25">
      <c r="A3197">
        <v>5702</v>
      </c>
      <c r="B3197">
        <v>0</v>
      </c>
    </row>
    <row r="3198" spans="1:2" x14ac:dyDescent="0.25">
      <c r="A3198">
        <v>5706</v>
      </c>
      <c r="B3198">
        <v>0</v>
      </c>
    </row>
    <row r="3199" spans="1:2" x14ac:dyDescent="0.25">
      <c r="A3199">
        <v>5718</v>
      </c>
      <c r="B3199">
        <v>0</v>
      </c>
    </row>
    <row r="3200" spans="1:2" x14ac:dyDescent="0.25">
      <c r="A3200">
        <v>5724</v>
      </c>
      <c r="B3200">
        <v>0</v>
      </c>
    </row>
    <row r="3201" spans="1:2" x14ac:dyDescent="0.25">
      <c r="A3201">
        <v>5726</v>
      </c>
      <c r="B3201">
        <v>0</v>
      </c>
    </row>
    <row r="3202" spans="1:2" x14ac:dyDescent="0.25">
      <c r="A3202">
        <v>5738</v>
      </c>
      <c r="B3202">
        <v>0</v>
      </c>
    </row>
    <row r="3203" spans="1:2" x14ac:dyDescent="0.25">
      <c r="A3203">
        <v>5749</v>
      </c>
      <c r="B3203">
        <v>0</v>
      </c>
    </row>
    <row r="3204" spans="1:2" x14ac:dyDescent="0.25">
      <c r="A3204">
        <v>5751</v>
      </c>
      <c r="B3204">
        <v>0</v>
      </c>
    </row>
    <row r="3205" spans="1:2" x14ac:dyDescent="0.25">
      <c r="A3205">
        <v>5753</v>
      </c>
      <c r="B3205">
        <v>0</v>
      </c>
    </row>
    <row r="3206" spans="1:2" x14ac:dyDescent="0.25">
      <c r="A3206">
        <v>5759</v>
      </c>
      <c r="B3206">
        <v>0</v>
      </c>
    </row>
    <row r="3207" spans="1:2" x14ac:dyDescent="0.25">
      <c r="A3207">
        <v>5763</v>
      </c>
      <c r="B3207">
        <v>0</v>
      </c>
    </row>
    <row r="3208" spans="1:2" x14ac:dyDescent="0.25">
      <c r="A3208">
        <v>5766</v>
      </c>
      <c r="B3208">
        <v>0</v>
      </c>
    </row>
    <row r="3209" spans="1:2" x14ac:dyDescent="0.25">
      <c r="A3209">
        <v>5787</v>
      </c>
      <c r="B3209">
        <v>0</v>
      </c>
    </row>
    <row r="3210" spans="1:2" x14ac:dyDescent="0.25">
      <c r="A3210">
        <v>5789</v>
      </c>
      <c r="B3210">
        <v>0</v>
      </c>
    </row>
    <row r="3211" spans="1:2" x14ac:dyDescent="0.25">
      <c r="A3211">
        <v>5795</v>
      </c>
      <c r="B3211">
        <v>0</v>
      </c>
    </row>
    <row r="3212" spans="1:2" x14ac:dyDescent="0.25">
      <c r="A3212">
        <v>5798</v>
      </c>
      <c r="B3212">
        <v>0</v>
      </c>
    </row>
    <row r="3213" spans="1:2" x14ac:dyDescent="0.25">
      <c r="A3213">
        <v>5800</v>
      </c>
      <c r="B3213">
        <v>0</v>
      </c>
    </row>
    <row r="3214" spans="1:2" x14ac:dyDescent="0.25">
      <c r="A3214">
        <v>5802</v>
      </c>
      <c r="B3214">
        <v>0</v>
      </c>
    </row>
    <row r="3215" spans="1:2" x14ac:dyDescent="0.25">
      <c r="A3215">
        <v>5804</v>
      </c>
      <c r="B3215">
        <v>0</v>
      </c>
    </row>
    <row r="3216" spans="1:2" x14ac:dyDescent="0.25">
      <c r="A3216">
        <v>5825</v>
      </c>
      <c r="B3216">
        <v>0</v>
      </c>
    </row>
    <row r="3217" spans="1:2" x14ac:dyDescent="0.25">
      <c r="A3217">
        <v>5827</v>
      </c>
      <c r="B3217">
        <v>0</v>
      </c>
    </row>
    <row r="3218" spans="1:2" x14ac:dyDescent="0.25">
      <c r="A3218">
        <v>5833</v>
      </c>
      <c r="B3218">
        <v>0</v>
      </c>
    </row>
    <row r="3219" spans="1:2" x14ac:dyDescent="0.25">
      <c r="A3219">
        <v>5834</v>
      </c>
      <c r="B3219">
        <v>0</v>
      </c>
    </row>
    <row r="3220" spans="1:2" x14ac:dyDescent="0.25">
      <c r="A3220">
        <v>5836</v>
      </c>
      <c r="B3220">
        <v>0</v>
      </c>
    </row>
    <row r="3221" spans="1:2" x14ac:dyDescent="0.25">
      <c r="A3221">
        <v>5838</v>
      </c>
      <c r="B3221">
        <v>0</v>
      </c>
    </row>
    <row r="3222" spans="1:2" x14ac:dyDescent="0.25">
      <c r="A3222">
        <v>5840</v>
      </c>
      <c r="B3222">
        <v>0</v>
      </c>
    </row>
    <row r="3223" spans="1:2" x14ac:dyDescent="0.25">
      <c r="A3223">
        <v>5842</v>
      </c>
      <c r="B3223">
        <v>0</v>
      </c>
    </row>
    <row r="3224" spans="1:2" x14ac:dyDescent="0.25">
      <c r="A3224">
        <v>5845</v>
      </c>
      <c r="B3224">
        <v>0</v>
      </c>
    </row>
    <row r="3225" spans="1:2" x14ac:dyDescent="0.25">
      <c r="A3225">
        <v>5847</v>
      </c>
      <c r="B3225">
        <v>0</v>
      </c>
    </row>
    <row r="3226" spans="1:2" x14ac:dyDescent="0.25">
      <c r="A3226">
        <v>5855</v>
      </c>
      <c r="B3226">
        <v>0</v>
      </c>
    </row>
    <row r="3227" spans="1:2" x14ac:dyDescent="0.25">
      <c r="A3227">
        <v>5856</v>
      </c>
      <c r="B3227">
        <v>0</v>
      </c>
    </row>
    <row r="3228" spans="1:2" x14ac:dyDescent="0.25">
      <c r="A3228">
        <v>5857</v>
      </c>
      <c r="B3228">
        <v>0</v>
      </c>
    </row>
    <row r="3229" spans="1:2" x14ac:dyDescent="0.25">
      <c r="A3229">
        <v>5860</v>
      </c>
      <c r="B3229">
        <v>0</v>
      </c>
    </row>
    <row r="3230" spans="1:2" x14ac:dyDescent="0.25">
      <c r="A3230">
        <v>5861</v>
      </c>
      <c r="B3230">
        <v>0</v>
      </c>
    </row>
    <row r="3231" spans="1:2" x14ac:dyDescent="0.25">
      <c r="A3231">
        <v>5862</v>
      </c>
      <c r="B3231">
        <v>0</v>
      </c>
    </row>
    <row r="3232" spans="1:2" x14ac:dyDescent="0.25">
      <c r="A3232">
        <v>5864</v>
      </c>
      <c r="B3232">
        <v>0</v>
      </c>
    </row>
    <row r="3233" spans="1:2" x14ac:dyDescent="0.25">
      <c r="A3233">
        <v>5865</v>
      </c>
      <c r="B3233">
        <v>0</v>
      </c>
    </row>
    <row r="3234" spans="1:2" x14ac:dyDescent="0.25">
      <c r="A3234">
        <v>5866</v>
      </c>
      <c r="B3234">
        <v>0</v>
      </c>
    </row>
    <row r="3235" spans="1:2" x14ac:dyDescent="0.25">
      <c r="A3235">
        <v>5873</v>
      </c>
      <c r="B3235">
        <v>0</v>
      </c>
    </row>
    <row r="3236" spans="1:2" x14ac:dyDescent="0.25">
      <c r="A3236">
        <v>5874</v>
      </c>
      <c r="B3236">
        <v>0</v>
      </c>
    </row>
    <row r="3237" spans="1:2" x14ac:dyDescent="0.25">
      <c r="A3237">
        <v>5877</v>
      </c>
      <c r="B3237">
        <v>0</v>
      </c>
    </row>
    <row r="3238" spans="1:2" x14ac:dyDescent="0.25">
      <c r="A3238">
        <v>5878</v>
      </c>
      <c r="B3238">
        <v>0</v>
      </c>
    </row>
    <row r="3239" spans="1:2" x14ac:dyDescent="0.25">
      <c r="A3239">
        <v>5879</v>
      </c>
      <c r="B3239">
        <v>0</v>
      </c>
    </row>
    <row r="3240" spans="1:2" x14ac:dyDescent="0.25">
      <c r="A3240">
        <v>5880</v>
      </c>
      <c r="B3240">
        <v>0</v>
      </c>
    </row>
    <row r="3241" spans="1:2" x14ac:dyDescent="0.25">
      <c r="A3241">
        <v>5881</v>
      </c>
      <c r="B3241">
        <v>0</v>
      </c>
    </row>
    <row r="3242" spans="1:2" x14ac:dyDescent="0.25">
      <c r="A3242">
        <v>5882</v>
      </c>
      <c r="B3242">
        <v>0</v>
      </c>
    </row>
    <row r="3243" spans="1:2" x14ac:dyDescent="0.25">
      <c r="A3243">
        <v>5883</v>
      </c>
      <c r="B3243">
        <v>0</v>
      </c>
    </row>
    <row r="3244" spans="1:2" x14ac:dyDescent="0.25">
      <c r="A3244">
        <v>5884</v>
      </c>
      <c r="B3244">
        <v>0</v>
      </c>
    </row>
    <row r="3245" spans="1:2" x14ac:dyDescent="0.25">
      <c r="A3245">
        <v>5885</v>
      </c>
      <c r="B3245">
        <v>0</v>
      </c>
    </row>
    <row r="3246" spans="1:2" x14ac:dyDescent="0.25">
      <c r="A3246">
        <v>5886</v>
      </c>
      <c r="B3246">
        <v>0</v>
      </c>
    </row>
    <row r="3247" spans="1:2" x14ac:dyDescent="0.25">
      <c r="A3247">
        <v>5887</v>
      </c>
      <c r="B3247">
        <v>0</v>
      </c>
    </row>
    <row r="3248" spans="1:2" x14ac:dyDescent="0.25">
      <c r="A3248">
        <v>5888</v>
      </c>
      <c r="B3248">
        <v>0</v>
      </c>
    </row>
    <row r="3249" spans="1:2" x14ac:dyDescent="0.25">
      <c r="A3249">
        <v>5889</v>
      </c>
      <c r="B3249">
        <v>0</v>
      </c>
    </row>
    <row r="3250" spans="1:2" x14ac:dyDescent="0.25">
      <c r="A3250">
        <v>5890</v>
      </c>
      <c r="B3250">
        <v>0</v>
      </c>
    </row>
    <row r="3251" spans="1:2" x14ac:dyDescent="0.25">
      <c r="A3251">
        <v>5891</v>
      </c>
      <c r="B3251">
        <v>0</v>
      </c>
    </row>
    <row r="3252" spans="1:2" x14ac:dyDescent="0.25">
      <c r="A3252">
        <v>5892</v>
      </c>
      <c r="B3252">
        <v>0</v>
      </c>
    </row>
    <row r="3253" spans="1:2" x14ac:dyDescent="0.25">
      <c r="A3253">
        <v>5893</v>
      </c>
      <c r="B3253">
        <v>0</v>
      </c>
    </row>
    <row r="3254" spans="1:2" x14ac:dyDescent="0.25">
      <c r="A3254">
        <v>5894</v>
      </c>
      <c r="B3254">
        <v>0</v>
      </c>
    </row>
    <row r="3255" spans="1:2" x14ac:dyDescent="0.25">
      <c r="A3255">
        <v>5895</v>
      </c>
      <c r="B3255">
        <v>0</v>
      </c>
    </row>
    <row r="3256" spans="1:2" x14ac:dyDescent="0.25">
      <c r="A3256">
        <v>5896</v>
      </c>
      <c r="B3256">
        <v>0</v>
      </c>
    </row>
    <row r="3257" spans="1:2" x14ac:dyDescent="0.25">
      <c r="A3257">
        <v>5897</v>
      </c>
      <c r="B3257">
        <v>0</v>
      </c>
    </row>
    <row r="3258" spans="1:2" x14ac:dyDescent="0.25">
      <c r="A3258">
        <v>5898</v>
      </c>
      <c r="B3258">
        <v>0</v>
      </c>
    </row>
    <row r="3259" spans="1:2" x14ac:dyDescent="0.25">
      <c r="A3259">
        <v>5899</v>
      </c>
      <c r="B3259">
        <v>0</v>
      </c>
    </row>
    <row r="3260" spans="1:2" x14ac:dyDescent="0.25">
      <c r="A3260">
        <v>5900</v>
      </c>
      <c r="B3260">
        <v>0</v>
      </c>
    </row>
    <row r="3261" spans="1:2" x14ac:dyDescent="0.25">
      <c r="A3261">
        <v>5901</v>
      </c>
      <c r="B3261">
        <v>0</v>
      </c>
    </row>
    <row r="3262" spans="1:2" x14ac:dyDescent="0.25">
      <c r="A3262">
        <v>5902</v>
      </c>
      <c r="B3262">
        <v>0</v>
      </c>
    </row>
    <row r="3263" spans="1:2" x14ac:dyDescent="0.25">
      <c r="A3263">
        <v>5903</v>
      </c>
      <c r="B3263">
        <v>0</v>
      </c>
    </row>
    <row r="3264" spans="1:2" x14ac:dyDescent="0.25">
      <c r="A3264">
        <v>5904</v>
      </c>
      <c r="B3264">
        <v>0</v>
      </c>
    </row>
    <row r="3265" spans="1:2" x14ac:dyDescent="0.25">
      <c r="A3265">
        <v>5905</v>
      </c>
      <c r="B3265">
        <v>0</v>
      </c>
    </row>
    <row r="3266" spans="1:2" x14ac:dyDescent="0.25">
      <c r="A3266">
        <v>5906</v>
      </c>
      <c r="B3266">
        <v>0</v>
      </c>
    </row>
    <row r="3267" spans="1:2" x14ac:dyDescent="0.25">
      <c r="A3267">
        <v>5909</v>
      </c>
      <c r="B3267">
        <v>0</v>
      </c>
    </row>
    <row r="3268" spans="1:2" x14ac:dyDescent="0.25">
      <c r="A3268">
        <v>5910</v>
      </c>
      <c r="B3268">
        <v>0</v>
      </c>
    </row>
    <row r="3269" spans="1:2" x14ac:dyDescent="0.25">
      <c r="A3269">
        <v>5911</v>
      </c>
      <c r="B3269">
        <v>0</v>
      </c>
    </row>
    <row r="3270" spans="1:2" x14ac:dyDescent="0.25">
      <c r="A3270">
        <v>5912</v>
      </c>
      <c r="B3270">
        <v>0</v>
      </c>
    </row>
    <row r="3271" spans="1:2" x14ac:dyDescent="0.25">
      <c r="A3271">
        <v>5913</v>
      </c>
      <c r="B3271">
        <v>0</v>
      </c>
    </row>
    <row r="3272" spans="1:2" x14ac:dyDescent="0.25">
      <c r="A3272">
        <v>5920</v>
      </c>
      <c r="B3272">
        <v>0</v>
      </c>
    </row>
    <row r="3273" spans="1:2" x14ac:dyDescent="0.25">
      <c r="A3273">
        <v>5921</v>
      </c>
      <c r="B3273">
        <v>0</v>
      </c>
    </row>
    <row r="3274" spans="1:2" x14ac:dyDescent="0.25">
      <c r="A3274">
        <v>5924</v>
      </c>
      <c r="B3274">
        <v>0</v>
      </c>
    </row>
    <row r="3275" spans="1:2" x14ac:dyDescent="0.25">
      <c r="A3275">
        <v>5926</v>
      </c>
      <c r="B3275">
        <v>0</v>
      </c>
    </row>
    <row r="3276" spans="1:2" x14ac:dyDescent="0.25">
      <c r="A3276">
        <v>5930</v>
      </c>
      <c r="B3276">
        <v>0</v>
      </c>
    </row>
    <row r="3277" spans="1:2" x14ac:dyDescent="0.25">
      <c r="A3277">
        <v>5931</v>
      </c>
      <c r="B3277">
        <v>0</v>
      </c>
    </row>
    <row r="3278" spans="1:2" x14ac:dyDescent="0.25">
      <c r="A3278">
        <v>5932</v>
      </c>
      <c r="B3278">
        <v>0</v>
      </c>
    </row>
    <row r="3279" spans="1:2" x14ac:dyDescent="0.25">
      <c r="A3279">
        <v>5934</v>
      </c>
      <c r="B3279">
        <v>0</v>
      </c>
    </row>
    <row r="3280" spans="1:2" x14ac:dyDescent="0.25">
      <c r="A3280">
        <v>5936</v>
      </c>
      <c r="B3280">
        <v>0</v>
      </c>
    </row>
    <row r="3281" spans="1:2" x14ac:dyDescent="0.25">
      <c r="A3281">
        <v>5938</v>
      </c>
      <c r="B3281">
        <v>0</v>
      </c>
    </row>
    <row r="3282" spans="1:2" x14ac:dyDescent="0.25">
      <c r="A3282">
        <v>5941</v>
      </c>
      <c r="B3282">
        <v>0</v>
      </c>
    </row>
    <row r="3283" spans="1:2" x14ac:dyDescent="0.25">
      <c r="A3283">
        <v>5942</v>
      </c>
      <c r="B3283">
        <v>0</v>
      </c>
    </row>
    <row r="3284" spans="1:2" x14ac:dyDescent="0.25">
      <c r="A3284">
        <v>5943</v>
      </c>
      <c r="B3284">
        <v>0</v>
      </c>
    </row>
    <row r="3285" spans="1:2" x14ac:dyDescent="0.25">
      <c r="A3285">
        <v>5944</v>
      </c>
      <c r="B3285">
        <v>0</v>
      </c>
    </row>
    <row r="3286" spans="1:2" x14ac:dyDescent="0.25">
      <c r="A3286">
        <v>5945</v>
      </c>
      <c r="B3286">
        <v>0</v>
      </c>
    </row>
    <row r="3287" spans="1:2" x14ac:dyDescent="0.25">
      <c r="A3287">
        <v>5946</v>
      </c>
      <c r="B3287">
        <v>0</v>
      </c>
    </row>
    <row r="3288" spans="1:2" x14ac:dyDescent="0.25">
      <c r="A3288">
        <v>5947</v>
      </c>
      <c r="B3288">
        <v>0</v>
      </c>
    </row>
    <row r="3289" spans="1:2" x14ac:dyDescent="0.25">
      <c r="A3289">
        <v>5948</v>
      </c>
      <c r="B3289">
        <v>0</v>
      </c>
    </row>
    <row r="3290" spans="1:2" x14ac:dyDescent="0.25">
      <c r="A3290">
        <v>5949</v>
      </c>
      <c r="B3290">
        <v>0</v>
      </c>
    </row>
    <row r="3291" spans="1:2" x14ac:dyDescent="0.25">
      <c r="A3291">
        <v>5951</v>
      </c>
      <c r="B3291">
        <v>0</v>
      </c>
    </row>
    <row r="3292" spans="1:2" x14ac:dyDescent="0.25">
      <c r="A3292">
        <v>5953</v>
      </c>
      <c r="B3292">
        <v>0</v>
      </c>
    </row>
    <row r="3293" spans="1:2" x14ac:dyDescent="0.25">
      <c r="A3293">
        <v>5955</v>
      </c>
      <c r="B3293">
        <v>0</v>
      </c>
    </row>
    <row r="3294" spans="1:2" x14ac:dyDescent="0.25">
      <c r="A3294">
        <v>5957</v>
      </c>
      <c r="B3294">
        <v>0</v>
      </c>
    </row>
    <row r="3295" spans="1:2" x14ac:dyDescent="0.25">
      <c r="A3295">
        <v>5959</v>
      </c>
      <c r="B3295">
        <v>0</v>
      </c>
    </row>
    <row r="3296" spans="1:2" x14ac:dyDescent="0.25">
      <c r="A3296">
        <v>5960</v>
      </c>
      <c r="B3296">
        <v>0</v>
      </c>
    </row>
    <row r="3297" spans="1:2" x14ac:dyDescent="0.25">
      <c r="A3297">
        <v>5961</v>
      </c>
      <c r="B3297">
        <v>0</v>
      </c>
    </row>
    <row r="3298" spans="1:2" x14ac:dyDescent="0.25">
      <c r="A3298">
        <v>5962</v>
      </c>
      <c r="B3298">
        <v>0</v>
      </c>
    </row>
    <row r="3299" spans="1:2" x14ac:dyDescent="0.25">
      <c r="A3299">
        <v>5963</v>
      </c>
      <c r="B3299">
        <v>0</v>
      </c>
    </row>
    <row r="3300" spans="1:2" x14ac:dyDescent="0.25">
      <c r="A3300">
        <v>5964</v>
      </c>
      <c r="B3300">
        <v>0</v>
      </c>
    </row>
    <row r="3301" spans="1:2" x14ac:dyDescent="0.25">
      <c r="A3301">
        <v>5965</v>
      </c>
      <c r="B3301">
        <v>0</v>
      </c>
    </row>
    <row r="3302" spans="1:2" x14ac:dyDescent="0.25">
      <c r="A3302">
        <v>5966</v>
      </c>
      <c r="B3302">
        <v>0</v>
      </c>
    </row>
    <row r="3303" spans="1:2" x14ac:dyDescent="0.25">
      <c r="A3303">
        <v>5973</v>
      </c>
      <c r="B3303">
        <v>0</v>
      </c>
    </row>
    <row r="3304" spans="1:2" x14ac:dyDescent="0.25">
      <c r="A3304">
        <v>5975</v>
      </c>
      <c r="B3304">
        <v>0</v>
      </c>
    </row>
    <row r="3305" spans="1:2" x14ac:dyDescent="0.25">
      <c r="A3305">
        <v>5976</v>
      </c>
      <c r="B3305">
        <v>0</v>
      </c>
    </row>
    <row r="3306" spans="1:2" x14ac:dyDescent="0.25">
      <c r="A3306">
        <v>5978</v>
      </c>
      <c r="B3306">
        <v>0</v>
      </c>
    </row>
    <row r="3307" spans="1:2" x14ac:dyDescent="0.25">
      <c r="A3307">
        <v>5982</v>
      </c>
      <c r="B3307">
        <v>0</v>
      </c>
    </row>
    <row r="3308" spans="1:2" x14ac:dyDescent="0.25">
      <c r="A3308">
        <v>5984</v>
      </c>
      <c r="B3308">
        <v>0</v>
      </c>
    </row>
    <row r="3309" spans="1:2" x14ac:dyDescent="0.25">
      <c r="A3309">
        <v>5986</v>
      </c>
      <c r="B3309">
        <v>0</v>
      </c>
    </row>
    <row r="3310" spans="1:2" x14ac:dyDescent="0.25">
      <c r="A3310">
        <v>5988</v>
      </c>
      <c r="B3310">
        <v>0</v>
      </c>
    </row>
    <row r="3311" spans="1:2" x14ac:dyDescent="0.25">
      <c r="A3311">
        <v>5989</v>
      </c>
      <c r="B3311">
        <v>0</v>
      </c>
    </row>
    <row r="3312" spans="1:2" x14ac:dyDescent="0.25">
      <c r="A3312">
        <v>5990</v>
      </c>
      <c r="B3312">
        <v>0</v>
      </c>
    </row>
    <row r="3313" spans="1:2" x14ac:dyDescent="0.25">
      <c r="A3313">
        <v>5992</v>
      </c>
      <c r="B3313">
        <v>0</v>
      </c>
    </row>
    <row r="3314" spans="1:2" x14ac:dyDescent="0.25">
      <c r="A3314">
        <v>5993</v>
      </c>
      <c r="B3314">
        <v>0</v>
      </c>
    </row>
    <row r="3315" spans="1:2" x14ac:dyDescent="0.25">
      <c r="A3315">
        <v>5994</v>
      </c>
      <c r="B3315">
        <v>0</v>
      </c>
    </row>
    <row r="3316" spans="1:2" x14ac:dyDescent="0.25">
      <c r="A3316">
        <v>5995</v>
      </c>
      <c r="B3316">
        <v>0</v>
      </c>
    </row>
    <row r="3317" spans="1:2" x14ac:dyDescent="0.25">
      <c r="A3317">
        <v>5999</v>
      </c>
      <c r="B3317">
        <v>0</v>
      </c>
    </row>
    <row r="3318" spans="1:2" x14ac:dyDescent="0.25">
      <c r="A3318">
        <v>6001</v>
      </c>
      <c r="B3318">
        <v>0</v>
      </c>
    </row>
    <row r="3319" spans="1:2" x14ac:dyDescent="0.25">
      <c r="A3319">
        <v>6002</v>
      </c>
      <c r="B3319">
        <v>0</v>
      </c>
    </row>
    <row r="3320" spans="1:2" x14ac:dyDescent="0.25">
      <c r="A3320">
        <v>6004</v>
      </c>
      <c r="B3320">
        <v>0</v>
      </c>
    </row>
    <row r="3321" spans="1:2" x14ac:dyDescent="0.25">
      <c r="A3321">
        <v>6005</v>
      </c>
      <c r="B3321">
        <v>0</v>
      </c>
    </row>
    <row r="3322" spans="1:2" x14ac:dyDescent="0.25">
      <c r="A3322">
        <v>6006</v>
      </c>
      <c r="B3322">
        <v>0</v>
      </c>
    </row>
    <row r="3323" spans="1:2" x14ac:dyDescent="0.25">
      <c r="A3323">
        <v>6011</v>
      </c>
      <c r="B3323">
        <v>0</v>
      </c>
    </row>
    <row r="3324" spans="1:2" x14ac:dyDescent="0.25">
      <c r="A3324">
        <v>6012</v>
      </c>
      <c r="B3324">
        <v>0</v>
      </c>
    </row>
    <row r="3325" spans="1:2" x14ac:dyDescent="0.25">
      <c r="A3325">
        <v>6014</v>
      </c>
      <c r="B3325">
        <v>0</v>
      </c>
    </row>
    <row r="3326" spans="1:2" x14ac:dyDescent="0.25">
      <c r="A3326">
        <v>6015</v>
      </c>
      <c r="B3326">
        <v>0</v>
      </c>
    </row>
    <row r="3327" spans="1:2" x14ac:dyDescent="0.25">
      <c r="A3327">
        <v>6019</v>
      </c>
      <c r="B3327">
        <v>0</v>
      </c>
    </row>
    <row r="3328" spans="1:2" x14ac:dyDescent="0.25">
      <c r="A3328">
        <v>6021</v>
      </c>
      <c r="B3328">
        <v>0</v>
      </c>
    </row>
    <row r="3329" spans="1:2" x14ac:dyDescent="0.25">
      <c r="A3329">
        <v>6022</v>
      </c>
      <c r="B3329">
        <v>0</v>
      </c>
    </row>
    <row r="3330" spans="1:2" x14ac:dyDescent="0.25">
      <c r="A3330">
        <v>6023</v>
      </c>
      <c r="B3330">
        <v>0</v>
      </c>
    </row>
    <row r="3331" spans="1:2" x14ac:dyDescent="0.25">
      <c r="A3331">
        <v>6024</v>
      </c>
      <c r="B3331">
        <v>0</v>
      </c>
    </row>
    <row r="3332" spans="1:2" x14ac:dyDescent="0.25">
      <c r="A3332">
        <v>6027</v>
      </c>
      <c r="B3332">
        <v>0</v>
      </c>
    </row>
    <row r="3333" spans="1:2" x14ac:dyDescent="0.25">
      <c r="A3333">
        <v>6028</v>
      </c>
      <c r="B3333">
        <v>0</v>
      </c>
    </row>
    <row r="3334" spans="1:2" x14ac:dyDescent="0.25">
      <c r="A3334">
        <v>6029</v>
      </c>
      <c r="B3334">
        <v>0</v>
      </c>
    </row>
    <row r="3335" spans="1:2" x14ac:dyDescent="0.25">
      <c r="A3335">
        <v>6030</v>
      </c>
      <c r="B3335">
        <v>0</v>
      </c>
    </row>
    <row r="3336" spans="1:2" x14ac:dyDescent="0.25">
      <c r="A3336">
        <v>6031</v>
      </c>
      <c r="B3336">
        <v>0</v>
      </c>
    </row>
    <row r="3337" spans="1:2" x14ac:dyDescent="0.25">
      <c r="A3337">
        <v>6032</v>
      </c>
      <c r="B3337">
        <v>0</v>
      </c>
    </row>
    <row r="3338" spans="1:2" x14ac:dyDescent="0.25">
      <c r="A3338">
        <v>6033</v>
      </c>
      <c r="B3338">
        <v>0</v>
      </c>
    </row>
    <row r="3339" spans="1:2" x14ac:dyDescent="0.25">
      <c r="A3339">
        <v>6034</v>
      </c>
      <c r="B3339">
        <v>0</v>
      </c>
    </row>
    <row r="3340" spans="1:2" x14ac:dyDescent="0.25">
      <c r="A3340">
        <v>6035</v>
      </c>
      <c r="B3340">
        <v>0</v>
      </c>
    </row>
    <row r="3341" spans="1:2" x14ac:dyDescent="0.25">
      <c r="A3341">
        <v>6036</v>
      </c>
      <c r="B3341">
        <v>0</v>
      </c>
    </row>
    <row r="3342" spans="1:2" x14ac:dyDescent="0.25">
      <c r="A3342">
        <v>6037</v>
      </c>
      <c r="B3342">
        <v>0</v>
      </c>
    </row>
    <row r="3343" spans="1:2" x14ac:dyDescent="0.25">
      <c r="A3343">
        <v>6039</v>
      </c>
      <c r="B3343">
        <v>0</v>
      </c>
    </row>
    <row r="3344" spans="1:2" x14ac:dyDescent="0.25">
      <c r="A3344">
        <v>6040</v>
      </c>
      <c r="B3344">
        <v>0</v>
      </c>
    </row>
    <row r="3345" spans="1:2" x14ac:dyDescent="0.25">
      <c r="A3345">
        <v>6051</v>
      </c>
      <c r="B3345">
        <v>0</v>
      </c>
    </row>
    <row r="3346" spans="1:2" x14ac:dyDescent="0.25">
      <c r="A3346">
        <v>6053</v>
      </c>
      <c r="B3346">
        <v>0</v>
      </c>
    </row>
    <row r="3347" spans="1:2" x14ac:dyDescent="0.25">
      <c r="A3347">
        <v>6054</v>
      </c>
      <c r="B3347">
        <v>0</v>
      </c>
    </row>
    <row r="3348" spans="1:2" x14ac:dyDescent="0.25">
      <c r="A3348">
        <v>6056</v>
      </c>
      <c r="B3348">
        <v>0</v>
      </c>
    </row>
    <row r="3349" spans="1:2" x14ac:dyDescent="0.25">
      <c r="A3349">
        <v>6058</v>
      </c>
      <c r="B3349">
        <v>0</v>
      </c>
    </row>
    <row r="3350" spans="1:2" x14ac:dyDescent="0.25">
      <c r="A3350">
        <v>6069</v>
      </c>
      <c r="B3350">
        <v>0</v>
      </c>
    </row>
    <row r="3351" spans="1:2" x14ac:dyDescent="0.25">
      <c r="A3351">
        <v>6071</v>
      </c>
      <c r="B3351">
        <v>0</v>
      </c>
    </row>
    <row r="3352" spans="1:2" x14ac:dyDescent="0.25">
      <c r="A3352">
        <v>6072</v>
      </c>
      <c r="B3352">
        <v>0</v>
      </c>
    </row>
    <row r="3353" spans="1:2" x14ac:dyDescent="0.25">
      <c r="A3353">
        <v>6073</v>
      </c>
      <c r="B3353">
        <v>0</v>
      </c>
    </row>
    <row r="3354" spans="1:2" x14ac:dyDescent="0.25">
      <c r="A3354">
        <v>6074</v>
      </c>
      <c r="B3354">
        <v>0</v>
      </c>
    </row>
    <row r="3355" spans="1:2" x14ac:dyDescent="0.25">
      <c r="A3355">
        <v>6075</v>
      </c>
      <c r="B3355">
        <v>0</v>
      </c>
    </row>
    <row r="3356" spans="1:2" x14ac:dyDescent="0.25">
      <c r="A3356">
        <v>6076</v>
      </c>
      <c r="B3356">
        <v>0</v>
      </c>
    </row>
    <row r="3357" spans="1:2" x14ac:dyDescent="0.25">
      <c r="A3357">
        <v>6084</v>
      </c>
      <c r="B3357">
        <v>0</v>
      </c>
    </row>
    <row r="3358" spans="1:2" x14ac:dyDescent="0.25">
      <c r="A3358">
        <v>6085</v>
      </c>
      <c r="B3358">
        <v>0</v>
      </c>
    </row>
    <row r="3359" spans="1:2" x14ac:dyDescent="0.25">
      <c r="A3359">
        <v>6087</v>
      </c>
      <c r="B3359">
        <v>0</v>
      </c>
    </row>
    <row r="3360" spans="1:2" x14ac:dyDescent="0.25">
      <c r="A3360">
        <v>6088</v>
      </c>
      <c r="B3360">
        <v>0</v>
      </c>
    </row>
    <row r="3361" spans="1:2" x14ac:dyDescent="0.25">
      <c r="A3361">
        <v>6090</v>
      </c>
      <c r="B3361">
        <v>0</v>
      </c>
    </row>
    <row r="3362" spans="1:2" x14ac:dyDescent="0.25">
      <c r="A3362">
        <v>6092</v>
      </c>
      <c r="B3362">
        <v>0</v>
      </c>
    </row>
    <row r="3363" spans="1:2" x14ac:dyDescent="0.25">
      <c r="A3363">
        <v>6094</v>
      </c>
      <c r="B3363">
        <v>0</v>
      </c>
    </row>
    <row r="3364" spans="1:2" x14ac:dyDescent="0.25">
      <c r="A3364">
        <v>6096</v>
      </c>
      <c r="B3364">
        <v>0</v>
      </c>
    </row>
    <row r="3365" spans="1:2" x14ac:dyDescent="0.25">
      <c r="A3365">
        <v>6097</v>
      </c>
      <c r="B3365">
        <v>0</v>
      </c>
    </row>
    <row r="3366" spans="1:2" x14ac:dyDescent="0.25">
      <c r="A3366">
        <v>6098</v>
      </c>
      <c r="B3366">
        <v>0</v>
      </c>
    </row>
    <row r="3367" spans="1:2" x14ac:dyDescent="0.25">
      <c r="A3367">
        <v>6099</v>
      </c>
      <c r="B3367">
        <v>0</v>
      </c>
    </row>
    <row r="3368" spans="1:2" x14ac:dyDescent="0.25">
      <c r="A3368">
        <v>6100</v>
      </c>
      <c r="B3368">
        <v>0</v>
      </c>
    </row>
    <row r="3369" spans="1:2" x14ac:dyDescent="0.25">
      <c r="A3369">
        <v>6101</v>
      </c>
      <c r="B3369">
        <v>0</v>
      </c>
    </row>
    <row r="3370" spans="1:2" x14ac:dyDescent="0.25">
      <c r="A3370">
        <v>6102</v>
      </c>
      <c r="B3370">
        <v>0</v>
      </c>
    </row>
    <row r="3371" spans="1:2" x14ac:dyDescent="0.25">
      <c r="A3371">
        <v>6103</v>
      </c>
      <c r="B3371">
        <v>0</v>
      </c>
    </row>
    <row r="3372" spans="1:2" x14ac:dyDescent="0.25">
      <c r="A3372">
        <v>6104</v>
      </c>
      <c r="B3372">
        <v>0</v>
      </c>
    </row>
    <row r="3373" spans="1:2" x14ac:dyDescent="0.25">
      <c r="A3373">
        <v>6111</v>
      </c>
      <c r="B3373">
        <v>0</v>
      </c>
    </row>
    <row r="3374" spans="1:2" x14ac:dyDescent="0.25">
      <c r="A3374">
        <v>6112</v>
      </c>
      <c r="B3374">
        <v>0</v>
      </c>
    </row>
    <row r="3375" spans="1:2" x14ac:dyDescent="0.25">
      <c r="A3375">
        <v>6113</v>
      </c>
      <c r="B3375">
        <v>0</v>
      </c>
    </row>
    <row r="3376" spans="1:2" x14ac:dyDescent="0.25">
      <c r="A3376">
        <v>6114</v>
      </c>
      <c r="B3376">
        <v>0</v>
      </c>
    </row>
    <row r="3377" spans="1:2" x14ac:dyDescent="0.25">
      <c r="A3377">
        <v>6115</v>
      </c>
      <c r="B3377">
        <v>0</v>
      </c>
    </row>
    <row r="3378" spans="1:2" x14ac:dyDescent="0.25">
      <c r="A3378">
        <v>6116</v>
      </c>
      <c r="B3378">
        <v>0</v>
      </c>
    </row>
    <row r="3379" spans="1:2" x14ac:dyDescent="0.25">
      <c r="A3379">
        <v>6117</v>
      </c>
      <c r="B3379">
        <v>0</v>
      </c>
    </row>
    <row r="3380" spans="1:2" x14ac:dyDescent="0.25">
      <c r="A3380">
        <v>6118</v>
      </c>
      <c r="B3380">
        <v>0</v>
      </c>
    </row>
    <row r="3381" spans="1:2" x14ac:dyDescent="0.25">
      <c r="A3381">
        <v>6119</v>
      </c>
      <c r="B3381">
        <v>0</v>
      </c>
    </row>
    <row r="3382" spans="1:2" x14ac:dyDescent="0.25">
      <c r="A3382">
        <v>6120</v>
      </c>
      <c r="B3382">
        <v>0</v>
      </c>
    </row>
    <row r="3383" spans="1:2" x14ac:dyDescent="0.25">
      <c r="A3383">
        <v>6121</v>
      </c>
      <c r="B3383">
        <v>0</v>
      </c>
    </row>
    <row r="3384" spans="1:2" x14ac:dyDescent="0.25">
      <c r="A3384">
        <v>6122</v>
      </c>
      <c r="B3384">
        <v>0</v>
      </c>
    </row>
    <row r="3385" spans="1:2" x14ac:dyDescent="0.25">
      <c r="A3385">
        <v>6123</v>
      </c>
      <c r="B3385">
        <v>0</v>
      </c>
    </row>
    <row r="3386" spans="1:2" x14ac:dyDescent="0.25">
      <c r="A3386">
        <v>6124</v>
      </c>
      <c r="B3386">
        <v>0</v>
      </c>
    </row>
    <row r="3387" spans="1:2" x14ac:dyDescent="0.25">
      <c r="A3387">
        <v>6125</v>
      </c>
      <c r="B3387">
        <v>0</v>
      </c>
    </row>
    <row r="3388" spans="1:2" x14ac:dyDescent="0.25">
      <c r="A3388">
        <v>6127</v>
      </c>
      <c r="B3388">
        <v>0</v>
      </c>
    </row>
    <row r="3389" spans="1:2" x14ac:dyDescent="0.25">
      <c r="A3389">
        <v>6129</v>
      </c>
      <c r="B3389">
        <v>0</v>
      </c>
    </row>
    <row r="3390" spans="1:2" x14ac:dyDescent="0.25">
      <c r="A3390">
        <v>6131</v>
      </c>
      <c r="B3390">
        <v>0</v>
      </c>
    </row>
    <row r="3391" spans="1:2" x14ac:dyDescent="0.25">
      <c r="A3391">
        <v>6133</v>
      </c>
      <c r="B3391">
        <v>0</v>
      </c>
    </row>
    <row r="3392" spans="1:2" x14ac:dyDescent="0.25">
      <c r="A3392">
        <v>6144</v>
      </c>
      <c r="B3392">
        <v>0</v>
      </c>
    </row>
    <row r="3393" spans="1:2" x14ac:dyDescent="0.25">
      <c r="A3393">
        <v>6146</v>
      </c>
      <c r="B3393">
        <v>0</v>
      </c>
    </row>
    <row r="3394" spans="1:2" x14ac:dyDescent="0.25">
      <c r="A3394">
        <v>6147</v>
      </c>
      <c r="B3394">
        <v>0</v>
      </c>
    </row>
    <row r="3395" spans="1:2" x14ac:dyDescent="0.25">
      <c r="A3395">
        <v>6148</v>
      </c>
      <c r="B3395">
        <v>0</v>
      </c>
    </row>
    <row r="3396" spans="1:2" x14ac:dyDescent="0.25">
      <c r="A3396">
        <v>6149</v>
      </c>
      <c r="B3396">
        <v>0</v>
      </c>
    </row>
    <row r="3397" spans="1:2" x14ac:dyDescent="0.25">
      <c r="A3397">
        <v>6150</v>
      </c>
      <c r="B3397">
        <v>0</v>
      </c>
    </row>
    <row r="3398" spans="1:2" x14ac:dyDescent="0.25">
      <c r="A3398">
        <v>6151</v>
      </c>
      <c r="B3398">
        <v>0</v>
      </c>
    </row>
    <row r="3399" spans="1:2" x14ac:dyDescent="0.25">
      <c r="A3399">
        <v>6152</v>
      </c>
      <c r="B3399">
        <v>0</v>
      </c>
    </row>
    <row r="3400" spans="1:2" x14ac:dyDescent="0.25">
      <c r="A3400">
        <v>6154</v>
      </c>
      <c r="B3400">
        <v>0</v>
      </c>
    </row>
    <row r="3401" spans="1:2" x14ac:dyDescent="0.25">
      <c r="A3401">
        <v>6158</v>
      </c>
      <c r="B3401">
        <v>0</v>
      </c>
    </row>
    <row r="3402" spans="1:2" x14ac:dyDescent="0.25">
      <c r="A3402">
        <v>6161</v>
      </c>
      <c r="B3402">
        <v>0</v>
      </c>
    </row>
    <row r="3403" spans="1:2" x14ac:dyDescent="0.25">
      <c r="A3403">
        <v>6162</v>
      </c>
      <c r="B3403">
        <v>0</v>
      </c>
    </row>
    <row r="3404" spans="1:2" x14ac:dyDescent="0.25">
      <c r="A3404">
        <v>6163</v>
      </c>
      <c r="B3404">
        <v>0</v>
      </c>
    </row>
    <row r="3405" spans="1:2" x14ac:dyDescent="0.25">
      <c r="A3405">
        <v>6164</v>
      </c>
      <c r="B3405">
        <v>0</v>
      </c>
    </row>
    <row r="3406" spans="1:2" x14ac:dyDescent="0.25">
      <c r="A3406">
        <v>6165</v>
      </c>
      <c r="B3406">
        <v>0</v>
      </c>
    </row>
    <row r="3407" spans="1:2" x14ac:dyDescent="0.25">
      <c r="A3407">
        <v>6166</v>
      </c>
      <c r="B3407">
        <v>0</v>
      </c>
    </row>
    <row r="3408" spans="1:2" x14ac:dyDescent="0.25">
      <c r="A3408">
        <v>6167</v>
      </c>
      <c r="B3408">
        <v>0</v>
      </c>
    </row>
    <row r="3409" spans="1:2" x14ac:dyDescent="0.25">
      <c r="A3409">
        <v>6168</v>
      </c>
      <c r="B3409">
        <v>0</v>
      </c>
    </row>
    <row r="3410" spans="1:2" x14ac:dyDescent="0.25">
      <c r="A3410">
        <v>6169</v>
      </c>
      <c r="B3410">
        <v>0</v>
      </c>
    </row>
    <row r="3411" spans="1:2" x14ac:dyDescent="0.25">
      <c r="A3411">
        <v>6170</v>
      </c>
      <c r="B3411">
        <v>0</v>
      </c>
    </row>
    <row r="3412" spans="1:2" x14ac:dyDescent="0.25">
      <c r="A3412">
        <v>6171</v>
      </c>
      <c r="B3412">
        <v>0</v>
      </c>
    </row>
    <row r="3413" spans="1:2" x14ac:dyDescent="0.25">
      <c r="A3413">
        <v>6172</v>
      </c>
      <c r="B3413">
        <v>0</v>
      </c>
    </row>
    <row r="3414" spans="1:2" x14ac:dyDescent="0.25">
      <c r="A3414">
        <v>6173</v>
      </c>
      <c r="B3414">
        <v>0</v>
      </c>
    </row>
    <row r="3415" spans="1:2" x14ac:dyDescent="0.25">
      <c r="A3415">
        <v>6174</v>
      </c>
      <c r="B3415">
        <v>0</v>
      </c>
    </row>
    <row r="3416" spans="1:2" x14ac:dyDescent="0.25">
      <c r="A3416">
        <v>6175</v>
      </c>
      <c r="B3416">
        <v>0</v>
      </c>
    </row>
    <row r="3417" spans="1:2" x14ac:dyDescent="0.25">
      <c r="A3417">
        <v>6179</v>
      </c>
      <c r="B3417">
        <v>0</v>
      </c>
    </row>
    <row r="3418" spans="1:2" x14ac:dyDescent="0.25">
      <c r="A3418">
        <v>6180</v>
      </c>
      <c r="B3418">
        <v>0</v>
      </c>
    </row>
    <row r="3419" spans="1:2" x14ac:dyDescent="0.25">
      <c r="A3419">
        <v>6181</v>
      </c>
      <c r="B3419">
        <v>0</v>
      </c>
    </row>
    <row r="3420" spans="1:2" x14ac:dyDescent="0.25">
      <c r="A3420">
        <v>6182</v>
      </c>
      <c r="B3420">
        <v>0</v>
      </c>
    </row>
    <row r="3421" spans="1:2" x14ac:dyDescent="0.25">
      <c r="A3421">
        <v>6183</v>
      </c>
      <c r="B3421">
        <v>0</v>
      </c>
    </row>
    <row r="3422" spans="1:2" x14ac:dyDescent="0.25">
      <c r="A3422">
        <v>6184</v>
      </c>
      <c r="B3422">
        <v>0</v>
      </c>
    </row>
    <row r="3423" spans="1:2" x14ac:dyDescent="0.25">
      <c r="A3423">
        <v>6185</v>
      </c>
      <c r="B3423">
        <v>0</v>
      </c>
    </row>
    <row r="3424" spans="1:2" x14ac:dyDescent="0.25">
      <c r="A3424">
        <v>6186</v>
      </c>
      <c r="B3424">
        <v>0</v>
      </c>
    </row>
    <row r="3425" spans="1:2" x14ac:dyDescent="0.25">
      <c r="A3425">
        <v>6188</v>
      </c>
      <c r="B3425">
        <v>0</v>
      </c>
    </row>
    <row r="3426" spans="1:2" x14ac:dyDescent="0.25">
      <c r="A3426">
        <v>6190</v>
      </c>
      <c r="B3426">
        <v>0</v>
      </c>
    </row>
    <row r="3427" spans="1:2" x14ac:dyDescent="0.25">
      <c r="A3427">
        <v>6192</v>
      </c>
      <c r="B3427">
        <v>0</v>
      </c>
    </row>
    <row r="3428" spans="1:2" x14ac:dyDescent="0.25">
      <c r="A3428">
        <v>6202</v>
      </c>
      <c r="B3428">
        <v>0</v>
      </c>
    </row>
    <row r="3429" spans="1:2" x14ac:dyDescent="0.25">
      <c r="A3429">
        <v>6203</v>
      </c>
      <c r="B3429">
        <v>0</v>
      </c>
    </row>
    <row r="3430" spans="1:2" x14ac:dyDescent="0.25">
      <c r="A3430">
        <v>6204</v>
      </c>
      <c r="B3430">
        <v>0</v>
      </c>
    </row>
    <row r="3431" spans="1:2" x14ac:dyDescent="0.25">
      <c r="A3431">
        <v>6205</v>
      </c>
      <c r="B3431">
        <v>0</v>
      </c>
    </row>
    <row r="3432" spans="1:2" x14ac:dyDescent="0.25">
      <c r="A3432">
        <v>6206</v>
      </c>
      <c r="B3432">
        <v>0</v>
      </c>
    </row>
    <row r="3433" spans="1:2" x14ac:dyDescent="0.25">
      <c r="A3433">
        <v>6207</v>
      </c>
      <c r="B3433">
        <v>0</v>
      </c>
    </row>
    <row r="3434" spans="1:2" x14ac:dyDescent="0.25">
      <c r="A3434">
        <v>6208</v>
      </c>
      <c r="B3434">
        <v>0</v>
      </c>
    </row>
    <row r="3435" spans="1:2" x14ac:dyDescent="0.25">
      <c r="A3435">
        <v>6209</v>
      </c>
      <c r="B3435">
        <v>0</v>
      </c>
    </row>
    <row r="3436" spans="1:2" x14ac:dyDescent="0.25">
      <c r="A3436">
        <v>6210</v>
      </c>
      <c r="B3436">
        <v>0</v>
      </c>
    </row>
    <row r="3437" spans="1:2" x14ac:dyDescent="0.25">
      <c r="A3437">
        <v>6211</v>
      </c>
      <c r="B3437">
        <v>0</v>
      </c>
    </row>
    <row r="3438" spans="1:2" x14ac:dyDescent="0.25">
      <c r="A3438">
        <v>6212</v>
      </c>
      <c r="B3438">
        <v>0</v>
      </c>
    </row>
    <row r="3439" spans="1:2" x14ac:dyDescent="0.25">
      <c r="A3439">
        <v>6213</v>
      </c>
      <c r="B3439">
        <v>0</v>
      </c>
    </row>
    <row r="3440" spans="1:2" x14ac:dyDescent="0.25">
      <c r="A3440">
        <v>6214</v>
      </c>
      <c r="B3440">
        <v>0</v>
      </c>
    </row>
    <row r="3441" spans="1:2" x14ac:dyDescent="0.25">
      <c r="A3441">
        <v>6215</v>
      </c>
      <c r="B3441">
        <v>0</v>
      </c>
    </row>
    <row r="3442" spans="1:2" x14ac:dyDescent="0.25">
      <c r="A3442">
        <v>6216</v>
      </c>
      <c r="B3442">
        <v>0</v>
      </c>
    </row>
    <row r="3443" spans="1:2" x14ac:dyDescent="0.25">
      <c r="A3443">
        <v>6217</v>
      </c>
      <c r="B3443">
        <v>0</v>
      </c>
    </row>
    <row r="3444" spans="1:2" x14ac:dyDescent="0.25">
      <c r="A3444">
        <v>6218</v>
      </c>
      <c r="B3444">
        <v>0</v>
      </c>
    </row>
    <row r="3445" spans="1:2" x14ac:dyDescent="0.25">
      <c r="A3445">
        <v>6219</v>
      </c>
      <c r="B3445">
        <v>0</v>
      </c>
    </row>
    <row r="3446" spans="1:2" x14ac:dyDescent="0.25">
      <c r="A3446">
        <v>6220</v>
      </c>
      <c r="B3446">
        <v>0</v>
      </c>
    </row>
    <row r="3447" spans="1:2" x14ac:dyDescent="0.25">
      <c r="A3447">
        <v>6221</v>
      </c>
      <c r="B3447">
        <v>0</v>
      </c>
    </row>
    <row r="3448" spans="1:2" x14ac:dyDescent="0.25">
      <c r="A3448">
        <v>6222</v>
      </c>
      <c r="B3448">
        <v>0</v>
      </c>
    </row>
    <row r="3449" spans="1:2" x14ac:dyDescent="0.25">
      <c r="A3449">
        <v>6223</v>
      </c>
      <c r="B3449">
        <v>0</v>
      </c>
    </row>
    <row r="3450" spans="1:2" x14ac:dyDescent="0.25">
      <c r="A3450">
        <v>6224</v>
      </c>
      <c r="B3450">
        <v>0</v>
      </c>
    </row>
    <row r="3451" spans="1:2" x14ac:dyDescent="0.25">
      <c r="A3451">
        <v>6225</v>
      </c>
      <c r="B3451">
        <v>0</v>
      </c>
    </row>
    <row r="3452" spans="1:2" x14ac:dyDescent="0.25">
      <c r="A3452">
        <v>6227</v>
      </c>
      <c r="B3452">
        <v>0</v>
      </c>
    </row>
    <row r="3453" spans="1:2" x14ac:dyDescent="0.25">
      <c r="A3453">
        <v>6233</v>
      </c>
      <c r="B3453">
        <v>0</v>
      </c>
    </row>
    <row r="3454" spans="1:2" x14ac:dyDescent="0.25">
      <c r="A3454">
        <v>6236</v>
      </c>
      <c r="B3454">
        <v>0</v>
      </c>
    </row>
    <row r="3455" spans="1:2" x14ac:dyDescent="0.25">
      <c r="A3455">
        <v>6237</v>
      </c>
      <c r="B3455">
        <v>0</v>
      </c>
    </row>
    <row r="3456" spans="1:2" x14ac:dyDescent="0.25">
      <c r="A3456">
        <v>6238</v>
      </c>
      <c r="B3456">
        <v>0</v>
      </c>
    </row>
    <row r="3457" spans="1:2" x14ac:dyDescent="0.25">
      <c r="A3457">
        <v>6239</v>
      </c>
      <c r="B3457">
        <v>0</v>
      </c>
    </row>
    <row r="3458" spans="1:2" x14ac:dyDescent="0.25">
      <c r="A3458">
        <v>6240</v>
      </c>
      <c r="B3458">
        <v>0</v>
      </c>
    </row>
    <row r="3459" spans="1:2" x14ac:dyDescent="0.25">
      <c r="A3459">
        <v>6241</v>
      </c>
      <c r="B3459">
        <v>0</v>
      </c>
    </row>
    <row r="3460" spans="1:2" x14ac:dyDescent="0.25">
      <c r="A3460">
        <v>6242</v>
      </c>
      <c r="B3460">
        <v>0</v>
      </c>
    </row>
    <row r="3461" spans="1:2" x14ac:dyDescent="0.25">
      <c r="A3461">
        <v>6243</v>
      </c>
      <c r="B3461">
        <v>0</v>
      </c>
    </row>
    <row r="3462" spans="1:2" x14ac:dyDescent="0.25">
      <c r="A3462">
        <v>6244</v>
      </c>
      <c r="B3462">
        <v>0</v>
      </c>
    </row>
    <row r="3463" spans="1:2" x14ac:dyDescent="0.25">
      <c r="A3463">
        <v>6247</v>
      </c>
      <c r="B3463">
        <v>0</v>
      </c>
    </row>
    <row r="3464" spans="1:2" x14ac:dyDescent="0.25">
      <c r="A3464">
        <v>6249</v>
      </c>
      <c r="B3464">
        <v>0</v>
      </c>
    </row>
    <row r="3465" spans="1:2" x14ac:dyDescent="0.25">
      <c r="A3465">
        <v>6250</v>
      </c>
      <c r="B3465">
        <v>0</v>
      </c>
    </row>
    <row r="3466" spans="1:2" x14ac:dyDescent="0.25">
      <c r="A3466">
        <v>6251</v>
      </c>
      <c r="B3466">
        <v>0</v>
      </c>
    </row>
    <row r="3467" spans="1:2" x14ac:dyDescent="0.25">
      <c r="A3467">
        <v>6253</v>
      </c>
      <c r="B3467">
        <v>0</v>
      </c>
    </row>
    <row r="3468" spans="1:2" x14ac:dyDescent="0.25">
      <c r="A3468">
        <v>6266</v>
      </c>
      <c r="B3468">
        <v>0</v>
      </c>
    </row>
    <row r="3469" spans="1:2" x14ac:dyDescent="0.25">
      <c r="A3469">
        <v>6267</v>
      </c>
      <c r="B3469">
        <v>0</v>
      </c>
    </row>
    <row r="3470" spans="1:2" x14ac:dyDescent="0.25">
      <c r="A3470">
        <v>6268</v>
      </c>
      <c r="B3470">
        <v>0</v>
      </c>
    </row>
    <row r="3471" spans="1:2" x14ac:dyDescent="0.25">
      <c r="A3471">
        <v>6269</v>
      </c>
      <c r="B3471">
        <v>0</v>
      </c>
    </row>
    <row r="3472" spans="1:2" x14ac:dyDescent="0.25">
      <c r="A3472">
        <v>6270</v>
      </c>
      <c r="B3472">
        <v>0</v>
      </c>
    </row>
    <row r="3473" spans="1:2" x14ac:dyDescent="0.25">
      <c r="A3473">
        <v>6271</v>
      </c>
      <c r="B3473">
        <v>0</v>
      </c>
    </row>
    <row r="3474" spans="1:2" x14ac:dyDescent="0.25">
      <c r="A3474">
        <v>6272</v>
      </c>
      <c r="B3474">
        <v>0</v>
      </c>
    </row>
    <row r="3475" spans="1:2" x14ac:dyDescent="0.25">
      <c r="A3475">
        <v>6273</v>
      </c>
      <c r="B3475">
        <v>0</v>
      </c>
    </row>
    <row r="3476" spans="1:2" x14ac:dyDescent="0.25">
      <c r="A3476">
        <v>6274</v>
      </c>
      <c r="B3476">
        <v>0</v>
      </c>
    </row>
    <row r="3477" spans="1:2" x14ac:dyDescent="0.25">
      <c r="A3477">
        <v>6275</v>
      </c>
      <c r="B3477">
        <v>0</v>
      </c>
    </row>
    <row r="3478" spans="1:2" x14ac:dyDescent="0.25">
      <c r="A3478">
        <v>6278</v>
      </c>
      <c r="B3478">
        <v>0</v>
      </c>
    </row>
    <row r="3479" spans="1:2" x14ac:dyDescent="0.25">
      <c r="A3479">
        <v>6281</v>
      </c>
      <c r="B3479">
        <v>0</v>
      </c>
    </row>
    <row r="3480" spans="1:2" x14ac:dyDescent="0.25">
      <c r="A3480">
        <v>6283</v>
      </c>
      <c r="B3480">
        <v>0</v>
      </c>
    </row>
    <row r="3481" spans="1:2" x14ac:dyDescent="0.25">
      <c r="A3481">
        <v>6287</v>
      </c>
      <c r="B3481">
        <v>0</v>
      </c>
    </row>
    <row r="3482" spans="1:2" x14ac:dyDescent="0.25">
      <c r="A3482">
        <v>6288</v>
      </c>
      <c r="B3482">
        <v>0</v>
      </c>
    </row>
    <row r="3483" spans="1:2" x14ac:dyDescent="0.25">
      <c r="A3483">
        <v>6290</v>
      </c>
      <c r="B3483">
        <v>0</v>
      </c>
    </row>
    <row r="3484" spans="1:2" x14ac:dyDescent="0.25">
      <c r="A3484">
        <v>6292</v>
      </c>
      <c r="B3484">
        <v>0</v>
      </c>
    </row>
    <row r="3485" spans="1:2" x14ac:dyDescent="0.25">
      <c r="A3485">
        <v>6293</v>
      </c>
      <c r="B3485">
        <v>0</v>
      </c>
    </row>
    <row r="3486" spans="1:2" x14ac:dyDescent="0.25">
      <c r="A3486">
        <v>6294</v>
      </c>
      <c r="B3486">
        <v>0</v>
      </c>
    </row>
    <row r="3487" spans="1:2" x14ac:dyDescent="0.25">
      <c r="A3487">
        <v>6297</v>
      </c>
      <c r="B3487">
        <v>0</v>
      </c>
    </row>
    <row r="3488" spans="1:2" x14ac:dyDescent="0.25">
      <c r="A3488">
        <v>6300</v>
      </c>
      <c r="B3488">
        <v>0</v>
      </c>
    </row>
    <row r="3489" spans="1:2" x14ac:dyDescent="0.25">
      <c r="A3489">
        <v>6301</v>
      </c>
      <c r="B3489">
        <v>0</v>
      </c>
    </row>
    <row r="3490" spans="1:2" x14ac:dyDescent="0.25">
      <c r="A3490">
        <v>6302</v>
      </c>
      <c r="B3490">
        <v>0</v>
      </c>
    </row>
    <row r="3491" spans="1:2" x14ac:dyDescent="0.25">
      <c r="A3491">
        <v>6303</v>
      </c>
      <c r="B3491">
        <v>0</v>
      </c>
    </row>
    <row r="3492" spans="1:2" x14ac:dyDescent="0.25">
      <c r="A3492">
        <v>6307</v>
      </c>
      <c r="B3492">
        <v>0</v>
      </c>
    </row>
    <row r="3493" spans="1:2" x14ac:dyDescent="0.25">
      <c r="A3493">
        <v>6308</v>
      </c>
      <c r="B3493">
        <v>0</v>
      </c>
    </row>
    <row r="3494" spans="1:2" x14ac:dyDescent="0.25">
      <c r="A3494">
        <v>6310</v>
      </c>
      <c r="B3494">
        <v>0</v>
      </c>
    </row>
    <row r="3495" spans="1:2" x14ac:dyDescent="0.25">
      <c r="A3495">
        <v>6312</v>
      </c>
      <c r="B3495">
        <v>0</v>
      </c>
    </row>
    <row r="3496" spans="1:2" x14ac:dyDescent="0.25">
      <c r="A3496">
        <v>6314</v>
      </c>
      <c r="B3496">
        <v>0</v>
      </c>
    </row>
    <row r="3497" spans="1:2" x14ac:dyDescent="0.25">
      <c r="A3497">
        <v>6316</v>
      </c>
      <c r="B3497">
        <v>0</v>
      </c>
    </row>
    <row r="3498" spans="1:2" x14ac:dyDescent="0.25">
      <c r="A3498">
        <v>6318</v>
      </c>
      <c r="B3498">
        <v>0</v>
      </c>
    </row>
    <row r="3499" spans="1:2" x14ac:dyDescent="0.25">
      <c r="A3499">
        <v>6320</v>
      </c>
      <c r="B3499">
        <v>0</v>
      </c>
    </row>
    <row r="3500" spans="1:2" x14ac:dyDescent="0.25">
      <c r="A3500">
        <v>6321</v>
      </c>
      <c r="B3500">
        <v>0</v>
      </c>
    </row>
    <row r="3501" spans="1:2" x14ac:dyDescent="0.25">
      <c r="A3501">
        <v>6322</v>
      </c>
      <c r="B3501">
        <v>0</v>
      </c>
    </row>
    <row r="3502" spans="1:2" x14ac:dyDescent="0.25">
      <c r="A3502">
        <v>6323</v>
      </c>
      <c r="B3502">
        <v>0</v>
      </c>
    </row>
    <row r="3503" spans="1:2" x14ac:dyDescent="0.25">
      <c r="A3503">
        <v>6324</v>
      </c>
      <c r="B3503">
        <v>0</v>
      </c>
    </row>
    <row r="3504" spans="1:2" x14ac:dyDescent="0.25">
      <c r="A3504">
        <v>6325</v>
      </c>
      <c r="B3504">
        <v>0</v>
      </c>
    </row>
    <row r="3505" spans="1:2" x14ac:dyDescent="0.25">
      <c r="A3505">
        <v>6327</v>
      </c>
      <c r="B3505">
        <v>0</v>
      </c>
    </row>
    <row r="3506" spans="1:2" x14ac:dyDescent="0.25">
      <c r="A3506">
        <v>6328</v>
      </c>
      <c r="B3506">
        <v>0</v>
      </c>
    </row>
    <row r="3507" spans="1:2" x14ac:dyDescent="0.25">
      <c r="A3507">
        <v>6329</v>
      </c>
      <c r="B3507">
        <v>0</v>
      </c>
    </row>
    <row r="3508" spans="1:2" x14ac:dyDescent="0.25">
      <c r="A3508">
        <v>6330</v>
      </c>
      <c r="B3508">
        <v>0</v>
      </c>
    </row>
    <row r="3509" spans="1:2" x14ac:dyDescent="0.25">
      <c r="A3509">
        <v>6331</v>
      </c>
      <c r="B3509">
        <v>0</v>
      </c>
    </row>
    <row r="3510" spans="1:2" x14ac:dyDescent="0.25">
      <c r="A3510">
        <v>6332</v>
      </c>
      <c r="B3510">
        <v>0</v>
      </c>
    </row>
    <row r="3511" spans="1:2" x14ac:dyDescent="0.25">
      <c r="A3511">
        <v>6333</v>
      </c>
      <c r="B3511">
        <v>0</v>
      </c>
    </row>
    <row r="3512" spans="1:2" x14ac:dyDescent="0.25">
      <c r="A3512">
        <v>6334</v>
      </c>
      <c r="B3512">
        <v>0</v>
      </c>
    </row>
    <row r="3513" spans="1:2" x14ac:dyDescent="0.25">
      <c r="A3513">
        <v>6335</v>
      </c>
      <c r="B3513">
        <v>0</v>
      </c>
    </row>
    <row r="3514" spans="1:2" x14ac:dyDescent="0.25">
      <c r="A3514">
        <v>6336</v>
      </c>
      <c r="B3514">
        <v>0</v>
      </c>
    </row>
    <row r="3515" spans="1:2" x14ac:dyDescent="0.25">
      <c r="A3515">
        <v>6337</v>
      </c>
      <c r="B3515">
        <v>0</v>
      </c>
    </row>
    <row r="3516" spans="1:2" x14ac:dyDescent="0.25">
      <c r="A3516">
        <v>6339</v>
      </c>
      <c r="B3516">
        <v>0</v>
      </c>
    </row>
    <row r="3517" spans="1:2" x14ac:dyDescent="0.25">
      <c r="A3517">
        <v>6342</v>
      </c>
      <c r="B3517">
        <v>0</v>
      </c>
    </row>
    <row r="3518" spans="1:2" x14ac:dyDescent="0.25">
      <c r="A3518">
        <v>6343</v>
      </c>
      <c r="B3518">
        <v>0</v>
      </c>
    </row>
    <row r="3519" spans="1:2" x14ac:dyDescent="0.25">
      <c r="A3519">
        <v>6345</v>
      </c>
      <c r="B3519">
        <v>0</v>
      </c>
    </row>
    <row r="3520" spans="1:2" x14ac:dyDescent="0.25">
      <c r="A3520">
        <v>6347</v>
      </c>
      <c r="B3520">
        <v>0</v>
      </c>
    </row>
    <row r="3521" spans="1:2" x14ac:dyDescent="0.25">
      <c r="A3521">
        <v>6348</v>
      </c>
      <c r="B3521">
        <v>0</v>
      </c>
    </row>
    <row r="3522" spans="1:2" x14ac:dyDescent="0.25">
      <c r="A3522">
        <v>6350</v>
      </c>
      <c r="B3522">
        <v>0</v>
      </c>
    </row>
    <row r="3523" spans="1:2" x14ac:dyDescent="0.25">
      <c r="A3523">
        <v>6351</v>
      </c>
      <c r="B3523">
        <v>0</v>
      </c>
    </row>
    <row r="3524" spans="1:2" x14ac:dyDescent="0.25">
      <c r="A3524">
        <v>6352</v>
      </c>
      <c r="B3524">
        <v>0</v>
      </c>
    </row>
    <row r="3525" spans="1:2" x14ac:dyDescent="0.25">
      <c r="A3525">
        <v>6353</v>
      </c>
      <c r="B3525">
        <v>0</v>
      </c>
    </row>
    <row r="3526" spans="1:2" x14ac:dyDescent="0.25">
      <c r="A3526">
        <v>6354</v>
      </c>
      <c r="B3526">
        <v>0</v>
      </c>
    </row>
    <row r="3527" spans="1:2" x14ac:dyDescent="0.25">
      <c r="A3527">
        <v>6355</v>
      </c>
      <c r="B3527">
        <v>0</v>
      </c>
    </row>
    <row r="3528" spans="1:2" x14ac:dyDescent="0.25">
      <c r="A3528">
        <v>6356</v>
      </c>
      <c r="B3528">
        <v>0</v>
      </c>
    </row>
    <row r="3529" spans="1:2" x14ac:dyDescent="0.25">
      <c r="A3529">
        <v>6357</v>
      </c>
      <c r="B3529">
        <v>0</v>
      </c>
    </row>
    <row r="3530" spans="1:2" x14ac:dyDescent="0.25">
      <c r="A3530">
        <v>6358</v>
      </c>
      <c r="B3530">
        <v>0</v>
      </c>
    </row>
    <row r="3531" spans="1:2" x14ac:dyDescent="0.25">
      <c r="A3531">
        <v>6359</v>
      </c>
      <c r="B3531">
        <v>0</v>
      </c>
    </row>
    <row r="3532" spans="1:2" x14ac:dyDescent="0.25">
      <c r="A3532">
        <v>6360</v>
      </c>
      <c r="B3532">
        <v>0</v>
      </c>
    </row>
    <row r="3533" spans="1:2" x14ac:dyDescent="0.25">
      <c r="A3533">
        <v>6361</v>
      </c>
      <c r="B3533">
        <v>0</v>
      </c>
    </row>
    <row r="3534" spans="1:2" x14ac:dyDescent="0.25">
      <c r="A3534">
        <v>6362</v>
      </c>
      <c r="B3534">
        <v>0</v>
      </c>
    </row>
    <row r="3535" spans="1:2" x14ac:dyDescent="0.25">
      <c r="A3535">
        <v>6363</v>
      </c>
      <c r="B3535">
        <v>0</v>
      </c>
    </row>
    <row r="3536" spans="1:2" x14ac:dyDescent="0.25">
      <c r="A3536">
        <v>6364</v>
      </c>
      <c r="B3536">
        <v>0</v>
      </c>
    </row>
    <row r="3537" spans="1:2" x14ac:dyDescent="0.25">
      <c r="A3537">
        <v>6365</v>
      </c>
      <c r="B3537">
        <v>0</v>
      </c>
    </row>
    <row r="3538" spans="1:2" x14ac:dyDescent="0.25">
      <c r="A3538">
        <v>6366</v>
      </c>
      <c r="B3538">
        <v>0</v>
      </c>
    </row>
    <row r="3539" spans="1:2" x14ac:dyDescent="0.25">
      <c r="A3539">
        <v>6367</v>
      </c>
      <c r="B3539">
        <v>0</v>
      </c>
    </row>
    <row r="3540" spans="1:2" x14ac:dyDescent="0.25">
      <c r="A3540">
        <v>6368</v>
      </c>
      <c r="B3540">
        <v>0</v>
      </c>
    </row>
    <row r="3541" spans="1:2" x14ac:dyDescent="0.25">
      <c r="A3541">
        <v>6369</v>
      </c>
      <c r="B3541">
        <v>0</v>
      </c>
    </row>
    <row r="3542" spans="1:2" x14ac:dyDescent="0.25">
      <c r="A3542">
        <v>6370</v>
      </c>
      <c r="B3542">
        <v>0</v>
      </c>
    </row>
    <row r="3543" spans="1:2" x14ac:dyDescent="0.25">
      <c r="A3543">
        <v>6371</v>
      </c>
      <c r="B3543">
        <v>0</v>
      </c>
    </row>
    <row r="3544" spans="1:2" x14ac:dyDescent="0.25">
      <c r="A3544">
        <v>6372</v>
      </c>
      <c r="B3544">
        <v>0</v>
      </c>
    </row>
    <row r="3545" spans="1:2" x14ac:dyDescent="0.25">
      <c r="A3545">
        <v>6373</v>
      </c>
      <c r="B3545">
        <v>0</v>
      </c>
    </row>
    <row r="3546" spans="1:2" x14ac:dyDescent="0.25">
      <c r="A3546">
        <v>6374</v>
      </c>
      <c r="B3546">
        <v>0</v>
      </c>
    </row>
    <row r="3547" spans="1:2" x14ac:dyDescent="0.25">
      <c r="A3547">
        <v>6375</v>
      </c>
      <c r="B3547">
        <v>0</v>
      </c>
    </row>
    <row r="3548" spans="1:2" x14ac:dyDescent="0.25">
      <c r="A3548">
        <v>6376</v>
      </c>
      <c r="B3548">
        <v>0</v>
      </c>
    </row>
    <row r="3549" spans="1:2" x14ac:dyDescent="0.25">
      <c r="A3549">
        <v>6377</v>
      </c>
      <c r="B3549">
        <v>0</v>
      </c>
    </row>
    <row r="3550" spans="1:2" x14ac:dyDescent="0.25">
      <c r="A3550">
        <v>6378</v>
      </c>
      <c r="B3550">
        <v>0</v>
      </c>
    </row>
    <row r="3551" spans="1:2" x14ac:dyDescent="0.25">
      <c r="A3551">
        <v>6379</v>
      </c>
      <c r="B3551">
        <v>0</v>
      </c>
    </row>
    <row r="3552" spans="1:2" x14ac:dyDescent="0.25">
      <c r="A3552">
        <v>6380</v>
      </c>
      <c r="B3552">
        <v>0</v>
      </c>
    </row>
    <row r="3553" spans="1:2" x14ac:dyDescent="0.25">
      <c r="A3553">
        <v>6381</v>
      </c>
      <c r="B3553">
        <v>0</v>
      </c>
    </row>
    <row r="3554" spans="1:2" x14ac:dyDescent="0.25">
      <c r="A3554">
        <v>6382</v>
      </c>
      <c r="B3554">
        <v>0</v>
      </c>
    </row>
    <row r="3555" spans="1:2" x14ac:dyDescent="0.25">
      <c r="A3555">
        <v>6383</v>
      </c>
      <c r="B3555">
        <v>0</v>
      </c>
    </row>
    <row r="3556" spans="1:2" x14ac:dyDescent="0.25">
      <c r="A3556">
        <v>6384</v>
      </c>
      <c r="B3556">
        <v>0</v>
      </c>
    </row>
    <row r="3557" spans="1:2" x14ac:dyDescent="0.25">
      <c r="A3557">
        <v>6385</v>
      </c>
      <c r="B3557">
        <v>0</v>
      </c>
    </row>
    <row r="3558" spans="1:2" x14ac:dyDescent="0.25">
      <c r="A3558">
        <v>6386</v>
      </c>
      <c r="B3558">
        <v>0</v>
      </c>
    </row>
    <row r="3559" spans="1:2" x14ac:dyDescent="0.25">
      <c r="A3559">
        <v>6387</v>
      </c>
      <c r="B3559">
        <v>0</v>
      </c>
    </row>
    <row r="3560" spans="1:2" x14ac:dyDescent="0.25">
      <c r="A3560">
        <v>6388</v>
      </c>
      <c r="B3560">
        <v>0</v>
      </c>
    </row>
    <row r="3561" spans="1:2" x14ac:dyDescent="0.25">
      <c r="A3561">
        <v>6389</v>
      </c>
      <c r="B3561">
        <v>0</v>
      </c>
    </row>
    <row r="3562" spans="1:2" x14ac:dyDescent="0.25">
      <c r="A3562">
        <v>6390</v>
      </c>
      <c r="B3562">
        <v>0</v>
      </c>
    </row>
    <row r="3563" spans="1:2" x14ac:dyDescent="0.25">
      <c r="A3563">
        <v>6391</v>
      </c>
      <c r="B3563">
        <v>0</v>
      </c>
    </row>
    <row r="3564" spans="1:2" x14ac:dyDescent="0.25">
      <c r="A3564">
        <v>6392</v>
      </c>
      <c r="B3564">
        <v>0</v>
      </c>
    </row>
    <row r="3565" spans="1:2" x14ac:dyDescent="0.25">
      <c r="A3565">
        <v>6393</v>
      </c>
      <c r="B3565">
        <v>0</v>
      </c>
    </row>
    <row r="3566" spans="1:2" x14ac:dyDescent="0.25">
      <c r="A3566">
        <v>6394</v>
      </c>
      <c r="B3566">
        <v>0</v>
      </c>
    </row>
    <row r="3567" spans="1:2" x14ac:dyDescent="0.25">
      <c r="A3567">
        <v>6395</v>
      </c>
      <c r="B3567">
        <v>0</v>
      </c>
    </row>
    <row r="3568" spans="1:2" x14ac:dyDescent="0.25">
      <c r="A3568">
        <v>6396</v>
      </c>
      <c r="B3568">
        <v>0</v>
      </c>
    </row>
    <row r="3569" spans="1:2" x14ac:dyDescent="0.25">
      <c r="A3569">
        <v>6397</v>
      </c>
      <c r="B3569">
        <v>0</v>
      </c>
    </row>
    <row r="3570" spans="1:2" x14ac:dyDescent="0.25">
      <c r="A3570">
        <v>6398</v>
      </c>
      <c r="B3570">
        <v>0</v>
      </c>
    </row>
    <row r="3571" spans="1:2" x14ac:dyDescent="0.25">
      <c r="A3571">
        <v>6399</v>
      </c>
      <c r="B3571">
        <v>0</v>
      </c>
    </row>
    <row r="3572" spans="1:2" x14ac:dyDescent="0.25">
      <c r="A3572">
        <v>6400</v>
      </c>
      <c r="B3572">
        <v>0</v>
      </c>
    </row>
    <row r="3573" spans="1:2" x14ac:dyDescent="0.25">
      <c r="A3573">
        <v>6401</v>
      </c>
      <c r="B3573">
        <v>0</v>
      </c>
    </row>
    <row r="3574" spans="1:2" x14ac:dyDescent="0.25">
      <c r="A3574">
        <v>6402</v>
      </c>
      <c r="B3574">
        <v>0</v>
      </c>
    </row>
    <row r="3575" spans="1:2" x14ac:dyDescent="0.25">
      <c r="A3575">
        <v>6409</v>
      </c>
      <c r="B3575">
        <v>0</v>
      </c>
    </row>
    <row r="3576" spans="1:2" x14ac:dyDescent="0.25">
      <c r="A3576">
        <v>6410</v>
      </c>
      <c r="B3576">
        <v>0</v>
      </c>
    </row>
    <row r="3577" spans="1:2" x14ac:dyDescent="0.25">
      <c r="A3577">
        <v>6413</v>
      </c>
      <c r="B3577">
        <v>0</v>
      </c>
    </row>
    <row r="3578" spans="1:2" x14ac:dyDescent="0.25">
      <c r="A3578">
        <v>6415</v>
      </c>
      <c r="B3578">
        <v>0</v>
      </c>
    </row>
    <row r="3579" spans="1:2" x14ac:dyDescent="0.25">
      <c r="A3579">
        <v>6417</v>
      </c>
      <c r="B3579">
        <v>0</v>
      </c>
    </row>
    <row r="3580" spans="1:2" x14ac:dyDescent="0.25">
      <c r="A3580">
        <v>6419</v>
      </c>
      <c r="B3580">
        <v>0</v>
      </c>
    </row>
    <row r="3581" spans="1:2" x14ac:dyDescent="0.25">
      <c r="A3581">
        <v>6421</v>
      </c>
      <c r="B3581">
        <v>0</v>
      </c>
    </row>
    <row r="3582" spans="1:2" x14ac:dyDescent="0.25">
      <c r="A3582">
        <v>6436</v>
      </c>
      <c r="B3582">
        <v>0</v>
      </c>
    </row>
    <row r="3583" spans="1:2" x14ac:dyDescent="0.25">
      <c r="A3583">
        <v>6438</v>
      </c>
      <c r="B3583">
        <v>0</v>
      </c>
    </row>
    <row r="3584" spans="1:2" x14ac:dyDescent="0.25">
      <c r="A3584">
        <v>6440</v>
      </c>
      <c r="B3584">
        <v>0</v>
      </c>
    </row>
    <row r="3585" spans="1:2" x14ac:dyDescent="0.25">
      <c r="A3585">
        <v>6442</v>
      </c>
      <c r="B3585">
        <v>0</v>
      </c>
    </row>
    <row r="3586" spans="1:2" x14ac:dyDescent="0.25">
      <c r="A3586">
        <v>6444</v>
      </c>
      <c r="B3586">
        <v>0</v>
      </c>
    </row>
    <row r="3587" spans="1:2" x14ac:dyDescent="0.25">
      <c r="A3587">
        <v>6446</v>
      </c>
      <c r="B3587">
        <v>0</v>
      </c>
    </row>
    <row r="3588" spans="1:2" x14ac:dyDescent="0.25">
      <c r="A3588">
        <v>6466</v>
      </c>
      <c r="B3588">
        <v>0</v>
      </c>
    </row>
    <row r="3589" spans="1:2" x14ac:dyDescent="0.25">
      <c r="A3589">
        <v>6467</v>
      </c>
      <c r="B3589">
        <v>0</v>
      </c>
    </row>
    <row r="3590" spans="1:2" x14ac:dyDescent="0.25">
      <c r="A3590">
        <v>6468</v>
      </c>
      <c r="B3590">
        <v>0</v>
      </c>
    </row>
    <row r="3591" spans="1:2" x14ac:dyDescent="0.25">
      <c r="A3591">
        <v>6469</v>
      </c>
      <c r="B3591">
        <v>0</v>
      </c>
    </row>
    <row r="3592" spans="1:2" x14ac:dyDescent="0.25">
      <c r="A3592">
        <v>6470</v>
      </c>
      <c r="B3592">
        <v>0</v>
      </c>
    </row>
    <row r="3593" spans="1:2" x14ac:dyDescent="0.25">
      <c r="A3593">
        <v>6471</v>
      </c>
      <c r="B3593">
        <v>0</v>
      </c>
    </row>
    <row r="3594" spans="1:2" x14ac:dyDescent="0.25">
      <c r="A3594">
        <v>6473</v>
      </c>
      <c r="B3594">
        <v>0</v>
      </c>
    </row>
    <row r="3595" spans="1:2" x14ac:dyDescent="0.25">
      <c r="A3595">
        <v>6475</v>
      </c>
      <c r="B3595">
        <v>0</v>
      </c>
    </row>
    <row r="3596" spans="1:2" x14ac:dyDescent="0.25">
      <c r="A3596">
        <v>6477</v>
      </c>
      <c r="B3596">
        <v>0</v>
      </c>
    </row>
    <row r="3597" spans="1:2" x14ac:dyDescent="0.25">
      <c r="A3597">
        <v>6479</v>
      </c>
      <c r="B3597">
        <v>0</v>
      </c>
    </row>
    <row r="3598" spans="1:2" x14ac:dyDescent="0.25">
      <c r="A3598">
        <v>6481</v>
      </c>
      <c r="B3598">
        <v>0</v>
      </c>
    </row>
    <row r="3599" spans="1:2" x14ac:dyDescent="0.25">
      <c r="A3599">
        <v>6483</v>
      </c>
      <c r="B3599">
        <v>0</v>
      </c>
    </row>
    <row r="3600" spans="1:2" x14ac:dyDescent="0.25">
      <c r="A3600">
        <v>6485</v>
      </c>
      <c r="B3600">
        <v>0</v>
      </c>
    </row>
    <row r="3601" spans="1:2" x14ac:dyDescent="0.25">
      <c r="A3601">
        <v>6487</v>
      </c>
      <c r="B3601">
        <v>0</v>
      </c>
    </row>
    <row r="3602" spans="1:2" x14ac:dyDescent="0.25">
      <c r="A3602">
        <v>6489</v>
      </c>
      <c r="B3602">
        <v>0</v>
      </c>
    </row>
    <row r="3603" spans="1:2" x14ac:dyDescent="0.25">
      <c r="A3603">
        <v>6491</v>
      </c>
      <c r="B3603">
        <v>0</v>
      </c>
    </row>
    <row r="3604" spans="1:2" x14ac:dyDescent="0.25">
      <c r="A3604">
        <v>6493</v>
      </c>
      <c r="B3604">
        <v>0</v>
      </c>
    </row>
    <row r="3605" spans="1:2" x14ac:dyDescent="0.25">
      <c r="A3605">
        <v>6495</v>
      </c>
      <c r="B3605">
        <v>0</v>
      </c>
    </row>
    <row r="3606" spans="1:2" x14ac:dyDescent="0.25">
      <c r="A3606">
        <v>6497</v>
      </c>
      <c r="B3606">
        <v>0</v>
      </c>
    </row>
    <row r="3607" spans="1:2" x14ac:dyDescent="0.25">
      <c r="A3607">
        <v>6499</v>
      </c>
      <c r="B3607">
        <v>0</v>
      </c>
    </row>
    <row r="3608" spans="1:2" x14ac:dyDescent="0.25">
      <c r="A3608">
        <v>6500</v>
      </c>
      <c r="B3608">
        <v>0</v>
      </c>
    </row>
    <row r="3609" spans="1:2" x14ac:dyDescent="0.25">
      <c r="A3609">
        <v>6502</v>
      </c>
      <c r="B3609">
        <v>0</v>
      </c>
    </row>
    <row r="3610" spans="1:2" x14ac:dyDescent="0.25">
      <c r="A3610">
        <v>6504</v>
      </c>
      <c r="B3610">
        <v>0</v>
      </c>
    </row>
    <row r="3611" spans="1:2" x14ac:dyDescent="0.25">
      <c r="A3611">
        <v>6506</v>
      </c>
      <c r="B3611">
        <v>0</v>
      </c>
    </row>
    <row r="3612" spans="1:2" x14ac:dyDescent="0.25">
      <c r="A3612">
        <v>6507</v>
      </c>
      <c r="B3612">
        <v>0</v>
      </c>
    </row>
    <row r="3613" spans="1:2" x14ac:dyDescent="0.25">
      <c r="A3613">
        <v>6508</v>
      </c>
      <c r="B3613">
        <v>0</v>
      </c>
    </row>
    <row r="3614" spans="1:2" x14ac:dyDescent="0.25">
      <c r="A3614">
        <v>6509</v>
      </c>
      <c r="B3614">
        <v>0</v>
      </c>
    </row>
    <row r="3615" spans="1:2" x14ac:dyDescent="0.25">
      <c r="A3615">
        <v>6510</v>
      </c>
      <c r="B3615">
        <v>0</v>
      </c>
    </row>
    <row r="3616" spans="1:2" x14ac:dyDescent="0.25">
      <c r="A3616">
        <v>6511</v>
      </c>
      <c r="B3616">
        <v>0</v>
      </c>
    </row>
    <row r="3617" spans="1:2" x14ac:dyDescent="0.25">
      <c r="A3617">
        <v>6512</v>
      </c>
      <c r="B3617">
        <v>0</v>
      </c>
    </row>
    <row r="3618" spans="1:2" x14ac:dyDescent="0.25">
      <c r="A3618">
        <v>6513</v>
      </c>
      <c r="B3618">
        <v>0</v>
      </c>
    </row>
    <row r="3619" spans="1:2" x14ac:dyDescent="0.25">
      <c r="A3619">
        <v>6514</v>
      </c>
      <c r="B3619">
        <v>0</v>
      </c>
    </row>
    <row r="3620" spans="1:2" x14ac:dyDescent="0.25">
      <c r="A3620">
        <v>6515</v>
      </c>
      <c r="B3620">
        <v>0</v>
      </c>
    </row>
    <row r="3621" spans="1:2" x14ac:dyDescent="0.25">
      <c r="A3621">
        <v>6516</v>
      </c>
      <c r="B3621">
        <v>0</v>
      </c>
    </row>
    <row r="3622" spans="1:2" x14ac:dyDescent="0.25">
      <c r="A3622">
        <v>6518</v>
      </c>
      <c r="B3622">
        <v>0</v>
      </c>
    </row>
    <row r="3623" spans="1:2" x14ac:dyDescent="0.25">
      <c r="A3623">
        <v>6519</v>
      </c>
      <c r="B3623">
        <v>0</v>
      </c>
    </row>
    <row r="3624" spans="1:2" x14ac:dyDescent="0.25">
      <c r="A3624">
        <v>6520</v>
      </c>
      <c r="B3624">
        <v>0</v>
      </c>
    </row>
    <row r="3625" spans="1:2" x14ac:dyDescent="0.25">
      <c r="A3625">
        <v>6521</v>
      </c>
      <c r="B3625">
        <v>0</v>
      </c>
    </row>
    <row r="3626" spans="1:2" x14ac:dyDescent="0.25">
      <c r="A3626">
        <v>6522</v>
      </c>
      <c r="B3626">
        <v>0</v>
      </c>
    </row>
    <row r="3627" spans="1:2" x14ac:dyDescent="0.25">
      <c r="A3627">
        <v>6523</v>
      </c>
      <c r="B3627">
        <v>0</v>
      </c>
    </row>
    <row r="3628" spans="1:2" x14ac:dyDescent="0.25">
      <c r="A3628">
        <v>6524</v>
      </c>
      <c r="B3628">
        <v>0</v>
      </c>
    </row>
    <row r="3629" spans="1:2" x14ac:dyDescent="0.25">
      <c r="A3629">
        <v>6525</v>
      </c>
      <c r="B3629">
        <v>0</v>
      </c>
    </row>
    <row r="3630" spans="1:2" x14ac:dyDescent="0.25">
      <c r="A3630">
        <v>6526</v>
      </c>
      <c r="B3630">
        <v>0</v>
      </c>
    </row>
    <row r="3631" spans="1:2" x14ac:dyDescent="0.25">
      <c r="A3631">
        <v>6527</v>
      </c>
      <c r="B3631">
        <v>0</v>
      </c>
    </row>
    <row r="3632" spans="1:2" x14ac:dyDescent="0.25">
      <c r="A3632">
        <v>6528</v>
      </c>
      <c r="B3632">
        <v>0</v>
      </c>
    </row>
    <row r="3633" spans="1:2" x14ac:dyDescent="0.25">
      <c r="A3633">
        <v>6529</v>
      </c>
      <c r="B3633">
        <v>0</v>
      </c>
    </row>
    <row r="3634" spans="1:2" x14ac:dyDescent="0.25">
      <c r="A3634">
        <v>6530</v>
      </c>
      <c r="B3634">
        <v>0</v>
      </c>
    </row>
    <row r="3635" spans="1:2" x14ac:dyDescent="0.25">
      <c r="A3635">
        <v>6531</v>
      </c>
      <c r="B3635">
        <v>0</v>
      </c>
    </row>
    <row r="3636" spans="1:2" x14ac:dyDescent="0.25">
      <c r="A3636">
        <v>6532</v>
      </c>
      <c r="B3636">
        <v>0</v>
      </c>
    </row>
    <row r="3637" spans="1:2" x14ac:dyDescent="0.25">
      <c r="A3637">
        <v>6533</v>
      </c>
      <c r="B3637">
        <v>0</v>
      </c>
    </row>
    <row r="3638" spans="1:2" x14ac:dyDescent="0.25">
      <c r="A3638">
        <v>6534</v>
      </c>
      <c r="B3638">
        <v>0</v>
      </c>
    </row>
    <row r="3639" spans="1:2" x14ac:dyDescent="0.25">
      <c r="A3639">
        <v>6535</v>
      </c>
      <c r="B3639">
        <v>0</v>
      </c>
    </row>
    <row r="3640" spans="1:2" x14ac:dyDescent="0.25">
      <c r="A3640">
        <v>6536</v>
      </c>
      <c r="B3640">
        <v>0</v>
      </c>
    </row>
    <row r="3641" spans="1:2" x14ac:dyDescent="0.25">
      <c r="A3641">
        <v>6537</v>
      </c>
      <c r="B3641">
        <v>0</v>
      </c>
    </row>
    <row r="3642" spans="1:2" x14ac:dyDescent="0.25">
      <c r="A3642">
        <v>6538</v>
      </c>
      <c r="B3642">
        <v>0</v>
      </c>
    </row>
    <row r="3643" spans="1:2" x14ac:dyDescent="0.25">
      <c r="A3643">
        <v>6539</v>
      </c>
      <c r="B3643">
        <v>0</v>
      </c>
    </row>
    <row r="3644" spans="1:2" x14ac:dyDescent="0.25">
      <c r="A3644">
        <v>6540</v>
      </c>
      <c r="B3644">
        <v>0</v>
      </c>
    </row>
    <row r="3645" spans="1:2" x14ac:dyDescent="0.25">
      <c r="A3645">
        <v>6541</v>
      </c>
      <c r="B3645">
        <v>0</v>
      </c>
    </row>
    <row r="3646" spans="1:2" x14ac:dyDescent="0.25">
      <c r="A3646">
        <v>6542</v>
      </c>
      <c r="B3646">
        <v>0</v>
      </c>
    </row>
    <row r="3647" spans="1:2" x14ac:dyDescent="0.25">
      <c r="A3647">
        <v>6543</v>
      </c>
      <c r="B3647">
        <v>0</v>
      </c>
    </row>
    <row r="3648" spans="1:2" x14ac:dyDescent="0.25">
      <c r="A3648">
        <v>6544</v>
      </c>
      <c r="B3648">
        <v>0</v>
      </c>
    </row>
    <row r="3649" spans="1:2" x14ac:dyDescent="0.25">
      <c r="A3649">
        <v>6545</v>
      </c>
      <c r="B3649">
        <v>0</v>
      </c>
    </row>
    <row r="3650" spans="1:2" x14ac:dyDescent="0.25">
      <c r="A3650">
        <v>6546</v>
      </c>
      <c r="B3650">
        <v>0</v>
      </c>
    </row>
    <row r="3651" spans="1:2" x14ac:dyDescent="0.25">
      <c r="A3651">
        <v>6547</v>
      </c>
      <c r="B3651">
        <v>0</v>
      </c>
    </row>
    <row r="3652" spans="1:2" x14ac:dyDescent="0.25">
      <c r="A3652">
        <v>6548</v>
      </c>
      <c r="B3652">
        <v>0</v>
      </c>
    </row>
    <row r="3653" spans="1:2" x14ac:dyDescent="0.25">
      <c r="A3653">
        <v>6549</v>
      </c>
      <c r="B3653">
        <v>0</v>
      </c>
    </row>
    <row r="3654" spans="1:2" x14ac:dyDescent="0.25">
      <c r="A3654">
        <v>6550</v>
      </c>
      <c r="B3654">
        <v>0</v>
      </c>
    </row>
    <row r="3655" spans="1:2" x14ac:dyDescent="0.25">
      <c r="A3655">
        <v>6551</v>
      </c>
      <c r="B3655">
        <v>0</v>
      </c>
    </row>
    <row r="3656" spans="1:2" x14ac:dyDescent="0.25">
      <c r="A3656">
        <v>6552</v>
      </c>
      <c r="B3656">
        <v>0</v>
      </c>
    </row>
    <row r="3657" spans="1:2" x14ac:dyDescent="0.25">
      <c r="A3657">
        <v>6553</v>
      </c>
      <c r="B3657">
        <v>0</v>
      </c>
    </row>
    <row r="3658" spans="1:2" x14ac:dyDescent="0.25">
      <c r="A3658">
        <v>6554</v>
      </c>
      <c r="B3658">
        <v>0</v>
      </c>
    </row>
    <row r="3659" spans="1:2" x14ac:dyDescent="0.25">
      <c r="A3659">
        <v>6555</v>
      </c>
      <c r="B3659">
        <v>0</v>
      </c>
    </row>
    <row r="3660" spans="1:2" x14ac:dyDescent="0.25">
      <c r="A3660">
        <v>6556</v>
      </c>
      <c r="B3660">
        <v>0</v>
      </c>
    </row>
    <row r="3661" spans="1:2" x14ac:dyDescent="0.25">
      <c r="A3661">
        <v>6557</v>
      </c>
      <c r="B3661">
        <v>0</v>
      </c>
    </row>
    <row r="3662" spans="1:2" x14ac:dyDescent="0.25">
      <c r="A3662">
        <v>6558</v>
      </c>
      <c r="B3662">
        <v>0</v>
      </c>
    </row>
    <row r="3663" spans="1:2" x14ac:dyDescent="0.25">
      <c r="A3663">
        <v>6559</v>
      </c>
      <c r="B3663">
        <v>0</v>
      </c>
    </row>
    <row r="3664" spans="1:2" x14ac:dyDescent="0.25">
      <c r="A3664">
        <v>6560</v>
      </c>
      <c r="B3664">
        <v>0</v>
      </c>
    </row>
    <row r="3665" spans="1:2" x14ac:dyDescent="0.25">
      <c r="A3665">
        <v>6561</v>
      </c>
      <c r="B3665">
        <v>0</v>
      </c>
    </row>
    <row r="3666" spans="1:2" x14ac:dyDescent="0.25">
      <c r="A3666">
        <v>6562</v>
      </c>
      <c r="B3666">
        <v>0</v>
      </c>
    </row>
    <row r="3667" spans="1:2" x14ac:dyDescent="0.25">
      <c r="A3667">
        <v>6563</v>
      </c>
      <c r="B3667">
        <v>0</v>
      </c>
    </row>
    <row r="3668" spans="1:2" x14ac:dyDescent="0.25">
      <c r="A3668">
        <v>6564</v>
      </c>
      <c r="B3668">
        <v>0</v>
      </c>
    </row>
    <row r="3669" spans="1:2" x14ac:dyDescent="0.25">
      <c r="A3669">
        <v>6565</v>
      </c>
      <c r="B3669">
        <v>0</v>
      </c>
    </row>
    <row r="3670" spans="1:2" x14ac:dyDescent="0.25">
      <c r="A3670">
        <v>6566</v>
      </c>
      <c r="B3670">
        <v>0</v>
      </c>
    </row>
    <row r="3671" spans="1:2" x14ac:dyDescent="0.25">
      <c r="A3671">
        <v>6567</v>
      </c>
      <c r="B3671">
        <v>0</v>
      </c>
    </row>
    <row r="3672" spans="1:2" x14ac:dyDescent="0.25">
      <c r="A3672">
        <v>6568</v>
      </c>
      <c r="B3672">
        <v>0</v>
      </c>
    </row>
    <row r="3673" spans="1:2" x14ac:dyDescent="0.25">
      <c r="A3673">
        <v>6569</v>
      </c>
      <c r="B3673">
        <v>0</v>
      </c>
    </row>
    <row r="3674" spans="1:2" x14ac:dyDescent="0.25">
      <c r="A3674">
        <v>6570</v>
      </c>
      <c r="B3674">
        <v>0</v>
      </c>
    </row>
    <row r="3675" spans="1:2" x14ac:dyDescent="0.25">
      <c r="A3675">
        <v>6572</v>
      </c>
      <c r="B3675">
        <v>0</v>
      </c>
    </row>
    <row r="3676" spans="1:2" x14ac:dyDescent="0.25">
      <c r="A3676">
        <v>6580</v>
      </c>
      <c r="B3676">
        <v>0</v>
      </c>
    </row>
    <row r="3677" spans="1:2" x14ac:dyDescent="0.25">
      <c r="A3677">
        <v>6581</v>
      </c>
      <c r="B3677">
        <v>0</v>
      </c>
    </row>
    <row r="3678" spans="1:2" x14ac:dyDescent="0.25">
      <c r="A3678">
        <v>6582</v>
      </c>
      <c r="B3678">
        <v>0</v>
      </c>
    </row>
    <row r="3679" spans="1:2" x14ac:dyDescent="0.25">
      <c r="A3679">
        <v>6584</v>
      </c>
      <c r="B3679">
        <v>0</v>
      </c>
    </row>
    <row r="3680" spans="1:2" x14ac:dyDescent="0.25">
      <c r="A3680">
        <v>6593</v>
      </c>
      <c r="B3680">
        <v>0</v>
      </c>
    </row>
    <row r="3681" spans="1:2" x14ac:dyDescent="0.25">
      <c r="A3681">
        <v>6594</v>
      </c>
      <c r="B3681">
        <v>0</v>
      </c>
    </row>
    <row r="3682" spans="1:2" x14ac:dyDescent="0.25">
      <c r="A3682">
        <v>6595</v>
      </c>
      <c r="B3682">
        <v>0</v>
      </c>
    </row>
    <row r="3683" spans="1:2" x14ac:dyDescent="0.25">
      <c r="A3683">
        <v>6596</v>
      </c>
      <c r="B3683">
        <v>0</v>
      </c>
    </row>
    <row r="3684" spans="1:2" x14ac:dyDescent="0.25">
      <c r="A3684">
        <v>6597</v>
      </c>
      <c r="B3684">
        <v>0</v>
      </c>
    </row>
    <row r="3685" spans="1:2" x14ac:dyDescent="0.25">
      <c r="A3685">
        <v>6598</v>
      </c>
      <c r="B3685">
        <v>0</v>
      </c>
    </row>
    <row r="3686" spans="1:2" x14ac:dyDescent="0.25">
      <c r="A3686">
        <v>6599</v>
      </c>
      <c r="B3686">
        <v>0</v>
      </c>
    </row>
    <row r="3687" spans="1:2" x14ac:dyDescent="0.25">
      <c r="A3687">
        <v>6600</v>
      </c>
      <c r="B3687">
        <v>0</v>
      </c>
    </row>
    <row r="3688" spans="1:2" x14ac:dyDescent="0.25">
      <c r="A3688">
        <v>6601</v>
      </c>
      <c r="B3688">
        <v>0</v>
      </c>
    </row>
    <row r="3689" spans="1:2" x14ac:dyDescent="0.25">
      <c r="A3689">
        <v>6602</v>
      </c>
      <c r="B3689">
        <v>0</v>
      </c>
    </row>
    <row r="3690" spans="1:2" x14ac:dyDescent="0.25">
      <c r="A3690">
        <v>6603</v>
      </c>
      <c r="B3690">
        <v>0</v>
      </c>
    </row>
    <row r="3691" spans="1:2" x14ac:dyDescent="0.25">
      <c r="A3691">
        <v>6604</v>
      </c>
      <c r="B3691">
        <v>0</v>
      </c>
    </row>
    <row r="3692" spans="1:2" x14ac:dyDescent="0.25">
      <c r="A3692">
        <v>6605</v>
      </c>
      <c r="B3692">
        <v>0</v>
      </c>
    </row>
    <row r="3693" spans="1:2" x14ac:dyDescent="0.25">
      <c r="A3693">
        <v>6606</v>
      </c>
      <c r="B3693">
        <v>0</v>
      </c>
    </row>
    <row r="3694" spans="1:2" x14ac:dyDescent="0.25">
      <c r="A3694">
        <v>6607</v>
      </c>
      <c r="B3694">
        <v>0</v>
      </c>
    </row>
    <row r="3695" spans="1:2" x14ac:dyDescent="0.25">
      <c r="A3695">
        <v>6608</v>
      </c>
      <c r="B3695">
        <v>0</v>
      </c>
    </row>
    <row r="3696" spans="1:2" x14ac:dyDescent="0.25">
      <c r="A3696">
        <v>6609</v>
      </c>
      <c r="B3696">
        <v>0</v>
      </c>
    </row>
    <row r="3697" spans="1:2" x14ac:dyDescent="0.25">
      <c r="A3697">
        <v>6610</v>
      </c>
      <c r="B3697">
        <v>0</v>
      </c>
    </row>
    <row r="3698" spans="1:2" x14ac:dyDescent="0.25">
      <c r="A3698">
        <v>6611</v>
      </c>
      <c r="B3698">
        <v>0</v>
      </c>
    </row>
    <row r="3699" spans="1:2" x14ac:dyDescent="0.25">
      <c r="A3699">
        <v>6612</v>
      </c>
      <c r="B3699">
        <v>0</v>
      </c>
    </row>
    <row r="3700" spans="1:2" x14ac:dyDescent="0.25">
      <c r="A3700">
        <v>6642</v>
      </c>
      <c r="B3700">
        <v>0</v>
      </c>
    </row>
    <row r="3701" spans="1:2" x14ac:dyDescent="0.25">
      <c r="A3701">
        <v>6643</v>
      </c>
      <c r="B3701">
        <v>0</v>
      </c>
    </row>
    <row r="3702" spans="1:2" x14ac:dyDescent="0.25">
      <c r="A3702">
        <v>6644</v>
      </c>
      <c r="B3702">
        <v>0</v>
      </c>
    </row>
    <row r="3703" spans="1:2" x14ac:dyDescent="0.25">
      <c r="A3703">
        <v>6646</v>
      </c>
      <c r="B3703">
        <v>0</v>
      </c>
    </row>
    <row r="3704" spans="1:2" x14ac:dyDescent="0.25">
      <c r="A3704">
        <v>6647</v>
      </c>
      <c r="B3704">
        <v>0</v>
      </c>
    </row>
    <row r="3705" spans="1:2" x14ac:dyDescent="0.25">
      <c r="A3705">
        <v>6648</v>
      </c>
      <c r="B3705">
        <v>0</v>
      </c>
    </row>
    <row r="3706" spans="1:2" x14ac:dyDescent="0.25">
      <c r="A3706">
        <v>6649</v>
      </c>
      <c r="B3706">
        <v>0</v>
      </c>
    </row>
    <row r="3707" spans="1:2" x14ac:dyDescent="0.25">
      <c r="A3707">
        <v>6651</v>
      </c>
      <c r="B3707">
        <v>0</v>
      </c>
    </row>
    <row r="3708" spans="1:2" x14ac:dyDescent="0.25">
      <c r="A3708">
        <v>6652</v>
      </c>
      <c r="B3708">
        <v>0</v>
      </c>
    </row>
    <row r="3709" spans="1:2" x14ac:dyDescent="0.25">
      <c r="A3709">
        <v>6653</v>
      </c>
      <c r="B3709">
        <v>0</v>
      </c>
    </row>
    <row r="3710" spans="1:2" x14ac:dyDescent="0.25">
      <c r="A3710">
        <v>6654</v>
      </c>
      <c r="B3710">
        <v>0</v>
      </c>
    </row>
    <row r="3711" spans="1:2" x14ac:dyDescent="0.25">
      <c r="A3711">
        <v>6655</v>
      </c>
      <c r="B3711">
        <v>0</v>
      </c>
    </row>
    <row r="3712" spans="1:2" x14ac:dyDescent="0.25">
      <c r="A3712">
        <v>6656</v>
      </c>
      <c r="B3712">
        <v>0</v>
      </c>
    </row>
    <row r="3713" spans="1:2" x14ac:dyDescent="0.25">
      <c r="A3713">
        <v>6657</v>
      </c>
      <c r="B3713">
        <v>0</v>
      </c>
    </row>
    <row r="3714" spans="1:2" x14ac:dyDescent="0.25">
      <c r="A3714">
        <v>6658</v>
      </c>
      <c r="B3714">
        <v>0</v>
      </c>
    </row>
    <row r="3715" spans="1:2" x14ac:dyDescent="0.25">
      <c r="A3715">
        <v>6659</v>
      </c>
      <c r="B3715">
        <v>0</v>
      </c>
    </row>
    <row r="3716" spans="1:2" x14ac:dyDescent="0.25">
      <c r="A3716">
        <v>6661</v>
      </c>
      <c r="B3716">
        <v>0</v>
      </c>
    </row>
    <row r="3717" spans="1:2" x14ac:dyDescent="0.25">
      <c r="A3717">
        <v>6662</v>
      </c>
      <c r="B3717">
        <v>0</v>
      </c>
    </row>
    <row r="3718" spans="1:2" x14ac:dyDescent="0.25">
      <c r="A3718">
        <v>6672</v>
      </c>
      <c r="B3718">
        <v>0</v>
      </c>
    </row>
    <row r="3719" spans="1:2" x14ac:dyDescent="0.25">
      <c r="A3719">
        <v>6673</v>
      </c>
      <c r="B3719">
        <v>0</v>
      </c>
    </row>
    <row r="3720" spans="1:2" x14ac:dyDescent="0.25">
      <c r="A3720">
        <v>6674</v>
      </c>
      <c r="B3720">
        <v>0</v>
      </c>
    </row>
    <row r="3721" spans="1:2" x14ac:dyDescent="0.25">
      <c r="A3721">
        <v>6675</v>
      </c>
      <c r="B3721">
        <v>0</v>
      </c>
    </row>
    <row r="3722" spans="1:2" x14ac:dyDescent="0.25">
      <c r="A3722">
        <v>6676</v>
      </c>
      <c r="B3722">
        <v>0</v>
      </c>
    </row>
    <row r="3723" spans="1:2" x14ac:dyDescent="0.25">
      <c r="A3723">
        <v>6677</v>
      </c>
      <c r="B3723">
        <v>0</v>
      </c>
    </row>
    <row r="3724" spans="1:2" x14ac:dyDescent="0.25">
      <c r="A3724">
        <v>6678</v>
      </c>
      <c r="B3724">
        <v>0</v>
      </c>
    </row>
    <row r="3725" spans="1:2" x14ac:dyDescent="0.25">
      <c r="A3725">
        <v>6679</v>
      </c>
      <c r="B3725">
        <v>0</v>
      </c>
    </row>
    <row r="3726" spans="1:2" x14ac:dyDescent="0.25">
      <c r="A3726">
        <v>6685</v>
      </c>
      <c r="B3726">
        <v>0</v>
      </c>
    </row>
    <row r="3727" spans="1:2" x14ac:dyDescent="0.25">
      <c r="A3727">
        <v>6688</v>
      </c>
      <c r="B3727">
        <v>0</v>
      </c>
    </row>
    <row r="3728" spans="1:2" x14ac:dyDescent="0.25">
      <c r="A3728">
        <v>6690</v>
      </c>
      <c r="B3728">
        <v>0</v>
      </c>
    </row>
    <row r="3729" spans="1:2" x14ac:dyDescent="0.25">
      <c r="A3729">
        <v>6692</v>
      </c>
      <c r="B3729">
        <v>0</v>
      </c>
    </row>
    <row r="3730" spans="1:2" x14ac:dyDescent="0.25">
      <c r="A3730">
        <v>6694</v>
      </c>
      <c r="B3730">
        <v>0</v>
      </c>
    </row>
    <row r="3731" spans="1:2" x14ac:dyDescent="0.25">
      <c r="A3731">
        <v>6696</v>
      </c>
      <c r="B3731">
        <v>0</v>
      </c>
    </row>
    <row r="3732" spans="1:2" x14ac:dyDescent="0.25">
      <c r="A3732">
        <v>6698</v>
      </c>
      <c r="B3732">
        <v>0</v>
      </c>
    </row>
    <row r="3733" spans="1:2" x14ac:dyDescent="0.25">
      <c r="A3733">
        <v>6700</v>
      </c>
      <c r="B3733">
        <v>0</v>
      </c>
    </row>
    <row r="3734" spans="1:2" x14ac:dyDescent="0.25">
      <c r="A3734">
        <v>6708</v>
      </c>
      <c r="B3734">
        <v>0</v>
      </c>
    </row>
    <row r="3735" spans="1:2" x14ac:dyDescent="0.25">
      <c r="A3735">
        <v>6712</v>
      </c>
      <c r="B3735">
        <v>0</v>
      </c>
    </row>
    <row r="3736" spans="1:2" x14ac:dyDescent="0.25">
      <c r="A3736">
        <v>6730</v>
      </c>
      <c r="B3736">
        <v>0</v>
      </c>
    </row>
    <row r="3737" spans="1:2" x14ac:dyDescent="0.25">
      <c r="A3737">
        <v>6733</v>
      </c>
      <c r="B3737">
        <v>0</v>
      </c>
    </row>
    <row r="3738" spans="1:2" x14ac:dyDescent="0.25">
      <c r="A3738">
        <v>6734</v>
      </c>
      <c r="B3738">
        <v>0</v>
      </c>
    </row>
    <row r="3739" spans="1:2" x14ac:dyDescent="0.25">
      <c r="A3739">
        <v>6735</v>
      </c>
      <c r="B3739">
        <v>0</v>
      </c>
    </row>
    <row r="3740" spans="1:2" x14ac:dyDescent="0.25">
      <c r="A3740">
        <v>6739</v>
      </c>
      <c r="B3740">
        <v>0</v>
      </c>
    </row>
    <row r="3741" spans="1:2" x14ac:dyDescent="0.25">
      <c r="A3741">
        <v>6744</v>
      </c>
      <c r="B3741">
        <v>0</v>
      </c>
    </row>
    <row r="3742" spans="1:2" x14ac:dyDescent="0.25">
      <c r="A3742">
        <v>6746</v>
      </c>
      <c r="B3742">
        <v>0</v>
      </c>
    </row>
    <row r="3743" spans="1:2" x14ac:dyDescent="0.25">
      <c r="A3743">
        <v>6758</v>
      </c>
      <c r="B3743">
        <v>0</v>
      </c>
    </row>
    <row r="3744" spans="1:2" x14ac:dyDescent="0.25">
      <c r="A3744">
        <v>6762</v>
      </c>
      <c r="B3744">
        <v>0</v>
      </c>
    </row>
    <row r="3745" spans="1:2" x14ac:dyDescent="0.25">
      <c r="A3745">
        <v>6766</v>
      </c>
      <c r="B3745">
        <v>0</v>
      </c>
    </row>
    <row r="3746" spans="1:2" x14ac:dyDescent="0.25">
      <c r="A3746">
        <v>6767</v>
      </c>
      <c r="B3746">
        <v>0</v>
      </c>
    </row>
    <row r="3747" spans="1:2" x14ac:dyDescent="0.25">
      <c r="A3747">
        <v>6769</v>
      </c>
      <c r="B3747">
        <v>0</v>
      </c>
    </row>
    <row r="3748" spans="1:2" x14ac:dyDescent="0.25">
      <c r="A3748">
        <v>6771</v>
      </c>
      <c r="B3748">
        <v>0</v>
      </c>
    </row>
    <row r="3749" spans="1:2" x14ac:dyDescent="0.25">
      <c r="A3749">
        <v>6773</v>
      </c>
      <c r="B3749">
        <v>0</v>
      </c>
    </row>
    <row r="3750" spans="1:2" x14ac:dyDescent="0.25">
      <c r="A3750">
        <v>6775</v>
      </c>
      <c r="B3750">
        <v>0</v>
      </c>
    </row>
    <row r="3751" spans="1:2" x14ac:dyDescent="0.25">
      <c r="A3751">
        <v>6776</v>
      </c>
      <c r="B3751">
        <v>0</v>
      </c>
    </row>
    <row r="3752" spans="1:2" x14ac:dyDescent="0.25">
      <c r="A3752">
        <v>6777</v>
      </c>
      <c r="B3752">
        <v>0</v>
      </c>
    </row>
    <row r="3753" spans="1:2" x14ac:dyDescent="0.25">
      <c r="A3753">
        <v>6778</v>
      </c>
      <c r="B3753">
        <v>0</v>
      </c>
    </row>
    <row r="3754" spans="1:2" x14ac:dyDescent="0.25">
      <c r="A3754">
        <v>6779</v>
      </c>
      <c r="B3754">
        <v>0</v>
      </c>
    </row>
    <row r="3755" spans="1:2" x14ac:dyDescent="0.25">
      <c r="A3755">
        <v>6780</v>
      </c>
      <c r="B3755">
        <v>0</v>
      </c>
    </row>
    <row r="3756" spans="1:2" x14ac:dyDescent="0.25">
      <c r="A3756">
        <v>6781</v>
      </c>
      <c r="B3756">
        <v>0</v>
      </c>
    </row>
    <row r="3757" spans="1:2" x14ac:dyDescent="0.25">
      <c r="A3757">
        <v>6782</v>
      </c>
      <c r="B3757">
        <v>0</v>
      </c>
    </row>
    <row r="3758" spans="1:2" x14ac:dyDescent="0.25">
      <c r="A3758">
        <v>6783</v>
      </c>
      <c r="B3758">
        <v>0</v>
      </c>
    </row>
    <row r="3759" spans="1:2" x14ac:dyDescent="0.25">
      <c r="A3759">
        <v>6784</v>
      </c>
      <c r="B3759">
        <v>0</v>
      </c>
    </row>
    <row r="3760" spans="1:2" x14ac:dyDescent="0.25">
      <c r="A3760">
        <v>6785</v>
      </c>
      <c r="B3760">
        <v>0</v>
      </c>
    </row>
    <row r="3761" spans="1:2" x14ac:dyDescent="0.25">
      <c r="A3761">
        <v>6786</v>
      </c>
      <c r="B3761">
        <v>0</v>
      </c>
    </row>
    <row r="3762" spans="1:2" x14ac:dyDescent="0.25">
      <c r="A3762">
        <v>6787</v>
      </c>
      <c r="B3762">
        <v>0</v>
      </c>
    </row>
    <row r="3763" spans="1:2" x14ac:dyDescent="0.25">
      <c r="A3763">
        <v>6788</v>
      </c>
      <c r="B3763">
        <v>0</v>
      </c>
    </row>
    <row r="3764" spans="1:2" x14ac:dyDescent="0.25">
      <c r="A3764">
        <v>6789</v>
      </c>
      <c r="B3764">
        <v>0</v>
      </c>
    </row>
    <row r="3765" spans="1:2" x14ac:dyDescent="0.25">
      <c r="A3765">
        <v>6790</v>
      </c>
      <c r="B3765">
        <v>0</v>
      </c>
    </row>
    <row r="3766" spans="1:2" x14ac:dyDescent="0.25">
      <c r="A3766">
        <v>6791</v>
      </c>
      <c r="B3766">
        <v>0</v>
      </c>
    </row>
    <row r="3767" spans="1:2" x14ac:dyDescent="0.25">
      <c r="A3767">
        <v>6792</v>
      </c>
      <c r="B3767">
        <v>0</v>
      </c>
    </row>
    <row r="3768" spans="1:2" x14ac:dyDescent="0.25">
      <c r="A3768">
        <v>6793</v>
      </c>
      <c r="B3768">
        <v>0</v>
      </c>
    </row>
    <row r="3769" spans="1:2" x14ac:dyDescent="0.25">
      <c r="A3769">
        <v>6794</v>
      </c>
      <c r="B3769">
        <v>0</v>
      </c>
    </row>
    <row r="3770" spans="1:2" x14ac:dyDescent="0.25">
      <c r="A3770">
        <v>6795</v>
      </c>
      <c r="B3770">
        <v>0</v>
      </c>
    </row>
    <row r="3771" spans="1:2" x14ac:dyDescent="0.25">
      <c r="A3771">
        <v>6796</v>
      </c>
      <c r="B3771">
        <v>0</v>
      </c>
    </row>
    <row r="3772" spans="1:2" x14ac:dyDescent="0.25">
      <c r="A3772">
        <v>6797</v>
      </c>
      <c r="B3772">
        <v>0</v>
      </c>
    </row>
    <row r="3773" spans="1:2" x14ac:dyDescent="0.25">
      <c r="A3773">
        <v>6798</v>
      </c>
      <c r="B3773">
        <v>0</v>
      </c>
    </row>
    <row r="3774" spans="1:2" x14ac:dyDescent="0.25">
      <c r="A3774">
        <v>6799</v>
      </c>
      <c r="B3774">
        <v>0</v>
      </c>
    </row>
    <row r="3775" spans="1:2" x14ac:dyDescent="0.25">
      <c r="A3775">
        <v>6800</v>
      </c>
      <c r="B3775">
        <v>0</v>
      </c>
    </row>
    <row r="3776" spans="1:2" x14ac:dyDescent="0.25">
      <c r="A3776">
        <v>6801</v>
      </c>
      <c r="B3776">
        <v>0</v>
      </c>
    </row>
    <row r="3777" spans="1:2" x14ac:dyDescent="0.25">
      <c r="A3777">
        <v>6802</v>
      </c>
      <c r="B3777">
        <v>0</v>
      </c>
    </row>
    <row r="3778" spans="1:2" x14ac:dyDescent="0.25">
      <c r="A3778">
        <v>6803</v>
      </c>
      <c r="B3778">
        <v>0</v>
      </c>
    </row>
    <row r="3779" spans="1:2" x14ac:dyDescent="0.25">
      <c r="A3779">
        <v>6804</v>
      </c>
      <c r="B3779">
        <v>0</v>
      </c>
    </row>
    <row r="3780" spans="1:2" x14ac:dyDescent="0.25">
      <c r="A3780">
        <v>6805</v>
      </c>
      <c r="B3780">
        <v>0</v>
      </c>
    </row>
    <row r="3781" spans="1:2" x14ac:dyDescent="0.25">
      <c r="A3781">
        <v>6806</v>
      </c>
      <c r="B3781">
        <v>0</v>
      </c>
    </row>
    <row r="3782" spans="1:2" x14ac:dyDescent="0.25">
      <c r="A3782">
        <v>6807</v>
      </c>
      <c r="B3782">
        <v>0</v>
      </c>
    </row>
    <row r="3783" spans="1:2" x14ac:dyDescent="0.25">
      <c r="A3783">
        <v>6808</v>
      </c>
      <c r="B3783">
        <v>0</v>
      </c>
    </row>
    <row r="3784" spans="1:2" x14ac:dyDescent="0.25">
      <c r="A3784">
        <v>6809</v>
      </c>
      <c r="B3784">
        <v>0</v>
      </c>
    </row>
    <row r="3785" spans="1:2" x14ac:dyDescent="0.25">
      <c r="A3785">
        <v>6810</v>
      </c>
      <c r="B3785">
        <v>0</v>
      </c>
    </row>
    <row r="3786" spans="1:2" x14ac:dyDescent="0.25">
      <c r="A3786">
        <v>6811</v>
      </c>
      <c r="B3786">
        <v>0</v>
      </c>
    </row>
    <row r="3787" spans="1:2" x14ac:dyDescent="0.25">
      <c r="A3787">
        <v>6812</v>
      </c>
      <c r="B3787">
        <v>0</v>
      </c>
    </row>
    <row r="3788" spans="1:2" x14ac:dyDescent="0.25">
      <c r="A3788">
        <v>6813</v>
      </c>
      <c r="B3788">
        <v>0</v>
      </c>
    </row>
    <row r="3789" spans="1:2" x14ac:dyDescent="0.25">
      <c r="A3789">
        <v>6814</v>
      </c>
      <c r="B3789">
        <v>0</v>
      </c>
    </row>
    <row r="3790" spans="1:2" x14ac:dyDescent="0.25">
      <c r="A3790">
        <v>6815</v>
      </c>
      <c r="B3790">
        <v>0</v>
      </c>
    </row>
    <row r="3791" spans="1:2" x14ac:dyDescent="0.25">
      <c r="A3791">
        <v>6816</v>
      </c>
      <c r="B3791">
        <v>0</v>
      </c>
    </row>
    <row r="3792" spans="1:2" x14ac:dyDescent="0.25">
      <c r="A3792">
        <v>6862</v>
      </c>
      <c r="B3792">
        <v>0</v>
      </c>
    </row>
    <row r="3793" spans="1:2" x14ac:dyDescent="0.25">
      <c r="A3793">
        <v>6864</v>
      </c>
      <c r="B3793">
        <v>0</v>
      </c>
    </row>
    <row r="3794" spans="1:2" x14ac:dyDescent="0.25">
      <c r="A3794">
        <v>6867</v>
      </c>
      <c r="B3794">
        <v>0</v>
      </c>
    </row>
    <row r="3795" spans="1:2" x14ac:dyDescent="0.25">
      <c r="A3795">
        <v>6869</v>
      </c>
      <c r="B3795">
        <v>0</v>
      </c>
    </row>
    <row r="3796" spans="1:2" x14ac:dyDescent="0.25">
      <c r="A3796">
        <v>6872</v>
      </c>
      <c r="B3796">
        <v>0</v>
      </c>
    </row>
    <row r="3797" spans="1:2" x14ac:dyDescent="0.25">
      <c r="A3797">
        <v>6874</v>
      </c>
      <c r="B3797">
        <v>0</v>
      </c>
    </row>
    <row r="3798" spans="1:2" x14ac:dyDescent="0.25">
      <c r="A3798">
        <v>6877</v>
      </c>
      <c r="B3798">
        <v>0</v>
      </c>
    </row>
    <row r="3799" spans="1:2" x14ac:dyDescent="0.25">
      <c r="A3799">
        <v>6879</v>
      </c>
      <c r="B3799">
        <v>0</v>
      </c>
    </row>
    <row r="3800" spans="1:2" x14ac:dyDescent="0.25">
      <c r="A3800">
        <v>6881</v>
      </c>
      <c r="B3800">
        <v>0</v>
      </c>
    </row>
    <row r="3801" spans="1:2" x14ac:dyDescent="0.25">
      <c r="A3801">
        <v>6883</v>
      </c>
      <c r="B3801">
        <v>0</v>
      </c>
    </row>
    <row r="3802" spans="1:2" x14ac:dyDescent="0.25">
      <c r="A3802">
        <v>6885</v>
      </c>
      <c r="B3802">
        <v>0</v>
      </c>
    </row>
    <row r="3803" spans="1:2" x14ac:dyDescent="0.25">
      <c r="A3803">
        <v>6887</v>
      </c>
      <c r="B3803">
        <v>0</v>
      </c>
    </row>
    <row r="3804" spans="1:2" x14ac:dyDescent="0.25">
      <c r="A3804">
        <v>6889</v>
      </c>
      <c r="B3804">
        <v>0</v>
      </c>
    </row>
    <row r="3805" spans="1:2" x14ac:dyDescent="0.25">
      <c r="A3805">
        <v>6891</v>
      </c>
      <c r="B3805">
        <v>0</v>
      </c>
    </row>
    <row r="3806" spans="1:2" x14ac:dyDescent="0.25">
      <c r="A3806">
        <v>6894</v>
      </c>
      <c r="B3806">
        <v>0</v>
      </c>
    </row>
    <row r="3807" spans="1:2" x14ac:dyDescent="0.25">
      <c r="A3807">
        <v>6896</v>
      </c>
      <c r="B3807">
        <v>0</v>
      </c>
    </row>
    <row r="3808" spans="1:2" x14ac:dyDescent="0.25">
      <c r="A3808">
        <v>6899</v>
      </c>
      <c r="B3808">
        <v>0</v>
      </c>
    </row>
    <row r="3809" spans="1:2" x14ac:dyDescent="0.25">
      <c r="A3809">
        <v>6900</v>
      </c>
      <c r="B3809">
        <v>0</v>
      </c>
    </row>
    <row r="3810" spans="1:2" x14ac:dyDescent="0.25">
      <c r="A3810">
        <v>6901</v>
      </c>
      <c r="B3810">
        <v>0</v>
      </c>
    </row>
    <row r="3811" spans="1:2" x14ac:dyDescent="0.25">
      <c r="A3811">
        <v>6903</v>
      </c>
      <c r="B3811">
        <v>0</v>
      </c>
    </row>
    <row r="3812" spans="1:2" x14ac:dyDescent="0.25">
      <c r="A3812">
        <v>6905</v>
      </c>
      <c r="B3812">
        <v>0</v>
      </c>
    </row>
    <row r="3813" spans="1:2" x14ac:dyDescent="0.25">
      <c r="A3813">
        <v>6907</v>
      </c>
      <c r="B3813">
        <v>0</v>
      </c>
    </row>
    <row r="3814" spans="1:2" x14ac:dyDescent="0.25">
      <c r="A3814">
        <v>6909</v>
      </c>
      <c r="B3814">
        <v>0</v>
      </c>
    </row>
    <row r="3815" spans="1:2" x14ac:dyDescent="0.25">
      <c r="A3815">
        <v>6911</v>
      </c>
      <c r="B3815">
        <v>0</v>
      </c>
    </row>
    <row r="3816" spans="1:2" x14ac:dyDescent="0.25">
      <c r="A3816">
        <v>6912</v>
      </c>
      <c r="B3816">
        <v>0</v>
      </c>
    </row>
    <row r="3817" spans="1:2" x14ac:dyDescent="0.25">
      <c r="A3817">
        <v>6913</v>
      </c>
      <c r="B3817">
        <v>0</v>
      </c>
    </row>
    <row r="3818" spans="1:2" x14ac:dyDescent="0.25">
      <c r="A3818">
        <v>6920</v>
      </c>
      <c r="B3818">
        <v>0</v>
      </c>
    </row>
    <row r="3819" spans="1:2" x14ac:dyDescent="0.25">
      <c r="A3819">
        <v>6921</v>
      </c>
      <c r="B3819">
        <v>0</v>
      </c>
    </row>
    <row r="3820" spans="1:2" x14ac:dyDescent="0.25">
      <c r="A3820">
        <v>6922</v>
      </c>
      <c r="B3820">
        <v>0</v>
      </c>
    </row>
    <row r="3821" spans="1:2" x14ac:dyDescent="0.25">
      <c r="A3821">
        <v>6923</v>
      </c>
      <c r="B3821">
        <v>0</v>
      </c>
    </row>
    <row r="3822" spans="1:2" x14ac:dyDescent="0.25">
      <c r="A3822">
        <v>6924</v>
      </c>
      <c r="B3822">
        <v>0</v>
      </c>
    </row>
    <row r="3823" spans="1:2" x14ac:dyDescent="0.25">
      <c r="A3823">
        <v>6925</v>
      </c>
      <c r="B3823">
        <v>0</v>
      </c>
    </row>
    <row r="3824" spans="1:2" x14ac:dyDescent="0.25">
      <c r="A3824">
        <v>6926</v>
      </c>
      <c r="B3824">
        <v>0</v>
      </c>
    </row>
    <row r="3825" spans="1:2" x14ac:dyDescent="0.25">
      <c r="A3825">
        <v>6936</v>
      </c>
      <c r="B3825">
        <v>0</v>
      </c>
    </row>
    <row r="3826" spans="1:2" x14ac:dyDescent="0.25">
      <c r="A3826">
        <v>6939</v>
      </c>
      <c r="B3826">
        <v>0</v>
      </c>
    </row>
    <row r="3827" spans="1:2" x14ac:dyDescent="0.25">
      <c r="A3827">
        <v>6940</v>
      </c>
      <c r="B3827">
        <v>0</v>
      </c>
    </row>
    <row r="3828" spans="1:2" x14ac:dyDescent="0.25">
      <c r="A3828">
        <v>6942</v>
      </c>
      <c r="B3828">
        <v>0</v>
      </c>
    </row>
    <row r="3829" spans="1:2" x14ac:dyDescent="0.25">
      <c r="A3829">
        <v>6944</v>
      </c>
      <c r="B3829">
        <v>0</v>
      </c>
    </row>
    <row r="3830" spans="1:2" x14ac:dyDescent="0.25">
      <c r="A3830">
        <v>6946</v>
      </c>
      <c r="B3830">
        <v>0</v>
      </c>
    </row>
    <row r="3831" spans="1:2" x14ac:dyDescent="0.25">
      <c r="A3831">
        <v>6949</v>
      </c>
      <c r="B3831">
        <v>0</v>
      </c>
    </row>
    <row r="3832" spans="1:2" x14ac:dyDescent="0.25">
      <c r="A3832">
        <v>6950</v>
      </c>
      <c r="B3832">
        <v>0</v>
      </c>
    </row>
    <row r="3833" spans="1:2" x14ac:dyDescent="0.25">
      <c r="A3833">
        <v>6951</v>
      </c>
      <c r="B3833">
        <v>0</v>
      </c>
    </row>
    <row r="3834" spans="1:2" x14ac:dyDescent="0.25">
      <c r="A3834">
        <v>6952</v>
      </c>
      <c r="B3834">
        <v>0</v>
      </c>
    </row>
    <row r="3835" spans="1:2" x14ac:dyDescent="0.25">
      <c r="A3835">
        <v>6953</v>
      </c>
      <c r="B3835">
        <v>0</v>
      </c>
    </row>
    <row r="3836" spans="1:2" x14ac:dyDescent="0.25">
      <c r="A3836">
        <v>6954</v>
      </c>
      <c r="B3836">
        <v>0</v>
      </c>
    </row>
    <row r="3837" spans="1:2" x14ac:dyDescent="0.25">
      <c r="A3837">
        <v>6955</v>
      </c>
      <c r="B3837">
        <v>0</v>
      </c>
    </row>
    <row r="3838" spans="1:2" x14ac:dyDescent="0.25">
      <c r="A3838">
        <v>6956</v>
      </c>
      <c r="B3838">
        <v>0</v>
      </c>
    </row>
    <row r="3839" spans="1:2" x14ac:dyDescent="0.25">
      <c r="A3839">
        <v>6957</v>
      </c>
      <c r="B3839">
        <v>0</v>
      </c>
    </row>
    <row r="3840" spans="1:2" x14ac:dyDescent="0.25">
      <c r="A3840">
        <v>6959</v>
      </c>
      <c r="B3840">
        <v>0</v>
      </c>
    </row>
    <row r="3841" spans="1:2" x14ac:dyDescent="0.25">
      <c r="A3841">
        <v>6962</v>
      </c>
      <c r="B3841">
        <v>0</v>
      </c>
    </row>
    <row r="3842" spans="1:2" x14ac:dyDescent="0.25">
      <c r="A3842">
        <v>6964</v>
      </c>
      <c r="B3842">
        <v>0</v>
      </c>
    </row>
    <row r="3843" spans="1:2" x14ac:dyDescent="0.25">
      <c r="A3843">
        <v>6966</v>
      </c>
      <c r="B3843">
        <v>0</v>
      </c>
    </row>
    <row r="3844" spans="1:2" x14ac:dyDescent="0.25">
      <c r="A3844">
        <v>6968</v>
      </c>
      <c r="B3844">
        <v>0</v>
      </c>
    </row>
    <row r="3845" spans="1:2" x14ac:dyDescent="0.25">
      <c r="A3845">
        <v>6969</v>
      </c>
      <c r="B3845">
        <v>0</v>
      </c>
    </row>
    <row r="3846" spans="1:2" x14ac:dyDescent="0.25">
      <c r="A3846">
        <v>6972</v>
      </c>
      <c r="B3846">
        <v>0</v>
      </c>
    </row>
    <row r="3847" spans="1:2" x14ac:dyDescent="0.25">
      <c r="A3847">
        <v>6974</v>
      </c>
      <c r="B3847">
        <v>0</v>
      </c>
    </row>
    <row r="3848" spans="1:2" x14ac:dyDescent="0.25">
      <c r="A3848">
        <v>6976</v>
      </c>
      <c r="B3848">
        <v>0</v>
      </c>
    </row>
    <row r="3849" spans="1:2" x14ac:dyDescent="0.25">
      <c r="A3849">
        <v>6978</v>
      </c>
      <c r="B3849">
        <v>0</v>
      </c>
    </row>
    <row r="3850" spans="1:2" x14ac:dyDescent="0.25">
      <c r="A3850">
        <v>6979</v>
      </c>
      <c r="B3850">
        <v>0</v>
      </c>
    </row>
    <row r="3851" spans="1:2" x14ac:dyDescent="0.25">
      <c r="A3851">
        <v>6980</v>
      </c>
      <c r="B3851">
        <v>0</v>
      </c>
    </row>
    <row r="3852" spans="1:2" x14ac:dyDescent="0.25">
      <c r="A3852">
        <v>6981</v>
      </c>
      <c r="B3852">
        <v>0</v>
      </c>
    </row>
    <row r="3853" spans="1:2" x14ac:dyDescent="0.25">
      <c r="A3853">
        <v>6982</v>
      </c>
      <c r="B3853">
        <v>0</v>
      </c>
    </row>
    <row r="3854" spans="1:2" x14ac:dyDescent="0.25">
      <c r="A3854">
        <v>6990</v>
      </c>
      <c r="B3854">
        <v>0</v>
      </c>
    </row>
    <row r="3855" spans="1:2" x14ac:dyDescent="0.25">
      <c r="A3855">
        <v>6992</v>
      </c>
      <c r="B3855">
        <v>0</v>
      </c>
    </row>
    <row r="3856" spans="1:2" x14ac:dyDescent="0.25">
      <c r="A3856">
        <v>6993</v>
      </c>
      <c r="B3856">
        <v>0</v>
      </c>
    </row>
    <row r="3857" spans="1:2" x14ac:dyDescent="0.25">
      <c r="A3857">
        <v>6994</v>
      </c>
      <c r="B3857">
        <v>0</v>
      </c>
    </row>
    <row r="3858" spans="1:2" x14ac:dyDescent="0.25">
      <c r="A3858">
        <v>6995</v>
      </c>
      <c r="B3858">
        <v>0</v>
      </c>
    </row>
    <row r="3859" spans="1:2" x14ac:dyDescent="0.25">
      <c r="A3859">
        <v>6996</v>
      </c>
      <c r="B3859">
        <v>0</v>
      </c>
    </row>
    <row r="3860" spans="1:2" x14ac:dyDescent="0.25">
      <c r="A3860">
        <v>6997</v>
      </c>
      <c r="B3860">
        <v>0</v>
      </c>
    </row>
    <row r="3861" spans="1:2" x14ac:dyDescent="0.25">
      <c r="A3861">
        <v>6999</v>
      </c>
      <c r="B3861">
        <v>0</v>
      </c>
    </row>
    <row r="3862" spans="1:2" x14ac:dyDescent="0.25">
      <c r="A3862">
        <v>7094</v>
      </c>
      <c r="B3862">
        <v>0</v>
      </c>
    </row>
    <row r="3863" spans="1:2" x14ac:dyDescent="0.25">
      <c r="A3863">
        <v>7098</v>
      </c>
      <c r="B3863">
        <v>0</v>
      </c>
    </row>
    <row r="3864" spans="1:2" x14ac:dyDescent="0.25">
      <c r="A3864">
        <v>7122</v>
      </c>
      <c r="B3864">
        <v>0</v>
      </c>
    </row>
    <row r="3865" spans="1:2" x14ac:dyDescent="0.25">
      <c r="A3865">
        <v>7150</v>
      </c>
      <c r="B3865">
        <v>0</v>
      </c>
    </row>
    <row r="3866" spans="1:2" x14ac:dyDescent="0.25">
      <c r="A3866">
        <v>7151</v>
      </c>
      <c r="B3866">
        <v>0</v>
      </c>
    </row>
    <row r="3867" spans="1:2" x14ac:dyDescent="0.25">
      <c r="A3867">
        <v>7183</v>
      </c>
      <c r="B3867">
        <v>0</v>
      </c>
    </row>
    <row r="3868" spans="1:2" x14ac:dyDescent="0.25">
      <c r="A3868">
        <v>7185</v>
      </c>
      <c r="B3868">
        <v>0</v>
      </c>
    </row>
    <row r="3869" spans="1:2" x14ac:dyDescent="0.25">
      <c r="A3869">
        <v>7190</v>
      </c>
      <c r="B3869">
        <v>0</v>
      </c>
    </row>
    <row r="3870" spans="1:2" x14ac:dyDescent="0.25">
      <c r="A3870">
        <v>7191</v>
      </c>
      <c r="B3870">
        <v>0</v>
      </c>
    </row>
    <row r="3871" spans="1:2" x14ac:dyDescent="0.25">
      <c r="A3871">
        <v>7220</v>
      </c>
      <c r="B3871">
        <v>0</v>
      </c>
    </row>
    <row r="3872" spans="1:2" x14ac:dyDescent="0.25">
      <c r="A3872">
        <v>7225</v>
      </c>
      <c r="B3872">
        <v>0</v>
      </c>
    </row>
    <row r="3873" spans="1:2" x14ac:dyDescent="0.25">
      <c r="A3873">
        <v>7226</v>
      </c>
      <c r="B3873">
        <v>0</v>
      </c>
    </row>
    <row r="3874" spans="1:2" x14ac:dyDescent="0.25">
      <c r="A3874">
        <v>7227</v>
      </c>
      <c r="B3874">
        <v>0</v>
      </c>
    </row>
    <row r="3875" spans="1:2" x14ac:dyDescent="0.25">
      <c r="A3875">
        <v>7228</v>
      </c>
      <c r="B3875">
        <v>0</v>
      </c>
    </row>
    <row r="3876" spans="1:2" x14ac:dyDescent="0.25">
      <c r="A3876">
        <v>7230</v>
      </c>
      <c r="B3876">
        <v>0</v>
      </c>
    </row>
    <row r="3877" spans="1:2" x14ac:dyDescent="0.25">
      <c r="A3877">
        <v>7232</v>
      </c>
      <c r="B3877">
        <v>0</v>
      </c>
    </row>
    <row r="3878" spans="1:2" x14ac:dyDescent="0.25">
      <c r="A3878">
        <v>7234</v>
      </c>
      <c r="B3878">
        <v>0</v>
      </c>
    </row>
    <row r="3879" spans="1:2" x14ac:dyDescent="0.25">
      <c r="A3879">
        <v>7235</v>
      </c>
      <c r="B3879">
        <v>0</v>
      </c>
    </row>
    <row r="3880" spans="1:2" x14ac:dyDescent="0.25">
      <c r="A3880">
        <v>7236</v>
      </c>
      <c r="B3880">
        <v>0</v>
      </c>
    </row>
    <row r="3881" spans="1:2" x14ac:dyDescent="0.25">
      <c r="A3881">
        <v>7237</v>
      </c>
      <c r="B3881">
        <v>0</v>
      </c>
    </row>
    <row r="3882" spans="1:2" x14ac:dyDescent="0.25">
      <c r="A3882">
        <v>7238</v>
      </c>
      <c r="B3882">
        <v>0</v>
      </c>
    </row>
    <row r="3883" spans="1:2" x14ac:dyDescent="0.25">
      <c r="A3883">
        <v>7244</v>
      </c>
      <c r="B3883">
        <v>0</v>
      </c>
    </row>
    <row r="3884" spans="1:2" x14ac:dyDescent="0.25">
      <c r="A3884">
        <v>7245</v>
      </c>
      <c r="B3884">
        <v>0</v>
      </c>
    </row>
    <row r="3885" spans="1:2" x14ac:dyDescent="0.25">
      <c r="A3885">
        <v>7246</v>
      </c>
      <c r="B3885">
        <v>0</v>
      </c>
    </row>
    <row r="3886" spans="1:2" x14ac:dyDescent="0.25">
      <c r="A3886">
        <v>7251</v>
      </c>
      <c r="B3886">
        <v>0</v>
      </c>
    </row>
    <row r="3887" spans="1:2" x14ac:dyDescent="0.25">
      <c r="A3887">
        <v>7255</v>
      </c>
      <c r="B3887">
        <v>0</v>
      </c>
    </row>
    <row r="3888" spans="1:2" x14ac:dyDescent="0.25">
      <c r="A3888">
        <v>7256</v>
      </c>
      <c r="B3888">
        <v>0</v>
      </c>
    </row>
    <row r="3889" spans="1:2" x14ac:dyDescent="0.25">
      <c r="A3889">
        <v>7259</v>
      </c>
      <c r="B3889">
        <v>0</v>
      </c>
    </row>
    <row r="3890" spans="1:2" x14ac:dyDescent="0.25">
      <c r="A3890">
        <v>7262</v>
      </c>
      <c r="B3890">
        <v>0</v>
      </c>
    </row>
    <row r="3891" spans="1:2" x14ac:dyDescent="0.25">
      <c r="A3891">
        <v>7263</v>
      </c>
      <c r="B3891">
        <v>0</v>
      </c>
    </row>
    <row r="3892" spans="1:2" x14ac:dyDescent="0.25">
      <c r="A3892">
        <v>7264</v>
      </c>
      <c r="B3892">
        <v>0</v>
      </c>
    </row>
    <row r="3893" spans="1:2" x14ac:dyDescent="0.25">
      <c r="A3893">
        <v>7265</v>
      </c>
      <c r="B3893">
        <v>0</v>
      </c>
    </row>
    <row r="3894" spans="1:2" x14ac:dyDescent="0.25">
      <c r="A3894">
        <v>7266</v>
      </c>
      <c r="B3894">
        <v>0</v>
      </c>
    </row>
    <row r="3895" spans="1:2" x14ac:dyDescent="0.25">
      <c r="A3895">
        <v>7268</v>
      </c>
      <c r="B3895">
        <v>0</v>
      </c>
    </row>
    <row r="3896" spans="1:2" x14ac:dyDescent="0.25">
      <c r="A3896">
        <v>7269</v>
      </c>
      <c r="B3896">
        <v>0</v>
      </c>
    </row>
    <row r="3897" spans="1:2" x14ac:dyDescent="0.25">
      <c r="A3897">
        <v>7271</v>
      </c>
      <c r="B3897">
        <v>0</v>
      </c>
    </row>
    <row r="3898" spans="1:2" x14ac:dyDescent="0.25">
      <c r="A3898">
        <v>7272</v>
      </c>
      <c r="B3898">
        <v>0</v>
      </c>
    </row>
    <row r="3899" spans="1:2" x14ac:dyDescent="0.25">
      <c r="A3899">
        <v>7273</v>
      </c>
      <c r="B3899">
        <v>0</v>
      </c>
    </row>
    <row r="3900" spans="1:2" x14ac:dyDescent="0.25">
      <c r="A3900">
        <v>7274</v>
      </c>
      <c r="B3900">
        <v>0</v>
      </c>
    </row>
    <row r="3901" spans="1:2" x14ac:dyDescent="0.25">
      <c r="A3901">
        <v>7275</v>
      </c>
      <c r="B3901">
        <v>0</v>
      </c>
    </row>
    <row r="3902" spans="1:2" x14ac:dyDescent="0.25">
      <c r="A3902">
        <v>7276</v>
      </c>
      <c r="B3902">
        <v>0</v>
      </c>
    </row>
    <row r="3903" spans="1:2" x14ac:dyDescent="0.25">
      <c r="A3903">
        <v>7277</v>
      </c>
      <c r="B3903">
        <v>0</v>
      </c>
    </row>
    <row r="3904" spans="1:2" x14ac:dyDescent="0.25">
      <c r="A3904">
        <v>7278</v>
      </c>
      <c r="B3904">
        <v>0</v>
      </c>
    </row>
    <row r="3905" spans="1:2" x14ac:dyDescent="0.25">
      <c r="A3905">
        <v>7279</v>
      </c>
      <c r="B3905">
        <v>0</v>
      </c>
    </row>
    <row r="3906" spans="1:2" x14ac:dyDescent="0.25">
      <c r="A3906">
        <v>7280</v>
      </c>
      <c r="B3906">
        <v>0</v>
      </c>
    </row>
    <row r="3907" spans="1:2" x14ac:dyDescent="0.25">
      <c r="A3907">
        <v>7281</v>
      </c>
      <c r="B3907">
        <v>0</v>
      </c>
    </row>
    <row r="3908" spans="1:2" x14ac:dyDescent="0.25">
      <c r="A3908">
        <v>7283</v>
      </c>
      <c r="B3908">
        <v>0</v>
      </c>
    </row>
    <row r="3909" spans="1:2" x14ac:dyDescent="0.25">
      <c r="A3909">
        <v>7286</v>
      </c>
      <c r="B3909">
        <v>0</v>
      </c>
    </row>
    <row r="3910" spans="1:2" x14ac:dyDescent="0.25">
      <c r="A3910">
        <v>7287</v>
      </c>
      <c r="B3910">
        <v>0</v>
      </c>
    </row>
    <row r="3911" spans="1:2" x14ac:dyDescent="0.25">
      <c r="A3911">
        <v>7289</v>
      </c>
      <c r="B3911">
        <v>0</v>
      </c>
    </row>
    <row r="3912" spans="1:2" x14ac:dyDescent="0.25">
      <c r="A3912">
        <v>7290</v>
      </c>
      <c r="B3912">
        <v>0</v>
      </c>
    </row>
    <row r="3913" spans="1:2" x14ac:dyDescent="0.25">
      <c r="A3913">
        <v>7291</v>
      </c>
      <c r="B3913">
        <v>0</v>
      </c>
    </row>
    <row r="3914" spans="1:2" x14ac:dyDescent="0.25">
      <c r="A3914">
        <v>7317</v>
      </c>
      <c r="B3914">
        <v>0</v>
      </c>
    </row>
    <row r="3915" spans="1:2" x14ac:dyDescent="0.25">
      <c r="A3915">
        <v>7319</v>
      </c>
      <c r="B3915">
        <v>0</v>
      </c>
    </row>
    <row r="3916" spans="1:2" x14ac:dyDescent="0.25">
      <c r="A3916">
        <v>7321</v>
      </c>
      <c r="B3916">
        <v>0</v>
      </c>
    </row>
    <row r="3917" spans="1:2" x14ac:dyDescent="0.25">
      <c r="A3917">
        <v>7323</v>
      </c>
      <c r="B3917">
        <v>0</v>
      </c>
    </row>
    <row r="3918" spans="1:2" x14ac:dyDescent="0.25">
      <c r="A3918">
        <v>7325</v>
      </c>
      <c r="B3918">
        <v>5</v>
      </c>
    </row>
    <row r="3919" spans="1:2" x14ac:dyDescent="0.25">
      <c r="A3919">
        <v>7326</v>
      </c>
      <c r="B3919">
        <v>0</v>
      </c>
    </row>
    <row r="3920" spans="1:2" x14ac:dyDescent="0.25">
      <c r="A3920">
        <v>7327</v>
      </c>
      <c r="B3920">
        <v>0</v>
      </c>
    </row>
    <row r="3921" spans="1:2" x14ac:dyDescent="0.25">
      <c r="A3921">
        <v>7329</v>
      </c>
      <c r="B3921">
        <v>0</v>
      </c>
    </row>
    <row r="3922" spans="1:2" x14ac:dyDescent="0.25">
      <c r="A3922">
        <v>7331</v>
      </c>
      <c r="B3922">
        <v>0</v>
      </c>
    </row>
    <row r="3923" spans="1:2" x14ac:dyDescent="0.25">
      <c r="A3923">
        <v>7334</v>
      </c>
      <c r="B3923">
        <v>0</v>
      </c>
    </row>
    <row r="3924" spans="1:2" x14ac:dyDescent="0.25">
      <c r="A3924">
        <v>7335</v>
      </c>
      <c r="B3924">
        <v>0</v>
      </c>
    </row>
    <row r="3925" spans="1:2" x14ac:dyDescent="0.25">
      <c r="A3925">
        <v>7336</v>
      </c>
      <c r="B3925">
        <v>0</v>
      </c>
    </row>
    <row r="3926" spans="1:2" x14ac:dyDescent="0.25">
      <c r="A3926">
        <v>7339</v>
      </c>
      <c r="B3926">
        <v>0</v>
      </c>
    </row>
    <row r="3927" spans="1:2" x14ac:dyDescent="0.25">
      <c r="A3927">
        <v>7340</v>
      </c>
      <c r="B3927">
        <v>0</v>
      </c>
    </row>
    <row r="3928" spans="1:2" x14ac:dyDescent="0.25">
      <c r="A3928">
        <v>7341</v>
      </c>
      <c r="B3928">
        <v>0</v>
      </c>
    </row>
    <row r="3929" spans="1:2" x14ac:dyDescent="0.25">
      <c r="A3929">
        <v>7342</v>
      </c>
      <c r="B3929">
        <v>0</v>
      </c>
    </row>
    <row r="3930" spans="1:2" x14ac:dyDescent="0.25">
      <c r="A3930">
        <v>7344</v>
      </c>
      <c r="B3930">
        <v>0</v>
      </c>
    </row>
    <row r="3931" spans="1:2" x14ac:dyDescent="0.25">
      <c r="A3931">
        <v>7345</v>
      </c>
      <c r="B3931">
        <v>0</v>
      </c>
    </row>
    <row r="3932" spans="1:2" x14ac:dyDescent="0.25">
      <c r="A3932">
        <v>7347</v>
      </c>
      <c r="B3932">
        <v>0</v>
      </c>
    </row>
    <row r="3933" spans="1:2" x14ac:dyDescent="0.25">
      <c r="A3933">
        <v>7348</v>
      </c>
      <c r="B3933">
        <v>0</v>
      </c>
    </row>
    <row r="3934" spans="1:2" x14ac:dyDescent="0.25">
      <c r="A3934">
        <v>7350</v>
      </c>
      <c r="B3934">
        <v>0</v>
      </c>
    </row>
    <row r="3935" spans="1:2" x14ac:dyDescent="0.25">
      <c r="A3935">
        <v>7351</v>
      </c>
      <c r="B3935">
        <v>0</v>
      </c>
    </row>
    <row r="3936" spans="1:2" x14ac:dyDescent="0.25">
      <c r="A3936">
        <v>7354</v>
      </c>
      <c r="B3936">
        <v>0</v>
      </c>
    </row>
    <row r="3937" spans="1:2" x14ac:dyDescent="0.25">
      <c r="A3937">
        <v>7355</v>
      </c>
      <c r="B3937">
        <v>0</v>
      </c>
    </row>
    <row r="3938" spans="1:2" x14ac:dyDescent="0.25">
      <c r="A3938">
        <v>7357</v>
      </c>
      <c r="B3938">
        <v>0</v>
      </c>
    </row>
    <row r="3939" spans="1:2" x14ac:dyDescent="0.25">
      <c r="A3939">
        <v>7373</v>
      </c>
      <c r="B3939">
        <v>0</v>
      </c>
    </row>
    <row r="3940" spans="1:2" x14ac:dyDescent="0.25">
      <c r="A3940">
        <v>7374</v>
      </c>
      <c r="B3940">
        <v>0</v>
      </c>
    </row>
    <row r="3941" spans="1:2" x14ac:dyDescent="0.25">
      <c r="A3941">
        <v>7375</v>
      </c>
      <c r="B3941">
        <v>0</v>
      </c>
    </row>
    <row r="3942" spans="1:2" x14ac:dyDescent="0.25">
      <c r="A3942">
        <v>7376</v>
      </c>
      <c r="B3942">
        <v>0</v>
      </c>
    </row>
    <row r="3943" spans="1:2" x14ac:dyDescent="0.25">
      <c r="A3943">
        <v>7378</v>
      </c>
      <c r="B3943">
        <v>0</v>
      </c>
    </row>
    <row r="3944" spans="1:2" x14ac:dyDescent="0.25">
      <c r="A3944">
        <v>7379</v>
      </c>
      <c r="B3944">
        <v>0</v>
      </c>
    </row>
    <row r="3945" spans="1:2" x14ac:dyDescent="0.25">
      <c r="A3945">
        <v>7380</v>
      </c>
      <c r="B3945">
        <v>0</v>
      </c>
    </row>
    <row r="3946" spans="1:2" x14ac:dyDescent="0.25">
      <c r="A3946">
        <v>7381</v>
      </c>
      <c r="B3946">
        <v>0</v>
      </c>
    </row>
    <row r="3947" spans="1:2" x14ac:dyDescent="0.25">
      <c r="A3947">
        <v>7382</v>
      </c>
      <c r="B3947">
        <v>0</v>
      </c>
    </row>
    <row r="3948" spans="1:2" x14ac:dyDescent="0.25">
      <c r="A3948">
        <v>7383</v>
      </c>
      <c r="B3948">
        <v>0</v>
      </c>
    </row>
    <row r="3949" spans="1:2" x14ac:dyDescent="0.25">
      <c r="A3949">
        <v>7384</v>
      </c>
      <c r="B3949">
        <v>0</v>
      </c>
    </row>
    <row r="3950" spans="1:2" x14ac:dyDescent="0.25">
      <c r="A3950">
        <v>7385</v>
      </c>
      <c r="B3950">
        <v>0</v>
      </c>
    </row>
    <row r="3951" spans="1:2" x14ac:dyDescent="0.25">
      <c r="A3951">
        <v>7387</v>
      </c>
      <c r="B3951">
        <v>0</v>
      </c>
    </row>
    <row r="3952" spans="1:2" x14ac:dyDescent="0.25">
      <c r="A3952">
        <v>7388</v>
      </c>
      <c r="B3952">
        <v>0</v>
      </c>
    </row>
    <row r="3953" spans="1:2" x14ac:dyDescent="0.25">
      <c r="A3953">
        <v>7389</v>
      </c>
      <c r="B3953">
        <v>0</v>
      </c>
    </row>
    <row r="3954" spans="1:2" x14ac:dyDescent="0.25">
      <c r="A3954">
        <v>7390</v>
      </c>
      <c r="B3954">
        <v>0</v>
      </c>
    </row>
    <row r="3955" spans="1:2" x14ac:dyDescent="0.25">
      <c r="A3955">
        <v>7391</v>
      </c>
      <c r="B3955">
        <v>0</v>
      </c>
    </row>
    <row r="3956" spans="1:2" x14ac:dyDescent="0.25">
      <c r="A3956">
        <v>7393</v>
      </c>
      <c r="B3956">
        <v>0</v>
      </c>
    </row>
    <row r="3957" spans="1:2" x14ac:dyDescent="0.25">
      <c r="A3957">
        <v>7394</v>
      </c>
      <c r="B3957">
        <v>0</v>
      </c>
    </row>
    <row r="3958" spans="1:2" x14ac:dyDescent="0.25">
      <c r="A3958">
        <v>7395</v>
      </c>
      <c r="B3958">
        <v>0</v>
      </c>
    </row>
    <row r="3959" spans="1:2" x14ac:dyDescent="0.25">
      <c r="A3959">
        <v>7396</v>
      </c>
      <c r="B3959">
        <v>0</v>
      </c>
    </row>
    <row r="3960" spans="1:2" x14ac:dyDescent="0.25">
      <c r="A3960">
        <v>7397</v>
      </c>
      <c r="B3960">
        <v>0</v>
      </c>
    </row>
    <row r="3961" spans="1:2" x14ac:dyDescent="0.25">
      <c r="A3961">
        <v>7399</v>
      </c>
      <c r="B3961">
        <v>0</v>
      </c>
    </row>
    <row r="3962" spans="1:2" x14ac:dyDescent="0.25">
      <c r="A3962">
        <v>7400</v>
      </c>
      <c r="B3962">
        <v>0</v>
      </c>
    </row>
    <row r="3963" spans="1:2" x14ac:dyDescent="0.25">
      <c r="A3963">
        <v>7401</v>
      </c>
      <c r="B3963">
        <v>0</v>
      </c>
    </row>
    <row r="3964" spans="1:2" x14ac:dyDescent="0.25">
      <c r="A3964">
        <v>7402</v>
      </c>
      <c r="B3964">
        <v>0</v>
      </c>
    </row>
    <row r="3965" spans="1:2" x14ac:dyDescent="0.25">
      <c r="A3965">
        <v>7404</v>
      </c>
      <c r="B3965">
        <v>0</v>
      </c>
    </row>
    <row r="3966" spans="1:2" x14ac:dyDescent="0.25">
      <c r="A3966">
        <v>7406</v>
      </c>
      <c r="B3966">
        <v>0</v>
      </c>
    </row>
    <row r="3967" spans="1:2" x14ac:dyDescent="0.25">
      <c r="A3967">
        <v>7407</v>
      </c>
      <c r="B3967">
        <v>0</v>
      </c>
    </row>
    <row r="3968" spans="1:2" x14ac:dyDescent="0.25">
      <c r="A3968">
        <v>7408</v>
      </c>
      <c r="B3968">
        <v>0</v>
      </c>
    </row>
    <row r="3969" spans="1:2" x14ac:dyDescent="0.25">
      <c r="A3969">
        <v>7409</v>
      </c>
      <c r="B3969">
        <v>0</v>
      </c>
    </row>
    <row r="3970" spans="1:2" x14ac:dyDescent="0.25">
      <c r="A3970">
        <v>7410</v>
      </c>
      <c r="B3970">
        <v>0</v>
      </c>
    </row>
    <row r="3971" spans="1:2" x14ac:dyDescent="0.25">
      <c r="A3971">
        <v>7411</v>
      </c>
      <c r="B3971">
        <v>0</v>
      </c>
    </row>
    <row r="3972" spans="1:2" x14ac:dyDescent="0.25">
      <c r="A3972">
        <v>7412</v>
      </c>
      <c r="B3972">
        <v>0</v>
      </c>
    </row>
    <row r="3973" spans="1:2" x14ac:dyDescent="0.25">
      <c r="A3973">
        <v>7415</v>
      </c>
      <c r="B3973">
        <v>0</v>
      </c>
    </row>
    <row r="3974" spans="1:2" x14ac:dyDescent="0.25">
      <c r="A3974">
        <v>7416</v>
      </c>
      <c r="B3974">
        <v>0</v>
      </c>
    </row>
    <row r="3975" spans="1:2" x14ac:dyDescent="0.25">
      <c r="A3975">
        <v>7417</v>
      </c>
      <c r="B3975">
        <v>0</v>
      </c>
    </row>
    <row r="3976" spans="1:2" x14ac:dyDescent="0.25">
      <c r="A3976">
        <v>7418</v>
      </c>
      <c r="B3976">
        <v>0</v>
      </c>
    </row>
    <row r="3977" spans="1:2" x14ac:dyDescent="0.25">
      <c r="A3977">
        <v>7420</v>
      </c>
      <c r="B3977">
        <v>0</v>
      </c>
    </row>
    <row r="3978" spans="1:2" x14ac:dyDescent="0.25">
      <c r="A3978">
        <v>7421</v>
      </c>
      <c r="B3978">
        <v>0</v>
      </c>
    </row>
    <row r="3979" spans="1:2" x14ac:dyDescent="0.25">
      <c r="A3979">
        <v>7422</v>
      </c>
      <c r="B3979">
        <v>0</v>
      </c>
    </row>
    <row r="3980" spans="1:2" x14ac:dyDescent="0.25">
      <c r="A3980">
        <v>7423</v>
      </c>
      <c r="B3980">
        <v>0</v>
      </c>
    </row>
    <row r="3981" spans="1:2" x14ac:dyDescent="0.25">
      <c r="A3981">
        <v>7424</v>
      </c>
      <c r="B3981">
        <v>0</v>
      </c>
    </row>
    <row r="3982" spans="1:2" x14ac:dyDescent="0.25">
      <c r="A3982">
        <v>7425</v>
      </c>
      <c r="B3982">
        <v>0</v>
      </c>
    </row>
    <row r="3983" spans="1:2" x14ac:dyDescent="0.25">
      <c r="A3983">
        <v>7426</v>
      </c>
      <c r="B3983">
        <v>0</v>
      </c>
    </row>
    <row r="3984" spans="1:2" x14ac:dyDescent="0.25">
      <c r="A3984">
        <v>7427</v>
      </c>
      <c r="B3984">
        <v>0</v>
      </c>
    </row>
    <row r="3985" spans="1:2" x14ac:dyDescent="0.25">
      <c r="A3985">
        <v>7430</v>
      </c>
      <c r="B3985">
        <v>0</v>
      </c>
    </row>
    <row r="3986" spans="1:2" x14ac:dyDescent="0.25">
      <c r="A3986">
        <v>7431</v>
      </c>
      <c r="B3986">
        <v>0</v>
      </c>
    </row>
    <row r="3987" spans="1:2" x14ac:dyDescent="0.25">
      <c r="A3987">
        <v>7433</v>
      </c>
      <c r="B3987">
        <v>0</v>
      </c>
    </row>
    <row r="3988" spans="1:2" x14ac:dyDescent="0.25">
      <c r="A3988">
        <v>7434</v>
      </c>
      <c r="B3988">
        <v>0</v>
      </c>
    </row>
    <row r="3989" spans="1:2" x14ac:dyDescent="0.25">
      <c r="A3989">
        <v>7435</v>
      </c>
      <c r="B3989">
        <v>0</v>
      </c>
    </row>
    <row r="3990" spans="1:2" x14ac:dyDescent="0.25">
      <c r="A3990">
        <v>7437</v>
      </c>
      <c r="B3990">
        <v>0</v>
      </c>
    </row>
    <row r="3991" spans="1:2" x14ac:dyDescent="0.25">
      <c r="A3991">
        <v>7438</v>
      </c>
      <c r="B3991">
        <v>0</v>
      </c>
    </row>
    <row r="3992" spans="1:2" x14ac:dyDescent="0.25">
      <c r="A3992">
        <v>7439</v>
      </c>
      <c r="B3992">
        <v>0</v>
      </c>
    </row>
    <row r="3993" spans="1:2" x14ac:dyDescent="0.25">
      <c r="A3993">
        <v>7441</v>
      </c>
      <c r="B3993">
        <v>0</v>
      </c>
    </row>
    <row r="3994" spans="1:2" x14ac:dyDescent="0.25">
      <c r="A3994">
        <v>7442</v>
      </c>
      <c r="B3994">
        <v>0</v>
      </c>
    </row>
    <row r="3995" spans="1:2" x14ac:dyDescent="0.25">
      <c r="A3995">
        <v>7443</v>
      </c>
      <c r="B3995">
        <v>0</v>
      </c>
    </row>
    <row r="3996" spans="1:2" x14ac:dyDescent="0.25">
      <c r="A3996">
        <v>7445</v>
      </c>
      <c r="B3996">
        <v>0</v>
      </c>
    </row>
    <row r="3997" spans="1:2" x14ac:dyDescent="0.25">
      <c r="A3997">
        <v>7447</v>
      </c>
      <c r="B3997">
        <v>0</v>
      </c>
    </row>
    <row r="3998" spans="1:2" x14ac:dyDescent="0.25">
      <c r="A3998">
        <v>7448</v>
      </c>
      <c r="B3998">
        <v>0</v>
      </c>
    </row>
    <row r="3999" spans="1:2" x14ac:dyDescent="0.25">
      <c r="A3999">
        <v>7450</v>
      </c>
      <c r="B3999">
        <v>0</v>
      </c>
    </row>
    <row r="4000" spans="1:2" x14ac:dyDescent="0.25">
      <c r="A4000">
        <v>7452</v>
      </c>
      <c r="B4000">
        <v>0</v>
      </c>
    </row>
    <row r="4001" spans="1:2" x14ac:dyDescent="0.25">
      <c r="A4001">
        <v>7453</v>
      </c>
      <c r="B4001">
        <v>0</v>
      </c>
    </row>
    <row r="4002" spans="1:2" x14ac:dyDescent="0.25">
      <c r="A4002">
        <v>7454</v>
      </c>
      <c r="B4002">
        <v>0</v>
      </c>
    </row>
    <row r="4003" spans="1:2" x14ac:dyDescent="0.25">
      <c r="A4003">
        <v>7456</v>
      </c>
      <c r="B4003">
        <v>0</v>
      </c>
    </row>
    <row r="4004" spans="1:2" x14ac:dyDescent="0.25">
      <c r="A4004">
        <v>7458</v>
      </c>
      <c r="B4004">
        <v>0</v>
      </c>
    </row>
    <row r="4005" spans="1:2" x14ac:dyDescent="0.25">
      <c r="A4005">
        <v>7460</v>
      </c>
      <c r="B4005">
        <v>0</v>
      </c>
    </row>
    <row r="4006" spans="1:2" x14ac:dyDescent="0.25">
      <c r="A4006">
        <v>7463</v>
      </c>
      <c r="B4006">
        <v>0</v>
      </c>
    </row>
    <row r="4007" spans="1:2" x14ac:dyDescent="0.25">
      <c r="A4007">
        <v>7465</v>
      </c>
      <c r="B4007">
        <v>0</v>
      </c>
    </row>
    <row r="4008" spans="1:2" x14ac:dyDescent="0.25">
      <c r="A4008">
        <v>7472</v>
      </c>
      <c r="B4008">
        <v>0</v>
      </c>
    </row>
    <row r="4009" spans="1:2" x14ac:dyDescent="0.25">
      <c r="A4009">
        <v>7475</v>
      </c>
      <c r="B4009">
        <v>0</v>
      </c>
    </row>
    <row r="4010" spans="1:2" x14ac:dyDescent="0.25">
      <c r="A4010">
        <v>7481</v>
      </c>
      <c r="B4010">
        <v>0</v>
      </c>
    </row>
    <row r="4011" spans="1:2" x14ac:dyDescent="0.25">
      <c r="A4011">
        <v>7487</v>
      </c>
      <c r="B4011">
        <v>0</v>
      </c>
    </row>
    <row r="4012" spans="1:2" x14ac:dyDescent="0.25">
      <c r="A4012">
        <v>7491</v>
      </c>
      <c r="B4012">
        <v>0</v>
      </c>
    </row>
    <row r="4013" spans="1:2" x14ac:dyDescent="0.25">
      <c r="A4013">
        <v>7492</v>
      </c>
      <c r="B4013">
        <v>0</v>
      </c>
    </row>
    <row r="4014" spans="1:2" x14ac:dyDescent="0.25">
      <c r="A4014">
        <v>7493</v>
      </c>
      <c r="B4014">
        <v>0</v>
      </c>
    </row>
    <row r="4015" spans="1:2" x14ac:dyDescent="0.25">
      <c r="A4015">
        <v>7495</v>
      </c>
      <c r="B4015">
        <v>0</v>
      </c>
    </row>
    <row r="4016" spans="1:2" x14ac:dyDescent="0.25">
      <c r="A4016">
        <v>7497</v>
      </c>
      <c r="B4016">
        <v>0</v>
      </c>
    </row>
    <row r="4017" spans="1:2" x14ac:dyDescent="0.25">
      <c r="A4017">
        <v>7498</v>
      </c>
      <c r="B4017">
        <v>0</v>
      </c>
    </row>
    <row r="4018" spans="1:2" x14ac:dyDescent="0.25">
      <c r="A4018">
        <v>7500</v>
      </c>
      <c r="B4018">
        <v>0</v>
      </c>
    </row>
    <row r="4019" spans="1:2" x14ac:dyDescent="0.25">
      <c r="A4019">
        <v>7501</v>
      </c>
      <c r="B4019">
        <v>0</v>
      </c>
    </row>
    <row r="4020" spans="1:2" x14ac:dyDescent="0.25">
      <c r="A4020">
        <v>7503</v>
      </c>
      <c r="B4020">
        <v>0</v>
      </c>
    </row>
    <row r="4021" spans="1:2" x14ac:dyDescent="0.25">
      <c r="A4021">
        <v>7504</v>
      </c>
      <c r="B4021">
        <v>0</v>
      </c>
    </row>
    <row r="4022" spans="1:2" x14ac:dyDescent="0.25">
      <c r="A4022">
        <v>7505</v>
      </c>
      <c r="B4022">
        <v>0</v>
      </c>
    </row>
    <row r="4023" spans="1:2" x14ac:dyDescent="0.25">
      <c r="A4023">
        <v>7506</v>
      </c>
      <c r="B4023">
        <v>0</v>
      </c>
    </row>
    <row r="4024" spans="1:2" x14ac:dyDescent="0.25">
      <c r="A4024">
        <v>7507</v>
      </c>
      <c r="B4024">
        <v>0</v>
      </c>
    </row>
    <row r="4025" spans="1:2" x14ac:dyDescent="0.25">
      <c r="A4025">
        <v>7508</v>
      </c>
      <c r="B4025">
        <v>0</v>
      </c>
    </row>
    <row r="4026" spans="1:2" x14ac:dyDescent="0.25">
      <c r="A4026">
        <v>7509</v>
      </c>
      <c r="B4026">
        <v>0</v>
      </c>
    </row>
    <row r="4027" spans="1:2" x14ac:dyDescent="0.25">
      <c r="A4027">
        <v>7510</v>
      </c>
      <c r="B4027">
        <v>0</v>
      </c>
    </row>
    <row r="4028" spans="1:2" x14ac:dyDescent="0.25">
      <c r="A4028">
        <v>7511</v>
      </c>
      <c r="B4028">
        <v>0</v>
      </c>
    </row>
    <row r="4029" spans="1:2" x14ac:dyDescent="0.25">
      <c r="A4029">
        <v>7512</v>
      </c>
      <c r="B4029">
        <v>0</v>
      </c>
    </row>
    <row r="4030" spans="1:2" x14ac:dyDescent="0.25">
      <c r="A4030">
        <v>7513</v>
      </c>
      <c r="B4030">
        <v>0</v>
      </c>
    </row>
    <row r="4031" spans="1:2" x14ac:dyDescent="0.25">
      <c r="A4031">
        <v>7514</v>
      </c>
      <c r="B4031">
        <v>0</v>
      </c>
    </row>
    <row r="4032" spans="1:2" x14ac:dyDescent="0.25">
      <c r="A4032">
        <v>7515</v>
      </c>
      <c r="B4032">
        <v>0</v>
      </c>
    </row>
    <row r="4033" spans="1:2" x14ac:dyDescent="0.25">
      <c r="A4033">
        <v>7516</v>
      </c>
      <c r="B4033">
        <v>0</v>
      </c>
    </row>
    <row r="4034" spans="1:2" x14ac:dyDescent="0.25">
      <c r="A4034">
        <v>7517</v>
      </c>
      <c r="B4034">
        <v>0</v>
      </c>
    </row>
    <row r="4035" spans="1:2" x14ac:dyDescent="0.25">
      <c r="A4035">
        <v>7518</v>
      </c>
      <c r="B4035">
        <v>0</v>
      </c>
    </row>
    <row r="4036" spans="1:2" x14ac:dyDescent="0.25">
      <c r="A4036">
        <v>7519</v>
      </c>
      <c r="B4036">
        <v>0</v>
      </c>
    </row>
    <row r="4037" spans="1:2" x14ac:dyDescent="0.25">
      <c r="A4037">
        <v>7520</v>
      </c>
      <c r="B4037">
        <v>0</v>
      </c>
    </row>
    <row r="4038" spans="1:2" x14ac:dyDescent="0.25">
      <c r="A4038">
        <v>7522</v>
      </c>
      <c r="B4038">
        <v>0</v>
      </c>
    </row>
    <row r="4039" spans="1:2" x14ac:dyDescent="0.25">
      <c r="A4039">
        <v>7524</v>
      </c>
      <c r="B4039">
        <v>0</v>
      </c>
    </row>
    <row r="4040" spans="1:2" x14ac:dyDescent="0.25">
      <c r="A4040">
        <v>7526</v>
      </c>
      <c r="B4040">
        <v>0</v>
      </c>
    </row>
    <row r="4041" spans="1:2" x14ac:dyDescent="0.25">
      <c r="A4041">
        <v>7527</v>
      </c>
      <c r="B4041">
        <v>0</v>
      </c>
    </row>
    <row r="4042" spans="1:2" x14ac:dyDescent="0.25">
      <c r="A4042">
        <v>7529</v>
      </c>
      <c r="B4042">
        <v>0</v>
      </c>
    </row>
    <row r="4043" spans="1:2" x14ac:dyDescent="0.25">
      <c r="A4043">
        <v>7531</v>
      </c>
      <c r="B4043">
        <v>0</v>
      </c>
    </row>
    <row r="4044" spans="1:2" x14ac:dyDescent="0.25">
      <c r="A4044">
        <v>7532</v>
      </c>
      <c r="B4044">
        <v>0</v>
      </c>
    </row>
    <row r="4045" spans="1:2" x14ac:dyDescent="0.25">
      <c r="A4045">
        <v>7535</v>
      </c>
      <c r="B4045">
        <v>0</v>
      </c>
    </row>
    <row r="4046" spans="1:2" x14ac:dyDescent="0.25">
      <c r="A4046">
        <v>7536</v>
      </c>
      <c r="B4046">
        <v>0</v>
      </c>
    </row>
    <row r="4047" spans="1:2" x14ac:dyDescent="0.25">
      <c r="A4047">
        <v>7537</v>
      </c>
      <c r="B4047">
        <v>0</v>
      </c>
    </row>
    <row r="4048" spans="1:2" x14ac:dyDescent="0.25">
      <c r="A4048">
        <v>7539</v>
      </c>
      <c r="B4048">
        <v>0</v>
      </c>
    </row>
    <row r="4049" spans="1:2" x14ac:dyDescent="0.25">
      <c r="A4049">
        <v>7541</v>
      </c>
      <c r="B4049">
        <v>0</v>
      </c>
    </row>
    <row r="4050" spans="1:2" x14ac:dyDescent="0.25">
      <c r="A4050">
        <v>7543</v>
      </c>
      <c r="B4050">
        <v>0</v>
      </c>
    </row>
    <row r="4051" spans="1:2" x14ac:dyDescent="0.25">
      <c r="A4051">
        <v>7544</v>
      </c>
      <c r="B4051">
        <v>0</v>
      </c>
    </row>
    <row r="4052" spans="1:2" x14ac:dyDescent="0.25">
      <c r="A4052">
        <v>7546</v>
      </c>
      <c r="B4052">
        <v>0</v>
      </c>
    </row>
    <row r="4053" spans="1:2" x14ac:dyDescent="0.25">
      <c r="A4053">
        <v>7548</v>
      </c>
      <c r="B4053">
        <v>0</v>
      </c>
    </row>
    <row r="4054" spans="1:2" x14ac:dyDescent="0.25">
      <c r="A4054">
        <v>7549</v>
      </c>
      <c r="B4054">
        <v>0</v>
      </c>
    </row>
    <row r="4055" spans="1:2" x14ac:dyDescent="0.25">
      <c r="A4055">
        <v>7553</v>
      </c>
      <c r="B4055">
        <v>0</v>
      </c>
    </row>
    <row r="4056" spans="1:2" x14ac:dyDescent="0.25">
      <c r="A4056">
        <v>7555</v>
      </c>
      <c r="B4056">
        <v>0</v>
      </c>
    </row>
    <row r="4057" spans="1:2" x14ac:dyDescent="0.25">
      <c r="A4057">
        <v>7557</v>
      </c>
      <c r="B4057">
        <v>0</v>
      </c>
    </row>
    <row r="4058" spans="1:2" x14ac:dyDescent="0.25">
      <c r="A4058">
        <v>7559</v>
      </c>
      <c r="B4058">
        <v>0</v>
      </c>
    </row>
    <row r="4059" spans="1:2" x14ac:dyDescent="0.25">
      <c r="A4059">
        <v>7563</v>
      </c>
      <c r="B4059">
        <v>0</v>
      </c>
    </row>
    <row r="4060" spans="1:2" x14ac:dyDescent="0.25">
      <c r="A4060">
        <v>7565</v>
      </c>
      <c r="B4060">
        <v>0</v>
      </c>
    </row>
    <row r="4061" spans="1:2" x14ac:dyDescent="0.25">
      <c r="A4061">
        <v>7570</v>
      </c>
      <c r="B4061">
        <v>0</v>
      </c>
    </row>
    <row r="4062" spans="1:2" x14ac:dyDescent="0.25">
      <c r="A4062">
        <v>7571</v>
      </c>
      <c r="B4062">
        <v>0</v>
      </c>
    </row>
    <row r="4063" spans="1:2" x14ac:dyDescent="0.25">
      <c r="A4063">
        <v>7572</v>
      </c>
      <c r="B4063">
        <v>0</v>
      </c>
    </row>
    <row r="4064" spans="1:2" x14ac:dyDescent="0.25">
      <c r="A4064">
        <v>7573</v>
      </c>
      <c r="B4064">
        <v>0</v>
      </c>
    </row>
    <row r="4065" spans="1:2" x14ac:dyDescent="0.25">
      <c r="A4065">
        <v>7574</v>
      </c>
      <c r="B4065">
        <v>0</v>
      </c>
    </row>
    <row r="4066" spans="1:2" x14ac:dyDescent="0.25">
      <c r="A4066">
        <v>7575</v>
      </c>
      <c r="B4066">
        <v>0</v>
      </c>
    </row>
    <row r="4067" spans="1:2" x14ac:dyDescent="0.25">
      <c r="A4067">
        <v>7576</v>
      </c>
      <c r="B4067">
        <v>0</v>
      </c>
    </row>
    <row r="4068" spans="1:2" x14ac:dyDescent="0.25">
      <c r="A4068">
        <v>7577</v>
      </c>
      <c r="B4068">
        <v>0</v>
      </c>
    </row>
    <row r="4069" spans="1:2" x14ac:dyDescent="0.25">
      <c r="A4069">
        <v>7578</v>
      </c>
      <c r="B4069">
        <v>0</v>
      </c>
    </row>
    <row r="4070" spans="1:2" x14ac:dyDescent="0.25">
      <c r="A4070">
        <v>7579</v>
      </c>
      <c r="B4070">
        <v>0</v>
      </c>
    </row>
    <row r="4071" spans="1:2" x14ac:dyDescent="0.25">
      <c r="A4071">
        <v>7580</v>
      </c>
      <c r="B4071">
        <v>0</v>
      </c>
    </row>
    <row r="4072" spans="1:2" x14ac:dyDescent="0.25">
      <c r="A4072">
        <v>7581</v>
      </c>
      <c r="B4072">
        <v>0</v>
      </c>
    </row>
    <row r="4073" spans="1:2" x14ac:dyDescent="0.25">
      <c r="A4073">
        <v>7582</v>
      </c>
      <c r="B4073">
        <v>0</v>
      </c>
    </row>
    <row r="4074" spans="1:2" x14ac:dyDescent="0.25">
      <c r="A4074">
        <v>7583</v>
      </c>
      <c r="B4074">
        <v>0</v>
      </c>
    </row>
    <row r="4075" spans="1:2" x14ac:dyDescent="0.25">
      <c r="A4075">
        <v>7584</v>
      </c>
      <c r="B4075">
        <v>0</v>
      </c>
    </row>
    <row r="4076" spans="1:2" x14ac:dyDescent="0.25">
      <c r="A4076">
        <v>7585</v>
      </c>
      <c r="B4076">
        <v>0</v>
      </c>
    </row>
    <row r="4077" spans="1:2" x14ac:dyDescent="0.25">
      <c r="A4077">
        <v>7586</v>
      </c>
      <c r="B4077">
        <v>0</v>
      </c>
    </row>
    <row r="4078" spans="1:2" x14ac:dyDescent="0.25">
      <c r="A4078">
        <v>7587</v>
      </c>
      <c r="B4078">
        <v>0</v>
      </c>
    </row>
    <row r="4079" spans="1:2" x14ac:dyDescent="0.25">
      <c r="A4079">
        <v>7589</v>
      </c>
      <c r="B4079">
        <v>0</v>
      </c>
    </row>
    <row r="4080" spans="1:2" x14ac:dyDescent="0.25">
      <c r="A4080">
        <v>7591</v>
      </c>
      <c r="B4080">
        <v>0</v>
      </c>
    </row>
    <row r="4081" spans="1:2" x14ac:dyDescent="0.25">
      <c r="A4081">
        <v>7593</v>
      </c>
      <c r="B4081">
        <v>0</v>
      </c>
    </row>
    <row r="4082" spans="1:2" x14ac:dyDescent="0.25">
      <c r="A4082">
        <v>7594</v>
      </c>
      <c r="B4082">
        <v>0</v>
      </c>
    </row>
    <row r="4083" spans="1:2" x14ac:dyDescent="0.25">
      <c r="A4083">
        <v>7595</v>
      </c>
      <c r="B4083">
        <v>0</v>
      </c>
    </row>
    <row r="4084" spans="1:2" x14ac:dyDescent="0.25">
      <c r="A4084">
        <v>7596</v>
      </c>
      <c r="B4084">
        <v>0</v>
      </c>
    </row>
    <row r="4085" spans="1:2" x14ac:dyDescent="0.25">
      <c r="A4085">
        <v>7597</v>
      </c>
      <c r="B4085">
        <v>0</v>
      </c>
    </row>
    <row r="4086" spans="1:2" x14ac:dyDescent="0.25">
      <c r="A4086">
        <v>7598</v>
      </c>
      <c r="B4086">
        <v>0</v>
      </c>
    </row>
    <row r="4087" spans="1:2" x14ac:dyDescent="0.25">
      <c r="A4087">
        <v>7599</v>
      </c>
      <c r="B4087">
        <v>0</v>
      </c>
    </row>
    <row r="4088" spans="1:2" x14ac:dyDescent="0.25">
      <c r="A4088">
        <v>7602</v>
      </c>
      <c r="B4088">
        <v>0</v>
      </c>
    </row>
    <row r="4089" spans="1:2" x14ac:dyDescent="0.25">
      <c r="A4089">
        <v>7603</v>
      </c>
      <c r="B4089">
        <v>0</v>
      </c>
    </row>
    <row r="4090" spans="1:2" x14ac:dyDescent="0.25">
      <c r="A4090">
        <v>7604</v>
      </c>
      <c r="B4090">
        <v>0</v>
      </c>
    </row>
    <row r="4091" spans="1:2" x14ac:dyDescent="0.25">
      <c r="A4091">
        <v>7605</v>
      </c>
      <c r="B4091">
        <v>0</v>
      </c>
    </row>
    <row r="4092" spans="1:2" x14ac:dyDescent="0.25">
      <c r="A4092">
        <v>7606</v>
      </c>
      <c r="B4092">
        <v>0</v>
      </c>
    </row>
    <row r="4093" spans="1:2" x14ac:dyDescent="0.25">
      <c r="A4093">
        <v>7607</v>
      </c>
      <c r="B4093">
        <v>0</v>
      </c>
    </row>
    <row r="4094" spans="1:2" x14ac:dyDescent="0.25">
      <c r="A4094">
        <v>7609</v>
      </c>
      <c r="B4094">
        <v>0</v>
      </c>
    </row>
    <row r="4095" spans="1:2" x14ac:dyDescent="0.25">
      <c r="A4095">
        <v>7611</v>
      </c>
      <c r="B4095">
        <v>0</v>
      </c>
    </row>
    <row r="4096" spans="1:2" x14ac:dyDescent="0.25">
      <c r="A4096">
        <v>7613</v>
      </c>
      <c r="B4096">
        <v>0</v>
      </c>
    </row>
    <row r="4097" spans="1:2" x14ac:dyDescent="0.25">
      <c r="A4097">
        <v>7614</v>
      </c>
      <c r="B4097">
        <v>0</v>
      </c>
    </row>
    <row r="4098" spans="1:2" x14ac:dyDescent="0.25">
      <c r="A4098">
        <v>7615</v>
      </c>
      <c r="B4098">
        <v>0</v>
      </c>
    </row>
    <row r="4099" spans="1:2" x14ac:dyDescent="0.25">
      <c r="A4099">
        <v>7616</v>
      </c>
      <c r="B4099">
        <v>0</v>
      </c>
    </row>
    <row r="4100" spans="1:2" x14ac:dyDescent="0.25">
      <c r="A4100">
        <v>7617</v>
      </c>
      <c r="B4100">
        <v>0</v>
      </c>
    </row>
    <row r="4101" spans="1:2" x14ac:dyDescent="0.25">
      <c r="A4101">
        <v>7618</v>
      </c>
      <c r="B4101">
        <v>0</v>
      </c>
    </row>
    <row r="4102" spans="1:2" x14ac:dyDescent="0.25">
      <c r="A4102">
        <v>7626</v>
      </c>
      <c r="B4102">
        <v>0</v>
      </c>
    </row>
    <row r="4103" spans="1:2" x14ac:dyDescent="0.25">
      <c r="A4103">
        <v>7627</v>
      </c>
      <c r="B4103">
        <v>0</v>
      </c>
    </row>
    <row r="4104" spans="1:2" x14ac:dyDescent="0.25">
      <c r="A4104">
        <v>7628</v>
      </c>
      <c r="B4104">
        <v>0</v>
      </c>
    </row>
    <row r="4105" spans="1:2" x14ac:dyDescent="0.25">
      <c r="A4105">
        <v>7631</v>
      </c>
      <c r="B4105">
        <v>0</v>
      </c>
    </row>
    <row r="4106" spans="1:2" x14ac:dyDescent="0.25">
      <c r="A4106">
        <v>7632</v>
      </c>
      <c r="B4106">
        <v>0</v>
      </c>
    </row>
    <row r="4107" spans="1:2" x14ac:dyDescent="0.25">
      <c r="A4107">
        <v>7634</v>
      </c>
      <c r="B4107">
        <v>0</v>
      </c>
    </row>
    <row r="4108" spans="1:2" x14ac:dyDescent="0.25">
      <c r="A4108">
        <v>7635</v>
      </c>
      <c r="B4108">
        <v>0</v>
      </c>
    </row>
    <row r="4109" spans="1:2" x14ac:dyDescent="0.25">
      <c r="A4109">
        <v>7636</v>
      </c>
      <c r="B4109">
        <v>0</v>
      </c>
    </row>
    <row r="4110" spans="1:2" x14ac:dyDescent="0.25">
      <c r="A4110">
        <v>7637</v>
      </c>
      <c r="B4110">
        <v>0</v>
      </c>
    </row>
    <row r="4111" spans="1:2" x14ac:dyDescent="0.25">
      <c r="A4111">
        <v>7638</v>
      </c>
      <c r="B4111">
        <v>0</v>
      </c>
    </row>
    <row r="4112" spans="1:2" x14ac:dyDescent="0.25">
      <c r="A4112">
        <v>7639</v>
      </c>
      <c r="B4112">
        <v>0</v>
      </c>
    </row>
    <row r="4113" spans="1:2" x14ac:dyDescent="0.25">
      <c r="A4113">
        <v>7641</v>
      </c>
      <c r="B4113">
        <v>0</v>
      </c>
    </row>
    <row r="4114" spans="1:2" x14ac:dyDescent="0.25">
      <c r="A4114">
        <v>7642</v>
      </c>
      <c r="B4114">
        <v>0</v>
      </c>
    </row>
    <row r="4115" spans="1:2" x14ac:dyDescent="0.25">
      <c r="A4115">
        <v>7643</v>
      </c>
      <c r="B4115">
        <v>0</v>
      </c>
    </row>
    <row r="4116" spans="1:2" x14ac:dyDescent="0.25">
      <c r="A4116">
        <v>7644</v>
      </c>
      <c r="B4116">
        <v>0</v>
      </c>
    </row>
    <row r="4117" spans="1:2" x14ac:dyDescent="0.25">
      <c r="A4117">
        <v>7645</v>
      </c>
      <c r="B4117">
        <v>0</v>
      </c>
    </row>
    <row r="4118" spans="1:2" x14ac:dyDescent="0.25">
      <c r="A4118">
        <v>7646</v>
      </c>
      <c r="B4118">
        <v>0</v>
      </c>
    </row>
    <row r="4119" spans="1:2" x14ac:dyDescent="0.25">
      <c r="A4119">
        <v>7648</v>
      </c>
      <c r="B4119">
        <v>0</v>
      </c>
    </row>
    <row r="4120" spans="1:2" x14ac:dyDescent="0.25">
      <c r="A4120">
        <v>7649</v>
      </c>
      <c r="B4120">
        <v>0</v>
      </c>
    </row>
    <row r="4121" spans="1:2" x14ac:dyDescent="0.25">
      <c r="A4121">
        <v>7651</v>
      </c>
      <c r="B4121">
        <v>0</v>
      </c>
    </row>
    <row r="4122" spans="1:2" x14ac:dyDescent="0.25">
      <c r="A4122">
        <v>7653</v>
      </c>
      <c r="B4122">
        <v>0</v>
      </c>
    </row>
    <row r="4123" spans="1:2" x14ac:dyDescent="0.25">
      <c r="A4123">
        <v>7654</v>
      </c>
      <c r="B4123">
        <v>0</v>
      </c>
    </row>
    <row r="4124" spans="1:2" x14ac:dyDescent="0.25">
      <c r="A4124">
        <v>7690</v>
      </c>
      <c r="B4124">
        <v>0</v>
      </c>
    </row>
    <row r="4125" spans="1:2" x14ac:dyDescent="0.25">
      <c r="A4125">
        <v>7691</v>
      </c>
      <c r="B4125">
        <v>0</v>
      </c>
    </row>
    <row r="4126" spans="1:2" x14ac:dyDescent="0.25">
      <c r="A4126">
        <v>7692</v>
      </c>
      <c r="B4126">
        <v>0</v>
      </c>
    </row>
    <row r="4127" spans="1:2" x14ac:dyDescent="0.25">
      <c r="A4127">
        <v>7693</v>
      </c>
      <c r="B4127">
        <v>0</v>
      </c>
    </row>
    <row r="4128" spans="1:2" x14ac:dyDescent="0.25">
      <c r="A4128">
        <v>7696</v>
      </c>
      <c r="B4128">
        <v>0</v>
      </c>
    </row>
    <row r="4129" spans="1:2" x14ac:dyDescent="0.25">
      <c r="A4129">
        <v>7697</v>
      </c>
      <c r="B4129">
        <v>0</v>
      </c>
    </row>
    <row r="4130" spans="1:2" x14ac:dyDescent="0.25">
      <c r="A4130">
        <v>7698</v>
      </c>
      <c r="B4130">
        <v>0</v>
      </c>
    </row>
    <row r="4131" spans="1:2" x14ac:dyDescent="0.25">
      <c r="A4131">
        <v>7699</v>
      </c>
      <c r="B4131">
        <v>0</v>
      </c>
    </row>
    <row r="4132" spans="1:2" x14ac:dyDescent="0.25">
      <c r="A4132">
        <v>7700</v>
      </c>
      <c r="B4132">
        <v>0</v>
      </c>
    </row>
    <row r="4133" spans="1:2" x14ac:dyDescent="0.25">
      <c r="A4133">
        <v>7701</v>
      </c>
      <c r="B4133">
        <v>0</v>
      </c>
    </row>
    <row r="4134" spans="1:2" x14ac:dyDescent="0.25">
      <c r="A4134">
        <v>7702</v>
      </c>
      <c r="B4134">
        <v>0</v>
      </c>
    </row>
    <row r="4135" spans="1:2" x14ac:dyDescent="0.25">
      <c r="A4135">
        <v>7703</v>
      </c>
      <c r="B4135">
        <v>0</v>
      </c>
    </row>
    <row r="4136" spans="1:2" x14ac:dyDescent="0.25">
      <c r="A4136">
        <v>7704</v>
      </c>
      <c r="B4136">
        <v>0</v>
      </c>
    </row>
    <row r="4137" spans="1:2" x14ac:dyDescent="0.25">
      <c r="A4137">
        <v>7707</v>
      </c>
      <c r="B4137">
        <v>0</v>
      </c>
    </row>
    <row r="4138" spans="1:2" x14ac:dyDescent="0.25">
      <c r="A4138">
        <v>7709</v>
      </c>
      <c r="B4138">
        <v>0</v>
      </c>
    </row>
    <row r="4139" spans="1:2" x14ac:dyDescent="0.25">
      <c r="A4139">
        <v>7710</v>
      </c>
      <c r="B4139">
        <v>0</v>
      </c>
    </row>
    <row r="4140" spans="1:2" x14ac:dyDescent="0.25">
      <c r="A4140">
        <v>7712</v>
      </c>
      <c r="B4140">
        <v>0</v>
      </c>
    </row>
    <row r="4141" spans="1:2" x14ac:dyDescent="0.25">
      <c r="A4141">
        <v>7713</v>
      </c>
      <c r="B4141">
        <v>0</v>
      </c>
    </row>
    <row r="4142" spans="1:2" x14ac:dyDescent="0.25">
      <c r="A4142">
        <v>7714</v>
      </c>
      <c r="B4142">
        <v>0</v>
      </c>
    </row>
    <row r="4143" spans="1:2" x14ac:dyDescent="0.25">
      <c r="A4143">
        <v>7715</v>
      </c>
      <c r="B4143">
        <v>0</v>
      </c>
    </row>
    <row r="4144" spans="1:2" x14ac:dyDescent="0.25">
      <c r="A4144">
        <v>7716</v>
      </c>
      <c r="B4144">
        <v>0</v>
      </c>
    </row>
    <row r="4145" spans="1:2" x14ac:dyDescent="0.25">
      <c r="A4145">
        <v>7717</v>
      </c>
      <c r="B4145">
        <v>0</v>
      </c>
    </row>
    <row r="4146" spans="1:2" x14ac:dyDescent="0.25">
      <c r="A4146">
        <v>7718</v>
      </c>
      <c r="B4146">
        <v>0</v>
      </c>
    </row>
    <row r="4147" spans="1:2" x14ac:dyDescent="0.25">
      <c r="A4147">
        <v>7719</v>
      </c>
      <c r="B4147">
        <v>0</v>
      </c>
    </row>
    <row r="4148" spans="1:2" x14ac:dyDescent="0.25">
      <c r="A4148">
        <v>7720</v>
      </c>
      <c r="B4148">
        <v>0</v>
      </c>
    </row>
    <row r="4149" spans="1:2" x14ac:dyDescent="0.25">
      <c r="A4149">
        <v>7721</v>
      </c>
      <c r="B4149">
        <v>0</v>
      </c>
    </row>
    <row r="4150" spans="1:2" x14ac:dyDescent="0.25">
      <c r="A4150">
        <v>7722</v>
      </c>
      <c r="B4150">
        <v>0</v>
      </c>
    </row>
    <row r="4151" spans="1:2" x14ac:dyDescent="0.25">
      <c r="A4151">
        <v>7723</v>
      </c>
      <c r="B4151">
        <v>0</v>
      </c>
    </row>
    <row r="4152" spans="1:2" x14ac:dyDescent="0.25">
      <c r="A4152">
        <v>7724</v>
      </c>
      <c r="B4152">
        <v>0</v>
      </c>
    </row>
    <row r="4153" spans="1:2" x14ac:dyDescent="0.25">
      <c r="A4153">
        <v>7725</v>
      </c>
      <c r="B4153">
        <v>0</v>
      </c>
    </row>
    <row r="4154" spans="1:2" x14ac:dyDescent="0.25">
      <c r="A4154">
        <v>7727</v>
      </c>
      <c r="B4154">
        <v>0</v>
      </c>
    </row>
    <row r="4155" spans="1:2" x14ac:dyDescent="0.25">
      <c r="A4155">
        <v>7728</v>
      </c>
      <c r="B4155">
        <v>0</v>
      </c>
    </row>
    <row r="4156" spans="1:2" x14ac:dyDescent="0.25">
      <c r="A4156">
        <v>7729</v>
      </c>
      <c r="B4156">
        <v>0</v>
      </c>
    </row>
    <row r="4157" spans="1:2" x14ac:dyDescent="0.25">
      <c r="A4157">
        <v>7730</v>
      </c>
      <c r="B4157">
        <v>0</v>
      </c>
    </row>
    <row r="4158" spans="1:2" x14ac:dyDescent="0.25">
      <c r="A4158">
        <v>7733</v>
      </c>
      <c r="B4158">
        <v>0</v>
      </c>
    </row>
    <row r="4159" spans="1:2" x14ac:dyDescent="0.25">
      <c r="A4159">
        <v>7734</v>
      </c>
      <c r="B4159">
        <v>0</v>
      </c>
    </row>
    <row r="4160" spans="1:2" x14ac:dyDescent="0.25">
      <c r="A4160">
        <v>7736</v>
      </c>
      <c r="B4160">
        <v>0</v>
      </c>
    </row>
    <row r="4161" spans="1:2" x14ac:dyDescent="0.25">
      <c r="A4161">
        <v>7737</v>
      </c>
      <c r="B4161">
        <v>0</v>
      </c>
    </row>
    <row r="4162" spans="1:2" x14ac:dyDescent="0.25">
      <c r="A4162">
        <v>7738</v>
      </c>
      <c r="B4162">
        <v>0</v>
      </c>
    </row>
    <row r="4163" spans="1:2" x14ac:dyDescent="0.25">
      <c r="A4163">
        <v>7739</v>
      </c>
      <c r="B4163">
        <v>0</v>
      </c>
    </row>
    <row r="4164" spans="1:2" x14ac:dyDescent="0.25">
      <c r="A4164">
        <v>7740</v>
      </c>
      <c r="B4164">
        <v>0</v>
      </c>
    </row>
    <row r="4165" spans="1:2" x14ac:dyDescent="0.25">
      <c r="A4165">
        <v>7741</v>
      </c>
      <c r="B4165">
        <v>0</v>
      </c>
    </row>
    <row r="4166" spans="1:2" x14ac:dyDescent="0.25">
      <c r="A4166">
        <v>7742</v>
      </c>
      <c r="B4166">
        <v>0</v>
      </c>
    </row>
    <row r="4167" spans="1:2" x14ac:dyDescent="0.25">
      <c r="A4167">
        <v>7743</v>
      </c>
      <c r="B4167">
        <v>0</v>
      </c>
    </row>
    <row r="4168" spans="1:2" x14ac:dyDescent="0.25">
      <c r="A4168">
        <v>7744</v>
      </c>
      <c r="B4168">
        <v>0</v>
      </c>
    </row>
    <row r="4169" spans="1:2" x14ac:dyDescent="0.25">
      <c r="A4169">
        <v>7745</v>
      </c>
      <c r="B4169">
        <v>0</v>
      </c>
    </row>
    <row r="4170" spans="1:2" x14ac:dyDescent="0.25">
      <c r="A4170">
        <v>7747</v>
      </c>
      <c r="B4170">
        <v>0</v>
      </c>
    </row>
    <row r="4171" spans="1:2" x14ac:dyDescent="0.25">
      <c r="A4171">
        <v>7748</v>
      </c>
      <c r="B4171">
        <v>0</v>
      </c>
    </row>
    <row r="4172" spans="1:2" x14ac:dyDescent="0.25">
      <c r="A4172">
        <v>7750</v>
      </c>
      <c r="B4172">
        <v>0</v>
      </c>
    </row>
    <row r="4173" spans="1:2" x14ac:dyDescent="0.25">
      <c r="A4173">
        <v>7751</v>
      </c>
      <c r="B4173">
        <v>0</v>
      </c>
    </row>
    <row r="4174" spans="1:2" x14ac:dyDescent="0.25">
      <c r="A4174">
        <v>7753</v>
      </c>
      <c r="B4174">
        <v>0</v>
      </c>
    </row>
    <row r="4175" spans="1:2" x14ac:dyDescent="0.25">
      <c r="A4175">
        <v>7755</v>
      </c>
      <c r="B4175">
        <v>0</v>
      </c>
    </row>
    <row r="4176" spans="1:2" x14ac:dyDescent="0.25">
      <c r="A4176">
        <v>7756</v>
      </c>
      <c r="B4176">
        <v>0</v>
      </c>
    </row>
    <row r="4177" spans="1:2" x14ac:dyDescent="0.25">
      <c r="A4177">
        <v>7758</v>
      </c>
      <c r="B4177">
        <v>0</v>
      </c>
    </row>
    <row r="4178" spans="1:2" x14ac:dyDescent="0.25">
      <c r="A4178">
        <v>7762</v>
      </c>
      <c r="B4178">
        <v>0</v>
      </c>
    </row>
    <row r="4179" spans="1:2" x14ac:dyDescent="0.25">
      <c r="A4179">
        <v>7763</v>
      </c>
      <c r="B4179">
        <v>0</v>
      </c>
    </row>
    <row r="4180" spans="1:2" x14ac:dyDescent="0.25">
      <c r="A4180">
        <v>7765</v>
      </c>
      <c r="B4180">
        <v>0</v>
      </c>
    </row>
    <row r="4181" spans="1:2" x14ac:dyDescent="0.25">
      <c r="A4181">
        <v>7767</v>
      </c>
      <c r="B4181">
        <v>0</v>
      </c>
    </row>
    <row r="4182" spans="1:2" x14ac:dyDescent="0.25">
      <c r="A4182">
        <v>7769</v>
      </c>
      <c r="B4182">
        <v>0</v>
      </c>
    </row>
    <row r="4183" spans="1:2" x14ac:dyDescent="0.25">
      <c r="A4183">
        <v>7771</v>
      </c>
      <c r="B4183">
        <v>0</v>
      </c>
    </row>
    <row r="4184" spans="1:2" x14ac:dyDescent="0.25">
      <c r="A4184">
        <v>7773</v>
      </c>
      <c r="B4184">
        <v>0</v>
      </c>
    </row>
    <row r="4185" spans="1:2" x14ac:dyDescent="0.25">
      <c r="A4185">
        <v>7775</v>
      </c>
      <c r="B4185">
        <v>0</v>
      </c>
    </row>
    <row r="4186" spans="1:2" x14ac:dyDescent="0.25">
      <c r="A4186">
        <v>7777</v>
      </c>
      <c r="B4186">
        <v>0</v>
      </c>
    </row>
    <row r="4187" spans="1:2" x14ac:dyDescent="0.25">
      <c r="A4187">
        <v>7779</v>
      </c>
      <c r="B4187">
        <v>0</v>
      </c>
    </row>
    <row r="4188" spans="1:2" x14ac:dyDescent="0.25">
      <c r="A4188">
        <v>7780</v>
      </c>
      <c r="B4188">
        <v>0</v>
      </c>
    </row>
    <row r="4189" spans="1:2" x14ac:dyDescent="0.25">
      <c r="A4189">
        <v>7781</v>
      </c>
      <c r="B4189">
        <v>0</v>
      </c>
    </row>
    <row r="4190" spans="1:2" x14ac:dyDescent="0.25">
      <c r="A4190">
        <v>7782</v>
      </c>
      <c r="B4190">
        <v>0</v>
      </c>
    </row>
    <row r="4191" spans="1:2" x14ac:dyDescent="0.25">
      <c r="A4191">
        <v>7784</v>
      </c>
      <c r="B4191">
        <v>0</v>
      </c>
    </row>
    <row r="4192" spans="1:2" x14ac:dyDescent="0.25">
      <c r="A4192">
        <v>7786</v>
      </c>
      <c r="B4192">
        <v>0</v>
      </c>
    </row>
    <row r="4193" spans="1:2" x14ac:dyDescent="0.25">
      <c r="A4193">
        <v>7787</v>
      </c>
      <c r="B4193">
        <v>0</v>
      </c>
    </row>
    <row r="4194" spans="1:2" x14ac:dyDescent="0.25">
      <c r="A4194">
        <v>7788</v>
      </c>
      <c r="B4194">
        <v>0</v>
      </c>
    </row>
    <row r="4195" spans="1:2" x14ac:dyDescent="0.25">
      <c r="A4195">
        <v>7789</v>
      </c>
      <c r="B4195">
        <v>0</v>
      </c>
    </row>
    <row r="4196" spans="1:2" x14ac:dyDescent="0.25">
      <c r="A4196">
        <v>7790</v>
      </c>
      <c r="B4196">
        <v>0</v>
      </c>
    </row>
    <row r="4197" spans="1:2" x14ac:dyDescent="0.25">
      <c r="A4197">
        <v>7792</v>
      </c>
      <c r="B4197">
        <v>0</v>
      </c>
    </row>
    <row r="4198" spans="1:2" x14ac:dyDescent="0.25">
      <c r="A4198">
        <v>7793</v>
      </c>
      <c r="B4198">
        <v>0</v>
      </c>
    </row>
    <row r="4199" spans="1:2" x14ac:dyDescent="0.25">
      <c r="A4199">
        <v>7794</v>
      </c>
      <c r="B4199">
        <v>0</v>
      </c>
    </row>
    <row r="4200" spans="1:2" x14ac:dyDescent="0.25">
      <c r="A4200">
        <v>7796</v>
      </c>
      <c r="B4200">
        <v>0</v>
      </c>
    </row>
    <row r="4201" spans="1:2" x14ac:dyDescent="0.25">
      <c r="A4201">
        <v>7799</v>
      </c>
      <c r="B4201">
        <v>0</v>
      </c>
    </row>
    <row r="4202" spans="1:2" x14ac:dyDescent="0.25">
      <c r="A4202">
        <v>7801</v>
      </c>
      <c r="B4202">
        <v>0</v>
      </c>
    </row>
    <row r="4203" spans="1:2" x14ac:dyDescent="0.25">
      <c r="A4203">
        <v>7802</v>
      </c>
      <c r="B4203">
        <v>0</v>
      </c>
    </row>
    <row r="4204" spans="1:2" x14ac:dyDescent="0.25">
      <c r="A4204">
        <v>7803</v>
      </c>
      <c r="B4204">
        <v>0</v>
      </c>
    </row>
    <row r="4205" spans="1:2" x14ac:dyDescent="0.25">
      <c r="A4205">
        <v>7805</v>
      </c>
      <c r="B4205">
        <v>0</v>
      </c>
    </row>
    <row r="4206" spans="1:2" x14ac:dyDescent="0.25">
      <c r="A4206">
        <v>7808</v>
      </c>
      <c r="B4206">
        <v>0</v>
      </c>
    </row>
    <row r="4207" spans="1:2" x14ac:dyDescent="0.25">
      <c r="A4207">
        <v>7810</v>
      </c>
      <c r="B4207">
        <v>0</v>
      </c>
    </row>
    <row r="4208" spans="1:2" x14ac:dyDescent="0.25">
      <c r="A4208">
        <v>7811</v>
      </c>
      <c r="B4208">
        <v>0</v>
      </c>
    </row>
    <row r="4209" spans="1:2" x14ac:dyDescent="0.25">
      <c r="A4209">
        <v>7812</v>
      </c>
      <c r="B4209">
        <v>0</v>
      </c>
    </row>
    <row r="4210" spans="1:2" x14ac:dyDescent="0.25">
      <c r="A4210">
        <v>7814</v>
      </c>
      <c r="B4210">
        <v>0</v>
      </c>
    </row>
    <row r="4211" spans="1:2" x14ac:dyDescent="0.25">
      <c r="A4211">
        <v>7817</v>
      </c>
      <c r="B4211">
        <v>0</v>
      </c>
    </row>
    <row r="4212" spans="1:2" x14ac:dyDescent="0.25">
      <c r="A4212">
        <v>7818</v>
      </c>
      <c r="B4212">
        <v>0</v>
      </c>
    </row>
    <row r="4213" spans="1:2" x14ac:dyDescent="0.25">
      <c r="A4213">
        <v>7819</v>
      </c>
      <c r="B4213">
        <v>0</v>
      </c>
    </row>
    <row r="4214" spans="1:2" x14ac:dyDescent="0.25">
      <c r="A4214">
        <v>7821</v>
      </c>
      <c r="B4214">
        <v>0</v>
      </c>
    </row>
    <row r="4215" spans="1:2" x14ac:dyDescent="0.25">
      <c r="A4215">
        <v>7824</v>
      </c>
      <c r="B4215">
        <v>0</v>
      </c>
    </row>
    <row r="4216" spans="1:2" x14ac:dyDescent="0.25">
      <c r="A4216">
        <v>7825</v>
      </c>
      <c r="B4216">
        <v>0</v>
      </c>
    </row>
    <row r="4217" spans="1:2" x14ac:dyDescent="0.25">
      <c r="A4217">
        <v>7826</v>
      </c>
      <c r="B4217">
        <v>0</v>
      </c>
    </row>
    <row r="4218" spans="1:2" x14ac:dyDescent="0.25">
      <c r="A4218">
        <v>7830</v>
      </c>
      <c r="B4218">
        <v>0</v>
      </c>
    </row>
    <row r="4219" spans="1:2" x14ac:dyDescent="0.25">
      <c r="A4219">
        <v>7831</v>
      </c>
      <c r="B4219">
        <v>0</v>
      </c>
    </row>
    <row r="4220" spans="1:2" x14ac:dyDescent="0.25">
      <c r="A4220">
        <v>7832</v>
      </c>
      <c r="B4220">
        <v>0</v>
      </c>
    </row>
    <row r="4221" spans="1:2" x14ac:dyDescent="0.25">
      <c r="A4221">
        <v>7836</v>
      </c>
      <c r="B4221">
        <v>0</v>
      </c>
    </row>
    <row r="4222" spans="1:2" x14ac:dyDescent="0.25">
      <c r="A4222">
        <v>7838</v>
      </c>
      <c r="B4222">
        <v>0</v>
      </c>
    </row>
    <row r="4223" spans="1:2" x14ac:dyDescent="0.25">
      <c r="A4223">
        <v>7839</v>
      </c>
      <c r="B4223">
        <v>0</v>
      </c>
    </row>
    <row r="4224" spans="1:2" x14ac:dyDescent="0.25">
      <c r="A4224">
        <v>7841</v>
      </c>
      <c r="B4224">
        <v>0</v>
      </c>
    </row>
    <row r="4225" spans="1:2" x14ac:dyDescent="0.25">
      <c r="A4225">
        <v>7843</v>
      </c>
      <c r="B4225">
        <v>0</v>
      </c>
    </row>
    <row r="4226" spans="1:2" x14ac:dyDescent="0.25">
      <c r="A4226">
        <v>7845</v>
      </c>
      <c r="B4226">
        <v>0</v>
      </c>
    </row>
    <row r="4227" spans="1:2" x14ac:dyDescent="0.25">
      <c r="A4227">
        <v>7846</v>
      </c>
      <c r="B4227">
        <v>0</v>
      </c>
    </row>
    <row r="4228" spans="1:2" x14ac:dyDescent="0.25">
      <c r="A4228">
        <v>7851</v>
      </c>
      <c r="B4228">
        <v>0</v>
      </c>
    </row>
    <row r="4229" spans="1:2" x14ac:dyDescent="0.25">
      <c r="A4229">
        <v>7852</v>
      </c>
      <c r="B4229">
        <v>0</v>
      </c>
    </row>
    <row r="4230" spans="1:2" x14ac:dyDescent="0.25">
      <c r="A4230">
        <v>7853</v>
      </c>
      <c r="B4230">
        <v>0</v>
      </c>
    </row>
    <row r="4231" spans="1:2" x14ac:dyDescent="0.25">
      <c r="A4231">
        <v>7854</v>
      </c>
      <c r="B4231">
        <v>0</v>
      </c>
    </row>
    <row r="4232" spans="1:2" x14ac:dyDescent="0.25">
      <c r="A4232">
        <v>7855</v>
      </c>
      <c r="B4232">
        <v>0</v>
      </c>
    </row>
    <row r="4233" spans="1:2" x14ac:dyDescent="0.25">
      <c r="A4233">
        <v>7856</v>
      </c>
      <c r="B4233">
        <v>0</v>
      </c>
    </row>
    <row r="4234" spans="1:2" x14ac:dyDescent="0.25">
      <c r="A4234">
        <v>7857</v>
      </c>
      <c r="B4234">
        <v>0</v>
      </c>
    </row>
    <row r="4235" spans="1:2" x14ac:dyDescent="0.25">
      <c r="A4235">
        <v>7859</v>
      </c>
      <c r="B4235">
        <v>0</v>
      </c>
    </row>
    <row r="4236" spans="1:2" x14ac:dyDescent="0.25">
      <c r="A4236">
        <v>7860</v>
      </c>
      <c r="B4236">
        <v>0</v>
      </c>
    </row>
    <row r="4237" spans="1:2" x14ac:dyDescent="0.25">
      <c r="A4237">
        <v>7862</v>
      </c>
      <c r="B4237">
        <v>0</v>
      </c>
    </row>
    <row r="4238" spans="1:2" x14ac:dyDescent="0.25">
      <c r="A4238">
        <v>7863</v>
      </c>
      <c r="B4238">
        <v>0</v>
      </c>
    </row>
    <row r="4239" spans="1:2" x14ac:dyDescent="0.25">
      <c r="A4239">
        <v>7864</v>
      </c>
      <c r="B4239">
        <v>0</v>
      </c>
    </row>
    <row r="4240" spans="1:2" x14ac:dyDescent="0.25">
      <c r="A4240">
        <v>7865</v>
      </c>
      <c r="B4240">
        <v>0</v>
      </c>
    </row>
    <row r="4241" spans="1:2" x14ac:dyDescent="0.25">
      <c r="A4241">
        <v>7866</v>
      </c>
      <c r="B4241">
        <v>0</v>
      </c>
    </row>
    <row r="4242" spans="1:2" x14ac:dyDescent="0.25">
      <c r="A4242">
        <v>7867</v>
      </c>
      <c r="B4242">
        <v>0</v>
      </c>
    </row>
    <row r="4243" spans="1:2" x14ac:dyDescent="0.25">
      <c r="A4243">
        <v>7871</v>
      </c>
      <c r="B4243">
        <v>0</v>
      </c>
    </row>
    <row r="4244" spans="1:2" x14ac:dyDescent="0.25">
      <c r="A4244">
        <v>7873</v>
      </c>
      <c r="B4244">
        <v>0</v>
      </c>
    </row>
    <row r="4245" spans="1:2" x14ac:dyDescent="0.25">
      <c r="A4245">
        <v>7874</v>
      </c>
      <c r="B4245">
        <v>0</v>
      </c>
    </row>
    <row r="4246" spans="1:2" x14ac:dyDescent="0.25">
      <c r="A4246">
        <v>7876</v>
      </c>
      <c r="B4246">
        <v>0</v>
      </c>
    </row>
    <row r="4247" spans="1:2" x14ac:dyDescent="0.25">
      <c r="A4247">
        <v>7878</v>
      </c>
      <c r="B4247">
        <v>0</v>
      </c>
    </row>
    <row r="4248" spans="1:2" x14ac:dyDescent="0.25">
      <c r="A4248">
        <v>7879</v>
      </c>
      <c r="B4248">
        <v>0</v>
      </c>
    </row>
    <row r="4249" spans="1:2" x14ac:dyDescent="0.25">
      <c r="A4249">
        <v>7880</v>
      </c>
      <c r="B4249">
        <v>0</v>
      </c>
    </row>
    <row r="4250" spans="1:2" x14ac:dyDescent="0.25">
      <c r="A4250">
        <v>7881</v>
      </c>
      <c r="B4250">
        <v>0</v>
      </c>
    </row>
    <row r="4251" spans="1:2" x14ac:dyDescent="0.25">
      <c r="A4251">
        <v>7882</v>
      </c>
      <c r="B4251">
        <v>0</v>
      </c>
    </row>
    <row r="4252" spans="1:2" x14ac:dyDescent="0.25">
      <c r="A4252">
        <v>7883</v>
      </c>
      <c r="B4252">
        <v>0</v>
      </c>
    </row>
    <row r="4253" spans="1:2" x14ac:dyDescent="0.25">
      <c r="A4253">
        <v>7884</v>
      </c>
      <c r="B4253">
        <v>0</v>
      </c>
    </row>
    <row r="4254" spans="1:2" x14ac:dyDescent="0.25">
      <c r="A4254">
        <v>7885</v>
      </c>
      <c r="B4254">
        <v>0</v>
      </c>
    </row>
    <row r="4255" spans="1:2" x14ac:dyDescent="0.25">
      <c r="A4255">
        <v>7886</v>
      </c>
      <c r="B4255">
        <v>0</v>
      </c>
    </row>
    <row r="4256" spans="1:2" x14ac:dyDescent="0.25">
      <c r="A4256">
        <v>7887</v>
      </c>
      <c r="B4256">
        <v>0</v>
      </c>
    </row>
    <row r="4257" spans="1:2" x14ac:dyDescent="0.25">
      <c r="A4257">
        <v>7888</v>
      </c>
      <c r="B4257">
        <v>0</v>
      </c>
    </row>
    <row r="4258" spans="1:2" x14ac:dyDescent="0.25">
      <c r="A4258">
        <v>7889</v>
      </c>
      <c r="B4258">
        <v>0</v>
      </c>
    </row>
    <row r="4259" spans="1:2" x14ac:dyDescent="0.25">
      <c r="A4259">
        <v>7890</v>
      </c>
      <c r="B4259">
        <v>0</v>
      </c>
    </row>
    <row r="4260" spans="1:2" x14ac:dyDescent="0.25">
      <c r="A4260">
        <v>7891</v>
      </c>
      <c r="B4260">
        <v>0</v>
      </c>
    </row>
    <row r="4261" spans="1:2" x14ac:dyDescent="0.25">
      <c r="A4261">
        <v>7892</v>
      </c>
      <c r="B4261">
        <v>0</v>
      </c>
    </row>
    <row r="4262" spans="1:2" x14ac:dyDescent="0.25">
      <c r="A4262">
        <v>7893</v>
      </c>
      <c r="B4262">
        <v>0</v>
      </c>
    </row>
    <row r="4263" spans="1:2" x14ac:dyDescent="0.25">
      <c r="A4263">
        <v>7894</v>
      </c>
      <c r="B4263">
        <v>17</v>
      </c>
    </row>
    <row r="4264" spans="1:2" x14ac:dyDescent="0.25">
      <c r="A4264">
        <v>7895</v>
      </c>
      <c r="B4264">
        <v>0</v>
      </c>
    </row>
    <row r="4265" spans="1:2" x14ac:dyDescent="0.25">
      <c r="A4265">
        <v>7896</v>
      </c>
      <c r="B4265">
        <v>0</v>
      </c>
    </row>
    <row r="4266" spans="1:2" x14ac:dyDescent="0.25">
      <c r="A4266">
        <v>7897</v>
      </c>
      <c r="B4266">
        <v>0</v>
      </c>
    </row>
    <row r="4267" spans="1:2" x14ac:dyDescent="0.25">
      <c r="A4267">
        <v>7903</v>
      </c>
      <c r="B4267">
        <v>0</v>
      </c>
    </row>
    <row r="4268" spans="1:2" x14ac:dyDescent="0.25">
      <c r="A4268">
        <v>7905</v>
      </c>
      <c r="B4268">
        <v>0</v>
      </c>
    </row>
    <row r="4269" spans="1:2" x14ac:dyDescent="0.25">
      <c r="A4269">
        <v>7906</v>
      </c>
      <c r="B4269">
        <v>0</v>
      </c>
    </row>
    <row r="4270" spans="1:2" x14ac:dyDescent="0.25">
      <c r="A4270">
        <v>7909</v>
      </c>
      <c r="B4270">
        <v>0</v>
      </c>
    </row>
    <row r="4271" spans="1:2" x14ac:dyDescent="0.25">
      <c r="A4271">
        <v>7911</v>
      </c>
      <c r="B4271">
        <v>0</v>
      </c>
    </row>
    <row r="4272" spans="1:2" x14ac:dyDescent="0.25">
      <c r="A4272">
        <v>7913</v>
      </c>
      <c r="B4272">
        <v>0</v>
      </c>
    </row>
    <row r="4273" spans="1:2" x14ac:dyDescent="0.25">
      <c r="A4273">
        <v>7915</v>
      </c>
      <c r="B4273">
        <v>0</v>
      </c>
    </row>
    <row r="4274" spans="1:2" x14ac:dyDescent="0.25">
      <c r="A4274">
        <v>7918</v>
      </c>
      <c r="B4274">
        <v>0</v>
      </c>
    </row>
    <row r="4275" spans="1:2" x14ac:dyDescent="0.25">
      <c r="A4275">
        <v>7920</v>
      </c>
      <c r="B4275">
        <v>0</v>
      </c>
    </row>
    <row r="4276" spans="1:2" x14ac:dyDescent="0.25">
      <c r="A4276">
        <v>7922</v>
      </c>
      <c r="B4276">
        <v>0</v>
      </c>
    </row>
    <row r="4277" spans="1:2" x14ac:dyDescent="0.25">
      <c r="A4277">
        <v>7924</v>
      </c>
      <c r="B4277">
        <v>0</v>
      </c>
    </row>
    <row r="4278" spans="1:2" x14ac:dyDescent="0.25">
      <c r="A4278">
        <v>7926</v>
      </c>
      <c r="B4278">
        <v>0</v>
      </c>
    </row>
    <row r="4279" spans="1:2" x14ac:dyDescent="0.25">
      <c r="A4279">
        <v>7927</v>
      </c>
      <c r="B4279">
        <v>0</v>
      </c>
    </row>
    <row r="4280" spans="1:2" x14ac:dyDescent="0.25">
      <c r="A4280">
        <v>7928</v>
      </c>
      <c r="B4280">
        <v>0</v>
      </c>
    </row>
    <row r="4281" spans="1:2" x14ac:dyDescent="0.25">
      <c r="A4281">
        <v>7930</v>
      </c>
      <c r="B4281">
        <v>0</v>
      </c>
    </row>
    <row r="4282" spans="1:2" x14ac:dyDescent="0.25">
      <c r="A4282">
        <v>7931</v>
      </c>
      <c r="B4282">
        <v>0</v>
      </c>
    </row>
    <row r="4283" spans="1:2" x14ac:dyDescent="0.25">
      <c r="A4283">
        <v>7932</v>
      </c>
      <c r="B4283">
        <v>0</v>
      </c>
    </row>
    <row r="4284" spans="1:2" x14ac:dyDescent="0.25">
      <c r="A4284">
        <v>7941</v>
      </c>
      <c r="B4284">
        <v>0</v>
      </c>
    </row>
    <row r="4285" spans="1:2" x14ac:dyDescent="0.25">
      <c r="A4285">
        <v>7943</v>
      </c>
      <c r="B4285">
        <v>0</v>
      </c>
    </row>
    <row r="4286" spans="1:2" x14ac:dyDescent="0.25">
      <c r="A4286">
        <v>7945</v>
      </c>
      <c r="B4286">
        <v>4</v>
      </c>
    </row>
    <row r="4287" spans="1:2" x14ac:dyDescent="0.25">
      <c r="A4287">
        <v>7947</v>
      </c>
      <c r="B4287">
        <v>4</v>
      </c>
    </row>
    <row r="4288" spans="1:2" x14ac:dyDescent="0.25">
      <c r="A4288">
        <v>7949</v>
      </c>
      <c r="B4288">
        <v>0</v>
      </c>
    </row>
    <row r="4289" spans="1:2" x14ac:dyDescent="0.25">
      <c r="A4289">
        <v>7951</v>
      </c>
      <c r="B4289">
        <v>0</v>
      </c>
    </row>
    <row r="4290" spans="1:2" x14ac:dyDescent="0.25">
      <c r="A4290">
        <v>7952</v>
      </c>
      <c r="B4290">
        <v>0</v>
      </c>
    </row>
    <row r="4291" spans="1:2" x14ac:dyDescent="0.25">
      <c r="A4291">
        <v>7953</v>
      </c>
      <c r="B4291">
        <v>0</v>
      </c>
    </row>
    <row r="4292" spans="1:2" x14ac:dyDescent="0.25">
      <c r="A4292">
        <v>7954</v>
      </c>
      <c r="B4292">
        <v>0</v>
      </c>
    </row>
    <row r="4293" spans="1:2" x14ac:dyDescent="0.25">
      <c r="A4293">
        <v>7956</v>
      </c>
      <c r="B4293">
        <v>0</v>
      </c>
    </row>
    <row r="4294" spans="1:2" x14ac:dyDescent="0.25">
      <c r="A4294">
        <v>7958</v>
      </c>
      <c r="B4294">
        <v>0</v>
      </c>
    </row>
    <row r="4295" spans="1:2" x14ac:dyDescent="0.25">
      <c r="A4295">
        <v>7960</v>
      </c>
      <c r="B4295">
        <v>0</v>
      </c>
    </row>
    <row r="4296" spans="1:2" x14ac:dyDescent="0.25">
      <c r="A4296">
        <v>7961</v>
      </c>
      <c r="B4296">
        <v>0</v>
      </c>
    </row>
    <row r="4297" spans="1:2" x14ac:dyDescent="0.25">
      <c r="A4297">
        <v>7962</v>
      </c>
      <c r="B4297">
        <v>0</v>
      </c>
    </row>
    <row r="4298" spans="1:2" x14ac:dyDescent="0.25">
      <c r="A4298">
        <v>7963</v>
      </c>
      <c r="B4298">
        <v>0</v>
      </c>
    </row>
    <row r="4299" spans="1:2" x14ac:dyDescent="0.25">
      <c r="A4299">
        <v>7965</v>
      </c>
      <c r="B4299">
        <v>0</v>
      </c>
    </row>
    <row r="4300" spans="1:2" x14ac:dyDescent="0.25">
      <c r="A4300">
        <v>7966</v>
      </c>
      <c r="B4300">
        <v>0</v>
      </c>
    </row>
    <row r="4301" spans="1:2" x14ac:dyDescent="0.25">
      <c r="A4301">
        <v>7967</v>
      </c>
      <c r="B4301">
        <v>0</v>
      </c>
    </row>
    <row r="4302" spans="1:2" x14ac:dyDescent="0.25">
      <c r="A4302">
        <v>7968</v>
      </c>
      <c r="B4302">
        <v>0</v>
      </c>
    </row>
    <row r="4303" spans="1:2" x14ac:dyDescent="0.25">
      <c r="A4303">
        <v>7970</v>
      </c>
      <c r="B4303">
        <v>0</v>
      </c>
    </row>
    <row r="4304" spans="1:2" x14ac:dyDescent="0.25">
      <c r="A4304">
        <v>7973</v>
      </c>
      <c r="B4304">
        <v>0</v>
      </c>
    </row>
    <row r="4305" spans="1:2" x14ac:dyDescent="0.25">
      <c r="A4305">
        <v>7974</v>
      </c>
      <c r="B4305">
        <v>0</v>
      </c>
    </row>
    <row r="4306" spans="1:2" x14ac:dyDescent="0.25">
      <c r="A4306">
        <v>7976</v>
      </c>
      <c r="B4306">
        <v>0</v>
      </c>
    </row>
    <row r="4307" spans="1:2" x14ac:dyDescent="0.25">
      <c r="A4307">
        <v>7977</v>
      </c>
      <c r="B4307">
        <v>16</v>
      </c>
    </row>
    <row r="4308" spans="1:2" x14ac:dyDescent="0.25">
      <c r="A4308">
        <v>7978</v>
      </c>
      <c r="B4308">
        <v>0</v>
      </c>
    </row>
    <row r="4309" spans="1:2" x14ac:dyDescent="0.25">
      <c r="A4309">
        <v>7979</v>
      </c>
      <c r="B4309">
        <v>0</v>
      </c>
    </row>
    <row r="4310" spans="1:2" x14ac:dyDescent="0.25">
      <c r="A4310">
        <v>7980</v>
      </c>
      <c r="B4310">
        <v>0</v>
      </c>
    </row>
    <row r="4311" spans="1:2" x14ac:dyDescent="0.25">
      <c r="A4311">
        <v>7981</v>
      </c>
      <c r="B4311">
        <v>0</v>
      </c>
    </row>
    <row r="4312" spans="1:2" x14ac:dyDescent="0.25">
      <c r="A4312">
        <v>7982</v>
      </c>
      <c r="B4312">
        <v>0</v>
      </c>
    </row>
    <row r="4313" spans="1:2" x14ac:dyDescent="0.25">
      <c r="A4313">
        <v>7983</v>
      </c>
      <c r="B4313">
        <v>16</v>
      </c>
    </row>
    <row r="4314" spans="1:2" x14ac:dyDescent="0.25">
      <c r="A4314">
        <v>7984</v>
      </c>
      <c r="B4314">
        <v>0</v>
      </c>
    </row>
    <row r="4315" spans="1:2" x14ac:dyDescent="0.25">
      <c r="A4315">
        <v>7985</v>
      </c>
      <c r="B4315">
        <v>16</v>
      </c>
    </row>
    <row r="4316" spans="1:2" x14ac:dyDescent="0.25">
      <c r="A4316">
        <v>7986</v>
      </c>
      <c r="B4316">
        <v>0</v>
      </c>
    </row>
    <row r="4317" spans="1:2" x14ac:dyDescent="0.25">
      <c r="A4317">
        <v>7987</v>
      </c>
      <c r="B4317">
        <v>0</v>
      </c>
    </row>
    <row r="4318" spans="1:2" x14ac:dyDescent="0.25">
      <c r="A4318">
        <v>7988</v>
      </c>
      <c r="B4318">
        <v>0</v>
      </c>
    </row>
    <row r="4319" spans="1:2" x14ac:dyDescent="0.25">
      <c r="A4319">
        <v>7989</v>
      </c>
      <c r="B4319">
        <v>0</v>
      </c>
    </row>
    <row r="4320" spans="1:2" x14ac:dyDescent="0.25">
      <c r="A4320">
        <v>7990</v>
      </c>
      <c r="B4320">
        <v>0</v>
      </c>
    </row>
    <row r="4321" spans="1:2" x14ac:dyDescent="0.25">
      <c r="A4321">
        <v>7991</v>
      </c>
      <c r="B4321">
        <v>0</v>
      </c>
    </row>
    <row r="4322" spans="1:2" x14ac:dyDescent="0.25">
      <c r="A4322">
        <v>7992</v>
      </c>
      <c r="B4322">
        <v>0</v>
      </c>
    </row>
    <row r="4323" spans="1:2" x14ac:dyDescent="0.25">
      <c r="A4323">
        <v>7993</v>
      </c>
      <c r="B4323">
        <v>0</v>
      </c>
    </row>
    <row r="4324" spans="1:2" x14ac:dyDescent="0.25">
      <c r="A4324">
        <v>7995</v>
      </c>
      <c r="B4324">
        <v>0</v>
      </c>
    </row>
    <row r="4325" spans="1:2" x14ac:dyDescent="0.25">
      <c r="A4325">
        <v>7997</v>
      </c>
      <c r="B4325">
        <v>0</v>
      </c>
    </row>
    <row r="4326" spans="1:2" x14ac:dyDescent="0.25">
      <c r="A4326">
        <v>7998</v>
      </c>
      <c r="B4326">
        <v>0</v>
      </c>
    </row>
    <row r="4327" spans="1:2" x14ac:dyDescent="0.25">
      <c r="A4327">
        <v>8000</v>
      </c>
      <c r="B4327">
        <v>0</v>
      </c>
    </row>
    <row r="4328" spans="1:2" x14ac:dyDescent="0.25">
      <c r="A4328">
        <v>8001</v>
      </c>
      <c r="B4328">
        <v>0</v>
      </c>
    </row>
    <row r="4329" spans="1:2" x14ac:dyDescent="0.25">
      <c r="A4329">
        <v>8004</v>
      </c>
      <c r="B4329">
        <v>0</v>
      </c>
    </row>
    <row r="4330" spans="1:2" x14ac:dyDescent="0.25">
      <c r="A4330">
        <v>8006</v>
      </c>
      <c r="B4330">
        <v>0</v>
      </c>
    </row>
    <row r="4331" spans="1:2" x14ac:dyDescent="0.25">
      <c r="A4331">
        <v>8008</v>
      </c>
      <c r="B4331">
        <v>0</v>
      </c>
    </row>
    <row r="4332" spans="1:2" x14ac:dyDescent="0.25">
      <c r="A4332">
        <v>8010</v>
      </c>
      <c r="B4332">
        <v>0</v>
      </c>
    </row>
    <row r="4333" spans="1:2" x14ac:dyDescent="0.25">
      <c r="A4333">
        <v>8011</v>
      </c>
      <c r="B4333">
        <v>0</v>
      </c>
    </row>
    <row r="4334" spans="1:2" x14ac:dyDescent="0.25">
      <c r="A4334">
        <v>8012</v>
      </c>
      <c r="B4334">
        <v>0</v>
      </c>
    </row>
    <row r="4335" spans="1:2" x14ac:dyDescent="0.25">
      <c r="A4335">
        <v>8013</v>
      </c>
      <c r="B4335">
        <v>0</v>
      </c>
    </row>
    <row r="4336" spans="1:2" x14ac:dyDescent="0.25">
      <c r="A4336">
        <v>8014</v>
      </c>
      <c r="B4336">
        <v>0</v>
      </c>
    </row>
    <row r="4337" spans="1:2" x14ac:dyDescent="0.25">
      <c r="A4337">
        <v>8015</v>
      </c>
      <c r="B4337">
        <v>0</v>
      </c>
    </row>
    <row r="4338" spans="1:2" x14ac:dyDescent="0.25">
      <c r="A4338">
        <v>8016</v>
      </c>
      <c r="B4338">
        <v>0</v>
      </c>
    </row>
    <row r="4339" spans="1:2" x14ac:dyDescent="0.25">
      <c r="A4339">
        <v>8017</v>
      </c>
      <c r="B4339">
        <v>0</v>
      </c>
    </row>
    <row r="4340" spans="1:2" x14ac:dyDescent="0.25">
      <c r="A4340">
        <v>8018</v>
      </c>
      <c r="B4340">
        <v>0</v>
      </c>
    </row>
    <row r="4341" spans="1:2" x14ac:dyDescent="0.25">
      <c r="A4341">
        <v>8019</v>
      </c>
      <c r="B4341">
        <v>0</v>
      </c>
    </row>
    <row r="4342" spans="1:2" x14ac:dyDescent="0.25">
      <c r="A4342">
        <v>8020</v>
      </c>
      <c r="B4342">
        <v>0</v>
      </c>
    </row>
    <row r="4343" spans="1:2" x14ac:dyDescent="0.25">
      <c r="A4343">
        <v>8021</v>
      </c>
      <c r="B4343">
        <v>0</v>
      </c>
    </row>
    <row r="4344" spans="1:2" x14ac:dyDescent="0.25">
      <c r="A4344">
        <v>8022</v>
      </c>
      <c r="B4344">
        <v>0</v>
      </c>
    </row>
    <row r="4345" spans="1:2" x14ac:dyDescent="0.25">
      <c r="A4345">
        <v>8026</v>
      </c>
      <c r="B4345">
        <v>0</v>
      </c>
    </row>
    <row r="4346" spans="1:2" x14ac:dyDescent="0.25">
      <c r="A4346">
        <v>8027</v>
      </c>
      <c r="B4346">
        <v>0</v>
      </c>
    </row>
    <row r="4347" spans="1:2" x14ac:dyDescent="0.25">
      <c r="A4347">
        <v>8028</v>
      </c>
      <c r="B4347">
        <v>0</v>
      </c>
    </row>
    <row r="4348" spans="1:2" x14ac:dyDescent="0.25">
      <c r="A4348">
        <v>8029</v>
      </c>
      <c r="B4348">
        <v>0</v>
      </c>
    </row>
    <row r="4349" spans="1:2" x14ac:dyDescent="0.25">
      <c r="A4349">
        <v>8030</v>
      </c>
      <c r="B4349">
        <v>0</v>
      </c>
    </row>
    <row r="4350" spans="1:2" x14ac:dyDescent="0.25">
      <c r="A4350">
        <v>8036</v>
      </c>
      <c r="B4350">
        <v>0</v>
      </c>
    </row>
    <row r="4351" spans="1:2" x14ac:dyDescent="0.25">
      <c r="A4351">
        <v>8037</v>
      </c>
      <c r="B4351">
        <v>0</v>
      </c>
    </row>
    <row r="4352" spans="1:2" x14ac:dyDescent="0.25">
      <c r="A4352">
        <v>8041</v>
      </c>
      <c r="B4352">
        <v>0</v>
      </c>
    </row>
    <row r="4353" spans="1:2" x14ac:dyDescent="0.25">
      <c r="A4353">
        <v>8042</v>
      </c>
      <c r="B4353">
        <v>0</v>
      </c>
    </row>
    <row r="4354" spans="1:2" x14ac:dyDescent="0.25">
      <c r="A4354">
        <v>8046</v>
      </c>
      <c r="B4354">
        <v>0</v>
      </c>
    </row>
    <row r="4355" spans="1:2" x14ac:dyDescent="0.25">
      <c r="A4355">
        <v>8048</v>
      </c>
      <c r="B4355">
        <v>0</v>
      </c>
    </row>
    <row r="4356" spans="1:2" x14ac:dyDescent="0.25">
      <c r="A4356">
        <v>8051</v>
      </c>
      <c r="B4356">
        <v>0</v>
      </c>
    </row>
    <row r="4357" spans="1:2" x14ac:dyDescent="0.25">
      <c r="A4357">
        <v>8053</v>
      </c>
      <c r="B4357">
        <v>0</v>
      </c>
    </row>
    <row r="4358" spans="1:2" x14ac:dyDescent="0.25">
      <c r="A4358">
        <v>8055</v>
      </c>
      <c r="B4358">
        <v>0</v>
      </c>
    </row>
    <row r="4359" spans="1:2" x14ac:dyDescent="0.25">
      <c r="A4359">
        <v>8056</v>
      </c>
      <c r="B4359">
        <v>0</v>
      </c>
    </row>
    <row r="4360" spans="1:2" x14ac:dyDescent="0.25">
      <c r="A4360">
        <v>8057</v>
      </c>
      <c r="B4360">
        <v>0</v>
      </c>
    </row>
    <row r="4361" spans="1:2" x14ac:dyDescent="0.25">
      <c r="A4361">
        <v>8058</v>
      </c>
      <c r="B4361">
        <v>0</v>
      </c>
    </row>
    <row r="4362" spans="1:2" x14ac:dyDescent="0.25">
      <c r="A4362">
        <v>8059</v>
      </c>
      <c r="B4362">
        <v>0</v>
      </c>
    </row>
    <row r="4363" spans="1:2" x14ac:dyDescent="0.25">
      <c r="A4363">
        <v>8060</v>
      </c>
      <c r="B4363">
        <v>0</v>
      </c>
    </row>
    <row r="4364" spans="1:2" x14ac:dyDescent="0.25">
      <c r="A4364">
        <v>8061</v>
      </c>
      <c r="B4364">
        <v>0</v>
      </c>
    </row>
    <row r="4365" spans="1:2" x14ac:dyDescent="0.25">
      <c r="A4365">
        <v>8062</v>
      </c>
      <c r="B4365">
        <v>0</v>
      </c>
    </row>
    <row r="4366" spans="1:2" x14ac:dyDescent="0.25">
      <c r="A4366">
        <v>8064</v>
      </c>
      <c r="B4366">
        <v>0</v>
      </c>
    </row>
    <row r="4367" spans="1:2" x14ac:dyDescent="0.25">
      <c r="A4367">
        <v>8065</v>
      </c>
      <c r="B4367">
        <v>0</v>
      </c>
    </row>
    <row r="4368" spans="1:2" x14ac:dyDescent="0.25">
      <c r="A4368">
        <v>8066</v>
      </c>
      <c r="B4368">
        <v>0</v>
      </c>
    </row>
    <row r="4369" spans="1:2" x14ac:dyDescent="0.25">
      <c r="A4369">
        <v>8067</v>
      </c>
      <c r="B4369">
        <v>0</v>
      </c>
    </row>
    <row r="4370" spans="1:2" x14ac:dyDescent="0.25">
      <c r="A4370">
        <v>8069</v>
      </c>
      <c r="B4370">
        <v>0</v>
      </c>
    </row>
    <row r="4371" spans="1:2" x14ac:dyDescent="0.25">
      <c r="A4371">
        <v>8071</v>
      </c>
      <c r="B4371">
        <v>0</v>
      </c>
    </row>
    <row r="4372" spans="1:2" x14ac:dyDescent="0.25">
      <c r="A4372">
        <v>8073</v>
      </c>
      <c r="B4372">
        <v>0</v>
      </c>
    </row>
    <row r="4373" spans="1:2" x14ac:dyDescent="0.25">
      <c r="A4373">
        <v>8078</v>
      </c>
      <c r="B4373">
        <v>0</v>
      </c>
    </row>
    <row r="4374" spans="1:2" x14ac:dyDescent="0.25">
      <c r="A4374">
        <v>8079</v>
      </c>
      <c r="B4374">
        <v>0</v>
      </c>
    </row>
    <row r="4375" spans="1:2" x14ac:dyDescent="0.25">
      <c r="A4375">
        <v>8081</v>
      </c>
      <c r="B4375">
        <v>0</v>
      </c>
    </row>
    <row r="4376" spans="1:2" x14ac:dyDescent="0.25">
      <c r="A4376">
        <v>8103</v>
      </c>
      <c r="B4376">
        <v>0</v>
      </c>
    </row>
    <row r="4377" spans="1:2" x14ac:dyDescent="0.25">
      <c r="A4377">
        <v>8105</v>
      </c>
      <c r="B4377">
        <v>0</v>
      </c>
    </row>
    <row r="4378" spans="1:2" x14ac:dyDescent="0.25">
      <c r="A4378">
        <v>8107</v>
      </c>
      <c r="B4378">
        <v>0</v>
      </c>
    </row>
    <row r="4379" spans="1:2" x14ac:dyDescent="0.25">
      <c r="A4379">
        <v>8109</v>
      </c>
      <c r="B4379">
        <v>0</v>
      </c>
    </row>
    <row r="4380" spans="1:2" x14ac:dyDescent="0.25">
      <c r="A4380">
        <v>8111</v>
      </c>
      <c r="B4380">
        <v>0</v>
      </c>
    </row>
    <row r="4381" spans="1:2" x14ac:dyDescent="0.25">
      <c r="A4381">
        <v>8113</v>
      </c>
      <c r="B4381">
        <v>0</v>
      </c>
    </row>
    <row r="4382" spans="1:2" x14ac:dyDescent="0.25">
      <c r="A4382">
        <v>8116</v>
      </c>
      <c r="B4382">
        <v>0</v>
      </c>
    </row>
    <row r="4383" spans="1:2" x14ac:dyDescent="0.25">
      <c r="A4383">
        <v>8117</v>
      </c>
      <c r="B4383">
        <v>0</v>
      </c>
    </row>
    <row r="4384" spans="1:2" x14ac:dyDescent="0.25">
      <c r="A4384">
        <v>8118</v>
      </c>
      <c r="B4384">
        <v>0</v>
      </c>
    </row>
    <row r="4385" spans="1:2" x14ac:dyDescent="0.25">
      <c r="A4385">
        <v>8120</v>
      </c>
      <c r="B4385">
        <v>0</v>
      </c>
    </row>
    <row r="4386" spans="1:2" x14ac:dyDescent="0.25">
      <c r="A4386">
        <v>8121</v>
      </c>
      <c r="B4386">
        <v>0</v>
      </c>
    </row>
    <row r="4387" spans="1:2" x14ac:dyDescent="0.25">
      <c r="A4387">
        <v>8124</v>
      </c>
      <c r="B4387">
        <v>0</v>
      </c>
    </row>
    <row r="4388" spans="1:2" x14ac:dyDescent="0.25">
      <c r="A4388">
        <v>8125</v>
      </c>
      <c r="B4388">
        <v>0</v>
      </c>
    </row>
    <row r="4389" spans="1:2" x14ac:dyDescent="0.25">
      <c r="A4389">
        <v>8126</v>
      </c>
      <c r="B4389">
        <v>0</v>
      </c>
    </row>
    <row r="4390" spans="1:2" x14ac:dyDescent="0.25">
      <c r="A4390">
        <v>8128</v>
      </c>
      <c r="B4390">
        <v>0</v>
      </c>
    </row>
    <row r="4391" spans="1:2" x14ac:dyDescent="0.25">
      <c r="A4391">
        <v>8129</v>
      </c>
      <c r="B4391">
        <v>0</v>
      </c>
    </row>
    <row r="4392" spans="1:2" x14ac:dyDescent="0.25">
      <c r="A4392">
        <v>8134</v>
      </c>
      <c r="B4392">
        <v>0</v>
      </c>
    </row>
    <row r="4393" spans="1:2" x14ac:dyDescent="0.25">
      <c r="A4393">
        <v>8135</v>
      </c>
      <c r="B4393">
        <v>0</v>
      </c>
    </row>
    <row r="4394" spans="1:2" x14ac:dyDescent="0.25">
      <c r="A4394">
        <v>8136</v>
      </c>
      <c r="B4394">
        <v>0</v>
      </c>
    </row>
    <row r="4395" spans="1:2" x14ac:dyDescent="0.25">
      <c r="A4395">
        <v>8137</v>
      </c>
      <c r="B4395">
        <v>0</v>
      </c>
    </row>
    <row r="4396" spans="1:2" x14ac:dyDescent="0.25">
      <c r="A4396">
        <v>8139</v>
      </c>
      <c r="B4396">
        <v>0</v>
      </c>
    </row>
    <row r="4397" spans="1:2" x14ac:dyDescent="0.25">
      <c r="A4397">
        <v>8141</v>
      </c>
      <c r="B4397">
        <v>0</v>
      </c>
    </row>
    <row r="4398" spans="1:2" x14ac:dyDescent="0.25">
      <c r="A4398">
        <v>8143</v>
      </c>
      <c r="B4398">
        <v>0</v>
      </c>
    </row>
    <row r="4399" spans="1:2" x14ac:dyDescent="0.25">
      <c r="A4399">
        <v>8144</v>
      </c>
      <c r="B4399">
        <v>0</v>
      </c>
    </row>
    <row r="4400" spans="1:2" x14ac:dyDescent="0.25">
      <c r="A4400">
        <v>8145</v>
      </c>
      <c r="B4400">
        <v>0</v>
      </c>
    </row>
    <row r="4401" spans="1:2" x14ac:dyDescent="0.25">
      <c r="A4401">
        <v>8147</v>
      </c>
      <c r="B4401">
        <v>0</v>
      </c>
    </row>
    <row r="4402" spans="1:2" x14ac:dyDescent="0.25">
      <c r="A4402">
        <v>8148</v>
      </c>
      <c r="B4402">
        <v>0</v>
      </c>
    </row>
    <row r="4403" spans="1:2" x14ac:dyDescent="0.25">
      <c r="A4403">
        <v>8149</v>
      </c>
      <c r="B4403">
        <v>0</v>
      </c>
    </row>
    <row r="4404" spans="1:2" x14ac:dyDescent="0.25">
      <c r="A4404">
        <v>8150</v>
      </c>
      <c r="B4404">
        <v>0</v>
      </c>
    </row>
    <row r="4405" spans="1:2" x14ac:dyDescent="0.25">
      <c r="A4405">
        <v>8152</v>
      </c>
      <c r="B4405">
        <v>0</v>
      </c>
    </row>
    <row r="4406" spans="1:2" x14ac:dyDescent="0.25">
      <c r="A4406">
        <v>8153</v>
      </c>
      <c r="B4406">
        <v>7</v>
      </c>
    </row>
    <row r="4407" spans="1:2" x14ac:dyDescent="0.25">
      <c r="A4407">
        <v>8155</v>
      </c>
      <c r="B4407">
        <v>0</v>
      </c>
    </row>
    <row r="4408" spans="1:2" x14ac:dyDescent="0.25">
      <c r="A4408">
        <v>8156</v>
      </c>
      <c r="B4408">
        <v>0</v>
      </c>
    </row>
    <row r="4409" spans="1:2" x14ac:dyDescent="0.25">
      <c r="A4409">
        <v>8157</v>
      </c>
      <c r="B4409">
        <v>0</v>
      </c>
    </row>
    <row r="4410" spans="1:2" x14ac:dyDescent="0.25">
      <c r="A4410">
        <v>8158</v>
      </c>
      <c r="B4410">
        <v>0</v>
      </c>
    </row>
    <row r="4411" spans="1:2" x14ac:dyDescent="0.25">
      <c r="A4411">
        <v>8160</v>
      </c>
      <c r="B4411">
        <v>0</v>
      </c>
    </row>
    <row r="4412" spans="1:2" x14ac:dyDescent="0.25">
      <c r="A4412">
        <v>8161</v>
      </c>
      <c r="B4412">
        <v>0</v>
      </c>
    </row>
    <row r="4413" spans="1:2" x14ac:dyDescent="0.25">
      <c r="A4413">
        <v>8164</v>
      </c>
      <c r="B4413">
        <v>0</v>
      </c>
    </row>
    <row r="4414" spans="1:2" x14ac:dyDescent="0.25">
      <c r="A4414">
        <v>8165</v>
      </c>
      <c r="B4414">
        <v>0</v>
      </c>
    </row>
    <row r="4415" spans="1:2" x14ac:dyDescent="0.25">
      <c r="A4415">
        <v>8166</v>
      </c>
      <c r="B4415">
        <v>0</v>
      </c>
    </row>
    <row r="4416" spans="1:2" x14ac:dyDescent="0.25">
      <c r="A4416">
        <v>8167</v>
      </c>
      <c r="B4416">
        <v>0</v>
      </c>
    </row>
    <row r="4417" spans="1:2" x14ac:dyDescent="0.25">
      <c r="A4417">
        <v>8168</v>
      </c>
      <c r="B4417">
        <v>0</v>
      </c>
    </row>
    <row r="4418" spans="1:2" x14ac:dyDescent="0.25">
      <c r="A4418">
        <v>8170</v>
      </c>
      <c r="B4418">
        <v>0</v>
      </c>
    </row>
    <row r="4419" spans="1:2" x14ac:dyDescent="0.25">
      <c r="A4419">
        <v>8172</v>
      </c>
      <c r="B4419">
        <v>0</v>
      </c>
    </row>
    <row r="4420" spans="1:2" x14ac:dyDescent="0.25">
      <c r="A4420">
        <v>8175</v>
      </c>
      <c r="B4420">
        <v>0</v>
      </c>
    </row>
    <row r="4421" spans="1:2" x14ac:dyDescent="0.25">
      <c r="A4421">
        <v>8176</v>
      </c>
      <c r="B4421">
        <v>0</v>
      </c>
    </row>
    <row r="4422" spans="1:2" x14ac:dyDescent="0.25">
      <c r="A4422">
        <v>8179</v>
      </c>
      <c r="B4422">
        <v>0</v>
      </c>
    </row>
    <row r="4423" spans="1:2" x14ac:dyDescent="0.25">
      <c r="A4423">
        <v>8180</v>
      </c>
      <c r="B4423">
        <v>0</v>
      </c>
    </row>
    <row r="4424" spans="1:2" x14ac:dyDescent="0.25">
      <c r="A4424">
        <v>8182</v>
      </c>
      <c r="B4424">
        <v>0</v>
      </c>
    </row>
    <row r="4425" spans="1:2" x14ac:dyDescent="0.25">
      <c r="A4425">
        <v>8184</v>
      </c>
      <c r="B4425">
        <v>0</v>
      </c>
    </row>
    <row r="4426" spans="1:2" x14ac:dyDescent="0.25">
      <c r="A4426">
        <v>8187</v>
      </c>
      <c r="B4426">
        <v>0</v>
      </c>
    </row>
    <row r="4427" spans="1:2" x14ac:dyDescent="0.25">
      <c r="A4427">
        <v>8188</v>
      </c>
      <c r="B4427">
        <v>0</v>
      </c>
    </row>
    <row r="4428" spans="1:2" x14ac:dyDescent="0.25">
      <c r="A4428">
        <v>8190</v>
      </c>
      <c r="B4428">
        <v>0</v>
      </c>
    </row>
    <row r="4429" spans="1:2" x14ac:dyDescent="0.25">
      <c r="A4429">
        <v>8191</v>
      </c>
      <c r="B4429">
        <v>0</v>
      </c>
    </row>
    <row r="4430" spans="1:2" x14ac:dyDescent="0.25">
      <c r="A4430">
        <v>8192</v>
      </c>
      <c r="B4430">
        <v>0</v>
      </c>
    </row>
    <row r="4431" spans="1:2" x14ac:dyDescent="0.25">
      <c r="A4431">
        <v>8193</v>
      </c>
      <c r="B4431">
        <v>0</v>
      </c>
    </row>
    <row r="4432" spans="1:2" x14ac:dyDescent="0.25">
      <c r="A4432">
        <v>8194</v>
      </c>
      <c r="B4432">
        <v>0</v>
      </c>
    </row>
    <row r="4433" spans="1:2" x14ac:dyDescent="0.25">
      <c r="A4433">
        <v>8195</v>
      </c>
      <c r="B4433">
        <v>0</v>
      </c>
    </row>
    <row r="4434" spans="1:2" x14ac:dyDescent="0.25">
      <c r="A4434">
        <v>8196</v>
      </c>
      <c r="B4434">
        <v>0</v>
      </c>
    </row>
    <row r="4435" spans="1:2" x14ac:dyDescent="0.25">
      <c r="A4435">
        <v>8197</v>
      </c>
      <c r="B4435">
        <v>0</v>
      </c>
    </row>
    <row r="4436" spans="1:2" x14ac:dyDescent="0.25">
      <c r="A4436">
        <v>8198</v>
      </c>
      <c r="B4436">
        <v>0</v>
      </c>
    </row>
    <row r="4437" spans="1:2" x14ac:dyDescent="0.25">
      <c r="A4437">
        <v>8200</v>
      </c>
      <c r="B4437">
        <v>0</v>
      </c>
    </row>
    <row r="4438" spans="1:2" x14ac:dyDescent="0.25">
      <c r="A4438">
        <v>8201</v>
      </c>
      <c r="B4438">
        <v>0</v>
      </c>
    </row>
    <row r="4439" spans="1:2" x14ac:dyDescent="0.25">
      <c r="A4439">
        <v>8202</v>
      </c>
      <c r="B4439">
        <v>0</v>
      </c>
    </row>
    <row r="4440" spans="1:2" x14ac:dyDescent="0.25">
      <c r="A4440">
        <v>8203</v>
      </c>
      <c r="B4440">
        <v>0</v>
      </c>
    </row>
    <row r="4441" spans="1:2" x14ac:dyDescent="0.25">
      <c r="A4441">
        <v>8204</v>
      </c>
      <c r="B4441">
        <v>0</v>
      </c>
    </row>
    <row r="4442" spans="1:2" x14ac:dyDescent="0.25">
      <c r="A4442">
        <v>8209</v>
      </c>
      <c r="B4442">
        <v>0</v>
      </c>
    </row>
    <row r="4443" spans="1:2" x14ac:dyDescent="0.25">
      <c r="A4443">
        <v>8210</v>
      </c>
      <c r="B4443">
        <v>0</v>
      </c>
    </row>
    <row r="4444" spans="1:2" x14ac:dyDescent="0.25">
      <c r="A4444">
        <v>8211</v>
      </c>
      <c r="B4444">
        <v>0</v>
      </c>
    </row>
    <row r="4445" spans="1:2" x14ac:dyDescent="0.25">
      <c r="A4445">
        <v>8213</v>
      </c>
      <c r="B4445">
        <v>0</v>
      </c>
    </row>
    <row r="4446" spans="1:2" x14ac:dyDescent="0.25">
      <c r="A4446">
        <v>8215</v>
      </c>
      <c r="B4446">
        <v>0</v>
      </c>
    </row>
    <row r="4447" spans="1:2" x14ac:dyDescent="0.25">
      <c r="A4447">
        <v>8217</v>
      </c>
      <c r="B4447">
        <v>0</v>
      </c>
    </row>
    <row r="4448" spans="1:2" x14ac:dyDescent="0.25">
      <c r="A4448">
        <v>8219</v>
      </c>
      <c r="B4448">
        <v>0</v>
      </c>
    </row>
    <row r="4449" spans="1:2" x14ac:dyDescent="0.25">
      <c r="A4449">
        <v>8220</v>
      </c>
      <c r="B4449">
        <v>0</v>
      </c>
    </row>
    <row r="4450" spans="1:2" x14ac:dyDescent="0.25">
      <c r="A4450">
        <v>8221</v>
      </c>
      <c r="B4450">
        <v>0</v>
      </c>
    </row>
    <row r="4451" spans="1:2" x14ac:dyDescent="0.25">
      <c r="A4451">
        <v>8222</v>
      </c>
      <c r="B4451">
        <v>0</v>
      </c>
    </row>
    <row r="4452" spans="1:2" x14ac:dyDescent="0.25">
      <c r="A4452">
        <v>8223</v>
      </c>
      <c r="B4452">
        <v>0</v>
      </c>
    </row>
    <row r="4453" spans="1:2" x14ac:dyDescent="0.25">
      <c r="A4453">
        <v>8224</v>
      </c>
      <c r="B4453">
        <v>0</v>
      </c>
    </row>
    <row r="4454" spans="1:2" x14ac:dyDescent="0.25">
      <c r="A4454">
        <v>8225</v>
      </c>
      <c r="B4454">
        <v>0</v>
      </c>
    </row>
    <row r="4455" spans="1:2" x14ac:dyDescent="0.25">
      <c r="A4455">
        <v>8226</v>
      </c>
      <c r="B4455">
        <v>0</v>
      </c>
    </row>
    <row r="4456" spans="1:2" x14ac:dyDescent="0.25">
      <c r="A4456">
        <v>8227</v>
      </c>
      <c r="B4456">
        <v>0</v>
      </c>
    </row>
    <row r="4457" spans="1:2" x14ac:dyDescent="0.25">
      <c r="A4457">
        <v>8228</v>
      </c>
      <c r="B4457">
        <v>0</v>
      </c>
    </row>
    <row r="4458" spans="1:2" x14ac:dyDescent="0.25">
      <c r="A4458">
        <v>8229</v>
      </c>
      <c r="B4458">
        <v>0</v>
      </c>
    </row>
    <row r="4459" spans="1:2" x14ac:dyDescent="0.25">
      <c r="A4459">
        <v>8230</v>
      </c>
      <c r="B4459">
        <v>0</v>
      </c>
    </row>
    <row r="4460" spans="1:2" x14ac:dyDescent="0.25">
      <c r="A4460">
        <v>8231</v>
      </c>
      <c r="B4460">
        <v>0</v>
      </c>
    </row>
    <row r="4461" spans="1:2" x14ac:dyDescent="0.25">
      <c r="A4461">
        <v>8232</v>
      </c>
      <c r="B4461">
        <v>0</v>
      </c>
    </row>
    <row r="4462" spans="1:2" x14ac:dyDescent="0.25">
      <c r="A4462">
        <v>8233</v>
      </c>
      <c r="B4462">
        <v>0</v>
      </c>
    </row>
    <row r="4463" spans="1:2" x14ac:dyDescent="0.25">
      <c r="A4463">
        <v>8278</v>
      </c>
      <c r="B4463">
        <v>0</v>
      </c>
    </row>
    <row r="4464" spans="1:2" x14ac:dyDescent="0.25">
      <c r="A4464">
        <v>8280</v>
      </c>
      <c r="B4464">
        <v>0</v>
      </c>
    </row>
    <row r="4465" spans="1:2" x14ac:dyDescent="0.25">
      <c r="A4465">
        <v>8281</v>
      </c>
      <c r="B4465">
        <v>0</v>
      </c>
    </row>
    <row r="4466" spans="1:2" x14ac:dyDescent="0.25">
      <c r="A4466">
        <v>8286</v>
      </c>
      <c r="B4466">
        <v>0</v>
      </c>
    </row>
    <row r="4467" spans="1:2" x14ac:dyDescent="0.25">
      <c r="A4467">
        <v>8288</v>
      </c>
      <c r="B4467">
        <v>0</v>
      </c>
    </row>
    <row r="4468" spans="1:2" x14ac:dyDescent="0.25">
      <c r="A4468">
        <v>8289</v>
      </c>
      <c r="B4468">
        <v>0</v>
      </c>
    </row>
    <row r="4469" spans="1:2" x14ac:dyDescent="0.25">
      <c r="A4469">
        <v>8290</v>
      </c>
      <c r="B4469">
        <v>0</v>
      </c>
    </row>
    <row r="4470" spans="1:2" x14ac:dyDescent="0.25">
      <c r="A4470">
        <v>8292</v>
      </c>
      <c r="B4470">
        <v>0</v>
      </c>
    </row>
    <row r="4471" spans="1:2" x14ac:dyDescent="0.25">
      <c r="A4471">
        <v>8294</v>
      </c>
      <c r="B4471">
        <v>0</v>
      </c>
    </row>
    <row r="4472" spans="1:2" x14ac:dyDescent="0.25">
      <c r="A4472">
        <v>8297</v>
      </c>
      <c r="B4472">
        <v>0</v>
      </c>
    </row>
    <row r="4473" spans="1:2" x14ac:dyDescent="0.25">
      <c r="A4473">
        <v>8298</v>
      </c>
      <c r="B4473">
        <v>0</v>
      </c>
    </row>
    <row r="4474" spans="1:2" x14ac:dyDescent="0.25">
      <c r="A4474">
        <v>8300</v>
      </c>
      <c r="B4474">
        <v>0</v>
      </c>
    </row>
    <row r="4475" spans="1:2" x14ac:dyDescent="0.25">
      <c r="A4475">
        <v>8302</v>
      </c>
      <c r="B4475">
        <v>0</v>
      </c>
    </row>
    <row r="4476" spans="1:2" x14ac:dyDescent="0.25">
      <c r="A4476">
        <v>8304</v>
      </c>
      <c r="B4476">
        <v>0</v>
      </c>
    </row>
    <row r="4477" spans="1:2" x14ac:dyDescent="0.25">
      <c r="A4477">
        <v>8306</v>
      </c>
      <c r="B4477">
        <v>0</v>
      </c>
    </row>
    <row r="4478" spans="1:2" x14ac:dyDescent="0.25">
      <c r="A4478">
        <v>8308</v>
      </c>
      <c r="B4478">
        <v>0</v>
      </c>
    </row>
    <row r="4479" spans="1:2" x14ac:dyDescent="0.25">
      <c r="A4479">
        <v>8315</v>
      </c>
      <c r="B4479">
        <v>0</v>
      </c>
    </row>
    <row r="4480" spans="1:2" x14ac:dyDescent="0.25">
      <c r="A4480">
        <v>8316</v>
      </c>
      <c r="B4480">
        <v>0</v>
      </c>
    </row>
    <row r="4481" spans="1:2" x14ac:dyDescent="0.25">
      <c r="A4481">
        <v>8317</v>
      </c>
      <c r="B4481">
        <v>0</v>
      </c>
    </row>
    <row r="4482" spans="1:2" x14ac:dyDescent="0.25">
      <c r="A4482">
        <v>8318</v>
      </c>
      <c r="B4482">
        <v>0</v>
      </c>
    </row>
    <row r="4483" spans="1:2" x14ac:dyDescent="0.25">
      <c r="A4483">
        <v>8319</v>
      </c>
      <c r="B4483">
        <v>0</v>
      </c>
    </row>
    <row r="4484" spans="1:2" x14ac:dyDescent="0.25">
      <c r="A4484">
        <v>8320</v>
      </c>
      <c r="B4484">
        <v>0</v>
      </c>
    </row>
    <row r="4485" spans="1:2" x14ac:dyDescent="0.25">
      <c r="A4485">
        <v>8322</v>
      </c>
      <c r="B4485">
        <v>0</v>
      </c>
    </row>
    <row r="4486" spans="1:2" x14ac:dyDescent="0.25">
      <c r="A4486">
        <v>8323</v>
      </c>
      <c r="B4486">
        <v>0</v>
      </c>
    </row>
    <row r="4487" spans="1:2" x14ac:dyDescent="0.25">
      <c r="A4487">
        <v>8324</v>
      </c>
      <c r="B4487">
        <v>0</v>
      </c>
    </row>
    <row r="4488" spans="1:2" x14ac:dyDescent="0.25">
      <c r="A4488">
        <v>8334</v>
      </c>
      <c r="B4488">
        <v>0</v>
      </c>
    </row>
    <row r="4489" spans="1:2" x14ac:dyDescent="0.25">
      <c r="A4489">
        <v>8336</v>
      </c>
      <c r="B4489">
        <v>8</v>
      </c>
    </row>
    <row r="4490" spans="1:2" x14ac:dyDescent="0.25">
      <c r="A4490">
        <v>8337</v>
      </c>
      <c r="B4490">
        <v>0</v>
      </c>
    </row>
    <row r="4491" spans="1:2" x14ac:dyDescent="0.25">
      <c r="A4491">
        <v>8338</v>
      </c>
      <c r="B4491">
        <v>0</v>
      </c>
    </row>
    <row r="4492" spans="1:2" x14ac:dyDescent="0.25">
      <c r="A4492">
        <v>8340</v>
      </c>
      <c r="B4492">
        <v>0</v>
      </c>
    </row>
    <row r="4493" spans="1:2" x14ac:dyDescent="0.25">
      <c r="A4493">
        <v>8341</v>
      </c>
      <c r="B4493">
        <v>0</v>
      </c>
    </row>
    <row r="4494" spans="1:2" x14ac:dyDescent="0.25">
      <c r="A4494">
        <v>8343</v>
      </c>
      <c r="B4494">
        <v>0</v>
      </c>
    </row>
    <row r="4495" spans="1:2" x14ac:dyDescent="0.25">
      <c r="A4495">
        <v>8345</v>
      </c>
      <c r="B4495">
        <v>0</v>
      </c>
    </row>
    <row r="4496" spans="1:2" x14ac:dyDescent="0.25">
      <c r="A4496">
        <v>8347</v>
      </c>
      <c r="B4496">
        <v>0</v>
      </c>
    </row>
    <row r="4497" spans="1:2" x14ac:dyDescent="0.25">
      <c r="A4497">
        <v>8348</v>
      </c>
      <c r="B4497">
        <v>0</v>
      </c>
    </row>
    <row r="4498" spans="1:2" x14ac:dyDescent="0.25">
      <c r="A4498">
        <v>8351</v>
      </c>
      <c r="B4498">
        <v>0</v>
      </c>
    </row>
    <row r="4499" spans="1:2" x14ac:dyDescent="0.25">
      <c r="A4499">
        <v>8353</v>
      </c>
      <c r="B4499">
        <v>0</v>
      </c>
    </row>
    <row r="4500" spans="1:2" x14ac:dyDescent="0.25">
      <c r="A4500">
        <v>8356</v>
      </c>
      <c r="B4500">
        <v>0</v>
      </c>
    </row>
    <row r="4501" spans="1:2" x14ac:dyDescent="0.25">
      <c r="A4501">
        <v>8358</v>
      </c>
      <c r="B4501">
        <v>0</v>
      </c>
    </row>
    <row r="4502" spans="1:2" x14ac:dyDescent="0.25">
      <c r="A4502">
        <v>8359</v>
      </c>
      <c r="B4502">
        <v>0</v>
      </c>
    </row>
    <row r="4503" spans="1:2" x14ac:dyDescent="0.25">
      <c r="A4503">
        <v>8360</v>
      </c>
      <c r="B4503">
        <v>0</v>
      </c>
    </row>
    <row r="4504" spans="1:2" x14ac:dyDescent="0.25">
      <c r="A4504">
        <v>8361</v>
      </c>
      <c r="B4504">
        <v>0</v>
      </c>
    </row>
    <row r="4505" spans="1:2" x14ac:dyDescent="0.25">
      <c r="A4505">
        <v>8362</v>
      </c>
      <c r="B4505">
        <v>0</v>
      </c>
    </row>
    <row r="4506" spans="1:2" x14ac:dyDescent="0.25">
      <c r="A4506">
        <v>8363</v>
      </c>
      <c r="B4506">
        <v>0</v>
      </c>
    </row>
    <row r="4507" spans="1:2" x14ac:dyDescent="0.25">
      <c r="A4507">
        <v>8365</v>
      </c>
      <c r="B4507">
        <v>0</v>
      </c>
    </row>
    <row r="4508" spans="1:2" x14ac:dyDescent="0.25">
      <c r="A4508">
        <v>8366</v>
      </c>
      <c r="B4508">
        <v>0</v>
      </c>
    </row>
    <row r="4509" spans="1:2" x14ac:dyDescent="0.25">
      <c r="A4509">
        <v>8371</v>
      </c>
      <c r="B4509">
        <v>0</v>
      </c>
    </row>
    <row r="4510" spans="1:2" x14ac:dyDescent="0.25">
      <c r="A4510">
        <v>8373</v>
      </c>
      <c r="B4510">
        <v>0</v>
      </c>
    </row>
    <row r="4511" spans="1:2" x14ac:dyDescent="0.25">
      <c r="A4511">
        <v>8375</v>
      </c>
      <c r="B4511">
        <v>0</v>
      </c>
    </row>
    <row r="4512" spans="1:2" x14ac:dyDescent="0.25">
      <c r="A4512">
        <v>8377</v>
      </c>
      <c r="B4512">
        <v>0</v>
      </c>
    </row>
    <row r="4513" spans="1:2" x14ac:dyDescent="0.25">
      <c r="A4513">
        <v>8379</v>
      </c>
      <c r="B4513">
        <v>0</v>
      </c>
    </row>
    <row r="4514" spans="1:2" x14ac:dyDescent="0.25">
      <c r="A4514">
        <v>8380</v>
      </c>
      <c r="B4514">
        <v>0</v>
      </c>
    </row>
    <row r="4515" spans="1:2" x14ac:dyDescent="0.25">
      <c r="A4515">
        <v>8381</v>
      </c>
      <c r="B4515">
        <v>0</v>
      </c>
    </row>
    <row r="4516" spans="1:2" x14ac:dyDescent="0.25">
      <c r="A4516">
        <v>8386</v>
      </c>
      <c r="B4516">
        <v>0</v>
      </c>
    </row>
    <row r="4517" spans="1:2" x14ac:dyDescent="0.25">
      <c r="A4517">
        <v>8388</v>
      </c>
      <c r="B4517">
        <v>0</v>
      </c>
    </row>
    <row r="4518" spans="1:2" x14ac:dyDescent="0.25">
      <c r="A4518">
        <v>8390</v>
      </c>
      <c r="B4518">
        <v>0</v>
      </c>
    </row>
    <row r="4519" spans="1:2" x14ac:dyDescent="0.25">
      <c r="A4519">
        <v>8392</v>
      </c>
      <c r="B4519">
        <v>0</v>
      </c>
    </row>
    <row r="4520" spans="1:2" x14ac:dyDescent="0.25">
      <c r="A4520">
        <v>8394</v>
      </c>
      <c r="B4520">
        <v>0</v>
      </c>
    </row>
    <row r="4521" spans="1:2" x14ac:dyDescent="0.25">
      <c r="A4521">
        <v>8395</v>
      </c>
      <c r="B4521">
        <v>0</v>
      </c>
    </row>
    <row r="4522" spans="1:2" x14ac:dyDescent="0.25">
      <c r="A4522">
        <v>8396</v>
      </c>
      <c r="B4522">
        <v>0</v>
      </c>
    </row>
    <row r="4523" spans="1:2" x14ac:dyDescent="0.25">
      <c r="A4523">
        <v>8398</v>
      </c>
      <c r="B4523">
        <v>0</v>
      </c>
    </row>
    <row r="4524" spans="1:2" x14ac:dyDescent="0.25">
      <c r="A4524">
        <v>8400</v>
      </c>
      <c r="B4524">
        <v>0</v>
      </c>
    </row>
    <row r="4525" spans="1:2" x14ac:dyDescent="0.25">
      <c r="A4525">
        <v>8403</v>
      </c>
      <c r="B4525">
        <v>0</v>
      </c>
    </row>
    <row r="4526" spans="1:2" x14ac:dyDescent="0.25">
      <c r="A4526">
        <v>8404</v>
      </c>
      <c r="B4526">
        <v>0</v>
      </c>
    </row>
    <row r="4527" spans="1:2" x14ac:dyDescent="0.25">
      <c r="A4527">
        <v>8405</v>
      </c>
      <c r="B4527">
        <v>0</v>
      </c>
    </row>
    <row r="4528" spans="1:2" x14ac:dyDescent="0.25">
      <c r="A4528">
        <v>8408</v>
      </c>
      <c r="B4528">
        <v>0</v>
      </c>
    </row>
    <row r="4529" spans="1:2" x14ac:dyDescent="0.25">
      <c r="A4529">
        <v>8411</v>
      </c>
      <c r="B4529">
        <v>5</v>
      </c>
    </row>
    <row r="4530" spans="1:2" x14ac:dyDescent="0.25">
      <c r="A4530">
        <v>8413</v>
      </c>
      <c r="B4530">
        <v>0</v>
      </c>
    </row>
    <row r="4531" spans="1:2" x14ac:dyDescent="0.25">
      <c r="A4531">
        <v>8415</v>
      </c>
      <c r="B4531">
        <v>0</v>
      </c>
    </row>
    <row r="4532" spans="1:2" x14ac:dyDescent="0.25">
      <c r="A4532">
        <v>8418</v>
      </c>
      <c r="B4532">
        <v>0</v>
      </c>
    </row>
    <row r="4533" spans="1:2" x14ac:dyDescent="0.25">
      <c r="A4533">
        <v>8425</v>
      </c>
      <c r="B4533">
        <v>0</v>
      </c>
    </row>
    <row r="4534" spans="1:2" x14ac:dyDescent="0.25">
      <c r="A4534">
        <v>8427</v>
      </c>
      <c r="B4534">
        <v>0</v>
      </c>
    </row>
    <row r="4535" spans="1:2" x14ac:dyDescent="0.25">
      <c r="A4535">
        <v>8428</v>
      </c>
      <c r="B4535">
        <v>0</v>
      </c>
    </row>
    <row r="4536" spans="1:2" x14ac:dyDescent="0.25">
      <c r="A4536">
        <v>8430</v>
      </c>
      <c r="B4536">
        <v>0</v>
      </c>
    </row>
    <row r="4537" spans="1:2" x14ac:dyDescent="0.25">
      <c r="A4537">
        <v>8431</v>
      </c>
      <c r="B4537">
        <v>0</v>
      </c>
    </row>
    <row r="4538" spans="1:2" x14ac:dyDescent="0.25">
      <c r="A4538">
        <v>8432</v>
      </c>
      <c r="B4538">
        <v>0</v>
      </c>
    </row>
    <row r="4539" spans="1:2" x14ac:dyDescent="0.25">
      <c r="A4539">
        <v>8433</v>
      </c>
      <c r="B4539">
        <v>0</v>
      </c>
    </row>
    <row r="4540" spans="1:2" x14ac:dyDescent="0.25">
      <c r="A4540">
        <v>8434</v>
      </c>
      <c r="B4540">
        <v>0</v>
      </c>
    </row>
    <row r="4541" spans="1:2" x14ac:dyDescent="0.25">
      <c r="A4541">
        <v>8435</v>
      </c>
      <c r="B4541">
        <v>0</v>
      </c>
    </row>
    <row r="4542" spans="1:2" x14ac:dyDescent="0.25">
      <c r="A4542">
        <v>8436</v>
      </c>
      <c r="B4542">
        <v>0</v>
      </c>
    </row>
    <row r="4543" spans="1:2" x14ac:dyDescent="0.25">
      <c r="A4543">
        <v>8438</v>
      </c>
      <c r="B4543">
        <v>0</v>
      </c>
    </row>
    <row r="4544" spans="1:2" x14ac:dyDescent="0.25">
      <c r="A4544">
        <v>8439</v>
      </c>
      <c r="B4544">
        <v>0</v>
      </c>
    </row>
    <row r="4545" spans="1:2" x14ac:dyDescent="0.25">
      <c r="A4545">
        <v>8440</v>
      </c>
      <c r="B4545">
        <v>0</v>
      </c>
    </row>
    <row r="4546" spans="1:2" x14ac:dyDescent="0.25">
      <c r="A4546">
        <v>8441</v>
      </c>
      <c r="B4546">
        <v>0</v>
      </c>
    </row>
    <row r="4547" spans="1:2" x14ac:dyDescent="0.25">
      <c r="A4547">
        <v>8446</v>
      </c>
      <c r="B4547">
        <v>0</v>
      </c>
    </row>
    <row r="4548" spans="1:2" x14ac:dyDescent="0.25">
      <c r="A4548">
        <v>8448</v>
      </c>
      <c r="B4548">
        <v>0</v>
      </c>
    </row>
    <row r="4549" spans="1:2" x14ac:dyDescent="0.25">
      <c r="A4549">
        <v>8449</v>
      </c>
      <c r="B4549">
        <v>0</v>
      </c>
    </row>
    <row r="4550" spans="1:2" x14ac:dyDescent="0.25">
      <c r="A4550">
        <v>8450</v>
      </c>
      <c r="B4550">
        <v>0</v>
      </c>
    </row>
    <row r="4551" spans="1:2" x14ac:dyDescent="0.25">
      <c r="A4551">
        <v>8452</v>
      </c>
      <c r="B4551">
        <v>0</v>
      </c>
    </row>
    <row r="4552" spans="1:2" x14ac:dyDescent="0.25">
      <c r="A4552">
        <v>8454</v>
      </c>
      <c r="B4552">
        <v>0</v>
      </c>
    </row>
    <row r="4553" spans="1:2" x14ac:dyDescent="0.25">
      <c r="A4553">
        <v>8456</v>
      </c>
      <c r="B4553">
        <v>0</v>
      </c>
    </row>
    <row r="4554" spans="1:2" x14ac:dyDescent="0.25">
      <c r="A4554">
        <v>8457</v>
      </c>
      <c r="B4554">
        <v>0</v>
      </c>
    </row>
    <row r="4555" spans="1:2" x14ac:dyDescent="0.25">
      <c r="A4555">
        <v>8458</v>
      </c>
      <c r="B4555">
        <v>0</v>
      </c>
    </row>
    <row r="4556" spans="1:2" x14ac:dyDescent="0.25">
      <c r="A4556">
        <v>8459</v>
      </c>
      <c r="B4556">
        <v>0</v>
      </c>
    </row>
    <row r="4557" spans="1:2" x14ac:dyDescent="0.25">
      <c r="A4557">
        <v>8460</v>
      </c>
      <c r="B4557">
        <v>0</v>
      </c>
    </row>
    <row r="4558" spans="1:2" x14ac:dyDescent="0.25">
      <c r="A4558">
        <v>8461</v>
      </c>
      <c r="B4558">
        <v>0</v>
      </c>
    </row>
    <row r="4559" spans="1:2" x14ac:dyDescent="0.25">
      <c r="A4559">
        <v>8462</v>
      </c>
      <c r="B4559">
        <v>0</v>
      </c>
    </row>
    <row r="4560" spans="1:2" x14ac:dyDescent="0.25">
      <c r="A4560">
        <v>8463</v>
      </c>
      <c r="B4560">
        <v>0</v>
      </c>
    </row>
    <row r="4561" spans="1:2" x14ac:dyDescent="0.25">
      <c r="A4561">
        <v>8464</v>
      </c>
      <c r="B4561">
        <v>0</v>
      </c>
    </row>
    <row r="4562" spans="1:2" x14ac:dyDescent="0.25">
      <c r="A4562">
        <v>8465</v>
      </c>
      <c r="B4562">
        <v>0</v>
      </c>
    </row>
    <row r="4563" spans="1:2" x14ac:dyDescent="0.25">
      <c r="A4563">
        <v>8466</v>
      </c>
      <c r="B4563">
        <v>0</v>
      </c>
    </row>
    <row r="4564" spans="1:2" x14ac:dyDescent="0.25">
      <c r="A4564">
        <v>8467</v>
      </c>
      <c r="B4564">
        <v>0</v>
      </c>
    </row>
    <row r="4565" spans="1:2" x14ac:dyDescent="0.25">
      <c r="A4565">
        <v>8468</v>
      </c>
      <c r="B4565">
        <v>0</v>
      </c>
    </row>
    <row r="4566" spans="1:2" x14ac:dyDescent="0.25">
      <c r="A4566">
        <v>8469</v>
      </c>
      <c r="B4566">
        <v>0</v>
      </c>
    </row>
    <row r="4567" spans="1:2" x14ac:dyDescent="0.25">
      <c r="A4567">
        <v>8470</v>
      </c>
      <c r="B4567">
        <v>0</v>
      </c>
    </row>
    <row r="4568" spans="1:2" x14ac:dyDescent="0.25">
      <c r="A4568">
        <v>8471</v>
      </c>
      <c r="B4568">
        <v>0</v>
      </c>
    </row>
    <row r="4569" spans="1:2" x14ac:dyDescent="0.25">
      <c r="A4569">
        <v>8472</v>
      </c>
      <c r="B4569">
        <v>0</v>
      </c>
    </row>
    <row r="4570" spans="1:2" x14ac:dyDescent="0.25">
      <c r="A4570">
        <v>8474</v>
      </c>
      <c r="B4570">
        <v>0</v>
      </c>
    </row>
    <row r="4571" spans="1:2" x14ac:dyDescent="0.25">
      <c r="A4571">
        <v>8475</v>
      </c>
      <c r="B4571">
        <v>0</v>
      </c>
    </row>
    <row r="4572" spans="1:2" x14ac:dyDescent="0.25">
      <c r="A4572">
        <v>8476</v>
      </c>
      <c r="B4572">
        <v>0</v>
      </c>
    </row>
    <row r="4573" spans="1:2" x14ac:dyDescent="0.25">
      <c r="A4573">
        <v>8477</v>
      </c>
      <c r="B4573">
        <v>0</v>
      </c>
    </row>
    <row r="4574" spans="1:2" x14ac:dyDescent="0.25">
      <c r="A4574">
        <v>8478</v>
      </c>
      <c r="B4574">
        <v>0</v>
      </c>
    </row>
    <row r="4575" spans="1:2" x14ac:dyDescent="0.25">
      <c r="A4575">
        <v>8479</v>
      </c>
      <c r="B4575">
        <v>0</v>
      </c>
    </row>
    <row r="4576" spans="1:2" x14ac:dyDescent="0.25">
      <c r="A4576">
        <v>8480</v>
      </c>
      <c r="B4576">
        <v>0</v>
      </c>
    </row>
    <row r="4577" spans="1:2" x14ac:dyDescent="0.25">
      <c r="A4577">
        <v>8481</v>
      </c>
      <c r="B4577">
        <v>0</v>
      </c>
    </row>
    <row r="4578" spans="1:2" x14ac:dyDescent="0.25">
      <c r="A4578">
        <v>8484</v>
      </c>
      <c r="B4578">
        <v>0</v>
      </c>
    </row>
    <row r="4579" spans="1:2" x14ac:dyDescent="0.25">
      <c r="A4579">
        <v>8485</v>
      </c>
      <c r="B4579">
        <v>0</v>
      </c>
    </row>
    <row r="4580" spans="1:2" x14ac:dyDescent="0.25">
      <c r="A4580">
        <v>8486</v>
      </c>
      <c r="B4580">
        <v>0</v>
      </c>
    </row>
    <row r="4581" spans="1:2" x14ac:dyDescent="0.25">
      <c r="A4581">
        <v>8487</v>
      </c>
      <c r="B4581">
        <v>0</v>
      </c>
    </row>
    <row r="4582" spans="1:2" x14ac:dyDescent="0.25">
      <c r="A4582">
        <v>8488</v>
      </c>
      <c r="B4582">
        <v>0</v>
      </c>
    </row>
    <row r="4583" spans="1:2" x14ac:dyDescent="0.25">
      <c r="A4583">
        <v>8489</v>
      </c>
      <c r="B4583">
        <v>0</v>
      </c>
    </row>
    <row r="4584" spans="1:2" x14ac:dyDescent="0.25">
      <c r="A4584">
        <v>8490</v>
      </c>
      <c r="B4584">
        <v>0</v>
      </c>
    </row>
    <row r="4585" spans="1:2" x14ac:dyDescent="0.25">
      <c r="A4585">
        <v>8491</v>
      </c>
      <c r="B4585">
        <v>0</v>
      </c>
    </row>
    <row r="4586" spans="1:2" x14ac:dyDescent="0.25">
      <c r="A4586">
        <v>8492</v>
      </c>
      <c r="B4586">
        <v>0</v>
      </c>
    </row>
    <row r="4587" spans="1:2" x14ac:dyDescent="0.25">
      <c r="A4587">
        <v>8493</v>
      </c>
      <c r="B4587">
        <v>0</v>
      </c>
    </row>
    <row r="4588" spans="1:2" x14ac:dyDescent="0.25">
      <c r="A4588">
        <v>8494</v>
      </c>
      <c r="B4588">
        <v>0</v>
      </c>
    </row>
    <row r="4589" spans="1:2" x14ac:dyDescent="0.25">
      <c r="A4589">
        <v>8496</v>
      </c>
      <c r="B4589">
        <v>0</v>
      </c>
    </row>
    <row r="4590" spans="1:2" x14ac:dyDescent="0.25">
      <c r="A4590">
        <v>8497</v>
      </c>
      <c r="B4590">
        <v>0</v>
      </c>
    </row>
    <row r="4591" spans="1:2" x14ac:dyDescent="0.25">
      <c r="A4591">
        <v>8498</v>
      </c>
      <c r="B4591">
        <v>0</v>
      </c>
    </row>
    <row r="4592" spans="1:2" x14ac:dyDescent="0.25">
      <c r="A4592">
        <v>8499</v>
      </c>
      <c r="B4592">
        <v>0</v>
      </c>
    </row>
    <row r="4593" spans="1:2" x14ac:dyDescent="0.25">
      <c r="A4593">
        <v>8500</v>
      </c>
      <c r="B4593">
        <v>0</v>
      </c>
    </row>
    <row r="4594" spans="1:2" x14ac:dyDescent="0.25">
      <c r="A4594">
        <v>8501</v>
      </c>
      <c r="B4594">
        <v>0</v>
      </c>
    </row>
    <row r="4595" spans="1:2" x14ac:dyDescent="0.25">
      <c r="A4595">
        <v>8502</v>
      </c>
      <c r="B4595">
        <v>0</v>
      </c>
    </row>
    <row r="4596" spans="1:2" x14ac:dyDescent="0.25">
      <c r="A4596">
        <v>8503</v>
      </c>
      <c r="B4596">
        <v>0</v>
      </c>
    </row>
    <row r="4597" spans="1:2" x14ac:dyDescent="0.25">
      <c r="A4597">
        <v>8504</v>
      </c>
      <c r="B4597">
        <v>0</v>
      </c>
    </row>
    <row r="4598" spans="1:2" x14ac:dyDescent="0.25">
      <c r="A4598">
        <v>8505</v>
      </c>
      <c r="B4598">
        <v>0</v>
      </c>
    </row>
    <row r="4599" spans="1:2" x14ac:dyDescent="0.25">
      <c r="A4599">
        <v>8506</v>
      </c>
      <c r="B4599">
        <v>0</v>
      </c>
    </row>
    <row r="4600" spans="1:2" x14ac:dyDescent="0.25">
      <c r="A4600">
        <v>8507</v>
      </c>
      <c r="B4600">
        <v>0</v>
      </c>
    </row>
    <row r="4601" spans="1:2" x14ac:dyDescent="0.25">
      <c r="A4601">
        <v>8509</v>
      </c>
      <c r="B4601">
        <v>0</v>
      </c>
    </row>
    <row r="4602" spans="1:2" x14ac:dyDescent="0.25">
      <c r="A4602">
        <v>8511</v>
      </c>
      <c r="B4602">
        <v>0</v>
      </c>
    </row>
    <row r="4603" spans="1:2" x14ac:dyDescent="0.25">
      <c r="A4603">
        <v>8512</v>
      </c>
      <c r="B4603">
        <v>0</v>
      </c>
    </row>
    <row r="4604" spans="1:2" x14ac:dyDescent="0.25">
      <c r="A4604">
        <v>8513</v>
      </c>
      <c r="B4604">
        <v>0</v>
      </c>
    </row>
    <row r="4605" spans="1:2" x14ac:dyDescent="0.25">
      <c r="A4605">
        <v>8514</v>
      </c>
      <c r="B4605">
        <v>0</v>
      </c>
    </row>
    <row r="4606" spans="1:2" x14ac:dyDescent="0.25">
      <c r="A4606">
        <v>8516</v>
      </c>
      <c r="B4606">
        <v>0</v>
      </c>
    </row>
    <row r="4607" spans="1:2" x14ac:dyDescent="0.25">
      <c r="A4607">
        <v>8524</v>
      </c>
      <c r="B4607">
        <v>0</v>
      </c>
    </row>
    <row r="4608" spans="1:2" x14ac:dyDescent="0.25">
      <c r="A4608">
        <v>8525</v>
      </c>
      <c r="B4608">
        <v>0</v>
      </c>
    </row>
    <row r="4609" spans="1:2" x14ac:dyDescent="0.25">
      <c r="A4609">
        <v>8526</v>
      </c>
      <c r="B4609">
        <v>0</v>
      </c>
    </row>
    <row r="4610" spans="1:2" x14ac:dyDescent="0.25">
      <c r="A4610">
        <v>8527</v>
      </c>
      <c r="B4610">
        <v>0</v>
      </c>
    </row>
    <row r="4611" spans="1:2" x14ac:dyDescent="0.25">
      <c r="A4611">
        <v>8528</v>
      </c>
      <c r="B4611">
        <v>0</v>
      </c>
    </row>
    <row r="4612" spans="1:2" x14ac:dyDescent="0.25">
      <c r="A4612">
        <v>8530</v>
      </c>
      <c r="B4612">
        <v>0</v>
      </c>
    </row>
    <row r="4613" spans="1:2" x14ac:dyDescent="0.25">
      <c r="A4613">
        <v>8532</v>
      </c>
      <c r="B4613">
        <v>0</v>
      </c>
    </row>
    <row r="4614" spans="1:2" x14ac:dyDescent="0.25">
      <c r="A4614">
        <v>8534</v>
      </c>
      <c r="B4614">
        <v>0</v>
      </c>
    </row>
    <row r="4615" spans="1:2" x14ac:dyDescent="0.25">
      <c r="A4615">
        <v>8536</v>
      </c>
      <c r="B4615">
        <v>0</v>
      </c>
    </row>
    <row r="4616" spans="1:2" x14ac:dyDescent="0.25">
      <c r="A4616">
        <v>8537</v>
      </c>
      <c r="B4616">
        <v>0</v>
      </c>
    </row>
    <row r="4617" spans="1:2" x14ac:dyDescent="0.25">
      <c r="A4617">
        <v>8538</v>
      </c>
      <c r="B4617">
        <v>0</v>
      </c>
    </row>
    <row r="4618" spans="1:2" x14ac:dyDescent="0.25">
      <c r="A4618">
        <v>8544</v>
      </c>
      <c r="B4618">
        <v>0</v>
      </c>
    </row>
    <row r="4619" spans="1:2" x14ac:dyDescent="0.25">
      <c r="A4619">
        <v>8547</v>
      </c>
      <c r="B4619">
        <v>0</v>
      </c>
    </row>
    <row r="4620" spans="1:2" x14ac:dyDescent="0.25">
      <c r="A4620">
        <v>8549</v>
      </c>
      <c r="B4620">
        <v>0</v>
      </c>
    </row>
    <row r="4621" spans="1:2" x14ac:dyDescent="0.25">
      <c r="A4621">
        <v>8550</v>
      </c>
      <c r="B4621">
        <v>0</v>
      </c>
    </row>
    <row r="4622" spans="1:2" x14ac:dyDescent="0.25">
      <c r="A4622">
        <v>8551</v>
      </c>
      <c r="B4622">
        <v>0</v>
      </c>
    </row>
    <row r="4623" spans="1:2" x14ac:dyDescent="0.25">
      <c r="A4623">
        <v>8552</v>
      </c>
      <c r="B4623">
        <v>0</v>
      </c>
    </row>
    <row r="4624" spans="1:2" x14ac:dyDescent="0.25">
      <c r="A4624">
        <v>8553</v>
      </c>
      <c r="B4624">
        <v>0</v>
      </c>
    </row>
    <row r="4625" spans="1:2" x14ac:dyDescent="0.25">
      <c r="A4625">
        <v>8554</v>
      </c>
      <c r="B4625">
        <v>0</v>
      </c>
    </row>
    <row r="4626" spans="1:2" x14ac:dyDescent="0.25">
      <c r="A4626">
        <v>8555</v>
      </c>
      <c r="B4626">
        <v>0</v>
      </c>
    </row>
    <row r="4627" spans="1:2" x14ac:dyDescent="0.25">
      <c r="A4627">
        <v>8556</v>
      </c>
      <c r="B4627">
        <v>0</v>
      </c>
    </row>
    <row r="4628" spans="1:2" x14ac:dyDescent="0.25">
      <c r="A4628">
        <v>8557</v>
      </c>
      <c r="B4628">
        <v>0</v>
      </c>
    </row>
    <row r="4629" spans="1:2" x14ac:dyDescent="0.25">
      <c r="A4629">
        <v>8558</v>
      </c>
      <c r="B4629">
        <v>0</v>
      </c>
    </row>
    <row r="4630" spans="1:2" x14ac:dyDescent="0.25">
      <c r="A4630">
        <v>8559</v>
      </c>
      <c r="B4630">
        <v>0</v>
      </c>
    </row>
    <row r="4631" spans="1:2" x14ac:dyDescent="0.25">
      <c r="A4631">
        <v>8560</v>
      </c>
      <c r="B4631">
        <v>0</v>
      </c>
    </row>
    <row r="4632" spans="1:2" x14ac:dyDescent="0.25">
      <c r="A4632">
        <v>8561</v>
      </c>
      <c r="B4632">
        <v>0</v>
      </c>
    </row>
    <row r="4633" spans="1:2" x14ac:dyDescent="0.25">
      <c r="A4633">
        <v>8562</v>
      </c>
      <c r="B4633">
        <v>0</v>
      </c>
    </row>
    <row r="4634" spans="1:2" x14ac:dyDescent="0.25">
      <c r="A4634">
        <v>8563</v>
      </c>
      <c r="B4634">
        <v>0</v>
      </c>
    </row>
    <row r="4635" spans="1:2" x14ac:dyDescent="0.25">
      <c r="A4635">
        <v>8564</v>
      </c>
      <c r="B4635">
        <v>0</v>
      </c>
    </row>
    <row r="4636" spans="1:2" x14ac:dyDescent="0.25">
      <c r="A4636">
        <v>8565</v>
      </c>
      <c r="B4636">
        <v>0</v>
      </c>
    </row>
    <row r="4637" spans="1:2" x14ac:dyDescent="0.25">
      <c r="A4637">
        <v>8566</v>
      </c>
      <c r="B4637">
        <v>0</v>
      </c>
    </row>
    <row r="4638" spans="1:2" x14ac:dyDescent="0.25">
      <c r="A4638">
        <v>8567</v>
      </c>
      <c r="B4638">
        <v>0</v>
      </c>
    </row>
    <row r="4639" spans="1:2" x14ac:dyDescent="0.25">
      <c r="A4639">
        <v>8568</v>
      </c>
      <c r="B4639">
        <v>0</v>
      </c>
    </row>
    <row r="4640" spans="1:2" x14ac:dyDescent="0.25">
      <c r="A4640">
        <v>8569</v>
      </c>
      <c r="B4640">
        <v>0</v>
      </c>
    </row>
    <row r="4641" spans="1:2" x14ac:dyDescent="0.25">
      <c r="A4641">
        <v>8570</v>
      </c>
      <c r="B4641">
        <v>0</v>
      </c>
    </row>
    <row r="4642" spans="1:2" x14ac:dyDescent="0.25">
      <c r="A4642">
        <v>8571</v>
      </c>
      <c r="B4642">
        <v>0</v>
      </c>
    </row>
    <row r="4643" spans="1:2" x14ac:dyDescent="0.25">
      <c r="A4643">
        <v>8572</v>
      </c>
      <c r="B4643">
        <v>0</v>
      </c>
    </row>
    <row r="4644" spans="1:2" x14ac:dyDescent="0.25">
      <c r="A4644">
        <v>8573</v>
      </c>
      <c r="B4644">
        <v>0</v>
      </c>
    </row>
    <row r="4645" spans="1:2" x14ac:dyDescent="0.25">
      <c r="A4645">
        <v>8574</v>
      </c>
      <c r="B4645">
        <v>0</v>
      </c>
    </row>
    <row r="4646" spans="1:2" x14ac:dyDescent="0.25">
      <c r="A4646">
        <v>8575</v>
      </c>
      <c r="B4646">
        <v>0</v>
      </c>
    </row>
    <row r="4647" spans="1:2" x14ac:dyDescent="0.25">
      <c r="A4647">
        <v>8576</v>
      </c>
      <c r="B4647">
        <v>0</v>
      </c>
    </row>
    <row r="4648" spans="1:2" x14ac:dyDescent="0.25">
      <c r="A4648">
        <v>8577</v>
      </c>
      <c r="B4648">
        <v>0</v>
      </c>
    </row>
    <row r="4649" spans="1:2" x14ac:dyDescent="0.25">
      <c r="A4649">
        <v>8579</v>
      </c>
      <c r="B4649">
        <v>0</v>
      </c>
    </row>
    <row r="4650" spans="1:2" x14ac:dyDescent="0.25">
      <c r="A4650">
        <v>8581</v>
      </c>
      <c r="B4650">
        <v>0</v>
      </c>
    </row>
    <row r="4651" spans="1:2" x14ac:dyDescent="0.25">
      <c r="A4651">
        <v>8583</v>
      </c>
      <c r="B4651">
        <v>0</v>
      </c>
    </row>
    <row r="4652" spans="1:2" x14ac:dyDescent="0.25">
      <c r="A4652">
        <v>8584</v>
      </c>
      <c r="B4652">
        <v>0</v>
      </c>
    </row>
    <row r="4653" spans="1:2" x14ac:dyDescent="0.25">
      <c r="A4653">
        <v>8585</v>
      </c>
      <c r="B4653">
        <v>0</v>
      </c>
    </row>
    <row r="4654" spans="1:2" x14ac:dyDescent="0.25">
      <c r="A4654">
        <v>8586</v>
      </c>
      <c r="B4654">
        <v>0</v>
      </c>
    </row>
    <row r="4655" spans="1:2" x14ac:dyDescent="0.25">
      <c r="A4655">
        <v>8587</v>
      </c>
      <c r="B4655">
        <v>0</v>
      </c>
    </row>
    <row r="4656" spans="1:2" x14ac:dyDescent="0.25">
      <c r="A4656">
        <v>8588</v>
      </c>
      <c r="B4656">
        <v>0</v>
      </c>
    </row>
    <row r="4657" spans="1:2" x14ac:dyDescent="0.25">
      <c r="A4657">
        <v>8589</v>
      </c>
      <c r="B4657">
        <v>0</v>
      </c>
    </row>
    <row r="4658" spans="1:2" x14ac:dyDescent="0.25">
      <c r="A4658">
        <v>8590</v>
      </c>
      <c r="B4658">
        <v>0</v>
      </c>
    </row>
    <row r="4659" spans="1:2" x14ac:dyDescent="0.25">
      <c r="A4659">
        <v>8591</v>
      </c>
      <c r="B4659">
        <v>0</v>
      </c>
    </row>
    <row r="4660" spans="1:2" x14ac:dyDescent="0.25">
      <c r="A4660">
        <v>8592</v>
      </c>
      <c r="B4660">
        <v>0</v>
      </c>
    </row>
    <row r="4661" spans="1:2" x14ac:dyDescent="0.25">
      <c r="A4661">
        <v>8593</v>
      </c>
      <c r="B4661">
        <v>0</v>
      </c>
    </row>
    <row r="4662" spans="1:2" x14ac:dyDescent="0.25">
      <c r="A4662">
        <v>8594</v>
      </c>
      <c r="B4662">
        <v>0</v>
      </c>
    </row>
    <row r="4663" spans="1:2" x14ac:dyDescent="0.25">
      <c r="A4663">
        <v>8595</v>
      </c>
      <c r="B4663">
        <v>0</v>
      </c>
    </row>
    <row r="4664" spans="1:2" x14ac:dyDescent="0.25">
      <c r="A4664">
        <v>8596</v>
      </c>
      <c r="B4664">
        <v>0</v>
      </c>
    </row>
    <row r="4665" spans="1:2" x14ac:dyDescent="0.25">
      <c r="A4665">
        <v>8597</v>
      </c>
      <c r="B4665">
        <v>0</v>
      </c>
    </row>
    <row r="4666" spans="1:2" x14ac:dyDescent="0.25">
      <c r="A4666">
        <v>8598</v>
      </c>
      <c r="B4666">
        <v>0</v>
      </c>
    </row>
    <row r="4667" spans="1:2" x14ac:dyDescent="0.25">
      <c r="A4667">
        <v>8599</v>
      </c>
      <c r="B4667">
        <v>0</v>
      </c>
    </row>
    <row r="4668" spans="1:2" x14ac:dyDescent="0.25">
      <c r="A4668">
        <v>8600</v>
      </c>
      <c r="B4668">
        <v>0</v>
      </c>
    </row>
    <row r="4669" spans="1:2" x14ac:dyDescent="0.25">
      <c r="A4669">
        <v>8601</v>
      </c>
      <c r="B4669">
        <v>0</v>
      </c>
    </row>
    <row r="4670" spans="1:2" x14ac:dyDescent="0.25">
      <c r="A4670">
        <v>8602</v>
      </c>
      <c r="B4670">
        <v>0</v>
      </c>
    </row>
    <row r="4671" spans="1:2" x14ac:dyDescent="0.25">
      <c r="A4671">
        <v>8603</v>
      </c>
      <c r="B4671">
        <v>0</v>
      </c>
    </row>
    <row r="4672" spans="1:2" x14ac:dyDescent="0.25">
      <c r="A4672">
        <v>8604</v>
      </c>
      <c r="B4672">
        <v>0</v>
      </c>
    </row>
    <row r="4673" spans="1:2" x14ac:dyDescent="0.25">
      <c r="A4673">
        <v>8605</v>
      </c>
      <c r="B4673">
        <v>0</v>
      </c>
    </row>
    <row r="4674" spans="1:2" x14ac:dyDescent="0.25">
      <c r="A4674">
        <v>8606</v>
      </c>
      <c r="B4674">
        <v>0</v>
      </c>
    </row>
    <row r="4675" spans="1:2" x14ac:dyDescent="0.25">
      <c r="A4675">
        <v>8607</v>
      </c>
      <c r="B4675">
        <v>0</v>
      </c>
    </row>
    <row r="4676" spans="1:2" x14ac:dyDescent="0.25">
      <c r="A4676">
        <v>8608</v>
      </c>
      <c r="B4676">
        <v>0</v>
      </c>
    </row>
    <row r="4677" spans="1:2" x14ac:dyDescent="0.25">
      <c r="A4677">
        <v>8609</v>
      </c>
      <c r="B4677">
        <v>0</v>
      </c>
    </row>
    <row r="4678" spans="1:2" x14ac:dyDescent="0.25">
      <c r="A4678">
        <v>8610</v>
      </c>
      <c r="B4678">
        <v>0</v>
      </c>
    </row>
    <row r="4679" spans="1:2" x14ac:dyDescent="0.25">
      <c r="A4679">
        <v>8611</v>
      </c>
      <c r="B4679">
        <v>0</v>
      </c>
    </row>
    <row r="4680" spans="1:2" x14ac:dyDescent="0.25">
      <c r="A4680">
        <v>8612</v>
      </c>
      <c r="B4680">
        <v>0</v>
      </c>
    </row>
    <row r="4681" spans="1:2" x14ac:dyDescent="0.25">
      <c r="A4681">
        <v>8613</v>
      </c>
      <c r="B4681">
        <v>0</v>
      </c>
    </row>
    <row r="4682" spans="1:2" x14ac:dyDescent="0.25">
      <c r="A4682">
        <v>8614</v>
      </c>
      <c r="B4682">
        <v>0</v>
      </c>
    </row>
    <row r="4683" spans="1:2" x14ac:dyDescent="0.25">
      <c r="A4683">
        <v>8615</v>
      </c>
      <c r="B4683">
        <v>0</v>
      </c>
    </row>
    <row r="4684" spans="1:2" x14ac:dyDescent="0.25">
      <c r="A4684">
        <v>8621</v>
      </c>
      <c r="B4684">
        <v>0</v>
      </c>
    </row>
    <row r="4685" spans="1:2" x14ac:dyDescent="0.25">
      <c r="A4685">
        <v>8624</v>
      </c>
      <c r="B4685">
        <v>0</v>
      </c>
    </row>
    <row r="4686" spans="1:2" x14ac:dyDescent="0.25">
      <c r="A4686">
        <v>8626</v>
      </c>
      <c r="B4686">
        <v>0</v>
      </c>
    </row>
    <row r="4687" spans="1:2" x14ac:dyDescent="0.25">
      <c r="A4687">
        <v>8627</v>
      </c>
      <c r="B4687">
        <v>0</v>
      </c>
    </row>
    <row r="4688" spans="1:2" x14ac:dyDescent="0.25">
      <c r="A4688">
        <v>8628</v>
      </c>
      <c r="B4688">
        <v>0</v>
      </c>
    </row>
    <row r="4689" spans="1:2" x14ac:dyDescent="0.25">
      <c r="A4689">
        <v>8629</v>
      </c>
      <c r="B4689">
        <v>0</v>
      </c>
    </row>
    <row r="4690" spans="1:2" x14ac:dyDescent="0.25">
      <c r="A4690">
        <v>8630</v>
      </c>
      <c r="B4690">
        <v>0</v>
      </c>
    </row>
    <row r="4691" spans="1:2" x14ac:dyDescent="0.25">
      <c r="A4691">
        <v>8631</v>
      </c>
      <c r="B4691">
        <v>0</v>
      </c>
    </row>
    <row r="4692" spans="1:2" x14ac:dyDescent="0.25">
      <c r="A4692">
        <v>8632</v>
      </c>
      <c r="B4692">
        <v>0</v>
      </c>
    </row>
    <row r="4693" spans="1:2" x14ac:dyDescent="0.25">
      <c r="A4693">
        <v>8633</v>
      </c>
      <c r="B4693">
        <v>0</v>
      </c>
    </row>
    <row r="4694" spans="1:2" x14ac:dyDescent="0.25">
      <c r="A4694">
        <v>8634</v>
      </c>
      <c r="B4694">
        <v>0</v>
      </c>
    </row>
    <row r="4695" spans="1:2" x14ac:dyDescent="0.25">
      <c r="A4695">
        <v>8635</v>
      </c>
      <c r="B4695">
        <v>0</v>
      </c>
    </row>
    <row r="4696" spans="1:2" x14ac:dyDescent="0.25">
      <c r="A4696">
        <v>8636</v>
      </c>
      <c r="B4696">
        <v>0</v>
      </c>
    </row>
    <row r="4697" spans="1:2" x14ac:dyDescent="0.25">
      <c r="A4697">
        <v>8637</v>
      </c>
      <c r="B4697">
        <v>0</v>
      </c>
    </row>
    <row r="4698" spans="1:2" x14ac:dyDescent="0.25">
      <c r="A4698">
        <v>8638</v>
      </c>
      <c r="B4698">
        <v>0</v>
      </c>
    </row>
    <row r="4699" spans="1:2" x14ac:dyDescent="0.25">
      <c r="A4699">
        <v>8639</v>
      </c>
      <c r="B4699">
        <v>0</v>
      </c>
    </row>
    <row r="4700" spans="1:2" x14ac:dyDescent="0.25">
      <c r="A4700">
        <v>8640</v>
      </c>
      <c r="B4700">
        <v>0</v>
      </c>
    </row>
    <row r="4701" spans="1:2" x14ac:dyDescent="0.25">
      <c r="A4701">
        <v>8641</v>
      </c>
      <c r="B4701">
        <v>0</v>
      </c>
    </row>
    <row r="4702" spans="1:2" x14ac:dyDescent="0.25">
      <c r="A4702">
        <v>8642</v>
      </c>
      <c r="B4702">
        <v>0</v>
      </c>
    </row>
    <row r="4703" spans="1:2" x14ac:dyDescent="0.25">
      <c r="A4703">
        <v>8643</v>
      </c>
      <c r="B4703">
        <v>0</v>
      </c>
    </row>
    <row r="4704" spans="1:2" x14ac:dyDescent="0.25">
      <c r="A4704">
        <v>8644</v>
      </c>
      <c r="B4704">
        <v>0</v>
      </c>
    </row>
    <row r="4705" spans="1:2" x14ac:dyDescent="0.25">
      <c r="A4705">
        <v>8645</v>
      </c>
      <c r="B4705">
        <v>0</v>
      </c>
    </row>
    <row r="4706" spans="1:2" x14ac:dyDescent="0.25">
      <c r="A4706">
        <v>8646</v>
      </c>
      <c r="B4706">
        <v>0</v>
      </c>
    </row>
    <row r="4707" spans="1:2" x14ac:dyDescent="0.25">
      <c r="A4707">
        <v>8647</v>
      </c>
      <c r="B4707">
        <v>0</v>
      </c>
    </row>
    <row r="4708" spans="1:2" x14ac:dyDescent="0.25">
      <c r="A4708">
        <v>8648</v>
      </c>
      <c r="B4708">
        <v>0</v>
      </c>
    </row>
    <row r="4709" spans="1:2" x14ac:dyDescent="0.25">
      <c r="A4709">
        <v>8649</v>
      </c>
      <c r="B4709">
        <v>0</v>
      </c>
    </row>
    <row r="4710" spans="1:2" x14ac:dyDescent="0.25">
      <c r="A4710">
        <v>8652</v>
      </c>
      <c r="B4710">
        <v>0</v>
      </c>
    </row>
    <row r="4711" spans="1:2" x14ac:dyDescent="0.25">
      <c r="A4711">
        <v>8653</v>
      </c>
      <c r="B4711">
        <v>0</v>
      </c>
    </row>
    <row r="4712" spans="1:2" x14ac:dyDescent="0.25">
      <c r="A4712">
        <v>8654</v>
      </c>
      <c r="B4712">
        <v>0</v>
      </c>
    </row>
    <row r="4713" spans="1:2" x14ac:dyDescent="0.25">
      <c r="A4713">
        <v>8655</v>
      </c>
      <c r="B4713">
        <v>0</v>
      </c>
    </row>
    <row r="4714" spans="1:2" x14ac:dyDescent="0.25">
      <c r="A4714">
        <v>8656</v>
      </c>
      <c r="B4714">
        <v>0</v>
      </c>
    </row>
    <row r="4715" spans="1:2" x14ac:dyDescent="0.25">
      <c r="A4715">
        <v>8657</v>
      </c>
      <c r="B4715">
        <v>0</v>
      </c>
    </row>
    <row r="4716" spans="1:2" x14ac:dyDescent="0.25">
      <c r="A4716">
        <v>8658</v>
      </c>
      <c r="B4716">
        <v>0</v>
      </c>
    </row>
    <row r="4717" spans="1:2" x14ac:dyDescent="0.25">
      <c r="A4717">
        <v>8659</v>
      </c>
      <c r="B4717">
        <v>0</v>
      </c>
    </row>
    <row r="4718" spans="1:2" x14ac:dyDescent="0.25">
      <c r="A4718">
        <v>8660</v>
      </c>
      <c r="B4718">
        <v>0</v>
      </c>
    </row>
    <row r="4719" spans="1:2" x14ac:dyDescent="0.25">
      <c r="A4719">
        <v>8661</v>
      </c>
      <c r="B4719">
        <v>0</v>
      </c>
    </row>
    <row r="4720" spans="1:2" x14ac:dyDescent="0.25">
      <c r="A4720">
        <v>8662</v>
      </c>
      <c r="B4720">
        <v>0</v>
      </c>
    </row>
    <row r="4721" spans="1:2" x14ac:dyDescent="0.25">
      <c r="A4721">
        <v>8664</v>
      </c>
      <c r="B4721">
        <v>0</v>
      </c>
    </row>
    <row r="4722" spans="1:2" x14ac:dyDescent="0.25">
      <c r="A4722">
        <v>8665</v>
      </c>
      <c r="B4722">
        <v>0</v>
      </c>
    </row>
    <row r="4723" spans="1:2" x14ac:dyDescent="0.25">
      <c r="A4723">
        <v>8667</v>
      </c>
      <c r="B4723">
        <v>0</v>
      </c>
    </row>
    <row r="4724" spans="1:2" x14ac:dyDescent="0.25">
      <c r="A4724">
        <v>8668</v>
      </c>
      <c r="B4724">
        <v>0</v>
      </c>
    </row>
    <row r="4725" spans="1:2" x14ac:dyDescent="0.25">
      <c r="A4725">
        <v>8669</v>
      </c>
      <c r="B4725">
        <v>0</v>
      </c>
    </row>
    <row r="4726" spans="1:2" x14ac:dyDescent="0.25">
      <c r="A4726">
        <v>8670</v>
      </c>
      <c r="B4726">
        <v>0</v>
      </c>
    </row>
    <row r="4727" spans="1:2" x14ac:dyDescent="0.25">
      <c r="A4727">
        <v>8671</v>
      </c>
      <c r="B4727">
        <v>0</v>
      </c>
    </row>
    <row r="4728" spans="1:2" x14ac:dyDescent="0.25">
      <c r="A4728">
        <v>8672</v>
      </c>
      <c r="B4728">
        <v>0</v>
      </c>
    </row>
    <row r="4729" spans="1:2" x14ac:dyDescent="0.25">
      <c r="A4729">
        <v>8673</v>
      </c>
      <c r="B4729">
        <v>0</v>
      </c>
    </row>
    <row r="4730" spans="1:2" x14ac:dyDescent="0.25">
      <c r="A4730">
        <v>8674</v>
      </c>
      <c r="B4730">
        <v>0</v>
      </c>
    </row>
    <row r="4731" spans="1:2" x14ac:dyDescent="0.25">
      <c r="A4731">
        <v>8675</v>
      </c>
      <c r="B4731">
        <v>0</v>
      </c>
    </row>
    <row r="4732" spans="1:2" x14ac:dyDescent="0.25">
      <c r="A4732">
        <v>8676</v>
      </c>
      <c r="B4732">
        <v>0</v>
      </c>
    </row>
    <row r="4733" spans="1:2" x14ac:dyDescent="0.25">
      <c r="A4733">
        <v>8677</v>
      </c>
      <c r="B4733">
        <v>0</v>
      </c>
    </row>
    <row r="4734" spans="1:2" x14ac:dyDescent="0.25">
      <c r="A4734">
        <v>8678</v>
      </c>
      <c r="B4734">
        <v>0</v>
      </c>
    </row>
    <row r="4735" spans="1:2" x14ac:dyDescent="0.25">
      <c r="A4735">
        <v>8679</v>
      </c>
      <c r="B4735">
        <v>0</v>
      </c>
    </row>
    <row r="4736" spans="1:2" x14ac:dyDescent="0.25">
      <c r="A4736">
        <v>8680</v>
      </c>
      <c r="B4736">
        <v>0</v>
      </c>
    </row>
    <row r="4737" spans="1:2" x14ac:dyDescent="0.25">
      <c r="A4737">
        <v>8681</v>
      </c>
      <c r="B4737">
        <v>0</v>
      </c>
    </row>
    <row r="4738" spans="1:2" x14ac:dyDescent="0.25">
      <c r="A4738">
        <v>8683</v>
      </c>
      <c r="B4738">
        <v>0</v>
      </c>
    </row>
    <row r="4739" spans="1:2" x14ac:dyDescent="0.25">
      <c r="A4739">
        <v>8684</v>
      </c>
      <c r="B4739">
        <v>0</v>
      </c>
    </row>
    <row r="4740" spans="1:2" x14ac:dyDescent="0.25">
      <c r="A4740">
        <v>8685</v>
      </c>
      <c r="B4740">
        <v>0</v>
      </c>
    </row>
    <row r="4741" spans="1:2" x14ac:dyDescent="0.25">
      <c r="A4741">
        <v>8687</v>
      </c>
      <c r="B4741">
        <v>0</v>
      </c>
    </row>
    <row r="4742" spans="1:2" x14ac:dyDescent="0.25">
      <c r="A4742">
        <v>8689</v>
      </c>
      <c r="B4742">
        <v>0</v>
      </c>
    </row>
    <row r="4743" spans="1:2" x14ac:dyDescent="0.25">
      <c r="A4743">
        <v>8691</v>
      </c>
      <c r="B4743">
        <v>0</v>
      </c>
    </row>
    <row r="4744" spans="1:2" x14ac:dyDescent="0.25">
      <c r="A4744">
        <v>8692</v>
      </c>
      <c r="B4744">
        <v>0</v>
      </c>
    </row>
    <row r="4745" spans="1:2" x14ac:dyDescent="0.25">
      <c r="A4745">
        <v>8693</v>
      </c>
      <c r="B4745">
        <v>0</v>
      </c>
    </row>
    <row r="4746" spans="1:2" x14ac:dyDescent="0.25">
      <c r="A4746">
        <v>8694</v>
      </c>
      <c r="B4746">
        <v>0</v>
      </c>
    </row>
    <row r="4747" spans="1:2" x14ac:dyDescent="0.25">
      <c r="A4747">
        <v>8695</v>
      </c>
      <c r="B4747">
        <v>0</v>
      </c>
    </row>
    <row r="4748" spans="1:2" x14ac:dyDescent="0.25">
      <c r="A4748">
        <v>8696</v>
      </c>
      <c r="B4748">
        <v>0</v>
      </c>
    </row>
    <row r="4749" spans="1:2" x14ac:dyDescent="0.25">
      <c r="A4749">
        <v>8697</v>
      </c>
      <c r="B4749">
        <v>0</v>
      </c>
    </row>
    <row r="4750" spans="1:2" x14ac:dyDescent="0.25">
      <c r="A4750">
        <v>8698</v>
      </c>
      <c r="B4750">
        <v>0</v>
      </c>
    </row>
    <row r="4751" spans="1:2" x14ac:dyDescent="0.25">
      <c r="A4751">
        <v>8699</v>
      </c>
      <c r="B4751">
        <v>0</v>
      </c>
    </row>
    <row r="4752" spans="1:2" x14ac:dyDescent="0.25">
      <c r="A4752">
        <v>8701</v>
      </c>
      <c r="B4752">
        <v>0</v>
      </c>
    </row>
    <row r="4753" spans="1:2" x14ac:dyDescent="0.25">
      <c r="A4753">
        <v>8702</v>
      </c>
      <c r="B4753">
        <v>0</v>
      </c>
    </row>
    <row r="4754" spans="1:2" x14ac:dyDescent="0.25">
      <c r="A4754">
        <v>8703</v>
      </c>
      <c r="B4754">
        <v>0</v>
      </c>
    </row>
    <row r="4755" spans="1:2" x14ac:dyDescent="0.25">
      <c r="A4755">
        <v>8704</v>
      </c>
      <c r="B4755">
        <v>0</v>
      </c>
    </row>
    <row r="4756" spans="1:2" x14ac:dyDescent="0.25">
      <c r="A4756">
        <v>8705</v>
      </c>
      <c r="B4756">
        <v>0</v>
      </c>
    </row>
    <row r="4757" spans="1:2" x14ac:dyDescent="0.25">
      <c r="A4757">
        <v>8706</v>
      </c>
      <c r="B4757">
        <v>0</v>
      </c>
    </row>
    <row r="4758" spans="1:2" x14ac:dyDescent="0.25">
      <c r="A4758">
        <v>8707</v>
      </c>
      <c r="B4758">
        <v>0</v>
      </c>
    </row>
    <row r="4759" spans="1:2" x14ac:dyDescent="0.25">
      <c r="A4759">
        <v>8708</v>
      </c>
      <c r="B4759">
        <v>0</v>
      </c>
    </row>
    <row r="4760" spans="1:2" x14ac:dyDescent="0.25">
      <c r="A4760">
        <v>8709</v>
      </c>
      <c r="B4760">
        <v>0</v>
      </c>
    </row>
    <row r="4761" spans="1:2" x14ac:dyDescent="0.25">
      <c r="A4761">
        <v>8710</v>
      </c>
      <c r="B4761">
        <v>0</v>
      </c>
    </row>
    <row r="4762" spans="1:2" x14ac:dyDescent="0.25">
      <c r="A4762">
        <v>8711</v>
      </c>
      <c r="B4762">
        <v>0</v>
      </c>
    </row>
    <row r="4763" spans="1:2" x14ac:dyDescent="0.25">
      <c r="A4763">
        <v>8712</v>
      </c>
      <c r="B4763">
        <v>0</v>
      </c>
    </row>
    <row r="4764" spans="1:2" x14ac:dyDescent="0.25">
      <c r="A4764">
        <v>8713</v>
      </c>
      <c r="B4764">
        <v>0</v>
      </c>
    </row>
    <row r="4765" spans="1:2" x14ac:dyDescent="0.25">
      <c r="A4765">
        <v>8714</v>
      </c>
      <c r="B4765">
        <v>0</v>
      </c>
    </row>
    <row r="4766" spans="1:2" x14ac:dyDescent="0.25">
      <c r="A4766">
        <v>8715</v>
      </c>
      <c r="B4766">
        <v>0</v>
      </c>
    </row>
    <row r="4767" spans="1:2" x14ac:dyDescent="0.25">
      <c r="A4767">
        <v>8723</v>
      </c>
      <c r="B4767">
        <v>0</v>
      </c>
    </row>
    <row r="4768" spans="1:2" x14ac:dyDescent="0.25">
      <c r="A4768">
        <v>8725</v>
      </c>
      <c r="B4768">
        <v>0</v>
      </c>
    </row>
    <row r="4769" spans="1:2" x14ac:dyDescent="0.25">
      <c r="A4769">
        <v>8726</v>
      </c>
      <c r="B4769">
        <v>0</v>
      </c>
    </row>
    <row r="4770" spans="1:2" x14ac:dyDescent="0.25">
      <c r="A4770">
        <v>8728</v>
      </c>
      <c r="B4770">
        <v>0</v>
      </c>
    </row>
    <row r="4771" spans="1:2" x14ac:dyDescent="0.25">
      <c r="A4771">
        <v>8730</v>
      </c>
      <c r="B4771">
        <v>0</v>
      </c>
    </row>
    <row r="4772" spans="1:2" x14ac:dyDescent="0.25">
      <c r="A4772">
        <v>8732</v>
      </c>
      <c r="B4772">
        <v>0</v>
      </c>
    </row>
    <row r="4773" spans="1:2" x14ac:dyDescent="0.25">
      <c r="A4773">
        <v>8733</v>
      </c>
      <c r="B4773">
        <v>0</v>
      </c>
    </row>
    <row r="4774" spans="1:2" x14ac:dyDescent="0.25">
      <c r="A4774">
        <v>8734</v>
      </c>
      <c r="B4774">
        <v>0</v>
      </c>
    </row>
    <row r="4775" spans="1:2" x14ac:dyDescent="0.25">
      <c r="A4775">
        <v>8735</v>
      </c>
      <c r="B4775">
        <v>0</v>
      </c>
    </row>
    <row r="4776" spans="1:2" x14ac:dyDescent="0.25">
      <c r="A4776">
        <v>8737</v>
      </c>
      <c r="B4776">
        <v>0</v>
      </c>
    </row>
    <row r="4777" spans="1:2" x14ac:dyDescent="0.25">
      <c r="A4777">
        <v>8738</v>
      </c>
      <c r="B4777">
        <v>0</v>
      </c>
    </row>
    <row r="4778" spans="1:2" x14ac:dyDescent="0.25">
      <c r="A4778">
        <v>8739</v>
      </c>
      <c r="B4778">
        <v>0</v>
      </c>
    </row>
    <row r="4779" spans="1:2" x14ac:dyDescent="0.25">
      <c r="A4779">
        <v>8740</v>
      </c>
      <c r="B4779">
        <v>0</v>
      </c>
    </row>
    <row r="4780" spans="1:2" x14ac:dyDescent="0.25">
      <c r="A4780">
        <v>8741</v>
      </c>
      <c r="B4780">
        <v>0</v>
      </c>
    </row>
    <row r="4781" spans="1:2" x14ac:dyDescent="0.25">
      <c r="A4781">
        <v>8742</v>
      </c>
      <c r="B4781">
        <v>0</v>
      </c>
    </row>
    <row r="4782" spans="1:2" x14ac:dyDescent="0.25">
      <c r="A4782">
        <v>8743</v>
      </c>
      <c r="B4782">
        <v>0</v>
      </c>
    </row>
    <row r="4783" spans="1:2" x14ac:dyDescent="0.25">
      <c r="A4783">
        <v>8744</v>
      </c>
      <c r="B4783">
        <v>0</v>
      </c>
    </row>
    <row r="4784" spans="1:2" x14ac:dyDescent="0.25">
      <c r="A4784">
        <v>8745</v>
      </c>
      <c r="B4784">
        <v>0</v>
      </c>
    </row>
    <row r="4785" spans="1:2" x14ac:dyDescent="0.25">
      <c r="A4785">
        <v>8746</v>
      </c>
      <c r="B4785">
        <v>0</v>
      </c>
    </row>
    <row r="4786" spans="1:2" x14ac:dyDescent="0.25">
      <c r="A4786">
        <v>8747</v>
      </c>
      <c r="B4786">
        <v>0</v>
      </c>
    </row>
    <row r="4787" spans="1:2" x14ac:dyDescent="0.25">
      <c r="A4787">
        <v>8748</v>
      </c>
      <c r="B4787">
        <v>0</v>
      </c>
    </row>
    <row r="4788" spans="1:2" x14ac:dyDescent="0.25">
      <c r="A4788">
        <v>8749</v>
      </c>
      <c r="B4788">
        <v>0</v>
      </c>
    </row>
    <row r="4789" spans="1:2" x14ac:dyDescent="0.25">
      <c r="A4789">
        <v>8750</v>
      </c>
      <c r="B4789">
        <v>0</v>
      </c>
    </row>
    <row r="4790" spans="1:2" x14ac:dyDescent="0.25">
      <c r="A4790">
        <v>8751</v>
      </c>
      <c r="B4790">
        <v>0</v>
      </c>
    </row>
    <row r="4791" spans="1:2" x14ac:dyDescent="0.25">
      <c r="A4791">
        <v>8752</v>
      </c>
      <c r="B4791">
        <v>0</v>
      </c>
    </row>
    <row r="4792" spans="1:2" x14ac:dyDescent="0.25">
      <c r="A4792">
        <v>8753</v>
      </c>
      <c r="B4792">
        <v>0</v>
      </c>
    </row>
    <row r="4793" spans="1:2" x14ac:dyDescent="0.25">
      <c r="A4793">
        <v>8757</v>
      </c>
      <c r="B4793">
        <v>0</v>
      </c>
    </row>
    <row r="4794" spans="1:2" x14ac:dyDescent="0.25">
      <c r="A4794">
        <v>8758</v>
      </c>
      <c r="B4794">
        <v>0</v>
      </c>
    </row>
    <row r="4795" spans="1:2" x14ac:dyDescent="0.25">
      <c r="A4795">
        <v>8759</v>
      </c>
      <c r="B4795">
        <v>0</v>
      </c>
    </row>
    <row r="4796" spans="1:2" x14ac:dyDescent="0.25">
      <c r="A4796">
        <v>8761</v>
      </c>
      <c r="B4796">
        <v>0</v>
      </c>
    </row>
    <row r="4797" spans="1:2" x14ac:dyDescent="0.25">
      <c r="A4797">
        <v>8763</v>
      </c>
      <c r="B4797">
        <v>0</v>
      </c>
    </row>
    <row r="4798" spans="1:2" x14ac:dyDescent="0.25">
      <c r="A4798">
        <v>8764</v>
      </c>
      <c r="B4798">
        <v>0</v>
      </c>
    </row>
    <row r="4799" spans="1:2" x14ac:dyDescent="0.25">
      <c r="A4799">
        <v>8765</v>
      </c>
      <c r="B4799">
        <v>0</v>
      </c>
    </row>
    <row r="4800" spans="1:2" x14ac:dyDescent="0.25">
      <c r="A4800">
        <v>8766</v>
      </c>
      <c r="B4800">
        <v>0</v>
      </c>
    </row>
    <row r="4801" spans="1:2" x14ac:dyDescent="0.25">
      <c r="A4801">
        <v>8767</v>
      </c>
      <c r="B4801">
        <v>0</v>
      </c>
    </row>
    <row r="4802" spans="1:2" x14ac:dyDescent="0.25">
      <c r="A4802">
        <v>8768</v>
      </c>
      <c r="B4802">
        <v>0</v>
      </c>
    </row>
    <row r="4803" spans="1:2" x14ac:dyDescent="0.25">
      <c r="A4803">
        <v>8769</v>
      </c>
      <c r="B4803">
        <v>0</v>
      </c>
    </row>
    <row r="4804" spans="1:2" x14ac:dyDescent="0.25">
      <c r="A4804">
        <v>8770</v>
      </c>
      <c r="B4804">
        <v>0</v>
      </c>
    </row>
    <row r="4805" spans="1:2" x14ac:dyDescent="0.25">
      <c r="A4805">
        <v>8771</v>
      </c>
      <c r="B4805">
        <v>0</v>
      </c>
    </row>
    <row r="4806" spans="1:2" x14ac:dyDescent="0.25">
      <c r="A4806">
        <v>8772</v>
      </c>
      <c r="B4806">
        <v>0</v>
      </c>
    </row>
    <row r="4807" spans="1:2" x14ac:dyDescent="0.25">
      <c r="A4807">
        <v>8773</v>
      </c>
      <c r="B4807">
        <v>0</v>
      </c>
    </row>
    <row r="4808" spans="1:2" x14ac:dyDescent="0.25">
      <c r="A4808">
        <v>8774</v>
      </c>
      <c r="B4808">
        <v>0</v>
      </c>
    </row>
    <row r="4809" spans="1:2" x14ac:dyDescent="0.25">
      <c r="A4809">
        <v>8775</v>
      </c>
      <c r="B4809">
        <v>0</v>
      </c>
    </row>
    <row r="4810" spans="1:2" x14ac:dyDescent="0.25">
      <c r="A4810">
        <v>8776</v>
      </c>
      <c r="B4810">
        <v>0</v>
      </c>
    </row>
    <row r="4811" spans="1:2" x14ac:dyDescent="0.25">
      <c r="A4811">
        <v>8777</v>
      </c>
      <c r="B4811">
        <v>0</v>
      </c>
    </row>
    <row r="4812" spans="1:2" x14ac:dyDescent="0.25">
      <c r="A4812">
        <v>8778</v>
      </c>
      <c r="B4812">
        <v>0</v>
      </c>
    </row>
    <row r="4813" spans="1:2" x14ac:dyDescent="0.25">
      <c r="A4813">
        <v>8779</v>
      </c>
      <c r="B4813">
        <v>0</v>
      </c>
    </row>
    <row r="4814" spans="1:2" x14ac:dyDescent="0.25">
      <c r="A4814">
        <v>8780</v>
      </c>
      <c r="B4814">
        <v>0</v>
      </c>
    </row>
    <row r="4815" spans="1:2" x14ac:dyDescent="0.25">
      <c r="A4815">
        <v>8781</v>
      </c>
      <c r="B4815">
        <v>0</v>
      </c>
    </row>
    <row r="4816" spans="1:2" x14ac:dyDescent="0.25">
      <c r="A4816">
        <v>8783</v>
      </c>
      <c r="B4816">
        <v>0</v>
      </c>
    </row>
    <row r="4817" spans="1:2" x14ac:dyDescent="0.25">
      <c r="A4817">
        <v>8784</v>
      </c>
      <c r="B4817">
        <v>0</v>
      </c>
    </row>
    <row r="4818" spans="1:2" x14ac:dyDescent="0.25">
      <c r="A4818">
        <v>8787</v>
      </c>
      <c r="B4818">
        <v>0</v>
      </c>
    </row>
    <row r="4819" spans="1:2" x14ac:dyDescent="0.25">
      <c r="A4819">
        <v>8789</v>
      </c>
      <c r="B4819">
        <v>0</v>
      </c>
    </row>
    <row r="4820" spans="1:2" x14ac:dyDescent="0.25">
      <c r="A4820">
        <v>8791</v>
      </c>
      <c r="B4820">
        <v>0</v>
      </c>
    </row>
    <row r="4821" spans="1:2" x14ac:dyDescent="0.25">
      <c r="A4821">
        <v>8793</v>
      </c>
      <c r="B4821">
        <v>0</v>
      </c>
    </row>
    <row r="4822" spans="1:2" x14ac:dyDescent="0.25">
      <c r="A4822">
        <v>8796</v>
      </c>
      <c r="B4822">
        <v>0</v>
      </c>
    </row>
    <row r="4823" spans="1:2" x14ac:dyDescent="0.25">
      <c r="A4823">
        <v>8797</v>
      </c>
      <c r="B4823">
        <v>0</v>
      </c>
    </row>
    <row r="4824" spans="1:2" x14ac:dyDescent="0.25">
      <c r="A4824">
        <v>8798</v>
      </c>
      <c r="B4824">
        <v>0</v>
      </c>
    </row>
    <row r="4825" spans="1:2" x14ac:dyDescent="0.25">
      <c r="A4825">
        <v>8799</v>
      </c>
      <c r="B4825">
        <v>0</v>
      </c>
    </row>
    <row r="4826" spans="1:2" x14ac:dyDescent="0.25">
      <c r="A4826">
        <v>8800</v>
      </c>
      <c r="B4826">
        <v>0</v>
      </c>
    </row>
    <row r="4827" spans="1:2" x14ac:dyDescent="0.25">
      <c r="A4827">
        <v>8814</v>
      </c>
      <c r="B4827">
        <v>0</v>
      </c>
    </row>
    <row r="4828" spans="1:2" x14ac:dyDescent="0.25">
      <c r="A4828">
        <v>8816</v>
      </c>
      <c r="B4828">
        <v>0</v>
      </c>
    </row>
    <row r="4829" spans="1:2" x14ac:dyDescent="0.25">
      <c r="A4829">
        <v>8817</v>
      </c>
      <c r="B4829">
        <v>0</v>
      </c>
    </row>
    <row r="4830" spans="1:2" x14ac:dyDescent="0.25">
      <c r="A4830">
        <v>8819</v>
      </c>
      <c r="B4830">
        <v>0</v>
      </c>
    </row>
    <row r="4831" spans="1:2" x14ac:dyDescent="0.25">
      <c r="A4831">
        <v>8820</v>
      </c>
      <c r="B4831">
        <v>0</v>
      </c>
    </row>
    <row r="4832" spans="1:2" x14ac:dyDescent="0.25">
      <c r="A4832">
        <v>8821</v>
      </c>
      <c r="B4832">
        <v>0</v>
      </c>
    </row>
    <row r="4833" spans="1:2" x14ac:dyDescent="0.25">
      <c r="A4833">
        <v>8822</v>
      </c>
      <c r="B4833">
        <v>0</v>
      </c>
    </row>
    <row r="4834" spans="1:2" x14ac:dyDescent="0.25">
      <c r="A4834">
        <v>8824</v>
      </c>
      <c r="B4834">
        <v>0</v>
      </c>
    </row>
    <row r="4835" spans="1:2" x14ac:dyDescent="0.25">
      <c r="A4835">
        <v>8825</v>
      </c>
      <c r="B4835">
        <v>0</v>
      </c>
    </row>
    <row r="4836" spans="1:2" x14ac:dyDescent="0.25">
      <c r="A4836">
        <v>8826</v>
      </c>
      <c r="B4836">
        <v>0</v>
      </c>
    </row>
    <row r="4837" spans="1:2" x14ac:dyDescent="0.25">
      <c r="A4837">
        <v>8827</v>
      </c>
      <c r="B4837">
        <v>0</v>
      </c>
    </row>
    <row r="4838" spans="1:2" x14ac:dyDescent="0.25">
      <c r="A4838">
        <v>8829</v>
      </c>
      <c r="B4838">
        <v>0</v>
      </c>
    </row>
    <row r="4839" spans="1:2" x14ac:dyDescent="0.25">
      <c r="A4839">
        <v>8832</v>
      </c>
      <c r="B4839">
        <v>0</v>
      </c>
    </row>
    <row r="4840" spans="1:2" x14ac:dyDescent="0.25">
      <c r="A4840">
        <v>8833</v>
      </c>
      <c r="B4840">
        <v>0</v>
      </c>
    </row>
    <row r="4841" spans="1:2" x14ac:dyDescent="0.25">
      <c r="A4841">
        <v>8835</v>
      </c>
      <c r="B4841">
        <v>0</v>
      </c>
    </row>
    <row r="4842" spans="1:2" x14ac:dyDescent="0.25">
      <c r="A4842">
        <v>8837</v>
      </c>
      <c r="B4842">
        <v>0</v>
      </c>
    </row>
    <row r="4843" spans="1:2" x14ac:dyDescent="0.25">
      <c r="A4843">
        <v>8839</v>
      </c>
      <c r="B4843">
        <v>0</v>
      </c>
    </row>
    <row r="4844" spans="1:2" x14ac:dyDescent="0.25">
      <c r="A4844">
        <v>8841</v>
      </c>
      <c r="B4844">
        <v>0</v>
      </c>
    </row>
    <row r="4845" spans="1:2" x14ac:dyDescent="0.25">
      <c r="A4845">
        <v>8843</v>
      </c>
      <c r="B4845">
        <v>0</v>
      </c>
    </row>
    <row r="4846" spans="1:2" x14ac:dyDescent="0.25">
      <c r="A4846">
        <v>8844</v>
      </c>
      <c r="B4846">
        <v>0</v>
      </c>
    </row>
    <row r="4847" spans="1:2" x14ac:dyDescent="0.25">
      <c r="A4847">
        <v>8845</v>
      </c>
      <c r="B4847">
        <v>0</v>
      </c>
    </row>
    <row r="4848" spans="1:2" x14ac:dyDescent="0.25">
      <c r="A4848">
        <v>8846</v>
      </c>
      <c r="B4848">
        <v>0</v>
      </c>
    </row>
    <row r="4849" spans="1:2" x14ac:dyDescent="0.25">
      <c r="A4849">
        <v>8847</v>
      </c>
      <c r="B4849">
        <v>0</v>
      </c>
    </row>
    <row r="4850" spans="1:2" x14ac:dyDescent="0.25">
      <c r="A4850">
        <v>8848</v>
      </c>
      <c r="B4850">
        <v>0</v>
      </c>
    </row>
    <row r="4851" spans="1:2" x14ac:dyDescent="0.25">
      <c r="A4851">
        <v>8849</v>
      </c>
      <c r="B4851">
        <v>0</v>
      </c>
    </row>
    <row r="4852" spans="1:2" x14ac:dyDescent="0.25">
      <c r="A4852">
        <v>8850</v>
      </c>
      <c r="B4852">
        <v>0</v>
      </c>
    </row>
    <row r="4853" spans="1:2" x14ac:dyDescent="0.25">
      <c r="A4853">
        <v>8851</v>
      </c>
      <c r="B4853">
        <v>0</v>
      </c>
    </row>
    <row r="4854" spans="1:2" x14ac:dyDescent="0.25">
      <c r="A4854">
        <v>8852</v>
      </c>
      <c r="B4854">
        <v>0</v>
      </c>
    </row>
    <row r="4855" spans="1:2" x14ac:dyDescent="0.25">
      <c r="A4855">
        <v>8853</v>
      </c>
      <c r="B4855">
        <v>0</v>
      </c>
    </row>
    <row r="4856" spans="1:2" x14ac:dyDescent="0.25">
      <c r="A4856">
        <v>8854</v>
      </c>
      <c r="B4856">
        <v>0</v>
      </c>
    </row>
    <row r="4857" spans="1:2" x14ac:dyDescent="0.25">
      <c r="A4857">
        <v>8855</v>
      </c>
      <c r="B4857">
        <v>0</v>
      </c>
    </row>
    <row r="4858" spans="1:2" x14ac:dyDescent="0.25">
      <c r="A4858">
        <v>8856</v>
      </c>
      <c r="B4858">
        <v>0</v>
      </c>
    </row>
    <row r="4859" spans="1:2" x14ac:dyDescent="0.25">
      <c r="A4859">
        <v>8857</v>
      </c>
      <c r="B4859">
        <v>0</v>
      </c>
    </row>
    <row r="4860" spans="1:2" x14ac:dyDescent="0.25">
      <c r="A4860">
        <v>8858</v>
      </c>
      <c r="B4860">
        <v>0</v>
      </c>
    </row>
    <row r="4861" spans="1:2" x14ac:dyDescent="0.25">
      <c r="A4861">
        <v>8859</v>
      </c>
      <c r="B4861">
        <v>0</v>
      </c>
    </row>
    <row r="4862" spans="1:2" x14ac:dyDescent="0.25">
      <c r="A4862">
        <v>8860</v>
      </c>
      <c r="B4862">
        <v>0</v>
      </c>
    </row>
    <row r="4863" spans="1:2" x14ac:dyDescent="0.25">
      <c r="A4863">
        <v>8861</v>
      </c>
      <c r="B4863">
        <v>0</v>
      </c>
    </row>
    <row r="4864" spans="1:2" x14ac:dyDescent="0.25">
      <c r="A4864">
        <v>8862</v>
      </c>
      <c r="B4864">
        <v>0</v>
      </c>
    </row>
    <row r="4865" spans="1:2" x14ac:dyDescent="0.25">
      <c r="A4865">
        <v>8863</v>
      </c>
      <c r="B4865">
        <v>0</v>
      </c>
    </row>
    <row r="4866" spans="1:2" x14ac:dyDescent="0.25">
      <c r="A4866">
        <v>8864</v>
      </c>
      <c r="B4866">
        <v>0</v>
      </c>
    </row>
    <row r="4867" spans="1:2" x14ac:dyDescent="0.25">
      <c r="A4867">
        <v>8865</v>
      </c>
      <c r="B4867">
        <v>0</v>
      </c>
    </row>
    <row r="4868" spans="1:2" x14ac:dyDescent="0.25">
      <c r="A4868">
        <v>8866</v>
      </c>
      <c r="B4868">
        <v>0</v>
      </c>
    </row>
    <row r="4869" spans="1:2" x14ac:dyDescent="0.25">
      <c r="A4869">
        <v>8867</v>
      </c>
      <c r="B4869">
        <v>0</v>
      </c>
    </row>
    <row r="4870" spans="1:2" x14ac:dyDescent="0.25">
      <c r="A4870">
        <v>8868</v>
      </c>
      <c r="B4870">
        <v>0</v>
      </c>
    </row>
    <row r="4871" spans="1:2" x14ac:dyDescent="0.25">
      <c r="A4871">
        <v>8869</v>
      </c>
      <c r="B4871">
        <v>0</v>
      </c>
    </row>
    <row r="4872" spans="1:2" x14ac:dyDescent="0.25">
      <c r="A4872">
        <v>8870</v>
      </c>
      <c r="B4872">
        <v>0</v>
      </c>
    </row>
    <row r="4873" spans="1:2" x14ac:dyDescent="0.25">
      <c r="A4873">
        <v>8871</v>
      </c>
      <c r="B4873">
        <v>0</v>
      </c>
    </row>
    <row r="4874" spans="1:2" x14ac:dyDescent="0.25">
      <c r="A4874">
        <v>8872</v>
      </c>
      <c r="B4874">
        <v>0</v>
      </c>
    </row>
    <row r="4875" spans="1:2" x14ac:dyDescent="0.25">
      <c r="A4875">
        <v>8873</v>
      </c>
      <c r="B4875">
        <v>0</v>
      </c>
    </row>
    <row r="4876" spans="1:2" x14ac:dyDescent="0.25">
      <c r="A4876">
        <v>8874</v>
      </c>
      <c r="B4876">
        <v>0</v>
      </c>
    </row>
    <row r="4877" spans="1:2" x14ac:dyDescent="0.25">
      <c r="A4877">
        <v>8875</v>
      </c>
      <c r="B4877">
        <v>0</v>
      </c>
    </row>
    <row r="4878" spans="1:2" x14ac:dyDescent="0.25">
      <c r="A4878">
        <v>8876</v>
      </c>
      <c r="B4878">
        <v>0</v>
      </c>
    </row>
    <row r="4879" spans="1:2" x14ac:dyDescent="0.25">
      <c r="A4879">
        <v>8877</v>
      </c>
      <c r="B4879">
        <v>0</v>
      </c>
    </row>
    <row r="4880" spans="1:2" x14ac:dyDescent="0.25">
      <c r="A4880">
        <v>8888</v>
      </c>
      <c r="B4880">
        <v>0</v>
      </c>
    </row>
    <row r="4881" spans="1:2" x14ac:dyDescent="0.25">
      <c r="A4881">
        <v>8890</v>
      </c>
      <c r="B4881">
        <v>0</v>
      </c>
    </row>
    <row r="4882" spans="1:2" x14ac:dyDescent="0.25">
      <c r="A4882">
        <v>8892</v>
      </c>
      <c r="B4882">
        <v>0</v>
      </c>
    </row>
    <row r="4883" spans="1:2" x14ac:dyDescent="0.25">
      <c r="A4883">
        <v>8894</v>
      </c>
      <c r="B4883">
        <v>0</v>
      </c>
    </row>
    <row r="4884" spans="1:2" x14ac:dyDescent="0.25">
      <c r="A4884">
        <v>8898</v>
      </c>
      <c r="B4884">
        <v>0</v>
      </c>
    </row>
    <row r="4885" spans="1:2" x14ac:dyDescent="0.25">
      <c r="A4885">
        <v>8900</v>
      </c>
      <c r="B4885">
        <v>0</v>
      </c>
    </row>
    <row r="4886" spans="1:2" x14ac:dyDescent="0.25">
      <c r="A4886">
        <v>8901</v>
      </c>
      <c r="B4886">
        <v>0</v>
      </c>
    </row>
    <row r="4887" spans="1:2" x14ac:dyDescent="0.25">
      <c r="A4887">
        <v>8902</v>
      </c>
      <c r="B4887">
        <v>0</v>
      </c>
    </row>
    <row r="4888" spans="1:2" x14ac:dyDescent="0.25">
      <c r="A4888">
        <v>8903</v>
      </c>
      <c r="B4888">
        <v>0</v>
      </c>
    </row>
    <row r="4889" spans="1:2" x14ac:dyDescent="0.25">
      <c r="A4889">
        <v>8904</v>
      </c>
      <c r="B4889">
        <v>0</v>
      </c>
    </row>
    <row r="4890" spans="1:2" x14ac:dyDescent="0.25">
      <c r="A4890">
        <v>8905</v>
      </c>
      <c r="B4890">
        <v>0</v>
      </c>
    </row>
    <row r="4891" spans="1:2" x14ac:dyDescent="0.25">
      <c r="A4891">
        <v>8906</v>
      </c>
      <c r="B4891">
        <v>0</v>
      </c>
    </row>
    <row r="4892" spans="1:2" x14ac:dyDescent="0.25">
      <c r="A4892">
        <v>8907</v>
      </c>
      <c r="B4892">
        <v>0</v>
      </c>
    </row>
    <row r="4893" spans="1:2" x14ac:dyDescent="0.25">
      <c r="A4893">
        <v>8908</v>
      </c>
      <c r="B4893">
        <v>0</v>
      </c>
    </row>
    <row r="4894" spans="1:2" x14ac:dyDescent="0.25">
      <c r="A4894">
        <v>8909</v>
      </c>
      <c r="B4894">
        <v>0</v>
      </c>
    </row>
    <row r="4895" spans="1:2" x14ac:dyDescent="0.25">
      <c r="A4895">
        <v>8910</v>
      </c>
      <c r="B4895">
        <v>0</v>
      </c>
    </row>
    <row r="4896" spans="1:2" x14ac:dyDescent="0.25">
      <c r="A4896">
        <v>8911</v>
      </c>
      <c r="B4896">
        <v>0</v>
      </c>
    </row>
    <row r="4897" spans="1:2" x14ac:dyDescent="0.25">
      <c r="A4897">
        <v>8912</v>
      </c>
      <c r="B4897">
        <v>0</v>
      </c>
    </row>
    <row r="4898" spans="1:2" x14ac:dyDescent="0.25">
      <c r="A4898">
        <v>8913</v>
      </c>
      <c r="B4898">
        <v>0</v>
      </c>
    </row>
    <row r="4899" spans="1:2" x14ac:dyDescent="0.25">
      <c r="A4899">
        <v>8914</v>
      </c>
      <c r="B4899">
        <v>0</v>
      </c>
    </row>
    <row r="4900" spans="1:2" x14ac:dyDescent="0.25">
      <c r="A4900">
        <v>8915</v>
      </c>
      <c r="B4900">
        <v>0</v>
      </c>
    </row>
    <row r="4901" spans="1:2" x14ac:dyDescent="0.25">
      <c r="A4901">
        <v>8916</v>
      </c>
      <c r="B4901">
        <v>0</v>
      </c>
    </row>
    <row r="4902" spans="1:2" x14ac:dyDescent="0.25">
      <c r="A4902">
        <v>8917</v>
      </c>
      <c r="B4902">
        <v>0</v>
      </c>
    </row>
    <row r="4903" spans="1:2" x14ac:dyDescent="0.25">
      <c r="A4903">
        <v>8919</v>
      </c>
      <c r="B4903">
        <v>15</v>
      </c>
    </row>
    <row r="4904" spans="1:2" x14ac:dyDescent="0.25">
      <c r="A4904">
        <v>8921</v>
      </c>
      <c r="B4904">
        <v>0</v>
      </c>
    </row>
    <row r="4905" spans="1:2" x14ac:dyDescent="0.25">
      <c r="A4905">
        <v>8923</v>
      </c>
      <c r="B4905">
        <v>0</v>
      </c>
    </row>
    <row r="4906" spans="1:2" x14ac:dyDescent="0.25">
      <c r="A4906">
        <v>8926</v>
      </c>
      <c r="B4906">
        <v>0</v>
      </c>
    </row>
    <row r="4907" spans="1:2" x14ac:dyDescent="0.25">
      <c r="A4907">
        <v>8927</v>
      </c>
      <c r="B4907">
        <v>0</v>
      </c>
    </row>
    <row r="4908" spans="1:2" x14ac:dyDescent="0.25">
      <c r="A4908">
        <v>8929</v>
      </c>
      <c r="B4908">
        <v>0</v>
      </c>
    </row>
    <row r="4909" spans="1:2" x14ac:dyDescent="0.25">
      <c r="A4909">
        <v>8931</v>
      </c>
      <c r="B4909">
        <v>0</v>
      </c>
    </row>
    <row r="4910" spans="1:2" x14ac:dyDescent="0.25">
      <c r="A4910">
        <v>8933</v>
      </c>
      <c r="B4910">
        <v>0</v>
      </c>
    </row>
    <row r="4911" spans="1:2" x14ac:dyDescent="0.25">
      <c r="A4911">
        <v>8935</v>
      </c>
      <c r="B4911">
        <v>0</v>
      </c>
    </row>
    <row r="4912" spans="1:2" x14ac:dyDescent="0.25">
      <c r="A4912">
        <v>8937</v>
      </c>
      <c r="B4912">
        <v>0</v>
      </c>
    </row>
    <row r="4913" spans="1:2" x14ac:dyDescent="0.25">
      <c r="A4913">
        <v>8938</v>
      </c>
      <c r="B4913">
        <v>0</v>
      </c>
    </row>
    <row r="4914" spans="1:2" x14ac:dyDescent="0.25">
      <c r="A4914">
        <v>8939</v>
      </c>
      <c r="B4914">
        <v>0</v>
      </c>
    </row>
    <row r="4915" spans="1:2" x14ac:dyDescent="0.25">
      <c r="A4915">
        <v>8941</v>
      </c>
      <c r="B4915">
        <v>0</v>
      </c>
    </row>
    <row r="4916" spans="1:2" x14ac:dyDescent="0.25">
      <c r="A4916">
        <v>8942</v>
      </c>
      <c r="B4916">
        <v>0</v>
      </c>
    </row>
    <row r="4917" spans="1:2" x14ac:dyDescent="0.25">
      <c r="A4917">
        <v>8943</v>
      </c>
      <c r="B4917">
        <v>0</v>
      </c>
    </row>
    <row r="4918" spans="1:2" x14ac:dyDescent="0.25">
      <c r="A4918">
        <v>8944</v>
      </c>
      <c r="B4918">
        <v>0</v>
      </c>
    </row>
    <row r="4919" spans="1:2" x14ac:dyDescent="0.25">
      <c r="A4919">
        <v>8945</v>
      </c>
      <c r="B4919">
        <v>0</v>
      </c>
    </row>
    <row r="4920" spans="1:2" x14ac:dyDescent="0.25">
      <c r="A4920">
        <v>8946</v>
      </c>
      <c r="B4920">
        <v>0</v>
      </c>
    </row>
    <row r="4921" spans="1:2" x14ac:dyDescent="0.25">
      <c r="A4921">
        <v>8947</v>
      </c>
      <c r="B4921">
        <v>0</v>
      </c>
    </row>
    <row r="4922" spans="1:2" x14ac:dyDescent="0.25">
      <c r="A4922">
        <v>8948</v>
      </c>
      <c r="B4922">
        <v>0</v>
      </c>
    </row>
    <row r="4923" spans="1:2" x14ac:dyDescent="0.25">
      <c r="A4923">
        <v>8951</v>
      </c>
      <c r="B4923">
        <v>0</v>
      </c>
    </row>
    <row r="4924" spans="1:2" x14ac:dyDescent="0.25">
      <c r="A4924">
        <v>8952</v>
      </c>
      <c r="B4924">
        <v>0</v>
      </c>
    </row>
    <row r="4925" spans="1:2" x14ac:dyDescent="0.25">
      <c r="A4925">
        <v>8954</v>
      </c>
      <c r="B4925">
        <v>0</v>
      </c>
    </row>
    <row r="4926" spans="1:2" x14ac:dyDescent="0.25">
      <c r="A4926">
        <v>8956</v>
      </c>
      <c r="B4926">
        <v>0</v>
      </c>
    </row>
    <row r="4927" spans="1:2" x14ac:dyDescent="0.25">
      <c r="A4927">
        <v>8958</v>
      </c>
      <c r="B4927">
        <v>0</v>
      </c>
    </row>
    <row r="4928" spans="1:2" x14ac:dyDescent="0.25">
      <c r="A4928">
        <v>8959</v>
      </c>
      <c r="B4928">
        <v>0</v>
      </c>
    </row>
    <row r="4929" spans="1:2" x14ac:dyDescent="0.25">
      <c r="A4929">
        <v>8960</v>
      </c>
      <c r="B4929">
        <v>0</v>
      </c>
    </row>
    <row r="4930" spans="1:2" x14ac:dyDescent="0.25">
      <c r="A4930">
        <v>8961</v>
      </c>
      <c r="B4930">
        <v>0</v>
      </c>
    </row>
    <row r="4931" spans="1:2" x14ac:dyDescent="0.25">
      <c r="A4931">
        <v>8962</v>
      </c>
      <c r="B4931">
        <v>0</v>
      </c>
    </row>
    <row r="4932" spans="1:2" x14ac:dyDescent="0.25">
      <c r="A4932">
        <v>8963</v>
      </c>
      <c r="B4932">
        <v>0</v>
      </c>
    </row>
    <row r="4933" spans="1:2" x14ac:dyDescent="0.25">
      <c r="A4933">
        <v>8971</v>
      </c>
      <c r="B4933">
        <v>0</v>
      </c>
    </row>
    <row r="4934" spans="1:2" x14ac:dyDescent="0.25">
      <c r="A4934">
        <v>8975</v>
      </c>
      <c r="B4934">
        <v>0</v>
      </c>
    </row>
    <row r="4935" spans="1:2" x14ac:dyDescent="0.25">
      <c r="A4935">
        <v>8976</v>
      </c>
      <c r="B4935">
        <v>0</v>
      </c>
    </row>
    <row r="4936" spans="1:2" x14ac:dyDescent="0.25">
      <c r="A4936">
        <v>8996</v>
      </c>
      <c r="B4936">
        <v>0</v>
      </c>
    </row>
    <row r="4937" spans="1:2" x14ac:dyDescent="0.25">
      <c r="A4937">
        <v>8998</v>
      </c>
      <c r="B4937">
        <v>0</v>
      </c>
    </row>
    <row r="4938" spans="1:2" x14ac:dyDescent="0.25">
      <c r="A4938">
        <v>9000</v>
      </c>
      <c r="B4938">
        <v>0</v>
      </c>
    </row>
    <row r="4939" spans="1:2" x14ac:dyDescent="0.25">
      <c r="A4939">
        <v>9001</v>
      </c>
      <c r="B4939">
        <v>0</v>
      </c>
    </row>
    <row r="4940" spans="1:2" x14ac:dyDescent="0.25">
      <c r="A4940">
        <v>9002</v>
      </c>
      <c r="B4940">
        <v>0</v>
      </c>
    </row>
    <row r="4941" spans="1:2" x14ac:dyDescent="0.25">
      <c r="A4941">
        <v>9004</v>
      </c>
      <c r="B4941">
        <v>0</v>
      </c>
    </row>
    <row r="4942" spans="1:2" x14ac:dyDescent="0.25">
      <c r="A4942">
        <v>9006</v>
      </c>
      <c r="B4942">
        <v>0</v>
      </c>
    </row>
    <row r="4943" spans="1:2" x14ac:dyDescent="0.25">
      <c r="A4943">
        <v>9008</v>
      </c>
      <c r="B4943">
        <v>0</v>
      </c>
    </row>
    <row r="4944" spans="1:2" x14ac:dyDescent="0.25">
      <c r="A4944">
        <v>9010</v>
      </c>
      <c r="B4944">
        <v>0</v>
      </c>
    </row>
    <row r="4945" spans="1:2" x14ac:dyDescent="0.25">
      <c r="A4945">
        <v>9012</v>
      </c>
      <c r="B4945">
        <v>0</v>
      </c>
    </row>
    <row r="4946" spans="1:2" x14ac:dyDescent="0.25">
      <c r="A4946">
        <v>9014</v>
      </c>
      <c r="B4946">
        <v>0</v>
      </c>
    </row>
    <row r="4947" spans="1:2" x14ac:dyDescent="0.25">
      <c r="A4947">
        <v>9016</v>
      </c>
      <c r="B4947">
        <v>0</v>
      </c>
    </row>
    <row r="4948" spans="1:2" x14ac:dyDescent="0.25">
      <c r="A4948">
        <v>9018</v>
      </c>
      <c r="B4948">
        <v>0</v>
      </c>
    </row>
    <row r="4949" spans="1:2" x14ac:dyDescent="0.25">
      <c r="A4949">
        <v>9020</v>
      </c>
      <c r="B4949">
        <v>0</v>
      </c>
    </row>
    <row r="4950" spans="1:2" x14ac:dyDescent="0.25">
      <c r="A4950">
        <v>9022</v>
      </c>
      <c r="B4950">
        <v>0</v>
      </c>
    </row>
    <row r="4951" spans="1:2" x14ac:dyDescent="0.25">
      <c r="A4951">
        <v>9024</v>
      </c>
      <c r="B4951">
        <v>0</v>
      </c>
    </row>
    <row r="4952" spans="1:2" x14ac:dyDescent="0.25">
      <c r="A4952">
        <v>9026</v>
      </c>
      <c r="B4952">
        <v>0</v>
      </c>
    </row>
    <row r="4953" spans="1:2" x14ac:dyDescent="0.25">
      <c r="A4953">
        <v>9028</v>
      </c>
      <c r="B4953">
        <v>0</v>
      </c>
    </row>
    <row r="4954" spans="1:2" x14ac:dyDescent="0.25">
      <c r="A4954">
        <v>9035</v>
      </c>
      <c r="B4954">
        <v>0</v>
      </c>
    </row>
    <row r="4955" spans="1:2" x14ac:dyDescent="0.25">
      <c r="A4955">
        <v>9037</v>
      </c>
      <c r="B4955">
        <v>0</v>
      </c>
    </row>
    <row r="4956" spans="1:2" x14ac:dyDescent="0.25">
      <c r="A4956">
        <v>9040</v>
      </c>
      <c r="B4956">
        <v>0</v>
      </c>
    </row>
    <row r="4957" spans="1:2" x14ac:dyDescent="0.25">
      <c r="A4957">
        <v>9041</v>
      </c>
      <c r="B4957">
        <v>0</v>
      </c>
    </row>
    <row r="4958" spans="1:2" x14ac:dyDescent="0.25">
      <c r="A4958">
        <v>9042</v>
      </c>
      <c r="B4958">
        <v>0</v>
      </c>
    </row>
    <row r="4959" spans="1:2" x14ac:dyDescent="0.25">
      <c r="A4959">
        <v>9044</v>
      </c>
      <c r="B4959">
        <v>0</v>
      </c>
    </row>
    <row r="4960" spans="1:2" x14ac:dyDescent="0.25">
      <c r="A4960">
        <v>9046</v>
      </c>
      <c r="B4960">
        <v>0</v>
      </c>
    </row>
    <row r="4961" spans="1:2" x14ac:dyDescent="0.25">
      <c r="A4961">
        <v>9047</v>
      </c>
      <c r="B4961">
        <v>0</v>
      </c>
    </row>
    <row r="4962" spans="1:2" x14ac:dyDescent="0.25">
      <c r="A4962">
        <v>9050</v>
      </c>
      <c r="B4962">
        <v>0</v>
      </c>
    </row>
    <row r="4963" spans="1:2" x14ac:dyDescent="0.25">
      <c r="A4963">
        <v>9051</v>
      </c>
      <c r="B4963">
        <v>0</v>
      </c>
    </row>
    <row r="4964" spans="1:2" x14ac:dyDescent="0.25">
      <c r="A4964">
        <v>9053</v>
      </c>
      <c r="B4964">
        <v>0</v>
      </c>
    </row>
    <row r="4965" spans="1:2" x14ac:dyDescent="0.25">
      <c r="A4965">
        <v>9055</v>
      </c>
      <c r="B4965">
        <v>0</v>
      </c>
    </row>
    <row r="4966" spans="1:2" x14ac:dyDescent="0.25">
      <c r="A4966">
        <v>9058</v>
      </c>
      <c r="B4966">
        <v>0</v>
      </c>
    </row>
    <row r="4967" spans="1:2" x14ac:dyDescent="0.25">
      <c r="A4967">
        <v>9059</v>
      </c>
      <c r="B4967">
        <v>0</v>
      </c>
    </row>
    <row r="4968" spans="1:2" x14ac:dyDescent="0.25">
      <c r="A4968">
        <v>9062</v>
      </c>
      <c r="B4968">
        <v>0</v>
      </c>
    </row>
    <row r="4969" spans="1:2" x14ac:dyDescent="0.25">
      <c r="A4969">
        <v>9063</v>
      </c>
      <c r="B4969">
        <v>0</v>
      </c>
    </row>
    <row r="4970" spans="1:2" x14ac:dyDescent="0.25">
      <c r="A4970">
        <v>9065</v>
      </c>
      <c r="B4970">
        <v>0</v>
      </c>
    </row>
    <row r="4971" spans="1:2" x14ac:dyDescent="0.25">
      <c r="A4971">
        <v>9067</v>
      </c>
      <c r="B4971">
        <v>9</v>
      </c>
    </row>
    <row r="4972" spans="1:2" x14ac:dyDescent="0.25">
      <c r="A4972">
        <v>9068</v>
      </c>
      <c r="B4972">
        <v>9</v>
      </c>
    </row>
    <row r="4973" spans="1:2" x14ac:dyDescent="0.25">
      <c r="A4973">
        <v>9069</v>
      </c>
      <c r="B4973">
        <v>9</v>
      </c>
    </row>
    <row r="4974" spans="1:2" x14ac:dyDescent="0.25">
      <c r="A4974">
        <v>9070</v>
      </c>
      <c r="B4974">
        <v>0</v>
      </c>
    </row>
    <row r="4975" spans="1:2" x14ac:dyDescent="0.25">
      <c r="A4975">
        <v>9071</v>
      </c>
      <c r="B4975">
        <v>0</v>
      </c>
    </row>
    <row r="4976" spans="1:2" x14ac:dyDescent="0.25">
      <c r="A4976">
        <v>9072</v>
      </c>
      <c r="B4976">
        <v>9</v>
      </c>
    </row>
    <row r="4977" spans="1:2" x14ac:dyDescent="0.25">
      <c r="A4977">
        <v>9073</v>
      </c>
      <c r="B4977">
        <v>0</v>
      </c>
    </row>
    <row r="4978" spans="1:2" x14ac:dyDescent="0.25">
      <c r="A4978">
        <v>9074</v>
      </c>
      <c r="B4978">
        <v>0</v>
      </c>
    </row>
    <row r="4979" spans="1:2" x14ac:dyDescent="0.25">
      <c r="A4979">
        <v>9075</v>
      </c>
      <c r="B4979">
        <v>0</v>
      </c>
    </row>
    <row r="4980" spans="1:2" x14ac:dyDescent="0.25">
      <c r="A4980">
        <v>9076</v>
      </c>
      <c r="B4980">
        <v>0</v>
      </c>
    </row>
    <row r="4981" spans="1:2" x14ac:dyDescent="0.25">
      <c r="A4981">
        <v>9077</v>
      </c>
      <c r="B4981">
        <v>0</v>
      </c>
    </row>
    <row r="4982" spans="1:2" x14ac:dyDescent="0.25">
      <c r="A4982">
        <v>9078</v>
      </c>
      <c r="B4982">
        <v>0</v>
      </c>
    </row>
    <row r="4983" spans="1:2" x14ac:dyDescent="0.25">
      <c r="A4983">
        <v>9079</v>
      </c>
      <c r="B4983">
        <v>0</v>
      </c>
    </row>
    <row r="4984" spans="1:2" x14ac:dyDescent="0.25">
      <c r="A4984">
        <v>9080</v>
      </c>
      <c r="B4984">
        <v>0</v>
      </c>
    </row>
    <row r="4985" spans="1:2" x14ac:dyDescent="0.25">
      <c r="A4985">
        <v>9081</v>
      </c>
      <c r="B4985">
        <v>0</v>
      </c>
    </row>
    <row r="4986" spans="1:2" x14ac:dyDescent="0.25">
      <c r="A4986">
        <v>9082</v>
      </c>
      <c r="B4986">
        <v>0</v>
      </c>
    </row>
    <row r="4987" spans="1:2" x14ac:dyDescent="0.25">
      <c r="A4987">
        <v>9083</v>
      </c>
      <c r="B4987">
        <v>12</v>
      </c>
    </row>
    <row r="4988" spans="1:2" x14ac:dyDescent="0.25">
      <c r="A4988">
        <v>9084</v>
      </c>
      <c r="B4988">
        <v>10</v>
      </c>
    </row>
    <row r="4989" spans="1:2" x14ac:dyDescent="0.25">
      <c r="A4989">
        <v>9085</v>
      </c>
      <c r="B4989">
        <v>10</v>
      </c>
    </row>
    <row r="4990" spans="1:2" x14ac:dyDescent="0.25">
      <c r="A4990">
        <v>9086</v>
      </c>
      <c r="B4990">
        <v>0</v>
      </c>
    </row>
    <row r="4991" spans="1:2" x14ac:dyDescent="0.25">
      <c r="A4991">
        <v>9087</v>
      </c>
      <c r="B4991">
        <v>10</v>
      </c>
    </row>
    <row r="4992" spans="1:2" x14ac:dyDescent="0.25">
      <c r="A4992">
        <v>9088</v>
      </c>
      <c r="B4992">
        <v>0</v>
      </c>
    </row>
    <row r="4993" spans="1:2" x14ac:dyDescent="0.25">
      <c r="A4993">
        <v>9089</v>
      </c>
      <c r="B4993">
        <v>10</v>
      </c>
    </row>
    <row r="4994" spans="1:2" x14ac:dyDescent="0.25">
      <c r="A4994">
        <v>9090</v>
      </c>
      <c r="B4994">
        <v>0</v>
      </c>
    </row>
    <row r="4995" spans="1:2" x14ac:dyDescent="0.25">
      <c r="A4995">
        <v>9091</v>
      </c>
      <c r="B4995">
        <v>0</v>
      </c>
    </row>
    <row r="4996" spans="1:2" x14ac:dyDescent="0.25">
      <c r="A4996">
        <v>9092</v>
      </c>
      <c r="B4996">
        <v>0</v>
      </c>
    </row>
    <row r="4997" spans="1:2" x14ac:dyDescent="0.25">
      <c r="A4997">
        <v>9093</v>
      </c>
      <c r="B4997">
        <v>0</v>
      </c>
    </row>
    <row r="4998" spans="1:2" x14ac:dyDescent="0.25">
      <c r="A4998">
        <v>9094</v>
      </c>
      <c r="B4998">
        <v>0</v>
      </c>
    </row>
    <row r="4999" spans="1:2" x14ac:dyDescent="0.25">
      <c r="A4999">
        <v>9095</v>
      </c>
      <c r="B4999">
        <v>0</v>
      </c>
    </row>
    <row r="5000" spans="1:2" x14ac:dyDescent="0.25">
      <c r="A5000">
        <v>9096</v>
      </c>
      <c r="B5000">
        <v>10</v>
      </c>
    </row>
    <row r="5001" spans="1:2" x14ac:dyDescent="0.25">
      <c r="A5001">
        <v>9097</v>
      </c>
      <c r="B5001">
        <v>0</v>
      </c>
    </row>
    <row r="5002" spans="1:2" x14ac:dyDescent="0.25">
      <c r="A5002">
        <v>9098</v>
      </c>
      <c r="B5002">
        <v>0</v>
      </c>
    </row>
    <row r="5003" spans="1:2" x14ac:dyDescent="0.25">
      <c r="A5003">
        <v>9099</v>
      </c>
      <c r="B5003">
        <v>0</v>
      </c>
    </row>
    <row r="5004" spans="1:2" x14ac:dyDescent="0.25">
      <c r="A5004">
        <v>9100</v>
      </c>
      <c r="B5004">
        <v>0</v>
      </c>
    </row>
    <row r="5005" spans="1:2" x14ac:dyDescent="0.25">
      <c r="A5005">
        <v>9101</v>
      </c>
      <c r="B5005">
        <v>0</v>
      </c>
    </row>
    <row r="5006" spans="1:2" x14ac:dyDescent="0.25">
      <c r="A5006">
        <v>9102</v>
      </c>
      <c r="B5006">
        <v>0</v>
      </c>
    </row>
    <row r="5007" spans="1:2" x14ac:dyDescent="0.25">
      <c r="A5007">
        <v>9103</v>
      </c>
      <c r="B5007">
        <v>0</v>
      </c>
    </row>
    <row r="5008" spans="1:2" x14ac:dyDescent="0.25">
      <c r="A5008">
        <v>9104</v>
      </c>
      <c r="B5008">
        <v>0</v>
      </c>
    </row>
    <row r="5009" spans="1:2" x14ac:dyDescent="0.25">
      <c r="A5009">
        <v>9105</v>
      </c>
      <c r="B5009">
        <v>0</v>
      </c>
    </row>
    <row r="5010" spans="1:2" x14ac:dyDescent="0.25">
      <c r="A5010">
        <v>9106</v>
      </c>
      <c r="B5010">
        <v>0</v>
      </c>
    </row>
    <row r="5011" spans="1:2" x14ac:dyDescent="0.25">
      <c r="A5011">
        <v>9108</v>
      </c>
      <c r="B5011">
        <v>0</v>
      </c>
    </row>
    <row r="5012" spans="1:2" x14ac:dyDescent="0.25">
      <c r="A5012">
        <v>9111</v>
      </c>
      <c r="B5012">
        <v>0</v>
      </c>
    </row>
    <row r="5013" spans="1:2" x14ac:dyDescent="0.25">
      <c r="A5013">
        <v>9112</v>
      </c>
      <c r="B5013">
        <v>0</v>
      </c>
    </row>
    <row r="5014" spans="1:2" x14ac:dyDescent="0.25">
      <c r="A5014">
        <v>9113</v>
      </c>
      <c r="B5014">
        <v>0</v>
      </c>
    </row>
    <row r="5015" spans="1:2" x14ac:dyDescent="0.25">
      <c r="A5015">
        <v>9114</v>
      </c>
      <c r="B5015">
        <v>0</v>
      </c>
    </row>
    <row r="5016" spans="1:2" x14ac:dyDescent="0.25">
      <c r="A5016">
        <v>9118</v>
      </c>
      <c r="B5016">
        <v>0</v>
      </c>
    </row>
    <row r="5017" spans="1:2" x14ac:dyDescent="0.25">
      <c r="A5017">
        <v>9120</v>
      </c>
      <c r="B5017">
        <v>0</v>
      </c>
    </row>
    <row r="5018" spans="1:2" x14ac:dyDescent="0.25">
      <c r="A5018">
        <v>9122</v>
      </c>
      <c r="B5018">
        <v>0</v>
      </c>
    </row>
    <row r="5019" spans="1:2" x14ac:dyDescent="0.25">
      <c r="A5019">
        <v>9124</v>
      </c>
      <c r="B5019">
        <v>0</v>
      </c>
    </row>
    <row r="5020" spans="1:2" x14ac:dyDescent="0.25">
      <c r="A5020">
        <v>9126</v>
      </c>
      <c r="B5020">
        <v>0</v>
      </c>
    </row>
    <row r="5021" spans="1:2" x14ac:dyDescent="0.25">
      <c r="A5021">
        <v>9128</v>
      </c>
      <c r="B5021">
        <v>0</v>
      </c>
    </row>
    <row r="5022" spans="1:2" x14ac:dyDescent="0.25">
      <c r="A5022">
        <v>9130</v>
      </c>
      <c r="B5022">
        <v>0</v>
      </c>
    </row>
    <row r="5023" spans="1:2" x14ac:dyDescent="0.25">
      <c r="A5023">
        <v>9131</v>
      </c>
      <c r="B5023">
        <v>0</v>
      </c>
    </row>
    <row r="5024" spans="1:2" x14ac:dyDescent="0.25">
      <c r="A5024">
        <v>9132</v>
      </c>
      <c r="B5024">
        <v>0</v>
      </c>
    </row>
    <row r="5025" spans="1:2" x14ac:dyDescent="0.25">
      <c r="A5025">
        <v>9133</v>
      </c>
      <c r="B5025">
        <v>0</v>
      </c>
    </row>
    <row r="5026" spans="1:2" x14ac:dyDescent="0.25">
      <c r="A5026">
        <v>9134</v>
      </c>
      <c r="B5026">
        <v>0</v>
      </c>
    </row>
    <row r="5027" spans="1:2" x14ac:dyDescent="0.25">
      <c r="A5027">
        <v>9135</v>
      </c>
      <c r="B5027">
        <v>0</v>
      </c>
    </row>
    <row r="5028" spans="1:2" x14ac:dyDescent="0.25">
      <c r="A5028">
        <v>9136</v>
      </c>
      <c r="B5028">
        <v>0</v>
      </c>
    </row>
    <row r="5029" spans="1:2" x14ac:dyDescent="0.25">
      <c r="A5029">
        <v>9137</v>
      </c>
      <c r="B5029">
        <v>0</v>
      </c>
    </row>
    <row r="5030" spans="1:2" x14ac:dyDescent="0.25">
      <c r="A5030">
        <v>9138</v>
      </c>
      <c r="B5030">
        <v>0</v>
      </c>
    </row>
    <row r="5031" spans="1:2" x14ac:dyDescent="0.25">
      <c r="A5031">
        <v>9139</v>
      </c>
      <c r="B5031">
        <v>0</v>
      </c>
    </row>
    <row r="5032" spans="1:2" x14ac:dyDescent="0.25">
      <c r="A5032">
        <v>9140</v>
      </c>
      <c r="B5032">
        <v>0</v>
      </c>
    </row>
    <row r="5033" spans="1:2" x14ac:dyDescent="0.25">
      <c r="A5033">
        <v>9141</v>
      </c>
      <c r="B5033">
        <v>0</v>
      </c>
    </row>
    <row r="5034" spans="1:2" x14ac:dyDescent="0.25">
      <c r="A5034">
        <v>9142</v>
      </c>
      <c r="B5034">
        <v>0</v>
      </c>
    </row>
    <row r="5035" spans="1:2" x14ac:dyDescent="0.25">
      <c r="A5035">
        <v>9143</v>
      </c>
      <c r="B5035">
        <v>0</v>
      </c>
    </row>
    <row r="5036" spans="1:2" x14ac:dyDescent="0.25">
      <c r="A5036">
        <v>9144</v>
      </c>
      <c r="B5036">
        <v>0</v>
      </c>
    </row>
    <row r="5037" spans="1:2" x14ac:dyDescent="0.25">
      <c r="A5037">
        <v>9145</v>
      </c>
      <c r="B5037">
        <v>0</v>
      </c>
    </row>
    <row r="5038" spans="1:2" x14ac:dyDescent="0.25">
      <c r="A5038">
        <v>9146</v>
      </c>
      <c r="B5038">
        <v>0</v>
      </c>
    </row>
    <row r="5039" spans="1:2" x14ac:dyDescent="0.25">
      <c r="A5039">
        <v>9147</v>
      </c>
      <c r="B5039">
        <v>0</v>
      </c>
    </row>
    <row r="5040" spans="1:2" x14ac:dyDescent="0.25">
      <c r="A5040">
        <v>9148</v>
      </c>
      <c r="B5040">
        <v>20</v>
      </c>
    </row>
    <row r="5041" spans="1:2" x14ac:dyDescent="0.25">
      <c r="A5041">
        <v>9151</v>
      </c>
      <c r="B5041">
        <v>0</v>
      </c>
    </row>
    <row r="5042" spans="1:2" x14ac:dyDescent="0.25">
      <c r="A5042">
        <v>9153</v>
      </c>
      <c r="B5042">
        <v>0</v>
      </c>
    </row>
    <row r="5043" spans="1:2" x14ac:dyDescent="0.25">
      <c r="A5043">
        <v>9154</v>
      </c>
      <c r="B5043">
        <v>0</v>
      </c>
    </row>
    <row r="5044" spans="1:2" x14ac:dyDescent="0.25">
      <c r="A5044">
        <v>9155</v>
      </c>
      <c r="B5044">
        <v>0</v>
      </c>
    </row>
    <row r="5045" spans="1:2" x14ac:dyDescent="0.25">
      <c r="A5045">
        <v>9157</v>
      </c>
      <c r="B5045">
        <v>0</v>
      </c>
    </row>
    <row r="5046" spans="1:2" x14ac:dyDescent="0.25">
      <c r="A5046">
        <v>9158</v>
      </c>
      <c r="B5046">
        <v>0</v>
      </c>
    </row>
    <row r="5047" spans="1:2" x14ac:dyDescent="0.25">
      <c r="A5047">
        <v>9161</v>
      </c>
      <c r="B5047">
        <v>0</v>
      </c>
    </row>
    <row r="5048" spans="1:2" x14ac:dyDescent="0.25">
      <c r="A5048">
        <v>9162</v>
      </c>
      <c r="B5048">
        <v>0</v>
      </c>
    </row>
    <row r="5049" spans="1:2" x14ac:dyDescent="0.25">
      <c r="A5049">
        <v>9164</v>
      </c>
      <c r="B5049">
        <v>0</v>
      </c>
    </row>
    <row r="5050" spans="1:2" x14ac:dyDescent="0.25">
      <c r="A5050">
        <v>9165</v>
      </c>
      <c r="B5050">
        <v>0</v>
      </c>
    </row>
    <row r="5051" spans="1:2" x14ac:dyDescent="0.25">
      <c r="A5051">
        <v>9167</v>
      </c>
      <c r="B5051">
        <v>0</v>
      </c>
    </row>
    <row r="5052" spans="1:2" x14ac:dyDescent="0.25">
      <c r="A5052">
        <v>9169</v>
      </c>
      <c r="B5052">
        <v>0</v>
      </c>
    </row>
    <row r="5053" spans="1:2" x14ac:dyDescent="0.25">
      <c r="A5053">
        <v>9171</v>
      </c>
      <c r="B5053">
        <v>0</v>
      </c>
    </row>
    <row r="5054" spans="1:2" x14ac:dyDescent="0.25">
      <c r="A5054">
        <v>9173</v>
      </c>
      <c r="B5054">
        <v>0</v>
      </c>
    </row>
    <row r="5055" spans="1:2" x14ac:dyDescent="0.25">
      <c r="A5055">
        <v>9175</v>
      </c>
      <c r="B5055">
        <v>0</v>
      </c>
    </row>
    <row r="5056" spans="1:2" x14ac:dyDescent="0.25">
      <c r="A5056">
        <v>9177</v>
      </c>
      <c r="B5056">
        <v>0</v>
      </c>
    </row>
    <row r="5057" spans="1:2" x14ac:dyDescent="0.25">
      <c r="A5057">
        <v>9180</v>
      </c>
      <c r="B5057">
        <v>0</v>
      </c>
    </row>
    <row r="5058" spans="1:2" x14ac:dyDescent="0.25">
      <c r="A5058">
        <v>9181</v>
      </c>
      <c r="B5058">
        <v>0</v>
      </c>
    </row>
    <row r="5059" spans="1:2" x14ac:dyDescent="0.25">
      <c r="A5059">
        <v>9182</v>
      </c>
      <c r="B5059">
        <v>0</v>
      </c>
    </row>
    <row r="5060" spans="1:2" x14ac:dyDescent="0.25">
      <c r="A5060">
        <v>9183</v>
      </c>
      <c r="B5060">
        <v>0</v>
      </c>
    </row>
    <row r="5061" spans="1:2" x14ac:dyDescent="0.25">
      <c r="A5061">
        <v>9187</v>
      </c>
      <c r="B5061">
        <v>0</v>
      </c>
    </row>
    <row r="5062" spans="1:2" x14ac:dyDescent="0.25">
      <c r="A5062">
        <v>9190</v>
      </c>
      <c r="B5062">
        <v>0</v>
      </c>
    </row>
    <row r="5063" spans="1:2" x14ac:dyDescent="0.25">
      <c r="A5063">
        <v>9194</v>
      </c>
      <c r="B5063">
        <v>0</v>
      </c>
    </row>
    <row r="5064" spans="1:2" x14ac:dyDescent="0.25">
      <c r="A5064">
        <v>9196</v>
      </c>
      <c r="B5064">
        <v>0</v>
      </c>
    </row>
    <row r="5065" spans="1:2" x14ac:dyDescent="0.25">
      <c r="A5065">
        <v>9198</v>
      </c>
      <c r="B5065">
        <v>0</v>
      </c>
    </row>
    <row r="5066" spans="1:2" x14ac:dyDescent="0.25">
      <c r="A5066">
        <v>9200</v>
      </c>
      <c r="B5066">
        <v>0</v>
      </c>
    </row>
    <row r="5067" spans="1:2" x14ac:dyDescent="0.25">
      <c r="A5067">
        <v>9201</v>
      </c>
      <c r="B5067">
        <v>0</v>
      </c>
    </row>
    <row r="5068" spans="1:2" x14ac:dyDescent="0.25">
      <c r="A5068">
        <v>9202</v>
      </c>
      <c r="B5068">
        <v>0</v>
      </c>
    </row>
    <row r="5069" spans="1:2" x14ac:dyDescent="0.25">
      <c r="A5069">
        <v>9207</v>
      </c>
      <c r="B5069">
        <v>0</v>
      </c>
    </row>
    <row r="5070" spans="1:2" x14ac:dyDescent="0.25">
      <c r="A5070">
        <v>9208</v>
      </c>
      <c r="B5070">
        <v>0</v>
      </c>
    </row>
    <row r="5071" spans="1:2" x14ac:dyDescent="0.25">
      <c r="A5071">
        <v>9209</v>
      </c>
      <c r="B5071">
        <v>0</v>
      </c>
    </row>
    <row r="5072" spans="1:2" x14ac:dyDescent="0.25">
      <c r="A5072">
        <v>9210</v>
      </c>
      <c r="B5072">
        <v>0</v>
      </c>
    </row>
    <row r="5073" spans="1:2" x14ac:dyDescent="0.25">
      <c r="A5073">
        <v>9211</v>
      </c>
      <c r="B5073">
        <v>0</v>
      </c>
    </row>
    <row r="5074" spans="1:2" x14ac:dyDescent="0.25">
      <c r="A5074">
        <v>9212</v>
      </c>
      <c r="B5074">
        <v>0</v>
      </c>
    </row>
    <row r="5075" spans="1:2" x14ac:dyDescent="0.25">
      <c r="A5075">
        <v>9213</v>
      </c>
      <c r="B5075">
        <v>0</v>
      </c>
    </row>
    <row r="5076" spans="1:2" x14ac:dyDescent="0.25">
      <c r="A5076">
        <v>9214</v>
      </c>
      <c r="B5076">
        <v>0</v>
      </c>
    </row>
    <row r="5077" spans="1:2" x14ac:dyDescent="0.25">
      <c r="A5077">
        <v>9215</v>
      </c>
      <c r="B5077">
        <v>0</v>
      </c>
    </row>
    <row r="5078" spans="1:2" x14ac:dyDescent="0.25">
      <c r="A5078">
        <v>9216</v>
      </c>
      <c r="B5078">
        <v>0</v>
      </c>
    </row>
    <row r="5079" spans="1:2" x14ac:dyDescent="0.25">
      <c r="A5079">
        <v>9217</v>
      </c>
      <c r="B5079">
        <v>0</v>
      </c>
    </row>
    <row r="5080" spans="1:2" x14ac:dyDescent="0.25">
      <c r="A5080">
        <v>9219</v>
      </c>
      <c r="B5080">
        <v>0</v>
      </c>
    </row>
    <row r="5081" spans="1:2" x14ac:dyDescent="0.25">
      <c r="A5081">
        <v>9222</v>
      </c>
      <c r="B5081">
        <v>0</v>
      </c>
    </row>
    <row r="5082" spans="1:2" x14ac:dyDescent="0.25">
      <c r="A5082">
        <v>9223</v>
      </c>
      <c r="B5082">
        <v>0</v>
      </c>
    </row>
    <row r="5083" spans="1:2" x14ac:dyDescent="0.25">
      <c r="A5083">
        <v>9224</v>
      </c>
      <c r="B5083">
        <v>0</v>
      </c>
    </row>
    <row r="5084" spans="1:2" x14ac:dyDescent="0.25">
      <c r="A5084">
        <v>9226</v>
      </c>
      <c r="B5084">
        <v>0</v>
      </c>
    </row>
    <row r="5085" spans="1:2" x14ac:dyDescent="0.25">
      <c r="A5085">
        <v>9228</v>
      </c>
      <c r="B5085">
        <v>0</v>
      </c>
    </row>
    <row r="5086" spans="1:2" x14ac:dyDescent="0.25">
      <c r="A5086">
        <v>9233</v>
      </c>
      <c r="B5086">
        <v>0</v>
      </c>
    </row>
    <row r="5087" spans="1:2" x14ac:dyDescent="0.25">
      <c r="A5087">
        <v>9234</v>
      </c>
      <c r="B5087">
        <v>0</v>
      </c>
    </row>
    <row r="5088" spans="1:2" x14ac:dyDescent="0.25">
      <c r="A5088">
        <v>9235</v>
      </c>
      <c r="B5088">
        <v>0</v>
      </c>
    </row>
    <row r="5089" spans="1:2" x14ac:dyDescent="0.25">
      <c r="A5089">
        <v>9236</v>
      </c>
      <c r="B5089">
        <v>0</v>
      </c>
    </row>
    <row r="5090" spans="1:2" x14ac:dyDescent="0.25">
      <c r="A5090">
        <v>9237</v>
      </c>
      <c r="B5090">
        <v>0</v>
      </c>
    </row>
    <row r="5091" spans="1:2" x14ac:dyDescent="0.25">
      <c r="A5091">
        <v>9238</v>
      </c>
      <c r="B5091">
        <v>0</v>
      </c>
    </row>
    <row r="5092" spans="1:2" x14ac:dyDescent="0.25">
      <c r="A5092">
        <v>9239</v>
      </c>
      <c r="B5092">
        <v>0</v>
      </c>
    </row>
    <row r="5093" spans="1:2" x14ac:dyDescent="0.25">
      <c r="A5093">
        <v>9240</v>
      </c>
      <c r="B5093">
        <v>0</v>
      </c>
    </row>
    <row r="5094" spans="1:2" x14ac:dyDescent="0.25">
      <c r="A5094">
        <v>9241</v>
      </c>
      <c r="B5094">
        <v>0</v>
      </c>
    </row>
    <row r="5095" spans="1:2" x14ac:dyDescent="0.25">
      <c r="A5095">
        <v>9248</v>
      </c>
      <c r="B5095">
        <v>0</v>
      </c>
    </row>
    <row r="5096" spans="1:2" x14ac:dyDescent="0.25">
      <c r="A5096">
        <v>9249</v>
      </c>
      <c r="B5096">
        <v>0</v>
      </c>
    </row>
    <row r="5097" spans="1:2" x14ac:dyDescent="0.25">
      <c r="A5097">
        <v>9250</v>
      </c>
      <c r="B5097">
        <v>0</v>
      </c>
    </row>
    <row r="5098" spans="1:2" x14ac:dyDescent="0.25">
      <c r="A5098">
        <v>9251</v>
      </c>
      <c r="B5098">
        <v>0</v>
      </c>
    </row>
    <row r="5099" spans="1:2" x14ac:dyDescent="0.25">
      <c r="A5099">
        <v>9252</v>
      </c>
      <c r="B5099">
        <v>0</v>
      </c>
    </row>
    <row r="5100" spans="1:2" x14ac:dyDescent="0.25">
      <c r="A5100">
        <v>9253</v>
      </c>
      <c r="B5100">
        <v>0</v>
      </c>
    </row>
    <row r="5101" spans="1:2" x14ac:dyDescent="0.25">
      <c r="A5101">
        <v>9254</v>
      </c>
      <c r="B5101">
        <v>0</v>
      </c>
    </row>
    <row r="5102" spans="1:2" x14ac:dyDescent="0.25">
      <c r="A5102">
        <v>9255</v>
      </c>
      <c r="B5102">
        <v>0</v>
      </c>
    </row>
    <row r="5103" spans="1:2" x14ac:dyDescent="0.25">
      <c r="A5103">
        <v>9256</v>
      </c>
      <c r="B5103">
        <v>0</v>
      </c>
    </row>
    <row r="5104" spans="1:2" x14ac:dyDescent="0.25">
      <c r="A5104">
        <v>9257</v>
      </c>
      <c r="B5104">
        <v>0</v>
      </c>
    </row>
    <row r="5105" spans="1:2" x14ac:dyDescent="0.25">
      <c r="A5105">
        <v>9258</v>
      </c>
      <c r="B5105">
        <v>0</v>
      </c>
    </row>
    <row r="5106" spans="1:2" x14ac:dyDescent="0.25">
      <c r="A5106">
        <v>9259</v>
      </c>
      <c r="B5106">
        <v>0</v>
      </c>
    </row>
    <row r="5107" spans="1:2" x14ac:dyDescent="0.25">
      <c r="A5107">
        <v>9260</v>
      </c>
      <c r="B5107">
        <v>0</v>
      </c>
    </row>
    <row r="5108" spans="1:2" x14ac:dyDescent="0.25">
      <c r="A5108">
        <v>9261</v>
      </c>
      <c r="B5108">
        <v>0</v>
      </c>
    </row>
    <row r="5109" spans="1:2" x14ac:dyDescent="0.25">
      <c r="A5109">
        <v>9264</v>
      </c>
      <c r="B5109">
        <v>0</v>
      </c>
    </row>
    <row r="5110" spans="1:2" x14ac:dyDescent="0.25">
      <c r="A5110">
        <v>9265</v>
      </c>
      <c r="B5110">
        <v>0</v>
      </c>
    </row>
    <row r="5111" spans="1:2" x14ac:dyDescent="0.25">
      <c r="A5111">
        <v>9266</v>
      </c>
      <c r="B5111">
        <v>0</v>
      </c>
    </row>
    <row r="5112" spans="1:2" x14ac:dyDescent="0.25">
      <c r="A5112">
        <v>9267</v>
      </c>
      <c r="B5112">
        <v>0</v>
      </c>
    </row>
    <row r="5113" spans="1:2" x14ac:dyDescent="0.25">
      <c r="A5113">
        <v>9268</v>
      </c>
      <c r="B5113">
        <v>0</v>
      </c>
    </row>
    <row r="5114" spans="1:2" x14ac:dyDescent="0.25">
      <c r="A5114">
        <v>9270</v>
      </c>
      <c r="B5114">
        <v>0</v>
      </c>
    </row>
    <row r="5115" spans="1:2" x14ac:dyDescent="0.25">
      <c r="A5115">
        <v>9271</v>
      </c>
      <c r="B5115">
        <v>0</v>
      </c>
    </row>
    <row r="5116" spans="1:2" x14ac:dyDescent="0.25">
      <c r="A5116">
        <v>9273</v>
      </c>
      <c r="B5116">
        <v>0</v>
      </c>
    </row>
    <row r="5117" spans="1:2" x14ac:dyDescent="0.25">
      <c r="A5117">
        <v>9274</v>
      </c>
      <c r="B5117">
        <v>18</v>
      </c>
    </row>
    <row r="5118" spans="1:2" x14ac:dyDescent="0.25">
      <c r="A5118">
        <v>9276</v>
      </c>
      <c r="B5118">
        <v>18</v>
      </c>
    </row>
    <row r="5119" spans="1:2" x14ac:dyDescent="0.25">
      <c r="A5119">
        <v>9277</v>
      </c>
      <c r="B5119">
        <v>0</v>
      </c>
    </row>
    <row r="5120" spans="1:2" x14ac:dyDescent="0.25">
      <c r="A5120">
        <v>9279</v>
      </c>
      <c r="B5120">
        <v>0</v>
      </c>
    </row>
    <row r="5121" spans="1:2" x14ac:dyDescent="0.25">
      <c r="A5121">
        <v>9280</v>
      </c>
      <c r="B5121">
        <v>0</v>
      </c>
    </row>
    <row r="5122" spans="1:2" x14ac:dyDescent="0.25">
      <c r="A5122">
        <v>9281</v>
      </c>
      <c r="B5122">
        <v>0</v>
      </c>
    </row>
    <row r="5123" spans="1:2" x14ac:dyDescent="0.25">
      <c r="A5123">
        <v>9285</v>
      </c>
      <c r="B5123">
        <v>0</v>
      </c>
    </row>
    <row r="5124" spans="1:2" x14ac:dyDescent="0.25">
      <c r="A5124">
        <v>9286</v>
      </c>
      <c r="B5124">
        <v>0</v>
      </c>
    </row>
    <row r="5125" spans="1:2" x14ac:dyDescent="0.25">
      <c r="A5125">
        <v>9287</v>
      </c>
      <c r="B5125">
        <v>0</v>
      </c>
    </row>
    <row r="5126" spans="1:2" x14ac:dyDescent="0.25">
      <c r="A5126">
        <v>9288</v>
      </c>
      <c r="B5126">
        <v>0</v>
      </c>
    </row>
    <row r="5127" spans="1:2" x14ac:dyDescent="0.25">
      <c r="A5127">
        <v>9289</v>
      </c>
      <c r="B5127">
        <v>0</v>
      </c>
    </row>
    <row r="5128" spans="1:2" x14ac:dyDescent="0.25">
      <c r="A5128">
        <v>9290</v>
      </c>
      <c r="B5128">
        <v>0</v>
      </c>
    </row>
    <row r="5129" spans="1:2" x14ac:dyDescent="0.25">
      <c r="A5129">
        <v>9291</v>
      </c>
      <c r="B5129">
        <v>0</v>
      </c>
    </row>
    <row r="5130" spans="1:2" x14ac:dyDescent="0.25">
      <c r="A5130">
        <v>9292</v>
      </c>
      <c r="B5130">
        <v>0</v>
      </c>
    </row>
    <row r="5131" spans="1:2" x14ac:dyDescent="0.25">
      <c r="A5131">
        <v>9293</v>
      </c>
      <c r="B5131">
        <v>0</v>
      </c>
    </row>
    <row r="5132" spans="1:2" x14ac:dyDescent="0.25">
      <c r="A5132">
        <v>9294</v>
      </c>
      <c r="B5132">
        <v>0</v>
      </c>
    </row>
    <row r="5133" spans="1:2" x14ac:dyDescent="0.25">
      <c r="A5133">
        <v>9295</v>
      </c>
      <c r="B5133">
        <v>0</v>
      </c>
    </row>
    <row r="5134" spans="1:2" x14ac:dyDescent="0.25">
      <c r="A5134">
        <v>9296</v>
      </c>
      <c r="B5134">
        <v>0</v>
      </c>
    </row>
    <row r="5135" spans="1:2" x14ac:dyDescent="0.25">
      <c r="A5135">
        <v>9297</v>
      </c>
      <c r="B5135">
        <v>0</v>
      </c>
    </row>
    <row r="5136" spans="1:2" x14ac:dyDescent="0.25">
      <c r="A5136">
        <v>9298</v>
      </c>
      <c r="B5136">
        <v>0</v>
      </c>
    </row>
    <row r="5137" spans="1:2" x14ac:dyDescent="0.25">
      <c r="A5137">
        <v>9299</v>
      </c>
      <c r="B5137">
        <v>0</v>
      </c>
    </row>
    <row r="5138" spans="1:2" x14ac:dyDescent="0.25">
      <c r="A5138">
        <v>9300</v>
      </c>
      <c r="B5138">
        <v>0</v>
      </c>
    </row>
    <row r="5139" spans="1:2" x14ac:dyDescent="0.25">
      <c r="A5139">
        <v>9301</v>
      </c>
      <c r="B5139">
        <v>0</v>
      </c>
    </row>
    <row r="5140" spans="1:2" x14ac:dyDescent="0.25">
      <c r="A5140">
        <v>9302</v>
      </c>
      <c r="B5140">
        <v>0</v>
      </c>
    </row>
    <row r="5141" spans="1:2" x14ac:dyDescent="0.25">
      <c r="A5141">
        <v>9303</v>
      </c>
      <c r="B5141">
        <v>0</v>
      </c>
    </row>
    <row r="5142" spans="1:2" x14ac:dyDescent="0.25">
      <c r="A5142">
        <v>9304</v>
      </c>
      <c r="B5142">
        <v>0</v>
      </c>
    </row>
    <row r="5143" spans="1:2" x14ac:dyDescent="0.25">
      <c r="A5143">
        <v>9305</v>
      </c>
      <c r="B5143">
        <v>0</v>
      </c>
    </row>
    <row r="5144" spans="1:2" x14ac:dyDescent="0.25">
      <c r="A5144">
        <v>9306</v>
      </c>
      <c r="B5144">
        <v>0</v>
      </c>
    </row>
    <row r="5145" spans="1:2" x14ac:dyDescent="0.25">
      <c r="A5145">
        <v>9307</v>
      </c>
      <c r="B5145">
        <v>0</v>
      </c>
    </row>
    <row r="5146" spans="1:2" x14ac:dyDescent="0.25">
      <c r="A5146">
        <v>9308</v>
      </c>
      <c r="B5146">
        <v>0</v>
      </c>
    </row>
    <row r="5147" spans="1:2" x14ac:dyDescent="0.25">
      <c r="A5147">
        <v>9309</v>
      </c>
      <c r="B5147">
        <v>0</v>
      </c>
    </row>
    <row r="5148" spans="1:2" x14ac:dyDescent="0.25">
      <c r="A5148">
        <v>9310</v>
      </c>
      <c r="B5148">
        <v>0</v>
      </c>
    </row>
    <row r="5149" spans="1:2" x14ac:dyDescent="0.25">
      <c r="A5149">
        <v>9311</v>
      </c>
      <c r="B5149">
        <v>0</v>
      </c>
    </row>
    <row r="5150" spans="1:2" x14ac:dyDescent="0.25">
      <c r="A5150">
        <v>9312</v>
      </c>
      <c r="B5150">
        <v>0</v>
      </c>
    </row>
    <row r="5151" spans="1:2" x14ac:dyDescent="0.25">
      <c r="A5151">
        <v>9313</v>
      </c>
      <c r="B5151">
        <v>0</v>
      </c>
    </row>
    <row r="5152" spans="1:2" x14ac:dyDescent="0.25">
      <c r="A5152">
        <v>9314</v>
      </c>
      <c r="B5152">
        <v>0</v>
      </c>
    </row>
    <row r="5153" spans="1:2" x14ac:dyDescent="0.25">
      <c r="A5153">
        <v>9316</v>
      </c>
      <c r="B5153">
        <v>0</v>
      </c>
    </row>
    <row r="5154" spans="1:2" x14ac:dyDescent="0.25">
      <c r="A5154">
        <v>9318</v>
      </c>
      <c r="B5154">
        <v>0</v>
      </c>
    </row>
    <row r="5155" spans="1:2" x14ac:dyDescent="0.25">
      <c r="A5155">
        <v>9319</v>
      </c>
      <c r="B5155">
        <v>0</v>
      </c>
    </row>
    <row r="5156" spans="1:2" x14ac:dyDescent="0.25">
      <c r="A5156">
        <v>9320</v>
      </c>
      <c r="B5156">
        <v>12</v>
      </c>
    </row>
    <row r="5157" spans="1:2" x14ac:dyDescent="0.25">
      <c r="A5157">
        <v>9327</v>
      </c>
      <c r="B5157">
        <v>0</v>
      </c>
    </row>
    <row r="5158" spans="1:2" x14ac:dyDescent="0.25">
      <c r="A5158">
        <v>9329</v>
      </c>
      <c r="B5158">
        <v>0</v>
      </c>
    </row>
    <row r="5159" spans="1:2" x14ac:dyDescent="0.25">
      <c r="A5159">
        <v>9331</v>
      </c>
      <c r="B5159">
        <v>0</v>
      </c>
    </row>
    <row r="5160" spans="1:2" x14ac:dyDescent="0.25">
      <c r="A5160">
        <v>9337</v>
      </c>
      <c r="B5160">
        <v>0</v>
      </c>
    </row>
    <row r="5161" spans="1:2" x14ac:dyDescent="0.25">
      <c r="A5161">
        <v>9339</v>
      </c>
      <c r="B5161">
        <v>0</v>
      </c>
    </row>
    <row r="5162" spans="1:2" x14ac:dyDescent="0.25">
      <c r="A5162">
        <v>9341</v>
      </c>
      <c r="B5162">
        <v>0</v>
      </c>
    </row>
    <row r="5163" spans="1:2" x14ac:dyDescent="0.25">
      <c r="A5163">
        <v>9343</v>
      </c>
      <c r="B5163">
        <v>0</v>
      </c>
    </row>
    <row r="5164" spans="1:2" x14ac:dyDescent="0.25">
      <c r="A5164">
        <v>9345</v>
      </c>
      <c r="B5164">
        <v>0</v>
      </c>
    </row>
    <row r="5165" spans="1:2" x14ac:dyDescent="0.25">
      <c r="A5165">
        <v>9347</v>
      </c>
      <c r="B5165">
        <v>0</v>
      </c>
    </row>
    <row r="5166" spans="1:2" x14ac:dyDescent="0.25">
      <c r="A5166">
        <v>9349</v>
      </c>
      <c r="B5166">
        <v>0</v>
      </c>
    </row>
    <row r="5167" spans="1:2" x14ac:dyDescent="0.25">
      <c r="A5167">
        <v>9351</v>
      </c>
      <c r="B5167">
        <v>0</v>
      </c>
    </row>
    <row r="5168" spans="1:2" x14ac:dyDescent="0.25">
      <c r="A5168">
        <v>9353</v>
      </c>
      <c r="B5168">
        <v>0</v>
      </c>
    </row>
    <row r="5169" spans="1:2" x14ac:dyDescent="0.25">
      <c r="A5169">
        <v>9355</v>
      </c>
      <c r="B5169">
        <v>0</v>
      </c>
    </row>
    <row r="5170" spans="1:2" x14ac:dyDescent="0.25">
      <c r="A5170">
        <v>9356</v>
      </c>
      <c r="B5170">
        <v>0</v>
      </c>
    </row>
    <row r="5171" spans="1:2" x14ac:dyDescent="0.25">
      <c r="A5171">
        <v>9358</v>
      </c>
      <c r="B5171">
        <v>0</v>
      </c>
    </row>
    <row r="5172" spans="1:2" x14ac:dyDescent="0.25">
      <c r="A5172">
        <v>9361</v>
      </c>
      <c r="B5172">
        <v>0</v>
      </c>
    </row>
    <row r="5173" spans="1:2" x14ac:dyDescent="0.25">
      <c r="A5173">
        <v>9362</v>
      </c>
      <c r="B5173">
        <v>0</v>
      </c>
    </row>
    <row r="5174" spans="1:2" x14ac:dyDescent="0.25">
      <c r="A5174">
        <v>9363</v>
      </c>
      <c r="B5174">
        <v>0</v>
      </c>
    </row>
    <row r="5175" spans="1:2" x14ac:dyDescent="0.25">
      <c r="A5175">
        <v>9365</v>
      </c>
      <c r="B5175">
        <v>0</v>
      </c>
    </row>
    <row r="5176" spans="1:2" x14ac:dyDescent="0.25">
      <c r="A5176">
        <v>9367</v>
      </c>
      <c r="B5176">
        <v>0</v>
      </c>
    </row>
    <row r="5177" spans="1:2" x14ac:dyDescent="0.25">
      <c r="A5177">
        <v>9376</v>
      </c>
      <c r="B5177">
        <v>0</v>
      </c>
    </row>
    <row r="5178" spans="1:2" x14ac:dyDescent="0.25">
      <c r="A5178">
        <v>9377</v>
      </c>
      <c r="B5178">
        <v>0</v>
      </c>
    </row>
    <row r="5179" spans="1:2" x14ac:dyDescent="0.25">
      <c r="A5179">
        <v>9379</v>
      </c>
      <c r="B5179">
        <v>0</v>
      </c>
    </row>
    <row r="5180" spans="1:2" x14ac:dyDescent="0.25">
      <c r="A5180">
        <v>9381</v>
      </c>
      <c r="B5180">
        <v>0</v>
      </c>
    </row>
    <row r="5181" spans="1:2" x14ac:dyDescent="0.25">
      <c r="A5181">
        <v>9383</v>
      </c>
      <c r="B5181">
        <v>0</v>
      </c>
    </row>
    <row r="5182" spans="1:2" x14ac:dyDescent="0.25">
      <c r="A5182">
        <v>9385</v>
      </c>
      <c r="B5182">
        <v>0</v>
      </c>
    </row>
    <row r="5183" spans="1:2" x14ac:dyDescent="0.25">
      <c r="A5183">
        <v>9386</v>
      </c>
      <c r="B5183">
        <v>0</v>
      </c>
    </row>
    <row r="5184" spans="1:2" x14ac:dyDescent="0.25">
      <c r="A5184">
        <v>9387</v>
      </c>
      <c r="B5184">
        <v>0</v>
      </c>
    </row>
    <row r="5185" spans="1:2" x14ac:dyDescent="0.25">
      <c r="A5185">
        <v>9389</v>
      </c>
      <c r="B5185">
        <v>0</v>
      </c>
    </row>
    <row r="5186" spans="1:2" x14ac:dyDescent="0.25">
      <c r="A5186">
        <v>9390</v>
      </c>
      <c r="B5186">
        <v>0</v>
      </c>
    </row>
    <row r="5187" spans="1:2" x14ac:dyDescent="0.25">
      <c r="A5187">
        <v>9392</v>
      </c>
      <c r="B5187">
        <v>0</v>
      </c>
    </row>
    <row r="5188" spans="1:2" x14ac:dyDescent="0.25">
      <c r="A5188">
        <v>9393</v>
      </c>
      <c r="B5188">
        <v>0</v>
      </c>
    </row>
    <row r="5189" spans="1:2" x14ac:dyDescent="0.25">
      <c r="A5189">
        <v>9395</v>
      </c>
      <c r="B5189">
        <v>0</v>
      </c>
    </row>
    <row r="5190" spans="1:2" x14ac:dyDescent="0.25">
      <c r="A5190">
        <v>9402</v>
      </c>
      <c r="B5190">
        <v>0</v>
      </c>
    </row>
    <row r="5191" spans="1:2" x14ac:dyDescent="0.25">
      <c r="A5191">
        <v>9403</v>
      </c>
      <c r="B5191">
        <v>0</v>
      </c>
    </row>
    <row r="5192" spans="1:2" x14ac:dyDescent="0.25">
      <c r="A5192">
        <v>9404</v>
      </c>
      <c r="B5192">
        <v>0</v>
      </c>
    </row>
    <row r="5193" spans="1:2" x14ac:dyDescent="0.25">
      <c r="A5193">
        <v>9405</v>
      </c>
      <c r="B5193">
        <v>0</v>
      </c>
    </row>
    <row r="5194" spans="1:2" x14ac:dyDescent="0.25">
      <c r="A5194">
        <v>9406</v>
      </c>
      <c r="B5194">
        <v>0</v>
      </c>
    </row>
    <row r="5195" spans="1:2" x14ac:dyDescent="0.25">
      <c r="A5195">
        <v>9407</v>
      </c>
      <c r="B5195">
        <v>0</v>
      </c>
    </row>
    <row r="5196" spans="1:2" x14ac:dyDescent="0.25">
      <c r="A5196">
        <v>9408</v>
      </c>
      <c r="B5196">
        <v>0</v>
      </c>
    </row>
    <row r="5197" spans="1:2" x14ac:dyDescent="0.25">
      <c r="A5197">
        <v>9409</v>
      </c>
      <c r="B5197">
        <v>0</v>
      </c>
    </row>
    <row r="5198" spans="1:2" x14ac:dyDescent="0.25">
      <c r="A5198">
        <v>9410</v>
      </c>
      <c r="B5198">
        <v>0</v>
      </c>
    </row>
    <row r="5199" spans="1:2" x14ac:dyDescent="0.25">
      <c r="A5199">
        <v>9411</v>
      </c>
      <c r="B5199">
        <v>0</v>
      </c>
    </row>
    <row r="5200" spans="1:2" x14ac:dyDescent="0.25">
      <c r="A5200">
        <v>9412</v>
      </c>
      <c r="B5200">
        <v>0</v>
      </c>
    </row>
    <row r="5201" spans="1:2" x14ac:dyDescent="0.25">
      <c r="A5201">
        <v>9413</v>
      </c>
      <c r="B5201">
        <v>0</v>
      </c>
    </row>
    <row r="5202" spans="1:2" x14ac:dyDescent="0.25">
      <c r="A5202">
        <v>9414</v>
      </c>
      <c r="B5202">
        <v>0</v>
      </c>
    </row>
    <row r="5203" spans="1:2" x14ac:dyDescent="0.25">
      <c r="A5203">
        <v>9415</v>
      </c>
      <c r="B5203">
        <v>0</v>
      </c>
    </row>
    <row r="5204" spans="1:2" x14ac:dyDescent="0.25">
      <c r="A5204">
        <v>9416</v>
      </c>
      <c r="B5204">
        <v>0</v>
      </c>
    </row>
    <row r="5205" spans="1:2" x14ac:dyDescent="0.25">
      <c r="A5205">
        <v>9417</v>
      </c>
      <c r="B5205">
        <v>0</v>
      </c>
    </row>
    <row r="5206" spans="1:2" x14ac:dyDescent="0.25">
      <c r="A5206">
        <v>9418</v>
      </c>
      <c r="B5206">
        <v>0</v>
      </c>
    </row>
    <row r="5207" spans="1:2" x14ac:dyDescent="0.25">
      <c r="A5207">
        <v>9419</v>
      </c>
      <c r="B5207">
        <v>0</v>
      </c>
    </row>
    <row r="5208" spans="1:2" x14ac:dyDescent="0.25">
      <c r="A5208">
        <v>9420</v>
      </c>
      <c r="B5208">
        <v>0</v>
      </c>
    </row>
    <row r="5209" spans="1:2" x14ac:dyDescent="0.25">
      <c r="A5209">
        <v>9421</v>
      </c>
      <c r="B5209">
        <v>0</v>
      </c>
    </row>
    <row r="5210" spans="1:2" x14ac:dyDescent="0.25">
      <c r="A5210">
        <v>9422</v>
      </c>
      <c r="B5210">
        <v>0</v>
      </c>
    </row>
    <row r="5211" spans="1:2" x14ac:dyDescent="0.25">
      <c r="A5211">
        <v>9423</v>
      </c>
      <c r="B5211">
        <v>0</v>
      </c>
    </row>
    <row r="5212" spans="1:2" x14ac:dyDescent="0.25">
      <c r="A5212">
        <v>9425</v>
      </c>
      <c r="B5212">
        <v>0</v>
      </c>
    </row>
    <row r="5213" spans="1:2" x14ac:dyDescent="0.25">
      <c r="A5213">
        <v>9427</v>
      </c>
      <c r="B5213">
        <v>0</v>
      </c>
    </row>
    <row r="5214" spans="1:2" x14ac:dyDescent="0.25">
      <c r="A5214">
        <v>9428</v>
      </c>
      <c r="B5214">
        <v>0</v>
      </c>
    </row>
    <row r="5215" spans="1:2" x14ac:dyDescent="0.25">
      <c r="A5215">
        <v>9429</v>
      </c>
      <c r="B5215">
        <v>0</v>
      </c>
    </row>
    <row r="5216" spans="1:2" x14ac:dyDescent="0.25">
      <c r="A5216">
        <v>9431</v>
      </c>
      <c r="B5216">
        <v>0</v>
      </c>
    </row>
    <row r="5217" spans="1:2" x14ac:dyDescent="0.25">
      <c r="A5217">
        <v>9432</v>
      </c>
      <c r="B5217">
        <v>0</v>
      </c>
    </row>
    <row r="5218" spans="1:2" x14ac:dyDescent="0.25">
      <c r="A5218">
        <v>9433</v>
      </c>
      <c r="B5218">
        <v>0</v>
      </c>
    </row>
    <row r="5219" spans="1:2" x14ac:dyDescent="0.25">
      <c r="A5219">
        <v>9437</v>
      </c>
      <c r="B5219">
        <v>0</v>
      </c>
    </row>
    <row r="5220" spans="1:2" x14ac:dyDescent="0.25">
      <c r="A5220">
        <v>9438</v>
      </c>
      <c r="B5220">
        <v>0</v>
      </c>
    </row>
    <row r="5221" spans="1:2" x14ac:dyDescent="0.25">
      <c r="A5221">
        <v>9440</v>
      </c>
      <c r="B5221">
        <v>0</v>
      </c>
    </row>
    <row r="5222" spans="1:2" x14ac:dyDescent="0.25">
      <c r="A5222">
        <v>9441</v>
      </c>
      <c r="B5222">
        <v>0</v>
      </c>
    </row>
    <row r="5223" spans="1:2" x14ac:dyDescent="0.25">
      <c r="A5223">
        <v>9442</v>
      </c>
      <c r="B5223">
        <v>0</v>
      </c>
    </row>
    <row r="5224" spans="1:2" x14ac:dyDescent="0.25">
      <c r="A5224">
        <v>9444</v>
      </c>
      <c r="B5224">
        <v>0</v>
      </c>
    </row>
    <row r="5225" spans="1:2" x14ac:dyDescent="0.25">
      <c r="A5225">
        <v>9445</v>
      </c>
      <c r="B5225">
        <v>0</v>
      </c>
    </row>
    <row r="5226" spans="1:2" x14ac:dyDescent="0.25">
      <c r="A5226">
        <v>9446</v>
      </c>
      <c r="B5226">
        <v>0</v>
      </c>
    </row>
    <row r="5227" spans="1:2" x14ac:dyDescent="0.25">
      <c r="A5227">
        <v>9447</v>
      </c>
      <c r="B5227">
        <v>0</v>
      </c>
    </row>
    <row r="5228" spans="1:2" x14ac:dyDescent="0.25">
      <c r="A5228">
        <v>9448</v>
      </c>
      <c r="B5228">
        <v>0</v>
      </c>
    </row>
    <row r="5229" spans="1:2" x14ac:dyDescent="0.25">
      <c r="A5229">
        <v>9449</v>
      </c>
      <c r="B5229">
        <v>0</v>
      </c>
    </row>
    <row r="5230" spans="1:2" x14ac:dyDescent="0.25">
      <c r="A5230">
        <v>9450</v>
      </c>
      <c r="B5230">
        <v>0</v>
      </c>
    </row>
    <row r="5231" spans="1:2" x14ac:dyDescent="0.25">
      <c r="A5231">
        <v>9451</v>
      </c>
      <c r="B5231">
        <v>0</v>
      </c>
    </row>
    <row r="5232" spans="1:2" x14ac:dyDescent="0.25">
      <c r="A5232">
        <v>9452</v>
      </c>
      <c r="B5232">
        <v>0</v>
      </c>
    </row>
    <row r="5233" spans="1:2" x14ac:dyDescent="0.25">
      <c r="A5233">
        <v>9453</v>
      </c>
      <c r="B5233">
        <v>0</v>
      </c>
    </row>
    <row r="5234" spans="1:2" x14ac:dyDescent="0.25">
      <c r="A5234">
        <v>9454</v>
      </c>
      <c r="B5234">
        <v>0</v>
      </c>
    </row>
    <row r="5235" spans="1:2" x14ac:dyDescent="0.25">
      <c r="A5235">
        <v>9455</v>
      </c>
      <c r="B5235">
        <v>0</v>
      </c>
    </row>
    <row r="5236" spans="1:2" x14ac:dyDescent="0.25">
      <c r="A5236">
        <v>9456</v>
      </c>
      <c r="B5236">
        <v>0</v>
      </c>
    </row>
    <row r="5237" spans="1:2" x14ac:dyDescent="0.25">
      <c r="A5237">
        <v>9457</v>
      </c>
      <c r="B5237">
        <v>0</v>
      </c>
    </row>
    <row r="5238" spans="1:2" x14ac:dyDescent="0.25">
      <c r="A5238">
        <v>9458</v>
      </c>
      <c r="B5238">
        <v>0</v>
      </c>
    </row>
    <row r="5239" spans="1:2" x14ac:dyDescent="0.25">
      <c r="A5239">
        <v>9459</v>
      </c>
      <c r="B5239">
        <v>0</v>
      </c>
    </row>
    <row r="5240" spans="1:2" x14ac:dyDescent="0.25">
      <c r="A5240">
        <v>9460</v>
      </c>
      <c r="B5240">
        <v>0</v>
      </c>
    </row>
    <row r="5241" spans="1:2" x14ac:dyDescent="0.25">
      <c r="A5241">
        <v>9461</v>
      </c>
      <c r="B5241">
        <v>0</v>
      </c>
    </row>
    <row r="5242" spans="1:2" x14ac:dyDescent="0.25">
      <c r="A5242">
        <v>9462</v>
      </c>
      <c r="B5242">
        <v>0</v>
      </c>
    </row>
    <row r="5243" spans="1:2" x14ac:dyDescent="0.25">
      <c r="A5243">
        <v>9463</v>
      </c>
      <c r="B5243">
        <v>0</v>
      </c>
    </row>
    <row r="5244" spans="1:2" x14ac:dyDescent="0.25">
      <c r="A5244">
        <v>9464</v>
      </c>
      <c r="B5244">
        <v>0</v>
      </c>
    </row>
    <row r="5245" spans="1:2" x14ac:dyDescent="0.25">
      <c r="A5245">
        <v>9465</v>
      </c>
      <c r="B5245">
        <v>0</v>
      </c>
    </row>
    <row r="5246" spans="1:2" x14ac:dyDescent="0.25">
      <c r="A5246">
        <v>9466</v>
      </c>
      <c r="B5246">
        <v>0</v>
      </c>
    </row>
    <row r="5247" spans="1:2" x14ac:dyDescent="0.25">
      <c r="A5247">
        <v>9467</v>
      </c>
      <c r="B5247">
        <v>0</v>
      </c>
    </row>
    <row r="5248" spans="1:2" x14ac:dyDescent="0.25">
      <c r="A5248">
        <v>9468</v>
      </c>
      <c r="B5248">
        <v>0</v>
      </c>
    </row>
    <row r="5249" spans="1:2" x14ac:dyDescent="0.25">
      <c r="A5249">
        <v>9469</v>
      </c>
      <c r="B5249">
        <v>0</v>
      </c>
    </row>
    <row r="5250" spans="1:2" x14ac:dyDescent="0.25">
      <c r="A5250">
        <v>9470</v>
      </c>
      <c r="B5250">
        <v>0</v>
      </c>
    </row>
    <row r="5251" spans="1:2" x14ac:dyDescent="0.25">
      <c r="A5251">
        <v>9471</v>
      </c>
      <c r="B5251">
        <v>0</v>
      </c>
    </row>
    <row r="5252" spans="1:2" x14ac:dyDescent="0.25">
      <c r="A5252">
        <v>9472</v>
      </c>
      <c r="B5252">
        <v>0</v>
      </c>
    </row>
    <row r="5253" spans="1:2" x14ac:dyDescent="0.25">
      <c r="A5253">
        <v>9473</v>
      </c>
      <c r="B5253">
        <v>0</v>
      </c>
    </row>
    <row r="5254" spans="1:2" x14ac:dyDescent="0.25">
      <c r="A5254">
        <v>9474</v>
      </c>
      <c r="B5254">
        <v>0</v>
      </c>
    </row>
    <row r="5255" spans="1:2" x14ac:dyDescent="0.25">
      <c r="A5255">
        <v>9475</v>
      </c>
      <c r="B5255">
        <v>0</v>
      </c>
    </row>
    <row r="5256" spans="1:2" x14ac:dyDescent="0.25">
      <c r="A5256">
        <v>9476</v>
      </c>
      <c r="B5256">
        <v>0</v>
      </c>
    </row>
    <row r="5257" spans="1:2" x14ac:dyDescent="0.25">
      <c r="A5257">
        <v>9477</v>
      </c>
      <c r="B5257">
        <v>0</v>
      </c>
    </row>
    <row r="5258" spans="1:2" x14ac:dyDescent="0.25">
      <c r="A5258">
        <v>9478</v>
      </c>
      <c r="B5258">
        <v>0</v>
      </c>
    </row>
    <row r="5259" spans="1:2" x14ac:dyDescent="0.25">
      <c r="A5259">
        <v>9479</v>
      </c>
      <c r="B5259">
        <v>0</v>
      </c>
    </row>
    <row r="5260" spans="1:2" x14ac:dyDescent="0.25">
      <c r="A5260">
        <v>9481</v>
      </c>
      <c r="B5260">
        <v>0</v>
      </c>
    </row>
    <row r="5261" spans="1:2" x14ac:dyDescent="0.25">
      <c r="A5261">
        <v>9482</v>
      </c>
      <c r="B5261">
        <v>0</v>
      </c>
    </row>
    <row r="5262" spans="1:2" x14ac:dyDescent="0.25">
      <c r="A5262">
        <v>9483</v>
      </c>
      <c r="B5262">
        <v>0</v>
      </c>
    </row>
    <row r="5263" spans="1:2" x14ac:dyDescent="0.25">
      <c r="A5263">
        <v>9485</v>
      </c>
      <c r="B5263">
        <v>0</v>
      </c>
    </row>
    <row r="5264" spans="1:2" x14ac:dyDescent="0.25">
      <c r="A5264">
        <v>9486</v>
      </c>
      <c r="B5264">
        <v>0</v>
      </c>
    </row>
    <row r="5265" spans="1:2" x14ac:dyDescent="0.25">
      <c r="A5265">
        <v>9487</v>
      </c>
      <c r="B5265">
        <v>0</v>
      </c>
    </row>
    <row r="5266" spans="1:2" x14ac:dyDescent="0.25">
      <c r="A5266">
        <v>9488</v>
      </c>
      <c r="B5266">
        <v>0</v>
      </c>
    </row>
    <row r="5267" spans="1:2" x14ac:dyDescent="0.25">
      <c r="A5267">
        <v>9489</v>
      </c>
      <c r="B5267">
        <v>0</v>
      </c>
    </row>
    <row r="5268" spans="1:2" x14ac:dyDescent="0.25">
      <c r="A5268">
        <v>9492</v>
      </c>
      <c r="B5268">
        <v>0</v>
      </c>
    </row>
    <row r="5269" spans="1:2" x14ac:dyDescent="0.25">
      <c r="A5269">
        <v>9493</v>
      </c>
      <c r="B5269">
        <v>0</v>
      </c>
    </row>
    <row r="5270" spans="1:2" x14ac:dyDescent="0.25">
      <c r="A5270">
        <v>9495</v>
      </c>
      <c r="B5270">
        <v>0</v>
      </c>
    </row>
    <row r="5271" spans="1:2" x14ac:dyDescent="0.25">
      <c r="A5271">
        <v>9496</v>
      </c>
      <c r="B5271">
        <v>0</v>
      </c>
    </row>
    <row r="5272" spans="1:2" x14ac:dyDescent="0.25">
      <c r="A5272">
        <v>9497</v>
      </c>
      <c r="B5272">
        <v>0</v>
      </c>
    </row>
    <row r="5273" spans="1:2" x14ac:dyDescent="0.25">
      <c r="A5273">
        <v>9499</v>
      </c>
      <c r="B5273">
        <v>0</v>
      </c>
    </row>
    <row r="5274" spans="1:2" x14ac:dyDescent="0.25">
      <c r="A5274">
        <v>9500</v>
      </c>
      <c r="B5274">
        <v>0</v>
      </c>
    </row>
    <row r="5275" spans="1:2" x14ac:dyDescent="0.25">
      <c r="A5275">
        <v>9501</v>
      </c>
      <c r="B5275">
        <v>0</v>
      </c>
    </row>
    <row r="5276" spans="1:2" x14ac:dyDescent="0.25">
      <c r="A5276">
        <v>9502</v>
      </c>
      <c r="B5276">
        <v>0</v>
      </c>
    </row>
    <row r="5277" spans="1:2" x14ac:dyDescent="0.25">
      <c r="A5277">
        <v>9503</v>
      </c>
      <c r="B5277">
        <v>0</v>
      </c>
    </row>
    <row r="5278" spans="1:2" x14ac:dyDescent="0.25">
      <c r="A5278">
        <v>9504</v>
      </c>
      <c r="B5278">
        <v>0</v>
      </c>
    </row>
    <row r="5279" spans="1:2" x14ac:dyDescent="0.25">
      <c r="A5279">
        <v>9505</v>
      </c>
      <c r="B5279">
        <v>0</v>
      </c>
    </row>
    <row r="5280" spans="1:2" x14ac:dyDescent="0.25">
      <c r="A5280">
        <v>9506</v>
      </c>
      <c r="B5280">
        <v>0</v>
      </c>
    </row>
    <row r="5281" spans="1:2" x14ac:dyDescent="0.25">
      <c r="A5281">
        <v>9509</v>
      </c>
      <c r="B5281">
        <v>0</v>
      </c>
    </row>
    <row r="5282" spans="1:2" x14ac:dyDescent="0.25">
      <c r="A5282">
        <v>9510</v>
      </c>
      <c r="B5282">
        <v>0</v>
      </c>
    </row>
    <row r="5283" spans="1:2" x14ac:dyDescent="0.25">
      <c r="A5283">
        <v>9512</v>
      </c>
      <c r="B5283">
        <v>0</v>
      </c>
    </row>
    <row r="5284" spans="1:2" x14ac:dyDescent="0.25">
      <c r="A5284">
        <v>9514</v>
      </c>
      <c r="B5284">
        <v>0</v>
      </c>
    </row>
    <row r="5285" spans="1:2" x14ac:dyDescent="0.25">
      <c r="A5285">
        <v>9516</v>
      </c>
      <c r="B5285">
        <v>0</v>
      </c>
    </row>
    <row r="5286" spans="1:2" x14ac:dyDescent="0.25">
      <c r="A5286">
        <v>9517</v>
      </c>
      <c r="B5286">
        <v>0</v>
      </c>
    </row>
    <row r="5287" spans="1:2" x14ac:dyDescent="0.25">
      <c r="A5287">
        <v>9518</v>
      </c>
      <c r="B5287">
        <v>0</v>
      </c>
    </row>
    <row r="5288" spans="1:2" x14ac:dyDescent="0.25">
      <c r="A5288">
        <v>9519</v>
      </c>
      <c r="B5288">
        <v>0</v>
      </c>
    </row>
    <row r="5289" spans="1:2" x14ac:dyDescent="0.25">
      <c r="A5289">
        <v>9520</v>
      </c>
      <c r="B5289">
        <v>0</v>
      </c>
    </row>
    <row r="5290" spans="1:2" x14ac:dyDescent="0.25">
      <c r="A5290">
        <v>9521</v>
      </c>
      <c r="B5290">
        <v>0</v>
      </c>
    </row>
    <row r="5291" spans="1:2" x14ac:dyDescent="0.25">
      <c r="A5291">
        <v>9522</v>
      </c>
      <c r="B5291">
        <v>0</v>
      </c>
    </row>
    <row r="5292" spans="1:2" x14ac:dyDescent="0.25">
      <c r="A5292">
        <v>9523</v>
      </c>
      <c r="B5292">
        <v>0</v>
      </c>
    </row>
    <row r="5293" spans="1:2" x14ac:dyDescent="0.25">
      <c r="A5293">
        <v>9524</v>
      </c>
      <c r="B5293">
        <v>0</v>
      </c>
    </row>
    <row r="5294" spans="1:2" x14ac:dyDescent="0.25">
      <c r="A5294">
        <v>9525</v>
      </c>
      <c r="B5294">
        <v>0</v>
      </c>
    </row>
    <row r="5295" spans="1:2" x14ac:dyDescent="0.25">
      <c r="A5295">
        <v>9526</v>
      </c>
      <c r="B5295">
        <v>0</v>
      </c>
    </row>
    <row r="5296" spans="1:2" x14ac:dyDescent="0.25">
      <c r="A5296">
        <v>9549</v>
      </c>
      <c r="B5296">
        <v>0</v>
      </c>
    </row>
    <row r="5297" spans="1:2" x14ac:dyDescent="0.25">
      <c r="A5297">
        <v>9550</v>
      </c>
      <c r="B5297">
        <v>0</v>
      </c>
    </row>
    <row r="5298" spans="1:2" x14ac:dyDescent="0.25">
      <c r="A5298">
        <v>9553</v>
      </c>
      <c r="B5298">
        <v>0</v>
      </c>
    </row>
    <row r="5299" spans="1:2" x14ac:dyDescent="0.25">
      <c r="A5299">
        <v>9554</v>
      </c>
      <c r="B5299">
        <v>0</v>
      </c>
    </row>
    <row r="5300" spans="1:2" x14ac:dyDescent="0.25">
      <c r="A5300">
        <v>9555</v>
      </c>
      <c r="B5300">
        <v>0</v>
      </c>
    </row>
    <row r="5301" spans="1:2" x14ac:dyDescent="0.25">
      <c r="A5301">
        <v>9556</v>
      </c>
      <c r="B5301">
        <v>0</v>
      </c>
    </row>
    <row r="5302" spans="1:2" x14ac:dyDescent="0.25">
      <c r="A5302">
        <v>9557</v>
      </c>
      <c r="B5302">
        <v>0</v>
      </c>
    </row>
    <row r="5303" spans="1:2" x14ac:dyDescent="0.25">
      <c r="A5303">
        <v>9558</v>
      </c>
      <c r="B5303">
        <v>0</v>
      </c>
    </row>
    <row r="5304" spans="1:2" x14ac:dyDescent="0.25">
      <c r="A5304">
        <v>9559</v>
      </c>
      <c r="B5304">
        <v>0</v>
      </c>
    </row>
    <row r="5305" spans="1:2" x14ac:dyDescent="0.25">
      <c r="A5305">
        <v>9560</v>
      </c>
      <c r="B5305">
        <v>0</v>
      </c>
    </row>
    <row r="5306" spans="1:2" x14ac:dyDescent="0.25">
      <c r="A5306">
        <v>9561</v>
      </c>
      <c r="B5306">
        <v>0</v>
      </c>
    </row>
    <row r="5307" spans="1:2" x14ac:dyDescent="0.25">
      <c r="A5307">
        <v>9562</v>
      </c>
      <c r="B5307">
        <v>0</v>
      </c>
    </row>
    <row r="5308" spans="1:2" x14ac:dyDescent="0.25">
      <c r="A5308">
        <v>9563</v>
      </c>
      <c r="B5308">
        <v>0</v>
      </c>
    </row>
    <row r="5309" spans="1:2" x14ac:dyDescent="0.25">
      <c r="A5309">
        <v>9564</v>
      </c>
      <c r="B5309">
        <v>0</v>
      </c>
    </row>
    <row r="5310" spans="1:2" x14ac:dyDescent="0.25">
      <c r="A5310">
        <v>9565</v>
      </c>
      <c r="B5310">
        <v>0</v>
      </c>
    </row>
    <row r="5311" spans="1:2" x14ac:dyDescent="0.25">
      <c r="A5311">
        <v>9566</v>
      </c>
      <c r="B5311">
        <v>0</v>
      </c>
    </row>
    <row r="5312" spans="1:2" x14ac:dyDescent="0.25">
      <c r="A5312">
        <v>9567</v>
      </c>
      <c r="B5312">
        <v>0</v>
      </c>
    </row>
    <row r="5313" spans="1:2" x14ac:dyDescent="0.25">
      <c r="A5313">
        <v>9568</v>
      </c>
      <c r="B5313">
        <v>0</v>
      </c>
    </row>
    <row r="5314" spans="1:2" x14ac:dyDescent="0.25">
      <c r="A5314">
        <v>9569</v>
      </c>
      <c r="B5314">
        <v>0</v>
      </c>
    </row>
    <row r="5315" spans="1:2" x14ac:dyDescent="0.25">
      <c r="A5315">
        <v>9574</v>
      </c>
      <c r="B5315">
        <v>0</v>
      </c>
    </row>
    <row r="5316" spans="1:2" x14ac:dyDescent="0.25">
      <c r="A5316">
        <v>9575</v>
      </c>
      <c r="B5316">
        <v>0</v>
      </c>
    </row>
    <row r="5317" spans="1:2" x14ac:dyDescent="0.25">
      <c r="A5317">
        <v>9576</v>
      </c>
      <c r="B5317">
        <v>0</v>
      </c>
    </row>
    <row r="5318" spans="1:2" x14ac:dyDescent="0.25">
      <c r="A5318">
        <v>9577</v>
      </c>
      <c r="B5318">
        <v>0</v>
      </c>
    </row>
    <row r="5319" spans="1:2" x14ac:dyDescent="0.25">
      <c r="A5319">
        <v>9578</v>
      </c>
      <c r="B5319">
        <v>0</v>
      </c>
    </row>
    <row r="5320" spans="1:2" x14ac:dyDescent="0.25">
      <c r="A5320">
        <v>9579</v>
      </c>
      <c r="B5320">
        <v>0</v>
      </c>
    </row>
    <row r="5321" spans="1:2" x14ac:dyDescent="0.25">
      <c r="A5321">
        <v>9580</v>
      </c>
      <c r="B5321">
        <v>0</v>
      </c>
    </row>
    <row r="5322" spans="1:2" x14ac:dyDescent="0.25">
      <c r="A5322">
        <v>9581</v>
      </c>
      <c r="B5322">
        <v>0</v>
      </c>
    </row>
    <row r="5323" spans="1:2" x14ac:dyDescent="0.25">
      <c r="A5323">
        <v>9584</v>
      </c>
      <c r="B5323">
        <v>0</v>
      </c>
    </row>
    <row r="5324" spans="1:2" x14ac:dyDescent="0.25">
      <c r="A5324">
        <v>9587</v>
      </c>
      <c r="B5324">
        <v>0</v>
      </c>
    </row>
    <row r="5325" spans="1:2" x14ac:dyDescent="0.25">
      <c r="A5325">
        <v>9588</v>
      </c>
      <c r="B5325">
        <v>0</v>
      </c>
    </row>
    <row r="5326" spans="1:2" x14ac:dyDescent="0.25">
      <c r="A5326">
        <v>9590</v>
      </c>
      <c r="B5326">
        <v>0</v>
      </c>
    </row>
    <row r="5327" spans="1:2" x14ac:dyDescent="0.25">
      <c r="A5327">
        <v>9592</v>
      </c>
      <c r="B5327">
        <v>0</v>
      </c>
    </row>
    <row r="5328" spans="1:2" x14ac:dyDescent="0.25">
      <c r="A5328">
        <v>9594</v>
      </c>
      <c r="B5328">
        <v>0</v>
      </c>
    </row>
    <row r="5329" spans="1:2" x14ac:dyDescent="0.25">
      <c r="A5329">
        <v>9596</v>
      </c>
      <c r="B5329">
        <v>0</v>
      </c>
    </row>
    <row r="5330" spans="1:2" x14ac:dyDescent="0.25">
      <c r="A5330">
        <v>9600</v>
      </c>
      <c r="B5330">
        <v>0</v>
      </c>
    </row>
    <row r="5331" spans="1:2" x14ac:dyDescent="0.25">
      <c r="A5331">
        <v>9602</v>
      </c>
      <c r="B5331">
        <v>0</v>
      </c>
    </row>
    <row r="5332" spans="1:2" x14ac:dyDescent="0.25">
      <c r="A5332">
        <v>9603</v>
      </c>
      <c r="B5332">
        <v>0</v>
      </c>
    </row>
    <row r="5333" spans="1:2" x14ac:dyDescent="0.25">
      <c r="A5333">
        <v>9604</v>
      </c>
      <c r="B5333">
        <v>0</v>
      </c>
    </row>
    <row r="5334" spans="1:2" x14ac:dyDescent="0.25">
      <c r="A5334">
        <v>9608</v>
      </c>
      <c r="B5334">
        <v>0</v>
      </c>
    </row>
    <row r="5335" spans="1:2" x14ac:dyDescent="0.25">
      <c r="A5335">
        <v>9610</v>
      </c>
      <c r="B5335">
        <v>0</v>
      </c>
    </row>
    <row r="5336" spans="1:2" x14ac:dyDescent="0.25">
      <c r="A5336">
        <v>9613</v>
      </c>
      <c r="B5336">
        <v>0</v>
      </c>
    </row>
    <row r="5337" spans="1:2" x14ac:dyDescent="0.25">
      <c r="A5337">
        <v>9615</v>
      </c>
      <c r="B5337">
        <v>0</v>
      </c>
    </row>
    <row r="5338" spans="1:2" x14ac:dyDescent="0.25">
      <c r="A5338">
        <v>9616</v>
      </c>
      <c r="B5338">
        <v>0</v>
      </c>
    </row>
    <row r="5339" spans="1:2" x14ac:dyDescent="0.25">
      <c r="A5339">
        <v>9617</v>
      </c>
      <c r="B5339">
        <v>0</v>
      </c>
    </row>
    <row r="5340" spans="1:2" x14ac:dyDescent="0.25">
      <c r="A5340">
        <v>9618</v>
      </c>
      <c r="B5340">
        <v>0</v>
      </c>
    </row>
    <row r="5341" spans="1:2" x14ac:dyDescent="0.25">
      <c r="A5341">
        <v>9619</v>
      </c>
      <c r="B5341">
        <v>0</v>
      </c>
    </row>
    <row r="5342" spans="1:2" x14ac:dyDescent="0.25">
      <c r="A5342">
        <v>9620</v>
      </c>
      <c r="B5342">
        <v>0</v>
      </c>
    </row>
    <row r="5343" spans="1:2" x14ac:dyDescent="0.25">
      <c r="A5343">
        <v>9621</v>
      </c>
      <c r="B5343">
        <v>0</v>
      </c>
    </row>
    <row r="5344" spans="1:2" x14ac:dyDescent="0.25">
      <c r="A5344">
        <v>9622</v>
      </c>
      <c r="B5344">
        <v>0</v>
      </c>
    </row>
    <row r="5345" spans="1:2" x14ac:dyDescent="0.25">
      <c r="A5345">
        <v>9623</v>
      </c>
      <c r="B5345">
        <v>0</v>
      </c>
    </row>
    <row r="5346" spans="1:2" x14ac:dyDescent="0.25">
      <c r="A5346">
        <v>9624</v>
      </c>
      <c r="B5346">
        <v>0</v>
      </c>
    </row>
    <row r="5347" spans="1:2" x14ac:dyDescent="0.25">
      <c r="A5347">
        <v>9625</v>
      </c>
      <c r="B5347">
        <v>0</v>
      </c>
    </row>
    <row r="5348" spans="1:2" x14ac:dyDescent="0.25">
      <c r="A5348">
        <v>9627</v>
      </c>
      <c r="B5348">
        <v>0</v>
      </c>
    </row>
    <row r="5349" spans="1:2" x14ac:dyDescent="0.25">
      <c r="A5349">
        <v>9628</v>
      </c>
      <c r="B5349">
        <v>0</v>
      </c>
    </row>
    <row r="5350" spans="1:2" x14ac:dyDescent="0.25">
      <c r="A5350">
        <v>9630</v>
      </c>
      <c r="B5350">
        <v>0</v>
      </c>
    </row>
    <row r="5351" spans="1:2" x14ac:dyDescent="0.25">
      <c r="A5351">
        <v>9631</v>
      </c>
      <c r="B5351">
        <v>0</v>
      </c>
    </row>
    <row r="5352" spans="1:2" x14ac:dyDescent="0.25">
      <c r="A5352">
        <v>9633</v>
      </c>
      <c r="B5352">
        <v>0</v>
      </c>
    </row>
    <row r="5353" spans="1:2" x14ac:dyDescent="0.25">
      <c r="A5353">
        <v>9635</v>
      </c>
      <c r="B5353">
        <v>0</v>
      </c>
    </row>
    <row r="5354" spans="1:2" x14ac:dyDescent="0.25">
      <c r="A5354">
        <v>9637</v>
      </c>
      <c r="B5354">
        <v>0</v>
      </c>
    </row>
    <row r="5355" spans="1:2" x14ac:dyDescent="0.25">
      <c r="A5355">
        <v>9639</v>
      </c>
      <c r="B5355">
        <v>0</v>
      </c>
    </row>
    <row r="5356" spans="1:2" x14ac:dyDescent="0.25">
      <c r="A5356">
        <v>9641</v>
      </c>
      <c r="B5356">
        <v>0</v>
      </c>
    </row>
    <row r="5357" spans="1:2" x14ac:dyDescent="0.25">
      <c r="A5357">
        <v>9643</v>
      </c>
      <c r="B5357">
        <v>0</v>
      </c>
    </row>
    <row r="5358" spans="1:2" x14ac:dyDescent="0.25">
      <c r="A5358">
        <v>9645</v>
      </c>
      <c r="B5358">
        <v>0</v>
      </c>
    </row>
    <row r="5359" spans="1:2" x14ac:dyDescent="0.25">
      <c r="A5359">
        <v>9647</v>
      </c>
      <c r="B5359">
        <v>0</v>
      </c>
    </row>
    <row r="5360" spans="1:2" x14ac:dyDescent="0.25">
      <c r="A5360">
        <v>9648</v>
      </c>
      <c r="B5360">
        <v>0</v>
      </c>
    </row>
    <row r="5361" spans="1:2" x14ac:dyDescent="0.25">
      <c r="A5361">
        <v>9657</v>
      </c>
      <c r="B5361">
        <v>0</v>
      </c>
    </row>
    <row r="5362" spans="1:2" x14ac:dyDescent="0.25">
      <c r="A5362">
        <v>9658</v>
      </c>
      <c r="B5362">
        <v>0</v>
      </c>
    </row>
    <row r="5363" spans="1:2" x14ac:dyDescent="0.25">
      <c r="A5363">
        <v>9660</v>
      </c>
      <c r="B5363">
        <v>0</v>
      </c>
    </row>
    <row r="5364" spans="1:2" x14ac:dyDescent="0.25">
      <c r="A5364">
        <v>9662</v>
      </c>
      <c r="B5364">
        <v>0</v>
      </c>
    </row>
    <row r="5365" spans="1:2" x14ac:dyDescent="0.25">
      <c r="A5365">
        <v>9664</v>
      </c>
      <c r="B5365">
        <v>0</v>
      </c>
    </row>
    <row r="5366" spans="1:2" x14ac:dyDescent="0.25">
      <c r="A5366">
        <v>9666</v>
      </c>
      <c r="B5366">
        <v>0</v>
      </c>
    </row>
    <row r="5367" spans="1:2" x14ac:dyDescent="0.25">
      <c r="A5367">
        <v>9668</v>
      </c>
      <c r="B5367">
        <v>0</v>
      </c>
    </row>
    <row r="5368" spans="1:2" x14ac:dyDescent="0.25">
      <c r="A5368">
        <v>9670</v>
      </c>
      <c r="B5368">
        <v>0</v>
      </c>
    </row>
    <row r="5369" spans="1:2" x14ac:dyDescent="0.25">
      <c r="A5369">
        <v>9672</v>
      </c>
      <c r="B5369">
        <v>0</v>
      </c>
    </row>
    <row r="5370" spans="1:2" x14ac:dyDescent="0.25">
      <c r="A5370">
        <v>9675</v>
      </c>
      <c r="B5370">
        <v>0</v>
      </c>
    </row>
    <row r="5371" spans="1:2" x14ac:dyDescent="0.25">
      <c r="A5371">
        <v>9678</v>
      </c>
      <c r="B5371">
        <v>0</v>
      </c>
    </row>
    <row r="5372" spans="1:2" x14ac:dyDescent="0.25">
      <c r="A5372">
        <v>9679</v>
      </c>
      <c r="B5372">
        <v>0</v>
      </c>
    </row>
    <row r="5373" spans="1:2" x14ac:dyDescent="0.25">
      <c r="A5373">
        <v>9680</v>
      </c>
      <c r="B5373">
        <v>0</v>
      </c>
    </row>
    <row r="5374" spans="1:2" x14ac:dyDescent="0.25">
      <c r="A5374">
        <v>9681</v>
      </c>
      <c r="B5374">
        <v>0</v>
      </c>
    </row>
    <row r="5375" spans="1:2" x14ac:dyDescent="0.25">
      <c r="A5375">
        <v>9682</v>
      </c>
      <c r="B5375">
        <v>0</v>
      </c>
    </row>
    <row r="5376" spans="1:2" x14ac:dyDescent="0.25">
      <c r="A5376">
        <v>9683</v>
      </c>
      <c r="B5376">
        <v>0</v>
      </c>
    </row>
    <row r="5377" spans="1:2" x14ac:dyDescent="0.25">
      <c r="A5377">
        <v>9684</v>
      </c>
      <c r="B5377">
        <v>0</v>
      </c>
    </row>
    <row r="5378" spans="1:2" x14ac:dyDescent="0.25">
      <c r="A5378">
        <v>9685</v>
      </c>
      <c r="B5378">
        <v>0</v>
      </c>
    </row>
    <row r="5379" spans="1:2" x14ac:dyDescent="0.25">
      <c r="A5379">
        <v>9687</v>
      </c>
      <c r="B5379">
        <v>0</v>
      </c>
    </row>
    <row r="5380" spans="1:2" x14ac:dyDescent="0.25">
      <c r="A5380">
        <v>9688</v>
      </c>
      <c r="B5380">
        <v>0</v>
      </c>
    </row>
    <row r="5381" spans="1:2" x14ac:dyDescent="0.25">
      <c r="A5381">
        <v>9689</v>
      </c>
      <c r="B5381">
        <v>0</v>
      </c>
    </row>
    <row r="5382" spans="1:2" x14ac:dyDescent="0.25">
      <c r="A5382">
        <v>9692</v>
      </c>
      <c r="B5382">
        <v>0</v>
      </c>
    </row>
    <row r="5383" spans="1:2" x14ac:dyDescent="0.25">
      <c r="A5383">
        <v>9694</v>
      </c>
      <c r="B5383">
        <v>0</v>
      </c>
    </row>
    <row r="5384" spans="1:2" x14ac:dyDescent="0.25">
      <c r="A5384">
        <v>9696</v>
      </c>
      <c r="B5384">
        <v>0</v>
      </c>
    </row>
    <row r="5385" spans="1:2" x14ac:dyDescent="0.25">
      <c r="A5385">
        <v>9699</v>
      </c>
      <c r="B5385">
        <v>0</v>
      </c>
    </row>
    <row r="5386" spans="1:2" x14ac:dyDescent="0.25">
      <c r="A5386">
        <v>9700</v>
      </c>
      <c r="B5386">
        <v>0</v>
      </c>
    </row>
    <row r="5387" spans="1:2" x14ac:dyDescent="0.25">
      <c r="A5387">
        <v>9702</v>
      </c>
      <c r="B5387">
        <v>0</v>
      </c>
    </row>
    <row r="5388" spans="1:2" x14ac:dyDescent="0.25">
      <c r="A5388">
        <v>9704</v>
      </c>
      <c r="B5388">
        <v>0</v>
      </c>
    </row>
    <row r="5389" spans="1:2" x14ac:dyDescent="0.25">
      <c r="A5389">
        <v>9706</v>
      </c>
      <c r="B5389">
        <v>0</v>
      </c>
    </row>
    <row r="5390" spans="1:2" x14ac:dyDescent="0.25">
      <c r="A5390">
        <v>9708</v>
      </c>
      <c r="B5390">
        <v>0</v>
      </c>
    </row>
    <row r="5391" spans="1:2" x14ac:dyDescent="0.25">
      <c r="A5391">
        <v>9710</v>
      </c>
      <c r="B5391">
        <v>0</v>
      </c>
    </row>
    <row r="5392" spans="1:2" x14ac:dyDescent="0.25">
      <c r="A5392">
        <v>9711</v>
      </c>
      <c r="B5392">
        <v>0</v>
      </c>
    </row>
    <row r="5393" spans="1:2" x14ac:dyDescent="0.25">
      <c r="A5393">
        <v>9713</v>
      </c>
      <c r="B5393">
        <v>0</v>
      </c>
    </row>
    <row r="5394" spans="1:2" x14ac:dyDescent="0.25">
      <c r="A5394">
        <v>9714</v>
      </c>
      <c r="B5394">
        <v>0</v>
      </c>
    </row>
    <row r="5395" spans="1:2" x14ac:dyDescent="0.25">
      <c r="A5395">
        <v>9715</v>
      </c>
      <c r="B5395">
        <v>0</v>
      </c>
    </row>
    <row r="5396" spans="1:2" x14ac:dyDescent="0.25">
      <c r="A5396">
        <v>9716</v>
      </c>
      <c r="B5396">
        <v>0</v>
      </c>
    </row>
    <row r="5397" spans="1:2" x14ac:dyDescent="0.25">
      <c r="A5397">
        <v>9718</v>
      </c>
      <c r="B5397">
        <v>0</v>
      </c>
    </row>
    <row r="5398" spans="1:2" x14ac:dyDescent="0.25">
      <c r="A5398">
        <v>9720</v>
      </c>
      <c r="B5398">
        <v>0</v>
      </c>
    </row>
    <row r="5399" spans="1:2" x14ac:dyDescent="0.25">
      <c r="A5399">
        <v>9721</v>
      </c>
      <c r="B5399">
        <v>0</v>
      </c>
    </row>
    <row r="5400" spans="1:2" x14ac:dyDescent="0.25">
      <c r="A5400">
        <v>9722</v>
      </c>
      <c r="B5400">
        <v>0</v>
      </c>
    </row>
    <row r="5401" spans="1:2" x14ac:dyDescent="0.25">
      <c r="A5401">
        <v>9724</v>
      </c>
      <c r="B5401">
        <v>0</v>
      </c>
    </row>
    <row r="5402" spans="1:2" x14ac:dyDescent="0.25">
      <c r="A5402">
        <v>9725</v>
      </c>
      <c r="B5402">
        <v>0</v>
      </c>
    </row>
    <row r="5403" spans="1:2" x14ac:dyDescent="0.25">
      <c r="A5403">
        <v>9726</v>
      </c>
      <c r="B5403">
        <v>0</v>
      </c>
    </row>
    <row r="5404" spans="1:2" x14ac:dyDescent="0.25">
      <c r="A5404">
        <v>9728</v>
      </c>
      <c r="B5404">
        <v>0</v>
      </c>
    </row>
    <row r="5405" spans="1:2" x14ac:dyDescent="0.25">
      <c r="A5405">
        <v>9730</v>
      </c>
      <c r="B5405">
        <v>0</v>
      </c>
    </row>
    <row r="5406" spans="1:2" x14ac:dyDescent="0.25">
      <c r="A5406">
        <v>9733</v>
      </c>
      <c r="B5406">
        <v>0</v>
      </c>
    </row>
    <row r="5407" spans="1:2" x14ac:dyDescent="0.25">
      <c r="A5407">
        <v>9734</v>
      </c>
      <c r="B5407">
        <v>0</v>
      </c>
    </row>
    <row r="5408" spans="1:2" x14ac:dyDescent="0.25">
      <c r="A5408">
        <v>9735</v>
      </c>
      <c r="B5408">
        <v>0</v>
      </c>
    </row>
    <row r="5409" spans="1:2" x14ac:dyDescent="0.25">
      <c r="A5409">
        <v>9736</v>
      </c>
      <c r="B5409">
        <v>0</v>
      </c>
    </row>
    <row r="5410" spans="1:2" x14ac:dyDescent="0.25">
      <c r="A5410">
        <v>9737</v>
      </c>
      <c r="B5410">
        <v>0</v>
      </c>
    </row>
    <row r="5411" spans="1:2" x14ac:dyDescent="0.25">
      <c r="A5411">
        <v>9738</v>
      </c>
      <c r="B5411">
        <v>0</v>
      </c>
    </row>
    <row r="5412" spans="1:2" x14ac:dyDescent="0.25">
      <c r="A5412">
        <v>9739</v>
      </c>
      <c r="B5412">
        <v>0</v>
      </c>
    </row>
    <row r="5413" spans="1:2" x14ac:dyDescent="0.25">
      <c r="A5413">
        <v>9740</v>
      </c>
      <c r="B5413">
        <v>0</v>
      </c>
    </row>
    <row r="5414" spans="1:2" x14ac:dyDescent="0.25">
      <c r="A5414">
        <v>9742</v>
      </c>
      <c r="B5414">
        <v>0</v>
      </c>
    </row>
    <row r="5415" spans="1:2" x14ac:dyDescent="0.25">
      <c r="A5415">
        <v>9743</v>
      </c>
      <c r="B5415">
        <v>0</v>
      </c>
    </row>
    <row r="5416" spans="1:2" x14ac:dyDescent="0.25">
      <c r="A5416">
        <v>9750</v>
      </c>
      <c r="B5416">
        <v>0</v>
      </c>
    </row>
    <row r="5417" spans="1:2" x14ac:dyDescent="0.25">
      <c r="A5417">
        <v>9752</v>
      </c>
      <c r="B5417">
        <v>0</v>
      </c>
    </row>
    <row r="5418" spans="1:2" x14ac:dyDescent="0.25">
      <c r="A5418">
        <v>9753</v>
      </c>
      <c r="B5418">
        <v>0</v>
      </c>
    </row>
    <row r="5419" spans="1:2" x14ac:dyDescent="0.25">
      <c r="A5419">
        <v>9755</v>
      </c>
      <c r="B5419">
        <v>0</v>
      </c>
    </row>
    <row r="5420" spans="1:2" x14ac:dyDescent="0.25">
      <c r="A5420">
        <v>9757</v>
      </c>
      <c r="B5420">
        <v>0</v>
      </c>
    </row>
    <row r="5421" spans="1:2" x14ac:dyDescent="0.25">
      <c r="A5421">
        <v>9759</v>
      </c>
      <c r="B5421">
        <v>0</v>
      </c>
    </row>
    <row r="5422" spans="1:2" x14ac:dyDescent="0.25">
      <c r="A5422">
        <v>9761</v>
      </c>
      <c r="B5422">
        <v>0</v>
      </c>
    </row>
    <row r="5423" spans="1:2" x14ac:dyDescent="0.25">
      <c r="A5423">
        <v>9763</v>
      </c>
      <c r="B5423">
        <v>0</v>
      </c>
    </row>
    <row r="5424" spans="1:2" x14ac:dyDescent="0.25">
      <c r="A5424">
        <v>9765</v>
      </c>
      <c r="B5424">
        <v>0</v>
      </c>
    </row>
    <row r="5425" spans="1:2" x14ac:dyDescent="0.25">
      <c r="A5425">
        <v>9766</v>
      </c>
      <c r="B5425">
        <v>0</v>
      </c>
    </row>
    <row r="5426" spans="1:2" x14ac:dyDescent="0.25">
      <c r="A5426">
        <v>9770</v>
      </c>
      <c r="B5426">
        <v>0</v>
      </c>
    </row>
    <row r="5427" spans="1:2" x14ac:dyDescent="0.25">
      <c r="A5427">
        <v>9772</v>
      </c>
      <c r="B5427">
        <v>0</v>
      </c>
    </row>
    <row r="5428" spans="1:2" x14ac:dyDescent="0.25">
      <c r="A5428">
        <v>9774</v>
      </c>
      <c r="B5428">
        <v>0</v>
      </c>
    </row>
    <row r="5429" spans="1:2" x14ac:dyDescent="0.25">
      <c r="A5429">
        <v>9776</v>
      </c>
      <c r="B5429">
        <v>0</v>
      </c>
    </row>
    <row r="5430" spans="1:2" x14ac:dyDescent="0.25">
      <c r="A5430">
        <v>9778</v>
      </c>
      <c r="B5430">
        <v>0</v>
      </c>
    </row>
    <row r="5431" spans="1:2" x14ac:dyDescent="0.25">
      <c r="A5431">
        <v>9779</v>
      </c>
      <c r="B5431">
        <v>0</v>
      </c>
    </row>
    <row r="5432" spans="1:2" x14ac:dyDescent="0.25">
      <c r="A5432">
        <v>9780</v>
      </c>
      <c r="B5432">
        <v>0</v>
      </c>
    </row>
    <row r="5433" spans="1:2" x14ac:dyDescent="0.25">
      <c r="A5433">
        <v>9781</v>
      </c>
      <c r="B5433">
        <v>0</v>
      </c>
    </row>
    <row r="5434" spans="1:2" x14ac:dyDescent="0.25">
      <c r="A5434">
        <v>9783</v>
      </c>
      <c r="B5434">
        <v>0</v>
      </c>
    </row>
    <row r="5435" spans="1:2" x14ac:dyDescent="0.25">
      <c r="A5435">
        <v>9785</v>
      </c>
      <c r="B5435">
        <v>0</v>
      </c>
    </row>
    <row r="5436" spans="1:2" x14ac:dyDescent="0.25">
      <c r="A5436">
        <v>9786</v>
      </c>
      <c r="B5436">
        <v>0</v>
      </c>
    </row>
    <row r="5437" spans="1:2" x14ac:dyDescent="0.25">
      <c r="A5437">
        <v>9787</v>
      </c>
      <c r="B5437">
        <v>0</v>
      </c>
    </row>
    <row r="5438" spans="1:2" x14ac:dyDescent="0.25">
      <c r="A5438">
        <v>9790</v>
      </c>
      <c r="B5438">
        <v>0</v>
      </c>
    </row>
    <row r="5439" spans="1:2" x14ac:dyDescent="0.25">
      <c r="A5439">
        <v>9791</v>
      </c>
      <c r="B5439">
        <v>0</v>
      </c>
    </row>
    <row r="5440" spans="1:2" x14ac:dyDescent="0.25">
      <c r="A5440">
        <v>9793</v>
      </c>
      <c r="B5440">
        <v>0</v>
      </c>
    </row>
    <row r="5441" spans="1:2" x14ac:dyDescent="0.25">
      <c r="A5441">
        <v>9795</v>
      </c>
      <c r="B5441">
        <v>0</v>
      </c>
    </row>
    <row r="5442" spans="1:2" x14ac:dyDescent="0.25">
      <c r="A5442">
        <v>9796</v>
      </c>
      <c r="B5442">
        <v>0</v>
      </c>
    </row>
    <row r="5443" spans="1:2" x14ac:dyDescent="0.25">
      <c r="A5443">
        <v>9799</v>
      </c>
      <c r="B5443">
        <v>0</v>
      </c>
    </row>
    <row r="5444" spans="1:2" x14ac:dyDescent="0.25">
      <c r="A5444">
        <v>9800</v>
      </c>
      <c r="B5444">
        <v>0</v>
      </c>
    </row>
    <row r="5445" spans="1:2" x14ac:dyDescent="0.25">
      <c r="A5445">
        <v>9801</v>
      </c>
      <c r="B5445">
        <v>0</v>
      </c>
    </row>
    <row r="5446" spans="1:2" x14ac:dyDescent="0.25">
      <c r="A5446">
        <v>9802</v>
      </c>
      <c r="B5446">
        <v>0</v>
      </c>
    </row>
    <row r="5447" spans="1:2" x14ac:dyDescent="0.25">
      <c r="A5447">
        <v>9803</v>
      </c>
      <c r="B5447">
        <v>0</v>
      </c>
    </row>
    <row r="5448" spans="1:2" x14ac:dyDescent="0.25">
      <c r="A5448">
        <v>9805</v>
      </c>
      <c r="B5448">
        <v>0</v>
      </c>
    </row>
    <row r="5449" spans="1:2" x14ac:dyDescent="0.25">
      <c r="A5449">
        <v>9807</v>
      </c>
      <c r="B5449">
        <v>0</v>
      </c>
    </row>
    <row r="5450" spans="1:2" x14ac:dyDescent="0.25">
      <c r="A5450">
        <v>9809</v>
      </c>
      <c r="B5450">
        <v>0</v>
      </c>
    </row>
    <row r="5451" spans="1:2" x14ac:dyDescent="0.25">
      <c r="A5451">
        <v>9811</v>
      </c>
      <c r="B5451">
        <v>0</v>
      </c>
    </row>
    <row r="5452" spans="1:2" x14ac:dyDescent="0.25">
      <c r="A5452">
        <v>9812</v>
      </c>
      <c r="B5452">
        <v>0</v>
      </c>
    </row>
    <row r="5453" spans="1:2" x14ac:dyDescent="0.25">
      <c r="A5453">
        <v>9813</v>
      </c>
      <c r="B5453">
        <v>0</v>
      </c>
    </row>
    <row r="5454" spans="1:2" x14ac:dyDescent="0.25">
      <c r="A5454">
        <v>9814</v>
      </c>
      <c r="B5454">
        <v>0</v>
      </c>
    </row>
    <row r="5455" spans="1:2" x14ac:dyDescent="0.25">
      <c r="A5455">
        <v>9816</v>
      </c>
      <c r="B5455">
        <v>0</v>
      </c>
    </row>
    <row r="5456" spans="1:2" x14ac:dyDescent="0.25">
      <c r="A5456">
        <v>9817</v>
      </c>
      <c r="B5456">
        <v>0</v>
      </c>
    </row>
    <row r="5457" spans="1:2" x14ac:dyDescent="0.25">
      <c r="A5457">
        <v>9819</v>
      </c>
      <c r="B5457">
        <v>0</v>
      </c>
    </row>
    <row r="5458" spans="1:2" x14ac:dyDescent="0.25">
      <c r="A5458">
        <v>9820</v>
      </c>
      <c r="B5458">
        <v>0</v>
      </c>
    </row>
    <row r="5459" spans="1:2" x14ac:dyDescent="0.25">
      <c r="A5459">
        <v>9821</v>
      </c>
      <c r="B5459">
        <v>0</v>
      </c>
    </row>
    <row r="5460" spans="1:2" x14ac:dyDescent="0.25">
      <c r="A5460">
        <v>9822</v>
      </c>
      <c r="B5460">
        <v>0</v>
      </c>
    </row>
    <row r="5461" spans="1:2" x14ac:dyDescent="0.25">
      <c r="A5461">
        <v>9823</v>
      </c>
      <c r="B5461">
        <v>0</v>
      </c>
    </row>
    <row r="5462" spans="1:2" x14ac:dyDescent="0.25">
      <c r="A5462">
        <v>9824</v>
      </c>
      <c r="B5462">
        <v>0</v>
      </c>
    </row>
    <row r="5463" spans="1:2" x14ac:dyDescent="0.25">
      <c r="A5463">
        <v>9825</v>
      </c>
      <c r="B5463">
        <v>0</v>
      </c>
    </row>
    <row r="5464" spans="1:2" x14ac:dyDescent="0.25">
      <c r="A5464">
        <v>9826</v>
      </c>
      <c r="B5464">
        <v>0</v>
      </c>
    </row>
    <row r="5465" spans="1:2" x14ac:dyDescent="0.25">
      <c r="A5465">
        <v>9827</v>
      </c>
      <c r="B5465">
        <v>0</v>
      </c>
    </row>
    <row r="5466" spans="1:2" x14ac:dyDescent="0.25">
      <c r="A5466">
        <v>9828</v>
      </c>
      <c r="B5466">
        <v>0</v>
      </c>
    </row>
    <row r="5467" spans="1:2" x14ac:dyDescent="0.25">
      <c r="A5467">
        <v>9829</v>
      </c>
      <c r="B5467">
        <v>0</v>
      </c>
    </row>
    <row r="5468" spans="1:2" x14ac:dyDescent="0.25">
      <c r="A5468">
        <v>9830</v>
      </c>
      <c r="B5468">
        <v>0</v>
      </c>
    </row>
    <row r="5469" spans="1:2" x14ac:dyDescent="0.25">
      <c r="A5469">
        <v>9831</v>
      </c>
      <c r="B5469">
        <v>0</v>
      </c>
    </row>
    <row r="5470" spans="1:2" x14ac:dyDescent="0.25">
      <c r="A5470">
        <v>9832</v>
      </c>
      <c r="B5470">
        <v>0</v>
      </c>
    </row>
    <row r="5471" spans="1:2" x14ac:dyDescent="0.25">
      <c r="A5471">
        <v>9835</v>
      </c>
      <c r="B5471">
        <v>0</v>
      </c>
    </row>
    <row r="5472" spans="1:2" x14ac:dyDescent="0.25">
      <c r="A5472">
        <v>9836</v>
      </c>
      <c r="B5472">
        <v>0</v>
      </c>
    </row>
    <row r="5473" spans="1:2" x14ac:dyDescent="0.25">
      <c r="A5473">
        <v>9837</v>
      </c>
      <c r="B5473">
        <v>0</v>
      </c>
    </row>
    <row r="5474" spans="1:2" x14ac:dyDescent="0.25">
      <c r="A5474">
        <v>9838</v>
      </c>
      <c r="B5474">
        <v>0</v>
      </c>
    </row>
    <row r="5475" spans="1:2" x14ac:dyDescent="0.25">
      <c r="A5475">
        <v>9839</v>
      </c>
      <c r="B5475">
        <v>0</v>
      </c>
    </row>
    <row r="5476" spans="1:2" x14ac:dyDescent="0.25">
      <c r="A5476">
        <v>9840</v>
      </c>
      <c r="B5476">
        <v>0</v>
      </c>
    </row>
    <row r="5477" spans="1:2" x14ac:dyDescent="0.25">
      <c r="A5477">
        <v>9841</v>
      </c>
      <c r="B5477">
        <v>0</v>
      </c>
    </row>
    <row r="5478" spans="1:2" x14ac:dyDescent="0.25">
      <c r="A5478">
        <v>9842</v>
      </c>
      <c r="B5478">
        <v>0</v>
      </c>
    </row>
    <row r="5479" spans="1:2" x14ac:dyDescent="0.25">
      <c r="A5479">
        <v>9843</v>
      </c>
      <c r="B5479">
        <v>0</v>
      </c>
    </row>
    <row r="5480" spans="1:2" x14ac:dyDescent="0.25">
      <c r="A5480">
        <v>9844</v>
      </c>
      <c r="B5480">
        <v>0</v>
      </c>
    </row>
    <row r="5481" spans="1:2" x14ac:dyDescent="0.25">
      <c r="A5481">
        <v>9845</v>
      </c>
      <c r="B5481">
        <v>0</v>
      </c>
    </row>
    <row r="5482" spans="1:2" x14ac:dyDescent="0.25">
      <c r="A5482">
        <v>9846</v>
      </c>
      <c r="B5482">
        <v>0</v>
      </c>
    </row>
    <row r="5483" spans="1:2" x14ac:dyDescent="0.25">
      <c r="A5483">
        <v>9847</v>
      </c>
      <c r="B5483">
        <v>0</v>
      </c>
    </row>
    <row r="5484" spans="1:2" x14ac:dyDescent="0.25">
      <c r="A5484">
        <v>9848</v>
      </c>
      <c r="B5484">
        <v>0</v>
      </c>
    </row>
    <row r="5485" spans="1:2" x14ac:dyDescent="0.25">
      <c r="A5485">
        <v>9850</v>
      </c>
      <c r="B5485">
        <v>0</v>
      </c>
    </row>
    <row r="5486" spans="1:2" x14ac:dyDescent="0.25">
      <c r="A5486">
        <v>9852</v>
      </c>
      <c r="B5486">
        <v>0</v>
      </c>
    </row>
    <row r="5487" spans="1:2" x14ac:dyDescent="0.25">
      <c r="A5487">
        <v>9855</v>
      </c>
      <c r="B5487">
        <v>0</v>
      </c>
    </row>
    <row r="5488" spans="1:2" x14ac:dyDescent="0.25">
      <c r="A5488">
        <v>9856</v>
      </c>
      <c r="B5488">
        <v>0</v>
      </c>
    </row>
    <row r="5489" spans="1:2" x14ac:dyDescent="0.25">
      <c r="A5489">
        <v>9882</v>
      </c>
      <c r="B5489">
        <v>0</v>
      </c>
    </row>
    <row r="5490" spans="1:2" x14ac:dyDescent="0.25">
      <c r="A5490">
        <v>9883</v>
      </c>
      <c r="B5490">
        <v>0</v>
      </c>
    </row>
    <row r="5491" spans="1:2" x14ac:dyDescent="0.25">
      <c r="A5491">
        <v>9884</v>
      </c>
      <c r="B5491">
        <v>0</v>
      </c>
    </row>
    <row r="5492" spans="1:2" x14ac:dyDescent="0.25">
      <c r="A5492">
        <v>9885</v>
      </c>
      <c r="B5492">
        <v>0</v>
      </c>
    </row>
    <row r="5493" spans="1:2" x14ac:dyDescent="0.25">
      <c r="A5493">
        <v>9886</v>
      </c>
      <c r="B5493">
        <v>0</v>
      </c>
    </row>
    <row r="5494" spans="1:2" x14ac:dyDescent="0.25">
      <c r="A5494">
        <v>9887</v>
      </c>
      <c r="B5494">
        <v>0</v>
      </c>
    </row>
    <row r="5495" spans="1:2" x14ac:dyDescent="0.25">
      <c r="A5495">
        <v>9888</v>
      </c>
      <c r="B5495">
        <v>0</v>
      </c>
    </row>
    <row r="5496" spans="1:2" x14ac:dyDescent="0.25">
      <c r="A5496">
        <v>9905</v>
      </c>
      <c r="B5496">
        <v>0</v>
      </c>
    </row>
    <row r="5497" spans="1:2" x14ac:dyDescent="0.25">
      <c r="A5497">
        <v>9907</v>
      </c>
      <c r="B5497">
        <v>0</v>
      </c>
    </row>
    <row r="5498" spans="1:2" x14ac:dyDescent="0.25">
      <c r="A5498">
        <v>9908</v>
      </c>
      <c r="B5498">
        <v>0</v>
      </c>
    </row>
    <row r="5499" spans="1:2" x14ac:dyDescent="0.25">
      <c r="A5499">
        <v>9909</v>
      </c>
      <c r="B5499">
        <v>0</v>
      </c>
    </row>
    <row r="5500" spans="1:2" x14ac:dyDescent="0.25">
      <c r="A5500">
        <v>9910</v>
      </c>
      <c r="B5500">
        <v>0</v>
      </c>
    </row>
    <row r="5501" spans="1:2" x14ac:dyDescent="0.25">
      <c r="A5501">
        <v>9911</v>
      </c>
      <c r="B5501">
        <v>0</v>
      </c>
    </row>
    <row r="5502" spans="1:2" x14ac:dyDescent="0.25">
      <c r="A5502">
        <v>9915</v>
      </c>
      <c r="B5502">
        <v>0</v>
      </c>
    </row>
    <row r="5503" spans="1:2" x14ac:dyDescent="0.25">
      <c r="A5503">
        <v>9916</v>
      </c>
      <c r="B5503">
        <v>0</v>
      </c>
    </row>
    <row r="5504" spans="1:2" x14ac:dyDescent="0.25">
      <c r="A5504">
        <v>9917</v>
      </c>
      <c r="B5504">
        <v>0</v>
      </c>
    </row>
    <row r="5505" spans="1:2" x14ac:dyDescent="0.25">
      <c r="A5505">
        <v>9919</v>
      </c>
      <c r="B5505">
        <v>0</v>
      </c>
    </row>
    <row r="5506" spans="1:2" x14ac:dyDescent="0.25">
      <c r="A5506">
        <v>9921</v>
      </c>
      <c r="B5506">
        <v>0</v>
      </c>
    </row>
    <row r="5507" spans="1:2" x14ac:dyDescent="0.25">
      <c r="A5507">
        <v>9922</v>
      </c>
      <c r="B5507">
        <v>0</v>
      </c>
    </row>
    <row r="5508" spans="1:2" x14ac:dyDescent="0.25">
      <c r="A5508">
        <v>9923</v>
      </c>
      <c r="B5508">
        <v>0</v>
      </c>
    </row>
    <row r="5509" spans="1:2" x14ac:dyDescent="0.25">
      <c r="A5509">
        <v>9924</v>
      </c>
      <c r="B5509">
        <v>0</v>
      </c>
    </row>
    <row r="5510" spans="1:2" x14ac:dyDescent="0.25">
      <c r="A5510">
        <v>9925</v>
      </c>
      <c r="B5510">
        <v>0</v>
      </c>
    </row>
    <row r="5511" spans="1:2" x14ac:dyDescent="0.25">
      <c r="A5511">
        <v>9927</v>
      </c>
      <c r="B5511">
        <v>0</v>
      </c>
    </row>
    <row r="5512" spans="1:2" x14ac:dyDescent="0.25">
      <c r="A5512">
        <v>9929</v>
      </c>
      <c r="B5512">
        <v>0</v>
      </c>
    </row>
    <row r="5513" spans="1:2" x14ac:dyDescent="0.25">
      <c r="A5513">
        <v>9930</v>
      </c>
      <c r="B5513">
        <v>0</v>
      </c>
    </row>
    <row r="5514" spans="1:2" x14ac:dyDescent="0.25">
      <c r="A5514">
        <v>9932</v>
      </c>
      <c r="B5514">
        <v>0</v>
      </c>
    </row>
    <row r="5515" spans="1:2" x14ac:dyDescent="0.25">
      <c r="A5515">
        <v>9934</v>
      </c>
      <c r="B5515">
        <v>0</v>
      </c>
    </row>
    <row r="5516" spans="1:2" x14ac:dyDescent="0.25">
      <c r="A5516">
        <v>9936</v>
      </c>
      <c r="B5516">
        <v>0</v>
      </c>
    </row>
    <row r="5517" spans="1:2" x14ac:dyDescent="0.25">
      <c r="A5517">
        <v>9937</v>
      </c>
      <c r="B5517">
        <v>0</v>
      </c>
    </row>
    <row r="5518" spans="1:2" x14ac:dyDescent="0.25">
      <c r="A5518">
        <v>9938</v>
      </c>
      <c r="B5518">
        <v>0</v>
      </c>
    </row>
    <row r="5519" spans="1:2" x14ac:dyDescent="0.25">
      <c r="A5519">
        <v>9939</v>
      </c>
      <c r="B5519">
        <v>0</v>
      </c>
    </row>
    <row r="5520" spans="1:2" x14ac:dyDescent="0.25">
      <c r="A5520">
        <v>9940</v>
      </c>
      <c r="B5520">
        <v>0</v>
      </c>
    </row>
    <row r="5521" spans="1:2" x14ac:dyDescent="0.25">
      <c r="A5521">
        <v>9941</v>
      </c>
      <c r="B5521">
        <v>0</v>
      </c>
    </row>
    <row r="5522" spans="1:2" x14ac:dyDescent="0.25">
      <c r="A5522">
        <v>9942</v>
      </c>
      <c r="B5522">
        <v>0</v>
      </c>
    </row>
    <row r="5523" spans="1:2" x14ac:dyDescent="0.25">
      <c r="A5523">
        <v>9943</v>
      </c>
      <c r="B5523">
        <v>0</v>
      </c>
    </row>
    <row r="5524" spans="1:2" x14ac:dyDescent="0.25">
      <c r="A5524">
        <v>9944</v>
      </c>
      <c r="B5524">
        <v>0</v>
      </c>
    </row>
    <row r="5525" spans="1:2" x14ac:dyDescent="0.25">
      <c r="A5525">
        <v>9945</v>
      </c>
      <c r="B5525">
        <v>0</v>
      </c>
    </row>
    <row r="5526" spans="1:2" x14ac:dyDescent="0.25">
      <c r="A5526">
        <v>9946</v>
      </c>
      <c r="B5526">
        <v>0</v>
      </c>
    </row>
    <row r="5527" spans="1:2" x14ac:dyDescent="0.25">
      <c r="A5527">
        <v>9947</v>
      </c>
      <c r="B5527">
        <v>0</v>
      </c>
    </row>
    <row r="5528" spans="1:2" x14ac:dyDescent="0.25">
      <c r="A5528">
        <v>9948</v>
      </c>
      <c r="B5528">
        <v>0</v>
      </c>
    </row>
    <row r="5529" spans="1:2" x14ac:dyDescent="0.25">
      <c r="A5529">
        <v>9949</v>
      </c>
      <c r="B5529">
        <v>0</v>
      </c>
    </row>
    <row r="5530" spans="1:2" x14ac:dyDescent="0.25">
      <c r="A5530">
        <v>9951</v>
      </c>
      <c r="B5530">
        <v>0</v>
      </c>
    </row>
    <row r="5531" spans="1:2" x14ac:dyDescent="0.25">
      <c r="A5531">
        <v>9952</v>
      </c>
      <c r="B5531">
        <v>0</v>
      </c>
    </row>
    <row r="5532" spans="1:2" x14ac:dyDescent="0.25">
      <c r="A5532">
        <v>9953</v>
      </c>
      <c r="B5532">
        <v>0</v>
      </c>
    </row>
    <row r="5533" spans="1:2" x14ac:dyDescent="0.25">
      <c r="A5533">
        <v>9954</v>
      </c>
      <c r="B5533">
        <v>0</v>
      </c>
    </row>
    <row r="5534" spans="1:2" x14ac:dyDescent="0.25">
      <c r="A5534">
        <v>9955</v>
      </c>
      <c r="B5534">
        <v>0</v>
      </c>
    </row>
    <row r="5535" spans="1:2" x14ac:dyDescent="0.25">
      <c r="A5535">
        <v>9957</v>
      </c>
      <c r="B5535">
        <v>0</v>
      </c>
    </row>
    <row r="5536" spans="1:2" x14ac:dyDescent="0.25">
      <c r="A5536">
        <v>9958</v>
      </c>
      <c r="B5536">
        <v>0</v>
      </c>
    </row>
    <row r="5537" spans="1:2" x14ac:dyDescent="0.25">
      <c r="A5537">
        <v>9959</v>
      </c>
      <c r="B5537">
        <v>0</v>
      </c>
    </row>
    <row r="5538" spans="1:2" x14ac:dyDescent="0.25">
      <c r="A5538">
        <v>9960</v>
      </c>
      <c r="B5538">
        <v>0</v>
      </c>
    </row>
    <row r="5539" spans="1:2" x14ac:dyDescent="0.25">
      <c r="A5539">
        <v>9961</v>
      </c>
      <c r="B5539">
        <v>0</v>
      </c>
    </row>
    <row r="5540" spans="1:2" x14ac:dyDescent="0.25">
      <c r="A5540">
        <v>9963</v>
      </c>
      <c r="B5540">
        <v>0</v>
      </c>
    </row>
    <row r="5541" spans="1:2" x14ac:dyDescent="0.25">
      <c r="A5541">
        <v>9964</v>
      </c>
      <c r="B5541">
        <v>0</v>
      </c>
    </row>
    <row r="5542" spans="1:2" x14ac:dyDescent="0.25">
      <c r="A5542">
        <v>9965</v>
      </c>
      <c r="B5542">
        <v>0</v>
      </c>
    </row>
    <row r="5543" spans="1:2" x14ac:dyDescent="0.25">
      <c r="A5543">
        <v>9967</v>
      </c>
      <c r="B5543">
        <v>0</v>
      </c>
    </row>
    <row r="5544" spans="1:2" x14ac:dyDescent="0.25">
      <c r="A5544">
        <v>9969</v>
      </c>
      <c r="B5544">
        <v>0</v>
      </c>
    </row>
    <row r="5545" spans="1:2" x14ac:dyDescent="0.25">
      <c r="A5545">
        <v>9972</v>
      </c>
      <c r="B5545">
        <v>0</v>
      </c>
    </row>
    <row r="5546" spans="1:2" x14ac:dyDescent="0.25">
      <c r="A5546">
        <v>9973</v>
      </c>
      <c r="B5546">
        <v>0</v>
      </c>
    </row>
    <row r="5547" spans="1:2" x14ac:dyDescent="0.25">
      <c r="A5547">
        <v>9974</v>
      </c>
      <c r="B5547">
        <v>0</v>
      </c>
    </row>
    <row r="5548" spans="1:2" x14ac:dyDescent="0.25">
      <c r="A5548">
        <v>9977</v>
      </c>
      <c r="B5548">
        <v>0</v>
      </c>
    </row>
    <row r="5549" spans="1:2" x14ac:dyDescent="0.25">
      <c r="A5549">
        <v>9978</v>
      </c>
      <c r="B5549">
        <v>0</v>
      </c>
    </row>
    <row r="5550" spans="1:2" x14ac:dyDescent="0.25">
      <c r="A5550">
        <v>9979</v>
      </c>
      <c r="B5550">
        <v>0</v>
      </c>
    </row>
    <row r="5551" spans="1:2" x14ac:dyDescent="0.25">
      <c r="A5551">
        <v>9980</v>
      </c>
      <c r="B5551">
        <v>0</v>
      </c>
    </row>
    <row r="5552" spans="1:2" x14ac:dyDescent="0.25">
      <c r="A5552">
        <v>9981</v>
      </c>
      <c r="B5552">
        <v>0</v>
      </c>
    </row>
    <row r="5553" spans="1:2" x14ac:dyDescent="0.25">
      <c r="A5553">
        <v>9982</v>
      </c>
      <c r="B5553">
        <v>0</v>
      </c>
    </row>
    <row r="5554" spans="1:2" x14ac:dyDescent="0.25">
      <c r="A5554">
        <v>9983</v>
      </c>
      <c r="B5554">
        <v>0</v>
      </c>
    </row>
    <row r="5555" spans="1:2" x14ac:dyDescent="0.25">
      <c r="A5555">
        <v>9984</v>
      </c>
      <c r="B5555">
        <v>0</v>
      </c>
    </row>
    <row r="5556" spans="1:2" x14ac:dyDescent="0.25">
      <c r="A5556">
        <v>9985</v>
      </c>
      <c r="B5556">
        <v>0</v>
      </c>
    </row>
    <row r="5557" spans="1:2" x14ac:dyDescent="0.25">
      <c r="A5557">
        <v>9986</v>
      </c>
      <c r="B5557">
        <v>0</v>
      </c>
    </row>
    <row r="5558" spans="1:2" x14ac:dyDescent="0.25">
      <c r="A5558">
        <v>9987</v>
      </c>
      <c r="B5558">
        <v>0</v>
      </c>
    </row>
    <row r="5559" spans="1:2" x14ac:dyDescent="0.25">
      <c r="A5559">
        <v>9988</v>
      </c>
      <c r="B5559">
        <v>0</v>
      </c>
    </row>
    <row r="5560" spans="1:2" x14ac:dyDescent="0.25">
      <c r="A5560">
        <v>9992</v>
      </c>
      <c r="B5560">
        <v>0</v>
      </c>
    </row>
    <row r="5561" spans="1:2" x14ac:dyDescent="0.25">
      <c r="A5561">
        <v>9994</v>
      </c>
      <c r="B5561">
        <v>0</v>
      </c>
    </row>
    <row r="5562" spans="1:2" x14ac:dyDescent="0.25">
      <c r="A5562">
        <v>9995</v>
      </c>
      <c r="B5562">
        <v>0</v>
      </c>
    </row>
    <row r="5563" spans="1:2" x14ac:dyDescent="0.25">
      <c r="A5563">
        <v>9998</v>
      </c>
      <c r="B5563">
        <v>0</v>
      </c>
    </row>
    <row r="5564" spans="1:2" x14ac:dyDescent="0.25">
      <c r="A5564">
        <v>9999</v>
      </c>
      <c r="B5564">
        <v>0</v>
      </c>
    </row>
    <row r="5565" spans="1:2" x14ac:dyDescent="0.25">
      <c r="A5565">
        <v>10000</v>
      </c>
      <c r="B5565">
        <v>0</v>
      </c>
    </row>
    <row r="5566" spans="1:2" x14ac:dyDescent="0.25">
      <c r="A5566">
        <v>10001</v>
      </c>
      <c r="B5566">
        <v>0</v>
      </c>
    </row>
    <row r="5567" spans="1:2" x14ac:dyDescent="0.25">
      <c r="A5567">
        <v>10002</v>
      </c>
      <c r="B5567">
        <v>0</v>
      </c>
    </row>
    <row r="5568" spans="1:2" x14ac:dyDescent="0.25">
      <c r="A5568">
        <v>10003</v>
      </c>
      <c r="B5568">
        <v>0</v>
      </c>
    </row>
    <row r="5569" spans="1:2" x14ac:dyDescent="0.25">
      <c r="A5569">
        <v>10005</v>
      </c>
      <c r="B5569">
        <v>0</v>
      </c>
    </row>
    <row r="5570" spans="1:2" x14ac:dyDescent="0.25">
      <c r="A5570">
        <v>10007</v>
      </c>
      <c r="B5570">
        <v>0</v>
      </c>
    </row>
    <row r="5571" spans="1:2" x14ac:dyDescent="0.25">
      <c r="A5571">
        <v>10008</v>
      </c>
      <c r="B5571">
        <v>0</v>
      </c>
    </row>
    <row r="5572" spans="1:2" x14ac:dyDescent="0.25">
      <c r="A5572">
        <v>10009</v>
      </c>
      <c r="B5572">
        <v>0</v>
      </c>
    </row>
    <row r="5573" spans="1:2" x14ac:dyDescent="0.25">
      <c r="A5573">
        <v>10010</v>
      </c>
      <c r="B5573">
        <v>0</v>
      </c>
    </row>
    <row r="5574" spans="1:2" x14ac:dyDescent="0.25">
      <c r="A5574">
        <v>10011</v>
      </c>
      <c r="B5574">
        <v>0</v>
      </c>
    </row>
    <row r="5575" spans="1:2" x14ac:dyDescent="0.25">
      <c r="A5575">
        <v>10012</v>
      </c>
      <c r="B5575">
        <v>0</v>
      </c>
    </row>
    <row r="5576" spans="1:2" x14ac:dyDescent="0.25">
      <c r="A5576">
        <v>10013</v>
      </c>
      <c r="B5576">
        <v>0</v>
      </c>
    </row>
    <row r="5577" spans="1:2" x14ac:dyDescent="0.25">
      <c r="A5577">
        <v>10014</v>
      </c>
      <c r="B5577">
        <v>0</v>
      </c>
    </row>
    <row r="5578" spans="1:2" x14ac:dyDescent="0.25">
      <c r="A5578">
        <v>10015</v>
      </c>
      <c r="B5578">
        <v>0</v>
      </c>
    </row>
    <row r="5579" spans="1:2" x14ac:dyDescent="0.25">
      <c r="A5579">
        <v>10019</v>
      </c>
      <c r="B5579">
        <v>0</v>
      </c>
    </row>
    <row r="5580" spans="1:2" x14ac:dyDescent="0.25">
      <c r="A5580">
        <v>10020</v>
      </c>
      <c r="B5580">
        <v>0</v>
      </c>
    </row>
    <row r="5581" spans="1:2" x14ac:dyDescent="0.25">
      <c r="A5581">
        <v>10021</v>
      </c>
      <c r="B5581">
        <v>0</v>
      </c>
    </row>
    <row r="5582" spans="1:2" x14ac:dyDescent="0.25">
      <c r="A5582">
        <v>10022</v>
      </c>
      <c r="B5582">
        <v>0</v>
      </c>
    </row>
    <row r="5583" spans="1:2" x14ac:dyDescent="0.25">
      <c r="A5583">
        <v>10023</v>
      </c>
      <c r="B5583">
        <v>0</v>
      </c>
    </row>
    <row r="5584" spans="1:2" x14ac:dyDescent="0.25">
      <c r="A5584">
        <v>10024</v>
      </c>
      <c r="B5584">
        <v>0</v>
      </c>
    </row>
    <row r="5585" spans="1:2" x14ac:dyDescent="0.25">
      <c r="A5585">
        <v>10025</v>
      </c>
      <c r="B5585">
        <v>0</v>
      </c>
    </row>
    <row r="5586" spans="1:2" x14ac:dyDescent="0.25">
      <c r="A5586">
        <v>10026</v>
      </c>
      <c r="B5586">
        <v>0</v>
      </c>
    </row>
    <row r="5587" spans="1:2" x14ac:dyDescent="0.25">
      <c r="A5587">
        <v>10028</v>
      </c>
      <c r="B5587">
        <v>13</v>
      </c>
    </row>
    <row r="5588" spans="1:2" x14ac:dyDescent="0.25">
      <c r="A5588">
        <v>10030</v>
      </c>
      <c r="B5588">
        <v>0</v>
      </c>
    </row>
    <row r="5589" spans="1:2" x14ac:dyDescent="0.25">
      <c r="A5589">
        <v>10032</v>
      </c>
      <c r="B5589">
        <v>13</v>
      </c>
    </row>
    <row r="5590" spans="1:2" x14ac:dyDescent="0.25">
      <c r="A5590">
        <v>10034</v>
      </c>
      <c r="B5590">
        <v>0</v>
      </c>
    </row>
    <row r="5591" spans="1:2" x14ac:dyDescent="0.25">
      <c r="A5591">
        <v>10035</v>
      </c>
      <c r="B5591">
        <v>0</v>
      </c>
    </row>
    <row r="5592" spans="1:2" x14ac:dyDescent="0.25">
      <c r="A5592">
        <v>10039</v>
      </c>
      <c r="B5592">
        <v>0</v>
      </c>
    </row>
    <row r="5593" spans="1:2" x14ac:dyDescent="0.25">
      <c r="A5593">
        <v>10040</v>
      </c>
      <c r="B5593">
        <v>0</v>
      </c>
    </row>
    <row r="5594" spans="1:2" x14ac:dyDescent="0.25">
      <c r="A5594">
        <v>10041</v>
      </c>
      <c r="B5594">
        <v>0</v>
      </c>
    </row>
    <row r="5595" spans="1:2" x14ac:dyDescent="0.25">
      <c r="A5595">
        <v>10042</v>
      </c>
      <c r="B5595">
        <v>0</v>
      </c>
    </row>
    <row r="5596" spans="1:2" x14ac:dyDescent="0.25">
      <c r="A5596">
        <v>10043</v>
      </c>
      <c r="B5596">
        <v>0</v>
      </c>
    </row>
    <row r="5597" spans="1:2" x14ac:dyDescent="0.25">
      <c r="A5597">
        <v>10044</v>
      </c>
      <c r="B5597">
        <v>0</v>
      </c>
    </row>
    <row r="5598" spans="1:2" x14ac:dyDescent="0.25">
      <c r="A5598">
        <v>10045</v>
      </c>
      <c r="B5598">
        <v>0</v>
      </c>
    </row>
    <row r="5599" spans="1:2" x14ac:dyDescent="0.25">
      <c r="A5599">
        <v>10046</v>
      </c>
      <c r="B5599">
        <v>0</v>
      </c>
    </row>
    <row r="5600" spans="1:2" x14ac:dyDescent="0.25">
      <c r="A5600">
        <v>10047</v>
      </c>
      <c r="B5600">
        <v>0</v>
      </c>
    </row>
    <row r="5601" spans="1:2" x14ac:dyDescent="0.25">
      <c r="A5601">
        <v>10048</v>
      </c>
      <c r="B5601">
        <v>0</v>
      </c>
    </row>
    <row r="5602" spans="1:2" x14ac:dyDescent="0.25">
      <c r="A5602">
        <v>10049</v>
      </c>
      <c r="B5602">
        <v>0</v>
      </c>
    </row>
    <row r="5603" spans="1:2" x14ac:dyDescent="0.25">
      <c r="A5603">
        <v>10050</v>
      </c>
      <c r="B5603">
        <v>0</v>
      </c>
    </row>
    <row r="5604" spans="1:2" x14ac:dyDescent="0.25">
      <c r="A5604">
        <v>10051</v>
      </c>
      <c r="B5604">
        <v>0</v>
      </c>
    </row>
    <row r="5605" spans="1:2" x14ac:dyDescent="0.25">
      <c r="A5605">
        <v>10052</v>
      </c>
      <c r="B5605">
        <v>0</v>
      </c>
    </row>
    <row r="5606" spans="1:2" x14ac:dyDescent="0.25">
      <c r="A5606">
        <v>10053</v>
      </c>
      <c r="B5606">
        <v>0</v>
      </c>
    </row>
    <row r="5607" spans="1:2" x14ac:dyDescent="0.25">
      <c r="A5607">
        <v>10054</v>
      </c>
      <c r="B5607">
        <v>0</v>
      </c>
    </row>
    <row r="5608" spans="1:2" x14ac:dyDescent="0.25">
      <c r="A5608">
        <v>10055</v>
      </c>
      <c r="B5608">
        <v>0</v>
      </c>
    </row>
    <row r="5609" spans="1:2" x14ac:dyDescent="0.25">
      <c r="A5609">
        <v>10056</v>
      </c>
      <c r="B5609">
        <v>0</v>
      </c>
    </row>
    <row r="5610" spans="1:2" x14ac:dyDescent="0.25">
      <c r="A5610">
        <v>10057</v>
      </c>
      <c r="B5610">
        <v>0</v>
      </c>
    </row>
    <row r="5611" spans="1:2" x14ac:dyDescent="0.25">
      <c r="A5611">
        <v>10058</v>
      </c>
      <c r="B5611">
        <v>0</v>
      </c>
    </row>
    <row r="5612" spans="1:2" x14ac:dyDescent="0.25">
      <c r="A5612">
        <v>10059</v>
      </c>
      <c r="B5612">
        <v>0</v>
      </c>
    </row>
    <row r="5613" spans="1:2" x14ac:dyDescent="0.25">
      <c r="A5613">
        <v>10060</v>
      </c>
      <c r="B5613">
        <v>0</v>
      </c>
    </row>
    <row r="5614" spans="1:2" x14ac:dyDescent="0.25">
      <c r="A5614">
        <v>10061</v>
      </c>
      <c r="B5614">
        <v>0</v>
      </c>
    </row>
    <row r="5615" spans="1:2" x14ac:dyDescent="0.25">
      <c r="A5615">
        <v>10062</v>
      </c>
      <c r="B5615">
        <v>0</v>
      </c>
    </row>
    <row r="5616" spans="1:2" x14ac:dyDescent="0.25">
      <c r="A5616">
        <v>10063</v>
      </c>
      <c r="B5616">
        <v>0</v>
      </c>
    </row>
    <row r="5617" spans="1:2" x14ac:dyDescent="0.25">
      <c r="A5617">
        <v>10064</v>
      </c>
      <c r="B5617">
        <v>0</v>
      </c>
    </row>
    <row r="5618" spans="1:2" x14ac:dyDescent="0.25">
      <c r="A5618">
        <v>10065</v>
      </c>
      <c r="B5618">
        <v>0</v>
      </c>
    </row>
    <row r="5619" spans="1:2" x14ac:dyDescent="0.25">
      <c r="A5619">
        <v>10066</v>
      </c>
      <c r="B5619">
        <v>0</v>
      </c>
    </row>
    <row r="5620" spans="1:2" x14ac:dyDescent="0.25">
      <c r="A5620">
        <v>10068</v>
      </c>
      <c r="B5620">
        <v>0</v>
      </c>
    </row>
    <row r="5621" spans="1:2" x14ac:dyDescent="0.25">
      <c r="A5621">
        <v>10069</v>
      </c>
      <c r="B5621">
        <v>0</v>
      </c>
    </row>
    <row r="5622" spans="1:2" x14ac:dyDescent="0.25">
      <c r="A5622">
        <v>10070</v>
      </c>
      <c r="B5622">
        <v>0</v>
      </c>
    </row>
    <row r="5623" spans="1:2" x14ac:dyDescent="0.25">
      <c r="A5623">
        <v>10071</v>
      </c>
      <c r="B5623">
        <v>0</v>
      </c>
    </row>
    <row r="5624" spans="1:2" x14ac:dyDescent="0.25">
      <c r="A5624">
        <v>10072</v>
      </c>
      <c r="B5624">
        <v>0</v>
      </c>
    </row>
    <row r="5625" spans="1:2" x14ac:dyDescent="0.25">
      <c r="A5625">
        <v>10073</v>
      </c>
      <c r="B5625">
        <v>0</v>
      </c>
    </row>
    <row r="5626" spans="1:2" x14ac:dyDescent="0.25">
      <c r="A5626">
        <v>10075</v>
      </c>
      <c r="B5626">
        <v>0</v>
      </c>
    </row>
    <row r="5627" spans="1:2" x14ac:dyDescent="0.25">
      <c r="A5627">
        <v>10077</v>
      </c>
      <c r="B5627">
        <v>0</v>
      </c>
    </row>
    <row r="5628" spans="1:2" x14ac:dyDescent="0.25">
      <c r="A5628">
        <v>10079</v>
      </c>
      <c r="B5628">
        <v>0</v>
      </c>
    </row>
    <row r="5629" spans="1:2" x14ac:dyDescent="0.25">
      <c r="A5629">
        <v>10081</v>
      </c>
      <c r="B5629">
        <v>0</v>
      </c>
    </row>
    <row r="5630" spans="1:2" x14ac:dyDescent="0.25">
      <c r="A5630">
        <v>10083</v>
      </c>
      <c r="B5630">
        <v>0</v>
      </c>
    </row>
    <row r="5631" spans="1:2" x14ac:dyDescent="0.25">
      <c r="A5631">
        <v>10085</v>
      </c>
      <c r="B5631">
        <v>0</v>
      </c>
    </row>
    <row r="5632" spans="1:2" x14ac:dyDescent="0.25">
      <c r="A5632">
        <v>10086</v>
      </c>
      <c r="B5632">
        <v>0</v>
      </c>
    </row>
    <row r="5633" spans="1:2" x14ac:dyDescent="0.25">
      <c r="A5633">
        <v>10109</v>
      </c>
      <c r="B5633">
        <v>0</v>
      </c>
    </row>
    <row r="5634" spans="1:2" x14ac:dyDescent="0.25">
      <c r="A5634">
        <v>10111</v>
      </c>
      <c r="B5634">
        <v>0</v>
      </c>
    </row>
    <row r="5635" spans="1:2" x14ac:dyDescent="0.25">
      <c r="A5635">
        <v>10113</v>
      </c>
      <c r="B5635">
        <v>0</v>
      </c>
    </row>
    <row r="5636" spans="1:2" x14ac:dyDescent="0.25">
      <c r="A5636">
        <v>10115</v>
      </c>
      <c r="B5636">
        <v>0</v>
      </c>
    </row>
    <row r="5637" spans="1:2" x14ac:dyDescent="0.25">
      <c r="A5637">
        <v>10117</v>
      </c>
      <c r="B5637">
        <v>0</v>
      </c>
    </row>
    <row r="5638" spans="1:2" x14ac:dyDescent="0.25">
      <c r="A5638">
        <v>10118</v>
      </c>
      <c r="B5638">
        <v>0</v>
      </c>
    </row>
    <row r="5639" spans="1:2" x14ac:dyDescent="0.25">
      <c r="A5639">
        <v>10119</v>
      </c>
      <c r="B5639">
        <v>0</v>
      </c>
    </row>
    <row r="5640" spans="1:2" x14ac:dyDescent="0.25">
      <c r="A5640">
        <v>10120</v>
      </c>
      <c r="B5640">
        <v>0</v>
      </c>
    </row>
    <row r="5641" spans="1:2" x14ac:dyDescent="0.25">
      <c r="A5641">
        <v>10121</v>
      </c>
      <c r="B5641">
        <v>0</v>
      </c>
    </row>
    <row r="5642" spans="1:2" x14ac:dyDescent="0.25">
      <c r="A5642">
        <v>10122</v>
      </c>
      <c r="B5642">
        <v>0</v>
      </c>
    </row>
    <row r="5643" spans="1:2" x14ac:dyDescent="0.25">
      <c r="A5643">
        <v>10123</v>
      </c>
      <c r="B5643">
        <v>0</v>
      </c>
    </row>
    <row r="5644" spans="1:2" x14ac:dyDescent="0.25">
      <c r="A5644">
        <v>10124</v>
      </c>
      <c r="B5644">
        <v>0</v>
      </c>
    </row>
    <row r="5645" spans="1:2" x14ac:dyDescent="0.25">
      <c r="A5645">
        <v>10126</v>
      </c>
      <c r="B5645">
        <v>0</v>
      </c>
    </row>
    <row r="5646" spans="1:2" x14ac:dyDescent="0.25">
      <c r="A5646">
        <v>10128</v>
      </c>
      <c r="B5646">
        <v>0</v>
      </c>
    </row>
    <row r="5647" spans="1:2" x14ac:dyDescent="0.25">
      <c r="A5647">
        <v>10130</v>
      </c>
      <c r="B5647">
        <v>0</v>
      </c>
    </row>
    <row r="5648" spans="1:2" x14ac:dyDescent="0.25">
      <c r="A5648">
        <v>10131</v>
      </c>
      <c r="B5648">
        <v>0</v>
      </c>
    </row>
    <row r="5649" spans="1:2" x14ac:dyDescent="0.25">
      <c r="A5649">
        <v>10132</v>
      </c>
      <c r="B5649">
        <v>0</v>
      </c>
    </row>
    <row r="5650" spans="1:2" x14ac:dyDescent="0.25">
      <c r="A5650">
        <v>10133</v>
      </c>
      <c r="B5650">
        <v>0</v>
      </c>
    </row>
    <row r="5651" spans="1:2" x14ac:dyDescent="0.25">
      <c r="A5651">
        <v>10134</v>
      </c>
      <c r="B5651">
        <v>0</v>
      </c>
    </row>
    <row r="5652" spans="1:2" x14ac:dyDescent="0.25">
      <c r="A5652">
        <v>10135</v>
      </c>
      <c r="B5652">
        <v>0</v>
      </c>
    </row>
    <row r="5653" spans="1:2" x14ac:dyDescent="0.25">
      <c r="A5653">
        <v>10136</v>
      </c>
      <c r="B5653">
        <v>0</v>
      </c>
    </row>
    <row r="5654" spans="1:2" x14ac:dyDescent="0.25">
      <c r="A5654">
        <v>10137</v>
      </c>
      <c r="B5654">
        <v>0</v>
      </c>
    </row>
    <row r="5655" spans="1:2" x14ac:dyDescent="0.25">
      <c r="A5655">
        <v>10138</v>
      </c>
      <c r="B5655">
        <v>0</v>
      </c>
    </row>
    <row r="5656" spans="1:2" x14ac:dyDescent="0.25">
      <c r="A5656">
        <v>10139</v>
      </c>
      <c r="B5656">
        <v>0</v>
      </c>
    </row>
    <row r="5657" spans="1:2" x14ac:dyDescent="0.25">
      <c r="A5657">
        <v>10140</v>
      </c>
      <c r="B5657">
        <v>0</v>
      </c>
    </row>
    <row r="5658" spans="1:2" x14ac:dyDescent="0.25">
      <c r="A5658">
        <v>10141</v>
      </c>
      <c r="B5658">
        <v>0</v>
      </c>
    </row>
    <row r="5659" spans="1:2" x14ac:dyDescent="0.25">
      <c r="A5659">
        <v>10142</v>
      </c>
      <c r="B5659">
        <v>0</v>
      </c>
    </row>
    <row r="5660" spans="1:2" x14ac:dyDescent="0.25">
      <c r="A5660">
        <v>10143</v>
      </c>
      <c r="B5660">
        <v>0</v>
      </c>
    </row>
    <row r="5661" spans="1:2" x14ac:dyDescent="0.25">
      <c r="A5661">
        <v>10144</v>
      </c>
      <c r="B5661">
        <v>0</v>
      </c>
    </row>
    <row r="5662" spans="1:2" x14ac:dyDescent="0.25">
      <c r="A5662">
        <v>10145</v>
      </c>
      <c r="B5662">
        <v>0</v>
      </c>
    </row>
    <row r="5663" spans="1:2" x14ac:dyDescent="0.25">
      <c r="A5663">
        <v>10146</v>
      </c>
      <c r="B5663">
        <v>0</v>
      </c>
    </row>
    <row r="5664" spans="1:2" x14ac:dyDescent="0.25">
      <c r="A5664">
        <v>10147</v>
      </c>
      <c r="B5664">
        <v>0</v>
      </c>
    </row>
    <row r="5665" spans="1:2" x14ac:dyDescent="0.25">
      <c r="A5665">
        <v>10148</v>
      </c>
      <c r="B5665">
        <v>0</v>
      </c>
    </row>
    <row r="5666" spans="1:2" x14ac:dyDescent="0.25">
      <c r="A5666">
        <v>10149</v>
      </c>
      <c r="B5666">
        <v>0</v>
      </c>
    </row>
    <row r="5667" spans="1:2" x14ac:dyDescent="0.25">
      <c r="A5667">
        <v>10151</v>
      </c>
      <c r="B5667">
        <v>0</v>
      </c>
    </row>
    <row r="5668" spans="1:2" x14ac:dyDescent="0.25">
      <c r="A5668">
        <v>10153</v>
      </c>
      <c r="B5668">
        <v>0</v>
      </c>
    </row>
    <row r="5669" spans="1:2" x14ac:dyDescent="0.25">
      <c r="A5669">
        <v>10154</v>
      </c>
      <c r="B5669">
        <v>0</v>
      </c>
    </row>
    <row r="5670" spans="1:2" x14ac:dyDescent="0.25">
      <c r="A5670">
        <v>10155</v>
      </c>
      <c r="B5670">
        <v>0</v>
      </c>
    </row>
    <row r="5671" spans="1:2" x14ac:dyDescent="0.25">
      <c r="A5671">
        <v>10157</v>
      </c>
      <c r="B5671">
        <v>0</v>
      </c>
    </row>
    <row r="5672" spans="1:2" x14ac:dyDescent="0.25">
      <c r="A5672">
        <v>10159</v>
      </c>
      <c r="B5672">
        <v>0</v>
      </c>
    </row>
    <row r="5673" spans="1:2" x14ac:dyDescent="0.25">
      <c r="A5673">
        <v>10162</v>
      </c>
      <c r="B5673">
        <v>0</v>
      </c>
    </row>
    <row r="5674" spans="1:2" x14ac:dyDescent="0.25">
      <c r="A5674">
        <v>10166</v>
      </c>
      <c r="B5674">
        <v>0</v>
      </c>
    </row>
    <row r="5675" spans="1:2" x14ac:dyDescent="0.25">
      <c r="A5675">
        <v>10167</v>
      </c>
      <c r="B5675">
        <v>0</v>
      </c>
    </row>
    <row r="5676" spans="1:2" x14ac:dyDescent="0.25">
      <c r="A5676">
        <v>10168</v>
      </c>
      <c r="B5676">
        <v>0</v>
      </c>
    </row>
    <row r="5677" spans="1:2" x14ac:dyDescent="0.25">
      <c r="A5677">
        <v>10169</v>
      </c>
      <c r="B5677">
        <v>0</v>
      </c>
    </row>
    <row r="5678" spans="1:2" x14ac:dyDescent="0.25">
      <c r="A5678">
        <v>10170</v>
      </c>
      <c r="B5678">
        <v>0</v>
      </c>
    </row>
    <row r="5679" spans="1:2" x14ac:dyDescent="0.25">
      <c r="A5679">
        <v>10171</v>
      </c>
      <c r="B5679">
        <v>0</v>
      </c>
    </row>
    <row r="5680" spans="1:2" x14ac:dyDescent="0.25">
      <c r="A5680">
        <v>10172</v>
      </c>
      <c r="B5680">
        <v>0</v>
      </c>
    </row>
    <row r="5681" spans="1:2" x14ac:dyDescent="0.25">
      <c r="A5681">
        <v>10173</v>
      </c>
      <c r="B5681">
        <v>0</v>
      </c>
    </row>
    <row r="5682" spans="1:2" x14ac:dyDescent="0.25">
      <c r="A5682">
        <v>10175</v>
      </c>
      <c r="B5682">
        <v>0</v>
      </c>
    </row>
    <row r="5683" spans="1:2" x14ac:dyDescent="0.25">
      <c r="A5683">
        <v>10185</v>
      </c>
      <c r="B5683">
        <v>0</v>
      </c>
    </row>
    <row r="5684" spans="1:2" x14ac:dyDescent="0.25">
      <c r="A5684">
        <v>10186</v>
      </c>
      <c r="B5684">
        <v>0</v>
      </c>
    </row>
    <row r="5685" spans="1:2" x14ac:dyDescent="0.25">
      <c r="A5685">
        <v>10187</v>
      </c>
      <c r="B5685">
        <v>0</v>
      </c>
    </row>
    <row r="5686" spans="1:2" x14ac:dyDescent="0.25">
      <c r="A5686">
        <v>10188</v>
      </c>
      <c r="B5686">
        <v>0</v>
      </c>
    </row>
    <row r="5687" spans="1:2" x14ac:dyDescent="0.25">
      <c r="A5687">
        <v>10189</v>
      </c>
      <c r="B5687">
        <v>0</v>
      </c>
    </row>
    <row r="5688" spans="1:2" x14ac:dyDescent="0.25">
      <c r="A5688">
        <v>10190</v>
      </c>
      <c r="B5688">
        <v>0</v>
      </c>
    </row>
    <row r="5689" spans="1:2" x14ac:dyDescent="0.25">
      <c r="A5689">
        <v>10191</v>
      </c>
      <c r="B5689">
        <v>0</v>
      </c>
    </row>
    <row r="5690" spans="1:2" x14ac:dyDescent="0.25">
      <c r="A5690">
        <v>10192</v>
      </c>
      <c r="B5690">
        <v>0</v>
      </c>
    </row>
    <row r="5691" spans="1:2" x14ac:dyDescent="0.25">
      <c r="A5691">
        <v>10193</v>
      </c>
      <c r="B5691">
        <v>0</v>
      </c>
    </row>
    <row r="5692" spans="1:2" x14ac:dyDescent="0.25">
      <c r="A5692">
        <v>10194</v>
      </c>
      <c r="B5692">
        <v>0</v>
      </c>
    </row>
    <row r="5693" spans="1:2" x14ac:dyDescent="0.25">
      <c r="A5693">
        <v>10195</v>
      </c>
      <c r="B5693">
        <v>0</v>
      </c>
    </row>
    <row r="5694" spans="1:2" x14ac:dyDescent="0.25">
      <c r="A5694">
        <v>10196</v>
      </c>
      <c r="B5694">
        <v>0</v>
      </c>
    </row>
    <row r="5695" spans="1:2" x14ac:dyDescent="0.25">
      <c r="A5695">
        <v>10197</v>
      </c>
      <c r="B5695">
        <v>0</v>
      </c>
    </row>
    <row r="5696" spans="1:2" x14ac:dyDescent="0.25">
      <c r="A5696">
        <v>10198</v>
      </c>
      <c r="B5696">
        <v>0</v>
      </c>
    </row>
    <row r="5697" spans="1:2" x14ac:dyDescent="0.25">
      <c r="A5697">
        <v>10199</v>
      </c>
      <c r="B5697">
        <v>0</v>
      </c>
    </row>
    <row r="5698" spans="1:2" x14ac:dyDescent="0.25">
      <c r="A5698">
        <v>10200</v>
      </c>
      <c r="B5698">
        <v>0</v>
      </c>
    </row>
    <row r="5699" spans="1:2" x14ac:dyDescent="0.25">
      <c r="A5699">
        <v>10201</v>
      </c>
      <c r="B5699">
        <v>0</v>
      </c>
    </row>
    <row r="5700" spans="1:2" x14ac:dyDescent="0.25">
      <c r="A5700">
        <v>10202</v>
      </c>
      <c r="B5700">
        <v>0</v>
      </c>
    </row>
    <row r="5701" spans="1:2" x14ac:dyDescent="0.25">
      <c r="A5701">
        <v>10204</v>
      </c>
      <c r="B5701">
        <v>0</v>
      </c>
    </row>
    <row r="5702" spans="1:2" x14ac:dyDescent="0.25">
      <c r="A5702">
        <v>10206</v>
      </c>
      <c r="B5702">
        <v>0</v>
      </c>
    </row>
    <row r="5703" spans="1:2" x14ac:dyDescent="0.25">
      <c r="A5703">
        <v>10207</v>
      </c>
      <c r="B5703">
        <v>0</v>
      </c>
    </row>
    <row r="5704" spans="1:2" x14ac:dyDescent="0.25">
      <c r="A5704">
        <v>10208</v>
      </c>
      <c r="B5704">
        <v>0</v>
      </c>
    </row>
    <row r="5705" spans="1:2" x14ac:dyDescent="0.25">
      <c r="A5705">
        <v>10209</v>
      </c>
      <c r="B5705">
        <v>0</v>
      </c>
    </row>
    <row r="5706" spans="1:2" x14ac:dyDescent="0.25">
      <c r="A5706">
        <v>10210</v>
      </c>
      <c r="B5706">
        <v>0</v>
      </c>
    </row>
    <row r="5707" spans="1:2" x14ac:dyDescent="0.25">
      <c r="A5707">
        <v>10212</v>
      </c>
      <c r="B5707">
        <v>0</v>
      </c>
    </row>
    <row r="5708" spans="1:2" x14ac:dyDescent="0.25">
      <c r="A5708">
        <v>10213</v>
      </c>
      <c r="B5708">
        <v>0</v>
      </c>
    </row>
    <row r="5709" spans="1:2" x14ac:dyDescent="0.25">
      <c r="A5709">
        <v>10214</v>
      </c>
      <c r="B5709">
        <v>0</v>
      </c>
    </row>
    <row r="5710" spans="1:2" x14ac:dyDescent="0.25">
      <c r="A5710">
        <v>10215</v>
      </c>
      <c r="B5710">
        <v>0</v>
      </c>
    </row>
    <row r="5711" spans="1:2" x14ac:dyDescent="0.25">
      <c r="A5711">
        <v>10217</v>
      </c>
      <c r="B5711">
        <v>0</v>
      </c>
    </row>
    <row r="5712" spans="1:2" x14ac:dyDescent="0.25">
      <c r="A5712">
        <v>10219</v>
      </c>
      <c r="B5712">
        <v>0</v>
      </c>
    </row>
    <row r="5713" spans="1:2" x14ac:dyDescent="0.25">
      <c r="A5713">
        <v>10221</v>
      </c>
      <c r="B5713">
        <v>0</v>
      </c>
    </row>
    <row r="5714" spans="1:2" x14ac:dyDescent="0.25">
      <c r="A5714">
        <v>10223</v>
      </c>
      <c r="B5714">
        <v>0</v>
      </c>
    </row>
    <row r="5715" spans="1:2" x14ac:dyDescent="0.25">
      <c r="A5715">
        <v>10225</v>
      </c>
      <c r="B5715">
        <v>0</v>
      </c>
    </row>
    <row r="5716" spans="1:2" x14ac:dyDescent="0.25">
      <c r="A5716">
        <v>10226</v>
      </c>
      <c r="B5716">
        <v>0</v>
      </c>
    </row>
    <row r="5717" spans="1:2" x14ac:dyDescent="0.25">
      <c r="A5717">
        <v>10227</v>
      </c>
      <c r="B5717">
        <v>0</v>
      </c>
    </row>
    <row r="5718" spans="1:2" x14ac:dyDescent="0.25">
      <c r="A5718">
        <v>10228</v>
      </c>
      <c r="B5718">
        <v>0</v>
      </c>
    </row>
    <row r="5719" spans="1:2" x14ac:dyDescent="0.25">
      <c r="A5719">
        <v>10229</v>
      </c>
      <c r="B5719">
        <v>0</v>
      </c>
    </row>
    <row r="5720" spans="1:2" x14ac:dyDescent="0.25">
      <c r="A5720">
        <v>10231</v>
      </c>
      <c r="B5720">
        <v>0</v>
      </c>
    </row>
    <row r="5721" spans="1:2" x14ac:dyDescent="0.25">
      <c r="A5721">
        <v>10233</v>
      </c>
      <c r="B5721">
        <v>0</v>
      </c>
    </row>
    <row r="5722" spans="1:2" x14ac:dyDescent="0.25">
      <c r="A5722">
        <v>10234</v>
      </c>
      <c r="B5722">
        <v>0</v>
      </c>
    </row>
    <row r="5723" spans="1:2" x14ac:dyDescent="0.25">
      <c r="A5723">
        <v>10235</v>
      </c>
      <c r="B5723">
        <v>0</v>
      </c>
    </row>
    <row r="5724" spans="1:2" x14ac:dyDescent="0.25">
      <c r="A5724">
        <v>10236</v>
      </c>
      <c r="B5724">
        <v>0</v>
      </c>
    </row>
    <row r="5725" spans="1:2" x14ac:dyDescent="0.25">
      <c r="A5725">
        <v>10238</v>
      </c>
      <c r="B5725">
        <v>0</v>
      </c>
    </row>
    <row r="5726" spans="1:2" x14ac:dyDescent="0.25">
      <c r="A5726">
        <v>10239</v>
      </c>
      <c r="B5726">
        <v>0</v>
      </c>
    </row>
    <row r="5727" spans="1:2" x14ac:dyDescent="0.25">
      <c r="A5727">
        <v>10241</v>
      </c>
      <c r="B5727">
        <v>0</v>
      </c>
    </row>
    <row r="5728" spans="1:2" x14ac:dyDescent="0.25">
      <c r="A5728">
        <v>10243</v>
      </c>
      <c r="B5728">
        <v>0</v>
      </c>
    </row>
    <row r="5729" spans="1:2" x14ac:dyDescent="0.25">
      <c r="A5729">
        <v>10245</v>
      </c>
      <c r="B5729">
        <v>0</v>
      </c>
    </row>
    <row r="5730" spans="1:2" x14ac:dyDescent="0.25">
      <c r="A5730">
        <v>10247</v>
      </c>
      <c r="B5730">
        <v>0</v>
      </c>
    </row>
    <row r="5731" spans="1:2" x14ac:dyDescent="0.25">
      <c r="A5731">
        <v>10249</v>
      </c>
      <c r="B5731">
        <v>0</v>
      </c>
    </row>
    <row r="5732" spans="1:2" x14ac:dyDescent="0.25">
      <c r="A5732">
        <v>10251</v>
      </c>
      <c r="B5732">
        <v>0</v>
      </c>
    </row>
    <row r="5733" spans="1:2" x14ac:dyDescent="0.25">
      <c r="A5733">
        <v>10253</v>
      </c>
      <c r="B5733">
        <v>0</v>
      </c>
    </row>
    <row r="5734" spans="1:2" x14ac:dyDescent="0.25">
      <c r="A5734">
        <v>10255</v>
      </c>
      <c r="B5734">
        <v>0</v>
      </c>
    </row>
    <row r="5735" spans="1:2" x14ac:dyDescent="0.25">
      <c r="A5735">
        <v>10257</v>
      </c>
      <c r="B5735">
        <v>0</v>
      </c>
    </row>
    <row r="5736" spans="1:2" x14ac:dyDescent="0.25">
      <c r="A5736">
        <v>10258</v>
      </c>
      <c r="B5736">
        <v>0</v>
      </c>
    </row>
    <row r="5737" spans="1:2" x14ac:dyDescent="0.25">
      <c r="A5737">
        <v>10259</v>
      </c>
      <c r="B5737">
        <v>0</v>
      </c>
    </row>
    <row r="5738" spans="1:2" x14ac:dyDescent="0.25">
      <c r="A5738">
        <v>10260</v>
      </c>
      <c r="B5738">
        <v>0</v>
      </c>
    </row>
    <row r="5739" spans="1:2" x14ac:dyDescent="0.25">
      <c r="A5739">
        <v>10261</v>
      </c>
      <c r="B5739">
        <v>0</v>
      </c>
    </row>
    <row r="5740" spans="1:2" x14ac:dyDescent="0.25">
      <c r="A5740">
        <v>10262</v>
      </c>
      <c r="B5740">
        <v>0</v>
      </c>
    </row>
    <row r="5741" spans="1:2" x14ac:dyDescent="0.25">
      <c r="A5741">
        <v>10263</v>
      </c>
      <c r="B5741">
        <v>0</v>
      </c>
    </row>
    <row r="5742" spans="1:2" x14ac:dyDescent="0.25">
      <c r="A5742">
        <v>10264</v>
      </c>
      <c r="B5742">
        <v>0</v>
      </c>
    </row>
    <row r="5743" spans="1:2" x14ac:dyDescent="0.25">
      <c r="A5743">
        <v>10265</v>
      </c>
      <c r="B5743">
        <v>0</v>
      </c>
    </row>
    <row r="5744" spans="1:2" x14ac:dyDescent="0.25">
      <c r="A5744">
        <v>10266</v>
      </c>
      <c r="B5744">
        <v>0</v>
      </c>
    </row>
    <row r="5745" spans="1:2" x14ac:dyDescent="0.25">
      <c r="A5745">
        <v>10267</v>
      </c>
      <c r="B5745">
        <v>0</v>
      </c>
    </row>
    <row r="5746" spans="1:2" x14ac:dyDescent="0.25">
      <c r="A5746">
        <v>10268</v>
      </c>
      <c r="B5746">
        <v>0</v>
      </c>
    </row>
    <row r="5747" spans="1:2" x14ac:dyDescent="0.25">
      <c r="A5747">
        <v>10269</v>
      </c>
      <c r="B5747">
        <v>0</v>
      </c>
    </row>
    <row r="5748" spans="1:2" x14ac:dyDescent="0.25">
      <c r="A5748">
        <v>10270</v>
      </c>
      <c r="B5748">
        <v>0</v>
      </c>
    </row>
    <row r="5749" spans="1:2" x14ac:dyDescent="0.25">
      <c r="A5749">
        <v>10271</v>
      </c>
      <c r="B5749">
        <v>0</v>
      </c>
    </row>
    <row r="5750" spans="1:2" x14ac:dyDescent="0.25">
      <c r="A5750">
        <v>10272</v>
      </c>
      <c r="B5750">
        <v>0</v>
      </c>
    </row>
    <row r="5751" spans="1:2" x14ac:dyDescent="0.25">
      <c r="A5751">
        <v>10273</v>
      </c>
      <c r="B5751">
        <v>0</v>
      </c>
    </row>
    <row r="5752" spans="1:2" x14ac:dyDescent="0.25">
      <c r="A5752">
        <v>10274</v>
      </c>
      <c r="B5752">
        <v>0</v>
      </c>
    </row>
    <row r="5753" spans="1:2" x14ac:dyDescent="0.25">
      <c r="A5753">
        <v>10276</v>
      </c>
      <c r="B5753">
        <v>0</v>
      </c>
    </row>
    <row r="5754" spans="1:2" x14ac:dyDescent="0.25">
      <c r="A5754">
        <v>10278</v>
      </c>
      <c r="B5754">
        <v>0</v>
      </c>
    </row>
    <row r="5755" spans="1:2" x14ac:dyDescent="0.25">
      <c r="A5755">
        <v>10280</v>
      </c>
      <c r="B5755">
        <v>0</v>
      </c>
    </row>
    <row r="5756" spans="1:2" x14ac:dyDescent="0.25">
      <c r="A5756">
        <v>10282</v>
      </c>
      <c r="B5756">
        <v>0</v>
      </c>
    </row>
    <row r="5757" spans="1:2" x14ac:dyDescent="0.25">
      <c r="A5757">
        <v>10284</v>
      </c>
      <c r="B5757">
        <v>0</v>
      </c>
    </row>
    <row r="5758" spans="1:2" x14ac:dyDescent="0.25">
      <c r="A5758">
        <v>10286</v>
      </c>
      <c r="B5758">
        <v>0</v>
      </c>
    </row>
    <row r="5759" spans="1:2" x14ac:dyDescent="0.25">
      <c r="A5759">
        <v>10290</v>
      </c>
      <c r="B5759">
        <v>0</v>
      </c>
    </row>
    <row r="5760" spans="1:2" x14ac:dyDescent="0.25">
      <c r="A5760">
        <v>10292</v>
      </c>
      <c r="B5760">
        <v>0</v>
      </c>
    </row>
    <row r="5761" spans="1:2" x14ac:dyDescent="0.25">
      <c r="A5761">
        <v>10293</v>
      </c>
      <c r="B5761">
        <v>0</v>
      </c>
    </row>
    <row r="5762" spans="1:2" x14ac:dyDescent="0.25">
      <c r="A5762">
        <v>10295</v>
      </c>
      <c r="B5762">
        <v>0</v>
      </c>
    </row>
    <row r="5763" spans="1:2" x14ac:dyDescent="0.25">
      <c r="A5763">
        <v>10298</v>
      </c>
      <c r="B5763">
        <v>0</v>
      </c>
    </row>
    <row r="5764" spans="1:2" x14ac:dyDescent="0.25">
      <c r="A5764">
        <v>10301</v>
      </c>
      <c r="B5764">
        <v>0</v>
      </c>
    </row>
    <row r="5765" spans="1:2" x14ac:dyDescent="0.25">
      <c r="A5765">
        <v>10303</v>
      </c>
      <c r="B5765">
        <v>0</v>
      </c>
    </row>
    <row r="5766" spans="1:2" x14ac:dyDescent="0.25">
      <c r="A5766">
        <v>10305</v>
      </c>
      <c r="B5766">
        <v>0</v>
      </c>
    </row>
    <row r="5767" spans="1:2" x14ac:dyDescent="0.25">
      <c r="A5767">
        <v>10306</v>
      </c>
      <c r="B5767">
        <v>0</v>
      </c>
    </row>
    <row r="5768" spans="1:2" x14ac:dyDescent="0.25">
      <c r="A5768">
        <v>10307</v>
      </c>
      <c r="B5768">
        <v>0</v>
      </c>
    </row>
    <row r="5769" spans="1:2" x14ac:dyDescent="0.25">
      <c r="A5769">
        <v>10309</v>
      </c>
      <c r="B5769">
        <v>0</v>
      </c>
    </row>
    <row r="5770" spans="1:2" x14ac:dyDescent="0.25">
      <c r="A5770">
        <v>10311</v>
      </c>
      <c r="B5770">
        <v>0</v>
      </c>
    </row>
    <row r="5771" spans="1:2" x14ac:dyDescent="0.25">
      <c r="A5771">
        <v>10313</v>
      </c>
      <c r="B5771">
        <v>0</v>
      </c>
    </row>
    <row r="5772" spans="1:2" x14ac:dyDescent="0.25">
      <c r="A5772">
        <v>10315</v>
      </c>
      <c r="B5772">
        <v>0</v>
      </c>
    </row>
    <row r="5773" spans="1:2" x14ac:dyDescent="0.25">
      <c r="A5773">
        <v>10316</v>
      </c>
      <c r="B5773">
        <v>0</v>
      </c>
    </row>
    <row r="5774" spans="1:2" x14ac:dyDescent="0.25">
      <c r="A5774">
        <v>10318</v>
      </c>
      <c r="B5774">
        <v>0</v>
      </c>
    </row>
    <row r="5775" spans="1:2" x14ac:dyDescent="0.25">
      <c r="A5775">
        <v>10320</v>
      </c>
      <c r="B5775">
        <v>0</v>
      </c>
    </row>
    <row r="5776" spans="1:2" x14ac:dyDescent="0.25">
      <c r="A5776">
        <v>10323</v>
      </c>
      <c r="B5776">
        <v>0</v>
      </c>
    </row>
    <row r="5777" spans="1:2" x14ac:dyDescent="0.25">
      <c r="A5777">
        <v>10325</v>
      </c>
      <c r="B5777">
        <v>0</v>
      </c>
    </row>
    <row r="5778" spans="1:2" x14ac:dyDescent="0.25">
      <c r="A5778">
        <v>10327</v>
      </c>
      <c r="B5778">
        <v>0</v>
      </c>
    </row>
    <row r="5779" spans="1:2" x14ac:dyDescent="0.25">
      <c r="A5779">
        <v>10329</v>
      </c>
      <c r="B5779">
        <v>0</v>
      </c>
    </row>
    <row r="5780" spans="1:2" x14ac:dyDescent="0.25">
      <c r="A5780">
        <v>10331</v>
      </c>
      <c r="B5780">
        <v>0</v>
      </c>
    </row>
    <row r="5781" spans="1:2" x14ac:dyDescent="0.25">
      <c r="A5781">
        <v>10335</v>
      </c>
      <c r="B5781">
        <v>0</v>
      </c>
    </row>
    <row r="5782" spans="1:2" x14ac:dyDescent="0.25">
      <c r="A5782">
        <v>10336</v>
      </c>
      <c r="B5782">
        <v>0</v>
      </c>
    </row>
    <row r="5783" spans="1:2" x14ac:dyDescent="0.25">
      <c r="A5783">
        <v>10338</v>
      </c>
      <c r="B5783">
        <v>0</v>
      </c>
    </row>
    <row r="5784" spans="1:2" x14ac:dyDescent="0.25">
      <c r="A5784">
        <v>10341</v>
      </c>
      <c r="B5784">
        <v>0</v>
      </c>
    </row>
    <row r="5785" spans="1:2" x14ac:dyDescent="0.25">
      <c r="A5785">
        <v>10346</v>
      </c>
      <c r="B5785">
        <v>0</v>
      </c>
    </row>
    <row r="5786" spans="1:2" x14ac:dyDescent="0.25">
      <c r="A5786">
        <v>10347</v>
      </c>
      <c r="B5786">
        <v>0</v>
      </c>
    </row>
    <row r="5787" spans="1:2" x14ac:dyDescent="0.25">
      <c r="A5787">
        <v>10355</v>
      </c>
      <c r="B5787">
        <v>0</v>
      </c>
    </row>
    <row r="5788" spans="1:2" x14ac:dyDescent="0.25">
      <c r="A5788">
        <v>10357</v>
      </c>
      <c r="B5788">
        <v>0</v>
      </c>
    </row>
    <row r="5789" spans="1:2" x14ac:dyDescent="0.25">
      <c r="A5789">
        <v>10359</v>
      </c>
      <c r="B5789">
        <v>0</v>
      </c>
    </row>
    <row r="5790" spans="1:2" x14ac:dyDescent="0.25">
      <c r="A5790">
        <v>10361</v>
      </c>
      <c r="B5790">
        <v>0</v>
      </c>
    </row>
    <row r="5791" spans="1:2" x14ac:dyDescent="0.25">
      <c r="A5791">
        <v>10363</v>
      </c>
      <c r="B5791">
        <v>0</v>
      </c>
    </row>
    <row r="5792" spans="1:2" x14ac:dyDescent="0.25">
      <c r="A5792">
        <v>10365</v>
      </c>
      <c r="B5792">
        <v>0</v>
      </c>
    </row>
    <row r="5793" spans="1:2" x14ac:dyDescent="0.25">
      <c r="A5793">
        <v>10366</v>
      </c>
      <c r="B5793">
        <v>0</v>
      </c>
    </row>
    <row r="5794" spans="1:2" x14ac:dyDescent="0.25">
      <c r="A5794">
        <v>10368</v>
      </c>
      <c r="B5794">
        <v>0</v>
      </c>
    </row>
    <row r="5795" spans="1:2" x14ac:dyDescent="0.25">
      <c r="A5795">
        <v>10370</v>
      </c>
      <c r="B5795">
        <v>0</v>
      </c>
    </row>
    <row r="5796" spans="1:2" x14ac:dyDescent="0.25">
      <c r="A5796">
        <v>10371</v>
      </c>
      <c r="B5796">
        <v>0</v>
      </c>
    </row>
    <row r="5797" spans="1:2" x14ac:dyDescent="0.25">
      <c r="A5797">
        <v>10378</v>
      </c>
      <c r="B5797">
        <v>0</v>
      </c>
    </row>
    <row r="5798" spans="1:2" x14ac:dyDescent="0.25">
      <c r="A5798">
        <v>10382</v>
      </c>
      <c r="B5798">
        <v>0</v>
      </c>
    </row>
    <row r="5799" spans="1:2" x14ac:dyDescent="0.25">
      <c r="A5799">
        <v>10384</v>
      </c>
      <c r="B5799">
        <v>0</v>
      </c>
    </row>
    <row r="5800" spans="1:2" x14ac:dyDescent="0.25">
      <c r="A5800">
        <v>10385</v>
      </c>
      <c r="B5800">
        <v>0</v>
      </c>
    </row>
    <row r="5801" spans="1:2" x14ac:dyDescent="0.25">
      <c r="A5801">
        <v>10386</v>
      </c>
      <c r="B5801">
        <v>0</v>
      </c>
    </row>
    <row r="5802" spans="1:2" x14ac:dyDescent="0.25">
      <c r="A5802">
        <v>10387</v>
      </c>
      <c r="B5802">
        <v>0</v>
      </c>
    </row>
    <row r="5803" spans="1:2" x14ac:dyDescent="0.25">
      <c r="A5803">
        <v>10389</v>
      </c>
      <c r="B5803">
        <v>0</v>
      </c>
    </row>
    <row r="5804" spans="1:2" x14ac:dyDescent="0.25">
      <c r="A5804">
        <v>10390</v>
      </c>
      <c r="B5804">
        <v>0</v>
      </c>
    </row>
    <row r="5805" spans="1:2" x14ac:dyDescent="0.25">
      <c r="A5805">
        <v>10391</v>
      </c>
      <c r="B5805">
        <v>0</v>
      </c>
    </row>
    <row r="5806" spans="1:2" x14ac:dyDescent="0.25">
      <c r="A5806">
        <v>10393</v>
      </c>
      <c r="B5806">
        <v>0</v>
      </c>
    </row>
    <row r="5807" spans="1:2" x14ac:dyDescent="0.25">
      <c r="A5807">
        <v>10396</v>
      </c>
      <c r="B5807">
        <v>0</v>
      </c>
    </row>
    <row r="5808" spans="1:2" x14ac:dyDescent="0.25">
      <c r="A5808">
        <v>10397</v>
      </c>
      <c r="B5808">
        <v>0</v>
      </c>
    </row>
    <row r="5809" spans="1:2" x14ac:dyDescent="0.25">
      <c r="A5809">
        <v>10399</v>
      </c>
      <c r="B5809">
        <v>0</v>
      </c>
    </row>
    <row r="5810" spans="1:2" x14ac:dyDescent="0.25">
      <c r="A5810">
        <v>10401</v>
      </c>
      <c r="B5810">
        <v>0</v>
      </c>
    </row>
    <row r="5811" spans="1:2" x14ac:dyDescent="0.25">
      <c r="A5811">
        <v>10402</v>
      </c>
      <c r="B5811">
        <v>0</v>
      </c>
    </row>
    <row r="5812" spans="1:2" x14ac:dyDescent="0.25">
      <c r="A5812">
        <v>10404</v>
      </c>
      <c r="B5812">
        <v>0</v>
      </c>
    </row>
    <row r="5813" spans="1:2" x14ac:dyDescent="0.25">
      <c r="A5813">
        <v>10406</v>
      </c>
      <c r="B5813">
        <v>0</v>
      </c>
    </row>
    <row r="5814" spans="1:2" x14ac:dyDescent="0.25">
      <c r="A5814">
        <v>10408</v>
      </c>
      <c r="B5814">
        <v>0</v>
      </c>
    </row>
    <row r="5815" spans="1:2" x14ac:dyDescent="0.25">
      <c r="A5815">
        <v>10410</v>
      </c>
      <c r="B5815">
        <v>0</v>
      </c>
    </row>
    <row r="5816" spans="1:2" x14ac:dyDescent="0.25">
      <c r="A5816">
        <v>10412</v>
      </c>
      <c r="B5816">
        <v>0</v>
      </c>
    </row>
    <row r="5817" spans="1:2" x14ac:dyDescent="0.25">
      <c r="A5817">
        <v>10413</v>
      </c>
      <c r="B5817">
        <v>0</v>
      </c>
    </row>
    <row r="5818" spans="1:2" x14ac:dyDescent="0.25">
      <c r="A5818">
        <v>10414</v>
      </c>
      <c r="B5818">
        <v>0</v>
      </c>
    </row>
    <row r="5819" spans="1:2" x14ac:dyDescent="0.25">
      <c r="A5819">
        <v>10415</v>
      </c>
      <c r="B5819">
        <v>0</v>
      </c>
    </row>
    <row r="5820" spans="1:2" x14ac:dyDescent="0.25">
      <c r="A5820">
        <v>10416</v>
      </c>
      <c r="B5820">
        <v>0</v>
      </c>
    </row>
    <row r="5821" spans="1:2" x14ac:dyDescent="0.25">
      <c r="A5821">
        <v>10417</v>
      </c>
      <c r="B5821">
        <v>0</v>
      </c>
    </row>
    <row r="5822" spans="1:2" x14ac:dyDescent="0.25">
      <c r="A5822">
        <v>10418</v>
      </c>
      <c r="B5822">
        <v>0</v>
      </c>
    </row>
    <row r="5823" spans="1:2" x14ac:dyDescent="0.25">
      <c r="A5823">
        <v>10419</v>
      </c>
      <c r="B5823">
        <v>0</v>
      </c>
    </row>
    <row r="5824" spans="1:2" x14ac:dyDescent="0.25">
      <c r="A5824">
        <v>10420</v>
      </c>
      <c r="B5824">
        <v>0</v>
      </c>
    </row>
    <row r="5825" spans="1:2" x14ac:dyDescent="0.25">
      <c r="A5825">
        <v>10421</v>
      </c>
      <c r="B5825">
        <v>0</v>
      </c>
    </row>
    <row r="5826" spans="1:2" x14ac:dyDescent="0.25">
      <c r="A5826">
        <v>10422</v>
      </c>
      <c r="B5826">
        <v>0</v>
      </c>
    </row>
    <row r="5827" spans="1:2" x14ac:dyDescent="0.25">
      <c r="A5827">
        <v>10423</v>
      </c>
      <c r="B5827">
        <v>0</v>
      </c>
    </row>
    <row r="5828" spans="1:2" x14ac:dyDescent="0.25">
      <c r="A5828">
        <v>10424</v>
      </c>
      <c r="B5828">
        <v>0</v>
      </c>
    </row>
    <row r="5829" spans="1:2" x14ac:dyDescent="0.25">
      <c r="A5829">
        <v>10425</v>
      </c>
      <c r="B5829">
        <v>0</v>
      </c>
    </row>
    <row r="5830" spans="1:2" x14ac:dyDescent="0.25">
      <c r="A5830">
        <v>10426</v>
      </c>
      <c r="B5830">
        <v>0</v>
      </c>
    </row>
    <row r="5831" spans="1:2" x14ac:dyDescent="0.25">
      <c r="A5831">
        <v>10427</v>
      </c>
      <c r="B5831">
        <v>0</v>
      </c>
    </row>
    <row r="5832" spans="1:2" x14ac:dyDescent="0.25">
      <c r="A5832">
        <v>10429</v>
      </c>
      <c r="B5832">
        <v>0</v>
      </c>
    </row>
    <row r="5833" spans="1:2" x14ac:dyDescent="0.25">
      <c r="A5833">
        <v>10430</v>
      </c>
      <c r="B5833">
        <v>0</v>
      </c>
    </row>
    <row r="5834" spans="1:2" x14ac:dyDescent="0.25">
      <c r="A5834">
        <v>10431</v>
      </c>
      <c r="B5834">
        <v>0</v>
      </c>
    </row>
    <row r="5835" spans="1:2" x14ac:dyDescent="0.25">
      <c r="A5835">
        <v>10432</v>
      </c>
      <c r="B5835">
        <v>0</v>
      </c>
    </row>
    <row r="5836" spans="1:2" x14ac:dyDescent="0.25">
      <c r="A5836">
        <v>10435</v>
      </c>
      <c r="B5836">
        <v>0</v>
      </c>
    </row>
    <row r="5837" spans="1:2" x14ac:dyDescent="0.25">
      <c r="A5837">
        <v>10436</v>
      </c>
      <c r="B5837">
        <v>0</v>
      </c>
    </row>
    <row r="5838" spans="1:2" x14ac:dyDescent="0.25">
      <c r="A5838">
        <v>10437</v>
      </c>
      <c r="B5838">
        <v>0</v>
      </c>
    </row>
    <row r="5839" spans="1:2" x14ac:dyDescent="0.25">
      <c r="A5839">
        <v>10438</v>
      </c>
      <c r="B5839">
        <v>0</v>
      </c>
    </row>
    <row r="5840" spans="1:2" x14ac:dyDescent="0.25">
      <c r="A5840">
        <v>10439</v>
      </c>
      <c r="B5840">
        <v>0</v>
      </c>
    </row>
    <row r="5841" spans="1:2" x14ac:dyDescent="0.25">
      <c r="A5841">
        <v>10442</v>
      </c>
      <c r="B5841">
        <v>0</v>
      </c>
    </row>
    <row r="5842" spans="1:2" x14ac:dyDescent="0.25">
      <c r="A5842">
        <v>10443</v>
      </c>
      <c r="B5842">
        <v>0</v>
      </c>
    </row>
    <row r="5843" spans="1:2" x14ac:dyDescent="0.25">
      <c r="A5843">
        <v>10445</v>
      </c>
      <c r="B5843">
        <v>0</v>
      </c>
    </row>
    <row r="5844" spans="1:2" x14ac:dyDescent="0.25">
      <c r="A5844">
        <v>10447</v>
      </c>
      <c r="B5844">
        <v>0</v>
      </c>
    </row>
    <row r="5845" spans="1:2" x14ac:dyDescent="0.25">
      <c r="A5845">
        <v>10449</v>
      </c>
      <c r="B5845">
        <v>0</v>
      </c>
    </row>
    <row r="5846" spans="1:2" x14ac:dyDescent="0.25">
      <c r="A5846">
        <v>10450</v>
      </c>
      <c r="B5846">
        <v>0</v>
      </c>
    </row>
    <row r="5847" spans="1:2" x14ac:dyDescent="0.25">
      <c r="A5847">
        <v>10452</v>
      </c>
      <c r="B5847">
        <v>0</v>
      </c>
    </row>
    <row r="5848" spans="1:2" x14ac:dyDescent="0.25">
      <c r="A5848">
        <v>10453</v>
      </c>
      <c r="B5848">
        <v>0</v>
      </c>
    </row>
    <row r="5849" spans="1:2" x14ac:dyDescent="0.25">
      <c r="A5849">
        <v>10454</v>
      </c>
      <c r="B5849">
        <v>0</v>
      </c>
    </row>
    <row r="5850" spans="1:2" x14ac:dyDescent="0.25">
      <c r="A5850">
        <v>10455</v>
      </c>
      <c r="B5850">
        <v>0</v>
      </c>
    </row>
    <row r="5851" spans="1:2" x14ac:dyDescent="0.25">
      <c r="A5851">
        <v>10456</v>
      </c>
      <c r="B5851">
        <v>0</v>
      </c>
    </row>
    <row r="5852" spans="1:2" x14ac:dyDescent="0.25">
      <c r="A5852">
        <v>10457</v>
      </c>
      <c r="B5852">
        <v>0</v>
      </c>
    </row>
    <row r="5853" spans="1:2" x14ac:dyDescent="0.25">
      <c r="A5853">
        <v>10458</v>
      </c>
      <c r="B5853">
        <v>0</v>
      </c>
    </row>
    <row r="5854" spans="1:2" x14ac:dyDescent="0.25">
      <c r="A5854">
        <v>10459</v>
      </c>
      <c r="B5854">
        <v>0</v>
      </c>
    </row>
    <row r="5855" spans="1:2" x14ac:dyDescent="0.25">
      <c r="A5855">
        <v>10460</v>
      </c>
      <c r="B5855">
        <v>0</v>
      </c>
    </row>
    <row r="5856" spans="1:2" x14ac:dyDescent="0.25">
      <c r="A5856">
        <v>10461</v>
      </c>
      <c r="B5856">
        <v>0</v>
      </c>
    </row>
    <row r="5857" spans="1:2" x14ac:dyDescent="0.25">
      <c r="A5857">
        <v>10462</v>
      </c>
      <c r="B5857">
        <v>0</v>
      </c>
    </row>
    <row r="5858" spans="1:2" x14ac:dyDescent="0.25">
      <c r="A5858">
        <v>10463</v>
      </c>
      <c r="B5858">
        <v>0</v>
      </c>
    </row>
    <row r="5859" spans="1:2" x14ac:dyDescent="0.25">
      <c r="A5859">
        <v>10464</v>
      </c>
      <c r="B5859">
        <v>0</v>
      </c>
    </row>
    <row r="5860" spans="1:2" x14ac:dyDescent="0.25">
      <c r="A5860">
        <v>10465</v>
      </c>
      <c r="B5860">
        <v>0</v>
      </c>
    </row>
    <row r="5861" spans="1:2" x14ac:dyDescent="0.25">
      <c r="A5861">
        <v>10469</v>
      </c>
      <c r="B5861">
        <v>0</v>
      </c>
    </row>
    <row r="5862" spans="1:2" x14ac:dyDescent="0.25">
      <c r="A5862">
        <v>10470</v>
      </c>
      <c r="B5862">
        <v>0</v>
      </c>
    </row>
    <row r="5863" spans="1:2" x14ac:dyDescent="0.25">
      <c r="A5863">
        <v>10491</v>
      </c>
      <c r="B5863">
        <v>0</v>
      </c>
    </row>
    <row r="5864" spans="1:2" x14ac:dyDescent="0.25">
      <c r="A5864">
        <v>10493</v>
      </c>
      <c r="B5864">
        <v>0</v>
      </c>
    </row>
    <row r="5865" spans="1:2" x14ac:dyDescent="0.25">
      <c r="A5865">
        <v>10494</v>
      </c>
      <c r="B5865">
        <v>0</v>
      </c>
    </row>
    <row r="5866" spans="1:2" x14ac:dyDescent="0.25">
      <c r="A5866">
        <v>10497</v>
      </c>
      <c r="B5866">
        <v>0</v>
      </c>
    </row>
    <row r="5867" spans="1:2" x14ac:dyDescent="0.25">
      <c r="A5867">
        <v>10500</v>
      </c>
      <c r="B5867">
        <v>0</v>
      </c>
    </row>
    <row r="5868" spans="1:2" x14ac:dyDescent="0.25">
      <c r="A5868">
        <v>10502</v>
      </c>
      <c r="B5868">
        <v>0</v>
      </c>
    </row>
    <row r="5869" spans="1:2" x14ac:dyDescent="0.25">
      <c r="A5869">
        <v>10505</v>
      </c>
      <c r="B5869">
        <v>0</v>
      </c>
    </row>
    <row r="5870" spans="1:2" x14ac:dyDescent="0.25">
      <c r="A5870">
        <v>10507</v>
      </c>
      <c r="B5870">
        <v>0</v>
      </c>
    </row>
    <row r="5871" spans="1:2" x14ac:dyDescent="0.25">
      <c r="A5871">
        <v>10509</v>
      </c>
      <c r="B5871">
        <v>0</v>
      </c>
    </row>
    <row r="5872" spans="1:2" x14ac:dyDescent="0.25">
      <c r="A5872">
        <v>10511</v>
      </c>
      <c r="B5872">
        <v>0</v>
      </c>
    </row>
    <row r="5873" spans="1:2" x14ac:dyDescent="0.25">
      <c r="A5873">
        <v>10513</v>
      </c>
      <c r="B5873">
        <v>0</v>
      </c>
    </row>
    <row r="5874" spans="1:2" x14ac:dyDescent="0.25">
      <c r="A5874">
        <v>10515</v>
      </c>
      <c r="B5874">
        <v>0</v>
      </c>
    </row>
    <row r="5875" spans="1:2" x14ac:dyDescent="0.25">
      <c r="A5875">
        <v>10516</v>
      </c>
      <c r="B5875">
        <v>0</v>
      </c>
    </row>
    <row r="5876" spans="1:2" x14ac:dyDescent="0.25">
      <c r="A5876">
        <v>10517</v>
      </c>
      <c r="B5876">
        <v>0</v>
      </c>
    </row>
    <row r="5877" spans="1:2" x14ac:dyDescent="0.25">
      <c r="A5877">
        <v>10518</v>
      </c>
      <c r="B5877">
        <v>0</v>
      </c>
    </row>
    <row r="5878" spans="1:2" x14ac:dyDescent="0.25">
      <c r="A5878">
        <v>10525</v>
      </c>
      <c r="B5878">
        <v>0</v>
      </c>
    </row>
    <row r="5879" spans="1:2" x14ac:dyDescent="0.25">
      <c r="A5879">
        <v>10526</v>
      </c>
      <c r="B5879">
        <v>0</v>
      </c>
    </row>
    <row r="5880" spans="1:2" x14ac:dyDescent="0.25">
      <c r="A5880">
        <v>10529</v>
      </c>
      <c r="B5880">
        <v>0</v>
      </c>
    </row>
    <row r="5881" spans="1:2" x14ac:dyDescent="0.25">
      <c r="A5881">
        <v>10530</v>
      </c>
      <c r="B5881">
        <v>0</v>
      </c>
    </row>
    <row r="5882" spans="1:2" x14ac:dyDescent="0.25">
      <c r="A5882">
        <v>10532</v>
      </c>
      <c r="B5882">
        <v>0</v>
      </c>
    </row>
    <row r="5883" spans="1:2" x14ac:dyDescent="0.25">
      <c r="A5883">
        <v>10533</v>
      </c>
      <c r="B5883">
        <v>0</v>
      </c>
    </row>
    <row r="5884" spans="1:2" x14ac:dyDescent="0.25">
      <c r="A5884">
        <v>10534</v>
      </c>
      <c r="B5884">
        <v>0</v>
      </c>
    </row>
    <row r="5885" spans="1:2" x14ac:dyDescent="0.25">
      <c r="A5885">
        <v>10535</v>
      </c>
      <c r="B5885">
        <v>0</v>
      </c>
    </row>
    <row r="5886" spans="1:2" x14ac:dyDescent="0.25">
      <c r="A5886">
        <v>10536</v>
      </c>
      <c r="B5886">
        <v>0</v>
      </c>
    </row>
    <row r="5887" spans="1:2" x14ac:dyDescent="0.25">
      <c r="A5887">
        <v>10537</v>
      </c>
      <c r="B5887">
        <v>3</v>
      </c>
    </row>
    <row r="5888" spans="1:2" x14ac:dyDescent="0.25">
      <c r="A5888">
        <v>10539</v>
      </c>
      <c r="B5888">
        <v>0</v>
      </c>
    </row>
    <row r="5889" spans="1:2" x14ac:dyDescent="0.25">
      <c r="A5889">
        <v>10540</v>
      </c>
      <c r="B5889">
        <v>0</v>
      </c>
    </row>
    <row r="5890" spans="1:2" x14ac:dyDescent="0.25">
      <c r="A5890">
        <v>10542</v>
      </c>
      <c r="B5890">
        <v>0</v>
      </c>
    </row>
    <row r="5891" spans="1:2" x14ac:dyDescent="0.25">
      <c r="A5891">
        <v>10543</v>
      </c>
      <c r="B5891">
        <v>0</v>
      </c>
    </row>
    <row r="5892" spans="1:2" x14ac:dyDescent="0.25">
      <c r="A5892">
        <v>10544</v>
      </c>
      <c r="B5892">
        <v>0</v>
      </c>
    </row>
    <row r="5893" spans="1:2" x14ac:dyDescent="0.25">
      <c r="A5893">
        <v>10545</v>
      </c>
      <c r="B5893">
        <v>0</v>
      </c>
    </row>
    <row r="5894" spans="1:2" x14ac:dyDescent="0.25">
      <c r="A5894">
        <v>10546</v>
      </c>
      <c r="B5894">
        <v>0</v>
      </c>
    </row>
    <row r="5895" spans="1:2" x14ac:dyDescent="0.25">
      <c r="A5895">
        <v>10548</v>
      </c>
      <c r="B5895">
        <v>0</v>
      </c>
    </row>
    <row r="5896" spans="1:2" x14ac:dyDescent="0.25">
      <c r="A5896">
        <v>10550</v>
      </c>
      <c r="B5896">
        <v>0</v>
      </c>
    </row>
    <row r="5897" spans="1:2" x14ac:dyDescent="0.25">
      <c r="A5897">
        <v>10552</v>
      </c>
      <c r="B5897">
        <v>0</v>
      </c>
    </row>
    <row r="5898" spans="1:2" x14ac:dyDescent="0.25">
      <c r="A5898">
        <v>10556</v>
      </c>
      <c r="B5898">
        <v>0</v>
      </c>
    </row>
    <row r="5899" spans="1:2" x14ac:dyDescent="0.25">
      <c r="A5899">
        <v>10557</v>
      </c>
      <c r="B5899">
        <v>0</v>
      </c>
    </row>
    <row r="5900" spans="1:2" x14ac:dyDescent="0.25">
      <c r="A5900">
        <v>10558</v>
      </c>
      <c r="B5900">
        <v>0</v>
      </c>
    </row>
    <row r="5901" spans="1:2" x14ac:dyDescent="0.25">
      <c r="A5901">
        <v>10559</v>
      </c>
      <c r="B5901">
        <v>0</v>
      </c>
    </row>
    <row r="5902" spans="1:2" x14ac:dyDescent="0.25">
      <c r="A5902">
        <v>10560</v>
      </c>
      <c r="B5902">
        <v>0</v>
      </c>
    </row>
    <row r="5903" spans="1:2" x14ac:dyDescent="0.25">
      <c r="A5903">
        <v>10561</v>
      </c>
      <c r="B5903">
        <v>0</v>
      </c>
    </row>
    <row r="5904" spans="1:2" x14ac:dyDescent="0.25">
      <c r="A5904">
        <v>10563</v>
      </c>
      <c r="B5904">
        <v>0</v>
      </c>
    </row>
    <row r="5905" spans="1:2" x14ac:dyDescent="0.25">
      <c r="A5905">
        <v>10565</v>
      </c>
      <c r="B5905">
        <v>0</v>
      </c>
    </row>
    <row r="5906" spans="1:2" x14ac:dyDescent="0.25">
      <c r="A5906">
        <v>10567</v>
      </c>
      <c r="B5906">
        <v>0</v>
      </c>
    </row>
    <row r="5907" spans="1:2" x14ac:dyDescent="0.25">
      <c r="A5907">
        <v>10569</v>
      </c>
      <c r="B5907">
        <v>0</v>
      </c>
    </row>
    <row r="5908" spans="1:2" x14ac:dyDescent="0.25">
      <c r="A5908">
        <v>10571</v>
      </c>
      <c r="B5908">
        <v>0</v>
      </c>
    </row>
    <row r="5909" spans="1:2" x14ac:dyDescent="0.25">
      <c r="A5909">
        <v>10573</v>
      </c>
      <c r="B5909">
        <v>0</v>
      </c>
    </row>
    <row r="5910" spans="1:2" x14ac:dyDescent="0.25">
      <c r="A5910">
        <v>10575</v>
      </c>
      <c r="B5910">
        <v>0</v>
      </c>
    </row>
    <row r="5911" spans="1:2" x14ac:dyDescent="0.25">
      <c r="A5911">
        <v>10577</v>
      </c>
      <c r="B5911">
        <v>0</v>
      </c>
    </row>
    <row r="5912" spans="1:2" x14ac:dyDescent="0.25">
      <c r="A5912">
        <v>10578</v>
      </c>
      <c r="B5912">
        <v>0</v>
      </c>
    </row>
    <row r="5913" spans="1:2" x14ac:dyDescent="0.25">
      <c r="A5913">
        <v>10579</v>
      </c>
      <c r="B5913">
        <v>0</v>
      </c>
    </row>
    <row r="5914" spans="1:2" x14ac:dyDescent="0.25">
      <c r="A5914">
        <v>10580</v>
      </c>
      <c r="B5914">
        <v>0</v>
      </c>
    </row>
    <row r="5915" spans="1:2" x14ac:dyDescent="0.25">
      <c r="A5915">
        <v>10581</v>
      </c>
      <c r="B5915">
        <v>0</v>
      </c>
    </row>
    <row r="5916" spans="1:2" x14ac:dyDescent="0.25">
      <c r="A5916">
        <v>10582</v>
      </c>
      <c r="B5916">
        <v>0</v>
      </c>
    </row>
    <row r="5917" spans="1:2" x14ac:dyDescent="0.25">
      <c r="A5917">
        <v>10583</v>
      </c>
      <c r="B5917">
        <v>0</v>
      </c>
    </row>
    <row r="5918" spans="1:2" x14ac:dyDescent="0.25">
      <c r="A5918">
        <v>10584</v>
      </c>
      <c r="B5918">
        <v>0</v>
      </c>
    </row>
    <row r="5919" spans="1:2" x14ac:dyDescent="0.25">
      <c r="A5919">
        <v>10585</v>
      </c>
      <c r="B5919">
        <v>0</v>
      </c>
    </row>
    <row r="5920" spans="1:2" x14ac:dyDescent="0.25">
      <c r="A5920">
        <v>10586</v>
      </c>
      <c r="B5920">
        <v>0</v>
      </c>
    </row>
    <row r="5921" spans="1:2" x14ac:dyDescent="0.25">
      <c r="A5921">
        <v>10587</v>
      </c>
      <c r="B5921">
        <v>0</v>
      </c>
    </row>
    <row r="5922" spans="1:2" x14ac:dyDescent="0.25">
      <c r="A5922">
        <v>10588</v>
      </c>
      <c r="B5922">
        <v>0</v>
      </c>
    </row>
    <row r="5923" spans="1:2" x14ac:dyDescent="0.25">
      <c r="A5923">
        <v>10589</v>
      </c>
      <c r="B5923">
        <v>0</v>
      </c>
    </row>
    <row r="5924" spans="1:2" x14ac:dyDescent="0.25">
      <c r="A5924">
        <v>10590</v>
      </c>
      <c r="B5924">
        <v>0</v>
      </c>
    </row>
    <row r="5925" spans="1:2" x14ac:dyDescent="0.25">
      <c r="A5925">
        <v>10591</v>
      </c>
      <c r="B5925">
        <v>0</v>
      </c>
    </row>
    <row r="5926" spans="1:2" x14ac:dyDescent="0.25">
      <c r="A5926">
        <v>10592</v>
      </c>
      <c r="B5926">
        <v>0</v>
      </c>
    </row>
    <row r="5927" spans="1:2" x14ac:dyDescent="0.25">
      <c r="A5927">
        <v>10593</v>
      </c>
      <c r="B5927">
        <v>0</v>
      </c>
    </row>
    <row r="5928" spans="1:2" x14ac:dyDescent="0.25">
      <c r="A5928">
        <v>10594</v>
      </c>
      <c r="B5928">
        <v>0</v>
      </c>
    </row>
    <row r="5929" spans="1:2" x14ac:dyDescent="0.25">
      <c r="A5929">
        <v>10595</v>
      </c>
      <c r="B5929">
        <v>0</v>
      </c>
    </row>
    <row r="5930" spans="1:2" x14ac:dyDescent="0.25">
      <c r="A5930">
        <v>10596</v>
      </c>
      <c r="B5930">
        <v>0</v>
      </c>
    </row>
    <row r="5931" spans="1:2" x14ac:dyDescent="0.25">
      <c r="A5931">
        <v>10597</v>
      </c>
      <c r="B5931">
        <v>0</v>
      </c>
    </row>
    <row r="5932" spans="1:2" x14ac:dyDescent="0.25">
      <c r="A5932">
        <v>10598</v>
      </c>
      <c r="B5932">
        <v>0</v>
      </c>
    </row>
    <row r="5933" spans="1:2" x14ac:dyDescent="0.25">
      <c r="A5933">
        <v>10599</v>
      </c>
      <c r="B5933">
        <v>0</v>
      </c>
    </row>
    <row r="5934" spans="1:2" x14ac:dyDescent="0.25">
      <c r="A5934">
        <v>10600</v>
      </c>
      <c r="B5934">
        <v>0</v>
      </c>
    </row>
    <row r="5935" spans="1:2" x14ac:dyDescent="0.25">
      <c r="A5935">
        <v>10601</v>
      </c>
      <c r="B5935">
        <v>0</v>
      </c>
    </row>
    <row r="5936" spans="1:2" x14ac:dyDescent="0.25">
      <c r="A5936">
        <v>10603</v>
      </c>
      <c r="B5936">
        <v>0</v>
      </c>
    </row>
    <row r="5937" spans="1:2" x14ac:dyDescent="0.25">
      <c r="A5937">
        <v>10605</v>
      </c>
      <c r="B5937">
        <v>0</v>
      </c>
    </row>
    <row r="5938" spans="1:2" x14ac:dyDescent="0.25">
      <c r="A5938">
        <v>10607</v>
      </c>
      <c r="B5938">
        <v>0</v>
      </c>
    </row>
    <row r="5939" spans="1:2" x14ac:dyDescent="0.25">
      <c r="A5939">
        <v>10609</v>
      </c>
      <c r="B5939">
        <v>0</v>
      </c>
    </row>
    <row r="5940" spans="1:2" x14ac:dyDescent="0.25">
      <c r="A5940">
        <v>10611</v>
      </c>
      <c r="B5940">
        <v>0</v>
      </c>
    </row>
    <row r="5941" spans="1:2" x14ac:dyDescent="0.25">
      <c r="A5941">
        <v>10613</v>
      </c>
      <c r="B5941">
        <v>0</v>
      </c>
    </row>
    <row r="5942" spans="1:2" x14ac:dyDescent="0.25">
      <c r="A5942">
        <v>10615</v>
      </c>
      <c r="B5942">
        <v>0</v>
      </c>
    </row>
    <row r="5943" spans="1:2" x14ac:dyDescent="0.25">
      <c r="A5943">
        <v>10618</v>
      </c>
      <c r="B5943">
        <v>0</v>
      </c>
    </row>
    <row r="5944" spans="1:2" x14ac:dyDescent="0.25">
      <c r="A5944">
        <v>10619</v>
      </c>
      <c r="B5944">
        <v>0</v>
      </c>
    </row>
    <row r="5945" spans="1:2" x14ac:dyDescent="0.25">
      <c r="A5945">
        <v>10625</v>
      </c>
      <c r="B5945">
        <v>0</v>
      </c>
    </row>
    <row r="5946" spans="1:2" x14ac:dyDescent="0.25">
      <c r="A5946">
        <v>10627</v>
      </c>
      <c r="B5946">
        <v>0</v>
      </c>
    </row>
    <row r="5947" spans="1:2" x14ac:dyDescent="0.25">
      <c r="A5947">
        <v>10629</v>
      </c>
      <c r="B5947">
        <v>0</v>
      </c>
    </row>
    <row r="5948" spans="1:2" x14ac:dyDescent="0.25">
      <c r="A5948">
        <v>10631</v>
      </c>
      <c r="B5948">
        <v>0</v>
      </c>
    </row>
    <row r="5949" spans="1:2" x14ac:dyDescent="0.25">
      <c r="A5949">
        <v>10633</v>
      </c>
      <c r="B5949">
        <v>0</v>
      </c>
    </row>
    <row r="5950" spans="1:2" x14ac:dyDescent="0.25">
      <c r="A5950">
        <v>10635</v>
      </c>
      <c r="B5950">
        <v>0</v>
      </c>
    </row>
    <row r="5951" spans="1:2" x14ac:dyDescent="0.25">
      <c r="A5951">
        <v>10637</v>
      </c>
      <c r="B5951">
        <v>0</v>
      </c>
    </row>
    <row r="5952" spans="1:2" x14ac:dyDescent="0.25">
      <c r="A5952">
        <v>10642</v>
      </c>
      <c r="B5952">
        <v>0</v>
      </c>
    </row>
    <row r="5953" spans="1:2" x14ac:dyDescent="0.25">
      <c r="A5953">
        <v>10644</v>
      </c>
      <c r="B5953">
        <v>0</v>
      </c>
    </row>
    <row r="5954" spans="1:2" x14ac:dyDescent="0.25">
      <c r="A5954">
        <v>10646</v>
      </c>
      <c r="B5954">
        <v>0</v>
      </c>
    </row>
    <row r="5955" spans="1:2" x14ac:dyDescent="0.25">
      <c r="A5955">
        <v>10647</v>
      </c>
      <c r="B5955">
        <v>0</v>
      </c>
    </row>
    <row r="5956" spans="1:2" x14ac:dyDescent="0.25">
      <c r="A5956">
        <v>10649</v>
      </c>
      <c r="B5956">
        <v>0</v>
      </c>
    </row>
    <row r="5957" spans="1:2" x14ac:dyDescent="0.25">
      <c r="A5957">
        <v>10650</v>
      </c>
      <c r="B5957">
        <v>0</v>
      </c>
    </row>
    <row r="5958" spans="1:2" x14ac:dyDescent="0.25">
      <c r="A5958">
        <v>10652</v>
      </c>
      <c r="B5958">
        <v>0</v>
      </c>
    </row>
    <row r="5959" spans="1:2" x14ac:dyDescent="0.25">
      <c r="A5959">
        <v>10654</v>
      </c>
      <c r="B5959">
        <v>0</v>
      </c>
    </row>
    <row r="5960" spans="1:2" x14ac:dyDescent="0.25">
      <c r="A5960">
        <v>10656</v>
      </c>
      <c r="B5960">
        <v>0</v>
      </c>
    </row>
    <row r="5961" spans="1:2" x14ac:dyDescent="0.25">
      <c r="A5961">
        <v>10657</v>
      </c>
      <c r="B5961">
        <v>0</v>
      </c>
    </row>
    <row r="5962" spans="1:2" x14ac:dyDescent="0.25">
      <c r="A5962">
        <v>10658</v>
      </c>
      <c r="B5962">
        <v>0</v>
      </c>
    </row>
    <row r="5963" spans="1:2" x14ac:dyDescent="0.25">
      <c r="A5963">
        <v>10659</v>
      </c>
      <c r="B5963">
        <v>0</v>
      </c>
    </row>
    <row r="5964" spans="1:2" x14ac:dyDescent="0.25">
      <c r="A5964">
        <v>10660</v>
      </c>
      <c r="B5964">
        <v>0</v>
      </c>
    </row>
    <row r="5965" spans="1:2" x14ac:dyDescent="0.25">
      <c r="A5965">
        <v>10661</v>
      </c>
      <c r="B5965">
        <v>0</v>
      </c>
    </row>
    <row r="5966" spans="1:2" x14ac:dyDescent="0.25">
      <c r="A5966">
        <v>10662</v>
      </c>
      <c r="B5966">
        <v>0</v>
      </c>
    </row>
    <row r="5967" spans="1:2" x14ac:dyDescent="0.25">
      <c r="A5967">
        <v>10663</v>
      </c>
      <c r="B5967">
        <v>0</v>
      </c>
    </row>
    <row r="5968" spans="1:2" x14ac:dyDescent="0.25">
      <c r="A5968">
        <v>10664</v>
      </c>
      <c r="B5968">
        <v>0</v>
      </c>
    </row>
    <row r="5969" spans="1:2" x14ac:dyDescent="0.25">
      <c r="A5969">
        <v>10665</v>
      </c>
      <c r="B5969">
        <v>0</v>
      </c>
    </row>
    <row r="5970" spans="1:2" x14ac:dyDescent="0.25">
      <c r="A5970">
        <v>10666</v>
      </c>
      <c r="B5970">
        <v>0</v>
      </c>
    </row>
    <row r="5971" spans="1:2" x14ac:dyDescent="0.25">
      <c r="A5971">
        <v>10667</v>
      </c>
      <c r="B5971">
        <v>0</v>
      </c>
    </row>
    <row r="5972" spans="1:2" x14ac:dyDescent="0.25">
      <c r="A5972">
        <v>10668</v>
      </c>
      <c r="B5972">
        <v>0</v>
      </c>
    </row>
    <row r="5973" spans="1:2" x14ac:dyDescent="0.25">
      <c r="A5973">
        <v>10669</v>
      </c>
      <c r="B5973">
        <v>0</v>
      </c>
    </row>
    <row r="5974" spans="1:2" x14ac:dyDescent="0.25">
      <c r="A5974">
        <v>10670</v>
      </c>
      <c r="B5974">
        <v>0</v>
      </c>
    </row>
    <row r="5975" spans="1:2" x14ac:dyDescent="0.25">
      <c r="A5975">
        <v>10672</v>
      </c>
      <c r="B5975">
        <v>0</v>
      </c>
    </row>
    <row r="5976" spans="1:2" x14ac:dyDescent="0.25">
      <c r="A5976">
        <v>10673</v>
      </c>
      <c r="B5976">
        <v>0</v>
      </c>
    </row>
    <row r="5977" spans="1:2" x14ac:dyDescent="0.25">
      <c r="A5977">
        <v>10674</v>
      </c>
      <c r="B5977">
        <v>0</v>
      </c>
    </row>
    <row r="5978" spans="1:2" x14ac:dyDescent="0.25">
      <c r="A5978">
        <v>10675</v>
      </c>
      <c r="B5978">
        <v>0</v>
      </c>
    </row>
    <row r="5979" spans="1:2" x14ac:dyDescent="0.25">
      <c r="A5979">
        <v>10677</v>
      </c>
      <c r="B5979">
        <v>0</v>
      </c>
    </row>
    <row r="5980" spans="1:2" x14ac:dyDescent="0.25">
      <c r="A5980">
        <v>10679</v>
      </c>
      <c r="B5980">
        <v>0</v>
      </c>
    </row>
    <row r="5981" spans="1:2" x14ac:dyDescent="0.25">
      <c r="A5981">
        <v>10681</v>
      </c>
      <c r="B5981">
        <v>0</v>
      </c>
    </row>
    <row r="5982" spans="1:2" x14ac:dyDescent="0.25">
      <c r="A5982">
        <v>10683</v>
      </c>
      <c r="B5982">
        <v>0</v>
      </c>
    </row>
    <row r="5983" spans="1:2" x14ac:dyDescent="0.25">
      <c r="A5983">
        <v>10685</v>
      </c>
      <c r="B5983">
        <v>0</v>
      </c>
    </row>
    <row r="5984" spans="1:2" x14ac:dyDescent="0.25">
      <c r="A5984">
        <v>10687</v>
      </c>
      <c r="B5984">
        <v>0</v>
      </c>
    </row>
    <row r="5985" spans="1:2" x14ac:dyDescent="0.25">
      <c r="A5985">
        <v>10689</v>
      </c>
      <c r="B5985">
        <v>0</v>
      </c>
    </row>
    <row r="5986" spans="1:2" x14ac:dyDescent="0.25">
      <c r="A5986">
        <v>10691</v>
      </c>
      <c r="B5986">
        <v>0</v>
      </c>
    </row>
    <row r="5987" spans="1:2" x14ac:dyDescent="0.25">
      <c r="A5987">
        <v>10693</v>
      </c>
      <c r="B5987">
        <v>0</v>
      </c>
    </row>
    <row r="5988" spans="1:2" x14ac:dyDescent="0.25">
      <c r="A5988">
        <v>10696</v>
      </c>
      <c r="B5988">
        <v>0</v>
      </c>
    </row>
    <row r="5989" spans="1:2" x14ac:dyDescent="0.25">
      <c r="A5989">
        <v>10698</v>
      </c>
      <c r="B5989">
        <v>0</v>
      </c>
    </row>
    <row r="5990" spans="1:2" x14ac:dyDescent="0.25">
      <c r="A5990">
        <v>10699</v>
      </c>
      <c r="B5990">
        <v>0</v>
      </c>
    </row>
    <row r="5991" spans="1:2" x14ac:dyDescent="0.25">
      <c r="A5991">
        <v>10701</v>
      </c>
      <c r="B5991">
        <v>0</v>
      </c>
    </row>
    <row r="5992" spans="1:2" x14ac:dyDescent="0.25">
      <c r="A5992">
        <v>10702</v>
      </c>
      <c r="B5992">
        <v>0</v>
      </c>
    </row>
    <row r="5993" spans="1:2" x14ac:dyDescent="0.25">
      <c r="A5993">
        <v>10703</v>
      </c>
      <c r="B5993">
        <v>0</v>
      </c>
    </row>
    <row r="5994" spans="1:2" x14ac:dyDescent="0.25">
      <c r="A5994">
        <v>10705</v>
      </c>
      <c r="B5994">
        <v>0</v>
      </c>
    </row>
    <row r="5995" spans="1:2" x14ac:dyDescent="0.25">
      <c r="A5995">
        <v>10707</v>
      </c>
      <c r="B5995">
        <v>0</v>
      </c>
    </row>
    <row r="5996" spans="1:2" x14ac:dyDescent="0.25">
      <c r="A5996">
        <v>10709</v>
      </c>
      <c r="B5996">
        <v>0</v>
      </c>
    </row>
    <row r="5997" spans="1:2" x14ac:dyDescent="0.25">
      <c r="A5997">
        <v>10710</v>
      </c>
      <c r="B5997">
        <v>0</v>
      </c>
    </row>
    <row r="5998" spans="1:2" x14ac:dyDescent="0.25">
      <c r="A5998">
        <v>10711</v>
      </c>
      <c r="B5998">
        <v>0</v>
      </c>
    </row>
    <row r="5999" spans="1:2" x14ac:dyDescent="0.25">
      <c r="A5999">
        <v>10712</v>
      </c>
      <c r="B5999">
        <v>0</v>
      </c>
    </row>
    <row r="6000" spans="1:2" x14ac:dyDescent="0.25">
      <c r="A6000">
        <v>10713</v>
      </c>
      <c r="B6000">
        <v>0</v>
      </c>
    </row>
    <row r="6001" spans="1:2" x14ac:dyDescent="0.25">
      <c r="A6001">
        <v>10714</v>
      </c>
      <c r="B6001">
        <v>0</v>
      </c>
    </row>
    <row r="6002" spans="1:2" x14ac:dyDescent="0.25">
      <c r="A6002">
        <v>10715</v>
      </c>
      <c r="B6002">
        <v>0</v>
      </c>
    </row>
    <row r="6003" spans="1:2" x14ac:dyDescent="0.25">
      <c r="A6003">
        <v>10718</v>
      </c>
      <c r="B6003">
        <v>0</v>
      </c>
    </row>
    <row r="6004" spans="1:2" x14ac:dyDescent="0.25">
      <c r="A6004">
        <v>10720</v>
      </c>
      <c r="B6004">
        <v>0</v>
      </c>
    </row>
    <row r="6005" spans="1:2" x14ac:dyDescent="0.25">
      <c r="A6005">
        <v>10722</v>
      </c>
      <c r="B6005">
        <v>0</v>
      </c>
    </row>
    <row r="6006" spans="1:2" x14ac:dyDescent="0.25">
      <c r="A6006">
        <v>10723</v>
      </c>
      <c r="B6006">
        <v>0</v>
      </c>
    </row>
    <row r="6007" spans="1:2" x14ac:dyDescent="0.25">
      <c r="A6007">
        <v>10724</v>
      </c>
      <c r="B6007">
        <v>0</v>
      </c>
    </row>
    <row r="6008" spans="1:2" x14ac:dyDescent="0.25">
      <c r="A6008">
        <v>10726</v>
      </c>
      <c r="B6008">
        <v>0</v>
      </c>
    </row>
    <row r="6009" spans="1:2" x14ac:dyDescent="0.25">
      <c r="A6009">
        <v>10728</v>
      </c>
      <c r="B6009">
        <v>0</v>
      </c>
    </row>
    <row r="6010" spans="1:2" x14ac:dyDescent="0.25">
      <c r="A6010">
        <v>10729</v>
      </c>
      <c r="B6010">
        <v>0</v>
      </c>
    </row>
    <row r="6011" spans="1:2" x14ac:dyDescent="0.25">
      <c r="A6011">
        <v>10730</v>
      </c>
      <c r="B6011">
        <v>0</v>
      </c>
    </row>
    <row r="6012" spans="1:2" x14ac:dyDescent="0.25">
      <c r="A6012">
        <v>10731</v>
      </c>
      <c r="B6012">
        <v>0</v>
      </c>
    </row>
    <row r="6013" spans="1:2" x14ac:dyDescent="0.25">
      <c r="A6013">
        <v>10732</v>
      </c>
      <c r="B6013">
        <v>0</v>
      </c>
    </row>
    <row r="6014" spans="1:2" x14ac:dyDescent="0.25">
      <c r="A6014">
        <v>10734</v>
      </c>
      <c r="B6014">
        <v>0</v>
      </c>
    </row>
    <row r="6015" spans="1:2" x14ac:dyDescent="0.25">
      <c r="A6015">
        <v>10736</v>
      </c>
      <c r="B6015">
        <v>0</v>
      </c>
    </row>
    <row r="6016" spans="1:2" x14ac:dyDescent="0.25">
      <c r="A6016">
        <v>10738</v>
      </c>
      <c r="B6016">
        <v>0</v>
      </c>
    </row>
    <row r="6017" spans="1:2" x14ac:dyDescent="0.25">
      <c r="A6017">
        <v>10739</v>
      </c>
      <c r="B6017">
        <v>0</v>
      </c>
    </row>
    <row r="6018" spans="1:2" x14ac:dyDescent="0.25">
      <c r="A6018">
        <v>10741</v>
      </c>
      <c r="B6018">
        <v>0</v>
      </c>
    </row>
    <row r="6019" spans="1:2" x14ac:dyDescent="0.25">
      <c r="A6019">
        <v>10743</v>
      </c>
      <c r="B6019">
        <v>0</v>
      </c>
    </row>
    <row r="6020" spans="1:2" x14ac:dyDescent="0.25">
      <c r="A6020">
        <v>10745</v>
      </c>
      <c r="B6020">
        <v>0</v>
      </c>
    </row>
    <row r="6021" spans="1:2" x14ac:dyDescent="0.25">
      <c r="A6021">
        <v>10746</v>
      </c>
      <c r="B6021">
        <v>0</v>
      </c>
    </row>
    <row r="6022" spans="1:2" x14ac:dyDescent="0.25">
      <c r="A6022">
        <v>10747</v>
      </c>
      <c r="B6022">
        <v>0</v>
      </c>
    </row>
    <row r="6023" spans="1:2" x14ac:dyDescent="0.25">
      <c r="A6023">
        <v>10748</v>
      </c>
      <c r="B6023">
        <v>0</v>
      </c>
    </row>
    <row r="6024" spans="1:2" x14ac:dyDescent="0.25">
      <c r="A6024">
        <v>10749</v>
      </c>
      <c r="B6024">
        <v>0</v>
      </c>
    </row>
    <row r="6025" spans="1:2" x14ac:dyDescent="0.25">
      <c r="A6025">
        <v>10757</v>
      </c>
      <c r="B6025">
        <v>0</v>
      </c>
    </row>
    <row r="6026" spans="1:2" x14ac:dyDescent="0.25">
      <c r="A6026">
        <v>10758</v>
      </c>
      <c r="B6026">
        <v>0</v>
      </c>
    </row>
    <row r="6027" spans="1:2" x14ac:dyDescent="0.25">
      <c r="A6027">
        <v>10760</v>
      </c>
      <c r="B6027">
        <v>0</v>
      </c>
    </row>
    <row r="6028" spans="1:2" x14ac:dyDescent="0.25">
      <c r="A6028">
        <v>10761</v>
      </c>
      <c r="B6028">
        <v>0</v>
      </c>
    </row>
    <row r="6029" spans="1:2" x14ac:dyDescent="0.25">
      <c r="A6029">
        <v>10762</v>
      </c>
      <c r="B6029">
        <v>0</v>
      </c>
    </row>
    <row r="6030" spans="1:2" x14ac:dyDescent="0.25">
      <c r="A6030">
        <v>10763</v>
      </c>
      <c r="B6030">
        <v>0</v>
      </c>
    </row>
    <row r="6031" spans="1:2" x14ac:dyDescent="0.25">
      <c r="A6031">
        <v>10764</v>
      </c>
      <c r="B6031">
        <v>0</v>
      </c>
    </row>
    <row r="6032" spans="1:2" x14ac:dyDescent="0.25">
      <c r="A6032">
        <v>10765</v>
      </c>
      <c r="B6032">
        <v>0</v>
      </c>
    </row>
    <row r="6033" spans="1:2" x14ac:dyDescent="0.25">
      <c r="A6033">
        <v>10767</v>
      </c>
      <c r="B6033">
        <v>0</v>
      </c>
    </row>
    <row r="6034" spans="1:2" x14ac:dyDescent="0.25">
      <c r="A6034">
        <v>10769</v>
      </c>
      <c r="B6034">
        <v>0</v>
      </c>
    </row>
    <row r="6035" spans="1:2" x14ac:dyDescent="0.25">
      <c r="A6035">
        <v>10771</v>
      </c>
      <c r="B6035">
        <v>0</v>
      </c>
    </row>
    <row r="6036" spans="1:2" x14ac:dyDescent="0.25">
      <c r="A6036">
        <v>10773</v>
      </c>
      <c r="B6036">
        <v>0</v>
      </c>
    </row>
    <row r="6037" spans="1:2" x14ac:dyDescent="0.25">
      <c r="A6037">
        <v>10775</v>
      </c>
      <c r="B6037">
        <v>0</v>
      </c>
    </row>
    <row r="6038" spans="1:2" x14ac:dyDescent="0.25">
      <c r="A6038">
        <v>10777</v>
      </c>
      <c r="B6038">
        <v>0</v>
      </c>
    </row>
    <row r="6039" spans="1:2" x14ac:dyDescent="0.25">
      <c r="A6039">
        <v>10779</v>
      </c>
      <c r="B6039">
        <v>0</v>
      </c>
    </row>
    <row r="6040" spans="1:2" x14ac:dyDescent="0.25">
      <c r="A6040">
        <v>10781</v>
      </c>
      <c r="B6040">
        <v>0</v>
      </c>
    </row>
    <row r="6041" spans="1:2" x14ac:dyDescent="0.25">
      <c r="A6041">
        <v>10783</v>
      </c>
      <c r="B6041">
        <v>0</v>
      </c>
    </row>
    <row r="6042" spans="1:2" x14ac:dyDescent="0.25">
      <c r="A6042">
        <v>10794</v>
      </c>
      <c r="B6042">
        <v>0</v>
      </c>
    </row>
    <row r="6043" spans="1:2" x14ac:dyDescent="0.25">
      <c r="A6043">
        <v>10805</v>
      </c>
      <c r="B6043">
        <v>0</v>
      </c>
    </row>
    <row r="6044" spans="1:2" x14ac:dyDescent="0.25">
      <c r="A6044">
        <v>10813</v>
      </c>
      <c r="B6044">
        <v>0</v>
      </c>
    </row>
    <row r="6045" spans="1:2" x14ac:dyDescent="0.25">
      <c r="A6045">
        <v>10814</v>
      </c>
      <c r="B6045">
        <v>0</v>
      </c>
    </row>
    <row r="6046" spans="1:2" x14ac:dyDescent="0.25">
      <c r="A6046">
        <v>10815</v>
      </c>
      <c r="B6046">
        <v>0</v>
      </c>
    </row>
    <row r="6047" spans="1:2" x14ac:dyDescent="0.25">
      <c r="A6047">
        <v>10816</v>
      </c>
      <c r="B6047">
        <v>0</v>
      </c>
    </row>
    <row r="6048" spans="1:2" x14ac:dyDescent="0.25">
      <c r="A6048">
        <v>10817</v>
      </c>
      <c r="B6048">
        <v>0</v>
      </c>
    </row>
    <row r="6049" spans="1:2" x14ac:dyDescent="0.25">
      <c r="A6049">
        <v>10818</v>
      </c>
      <c r="B6049">
        <v>0</v>
      </c>
    </row>
    <row r="6050" spans="1:2" x14ac:dyDescent="0.25">
      <c r="A6050">
        <v>10820</v>
      </c>
      <c r="B6050">
        <v>0</v>
      </c>
    </row>
    <row r="6051" spans="1:2" x14ac:dyDescent="0.25">
      <c r="A6051">
        <v>10821</v>
      </c>
      <c r="B6051">
        <v>0</v>
      </c>
    </row>
    <row r="6052" spans="1:2" x14ac:dyDescent="0.25">
      <c r="A6052">
        <v>10822</v>
      </c>
      <c r="B6052">
        <v>0</v>
      </c>
    </row>
    <row r="6053" spans="1:2" x14ac:dyDescent="0.25">
      <c r="A6053">
        <v>10823</v>
      </c>
      <c r="B6053">
        <v>0</v>
      </c>
    </row>
    <row r="6054" spans="1:2" x14ac:dyDescent="0.25">
      <c r="A6054">
        <v>10824</v>
      </c>
      <c r="B6054">
        <v>0</v>
      </c>
    </row>
    <row r="6055" spans="1:2" x14ac:dyDescent="0.25">
      <c r="A6055">
        <v>10825</v>
      </c>
      <c r="B6055">
        <v>0</v>
      </c>
    </row>
    <row r="6056" spans="1:2" x14ac:dyDescent="0.25">
      <c r="A6056">
        <v>10826</v>
      </c>
      <c r="B6056">
        <v>0</v>
      </c>
    </row>
    <row r="6057" spans="1:2" x14ac:dyDescent="0.25">
      <c r="A6057">
        <v>10827</v>
      </c>
      <c r="B6057">
        <v>0</v>
      </c>
    </row>
    <row r="6058" spans="1:2" x14ac:dyDescent="0.25">
      <c r="A6058">
        <v>10828</v>
      </c>
      <c r="B6058">
        <v>0</v>
      </c>
    </row>
    <row r="6059" spans="1:2" x14ac:dyDescent="0.25">
      <c r="A6059">
        <v>10829</v>
      </c>
      <c r="B6059">
        <v>0</v>
      </c>
    </row>
    <row r="6060" spans="1:2" x14ac:dyDescent="0.25">
      <c r="A6060">
        <v>10830</v>
      </c>
      <c r="B6060">
        <v>0</v>
      </c>
    </row>
    <row r="6061" spans="1:2" x14ac:dyDescent="0.25">
      <c r="A6061">
        <v>10831</v>
      </c>
      <c r="B6061">
        <v>0</v>
      </c>
    </row>
    <row r="6062" spans="1:2" x14ac:dyDescent="0.25">
      <c r="A6062">
        <v>10868</v>
      </c>
      <c r="B6062">
        <v>0</v>
      </c>
    </row>
    <row r="6063" spans="1:2" x14ac:dyDescent="0.25">
      <c r="A6063">
        <v>10869</v>
      </c>
      <c r="B6063">
        <v>0</v>
      </c>
    </row>
    <row r="6064" spans="1:2" x14ac:dyDescent="0.25">
      <c r="A6064">
        <v>10894</v>
      </c>
      <c r="B6064">
        <v>0</v>
      </c>
    </row>
    <row r="6065" spans="1:2" x14ac:dyDescent="0.25">
      <c r="A6065">
        <v>10900</v>
      </c>
      <c r="B6065">
        <v>0</v>
      </c>
    </row>
    <row r="6066" spans="1:2" x14ac:dyDescent="0.25">
      <c r="A6066">
        <v>10936</v>
      </c>
      <c r="B6066">
        <v>0</v>
      </c>
    </row>
    <row r="6067" spans="1:2" x14ac:dyDescent="0.25">
      <c r="A6067">
        <v>10937</v>
      </c>
      <c r="B6067">
        <v>0</v>
      </c>
    </row>
    <row r="6068" spans="1:2" x14ac:dyDescent="0.25">
      <c r="A6068">
        <v>10946</v>
      </c>
      <c r="B6068">
        <v>0</v>
      </c>
    </row>
    <row r="6069" spans="1:2" x14ac:dyDescent="0.25">
      <c r="A6069">
        <v>10947</v>
      </c>
      <c r="B6069">
        <v>0</v>
      </c>
    </row>
    <row r="6070" spans="1:2" x14ac:dyDescent="0.25">
      <c r="A6070">
        <v>10949</v>
      </c>
      <c r="B6070">
        <v>0</v>
      </c>
    </row>
    <row r="6071" spans="1:2" x14ac:dyDescent="0.25">
      <c r="A6071">
        <v>10951</v>
      </c>
      <c r="B6071">
        <v>0</v>
      </c>
    </row>
    <row r="6072" spans="1:2" x14ac:dyDescent="0.25">
      <c r="A6072">
        <v>10952</v>
      </c>
      <c r="B6072">
        <v>0</v>
      </c>
    </row>
    <row r="6073" spans="1:2" x14ac:dyDescent="0.25">
      <c r="A6073">
        <v>10953</v>
      </c>
      <c r="B6073">
        <v>0</v>
      </c>
    </row>
    <row r="6074" spans="1:2" x14ac:dyDescent="0.25">
      <c r="A6074">
        <v>10954</v>
      </c>
      <c r="B6074">
        <v>0</v>
      </c>
    </row>
    <row r="6075" spans="1:2" x14ac:dyDescent="0.25">
      <c r="A6075">
        <v>10955</v>
      </c>
      <c r="B6075">
        <v>0</v>
      </c>
    </row>
    <row r="6076" spans="1:2" x14ac:dyDescent="0.25">
      <c r="A6076">
        <v>10956</v>
      </c>
      <c r="B6076">
        <v>0</v>
      </c>
    </row>
    <row r="6077" spans="1:2" x14ac:dyDescent="0.25">
      <c r="A6077">
        <v>10957</v>
      </c>
      <c r="B6077">
        <v>0</v>
      </c>
    </row>
    <row r="6078" spans="1:2" x14ac:dyDescent="0.25">
      <c r="A6078">
        <v>10958</v>
      </c>
      <c r="B6078">
        <v>0</v>
      </c>
    </row>
    <row r="6079" spans="1:2" x14ac:dyDescent="0.25">
      <c r="A6079">
        <v>10959</v>
      </c>
      <c r="B6079">
        <v>0</v>
      </c>
    </row>
    <row r="6080" spans="1:2" x14ac:dyDescent="0.25">
      <c r="A6080">
        <v>10960</v>
      </c>
      <c r="B6080">
        <v>0</v>
      </c>
    </row>
    <row r="6081" spans="1:2" x14ac:dyDescent="0.25">
      <c r="A6081">
        <v>10961</v>
      </c>
      <c r="B6081">
        <v>0</v>
      </c>
    </row>
    <row r="6082" spans="1:2" x14ac:dyDescent="0.25">
      <c r="A6082">
        <v>10962</v>
      </c>
      <c r="B6082">
        <v>0</v>
      </c>
    </row>
    <row r="6083" spans="1:2" x14ac:dyDescent="0.25">
      <c r="A6083">
        <v>10963</v>
      </c>
      <c r="B6083">
        <v>0</v>
      </c>
    </row>
    <row r="6084" spans="1:2" x14ac:dyDescent="0.25">
      <c r="A6084">
        <v>10964</v>
      </c>
      <c r="B6084">
        <v>0</v>
      </c>
    </row>
    <row r="6085" spans="1:2" x14ac:dyDescent="0.25">
      <c r="A6085">
        <v>10965</v>
      </c>
      <c r="B6085">
        <v>0</v>
      </c>
    </row>
    <row r="6086" spans="1:2" x14ac:dyDescent="0.25">
      <c r="A6086">
        <v>10966</v>
      </c>
      <c r="B6086">
        <v>0</v>
      </c>
    </row>
    <row r="6087" spans="1:2" x14ac:dyDescent="0.25">
      <c r="A6087">
        <v>10967</v>
      </c>
      <c r="B6087">
        <v>0</v>
      </c>
    </row>
    <row r="6088" spans="1:2" x14ac:dyDescent="0.25">
      <c r="A6088">
        <v>10968</v>
      </c>
      <c r="B6088">
        <v>0</v>
      </c>
    </row>
    <row r="6089" spans="1:2" x14ac:dyDescent="0.25">
      <c r="A6089">
        <v>10969</v>
      </c>
      <c r="B6089">
        <v>0</v>
      </c>
    </row>
    <row r="6090" spans="1:2" x14ac:dyDescent="0.25">
      <c r="A6090">
        <v>10970</v>
      </c>
      <c r="B6090">
        <v>0</v>
      </c>
    </row>
    <row r="6091" spans="1:2" x14ac:dyDescent="0.25">
      <c r="A6091">
        <v>10971</v>
      </c>
      <c r="B6091">
        <v>0</v>
      </c>
    </row>
    <row r="6092" spans="1:2" x14ac:dyDescent="0.25">
      <c r="A6092">
        <v>10972</v>
      </c>
      <c r="B6092">
        <v>0</v>
      </c>
    </row>
    <row r="6093" spans="1:2" x14ac:dyDescent="0.25">
      <c r="A6093">
        <v>10973</v>
      </c>
      <c r="B6093">
        <v>0</v>
      </c>
    </row>
    <row r="6094" spans="1:2" x14ac:dyDescent="0.25">
      <c r="A6094">
        <v>10974</v>
      </c>
      <c r="B6094">
        <v>0</v>
      </c>
    </row>
    <row r="6095" spans="1:2" x14ac:dyDescent="0.25">
      <c r="A6095">
        <v>10975</v>
      </c>
      <c r="B6095">
        <v>0</v>
      </c>
    </row>
    <row r="6096" spans="1:2" x14ac:dyDescent="0.25">
      <c r="A6096">
        <v>10976</v>
      </c>
      <c r="B6096">
        <v>0</v>
      </c>
    </row>
    <row r="6097" spans="1:2" x14ac:dyDescent="0.25">
      <c r="A6097">
        <v>10977</v>
      </c>
      <c r="B6097">
        <v>0</v>
      </c>
    </row>
    <row r="6098" spans="1:2" x14ac:dyDescent="0.25">
      <c r="A6098">
        <v>10978</v>
      </c>
      <c r="B6098">
        <v>0</v>
      </c>
    </row>
    <row r="6099" spans="1:2" x14ac:dyDescent="0.25">
      <c r="A6099">
        <v>10979</v>
      </c>
      <c r="B6099">
        <v>0</v>
      </c>
    </row>
    <row r="6100" spans="1:2" x14ac:dyDescent="0.25">
      <c r="A6100">
        <v>10980</v>
      </c>
      <c r="B6100">
        <v>0</v>
      </c>
    </row>
    <row r="6101" spans="1:2" x14ac:dyDescent="0.25">
      <c r="A6101">
        <v>10981</v>
      </c>
      <c r="B6101">
        <v>0</v>
      </c>
    </row>
    <row r="6102" spans="1:2" x14ac:dyDescent="0.25">
      <c r="A6102">
        <v>10982</v>
      </c>
      <c r="B6102">
        <v>0</v>
      </c>
    </row>
    <row r="6103" spans="1:2" x14ac:dyDescent="0.25">
      <c r="A6103">
        <v>10983</v>
      </c>
      <c r="B6103">
        <v>0</v>
      </c>
    </row>
    <row r="6104" spans="1:2" x14ac:dyDescent="0.25">
      <c r="A6104">
        <v>10984</v>
      </c>
      <c r="B6104">
        <v>0</v>
      </c>
    </row>
    <row r="6105" spans="1:2" x14ac:dyDescent="0.25">
      <c r="A6105">
        <v>10985</v>
      </c>
      <c r="B6105">
        <v>0</v>
      </c>
    </row>
    <row r="6106" spans="1:2" x14ac:dyDescent="0.25">
      <c r="A6106">
        <v>10986</v>
      </c>
      <c r="B6106">
        <v>0</v>
      </c>
    </row>
    <row r="6107" spans="1:2" x14ac:dyDescent="0.25">
      <c r="A6107">
        <v>10987</v>
      </c>
      <c r="B6107">
        <v>0</v>
      </c>
    </row>
    <row r="6108" spans="1:2" x14ac:dyDescent="0.25">
      <c r="A6108">
        <v>10988</v>
      </c>
      <c r="B6108">
        <v>0</v>
      </c>
    </row>
    <row r="6109" spans="1:2" x14ac:dyDescent="0.25">
      <c r="A6109">
        <v>10989</v>
      </c>
      <c r="B6109">
        <v>0</v>
      </c>
    </row>
    <row r="6110" spans="1:2" x14ac:dyDescent="0.25">
      <c r="A6110">
        <v>10990</v>
      </c>
      <c r="B6110">
        <v>0</v>
      </c>
    </row>
    <row r="6111" spans="1:2" x14ac:dyDescent="0.25">
      <c r="A6111">
        <v>10991</v>
      </c>
      <c r="B6111">
        <v>0</v>
      </c>
    </row>
    <row r="6112" spans="1:2" x14ac:dyDescent="0.25">
      <c r="A6112">
        <v>10992</v>
      </c>
      <c r="B6112">
        <v>0</v>
      </c>
    </row>
    <row r="6113" spans="1:2" x14ac:dyDescent="0.25">
      <c r="A6113">
        <v>10993</v>
      </c>
      <c r="B6113">
        <v>0</v>
      </c>
    </row>
    <row r="6114" spans="1:2" x14ac:dyDescent="0.25">
      <c r="A6114">
        <v>10994</v>
      </c>
      <c r="B6114">
        <v>0</v>
      </c>
    </row>
    <row r="6115" spans="1:2" x14ac:dyDescent="0.25">
      <c r="A6115">
        <v>10995</v>
      </c>
      <c r="B6115">
        <v>0</v>
      </c>
    </row>
    <row r="6116" spans="1:2" x14ac:dyDescent="0.25">
      <c r="A6116">
        <v>10996</v>
      </c>
      <c r="B6116">
        <v>0</v>
      </c>
    </row>
    <row r="6117" spans="1:2" x14ac:dyDescent="0.25">
      <c r="A6117">
        <v>10997</v>
      </c>
      <c r="B6117">
        <v>0</v>
      </c>
    </row>
    <row r="6118" spans="1:2" x14ac:dyDescent="0.25">
      <c r="A6118">
        <v>10998</v>
      </c>
      <c r="B6118">
        <v>0</v>
      </c>
    </row>
    <row r="6119" spans="1:2" x14ac:dyDescent="0.25">
      <c r="A6119">
        <v>10999</v>
      </c>
      <c r="B6119">
        <v>0</v>
      </c>
    </row>
    <row r="6120" spans="1:2" x14ac:dyDescent="0.25">
      <c r="A6120">
        <v>11000</v>
      </c>
      <c r="B6120">
        <v>0</v>
      </c>
    </row>
    <row r="6121" spans="1:2" x14ac:dyDescent="0.25">
      <c r="A6121">
        <v>11001</v>
      </c>
      <c r="B6121">
        <v>0</v>
      </c>
    </row>
    <row r="6122" spans="1:2" x14ac:dyDescent="0.25">
      <c r="A6122">
        <v>11002</v>
      </c>
      <c r="B6122">
        <v>0</v>
      </c>
    </row>
    <row r="6123" spans="1:2" x14ac:dyDescent="0.25">
      <c r="A6123">
        <v>11003</v>
      </c>
      <c r="B6123">
        <v>0</v>
      </c>
    </row>
    <row r="6124" spans="1:2" x14ac:dyDescent="0.25">
      <c r="A6124">
        <v>11004</v>
      </c>
      <c r="B6124">
        <v>0</v>
      </c>
    </row>
    <row r="6125" spans="1:2" x14ac:dyDescent="0.25">
      <c r="A6125">
        <v>11005</v>
      </c>
      <c r="B6125">
        <v>0</v>
      </c>
    </row>
    <row r="6126" spans="1:2" x14ac:dyDescent="0.25">
      <c r="A6126">
        <v>11006</v>
      </c>
      <c r="B6126">
        <v>0</v>
      </c>
    </row>
    <row r="6127" spans="1:2" x14ac:dyDescent="0.25">
      <c r="A6127">
        <v>11007</v>
      </c>
      <c r="B6127">
        <v>0</v>
      </c>
    </row>
    <row r="6128" spans="1:2" x14ac:dyDescent="0.25">
      <c r="A6128">
        <v>11008</v>
      </c>
      <c r="B6128">
        <v>0</v>
      </c>
    </row>
    <row r="6129" spans="1:2" x14ac:dyDescent="0.25">
      <c r="A6129">
        <v>11009</v>
      </c>
      <c r="B6129">
        <v>0</v>
      </c>
    </row>
    <row r="6130" spans="1:2" x14ac:dyDescent="0.25">
      <c r="A6130">
        <v>11010</v>
      </c>
      <c r="B6130">
        <v>0</v>
      </c>
    </row>
    <row r="6131" spans="1:2" x14ac:dyDescent="0.25">
      <c r="A6131">
        <v>11011</v>
      </c>
      <c r="B6131">
        <v>0</v>
      </c>
    </row>
    <row r="6132" spans="1:2" x14ac:dyDescent="0.25">
      <c r="A6132">
        <v>11012</v>
      </c>
      <c r="B6132">
        <v>0</v>
      </c>
    </row>
    <row r="6133" spans="1:2" x14ac:dyDescent="0.25">
      <c r="A6133">
        <v>11013</v>
      </c>
      <c r="B6133">
        <v>0</v>
      </c>
    </row>
    <row r="6134" spans="1:2" x14ac:dyDescent="0.25">
      <c r="A6134">
        <v>11014</v>
      </c>
      <c r="B6134">
        <v>0</v>
      </c>
    </row>
    <row r="6135" spans="1:2" x14ac:dyDescent="0.25">
      <c r="A6135">
        <v>11015</v>
      </c>
      <c r="B6135">
        <v>0</v>
      </c>
    </row>
    <row r="6136" spans="1:2" x14ac:dyDescent="0.25">
      <c r="A6136">
        <v>11016</v>
      </c>
      <c r="B6136">
        <v>0</v>
      </c>
    </row>
    <row r="6137" spans="1:2" x14ac:dyDescent="0.25">
      <c r="A6137">
        <v>11017</v>
      </c>
      <c r="B6137">
        <v>0</v>
      </c>
    </row>
    <row r="6138" spans="1:2" x14ac:dyDescent="0.25">
      <c r="A6138">
        <v>11018</v>
      </c>
      <c r="B6138">
        <v>0</v>
      </c>
    </row>
    <row r="6139" spans="1:2" x14ac:dyDescent="0.25">
      <c r="A6139">
        <v>11019</v>
      </c>
      <c r="B6139">
        <v>0</v>
      </c>
    </row>
    <row r="6140" spans="1:2" x14ac:dyDescent="0.25">
      <c r="A6140">
        <v>11020</v>
      </c>
      <c r="B6140">
        <v>0</v>
      </c>
    </row>
    <row r="6141" spans="1:2" x14ac:dyDescent="0.25">
      <c r="A6141">
        <v>11021</v>
      </c>
      <c r="B6141">
        <v>0</v>
      </c>
    </row>
    <row r="6142" spans="1:2" x14ac:dyDescent="0.25">
      <c r="A6142">
        <v>11022</v>
      </c>
      <c r="B6142">
        <v>0</v>
      </c>
    </row>
    <row r="6143" spans="1:2" x14ac:dyDescent="0.25">
      <c r="A6143">
        <v>11023</v>
      </c>
      <c r="B6143">
        <v>0</v>
      </c>
    </row>
    <row r="6144" spans="1:2" x14ac:dyDescent="0.25">
      <c r="A6144">
        <v>11024</v>
      </c>
      <c r="B6144">
        <v>0</v>
      </c>
    </row>
    <row r="6145" spans="1:2" x14ac:dyDescent="0.25">
      <c r="A6145">
        <v>11025</v>
      </c>
      <c r="B6145">
        <v>0</v>
      </c>
    </row>
    <row r="6146" spans="1:2" x14ac:dyDescent="0.25">
      <c r="A6146">
        <v>11026</v>
      </c>
      <c r="B6146">
        <v>0</v>
      </c>
    </row>
    <row r="6147" spans="1:2" x14ac:dyDescent="0.25">
      <c r="A6147">
        <v>11027</v>
      </c>
      <c r="B6147">
        <v>0</v>
      </c>
    </row>
    <row r="6148" spans="1:2" x14ac:dyDescent="0.25">
      <c r="A6148">
        <v>11028</v>
      </c>
      <c r="B6148">
        <v>0</v>
      </c>
    </row>
    <row r="6149" spans="1:2" x14ac:dyDescent="0.25">
      <c r="A6149">
        <v>11029</v>
      </c>
      <c r="B6149">
        <v>0</v>
      </c>
    </row>
    <row r="6150" spans="1:2" x14ac:dyDescent="0.25">
      <c r="A6150">
        <v>11030</v>
      </c>
      <c r="B6150">
        <v>0</v>
      </c>
    </row>
    <row r="6151" spans="1:2" x14ac:dyDescent="0.25">
      <c r="A6151">
        <v>11031</v>
      </c>
      <c r="B6151">
        <v>0</v>
      </c>
    </row>
    <row r="6152" spans="1:2" x14ac:dyDescent="0.25">
      <c r="A6152">
        <v>11032</v>
      </c>
      <c r="B6152">
        <v>0</v>
      </c>
    </row>
    <row r="6153" spans="1:2" x14ac:dyDescent="0.25">
      <c r="A6153">
        <v>11033</v>
      </c>
      <c r="B6153">
        <v>0</v>
      </c>
    </row>
    <row r="6154" spans="1:2" x14ac:dyDescent="0.25">
      <c r="A6154">
        <v>11034</v>
      </c>
      <c r="B6154">
        <v>0</v>
      </c>
    </row>
    <row r="6155" spans="1:2" x14ac:dyDescent="0.25">
      <c r="A6155">
        <v>11035</v>
      </c>
      <c r="B6155">
        <v>0</v>
      </c>
    </row>
    <row r="6156" spans="1:2" x14ac:dyDescent="0.25">
      <c r="A6156">
        <v>11036</v>
      </c>
      <c r="B6156">
        <v>0</v>
      </c>
    </row>
    <row r="6157" spans="1:2" x14ac:dyDescent="0.25">
      <c r="A6157">
        <v>11037</v>
      </c>
      <c r="B6157">
        <v>0</v>
      </c>
    </row>
    <row r="6158" spans="1:2" x14ac:dyDescent="0.25">
      <c r="A6158">
        <v>11038</v>
      </c>
      <c r="B6158">
        <v>0</v>
      </c>
    </row>
    <row r="6159" spans="1:2" x14ac:dyDescent="0.25">
      <c r="A6159">
        <v>11039</v>
      </c>
      <c r="B6159">
        <v>0</v>
      </c>
    </row>
    <row r="6160" spans="1:2" x14ac:dyDescent="0.25">
      <c r="A6160">
        <v>11040</v>
      </c>
      <c r="B6160">
        <v>0</v>
      </c>
    </row>
    <row r="6161" spans="1:2" x14ac:dyDescent="0.25">
      <c r="A6161">
        <v>11041</v>
      </c>
      <c r="B6161">
        <v>0</v>
      </c>
    </row>
    <row r="6162" spans="1:2" x14ac:dyDescent="0.25">
      <c r="A6162">
        <v>11042</v>
      </c>
      <c r="B6162">
        <v>0</v>
      </c>
    </row>
    <row r="6163" spans="1:2" x14ac:dyDescent="0.25">
      <c r="A6163">
        <v>11043</v>
      </c>
      <c r="B6163">
        <v>0</v>
      </c>
    </row>
    <row r="6164" spans="1:2" x14ac:dyDescent="0.25">
      <c r="A6164">
        <v>11044</v>
      </c>
      <c r="B6164">
        <v>0</v>
      </c>
    </row>
    <row r="6165" spans="1:2" x14ac:dyDescent="0.25">
      <c r="A6165">
        <v>11045</v>
      </c>
      <c r="B6165">
        <v>0</v>
      </c>
    </row>
    <row r="6166" spans="1:2" x14ac:dyDescent="0.25">
      <c r="A6166">
        <v>11046</v>
      </c>
      <c r="B6166">
        <v>0</v>
      </c>
    </row>
    <row r="6167" spans="1:2" x14ac:dyDescent="0.25">
      <c r="A6167">
        <v>11048</v>
      </c>
      <c r="B6167">
        <v>0</v>
      </c>
    </row>
    <row r="6168" spans="1:2" x14ac:dyDescent="0.25">
      <c r="A6168">
        <v>11051</v>
      </c>
      <c r="B6168">
        <v>0</v>
      </c>
    </row>
    <row r="6169" spans="1:2" x14ac:dyDescent="0.25">
      <c r="A6169">
        <v>11052</v>
      </c>
      <c r="B6169">
        <v>0</v>
      </c>
    </row>
    <row r="6170" spans="1:2" x14ac:dyDescent="0.25">
      <c r="A6170">
        <v>11061</v>
      </c>
      <c r="B6170">
        <v>0</v>
      </c>
    </row>
    <row r="6171" spans="1:2" x14ac:dyDescent="0.25">
      <c r="A6171">
        <v>11062</v>
      </c>
      <c r="B6171">
        <v>0</v>
      </c>
    </row>
    <row r="6172" spans="1:2" x14ac:dyDescent="0.25">
      <c r="A6172">
        <v>11064</v>
      </c>
      <c r="B6172">
        <v>0</v>
      </c>
    </row>
    <row r="6173" spans="1:2" x14ac:dyDescent="0.25">
      <c r="A6173">
        <v>11065</v>
      </c>
      <c r="B6173">
        <v>0</v>
      </c>
    </row>
    <row r="6174" spans="1:2" x14ac:dyDescent="0.25">
      <c r="A6174">
        <v>11067</v>
      </c>
      <c r="B6174">
        <v>0</v>
      </c>
    </row>
    <row r="6175" spans="1:2" x14ac:dyDescent="0.25">
      <c r="A6175">
        <v>11068</v>
      </c>
      <c r="B6175">
        <v>0</v>
      </c>
    </row>
    <row r="6176" spans="1:2" x14ac:dyDescent="0.25">
      <c r="A6176">
        <v>11069</v>
      </c>
      <c r="B6176">
        <v>0</v>
      </c>
    </row>
    <row r="6177" spans="1:2" x14ac:dyDescent="0.25">
      <c r="A6177">
        <v>11070</v>
      </c>
      <c r="B6177">
        <v>0</v>
      </c>
    </row>
    <row r="6178" spans="1:2" x14ac:dyDescent="0.25">
      <c r="A6178">
        <v>11072</v>
      </c>
      <c r="B6178">
        <v>0</v>
      </c>
    </row>
    <row r="6179" spans="1:2" x14ac:dyDescent="0.25">
      <c r="A6179">
        <v>11074</v>
      </c>
      <c r="B6179">
        <v>0</v>
      </c>
    </row>
    <row r="6180" spans="1:2" x14ac:dyDescent="0.25">
      <c r="A6180">
        <v>11076</v>
      </c>
      <c r="B6180">
        <v>0</v>
      </c>
    </row>
    <row r="6181" spans="1:2" x14ac:dyDescent="0.25">
      <c r="A6181">
        <v>11078</v>
      </c>
      <c r="B6181">
        <v>0</v>
      </c>
    </row>
    <row r="6182" spans="1:2" x14ac:dyDescent="0.25">
      <c r="A6182">
        <v>11080</v>
      </c>
      <c r="B6182">
        <v>0</v>
      </c>
    </row>
    <row r="6183" spans="1:2" x14ac:dyDescent="0.25">
      <c r="A6183">
        <v>11084</v>
      </c>
      <c r="B6183">
        <v>14</v>
      </c>
    </row>
    <row r="6184" spans="1:2" x14ac:dyDescent="0.25">
      <c r="A6184">
        <v>11085</v>
      </c>
      <c r="B6184">
        <v>0</v>
      </c>
    </row>
    <row r="6185" spans="1:2" x14ac:dyDescent="0.25">
      <c r="A6185">
        <v>11086</v>
      </c>
      <c r="B6185">
        <v>0</v>
      </c>
    </row>
    <row r="6186" spans="1:2" x14ac:dyDescent="0.25">
      <c r="A6186">
        <v>11087</v>
      </c>
      <c r="B6186">
        <v>0</v>
      </c>
    </row>
    <row r="6187" spans="1:2" x14ac:dyDescent="0.25">
      <c r="A6187">
        <v>11088</v>
      </c>
      <c r="B6187">
        <v>0</v>
      </c>
    </row>
    <row r="6188" spans="1:2" x14ac:dyDescent="0.25">
      <c r="A6188">
        <v>11089</v>
      </c>
      <c r="B6188">
        <v>0</v>
      </c>
    </row>
    <row r="6189" spans="1:2" x14ac:dyDescent="0.25">
      <c r="A6189">
        <v>11090</v>
      </c>
      <c r="B6189">
        <v>0</v>
      </c>
    </row>
    <row r="6190" spans="1:2" x14ac:dyDescent="0.25">
      <c r="A6190">
        <v>11091</v>
      </c>
      <c r="B6190">
        <v>0</v>
      </c>
    </row>
    <row r="6191" spans="1:2" x14ac:dyDescent="0.25">
      <c r="A6191">
        <v>11092</v>
      </c>
      <c r="B6191">
        <v>0</v>
      </c>
    </row>
    <row r="6192" spans="1:2" x14ac:dyDescent="0.25">
      <c r="A6192">
        <v>11093</v>
      </c>
      <c r="B6192">
        <v>0</v>
      </c>
    </row>
    <row r="6193" spans="1:2" x14ac:dyDescent="0.25">
      <c r="A6193">
        <v>11094</v>
      </c>
      <c r="B6193">
        <v>0</v>
      </c>
    </row>
    <row r="6194" spans="1:2" x14ac:dyDescent="0.25">
      <c r="A6194">
        <v>11095</v>
      </c>
      <c r="B6194">
        <v>0</v>
      </c>
    </row>
    <row r="6195" spans="1:2" x14ac:dyDescent="0.25">
      <c r="A6195">
        <v>11096</v>
      </c>
      <c r="B6195">
        <v>0</v>
      </c>
    </row>
    <row r="6196" spans="1:2" x14ac:dyDescent="0.25">
      <c r="A6196">
        <v>11097</v>
      </c>
      <c r="B6196">
        <v>0</v>
      </c>
    </row>
    <row r="6197" spans="1:2" x14ac:dyDescent="0.25">
      <c r="A6197">
        <v>11098</v>
      </c>
      <c r="B6197">
        <v>0</v>
      </c>
    </row>
    <row r="6198" spans="1:2" x14ac:dyDescent="0.25">
      <c r="A6198">
        <v>11102</v>
      </c>
      <c r="B6198">
        <v>0</v>
      </c>
    </row>
    <row r="6199" spans="1:2" x14ac:dyDescent="0.25">
      <c r="A6199">
        <v>11103</v>
      </c>
      <c r="B6199">
        <v>0</v>
      </c>
    </row>
    <row r="6200" spans="1:2" x14ac:dyDescent="0.25">
      <c r="A6200">
        <v>11105</v>
      </c>
      <c r="B6200">
        <v>0</v>
      </c>
    </row>
    <row r="6201" spans="1:2" x14ac:dyDescent="0.25">
      <c r="A6201">
        <v>11106</v>
      </c>
      <c r="B6201">
        <v>0</v>
      </c>
    </row>
    <row r="6202" spans="1:2" x14ac:dyDescent="0.25">
      <c r="A6202">
        <v>11108</v>
      </c>
      <c r="B6202">
        <v>0</v>
      </c>
    </row>
    <row r="6203" spans="1:2" x14ac:dyDescent="0.25">
      <c r="A6203">
        <v>11110</v>
      </c>
      <c r="B6203">
        <v>0</v>
      </c>
    </row>
    <row r="6204" spans="1:2" x14ac:dyDescent="0.25">
      <c r="A6204">
        <v>11111</v>
      </c>
      <c r="B6204">
        <v>0</v>
      </c>
    </row>
    <row r="6205" spans="1:2" x14ac:dyDescent="0.25">
      <c r="A6205">
        <v>11116</v>
      </c>
      <c r="B6205">
        <v>0</v>
      </c>
    </row>
    <row r="6206" spans="1:2" x14ac:dyDescent="0.25">
      <c r="A6206">
        <v>11117</v>
      </c>
      <c r="B6206">
        <v>0</v>
      </c>
    </row>
    <row r="6207" spans="1:2" x14ac:dyDescent="0.25">
      <c r="A6207">
        <v>11118</v>
      </c>
      <c r="B6207">
        <v>0</v>
      </c>
    </row>
    <row r="6208" spans="1:2" x14ac:dyDescent="0.25">
      <c r="A6208">
        <v>11119</v>
      </c>
      <c r="B6208">
        <v>0</v>
      </c>
    </row>
    <row r="6209" spans="1:2" x14ac:dyDescent="0.25">
      <c r="A6209">
        <v>11120</v>
      </c>
      <c r="B6209">
        <v>0</v>
      </c>
    </row>
    <row r="6210" spans="1:2" x14ac:dyDescent="0.25">
      <c r="A6210">
        <v>11121</v>
      </c>
      <c r="B6210">
        <v>0</v>
      </c>
    </row>
    <row r="6211" spans="1:2" x14ac:dyDescent="0.25">
      <c r="A6211">
        <v>11122</v>
      </c>
      <c r="B6211">
        <v>0</v>
      </c>
    </row>
    <row r="6212" spans="1:2" x14ac:dyDescent="0.25">
      <c r="A6212">
        <v>11123</v>
      </c>
      <c r="B6212">
        <v>0</v>
      </c>
    </row>
    <row r="6213" spans="1:2" x14ac:dyDescent="0.25">
      <c r="A6213">
        <v>11124</v>
      </c>
      <c r="B6213">
        <v>0</v>
      </c>
    </row>
    <row r="6214" spans="1:2" x14ac:dyDescent="0.25">
      <c r="A6214">
        <v>11126</v>
      </c>
      <c r="B6214">
        <v>0</v>
      </c>
    </row>
    <row r="6215" spans="1:2" x14ac:dyDescent="0.25">
      <c r="A6215">
        <v>11128</v>
      </c>
      <c r="B6215">
        <v>0</v>
      </c>
    </row>
    <row r="6216" spans="1:2" x14ac:dyDescent="0.25">
      <c r="A6216">
        <v>11129</v>
      </c>
      <c r="B6216">
        <v>0</v>
      </c>
    </row>
    <row r="6217" spans="1:2" x14ac:dyDescent="0.25">
      <c r="A6217">
        <v>11130</v>
      </c>
      <c r="B6217">
        <v>0</v>
      </c>
    </row>
    <row r="6218" spans="1:2" x14ac:dyDescent="0.25">
      <c r="A6218">
        <v>11131</v>
      </c>
      <c r="B6218">
        <v>0</v>
      </c>
    </row>
    <row r="6219" spans="1:2" x14ac:dyDescent="0.25">
      <c r="A6219">
        <v>11132</v>
      </c>
      <c r="B6219">
        <v>0</v>
      </c>
    </row>
    <row r="6220" spans="1:2" x14ac:dyDescent="0.25">
      <c r="A6220">
        <v>11134</v>
      </c>
      <c r="B6220">
        <v>0</v>
      </c>
    </row>
    <row r="6221" spans="1:2" x14ac:dyDescent="0.25">
      <c r="A6221">
        <v>11136</v>
      </c>
      <c r="B6221">
        <v>0</v>
      </c>
    </row>
    <row r="6222" spans="1:2" x14ac:dyDescent="0.25">
      <c r="A6222">
        <v>11137</v>
      </c>
      <c r="B6222">
        <v>0</v>
      </c>
    </row>
    <row r="6223" spans="1:2" x14ac:dyDescent="0.25">
      <c r="A6223">
        <v>11139</v>
      </c>
      <c r="B6223">
        <v>0</v>
      </c>
    </row>
    <row r="6224" spans="1:2" x14ac:dyDescent="0.25">
      <c r="A6224">
        <v>11140</v>
      </c>
      <c r="B6224">
        <v>0</v>
      </c>
    </row>
    <row r="6225" spans="1:2" x14ac:dyDescent="0.25">
      <c r="A6225">
        <v>11141</v>
      </c>
      <c r="B6225">
        <v>0</v>
      </c>
    </row>
    <row r="6226" spans="1:2" x14ac:dyDescent="0.25">
      <c r="A6226">
        <v>11142</v>
      </c>
      <c r="B6226">
        <v>0</v>
      </c>
    </row>
    <row r="6227" spans="1:2" x14ac:dyDescent="0.25">
      <c r="A6227">
        <v>11143</v>
      </c>
      <c r="B6227">
        <v>0</v>
      </c>
    </row>
    <row r="6228" spans="1:2" x14ac:dyDescent="0.25">
      <c r="A6228">
        <v>11144</v>
      </c>
      <c r="B6228">
        <v>0</v>
      </c>
    </row>
    <row r="6229" spans="1:2" x14ac:dyDescent="0.25">
      <c r="A6229">
        <v>11145</v>
      </c>
      <c r="B6229">
        <v>0</v>
      </c>
    </row>
    <row r="6230" spans="1:2" x14ac:dyDescent="0.25">
      <c r="A6230">
        <v>11146</v>
      </c>
      <c r="B6230">
        <v>0</v>
      </c>
    </row>
    <row r="6231" spans="1:2" x14ac:dyDescent="0.25">
      <c r="A6231">
        <v>11158</v>
      </c>
      <c r="B6231">
        <v>0</v>
      </c>
    </row>
    <row r="6232" spans="1:2" x14ac:dyDescent="0.25">
      <c r="A6232">
        <v>11159</v>
      </c>
      <c r="B6232">
        <v>0</v>
      </c>
    </row>
    <row r="6233" spans="1:2" x14ac:dyDescent="0.25">
      <c r="A6233">
        <v>11160</v>
      </c>
      <c r="B6233">
        <v>0</v>
      </c>
    </row>
    <row r="6234" spans="1:2" x14ac:dyDescent="0.25">
      <c r="A6234">
        <v>11161</v>
      </c>
      <c r="B6234">
        <v>0</v>
      </c>
    </row>
    <row r="6235" spans="1:2" x14ac:dyDescent="0.25">
      <c r="A6235">
        <v>11162</v>
      </c>
      <c r="B6235">
        <v>0</v>
      </c>
    </row>
    <row r="6236" spans="1:2" x14ac:dyDescent="0.25">
      <c r="A6236">
        <v>11163</v>
      </c>
      <c r="B6236">
        <v>0</v>
      </c>
    </row>
    <row r="6237" spans="1:2" x14ac:dyDescent="0.25">
      <c r="A6237">
        <v>11164</v>
      </c>
      <c r="B6237">
        <v>0</v>
      </c>
    </row>
    <row r="6238" spans="1:2" x14ac:dyDescent="0.25">
      <c r="A6238">
        <v>11165</v>
      </c>
      <c r="B6238">
        <v>0</v>
      </c>
    </row>
    <row r="6239" spans="1:2" x14ac:dyDescent="0.25">
      <c r="A6239">
        <v>11166</v>
      </c>
      <c r="B6239">
        <v>0</v>
      </c>
    </row>
    <row r="6240" spans="1:2" x14ac:dyDescent="0.25">
      <c r="A6240">
        <v>11167</v>
      </c>
      <c r="B6240">
        <v>0</v>
      </c>
    </row>
    <row r="6241" spans="1:2" x14ac:dyDescent="0.25">
      <c r="A6241">
        <v>11168</v>
      </c>
      <c r="B6241">
        <v>0</v>
      </c>
    </row>
    <row r="6242" spans="1:2" x14ac:dyDescent="0.25">
      <c r="A6242">
        <v>11169</v>
      </c>
      <c r="B6242">
        <v>0</v>
      </c>
    </row>
    <row r="6243" spans="1:2" x14ac:dyDescent="0.25">
      <c r="A6243">
        <v>11170</v>
      </c>
      <c r="B6243">
        <v>0</v>
      </c>
    </row>
    <row r="6244" spans="1:2" x14ac:dyDescent="0.25">
      <c r="A6244">
        <v>11171</v>
      </c>
      <c r="B6244">
        <v>0</v>
      </c>
    </row>
    <row r="6245" spans="1:2" x14ac:dyDescent="0.25">
      <c r="A6245">
        <v>11172</v>
      </c>
      <c r="B6245">
        <v>0</v>
      </c>
    </row>
    <row r="6246" spans="1:2" x14ac:dyDescent="0.25">
      <c r="A6246">
        <v>11173</v>
      </c>
      <c r="B6246">
        <v>0</v>
      </c>
    </row>
    <row r="6247" spans="1:2" x14ac:dyDescent="0.25">
      <c r="A6247">
        <v>11174</v>
      </c>
      <c r="B6247">
        <v>0</v>
      </c>
    </row>
    <row r="6248" spans="1:2" x14ac:dyDescent="0.25">
      <c r="A6248">
        <v>11175</v>
      </c>
      <c r="B6248">
        <v>0</v>
      </c>
    </row>
    <row r="6249" spans="1:2" x14ac:dyDescent="0.25">
      <c r="A6249">
        <v>11185</v>
      </c>
      <c r="B6249">
        <v>0</v>
      </c>
    </row>
    <row r="6250" spans="1:2" x14ac:dyDescent="0.25">
      <c r="A6250">
        <v>11189</v>
      </c>
      <c r="B6250">
        <v>0</v>
      </c>
    </row>
    <row r="6251" spans="1:2" x14ac:dyDescent="0.25">
      <c r="A6251">
        <v>11190</v>
      </c>
      <c r="B6251">
        <v>0</v>
      </c>
    </row>
    <row r="6252" spans="1:2" x14ac:dyDescent="0.25">
      <c r="A6252">
        <v>11191</v>
      </c>
      <c r="B6252">
        <v>0</v>
      </c>
    </row>
    <row r="6253" spans="1:2" x14ac:dyDescent="0.25">
      <c r="A6253">
        <v>11196</v>
      </c>
      <c r="B6253">
        <v>0</v>
      </c>
    </row>
    <row r="6254" spans="1:2" x14ac:dyDescent="0.25">
      <c r="A6254">
        <v>11197</v>
      </c>
      <c r="B6254">
        <v>0</v>
      </c>
    </row>
    <row r="6255" spans="1:2" x14ac:dyDescent="0.25">
      <c r="A6255">
        <v>11198</v>
      </c>
      <c r="B6255">
        <v>0</v>
      </c>
    </row>
    <row r="6256" spans="1:2" x14ac:dyDescent="0.25">
      <c r="A6256">
        <v>11199</v>
      </c>
      <c r="B6256">
        <v>0</v>
      </c>
    </row>
    <row r="6257" spans="1:2" x14ac:dyDescent="0.25">
      <c r="A6257">
        <v>11206</v>
      </c>
      <c r="B6257">
        <v>0</v>
      </c>
    </row>
    <row r="6258" spans="1:2" x14ac:dyDescent="0.25">
      <c r="A6258">
        <v>11207</v>
      </c>
      <c r="B6258">
        <v>0</v>
      </c>
    </row>
    <row r="6259" spans="1:2" x14ac:dyDescent="0.25">
      <c r="A6259">
        <v>11215</v>
      </c>
      <c r="B6259">
        <v>0</v>
      </c>
    </row>
    <row r="6260" spans="1:2" x14ac:dyDescent="0.25">
      <c r="A6260">
        <v>11216</v>
      </c>
      <c r="B6260">
        <v>0</v>
      </c>
    </row>
    <row r="6261" spans="1:2" x14ac:dyDescent="0.25">
      <c r="A6261">
        <v>11217</v>
      </c>
      <c r="B6261">
        <v>0</v>
      </c>
    </row>
    <row r="6262" spans="1:2" x14ac:dyDescent="0.25">
      <c r="A6262">
        <v>11218</v>
      </c>
      <c r="B6262">
        <v>0</v>
      </c>
    </row>
    <row r="6263" spans="1:2" x14ac:dyDescent="0.25">
      <c r="A6263">
        <v>11220</v>
      </c>
      <c r="B6263">
        <v>0</v>
      </c>
    </row>
    <row r="6264" spans="1:2" x14ac:dyDescent="0.25">
      <c r="A6264">
        <v>11222</v>
      </c>
      <c r="B6264">
        <v>0</v>
      </c>
    </row>
    <row r="6265" spans="1:2" x14ac:dyDescent="0.25">
      <c r="A6265">
        <v>11224</v>
      </c>
      <c r="B6265">
        <v>0</v>
      </c>
    </row>
    <row r="6266" spans="1:2" x14ac:dyDescent="0.25">
      <c r="A6266">
        <v>11226</v>
      </c>
      <c r="B6266">
        <v>0</v>
      </c>
    </row>
    <row r="6267" spans="1:2" x14ac:dyDescent="0.25">
      <c r="A6267">
        <v>11228</v>
      </c>
      <c r="B6267">
        <v>0</v>
      </c>
    </row>
    <row r="6268" spans="1:2" x14ac:dyDescent="0.25">
      <c r="A6268">
        <v>11230</v>
      </c>
      <c r="B6268">
        <v>0</v>
      </c>
    </row>
    <row r="6269" spans="1:2" x14ac:dyDescent="0.25">
      <c r="A6269">
        <v>11232</v>
      </c>
      <c r="B6269">
        <v>0</v>
      </c>
    </row>
    <row r="6270" spans="1:2" x14ac:dyDescent="0.25">
      <c r="A6270">
        <v>11234</v>
      </c>
      <c r="B6270">
        <v>0</v>
      </c>
    </row>
    <row r="6271" spans="1:2" x14ac:dyDescent="0.25">
      <c r="A6271">
        <v>11237</v>
      </c>
      <c r="B6271">
        <v>0</v>
      </c>
    </row>
    <row r="6272" spans="1:2" x14ac:dyDescent="0.25">
      <c r="A6272">
        <v>11238</v>
      </c>
      <c r="B6272">
        <v>0</v>
      </c>
    </row>
    <row r="6273" spans="1:2" x14ac:dyDescent="0.25">
      <c r="A6273">
        <v>11240</v>
      </c>
      <c r="B6273">
        <v>0</v>
      </c>
    </row>
    <row r="6274" spans="1:2" x14ac:dyDescent="0.25">
      <c r="A6274">
        <v>11242</v>
      </c>
      <c r="B6274">
        <v>0</v>
      </c>
    </row>
    <row r="6275" spans="1:2" x14ac:dyDescent="0.25">
      <c r="A6275">
        <v>11243</v>
      </c>
      <c r="B6275">
        <v>0</v>
      </c>
    </row>
    <row r="6276" spans="1:2" x14ac:dyDescent="0.25">
      <c r="A6276">
        <v>11245</v>
      </c>
      <c r="B6276">
        <v>0</v>
      </c>
    </row>
    <row r="6277" spans="1:2" x14ac:dyDescent="0.25">
      <c r="A6277">
        <v>11247</v>
      </c>
      <c r="B6277">
        <v>0</v>
      </c>
    </row>
    <row r="6278" spans="1:2" x14ac:dyDescent="0.25">
      <c r="A6278">
        <v>11250</v>
      </c>
      <c r="B6278">
        <v>0</v>
      </c>
    </row>
    <row r="6279" spans="1:2" x14ac:dyDescent="0.25">
      <c r="A6279">
        <v>11251</v>
      </c>
      <c r="B6279">
        <v>0</v>
      </c>
    </row>
    <row r="6280" spans="1:2" x14ac:dyDescent="0.25">
      <c r="A6280">
        <v>11252</v>
      </c>
      <c r="B6280">
        <v>0</v>
      </c>
    </row>
    <row r="6281" spans="1:2" x14ac:dyDescent="0.25">
      <c r="A6281">
        <v>11253</v>
      </c>
      <c r="B6281">
        <v>0</v>
      </c>
    </row>
    <row r="6282" spans="1:2" x14ac:dyDescent="0.25">
      <c r="A6282">
        <v>11254</v>
      </c>
      <c r="B6282">
        <v>0</v>
      </c>
    </row>
    <row r="6283" spans="1:2" x14ac:dyDescent="0.25">
      <c r="A6283">
        <v>11256</v>
      </c>
      <c r="B6283">
        <v>0</v>
      </c>
    </row>
    <row r="6284" spans="1:2" x14ac:dyDescent="0.25">
      <c r="A6284">
        <v>11258</v>
      </c>
      <c r="B6284">
        <v>0</v>
      </c>
    </row>
    <row r="6285" spans="1:2" x14ac:dyDescent="0.25">
      <c r="A6285">
        <v>11259</v>
      </c>
      <c r="B6285">
        <v>0</v>
      </c>
    </row>
    <row r="6286" spans="1:2" x14ac:dyDescent="0.25">
      <c r="A6286">
        <v>11260</v>
      </c>
      <c r="B6286">
        <v>0</v>
      </c>
    </row>
    <row r="6287" spans="1:2" x14ac:dyDescent="0.25">
      <c r="A6287">
        <v>11261</v>
      </c>
      <c r="B6287">
        <v>0</v>
      </c>
    </row>
    <row r="6288" spans="1:2" x14ac:dyDescent="0.25">
      <c r="A6288">
        <v>11263</v>
      </c>
      <c r="B6288">
        <v>0</v>
      </c>
    </row>
    <row r="6289" spans="1:2" x14ac:dyDescent="0.25">
      <c r="A6289">
        <v>11265</v>
      </c>
      <c r="B6289">
        <v>0</v>
      </c>
    </row>
    <row r="6290" spans="1:2" x14ac:dyDescent="0.25">
      <c r="A6290">
        <v>11267</v>
      </c>
      <c r="B6290">
        <v>0</v>
      </c>
    </row>
    <row r="6291" spans="1:2" x14ac:dyDescent="0.25">
      <c r="A6291">
        <v>11268</v>
      </c>
      <c r="B6291">
        <v>0</v>
      </c>
    </row>
    <row r="6292" spans="1:2" x14ac:dyDescent="0.25">
      <c r="A6292">
        <v>11269</v>
      </c>
      <c r="B6292">
        <v>0</v>
      </c>
    </row>
    <row r="6293" spans="1:2" x14ac:dyDescent="0.25">
      <c r="A6293">
        <v>11270</v>
      </c>
      <c r="B6293">
        <v>0</v>
      </c>
    </row>
    <row r="6294" spans="1:2" x14ac:dyDescent="0.25">
      <c r="A6294">
        <v>11272</v>
      </c>
      <c r="B6294">
        <v>0</v>
      </c>
    </row>
    <row r="6295" spans="1:2" x14ac:dyDescent="0.25">
      <c r="A6295">
        <v>11274</v>
      </c>
      <c r="B6295">
        <v>0</v>
      </c>
    </row>
    <row r="6296" spans="1:2" x14ac:dyDescent="0.25">
      <c r="A6296">
        <v>11276</v>
      </c>
      <c r="B6296">
        <v>0</v>
      </c>
    </row>
    <row r="6297" spans="1:2" x14ac:dyDescent="0.25">
      <c r="A6297">
        <v>11278</v>
      </c>
      <c r="B6297">
        <v>0</v>
      </c>
    </row>
    <row r="6298" spans="1:2" x14ac:dyDescent="0.25">
      <c r="A6298">
        <v>11282</v>
      </c>
      <c r="B6298">
        <v>0</v>
      </c>
    </row>
    <row r="6299" spans="1:2" x14ac:dyDescent="0.25">
      <c r="A6299">
        <v>11284</v>
      </c>
      <c r="B6299">
        <v>0</v>
      </c>
    </row>
    <row r="6300" spans="1:2" x14ac:dyDescent="0.25">
      <c r="A6300">
        <v>11287</v>
      </c>
      <c r="B6300">
        <v>0</v>
      </c>
    </row>
    <row r="6301" spans="1:2" x14ac:dyDescent="0.25">
      <c r="A6301">
        <v>11292</v>
      </c>
      <c r="B6301">
        <v>0</v>
      </c>
    </row>
    <row r="6302" spans="1:2" x14ac:dyDescent="0.25">
      <c r="A6302">
        <v>11293</v>
      </c>
      <c r="B6302">
        <v>0</v>
      </c>
    </row>
    <row r="6303" spans="1:2" x14ac:dyDescent="0.25">
      <c r="A6303">
        <v>11295</v>
      </c>
      <c r="B6303">
        <v>0</v>
      </c>
    </row>
    <row r="6304" spans="1:2" x14ac:dyDescent="0.25">
      <c r="A6304">
        <v>11296</v>
      </c>
      <c r="B6304">
        <v>0</v>
      </c>
    </row>
    <row r="6305" spans="1:2" x14ac:dyDescent="0.25">
      <c r="A6305">
        <v>11297</v>
      </c>
      <c r="B6305">
        <v>0</v>
      </c>
    </row>
    <row r="6306" spans="1:2" x14ac:dyDescent="0.25">
      <c r="A6306">
        <v>11313</v>
      </c>
      <c r="B6306">
        <v>0</v>
      </c>
    </row>
    <row r="6307" spans="1:2" x14ac:dyDescent="0.25">
      <c r="A6307">
        <v>11316</v>
      </c>
      <c r="B6307">
        <v>0</v>
      </c>
    </row>
    <row r="6308" spans="1:2" x14ac:dyDescent="0.25">
      <c r="A6308">
        <v>11317</v>
      </c>
      <c r="B6308">
        <v>0</v>
      </c>
    </row>
    <row r="6309" spans="1:2" x14ac:dyDescent="0.25">
      <c r="A6309">
        <v>11325</v>
      </c>
      <c r="B6309">
        <v>0</v>
      </c>
    </row>
    <row r="6310" spans="1:2" x14ac:dyDescent="0.25">
      <c r="A6310">
        <v>11327</v>
      </c>
      <c r="B6310">
        <v>0</v>
      </c>
    </row>
    <row r="6311" spans="1:2" x14ac:dyDescent="0.25">
      <c r="A6311">
        <v>11329</v>
      </c>
      <c r="B6311">
        <v>0</v>
      </c>
    </row>
    <row r="6312" spans="1:2" x14ac:dyDescent="0.25">
      <c r="A6312">
        <v>11330</v>
      </c>
      <c r="B6312">
        <v>0</v>
      </c>
    </row>
    <row r="6313" spans="1:2" x14ac:dyDescent="0.25">
      <c r="A6313">
        <v>11332</v>
      </c>
      <c r="B6313">
        <v>0</v>
      </c>
    </row>
    <row r="6314" spans="1:2" x14ac:dyDescent="0.25">
      <c r="A6314">
        <v>11333</v>
      </c>
      <c r="B6314">
        <v>0</v>
      </c>
    </row>
    <row r="6315" spans="1:2" x14ac:dyDescent="0.25">
      <c r="A6315">
        <v>11334</v>
      </c>
      <c r="B6315">
        <v>0</v>
      </c>
    </row>
    <row r="6316" spans="1:2" x14ac:dyDescent="0.25">
      <c r="A6316">
        <v>11336</v>
      </c>
      <c r="B6316">
        <v>0</v>
      </c>
    </row>
    <row r="6317" spans="1:2" x14ac:dyDescent="0.25">
      <c r="A6317">
        <v>11337</v>
      </c>
      <c r="B6317">
        <v>0</v>
      </c>
    </row>
    <row r="6318" spans="1:2" x14ac:dyDescent="0.25">
      <c r="A6318">
        <v>11338</v>
      </c>
      <c r="B6318">
        <v>0</v>
      </c>
    </row>
    <row r="6319" spans="1:2" x14ac:dyDescent="0.25">
      <c r="A6319">
        <v>11339</v>
      </c>
      <c r="B6319">
        <v>0</v>
      </c>
    </row>
    <row r="6320" spans="1:2" x14ac:dyDescent="0.25">
      <c r="A6320">
        <v>11340</v>
      </c>
      <c r="B6320">
        <v>0</v>
      </c>
    </row>
    <row r="6321" spans="1:2" x14ac:dyDescent="0.25">
      <c r="A6321">
        <v>11341</v>
      </c>
      <c r="B6321">
        <v>0</v>
      </c>
    </row>
    <row r="6322" spans="1:2" x14ac:dyDescent="0.25">
      <c r="A6322">
        <v>11342</v>
      </c>
      <c r="B6322">
        <v>0</v>
      </c>
    </row>
    <row r="6323" spans="1:2" x14ac:dyDescent="0.25">
      <c r="A6323">
        <v>11343</v>
      </c>
      <c r="B6323">
        <v>0</v>
      </c>
    </row>
    <row r="6324" spans="1:2" x14ac:dyDescent="0.25">
      <c r="A6324">
        <v>11345</v>
      </c>
      <c r="B6324">
        <v>0</v>
      </c>
    </row>
    <row r="6325" spans="1:2" x14ac:dyDescent="0.25">
      <c r="A6325">
        <v>11347</v>
      </c>
      <c r="B6325">
        <v>0</v>
      </c>
    </row>
    <row r="6326" spans="1:2" x14ac:dyDescent="0.25">
      <c r="A6326">
        <v>11353</v>
      </c>
      <c r="B6326">
        <v>0</v>
      </c>
    </row>
    <row r="6327" spans="1:2" x14ac:dyDescent="0.25">
      <c r="A6327">
        <v>11354</v>
      </c>
      <c r="B6327">
        <v>0</v>
      </c>
    </row>
    <row r="6328" spans="1:2" x14ac:dyDescent="0.25">
      <c r="A6328">
        <v>11355</v>
      </c>
      <c r="B6328">
        <v>0</v>
      </c>
    </row>
    <row r="6329" spans="1:2" x14ac:dyDescent="0.25">
      <c r="A6329">
        <v>11356</v>
      </c>
      <c r="B6329">
        <v>0</v>
      </c>
    </row>
    <row r="6330" spans="1:2" x14ac:dyDescent="0.25">
      <c r="A6330">
        <v>11357</v>
      </c>
      <c r="B6330">
        <v>0</v>
      </c>
    </row>
    <row r="6331" spans="1:2" x14ac:dyDescent="0.25">
      <c r="A6331">
        <v>11358</v>
      </c>
      <c r="B6331">
        <v>0</v>
      </c>
    </row>
    <row r="6332" spans="1:2" x14ac:dyDescent="0.25">
      <c r="A6332">
        <v>11359</v>
      </c>
      <c r="B6332">
        <v>0</v>
      </c>
    </row>
    <row r="6333" spans="1:2" x14ac:dyDescent="0.25">
      <c r="A6333">
        <v>11360</v>
      </c>
      <c r="B6333">
        <v>0</v>
      </c>
    </row>
    <row r="6334" spans="1:2" x14ac:dyDescent="0.25">
      <c r="A6334">
        <v>11361</v>
      </c>
      <c r="B6334">
        <v>0</v>
      </c>
    </row>
    <row r="6335" spans="1:2" x14ac:dyDescent="0.25">
      <c r="A6335">
        <v>11362</v>
      </c>
      <c r="B6335">
        <v>0</v>
      </c>
    </row>
    <row r="6336" spans="1:2" x14ac:dyDescent="0.25">
      <c r="A6336">
        <v>11363</v>
      </c>
      <c r="B6336">
        <v>0</v>
      </c>
    </row>
    <row r="6337" spans="1:2" x14ac:dyDescent="0.25">
      <c r="A6337">
        <v>11364</v>
      </c>
      <c r="B6337">
        <v>0</v>
      </c>
    </row>
    <row r="6338" spans="1:2" x14ac:dyDescent="0.25">
      <c r="A6338">
        <v>11365</v>
      </c>
      <c r="B6338">
        <v>0</v>
      </c>
    </row>
    <row r="6339" spans="1:2" x14ac:dyDescent="0.25">
      <c r="A6339">
        <v>11368</v>
      </c>
      <c r="B6339">
        <v>9</v>
      </c>
    </row>
    <row r="6340" spans="1:2" x14ac:dyDescent="0.25">
      <c r="A6340">
        <v>11370</v>
      </c>
      <c r="B6340">
        <v>0</v>
      </c>
    </row>
    <row r="6341" spans="1:2" x14ac:dyDescent="0.25">
      <c r="A6341">
        <v>11371</v>
      </c>
      <c r="B6341">
        <v>0</v>
      </c>
    </row>
    <row r="6342" spans="1:2" x14ac:dyDescent="0.25">
      <c r="A6342">
        <v>11373</v>
      </c>
      <c r="B6342">
        <v>0</v>
      </c>
    </row>
    <row r="6343" spans="1:2" x14ac:dyDescent="0.25">
      <c r="A6343">
        <v>11375</v>
      </c>
      <c r="B6343">
        <v>0</v>
      </c>
    </row>
    <row r="6344" spans="1:2" x14ac:dyDescent="0.25">
      <c r="A6344">
        <v>11378</v>
      </c>
      <c r="B6344">
        <v>0</v>
      </c>
    </row>
    <row r="6345" spans="1:2" x14ac:dyDescent="0.25">
      <c r="A6345">
        <v>11391</v>
      </c>
      <c r="B6345">
        <v>0</v>
      </c>
    </row>
    <row r="6346" spans="1:2" x14ac:dyDescent="0.25">
      <c r="A6346">
        <v>11392</v>
      </c>
      <c r="B6346">
        <v>0</v>
      </c>
    </row>
    <row r="6347" spans="1:2" x14ac:dyDescent="0.25">
      <c r="A6347">
        <v>11393</v>
      </c>
      <c r="B6347">
        <v>0</v>
      </c>
    </row>
    <row r="6348" spans="1:2" x14ac:dyDescent="0.25">
      <c r="A6348">
        <v>11394</v>
      </c>
      <c r="B6348">
        <v>0</v>
      </c>
    </row>
    <row r="6349" spans="1:2" x14ac:dyDescent="0.25">
      <c r="A6349">
        <v>11395</v>
      </c>
      <c r="B6349">
        <v>0</v>
      </c>
    </row>
    <row r="6350" spans="1:2" x14ac:dyDescent="0.25">
      <c r="A6350">
        <v>11401</v>
      </c>
      <c r="B6350">
        <v>0</v>
      </c>
    </row>
    <row r="6351" spans="1:2" x14ac:dyDescent="0.25">
      <c r="A6351">
        <v>11403</v>
      </c>
      <c r="B6351">
        <v>0</v>
      </c>
    </row>
    <row r="6352" spans="1:2" x14ac:dyDescent="0.25">
      <c r="A6352">
        <v>11404</v>
      </c>
      <c r="B6352">
        <v>0</v>
      </c>
    </row>
    <row r="6353" spans="1:2" x14ac:dyDescent="0.25">
      <c r="A6353">
        <v>11405</v>
      </c>
      <c r="B6353">
        <v>0</v>
      </c>
    </row>
    <row r="6354" spans="1:2" x14ac:dyDescent="0.25">
      <c r="A6354">
        <v>11406</v>
      </c>
      <c r="B6354">
        <v>0</v>
      </c>
    </row>
    <row r="6355" spans="1:2" x14ac:dyDescent="0.25">
      <c r="A6355">
        <v>11407</v>
      </c>
      <c r="B6355">
        <v>0</v>
      </c>
    </row>
    <row r="6356" spans="1:2" x14ac:dyDescent="0.25">
      <c r="A6356">
        <v>11408</v>
      </c>
      <c r="B6356">
        <v>0</v>
      </c>
    </row>
    <row r="6357" spans="1:2" x14ac:dyDescent="0.25">
      <c r="A6357">
        <v>11409</v>
      </c>
      <c r="B6357">
        <v>0</v>
      </c>
    </row>
    <row r="6358" spans="1:2" x14ac:dyDescent="0.25">
      <c r="A6358">
        <v>11410</v>
      </c>
      <c r="B6358">
        <v>0</v>
      </c>
    </row>
    <row r="6359" spans="1:2" x14ac:dyDescent="0.25">
      <c r="A6359">
        <v>11411</v>
      </c>
      <c r="B6359">
        <v>0</v>
      </c>
    </row>
    <row r="6360" spans="1:2" x14ac:dyDescent="0.25">
      <c r="A6360">
        <v>11412</v>
      </c>
      <c r="B6360">
        <v>0</v>
      </c>
    </row>
    <row r="6361" spans="1:2" x14ac:dyDescent="0.25">
      <c r="A6361">
        <v>11413</v>
      </c>
      <c r="B6361">
        <v>0</v>
      </c>
    </row>
    <row r="6362" spans="1:2" x14ac:dyDescent="0.25">
      <c r="A6362">
        <v>11414</v>
      </c>
      <c r="B6362">
        <v>0</v>
      </c>
    </row>
    <row r="6363" spans="1:2" x14ac:dyDescent="0.25">
      <c r="A6363">
        <v>11415</v>
      </c>
      <c r="B6363">
        <v>0</v>
      </c>
    </row>
    <row r="6364" spans="1:2" x14ac:dyDescent="0.25">
      <c r="A6364">
        <v>11416</v>
      </c>
      <c r="B6364">
        <v>0</v>
      </c>
    </row>
    <row r="6365" spans="1:2" x14ac:dyDescent="0.25">
      <c r="A6365">
        <v>11417</v>
      </c>
      <c r="B6365">
        <v>0</v>
      </c>
    </row>
    <row r="6366" spans="1:2" x14ac:dyDescent="0.25">
      <c r="A6366">
        <v>11418</v>
      </c>
      <c r="B6366">
        <v>0</v>
      </c>
    </row>
    <row r="6367" spans="1:2" x14ac:dyDescent="0.25">
      <c r="A6367">
        <v>11419</v>
      </c>
      <c r="B6367">
        <v>0</v>
      </c>
    </row>
    <row r="6368" spans="1:2" x14ac:dyDescent="0.25">
      <c r="A6368">
        <v>11420</v>
      </c>
      <c r="B6368">
        <v>0</v>
      </c>
    </row>
    <row r="6369" spans="1:2" x14ac:dyDescent="0.25">
      <c r="A6369">
        <v>11421</v>
      </c>
      <c r="B6369">
        <v>0</v>
      </c>
    </row>
    <row r="6370" spans="1:2" x14ac:dyDescent="0.25">
      <c r="A6370">
        <v>11422</v>
      </c>
      <c r="B6370">
        <v>0</v>
      </c>
    </row>
    <row r="6371" spans="1:2" x14ac:dyDescent="0.25">
      <c r="A6371">
        <v>11423</v>
      </c>
      <c r="B6371">
        <v>0</v>
      </c>
    </row>
    <row r="6372" spans="1:2" x14ac:dyDescent="0.25">
      <c r="A6372">
        <v>11424</v>
      </c>
      <c r="B6372">
        <v>0</v>
      </c>
    </row>
    <row r="6373" spans="1:2" x14ac:dyDescent="0.25">
      <c r="A6373">
        <v>11425</v>
      </c>
      <c r="B6373">
        <v>0</v>
      </c>
    </row>
    <row r="6374" spans="1:2" x14ac:dyDescent="0.25">
      <c r="A6374">
        <v>11427</v>
      </c>
      <c r="B6374">
        <v>0</v>
      </c>
    </row>
    <row r="6375" spans="1:2" x14ac:dyDescent="0.25">
      <c r="A6375">
        <v>11428</v>
      </c>
      <c r="B6375">
        <v>0</v>
      </c>
    </row>
    <row r="6376" spans="1:2" x14ac:dyDescent="0.25">
      <c r="A6376">
        <v>11429</v>
      </c>
      <c r="B6376">
        <v>0</v>
      </c>
    </row>
    <row r="6377" spans="1:2" x14ac:dyDescent="0.25">
      <c r="A6377">
        <v>11430</v>
      </c>
      <c r="B6377">
        <v>0</v>
      </c>
    </row>
    <row r="6378" spans="1:2" x14ac:dyDescent="0.25">
      <c r="A6378">
        <v>11431</v>
      </c>
      <c r="B6378">
        <v>0</v>
      </c>
    </row>
    <row r="6379" spans="1:2" x14ac:dyDescent="0.25">
      <c r="A6379">
        <v>11432</v>
      </c>
      <c r="B6379">
        <v>0</v>
      </c>
    </row>
    <row r="6380" spans="1:2" x14ac:dyDescent="0.25">
      <c r="A6380">
        <v>11436</v>
      </c>
      <c r="B6380">
        <v>0</v>
      </c>
    </row>
    <row r="6381" spans="1:2" x14ac:dyDescent="0.25">
      <c r="A6381">
        <v>11437</v>
      </c>
      <c r="B6381">
        <v>0</v>
      </c>
    </row>
    <row r="6382" spans="1:2" x14ac:dyDescent="0.25">
      <c r="A6382">
        <v>11439</v>
      </c>
      <c r="B6382">
        <v>0</v>
      </c>
    </row>
    <row r="6383" spans="1:2" x14ac:dyDescent="0.25">
      <c r="A6383">
        <v>11441</v>
      </c>
      <c r="B6383">
        <v>0</v>
      </c>
    </row>
    <row r="6384" spans="1:2" x14ac:dyDescent="0.25">
      <c r="A6384">
        <v>11443</v>
      </c>
      <c r="B6384">
        <v>0</v>
      </c>
    </row>
    <row r="6385" spans="1:2" x14ac:dyDescent="0.25">
      <c r="A6385">
        <v>11446</v>
      </c>
      <c r="B6385">
        <v>0</v>
      </c>
    </row>
    <row r="6386" spans="1:2" x14ac:dyDescent="0.25">
      <c r="A6386">
        <v>11447</v>
      </c>
      <c r="B6386">
        <v>0</v>
      </c>
    </row>
    <row r="6387" spans="1:2" x14ac:dyDescent="0.25">
      <c r="A6387">
        <v>11449</v>
      </c>
      <c r="B6387">
        <v>0</v>
      </c>
    </row>
    <row r="6388" spans="1:2" x14ac:dyDescent="0.25">
      <c r="A6388">
        <v>11458</v>
      </c>
      <c r="B6388">
        <v>0</v>
      </c>
    </row>
    <row r="6389" spans="1:2" x14ac:dyDescent="0.25">
      <c r="A6389">
        <v>11470</v>
      </c>
      <c r="B6389">
        <v>0</v>
      </c>
    </row>
    <row r="6390" spans="1:2" x14ac:dyDescent="0.25">
      <c r="A6390">
        <v>11471</v>
      </c>
      <c r="B6390">
        <v>0</v>
      </c>
    </row>
    <row r="6391" spans="1:2" x14ac:dyDescent="0.25">
      <c r="A6391">
        <v>11472</v>
      </c>
      <c r="B6391">
        <v>0</v>
      </c>
    </row>
    <row r="6392" spans="1:2" x14ac:dyDescent="0.25">
      <c r="A6392">
        <v>11473</v>
      </c>
      <c r="B6392">
        <v>0</v>
      </c>
    </row>
    <row r="6393" spans="1:2" x14ac:dyDescent="0.25">
      <c r="A6393">
        <v>11474</v>
      </c>
      <c r="B6393">
        <v>0</v>
      </c>
    </row>
    <row r="6394" spans="1:2" x14ac:dyDescent="0.25">
      <c r="A6394">
        <v>11475</v>
      </c>
      <c r="B6394">
        <v>0</v>
      </c>
    </row>
    <row r="6395" spans="1:2" x14ac:dyDescent="0.25">
      <c r="A6395">
        <v>11476</v>
      </c>
      <c r="B6395">
        <v>0</v>
      </c>
    </row>
    <row r="6396" spans="1:2" x14ac:dyDescent="0.25">
      <c r="A6396">
        <v>11477</v>
      </c>
      <c r="B6396">
        <v>0</v>
      </c>
    </row>
    <row r="6397" spans="1:2" x14ac:dyDescent="0.25">
      <c r="A6397">
        <v>11478</v>
      </c>
      <c r="B6397">
        <v>0</v>
      </c>
    </row>
    <row r="6398" spans="1:2" x14ac:dyDescent="0.25">
      <c r="A6398">
        <v>11479</v>
      </c>
      <c r="B6398">
        <v>0</v>
      </c>
    </row>
    <row r="6399" spans="1:2" x14ac:dyDescent="0.25">
      <c r="A6399">
        <v>11480</v>
      </c>
      <c r="B6399">
        <v>0</v>
      </c>
    </row>
    <row r="6400" spans="1:2" x14ac:dyDescent="0.25">
      <c r="A6400">
        <v>11481</v>
      </c>
      <c r="B6400">
        <v>0</v>
      </c>
    </row>
    <row r="6401" spans="1:2" x14ac:dyDescent="0.25">
      <c r="A6401">
        <v>11482</v>
      </c>
      <c r="B6401">
        <v>0</v>
      </c>
    </row>
    <row r="6402" spans="1:2" x14ac:dyDescent="0.25">
      <c r="A6402">
        <v>11483</v>
      </c>
      <c r="B6402">
        <v>0</v>
      </c>
    </row>
    <row r="6403" spans="1:2" x14ac:dyDescent="0.25">
      <c r="A6403">
        <v>11484</v>
      </c>
      <c r="B6403">
        <v>0</v>
      </c>
    </row>
    <row r="6404" spans="1:2" x14ac:dyDescent="0.25">
      <c r="A6404">
        <v>11485</v>
      </c>
      <c r="B6404">
        <v>0</v>
      </c>
    </row>
    <row r="6405" spans="1:2" x14ac:dyDescent="0.25">
      <c r="A6405">
        <v>11486</v>
      </c>
      <c r="B6405">
        <v>0</v>
      </c>
    </row>
    <row r="6406" spans="1:2" x14ac:dyDescent="0.25">
      <c r="A6406">
        <v>11487</v>
      </c>
      <c r="B6406">
        <v>0</v>
      </c>
    </row>
    <row r="6407" spans="1:2" x14ac:dyDescent="0.25">
      <c r="A6407">
        <v>11488</v>
      </c>
      <c r="B6407">
        <v>0</v>
      </c>
    </row>
    <row r="6408" spans="1:2" x14ac:dyDescent="0.25">
      <c r="A6408">
        <v>11489</v>
      </c>
      <c r="B6408">
        <v>0</v>
      </c>
    </row>
    <row r="6409" spans="1:2" x14ac:dyDescent="0.25">
      <c r="A6409">
        <v>11490</v>
      </c>
      <c r="B6409">
        <v>0</v>
      </c>
    </row>
    <row r="6410" spans="1:2" x14ac:dyDescent="0.25">
      <c r="A6410">
        <v>11491</v>
      </c>
      <c r="B6410">
        <v>0</v>
      </c>
    </row>
    <row r="6411" spans="1:2" x14ac:dyDescent="0.25">
      <c r="A6411">
        <v>11492</v>
      </c>
      <c r="B6411">
        <v>0</v>
      </c>
    </row>
    <row r="6412" spans="1:2" x14ac:dyDescent="0.25">
      <c r="A6412">
        <v>11493</v>
      </c>
      <c r="B6412">
        <v>0</v>
      </c>
    </row>
    <row r="6413" spans="1:2" x14ac:dyDescent="0.25">
      <c r="A6413">
        <v>11494</v>
      </c>
      <c r="B6413">
        <v>0</v>
      </c>
    </row>
    <row r="6414" spans="1:2" x14ac:dyDescent="0.25">
      <c r="A6414">
        <v>11495</v>
      </c>
      <c r="B6414">
        <v>0</v>
      </c>
    </row>
    <row r="6415" spans="1:2" x14ac:dyDescent="0.25">
      <c r="A6415">
        <v>11497</v>
      </c>
      <c r="B6415">
        <v>0</v>
      </c>
    </row>
    <row r="6416" spans="1:2" x14ac:dyDescent="0.25">
      <c r="A6416">
        <v>11499</v>
      </c>
      <c r="B6416">
        <v>0</v>
      </c>
    </row>
    <row r="6417" spans="1:2" x14ac:dyDescent="0.25">
      <c r="A6417">
        <v>11501</v>
      </c>
      <c r="B6417">
        <v>0</v>
      </c>
    </row>
    <row r="6418" spans="1:2" x14ac:dyDescent="0.25">
      <c r="A6418">
        <v>11503</v>
      </c>
      <c r="B6418">
        <v>0</v>
      </c>
    </row>
    <row r="6419" spans="1:2" x14ac:dyDescent="0.25">
      <c r="A6419">
        <v>11504</v>
      </c>
      <c r="B6419">
        <v>0</v>
      </c>
    </row>
    <row r="6420" spans="1:2" x14ac:dyDescent="0.25">
      <c r="A6420">
        <v>11505</v>
      </c>
      <c r="B6420">
        <v>0</v>
      </c>
    </row>
    <row r="6421" spans="1:2" x14ac:dyDescent="0.25">
      <c r="A6421">
        <v>11508</v>
      </c>
      <c r="B6421">
        <v>0</v>
      </c>
    </row>
    <row r="6422" spans="1:2" x14ac:dyDescent="0.25">
      <c r="A6422">
        <v>11510</v>
      </c>
      <c r="B6422">
        <v>0</v>
      </c>
    </row>
    <row r="6423" spans="1:2" x14ac:dyDescent="0.25">
      <c r="A6423">
        <v>11511</v>
      </c>
      <c r="B6423">
        <v>0</v>
      </c>
    </row>
    <row r="6424" spans="1:2" x14ac:dyDescent="0.25">
      <c r="A6424">
        <v>11513</v>
      </c>
      <c r="B6424">
        <v>0</v>
      </c>
    </row>
    <row r="6425" spans="1:2" x14ac:dyDescent="0.25">
      <c r="A6425">
        <v>11515</v>
      </c>
      <c r="B6425">
        <v>0</v>
      </c>
    </row>
    <row r="6426" spans="1:2" x14ac:dyDescent="0.25">
      <c r="A6426">
        <v>11518</v>
      </c>
      <c r="B6426">
        <v>0</v>
      </c>
    </row>
    <row r="6427" spans="1:2" x14ac:dyDescent="0.25">
      <c r="A6427">
        <v>11520</v>
      </c>
      <c r="B6427">
        <v>0</v>
      </c>
    </row>
    <row r="6428" spans="1:2" x14ac:dyDescent="0.25">
      <c r="A6428">
        <v>11522</v>
      </c>
      <c r="B6428">
        <v>0</v>
      </c>
    </row>
    <row r="6429" spans="1:2" x14ac:dyDescent="0.25">
      <c r="A6429">
        <v>11525</v>
      </c>
      <c r="B6429">
        <v>0</v>
      </c>
    </row>
    <row r="6430" spans="1:2" x14ac:dyDescent="0.25">
      <c r="A6430">
        <v>11527</v>
      </c>
      <c r="B6430">
        <v>0</v>
      </c>
    </row>
    <row r="6431" spans="1:2" x14ac:dyDescent="0.25">
      <c r="A6431">
        <v>11529</v>
      </c>
      <c r="B6431">
        <v>0</v>
      </c>
    </row>
    <row r="6432" spans="1:2" x14ac:dyDescent="0.25">
      <c r="A6432">
        <v>11531</v>
      </c>
      <c r="B6432">
        <v>0</v>
      </c>
    </row>
    <row r="6433" spans="1:2" x14ac:dyDescent="0.25">
      <c r="A6433">
        <v>11533</v>
      </c>
      <c r="B6433">
        <v>0</v>
      </c>
    </row>
    <row r="6434" spans="1:2" x14ac:dyDescent="0.25">
      <c r="A6434">
        <v>11535</v>
      </c>
      <c r="B6434">
        <v>0</v>
      </c>
    </row>
    <row r="6435" spans="1:2" x14ac:dyDescent="0.25">
      <c r="A6435">
        <v>11537</v>
      </c>
      <c r="B6435">
        <v>0</v>
      </c>
    </row>
    <row r="6436" spans="1:2" x14ac:dyDescent="0.25">
      <c r="A6436">
        <v>11539</v>
      </c>
      <c r="B6436">
        <v>0</v>
      </c>
    </row>
    <row r="6437" spans="1:2" x14ac:dyDescent="0.25">
      <c r="A6437">
        <v>11541</v>
      </c>
      <c r="B6437">
        <v>0</v>
      </c>
    </row>
    <row r="6438" spans="1:2" x14ac:dyDescent="0.25">
      <c r="A6438">
        <v>11543</v>
      </c>
      <c r="B6438">
        <v>0</v>
      </c>
    </row>
    <row r="6439" spans="1:2" x14ac:dyDescent="0.25">
      <c r="A6439">
        <v>11546</v>
      </c>
      <c r="B6439">
        <v>0</v>
      </c>
    </row>
    <row r="6440" spans="1:2" x14ac:dyDescent="0.25">
      <c r="A6440">
        <v>11548</v>
      </c>
      <c r="B6440">
        <v>0</v>
      </c>
    </row>
    <row r="6441" spans="1:2" x14ac:dyDescent="0.25">
      <c r="A6441">
        <v>11549</v>
      </c>
      <c r="B6441">
        <v>0</v>
      </c>
    </row>
    <row r="6442" spans="1:2" x14ac:dyDescent="0.25">
      <c r="A6442">
        <v>11550</v>
      </c>
      <c r="B6442">
        <v>0</v>
      </c>
    </row>
    <row r="6443" spans="1:2" x14ac:dyDescent="0.25">
      <c r="A6443">
        <v>11551</v>
      </c>
      <c r="B6443">
        <v>0</v>
      </c>
    </row>
    <row r="6444" spans="1:2" x14ac:dyDescent="0.25">
      <c r="A6444">
        <v>11552</v>
      </c>
      <c r="B6444">
        <v>0</v>
      </c>
    </row>
    <row r="6445" spans="1:2" x14ac:dyDescent="0.25">
      <c r="A6445">
        <v>11553</v>
      </c>
      <c r="B6445">
        <v>0</v>
      </c>
    </row>
    <row r="6446" spans="1:2" x14ac:dyDescent="0.25">
      <c r="A6446">
        <v>11555</v>
      </c>
      <c r="B6446">
        <v>0</v>
      </c>
    </row>
    <row r="6447" spans="1:2" x14ac:dyDescent="0.25">
      <c r="A6447">
        <v>11556</v>
      </c>
      <c r="B6447">
        <v>0</v>
      </c>
    </row>
    <row r="6448" spans="1:2" x14ac:dyDescent="0.25">
      <c r="A6448">
        <v>11557</v>
      </c>
      <c r="B6448">
        <v>0</v>
      </c>
    </row>
    <row r="6449" spans="1:2" x14ac:dyDescent="0.25">
      <c r="A6449">
        <v>11559</v>
      </c>
      <c r="B6449">
        <v>0</v>
      </c>
    </row>
    <row r="6450" spans="1:2" x14ac:dyDescent="0.25">
      <c r="A6450">
        <v>11560</v>
      </c>
      <c r="B6450">
        <v>0</v>
      </c>
    </row>
    <row r="6451" spans="1:2" x14ac:dyDescent="0.25">
      <c r="A6451">
        <v>11561</v>
      </c>
      <c r="B6451">
        <v>0</v>
      </c>
    </row>
    <row r="6452" spans="1:2" x14ac:dyDescent="0.25">
      <c r="A6452">
        <v>11562</v>
      </c>
      <c r="B6452">
        <v>0</v>
      </c>
    </row>
    <row r="6453" spans="1:2" x14ac:dyDescent="0.25">
      <c r="A6453">
        <v>11563</v>
      </c>
      <c r="B6453">
        <v>0</v>
      </c>
    </row>
    <row r="6454" spans="1:2" x14ac:dyDescent="0.25">
      <c r="A6454">
        <v>11564</v>
      </c>
      <c r="B6454">
        <v>0</v>
      </c>
    </row>
    <row r="6455" spans="1:2" x14ac:dyDescent="0.25">
      <c r="A6455">
        <v>11567</v>
      </c>
      <c r="B6455">
        <v>0</v>
      </c>
    </row>
    <row r="6456" spans="1:2" x14ac:dyDescent="0.25">
      <c r="A6456">
        <v>11568</v>
      </c>
      <c r="B6456">
        <v>0</v>
      </c>
    </row>
    <row r="6457" spans="1:2" x14ac:dyDescent="0.25">
      <c r="A6457">
        <v>11570</v>
      </c>
      <c r="B6457">
        <v>0</v>
      </c>
    </row>
    <row r="6458" spans="1:2" x14ac:dyDescent="0.25">
      <c r="A6458">
        <v>11571</v>
      </c>
      <c r="B6458">
        <v>0</v>
      </c>
    </row>
    <row r="6459" spans="1:2" x14ac:dyDescent="0.25">
      <c r="A6459">
        <v>11573</v>
      </c>
      <c r="B6459">
        <v>0</v>
      </c>
    </row>
    <row r="6460" spans="1:2" x14ac:dyDescent="0.25">
      <c r="A6460">
        <v>11574</v>
      </c>
      <c r="B6460">
        <v>0</v>
      </c>
    </row>
    <row r="6461" spans="1:2" x14ac:dyDescent="0.25">
      <c r="A6461">
        <v>11576</v>
      </c>
      <c r="B6461">
        <v>0</v>
      </c>
    </row>
    <row r="6462" spans="1:2" x14ac:dyDescent="0.25">
      <c r="A6462">
        <v>11578</v>
      </c>
      <c r="B6462">
        <v>0</v>
      </c>
    </row>
    <row r="6463" spans="1:2" x14ac:dyDescent="0.25">
      <c r="A6463">
        <v>11579</v>
      </c>
      <c r="B6463">
        <v>0</v>
      </c>
    </row>
    <row r="6464" spans="1:2" x14ac:dyDescent="0.25">
      <c r="A6464">
        <v>11581</v>
      </c>
      <c r="B6464">
        <v>0</v>
      </c>
    </row>
    <row r="6465" spans="1:2" x14ac:dyDescent="0.25">
      <c r="A6465">
        <v>11582</v>
      </c>
      <c r="B6465">
        <v>0</v>
      </c>
    </row>
    <row r="6466" spans="1:2" x14ac:dyDescent="0.25">
      <c r="A6466">
        <v>11583</v>
      </c>
      <c r="B6466">
        <v>0</v>
      </c>
    </row>
    <row r="6467" spans="1:2" x14ac:dyDescent="0.25">
      <c r="A6467">
        <v>11584</v>
      </c>
      <c r="B6467">
        <v>0</v>
      </c>
    </row>
    <row r="6468" spans="1:2" x14ac:dyDescent="0.25">
      <c r="A6468">
        <v>11585</v>
      </c>
      <c r="B6468">
        <v>0</v>
      </c>
    </row>
    <row r="6469" spans="1:2" x14ac:dyDescent="0.25">
      <c r="A6469">
        <v>11587</v>
      </c>
      <c r="B6469">
        <v>0</v>
      </c>
    </row>
    <row r="6470" spans="1:2" x14ac:dyDescent="0.25">
      <c r="A6470">
        <v>11588</v>
      </c>
      <c r="B6470">
        <v>0</v>
      </c>
    </row>
    <row r="6471" spans="1:2" x14ac:dyDescent="0.25">
      <c r="A6471">
        <v>11590</v>
      </c>
      <c r="B6471">
        <v>0</v>
      </c>
    </row>
    <row r="6472" spans="1:2" x14ac:dyDescent="0.25">
      <c r="A6472">
        <v>11592</v>
      </c>
      <c r="B6472">
        <v>0</v>
      </c>
    </row>
    <row r="6473" spans="1:2" x14ac:dyDescent="0.25">
      <c r="A6473">
        <v>11593</v>
      </c>
      <c r="B6473">
        <v>3</v>
      </c>
    </row>
    <row r="6474" spans="1:2" x14ac:dyDescent="0.25">
      <c r="A6474">
        <v>11595</v>
      </c>
      <c r="B6474">
        <v>0</v>
      </c>
    </row>
    <row r="6475" spans="1:2" x14ac:dyDescent="0.25">
      <c r="A6475">
        <v>11597</v>
      </c>
      <c r="B6475">
        <v>0</v>
      </c>
    </row>
    <row r="6476" spans="1:2" x14ac:dyDescent="0.25">
      <c r="A6476">
        <v>11599</v>
      </c>
      <c r="B6476">
        <v>0</v>
      </c>
    </row>
    <row r="6477" spans="1:2" x14ac:dyDescent="0.25">
      <c r="A6477">
        <v>11600</v>
      </c>
      <c r="B6477">
        <v>0</v>
      </c>
    </row>
    <row r="6478" spans="1:2" x14ac:dyDescent="0.25">
      <c r="A6478">
        <v>11601</v>
      </c>
      <c r="B6478">
        <v>0</v>
      </c>
    </row>
    <row r="6479" spans="1:2" x14ac:dyDescent="0.25">
      <c r="A6479">
        <v>11602</v>
      </c>
      <c r="B6479">
        <v>0</v>
      </c>
    </row>
    <row r="6480" spans="1:2" x14ac:dyDescent="0.25">
      <c r="A6480">
        <v>11603</v>
      </c>
      <c r="B6480">
        <v>0</v>
      </c>
    </row>
    <row r="6481" spans="1:2" x14ac:dyDescent="0.25">
      <c r="A6481">
        <v>11604</v>
      </c>
      <c r="B6481">
        <v>0</v>
      </c>
    </row>
    <row r="6482" spans="1:2" x14ac:dyDescent="0.25">
      <c r="A6482">
        <v>11605</v>
      </c>
      <c r="B6482">
        <v>0</v>
      </c>
    </row>
    <row r="6483" spans="1:2" x14ac:dyDescent="0.25">
      <c r="A6483">
        <v>11606</v>
      </c>
      <c r="B6483">
        <v>0</v>
      </c>
    </row>
    <row r="6484" spans="1:2" x14ac:dyDescent="0.25">
      <c r="A6484">
        <v>11607</v>
      </c>
      <c r="B6484">
        <v>0</v>
      </c>
    </row>
    <row r="6485" spans="1:2" x14ac:dyDescent="0.25">
      <c r="A6485">
        <v>11608</v>
      </c>
      <c r="B6485">
        <v>0</v>
      </c>
    </row>
    <row r="6486" spans="1:2" x14ac:dyDescent="0.25">
      <c r="A6486">
        <v>11609</v>
      </c>
      <c r="B6486">
        <v>0</v>
      </c>
    </row>
    <row r="6487" spans="1:2" x14ac:dyDescent="0.25">
      <c r="A6487">
        <v>11610</v>
      </c>
      <c r="B6487">
        <v>0</v>
      </c>
    </row>
    <row r="6488" spans="1:2" x14ac:dyDescent="0.25">
      <c r="A6488">
        <v>11611</v>
      </c>
      <c r="B6488">
        <v>0</v>
      </c>
    </row>
    <row r="6489" spans="1:2" x14ac:dyDescent="0.25">
      <c r="A6489">
        <v>11612</v>
      </c>
      <c r="B6489">
        <v>0</v>
      </c>
    </row>
    <row r="6490" spans="1:2" x14ac:dyDescent="0.25">
      <c r="A6490">
        <v>11613</v>
      </c>
      <c r="B6490">
        <v>0</v>
      </c>
    </row>
    <row r="6491" spans="1:2" x14ac:dyDescent="0.25">
      <c r="A6491">
        <v>11614</v>
      </c>
      <c r="B6491">
        <v>0</v>
      </c>
    </row>
    <row r="6492" spans="1:2" x14ac:dyDescent="0.25">
      <c r="A6492">
        <v>11615</v>
      </c>
      <c r="B6492">
        <v>0</v>
      </c>
    </row>
    <row r="6493" spans="1:2" x14ac:dyDescent="0.25">
      <c r="A6493">
        <v>11616</v>
      </c>
      <c r="B6493">
        <v>0</v>
      </c>
    </row>
    <row r="6494" spans="1:2" x14ac:dyDescent="0.25">
      <c r="A6494">
        <v>11617</v>
      </c>
      <c r="B6494">
        <v>0</v>
      </c>
    </row>
    <row r="6495" spans="1:2" x14ac:dyDescent="0.25">
      <c r="A6495">
        <v>11618</v>
      </c>
      <c r="B6495">
        <v>0</v>
      </c>
    </row>
    <row r="6496" spans="1:2" x14ac:dyDescent="0.25">
      <c r="A6496">
        <v>11619</v>
      </c>
      <c r="B6496">
        <v>0</v>
      </c>
    </row>
    <row r="6497" spans="1:2" x14ac:dyDescent="0.25">
      <c r="A6497">
        <v>11621</v>
      </c>
      <c r="B6497">
        <v>0</v>
      </c>
    </row>
    <row r="6498" spans="1:2" x14ac:dyDescent="0.25">
      <c r="A6498">
        <v>11623</v>
      </c>
      <c r="B6498">
        <v>0</v>
      </c>
    </row>
    <row r="6499" spans="1:2" x14ac:dyDescent="0.25">
      <c r="A6499">
        <v>11626</v>
      </c>
      <c r="B6499">
        <v>0</v>
      </c>
    </row>
    <row r="6500" spans="1:2" x14ac:dyDescent="0.25">
      <c r="A6500">
        <v>11627</v>
      </c>
      <c r="B6500">
        <v>0</v>
      </c>
    </row>
    <row r="6501" spans="1:2" x14ac:dyDescent="0.25">
      <c r="A6501">
        <v>11628</v>
      </c>
      <c r="B6501">
        <v>0</v>
      </c>
    </row>
    <row r="6502" spans="1:2" x14ac:dyDescent="0.25">
      <c r="A6502">
        <v>11629</v>
      </c>
      <c r="B6502">
        <v>0</v>
      </c>
    </row>
    <row r="6503" spans="1:2" x14ac:dyDescent="0.25">
      <c r="A6503">
        <v>11631</v>
      </c>
      <c r="B6503">
        <v>0</v>
      </c>
    </row>
    <row r="6504" spans="1:2" x14ac:dyDescent="0.25">
      <c r="A6504">
        <v>11633</v>
      </c>
      <c r="B6504">
        <v>0</v>
      </c>
    </row>
    <row r="6505" spans="1:2" x14ac:dyDescent="0.25">
      <c r="A6505">
        <v>11635</v>
      </c>
      <c r="B6505">
        <v>0</v>
      </c>
    </row>
    <row r="6506" spans="1:2" x14ac:dyDescent="0.25">
      <c r="A6506">
        <v>11637</v>
      </c>
      <c r="B6506">
        <v>0</v>
      </c>
    </row>
    <row r="6507" spans="1:2" x14ac:dyDescent="0.25">
      <c r="A6507">
        <v>11638</v>
      </c>
      <c r="B6507">
        <v>0</v>
      </c>
    </row>
    <row r="6508" spans="1:2" x14ac:dyDescent="0.25">
      <c r="A6508">
        <v>11639</v>
      </c>
      <c r="B6508">
        <v>0</v>
      </c>
    </row>
    <row r="6509" spans="1:2" x14ac:dyDescent="0.25">
      <c r="A6509">
        <v>11640</v>
      </c>
      <c r="B6509">
        <v>0</v>
      </c>
    </row>
    <row r="6510" spans="1:2" x14ac:dyDescent="0.25">
      <c r="A6510">
        <v>11644</v>
      </c>
      <c r="B6510">
        <v>0</v>
      </c>
    </row>
    <row r="6511" spans="1:2" x14ac:dyDescent="0.25">
      <c r="A6511">
        <v>11645</v>
      </c>
      <c r="B6511">
        <v>0</v>
      </c>
    </row>
    <row r="6512" spans="1:2" x14ac:dyDescent="0.25">
      <c r="A6512">
        <v>11646</v>
      </c>
      <c r="B6512">
        <v>0</v>
      </c>
    </row>
    <row r="6513" spans="1:2" x14ac:dyDescent="0.25">
      <c r="A6513">
        <v>11647</v>
      </c>
      <c r="B6513">
        <v>0</v>
      </c>
    </row>
    <row r="6514" spans="1:2" x14ac:dyDescent="0.25">
      <c r="A6514">
        <v>11648</v>
      </c>
      <c r="B6514">
        <v>0</v>
      </c>
    </row>
    <row r="6515" spans="1:2" x14ac:dyDescent="0.25">
      <c r="A6515">
        <v>11649</v>
      </c>
      <c r="B6515">
        <v>0</v>
      </c>
    </row>
    <row r="6516" spans="1:2" x14ac:dyDescent="0.25">
      <c r="A6516">
        <v>11650</v>
      </c>
      <c r="B6516">
        <v>0</v>
      </c>
    </row>
    <row r="6517" spans="1:2" x14ac:dyDescent="0.25">
      <c r="A6517">
        <v>11651</v>
      </c>
      <c r="B6517">
        <v>0</v>
      </c>
    </row>
    <row r="6518" spans="1:2" x14ac:dyDescent="0.25">
      <c r="A6518">
        <v>11652</v>
      </c>
      <c r="B6518">
        <v>0</v>
      </c>
    </row>
    <row r="6519" spans="1:2" x14ac:dyDescent="0.25">
      <c r="A6519">
        <v>11653</v>
      </c>
      <c r="B6519">
        <v>0</v>
      </c>
    </row>
    <row r="6520" spans="1:2" x14ac:dyDescent="0.25">
      <c r="A6520">
        <v>11654</v>
      </c>
      <c r="B6520">
        <v>0</v>
      </c>
    </row>
    <row r="6521" spans="1:2" x14ac:dyDescent="0.25">
      <c r="A6521">
        <v>11656</v>
      </c>
      <c r="B6521">
        <v>0</v>
      </c>
    </row>
    <row r="6522" spans="1:2" x14ac:dyDescent="0.25">
      <c r="A6522">
        <v>11658</v>
      </c>
      <c r="B6522">
        <v>0</v>
      </c>
    </row>
    <row r="6523" spans="1:2" x14ac:dyDescent="0.25">
      <c r="A6523">
        <v>11660</v>
      </c>
      <c r="B6523">
        <v>0</v>
      </c>
    </row>
    <row r="6524" spans="1:2" x14ac:dyDescent="0.25">
      <c r="A6524">
        <v>11661</v>
      </c>
      <c r="B6524">
        <v>0</v>
      </c>
    </row>
    <row r="6525" spans="1:2" x14ac:dyDescent="0.25">
      <c r="A6525">
        <v>11662</v>
      </c>
      <c r="B6525">
        <v>0</v>
      </c>
    </row>
    <row r="6526" spans="1:2" x14ac:dyDescent="0.25">
      <c r="A6526">
        <v>11663</v>
      </c>
      <c r="B6526">
        <v>0</v>
      </c>
    </row>
    <row r="6527" spans="1:2" x14ac:dyDescent="0.25">
      <c r="A6527">
        <v>11664</v>
      </c>
      <c r="B6527">
        <v>0</v>
      </c>
    </row>
    <row r="6528" spans="1:2" x14ac:dyDescent="0.25">
      <c r="A6528">
        <v>11665</v>
      </c>
      <c r="B6528">
        <v>0</v>
      </c>
    </row>
    <row r="6529" spans="1:2" x14ac:dyDescent="0.25">
      <c r="A6529">
        <v>11666</v>
      </c>
      <c r="B6529">
        <v>0</v>
      </c>
    </row>
    <row r="6530" spans="1:2" x14ac:dyDescent="0.25">
      <c r="A6530">
        <v>11667</v>
      </c>
      <c r="B6530">
        <v>0</v>
      </c>
    </row>
    <row r="6531" spans="1:2" x14ac:dyDescent="0.25">
      <c r="A6531">
        <v>11668</v>
      </c>
      <c r="B6531">
        <v>0</v>
      </c>
    </row>
    <row r="6532" spans="1:2" x14ac:dyDescent="0.25">
      <c r="A6532">
        <v>11669</v>
      </c>
      <c r="B6532">
        <v>0</v>
      </c>
    </row>
    <row r="6533" spans="1:2" x14ac:dyDescent="0.25">
      <c r="A6533">
        <v>11670</v>
      </c>
      <c r="B6533">
        <v>0</v>
      </c>
    </row>
    <row r="6534" spans="1:2" x14ac:dyDescent="0.25">
      <c r="A6534">
        <v>11671</v>
      </c>
      <c r="B6534">
        <v>0</v>
      </c>
    </row>
    <row r="6535" spans="1:2" x14ac:dyDescent="0.25">
      <c r="A6535">
        <v>11672</v>
      </c>
      <c r="B6535">
        <v>0</v>
      </c>
    </row>
    <row r="6536" spans="1:2" x14ac:dyDescent="0.25">
      <c r="A6536">
        <v>11673</v>
      </c>
      <c r="B6536">
        <v>0</v>
      </c>
    </row>
    <row r="6537" spans="1:2" x14ac:dyDescent="0.25">
      <c r="A6537">
        <v>11674</v>
      </c>
      <c r="B6537">
        <v>0</v>
      </c>
    </row>
    <row r="6538" spans="1:2" x14ac:dyDescent="0.25">
      <c r="A6538">
        <v>11675</v>
      </c>
      <c r="B6538">
        <v>0</v>
      </c>
    </row>
    <row r="6539" spans="1:2" x14ac:dyDescent="0.25">
      <c r="A6539">
        <v>11676</v>
      </c>
      <c r="B6539">
        <v>0</v>
      </c>
    </row>
    <row r="6540" spans="1:2" x14ac:dyDescent="0.25">
      <c r="A6540">
        <v>11677</v>
      </c>
      <c r="B6540">
        <v>0</v>
      </c>
    </row>
    <row r="6541" spans="1:2" x14ac:dyDescent="0.25">
      <c r="A6541">
        <v>11678</v>
      </c>
      <c r="B6541">
        <v>0</v>
      </c>
    </row>
    <row r="6542" spans="1:2" x14ac:dyDescent="0.25">
      <c r="A6542">
        <v>11679</v>
      </c>
      <c r="B6542">
        <v>0</v>
      </c>
    </row>
    <row r="6543" spans="1:2" x14ac:dyDescent="0.25">
      <c r="A6543">
        <v>11680</v>
      </c>
      <c r="B6543">
        <v>0</v>
      </c>
    </row>
    <row r="6544" spans="1:2" x14ac:dyDescent="0.25">
      <c r="A6544">
        <v>11681</v>
      </c>
      <c r="B6544">
        <v>0</v>
      </c>
    </row>
    <row r="6545" spans="1:2" x14ac:dyDescent="0.25">
      <c r="A6545">
        <v>11682</v>
      </c>
      <c r="B6545">
        <v>0</v>
      </c>
    </row>
    <row r="6546" spans="1:2" x14ac:dyDescent="0.25">
      <c r="A6546">
        <v>11683</v>
      </c>
      <c r="B6546">
        <v>0</v>
      </c>
    </row>
    <row r="6547" spans="1:2" x14ac:dyDescent="0.25">
      <c r="A6547">
        <v>11684</v>
      </c>
      <c r="B6547">
        <v>0</v>
      </c>
    </row>
    <row r="6548" spans="1:2" x14ac:dyDescent="0.25">
      <c r="A6548">
        <v>11685</v>
      </c>
      <c r="B6548">
        <v>0</v>
      </c>
    </row>
    <row r="6549" spans="1:2" x14ac:dyDescent="0.25">
      <c r="A6549">
        <v>11686</v>
      </c>
      <c r="B6549">
        <v>0</v>
      </c>
    </row>
    <row r="6550" spans="1:2" x14ac:dyDescent="0.25">
      <c r="A6550">
        <v>11687</v>
      </c>
      <c r="B6550">
        <v>0</v>
      </c>
    </row>
    <row r="6551" spans="1:2" x14ac:dyDescent="0.25">
      <c r="A6551">
        <v>11688</v>
      </c>
      <c r="B6551">
        <v>0</v>
      </c>
    </row>
    <row r="6552" spans="1:2" x14ac:dyDescent="0.25">
      <c r="A6552">
        <v>11689</v>
      </c>
      <c r="B6552">
        <v>0</v>
      </c>
    </row>
    <row r="6553" spans="1:2" x14ac:dyDescent="0.25">
      <c r="A6553">
        <v>11690</v>
      </c>
      <c r="B6553">
        <v>0</v>
      </c>
    </row>
    <row r="6554" spans="1:2" x14ac:dyDescent="0.25">
      <c r="A6554">
        <v>11691</v>
      </c>
      <c r="B6554">
        <v>0</v>
      </c>
    </row>
    <row r="6555" spans="1:2" x14ac:dyDescent="0.25">
      <c r="A6555">
        <v>11692</v>
      </c>
      <c r="B6555">
        <v>0</v>
      </c>
    </row>
    <row r="6556" spans="1:2" x14ac:dyDescent="0.25">
      <c r="A6556">
        <v>11693</v>
      </c>
      <c r="B6556">
        <v>0</v>
      </c>
    </row>
    <row r="6557" spans="1:2" x14ac:dyDescent="0.25">
      <c r="A6557">
        <v>11694</v>
      </c>
      <c r="B6557">
        <v>0</v>
      </c>
    </row>
    <row r="6558" spans="1:2" x14ac:dyDescent="0.25">
      <c r="A6558">
        <v>11695</v>
      </c>
      <c r="B6558">
        <v>0</v>
      </c>
    </row>
    <row r="6559" spans="1:2" x14ac:dyDescent="0.25">
      <c r="A6559">
        <v>11696</v>
      </c>
      <c r="B6559">
        <v>0</v>
      </c>
    </row>
    <row r="6560" spans="1:2" x14ac:dyDescent="0.25">
      <c r="A6560">
        <v>11697</v>
      </c>
      <c r="B6560">
        <v>0</v>
      </c>
    </row>
    <row r="6561" spans="1:2" x14ac:dyDescent="0.25">
      <c r="A6561">
        <v>11698</v>
      </c>
      <c r="B6561">
        <v>0</v>
      </c>
    </row>
    <row r="6562" spans="1:2" x14ac:dyDescent="0.25">
      <c r="A6562">
        <v>11699</v>
      </c>
      <c r="B6562">
        <v>0</v>
      </c>
    </row>
    <row r="6563" spans="1:2" x14ac:dyDescent="0.25">
      <c r="A6563">
        <v>11700</v>
      </c>
      <c r="B6563">
        <v>0</v>
      </c>
    </row>
    <row r="6564" spans="1:2" x14ac:dyDescent="0.25">
      <c r="A6564">
        <v>11701</v>
      </c>
      <c r="B6564">
        <v>0</v>
      </c>
    </row>
    <row r="6565" spans="1:2" x14ac:dyDescent="0.25">
      <c r="A6565">
        <v>11702</v>
      </c>
      <c r="B6565">
        <v>0</v>
      </c>
    </row>
    <row r="6566" spans="1:2" x14ac:dyDescent="0.25">
      <c r="A6566">
        <v>11703</v>
      </c>
      <c r="B6566">
        <v>0</v>
      </c>
    </row>
    <row r="6567" spans="1:2" x14ac:dyDescent="0.25">
      <c r="A6567">
        <v>11704</v>
      </c>
      <c r="B6567">
        <v>0</v>
      </c>
    </row>
    <row r="6568" spans="1:2" x14ac:dyDescent="0.25">
      <c r="A6568">
        <v>11705</v>
      </c>
      <c r="B6568">
        <v>0</v>
      </c>
    </row>
    <row r="6569" spans="1:2" x14ac:dyDescent="0.25">
      <c r="A6569">
        <v>11706</v>
      </c>
      <c r="B6569">
        <v>0</v>
      </c>
    </row>
    <row r="6570" spans="1:2" x14ac:dyDescent="0.25">
      <c r="A6570">
        <v>11707</v>
      </c>
      <c r="B6570">
        <v>0</v>
      </c>
    </row>
    <row r="6571" spans="1:2" x14ac:dyDescent="0.25">
      <c r="A6571">
        <v>11708</v>
      </c>
      <c r="B6571">
        <v>0</v>
      </c>
    </row>
    <row r="6572" spans="1:2" x14ac:dyDescent="0.25">
      <c r="A6572">
        <v>11709</v>
      </c>
      <c r="B6572">
        <v>0</v>
      </c>
    </row>
    <row r="6573" spans="1:2" x14ac:dyDescent="0.25">
      <c r="A6573">
        <v>11710</v>
      </c>
      <c r="B6573">
        <v>0</v>
      </c>
    </row>
    <row r="6574" spans="1:2" x14ac:dyDescent="0.25">
      <c r="A6574">
        <v>11711</v>
      </c>
      <c r="B6574">
        <v>0</v>
      </c>
    </row>
    <row r="6575" spans="1:2" x14ac:dyDescent="0.25">
      <c r="A6575">
        <v>11712</v>
      </c>
      <c r="B6575">
        <v>0</v>
      </c>
    </row>
    <row r="6576" spans="1:2" x14ac:dyDescent="0.25">
      <c r="A6576">
        <v>11713</v>
      </c>
      <c r="B6576">
        <v>0</v>
      </c>
    </row>
    <row r="6577" spans="1:2" x14ac:dyDescent="0.25">
      <c r="A6577">
        <v>11714</v>
      </c>
      <c r="B6577">
        <v>0</v>
      </c>
    </row>
    <row r="6578" spans="1:2" x14ac:dyDescent="0.25">
      <c r="A6578">
        <v>11715</v>
      </c>
      <c r="B6578">
        <v>0</v>
      </c>
    </row>
    <row r="6579" spans="1:2" x14ac:dyDescent="0.25">
      <c r="A6579">
        <v>11716</v>
      </c>
      <c r="B6579">
        <v>0</v>
      </c>
    </row>
    <row r="6580" spans="1:2" x14ac:dyDescent="0.25">
      <c r="A6580">
        <v>11717</v>
      </c>
      <c r="B6580">
        <v>0</v>
      </c>
    </row>
    <row r="6581" spans="1:2" x14ac:dyDescent="0.25">
      <c r="A6581">
        <v>11718</v>
      </c>
      <c r="B6581">
        <v>0</v>
      </c>
    </row>
    <row r="6582" spans="1:2" x14ac:dyDescent="0.25">
      <c r="A6582">
        <v>11719</v>
      </c>
      <c r="B6582">
        <v>0</v>
      </c>
    </row>
    <row r="6583" spans="1:2" x14ac:dyDescent="0.25">
      <c r="A6583">
        <v>11721</v>
      </c>
      <c r="B6583">
        <v>0</v>
      </c>
    </row>
    <row r="6584" spans="1:2" x14ac:dyDescent="0.25">
      <c r="A6584">
        <v>11766</v>
      </c>
      <c r="B6584">
        <v>0</v>
      </c>
    </row>
    <row r="6585" spans="1:2" x14ac:dyDescent="0.25">
      <c r="A6585">
        <v>11768</v>
      </c>
      <c r="B6585">
        <v>0</v>
      </c>
    </row>
    <row r="6586" spans="1:2" x14ac:dyDescent="0.25">
      <c r="A6586">
        <v>11769</v>
      </c>
      <c r="B6586">
        <v>0</v>
      </c>
    </row>
    <row r="6587" spans="1:2" x14ac:dyDescent="0.25">
      <c r="A6587">
        <v>11771</v>
      </c>
      <c r="B6587">
        <v>0</v>
      </c>
    </row>
    <row r="6588" spans="1:2" x14ac:dyDescent="0.25">
      <c r="A6588">
        <v>11773</v>
      </c>
      <c r="B6588">
        <v>0</v>
      </c>
    </row>
    <row r="6589" spans="1:2" x14ac:dyDescent="0.25">
      <c r="A6589">
        <v>11775</v>
      </c>
      <c r="B6589">
        <v>0</v>
      </c>
    </row>
    <row r="6590" spans="1:2" x14ac:dyDescent="0.25">
      <c r="A6590">
        <v>11777</v>
      </c>
      <c r="B6590">
        <v>0</v>
      </c>
    </row>
    <row r="6591" spans="1:2" x14ac:dyDescent="0.25">
      <c r="A6591">
        <v>11779</v>
      </c>
      <c r="B6591">
        <v>0</v>
      </c>
    </row>
    <row r="6592" spans="1:2" x14ac:dyDescent="0.25">
      <c r="A6592">
        <v>11781</v>
      </c>
      <c r="B6592">
        <v>0</v>
      </c>
    </row>
    <row r="6593" spans="1:2" x14ac:dyDescent="0.25">
      <c r="A6593">
        <v>11783</v>
      </c>
      <c r="B6593">
        <v>0</v>
      </c>
    </row>
    <row r="6594" spans="1:2" x14ac:dyDescent="0.25">
      <c r="A6594">
        <v>11785</v>
      </c>
      <c r="B6594">
        <v>0</v>
      </c>
    </row>
    <row r="6595" spans="1:2" x14ac:dyDescent="0.25">
      <c r="A6595">
        <v>11786</v>
      </c>
      <c r="B6595">
        <v>0</v>
      </c>
    </row>
    <row r="6596" spans="1:2" x14ac:dyDescent="0.25">
      <c r="A6596">
        <v>11788</v>
      </c>
      <c r="B6596">
        <v>0</v>
      </c>
    </row>
    <row r="6597" spans="1:2" x14ac:dyDescent="0.25">
      <c r="A6597">
        <v>11790</v>
      </c>
      <c r="B6597">
        <v>0</v>
      </c>
    </row>
    <row r="6598" spans="1:2" x14ac:dyDescent="0.25">
      <c r="A6598">
        <v>11792</v>
      </c>
      <c r="B6598">
        <v>0</v>
      </c>
    </row>
    <row r="6599" spans="1:2" x14ac:dyDescent="0.25">
      <c r="A6599">
        <v>11793</v>
      </c>
      <c r="B6599">
        <v>0</v>
      </c>
    </row>
    <row r="6600" spans="1:2" x14ac:dyDescent="0.25">
      <c r="A6600">
        <v>11796</v>
      </c>
      <c r="B6600">
        <v>0</v>
      </c>
    </row>
    <row r="6601" spans="1:2" x14ac:dyDescent="0.25">
      <c r="A6601">
        <v>11798</v>
      </c>
      <c r="B6601">
        <v>0</v>
      </c>
    </row>
    <row r="6602" spans="1:2" x14ac:dyDescent="0.25">
      <c r="A6602">
        <v>11801</v>
      </c>
      <c r="B6602">
        <v>0</v>
      </c>
    </row>
    <row r="6603" spans="1:2" x14ac:dyDescent="0.25">
      <c r="A6603">
        <v>11803</v>
      </c>
      <c r="B6603">
        <v>0</v>
      </c>
    </row>
    <row r="6604" spans="1:2" x14ac:dyDescent="0.25">
      <c r="A6604">
        <v>11805</v>
      </c>
      <c r="B6604">
        <v>0</v>
      </c>
    </row>
    <row r="6605" spans="1:2" x14ac:dyDescent="0.25">
      <c r="A6605">
        <v>11806</v>
      </c>
      <c r="B6605">
        <v>0</v>
      </c>
    </row>
    <row r="6606" spans="1:2" x14ac:dyDescent="0.25">
      <c r="A6606">
        <v>11807</v>
      </c>
      <c r="B6606">
        <v>0</v>
      </c>
    </row>
    <row r="6607" spans="1:2" x14ac:dyDescent="0.25">
      <c r="A6607">
        <v>11809</v>
      </c>
      <c r="B6607">
        <v>0</v>
      </c>
    </row>
    <row r="6608" spans="1:2" x14ac:dyDescent="0.25">
      <c r="A6608">
        <v>11810</v>
      </c>
      <c r="B6608">
        <v>0</v>
      </c>
    </row>
    <row r="6609" spans="1:2" x14ac:dyDescent="0.25">
      <c r="A6609">
        <v>11811</v>
      </c>
      <c r="B6609">
        <v>0</v>
      </c>
    </row>
    <row r="6610" spans="1:2" x14ac:dyDescent="0.25">
      <c r="A6610">
        <v>11812</v>
      </c>
      <c r="B6610">
        <v>0</v>
      </c>
    </row>
    <row r="6611" spans="1:2" x14ac:dyDescent="0.25">
      <c r="A6611">
        <v>11813</v>
      </c>
      <c r="B6611">
        <v>0</v>
      </c>
    </row>
    <row r="6612" spans="1:2" x14ac:dyDescent="0.25">
      <c r="A6612">
        <v>11814</v>
      </c>
      <c r="B6612">
        <v>0</v>
      </c>
    </row>
    <row r="6613" spans="1:2" x14ac:dyDescent="0.25">
      <c r="A6613">
        <v>11815</v>
      </c>
      <c r="B6613">
        <v>0</v>
      </c>
    </row>
    <row r="6614" spans="1:2" x14ac:dyDescent="0.25">
      <c r="A6614">
        <v>11816</v>
      </c>
      <c r="B6614">
        <v>0</v>
      </c>
    </row>
    <row r="6615" spans="1:2" x14ac:dyDescent="0.25">
      <c r="A6615">
        <v>11817</v>
      </c>
      <c r="B6615">
        <v>0</v>
      </c>
    </row>
    <row r="6616" spans="1:2" x14ac:dyDescent="0.25">
      <c r="A6616">
        <v>11818</v>
      </c>
      <c r="B6616">
        <v>0</v>
      </c>
    </row>
    <row r="6617" spans="1:2" x14ac:dyDescent="0.25">
      <c r="A6617">
        <v>11819</v>
      </c>
      <c r="B6617">
        <v>0</v>
      </c>
    </row>
    <row r="6618" spans="1:2" x14ac:dyDescent="0.25">
      <c r="A6618">
        <v>11820</v>
      </c>
      <c r="B6618">
        <v>0</v>
      </c>
    </row>
    <row r="6619" spans="1:2" x14ac:dyDescent="0.25">
      <c r="A6619">
        <v>11821</v>
      </c>
      <c r="B6619">
        <v>0</v>
      </c>
    </row>
    <row r="6620" spans="1:2" x14ac:dyDescent="0.25">
      <c r="A6620">
        <v>11822</v>
      </c>
      <c r="B6620">
        <v>0</v>
      </c>
    </row>
    <row r="6621" spans="1:2" x14ac:dyDescent="0.25">
      <c r="A6621">
        <v>11823</v>
      </c>
      <c r="B6621">
        <v>0</v>
      </c>
    </row>
    <row r="6622" spans="1:2" x14ac:dyDescent="0.25">
      <c r="A6622">
        <v>11824</v>
      </c>
      <c r="B6622">
        <v>0</v>
      </c>
    </row>
    <row r="6623" spans="1:2" x14ac:dyDescent="0.25">
      <c r="A6623">
        <v>11825</v>
      </c>
      <c r="B6623">
        <v>0</v>
      </c>
    </row>
    <row r="6624" spans="1:2" x14ac:dyDescent="0.25">
      <c r="A6624">
        <v>11826</v>
      </c>
      <c r="B6624">
        <v>0</v>
      </c>
    </row>
    <row r="6625" spans="1:2" x14ac:dyDescent="0.25">
      <c r="A6625">
        <v>11827</v>
      </c>
      <c r="B6625">
        <v>0</v>
      </c>
    </row>
    <row r="6626" spans="1:2" x14ac:dyDescent="0.25">
      <c r="A6626">
        <v>11828</v>
      </c>
      <c r="B6626">
        <v>0</v>
      </c>
    </row>
    <row r="6627" spans="1:2" x14ac:dyDescent="0.25">
      <c r="A6627">
        <v>11829</v>
      </c>
      <c r="B6627">
        <v>0</v>
      </c>
    </row>
    <row r="6628" spans="1:2" x14ac:dyDescent="0.25">
      <c r="A6628">
        <v>11830</v>
      </c>
      <c r="B6628">
        <v>0</v>
      </c>
    </row>
    <row r="6629" spans="1:2" x14ac:dyDescent="0.25">
      <c r="A6629">
        <v>11831</v>
      </c>
      <c r="B6629">
        <v>0</v>
      </c>
    </row>
    <row r="6630" spans="1:2" x14ac:dyDescent="0.25">
      <c r="A6630">
        <v>11832</v>
      </c>
      <c r="B6630">
        <v>0</v>
      </c>
    </row>
    <row r="6631" spans="1:2" x14ac:dyDescent="0.25">
      <c r="A6631">
        <v>11833</v>
      </c>
      <c r="B6631">
        <v>0</v>
      </c>
    </row>
    <row r="6632" spans="1:2" x14ac:dyDescent="0.25">
      <c r="A6632">
        <v>11834</v>
      </c>
      <c r="B6632">
        <v>0</v>
      </c>
    </row>
    <row r="6633" spans="1:2" x14ac:dyDescent="0.25">
      <c r="A6633">
        <v>11835</v>
      </c>
      <c r="B6633">
        <v>0</v>
      </c>
    </row>
    <row r="6634" spans="1:2" x14ac:dyDescent="0.25">
      <c r="A6634">
        <v>11836</v>
      </c>
      <c r="B6634">
        <v>0</v>
      </c>
    </row>
    <row r="6635" spans="1:2" x14ac:dyDescent="0.25">
      <c r="A6635">
        <v>11837</v>
      </c>
      <c r="B6635">
        <v>0</v>
      </c>
    </row>
    <row r="6636" spans="1:2" x14ac:dyDescent="0.25">
      <c r="A6636">
        <v>11838</v>
      </c>
      <c r="B6636">
        <v>0</v>
      </c>
    </row>
    <row r="6637" spans="1:2" x14ac:dyDescent="0.25">
      <c r="A6637">
        <v>11839</v>
      </c>
      <c r="B6637">
        <v>0</v>
      </c>
    </row>
    <row r="6638" spans="1:2" x14ac:dyDescent="0.25">
      <c r="A6638">
        <v>11840</v>
      </c>
      <c r="B6638">
        <v>0</v>
      </c>
    </row>
    <row r="6639" spans="1:2" x14ac:dyDescent="0.25">
      <c r="A6639">
        <v>11841</v>
      </c>
      <c r="B6639">
        <v>0</v>
      </c>
    </row>
    <row r="6640" spans="1:2" x14ac:dyDescent="0.25">
      <c r="A6640">
        <v>11842</v>
      </c>
      <c r="B6640">
        <v>0</v>
      </c>
    </row>
    <row r="6641" spans="1:2" x14ac:dyDescent="0.25">
      <c r="A6641">
        <v>11843</v>
      </c>
      <c r="B6641">
        <v>0</v>
      </c>
    </row>
    <row r="6642" spans="1:2" x14ac:dyDescent="0.25">
      <c r="A6642">
        <v>11844</v>
      </c>
      <c r="B6642">
        <v>0</v>
      </c>
    </row>
    <row r="6643" spans="1:2" x14ac:dyDescent="0.25">
      <c r="A6643">
        <v>11845</v>
      </c>
      <c r="B6643">
        <v>0</v>
      </c>
    </row>
    <row r="6644" spans="1:2" x14ac:dyDescent="0.25">
      <c r="A6644">
        <v>11846</v>
      </c>
      <c r="B6644">
        <v>0</v>
      </c>
    </row>
    <row r="6645" spans="1:2" x14ac:dyDescent="0.25">
      <c r="A6645">
        <v>11847</v>
      </c>
      <c r="B6645">
        <v>0</v>
      </c>
    </row>
    <row r="6646" spans="1:2" x14ac:dyDescent="0.25">
      <c r="A6646">
        <v>11848</v>
      </c>
      <c r="B6646">
        <v>0</v>
      </c>
    </row>
    <row r="6647" spans="1:2" x14ac:dyDescent="0.25">
      <c r="A6647">
        <v>11849</v>
      </c>
      <c r="B6647">
        <v>0</v>
      </c>
    </row>
    <row r="6648" spans="1:2" x14ac:dyDescent="0.25">
      <c r="A6648">
        <v>11850</v>
      </c>
      <c r="B6648">
        <v>0</v>
      </c>
    </row>
    <row r="6649" spans="1:2" x14ac:dyDescent="0.25">
      <c r="A6649">
        <v>11851</v>
      </c>
      <c r="B6649">
        <v>0</v>
      </c>
    </row>
    <row r="6650" spans="1:2" x14ac:dyDescent="0.25">
      <c r="A6650">
        <v>11852</v>
      </c>
      <c r="B6650">
        <v>0</v>
      </c>
    </row>
    <row r="6651" spans="1:2" x14ac:dyDescent="0.25">
      <c r="A6651">
        <v>11853</v>
      </c>
      <c r="B6651">
        <v>0</v>
      </c>
    </row>
    <row r="6652" spans="1:2" x14ac:dyDescent="0.25">
      <c r="A6652">
        <v>11854</v>
      </c>
      <c r="B6652">
        <v>0</v>
      </c>
    </row>
    <row r="6653" spans="1:2" x14ac:dyDescent="0.25">
      <c r="A6653">
        <v>11855</v>
      </c>
      <c r="B6653">
        <v>0</v>
      </c>
    </row>
    <row r="6654" spans="1:2" x14ac:dyDescent="0.25">
      <c r="A6654">
        <v>11856</v>
      </c>
      <c r="B6654">
        <v>0</v>
      </c>
    </row>
    <row r="6655" spans="1:2" x14ac:dyDescent="0.25">
      <c r="A6655">
        <v>11857</v>
      </c>
      <c r="B6655">
        <v>0</v>
      </c>
    </row>
    <row r="6656" spans="1:2" x14ac:dyDescent="0.25">
      <c r="A6656">
        <v>11858</v>
      </c>
      <c r="B6656">
        <v>0</v>
      </c>
    </row>
    <row r="6657" spans="1:2" x14ac:dyDescent="0.25">
      <c r="A6657">
        <v>11859</v>
      </c>
      <c r="B6657">
        <v>0</v>
      </c>
    </row>
    <row r="6658" spans="1:2" x14ac:dyDescent="0.25">
      <c r="A6658">
        <v>11860</v>
      </c>
      <c r="B6658">
        <v>0</v>
      </c>
    </row>
    <row r="6659" spans="1:2" x14ac:dyDescent="0.25">
      <c r="A6659">
        <v>11861</v>
      </c>
      <c r="B6659">
        <v>0</v>
      </c>
    </row>
    <row r="6660" spans="1:2" x14ac:dyDescent="0.25">
      <c r="A6660">
        <v>11862</v>
      </c>
      <c r="B6660">
        <v>0</v>
      </c>
    </row>
    <row r="6661" spans="1:2" x14ac:dyDescent="0.25">
      <c r="A6661">
        <v>11863</v>
      </c>
      <c r="B6661">
        <v>0</v>
      </c>
    </row>
    <row r="6662" spans="1:2" x14ac:dyDescent="0.25">
      <c r="A6662">
        <v>11864</v>
      </c>
      <c r="B6662">
        <v>0</v>
      </c>
    </row>
    <row r="6663" spans="1:2" x14ac:dyDescent="0.25">
      <c r="A6663">
        <v>11865</v>
      </c>
      <c r="B6663">
        <v>0</v>
      </c>
    </row>
    <row r="6664" spans="1:2" x14ac:dyDescent="0.25">
      <c r="A6664">
        <v>11866</v>
      </c>
      <c r="B6664">
        <v>0</v>
      </c>
    </row>
    <row r="6665" spans="1:2" x14ac:dyDescent="0.25">
      <c r="A6665">
        <v>11868</v>
      </c>
      <c r="B6665">
        <v>0</v>
      </c>
    </row>
    <row r="6666" spans="1:2" x14ac:dyDescent="0.25">
      <c r="A6666">
        <v>11870</v>
      </c>
      <c r="B6666">
        <v>0</v>
      </c>
    </row>
    <row r="6667" spans="1:2" x14ac:dyDescent="0.25">
      <c r="A6667">
        <v>11872</v>
      </c>
      <c r="B6667">
        <v>0</v>
      </c>
    </row>
    <row r="6668" spans="1:2" x14ac:dyDescent="0.25">
      <c r="A6668">
        <v>11873</v>
      </c>
      <c r="B6668">
        <v>0</v>
      </c>
    </row>
    <row r="6669" spans="1:2" x14ac:dyDescent="0.25">
      <c r="A6669">
        <v>11874</v>
      </c>
      <c r="B6669">
        <v>0</v>
      </c>
    </row>
    <row r="6670" spans="1:2" x14ac:dyDescent="0.25">
      <c r="A6670">
        <v>11876</v>
      </c>
      <c r="B6670">
        <v>0</v>
      </c>
    </row>
    <row r="6671" spans="1:2" x14ac:dyDescent="0.25">
      <c r="A6671">
        <v>11878</v>
      </c>
      <c r="B6671">
        <v>0</v>
      </c>
    </row>
    <row r="6672" spans="1:2" x14ac:dyDescent="0.25">
      <c r="A6672">
        <v>11882</v>
      </c>
      <c r="B6672">
        <v>0</v>
      </c>
    </row>
    <row r="6673" spans="1:2" x14ac:dyDescent="0.25">
      <c r="A6673">
        <v>11883</v>
      </c>
      <c r="B6673">
        <v>0</v>
      </c>
    </row>
    <row r="6674" spans="1:2" x14ac:dyDescent="0.25">
      <c r="A6674">
        <v>11884</v>
      </c>
      <c r="B6674">
        <v>0</v>
      </c>
    </row>
    <row r="6675" spans="1:2" x14ac:dyDescent="0.25">
      <c r="A6675">
        <v>11885</v>
      </c>
      <c r="B6675">
        <v>0</v>
      </c>
    </row>
    <row r="6676" spans="1:2" x14ac:dyDescent="0.25">
      <c r="A6676">
        <v>11886</v>
      </c>
      <c r="B6676">
        <v>0</v>
      </c>
    </row>
    <row r="6677" spans="1:2" x14ac:dyDescent="0.25">
      <c r="A6677">
        <v>11887</v>
      </c>
      <c r="B6677">
        <v>0</v>
      </c>
    </row>
    <row r="6678" spans="1:2" x14ac:dyDescent="0.25">
      <c r="A6678">
        <v>11888</v>
      </c>
      <c r="B6678">
        <v>0</v>
      </c>
    </row>
    <row r="6679" spans="1:2" x14ac:dyDescent="0.25">
      <c r="A6679">
        <v>11889</v>
      </c>
      <c r="B6679">
        <v>0</v>
      </c>
    </row>
    <row r="6680" spans="1:2" x14ac:dyDescent="0.25">
      <c r="A6680">
        <v>11891</v>
      </c>
      <c r="B6680">
        <v>0</v>
      </c>
    </row>
    <row r="6681" spans="1:2" x14ac:dyDescent="0.25">
      <c r="A6681">
        <v>11892</v>
      </c>
      <c r="B6681">
        <v>0</v>
      </c>
    </row>
    <row r="6682" spans="1:2" x14ac:dyDescent="0.25">
      <c r="A6682">
        <v>11893</v>
      </c>
      <c r="B6682">
        <v>0</v>
      </c>
    </row>
    <row r="6683" spans="1:2" x14ac:dyDescent="0.25">
      <c r="A6683">
        <v>11894</v>
      </c>
      <c r="B6683">
        <v>0</v>
      </c>
    </row>
    <row r="6684" spans="1:2" x14ac:dyDescent="0.25">
      <c r="A6684">
        <v>11895</v>
      </c>
      <c r="B6684">
        <v>0</v>
      </c>
    </row>
    <row r="6685" spans="1:2" x14ac:dyDescent="0.25">
      <c r="A6685">
        <v>11896</v>
      </c>
      <c r="B6685">
        <v>0</v>
      </c>
    </row>
    <row r="6686" spans="1:2" x14ac:dyDescent="0.25">
      <c r="A6686">
        <v>11897</v>
      </c>
      <c r="B6686">
        <v>0</v>
      </c>
    </row>
    <row r="6687" spans="1:2" x14ac:dyDescent="0.25">
      <c r="A6687">
        <v>11898</v>
      </c>
      <c r="B6687">
        <v>0</v>
      </c>
    </row>
    <row r="6688" spans="1:2" x14ac:dyDescent="0.25">
      <c r="A6688">
        <v>11900</v>
      </c>
      <c r="B6688">
        <v>0</v>
      </c>
    </row>
    <row r="6689" spans="1:2" x14ac:dyDescent="0.25">
      <c r="A6689">
        <v>11901</v>
      </c>
      <c r="B6689">
        <v>0</v>
      </c>
    </row>
    <row r="6690" spans="1:2" x14ac:dyDescent="0.25">
      <c r="A6690">
        <v>11902</v>
      </c>
      <c r="B6690">
        <v>0</v>
      </c>
    </row>
    <row r="6691" spans="1:2" x14ac:dyDescent="0.25">
      <c r="A6691">
        <v>11903</v>
      </c>
      <c r="B6691">
        <v>0</v>
      </c>
    </row>
    <row r="6692" spans="1:2" x14ac:dyDescent="0.25">
      <c r="A6692">
        <v>11904</v>
      </c>
      <c r="B6692">
        <v>0</v>
      </c>
    </row>
    <row r="6693" spans="1:2" x14ac:dyDescent="0.25">
      <c r="A6693">
        <v>11905</v>
      </c>
      <c r="B6693">
        <v>0</v>
      </c>
    </row>
    <row r="6694" spans="1:2" x14ac:dyDescent="0.25">
      <c r="A6694">
        <v>11906</v>
      </c>
      <c r="B6694">
        <v>0</v>
      </c>
    </row>
    <row r="6695" spans="1:2" x14ac:dyDescent="0.25">
      <c r="A6695">
        <v>11907</v>
      </c>
      <c r="B6695">
        <v>0</v>
      </c>
    </row>
    <row r="6696" spans="1:2" x14ac:dyDescent="0.25">
      <c r="A6696">
        <v>11908</v>
      </c>
      <c r="B6696">
        <v>0</v>
      </c>
    </row>
    <row r="6697" spans="1:2" x14ac:dyDescent="0.25">
      <c r="A6697">
        <v>11909</v>
      </c>
      <c r="B6697">
        <v>0</v>
      </c>
    </row>
    <row r="6698" spans="1:2" x14ac:dyDescent="0.25">
      <c r="A6698">
        <v>11910</v>
      </c>
      <c r="B6698">
        <v>0</v>
      </c>
    </row>
    <row r="6699" spans="1:2" x14ac:dyDescent="0.25">
      <c r="A6699">
        <v>11911</v>
      </c>
      <c r="B6699">
        <v>0</v>
      </c>
    </row>
    <row r="6700" spans="1:2" x14ac:dyDescent="0.25">
      <c r="A6700">
        <v>11914</v>
      </c>
      <c r="B6700">
        <v>0</v>
      </c>
    </row>
    <row r="6701" spans="1:2" x14ac:dyDescent="0.25">
      <c r="A6701">
        <v>11916</v>
      </c>
      <c r="B6701">
        <v>0</v>
      </c>
    </row>
    <row r="6702" spans="1:2" x14ac:dyDescent="0.25">
      <c r="A6702">
        <v>11919</v>
      </c>
      <c r="B6702">
        <v>0</v>
      </c>
    </row>
    <row r="6703" spans="1:2" x14ac:dyDescent="0.25">
      <c r="A6703">
        <v>11920</v>
      </c>
      <c r="B6703">
        <v>0</v>
      </c>
    </row>
    <row r="6704" spans="1:2" x14ac:dyDescent="0.25">
      <c r="A6704">
        <v>11921</v>
      </c>
      <c r="B6704">
        <v>0</v>
      </c>
    </row>
    <row r="6705" spans="1:2" x14ac:dyDescent="0.25">
      <c r="A6705">
        <v>11922</v>
      </c>
      <c r="B6705">
        <v>0</v>
      </c>
    </row>
    <row r="6706" spans="1:2" x14ac:dyDescent="0.25">
      <c r="A6706">
        <v>11924</v>
      </c>
      <c r="B6706">
        <v>0</v>
      </c>
    </row>
    <row r="6707" spans="1:2" x14ac:dyDescent="0.25">
      <c r="A6707">
        <v>11926</v>
      </c>
      <c r="B6707">
        <v>0</v>
      </c>
    </row>
    <row r="6708" spans="1:2" x14ac:dyDescent="0.25">
      <c r="A6708">
        <v>11929</v>
      </c>
      <c r="B6708">
        <v>0</v>
      </c>
    </row>
    <row r="6709" spans="1:2" x14ac:dyDescent="0.25">
      <c r="A6709">
        <v>11932</v>
      </c>
      <c r="B6709">
        <v>0</v>
      </c>
    </row>
    <row r="6710" spans="1:2" x14ac:dyDescent="0.25">
      <c r="A6710">
        <v>11934</v>
      </c>
      <c r="B6710">
        <v>0</v>
      </c>
    </row>
    <row r="6711" spans="1:2" x14ac:dyDescent="0.25">
      <c r="A6711">
        <v>11935</v>
      </c>
      <c r="B6711">
        <v>0</v>
      </c>
    </row>
    <row r="6712" spans="1:2" x14ac:dyDescent="0.25">
      <c r="A6712">
        <v>11936</v>
      </c>
      <c r="B6712">
        <v>0</v>
      </c>
    </row>
    <row r="6713" spans="1:2" x14ac:dyDescent="0.25">
      <c r="A6713">
        <v>11937</v>
      </c>
      <c r="B6713">
        <v>0</v>
      </c>
    </row>
    <row r="6714" spans="1:2" x14ac:dyDescent="0.25">
      <c r="A6714">
        <v>11938</v>
      </c>
      <c r="B6714">
        <v>0</v>
      </c>
    </row>
    <row r="6715" spans="1:2" x14ac:dyDescent="0.25">
      <c r="A6715">
        <v>11939</v>
      </c>
      <c r="B6715">
        <v>0</v>
      </c>
    </row>
    <row r="6716" spans="1:2" x14ac:dyDescent="0.25">
      <c r="A6716">
        <v>11940</v>
      </c>
      <c r="B6716">
        <v>0</v>
      </c>
    </row>
    <row r="6717" spans="1:2" x14ac:dyDescent="0.25">
      <c r="A6717">
        <v>11941</v>
      </c>
      <c r="B6717">
        <v>0</v>
      </c>
    </row>
    <row r="6718" spans="1:2" x14ac:dyDescent="0.25">
      <c r="A6718">
        <v>11942</v>
      </c>
      <c r="B6718">
        <v>0</v>
      </c>
    </row>
    <row r="6719" spans="1:2" x14ac:dyDescent="0.25">
      <c r="A6719">
        <v>11943</v>
      </c>
      <c r="B6719">
        <v>0</v>
      </c>
    </row>
    <row r="6720" spans="1:2" x14ac:dyDescent="0.25">
      <c r="A6720">
        <v>11944</v>
      </c>
      <c r="B6720">
        <v>0</v>
      </c>
    </row>
    <row r="6721" spans="1:2" x14ac:dyDescent="0.25">
      <c r="A6721">
        <v>11945</v>
      </c>
      <c r="B6721">
        <v>0</v>
      </c>
    </row>
    <row r="6722" spans="1:2" x14ac:dyDescent="0.25">
      <c r="A6722">
        <v>11946</v>
      </c>
      <c r="B6722">
        <v>0</v>
      </c>
    </row>
    <row r="6723" spans="1:2" x14ac:dyDescent="0.25">
      <c r="A6723">
        <v>11947</v>
      </c>
      <c r="B6723">
        <v>0</v>
      </c>
    </row>
    <row r="6724" spans="1:2" x14ac:dyDescent="0.25">
      <c r="A6724">
        <v>11948</v>
      </c>
      <c r="B6724">
        <v>0</v>
      </c>
    </row>
    <row r="6725" spans="1:2" x14ac:dyDescent="0.25">
      <c r="A6725">
        <v>11949</v>
      </c>
      <c r="B6725">
        <v>0</v>
      </c>
    </row>
    <row r="6726" spans="1:2" x14ac:dyDescent="0.25">
      <c r="A6726">
        <v>11950</v>
      </c>
      <c r="B6726">
        <v>0</v>
      </c>
    </row>
    <row r="6727" spans="1:2" x14ac:dyDescent="0.25">
      <c r="A6727">
        <v>11951</v>
      </c>
      <c r="B6727">
        <v>0</v>
      </c>
    </row>
    <row r="6728" spans="1:2" x14ac:dyDescent="0.25">
      <c r="A6728">
        <v>11952</v>
      </c>
      <c r="B6728">
        <v>0</v>
      </c>
    </row>
    <row r="6729" spans="1:2" x14ac:dyDescent="0.25">
      <c r="A6729">
        <v>11953</v>
      </c>
      <c r="B6729">
        <v>0</v>
      </c>
    </row>
    <row r="6730" spans="1:2" x14ac:dyDescent="0.25">
      <c r="A6730">
        <v>11954</v>
      </c>
      <c r="B6730">
        <v>0</v>
      </c>
    </row>
    <row r="6731" spans="1:2" x14ac:dyDescent="0.25">
      <c r="A6731">
        <v>11955</v>
      </c>
      <c r="B6731">
        <v>0</v>
      </c>
    </row>
    <row r="6732" spans="1:2" x14ac:dyDescent="0.25">
      <c r="A6732">
        <v>11956</v>
      </c>
      <c r="B6732">
        <v>0</v>
      </c>
    </row>
    <row r="6733" spans="1:2" x14ac:dyDescent="0.25">
      <c r="A6733">
        <v>11957</v>
      </c>
      <c r="B6733">
        <v>0</v>
      </c>
    </row>
    <row r="6734" spans="1:2" x14ac:dyDescent="0.25">
      <c r="A6734">
        <v>11958</v>
      </c>
      <c r="B6734">
        <v>0</v>
      </c>
    </row>
    <row r="6735" spans="1:2" x14ac:dyDescent="0.25">
      <c r="A6735">
        <v>11959</v>
      </c>
      <c r="B6735">
        <v>0</v>
      </c>
    </row>
    <row r="6736" spans="1:2" x14ac:dyDescent="0.25">
      <c r="A6736">
        <v>11960</v>
      </c>
      <c r="B6736">
        <v>0</v>
      </c>
    </row>
    <row r="6737" spans="1:2" x14ac:dyDescent="0.25">
      <c r="A6737">
        <v>11961</v>
      </c>
      <c r="B6737">
        <v>0</v>
      </c>
    </row>
    <row r="6738" spans="1:2" x14ac:dyDescent="0.25">
      <c r="A6738">
        <v>11963</v>
      </c>
      <c r="B6738">
        <v>0</v>
      </c>
    </row>
    <row r="6739" spans="1:2" x14ac:dyDescent="0.25">
      <c r="A6739">
        <v>11964</v>
      </c>
      <c r="B6739">
        <v>0</v>
      </c>
    </row>
    <row r="6740" spans="1:2" x14ac:dyDescent="0.25">
      <c r="A6740">
        <v>11965</v>
      </c>
      <c r="B6740">
        <v>0</v>
      </c>
    </row>
    <row r="6741" spans="1:2" x14ac:dyDescent="0.25">
      <c r="A6741">
        <v>11966</v>
      </c>
      <c r="B6741">
        <v>0</v>
      </c>
    </row>
    <row r="6742" spans="1:2" x14ac:dyDescent="0.25">
      <c r="A6742">
        <v>11967</v>
      </c>
      <c r="B6742">
        <v>0</v>
      </c>
    </row>
    <row r="6743" spans="1:2" x14ac:dyDescent="0.25">
      <c r="A6743">
        <v>11968</v>
      </c>
      <c r="B6743">
        <v>0</v>
      </c>
    </row>
    <row r="6744" spans="1:2" x14ac:dyDescent="0.25">
      <c r="A6744">
        <v>11969</v>
      </c>
      <c r="B6744">
        <v>0</v>
      </c>
    </row>
    <row r="6745" spans="1:2" x14ac:dyDescent="0.25">
      <c r="A6745">
        <v>11970</v>
      </c>
      <c r="B6745">
        <v>0</v>
      </c>
    </row>
    <row r="6746" spans="1:2" x14ac:dyDescent="0.25">
      <c r="A6746">
        <v>11971</v>
      </c>
      <c r="B6746">
        <v>0</v>
      </c>
    </row>
    <row r="6747" spans="1:2" x14ac:dyDescent="0.25">
      <c r="A6747">
        <v>11972</v>
      </c>
      <c r="B6747">
        <v>0</v>
      </c>
    </row>
    <row r="6748" spans="1:2" x14ac:dyDescent="0.25">
      <c r="A6748">
        <v>11973</v>
      </c>
      <c r="B6748">
        <v>0</v>
      </c>
    </row>
    <row r="6749" spans="1:2" x14ac:dyDescent="0.25">
      <c r="A6749">
        <v>11974</v>
      </c>
      <c r="B6749">
        <v>0</v>
      </c>
    </row>
    <row r="6750" spans="1:2" x14ac:dyDescent="0.25">
      <c r="A6750">
        <v>11975</v>
      </c>
      <c r="B6750">
        <v>0</v>
      </c>
    </row>
    <row r="6751" spans="1:2" x14ac:dyDescent="0.25">
      <c r="A6751">
        <v>11976</v>
      </c>
      <c r="B6751">
        <v>0</v>
      </c>
    </row>
    <row r="6752" spans="1:2" x14ac:dyDescent="0.25">
      <c r="A6752">
        <v>11977</v>
      </c>
      <c r="B6752">
        <v>0</v>
      </c>
    </row>
    <row r="6753" spans="1:2" x14ac:dyDescent="0.25">
      <c r="A6753">
        <v>11978</v>
      </c>
      <c r="B6753">
        <v>0</v>
      </c>
    </row>
    <row r="6754" spans="1:2" x14ac:dyDescent="0.25">
      <c r="A6754">
        <v>11979</v>
      </c>
      <c r="B6754">
        <v>0</v>
      </c>
    </row>
    <row r="6755" spans="1:2" x14ac:dyDescent="0.25">
      <c r="A6755">
        <v>11980</v>
      </c>
      <c r="B6755">
        <v>0</v>
      </c>
    </row>
    <row r="6756" spans="1:2" x14ac:dyDescent="0.25">
      <c r="A6756">
        <v>11986</v>
      </c>
      <c r="B6756">
        <v>0</v>
      </c>
    </row>
    <row r="6757" spans="1:2" x14ac:dyDescent="0.25">
      <c r="A6757">
        <v>11987</v>
      </c>
      <c r="B6757">
        <v>0</v>
      </c>
    </row>
    <row r="6758" spans="1:2" x14ac:dyDescent="0.25">
      <c r="A6758">
        <v>11988</v>
      </c>
      <c r="B6758">
        <v>0</v>
      </c>
    </row>
    <row r="6759" spans="1:2" x14ac:dyDescent="0.25">
      <c r="A6759">
        <v>11989</v>
      </c>
      <c r="B6759">
        <v>0</v>
      </c>
    </row>
    <row r="6760" spans="1:2" x14ac:dyDescent="0.25">
      <c r="A6760">
        <v>11990</v>
      </c>
      <c r="B6760">
        <v>0</v>
      </c>
    </row>
    <row r="6761" spans="1:2" x14ac:dyDescent="0.25">
      <c r="A6761">
        <v>12013</v>
      </c>
      <c r="B6761">
        <v>0</v>
      </c>
    </row>
    <row r="6762" spans="1:2" x14ac:dyDescent="0.25">
      <c r="A6762">
        <v>12014</v>
      </c>
      <c r="B6762">
        <v>0</v>
      </c>
    </row>
    <row r="6763" spans="1:2" x14ac:dyDescent="0.25">
      <c r="A6763">
        <v>12015</v>
      </c>
      <c r="B6763">
        <v>0</v>
      </c>
    </row>
    <row r="6764" spans="1:2" x14ac:dyDescent="0.25">
      <c r="A6764">
        <v>12016</v>
      </c>
      <c r="B6764">
        <v>0</v>
      </c>
    </row>
    <row r="6765" spans="1:2" x14ac:dyDescent="0.25">
      <c r="A6765">
        <v>12017</v>
      </c>
      <c r="B6765">
        <v>0</v>
      </c>
    </row>
    <row r="6766" spans="1:2" x14ac:dyDescent="0.25">
      <c r="A6766">
        <v>12018</v>
      </c>
      <c r="B6766">
        <v>0</v>
      </c>
    </row>
    <row r="6767" spans="1:2" x14ac:dyDescent="0.25">
      <c r="A6767">
        <v>12019</v>
      </c>
      <c r="B6767">
        <v>0</v>
      </c>
    </row>
    <row r="6768" spans="1:2" x14ac:dyDescent="0.25">
      <c r="A6768">
        <v>12020</v>
      </c>
      <c r="B6768">
        <v>0</v>
      </c>
    </row>
    <row r="6769" spans="1:2" x14ac:dyDescent="0.25">
      <c r="A6769">
        <v>12021</v>
      </c>
      <c r="B6769">
        <v>0</v>
      </c>
    </row>
    <row r="6770" spans="1:2" x14ac:dyDescent="0.25">
      <c r="A6770">
        <v>12022</v>
      </c>
      <c r="B6770">
        <v>0</v>
      </c>
    </row>
    <row r="6771" spans="1:2" x14ac:dyDescent="0.25">
      <c r="A6771">
        <v>12023</v>
      </c>
      <c r="B6771">
        <v>0</v>
      </c>
    </row>
    <row r="6772" spans="1:2" x14ac:dyDescent="0.25">
      <c r="A6772">
        <v>12026</v>
      </c>
      <c r="B6772">
        <v>0</v>
      </c>
    </row>
    <row r="6773" spans="1:2" x14ac:dyDescent="0.25">
      <c r="A6773">
        <v>12075</v>
      </c>
      <c r="B6773">
        <v>0</v>
      </c>
    </row>
    <row r="6774" spans="1:2" x14ac:dyDescent="0.25">
      <c r="A6774">
        <v>12076</v>
      </c>
      <c r="B6774">
        <v>0</v>
      </c>
    </row>
    <row r="6775" spans="1:2" x14ac:dyDescent="0.25">
      <c r="A6775">
        <v>12077</v>
      </c>
      <c r="B6775">
        <v>0</v>
      </c>
    </row>
    <row r="6776" spans="1:2" x14ac:dyDescent="0.25">
      <c r="A6776">
        <v>12081</v>
      </c>
      <c r="B6776">
        <v>0</v>
      </c>
    </row>
    <row r="6777" spans="1:2" x14ac:dyDescent="0.25">
      <c r="A6777">
        <v>12082</v>
      </c>
      <c r="B6777">
        <v>0</v>
      </c>
    </row>
    <row r="6778" spans="1:2" x14ac:dyDescent="0.25">
      <c r="A6778">
        <v>12083</v>
      </c>
      <c r="B6778">
        <v>0</v>
      </c>
    </row>
    <row r="6779" spans="1:2" x14ac:dyDescent="0.25">
      <c r="A6779">
        <v>12087</v>
      </c>
      <c r="B6779">
        <v>0</v>
      </c>
    </row>
    <row r="6780" spans="1:2" x14ac:dyDescent="0.25">
      <c r="A6780">
        <v>12088</v>
      </c>
      <c r="B6780">
        <v>0</v>
      </c>
    </row>
    <row r="6781" spans="1:2" x14ac:dyDescent="0.25">
      <c r="A6781">
        <v>12089</v>
      </c>
      <c r="B6781">
        <v>0</v>
      </c>
    </row>
    <row r="6782" spans="1:2" x14ac:dyDescent="0.25">
      <c r="A6782">
        <v>12090</v>
      </c>
      <c r="B6782">
        <v>0</v>
      </c>
    </row>
    <row r="6783" spans="1:2" x14ac:dyDescent="0.25">
      <c r="A6783">
        <v>12091</v>
      </c>
      <c r="B6783">
        <v>0</v>
      </c>
    </row>
    <row r="6784" spans="1:2" x14ac:dyDescent="0.25">
      <c r="A6784">
        <v>12092</v>
      </c>
      <c r="B6784">
        <v>0</v>
      </c>
    </row>
    <row r="6785" spans="1:2" x14ac:dyDescent="0.25">
      <c r="A6785">
        <v>12093</v>
      </c>
      <c r="B6785">
        <v>0</v>
      </c>
    </row>
    <row r="6786" spans="1:2" x14ac:dyDescent="0.25">
      <c r="A6786">
        <v>12094</v>
      </c>
      <c r="B6786">
        <v>0</v>
      </c>
    </row>
    <row r="6787" spans="1:2" x14ac:dyDescent="0.25">
      <c r="A6787">
        <v>12095</v>
      </c>
      <c r="B6787">
        <v>0</v>
      </c>
    </row>
    <row r="6788" spans="1:2" x14ac:dyDescent="0.25">
      <c r="A6788">
        <v>12096</v>
      </c>
      <c r="B6788">
        <v>0</v>
      </c>
    </row>
    <row r="6789" spans="1:2" x14ac:dyDescent="0.25">
      <c r="A6789">
        <v>12097</v>
      </c>
      <c r="B6789">
        <v>0</v>
      </c>
    </row>
    <row r="6790" spans="1:2" x14ac:dyDescent="0.25">
      <c r="A6790">
        <v>12098</v>
      </c>
      <c r="B6790">
        <v>0</v>
      </c>
    </row>
    <row r="6791" spans="1:2" x14ac:dyDescent="0.25">
      <c r="A6791">
        <v>12099</v>
      </c>
      <c r="B6791">
        <v>0</v>
      </c>
    </row>
    <row r="6792" spans="1:2" x14ac:dyDescent="0.25">
      <c r="A6792">
        <v>12100</v>
      </c>
      <c r="B6792">
        <v>0</v>
      </c>
    </row>
    <row r="6793" spans="1:2" x14ac:dyDescent="0.25">
      <c r="A6793">
        <v>12101</v>
      </c>
      <c r="B6793">
        <v>0</v>
      </c>
    </row>
    <row r="6794" spans="1:2" x14ac:dyDescent="0.25">
      <c r="A6794">
        <v>12102</v>
      </c>
      <c r="B6794">
        <v>0</v>
      </c>
    </row>
    <row r="6795" spans="1:2" x14ac:dyDescent="0.25">
      <c r="A6795">
        <v>12103</v>
      </c>
      <c r="B6795">
        <v>0</v>
      </c>
    </row>
    <row r="6796" spans="1:2" x14ac:dyDescent="0.25">
      <c r="A6796">
        <v>12104</v>
      </c>
      <c r="B6796">
        <v>0</v>
      </c>
    </row>
    <row r="6797" spans="1:2" x14ac:dyDescent="0.25">
      <c r="A6797">
        <v>12105</v>
      </c>
      <c r="B6797">
        <v>0</v>
      </c>
    </row>
    <row r="6798" spans="1:2" x14ac:dyDescent="0.25">
      <c r="A6798">
        <v>12106</v>
      </c>
      <c r="B6798">
        <v>0</v>
      </c>
    </row>
    <row r="6799" spans="1:2" x14ac:dyDescent="0.25">
      <c r="A6799">
        <v>12116</v>
      </c>
      <c r="B6799">
        <v>0</v>
      </c>
    </row>
    <row r="6800" spans="1:2" x14ac:dyDescent="0.25">
      <c r="A6800">
        <v>12117</v>
      </c>
      <c r="B6800">
        <v>0</v>
      </c>
    </row>
    <row r="6801" spans="1:2" x14ac:dyDescent="0.25">
      <c r="A6801">
        <v>12118</v>
      </c>
      <c r="B6801">
        <v>0</v>
      </c>
    </row>
    <row r="6802" spans="1:2" x14ac:dyDescent="0.25">
      <c r="A6802">
        <v>12119</v>
      </c>
      <c r="B6802">
        <v>0</v>
      </c>
    </row>
    <row r="6803" spans="1:2" x14ac:dyDescent="0.25">
      <c r="A6803">
        <v>12120</v>
      </c>
      <c r="B6803">
        <v>0</v>
      </c>
    </row>
    <row r="6804" spans="1:2" x14ac:dyDescent="0.25">
      <c r="A6804">
        <v>12121</v>
      </c>
      <c r="B6804">
        <v>0</v>
      </c>
    </row>
    <row r="6805" spans="1:2" x14ac:dyDescent="0.25">
      <c r="A6805">
        <v>12122</v>
      </c>
      <c r="B6805">
        <v>0</v>
      </c>
    </row>
    <row r="6806" spans="1:2" x14ac:dyDescent="0.25">
      <c r="A6806">
        <v>12123</v>
      </c>
      <c r="B6806">
        <v>0</v>
      </c>
    </row>
    <row r="6807" spans="1:2" x14ac:dyDescent="0.25">
      <c r="A6807">
        <v>12125</v>
      </c>
      <c r="B6807">
        <v>0</v>
      </c>
    </row>
    <row r="6808" spans="1:2" x14ac:dyDescent="0.25">
      <c r="A6808">
        <v>12127</v>
      </c>
      <c r="B6808">
        <v>0</v>
      </c>
    </row>
    <row r="6809" spans="1:2" x14ac:dyDescent="0.25">
      <c r="A6809">
        <v>12129</v>
      </c>
      <c r="B6809">
        <v>0</v>
      </c>
    </row>
    <row r="6810" spans="1:2" x14ac:dyDescent="0.25">
      <c r="A6810">
        <v>12130</v>
      </c>
      <c r="B6810">
        <v>0</v>
      </c>
    </row>
    <row r="6811" spans="1:2" x14ac:dyDescent="0.25">
      <c r="A6811">
        <v>12131</v>
      </c>
      <c r="B6811">
        <v>0</v>
      </c>
    </row>
    <row r="6812" spans="1:2" x14ac:dyDescent="0.25">
      <c r="A6812">
        <v>12132</v>
      </c>
      <c r="B6812">
        <v>0</v>
      </c>
    </row>
    <row r="6813" spans="1:2" x14ac:dyDescent="0.25">
      <c r="A6813">
        <v>12133</v>
      </c>
      <c r="B6813">
        <v>0</v>
      </c>
    </row>
    <row r="6814" spans="1:2" x14ac:dyDescent="0.25">
      <c r="A6814">
        <v>12134</v>
      </c>
      <c r="B6814">
        <v>0</v>
      </c>
    </row>
    <row r="6815" spans="1:2" x14ac:dyDescent="0.25">
      <c r="A6815">
        <v>12135</v>
      </c>
      <c r="B6815">
        <v>0</v>
      </c>
    </row>
    <row r="6816" spans="1:2" x14ac:dyDescent="0.25">
      <c r="A6816">
        <v>12136</v>
      </c>
      <c r="B6816">
        <v>0</v>
      </c>
    </row>
    <row r="6817" spans="1:2" x14ac:dyDescent="0.25">
      <c r="A6817">
        <v>12137</v>
      </c>
      <c r="B6817">
        <v>0</v>
      </c>
    </row>
    <row r="6818" spans="1:2" x14ac:dyDescent="0.25">
      <c r="A6818">
        <v>12138</v>
      </c>
      <c r="B6818">
        <v>0</v>
      </c>
    </row>
    <row r="6819" spans="1:2" x14ac:dyDescent="0.25">
      <c r="A6819">
        <v>12139</v>
      </c>
      <c r="B6819">
        <v>0</v>
      </c>
    </row>
    <row r="6820" spans="1:2" x14ac:dyDescent="0.25">
      <c r="A6820">
        <v>12140</v>
      </c>
      <c r="B6820">
        <v>0</v>
      </c>
    </row>
    <row r="6821" spans="1:2" x14ac:dyDescent="0.25">
      <c r="A6821">
        <v>12141</v>
      </c>
      <c r="B6821">
        <v>0</v>
      </c>
    </row>
    <row r="6822" spans="1:2" x14ac:dyDescent="0.25">
      <c r="A6822">
        <v>12142</v>
      </c>
      <c r="B6822">
        <v>0</v>
      </c>
    </row>
    <row r="6823" spans="1:2" x14ac:dyDescent="0.25">
      <c r="A6823">
        <v>12143</v>
      </c>
      <c r="B6823">
        <v>0</v>
      </c>
    </row>
    <row r="6824" spans="1:2" x14ac:dyDescent="0.25">
      <c r="A6824">
        <v>12144</v>
      </c>
      <c r="B6824">
        <v>0</v>
      </c>
    </row>
    <row r="6825" spans="1:2" x14ac:dyDescent="0.25">
      <c r="A6825">
        <v>12145</v>
      </c>
      <c r="B6825">
        <v>0</v>
      </c>
    </row>
    <row r="6826" spans="1:2" x14ac:dyDescent="0.25">
      <c r="A6826">
        <v>12146</v>
      </c>
      <c r="B6826">
        <v>0</v>
      </c>
    </row>
    <row r="6827" spans="1:2" x14ac:dyDescent="0.25">
      <c r="A6827">
        <v>12147</v>
      </c>
      <c r="B6827">
        <v>0</v>
      </c>
    </row>
    <row r="6828" spans="1:2" x14ac:dyDescent="0.25">
      <c r="A6828">
        <v>12148</v>
      </c>
      <c r="B6828">
        <v>0</v>
      </c>
    </row>
    <row r="6829" spans="1:2" x14ac:dyDescent="0.25">
      <c r="A6829">
        <v>12149</v>
      </c>
      <c r="B6829">
        <v>0</v>
      </c>
    </row>
    <row r="6830" spans="1:2" x14ac:dyDescent="0.25">
      <c r="A6830">
        <v>12150</v>
      </c>
      <c r="B6830">
        <v>0</v>
      </c>
    </row>
    <row r="6831" spans="1:2" x14ac:dyDescent="0.25">
      <c r="A6831">
        <v>12151</v>
      </c>
      <c r="B6831">
        <v>0</v>
      </c>
    </row>
    <row r="6832" spans="1:2" x14ac:dyDescent="0.25">
      <c r="A6832">
        <v>12152</v>
      </c>
      <c r="B6832">
        <v>0</v>
      </c>
    </row>
    <row r="6833" spans="1:2" x14ac:dyDescent="0.25">
      <c r="A6833">
        <v>12153</v>
      </c>
      <c r="B6833">
        <v>0</v>
      </c>
    </row>
    <row r="6834" spans="1:2" x14ac:dyDescent="0.25">
      <c r="A6834">
        <v>12154</v>
      </c>
      <c r="B6834">
        <v>0</v>
      </c>
    </row>
    <row r="6835" spans="1:2" x14ac:dyDescent="0.25">
      <c r="A6835">
        <v>12155</v>
      </c>
      <c r="B6835">
        <v>0</v>
      </c>
    </row>
    <row r="6836" spans="1:2" x14ac:dyDescent="0.25">
      <c r="A6836">
        <v>12156</v>
      </c>
      <c r="B6836">
        <v>0</v>
      </c>
    </row>
    <row r="6837" spans="1:2" x14ac:dyDescent="0.25">
      <c r="A6837">
        <v>12165</v>
      </c>
      <c r="B6837">
        <v>0</v>
      </c>
    </row>
    <row r="6838" spans="1:2" x14ac:dyDescent="0.25">
      <c r="A6838">
        <v>12166</v>
      </c>
      <c r="B6838">
        <v>0</v>
      </c>
    </row>
    <row r="6839" spans="1:2" x14ac:dyDescent="0.25">
      <c r="A6839">
        <v>12167</v>
      </c>
      <c r="B6839">
        <v>0</v>
      </c>
    </row>
    <row r="6840" spans="1:2" x14ac:dyDescent="0.25">
      <c r="A6840">
        <v>12168</v>
      </c>
      <c r="B6840">
        <v>0</v>
      </c>
    </row>
    <row r="6841" spans="1:2" x14ac:dyDescent="0.25">
      <c r="A6841">
        <v>12170</v>
      </c>
      <c r="B6841">
        <v>0</v>
      </c>
    </row>
    <row r="6842" spans="1:2" x14ac:dyDescent="0.25">
      <c r="A6842">
        <v>12171</v>
      </c>
      <c r="B6842">
        <v>0</v>
      </c>
    </row>
    <row r="6843" spans="1:2" x14ac:dyDescent="0.25">
      <c r="A6843">
        <v>12172</v>
      </c>
      <c r="B6843">
        <v>0</v>
      </c>
    </row>
    <row r="6844" spans="1:2" x14ac:dyDescent="0.25">
      <c r="A6844">
        <v>12173</v>
      </c>
      <c r="B6844">
        <v>0</v>
      </c>
    </row>
    <row r="6845" spans="1:2" x14ac:dyDescent="0.25">
      <c r="A6845">
        <v>12174</v>
      </c>
      <c r="B6845">
        <v>0</v>
      </c>
    </row>
    <row r="6846" spans="1:2" x14ac:dyDescent="0.25">
      <c r="A6846">
        <v>12175</v>
      </c>
      <c r="B6846">
        <v>0</v>
      </c>
    </row>
    <row r="6847" spans="1:2" x14ac:dyDescent="0.25">
      <c r="A6847">
        <v>12177</v>
      </c>
      <c r="B6847">
        <v>0</v>
      </c>
    </row>
    <row r="6848" spans="1:2" x14ac:dyDescent="0.25">
      <c r="A6848">
        <v>12178</v>
      </c>
      <c r="B6848">
        <v>0</v>
      </c>
    </row>
    <row r="6849" spans="1:2" x14ac:dyDescent="0.25">
      <c r="A6849">
        <v>12180</v>
      </c>
      <c r="B6849">
        <v>0</v>
      </c>
    </row>
    <row r="6850" spans="1:2" x14ac:dyDescent="0.25">
      <c r="A6850">
        <v>12181</v>
      </c>
      <c r="B6850">
        <v>0</v>
      </c>
    </row>
    <row r="6851" spans="1:2" x14ac:dyDescent="0.25">
      <c r="A6851">
        <v>12182</v>
      </c>
      <c r="B6851">
        <v>0</v>
      </c>
    </row>
    <row r="6852" spans="1:2" x14ac:dyDescent="0.25">
      <c r="A6852">
        <v>12183</v>
      </c>
      <c r="B6852">
        <v>0</v>
      </c>
    </row>
    <row r="6853" spans="1:2" x14ac:dyDescent="0.25">
      <c r="A6853">
        <v>12185</v>
      </c>
      <c r="B6853">
        <v>0</v>
      </c>
    </row>
    <row r="6854" spans="1:2" x14ac:dyDescent="0.25">
      <c r="A6854">
        <v>12186</v>
      </c>
      <c r="B6854">
        <v>0</v>
      </c>
    </row>
    <row r="6855" spans="1:2" x14ac:dyDescent="0.25">
      <c r="A6855">
        <v>12187</v>
      </c>
      <c r="B6855">
        <v>0</v>
      </c>
    </row>
    <row r="6856" spans="1:2" x14ac:dyDescent="0.25">
      <c r="A6856">
        <v>12188</v>
      </c>
      <c r="B6856">
        <v>0</v>
      </c>
    </row>
    <row r="6857" spans="1:2" x14ac:dyDescent="0.25">
      <c r="A6857">
        <v>12189</v>
      </c>
      <c r="B6857">
        <v>0</v>
      </c>
    </row>
    <row r="6858" spans="1:2" x14ac:dyDescent="0.25">
      <c r="A6858">
        <v>12191</v>
      </c>
      <c r="B6858">
        <v>0</v>
      </c>
    </row>
    <row r="6859" spans="1:2" x14ac:dyDescent="0.25">
      <c r="A6859">
        <v>12192</v>
      </c>
      <c r="B6859">
        <v>0</v>
      </c>
    </row>
    <row r="6860" spans="1:2" x14ac:dyDescent="0.25">
      <c r="A6860">
        <v>12193</v>
      </c>
      <c r="B6860">
        <v>0</v>
      </c>
    </row>
    <row r="6861" spans="1:2" x14ac:dyDescent="0.25">
      <c r="A6861">
        <v>12195</v>
      </c>
      <c r="B6861">
        <v>0</v>
      </c>
    </row>
    <row r="6862" spans="1:2" x14ac:dyDescent="0.25">
      <c r="A6862">
        <v>12196</v>
      </c>
      <c r="B6862">
        <v>0</v>
      </c>
    </row>
    <row r="6863" spans="1:2" x14ac:dyDescent="0.25">
      <c r="A6863">
        <v>12197</v>
      </c>
      <c r="B6863">
        <v>0</v>
      </c>
    </row>
    <row r="6864" spans="1:2" x14ac:dyDescent="0.25">
      <c r="A6864">
        <v>12199</v>
      </c>
      <c r="B6864">
        <v>0</v>
      </c>
    </row>
    <row r="6865" spans="1:2" x14ac:dyDescent="0.25">
      <c r="A6865">
        <v>12200</v>
      </c>
      <c r="B6865">
        <v>0</v>
      </c>
    </row>
    <row r="6866" spans="1:2" x14ac:dyDescent="0.25">
      <c r="A6866">
        <v>12202</v>
      </c>
      <c r="B6866">
        <v>0</v>
      </c>
    </row>
    <row r="6867" spans="1:2" x14ac:dyDescent="0.25">
      <c r="A6867">
        <v>12203</v>
      </c>
      <c r="B6867">
        <v>0</v>
      </c>
    </row>
    <row r="6868" spans="1:2" x14ac:dyDescent="0.25">
      <c r="A6868">
        <v>12204</v>
      </c>
      <c r="B6868">
        <v>0</v>
      </c>
    </row>
    <row r="6869" spans="1:2" x14ac:dyDescent="0.25">
      <c r="A6869">
        <v>12205</v>
      </c>
      <c r="B6869">
        <v>0</v>
      </c>
    </row>
    <row r="6870" spans="1:2" x14ac:dyDescent="0.25">
      <c r="A6870">
        <v>12206</v>
      </c>
      <c r="B6870">
        <v>0</v>
      </c>
    </row>
    <row r="6871" spans="1:2" x14ac:dyDescent="0.25">
      <c r="A6871">
        <v>12207</v>
      </c>
      <c r="B6871">
        <v>0</v>
      </c>
    </row>
    <row r="6872" spans="1:2" x14ac:dyDescent="0.25">
      <c r="A6872">
        <v>12208</v>
      </c>
      <c r="B6872">
        <v>0</v>
      </c>
    </row>
    <row r="6873" spans="1:2" x14ac:dyDescent="0.25">
      <c r="A6873">
        <v>12210</v>
      </c>
      <c r="B6873">
        <v>0</v>
      </c>
    </row>
    <row r="6874" spans="1:2" x14ac:dyDescent="0.25">
      <c r="A6874">
        <v>12213</v>
      </c>
      <c r="B6874">
        <v>0</v>
      </c>
    </row>
    <row r="6875" spans="1:2" x14ac:dyDescent="0.25">
      <c r="A6875">
        <v>12215</v>
      </c>
      <c r="B6875">
        <v>0</v>
      </c>
    </row>
    <row r="6876" spans="1:2" x14ac:dyDescent="0.25">
      <c r="A6876">
        <v>12217</v>
      </c>
      <c r="B6876">
        <v>0</v>
      </c>
    </row>
    <row r="6877" spans="1:2" x14ac:dyDescent="0.25">
      <c r="A6877">
        <v>12219</v>
      </c>
      <c r="B6877">
        <v>0</v>
      </c>
    </row>
    <row r="6878" spans="1:2" x14ac:dyDescent="0.25">
      <c r="A6878">
        <v>12220</v>
      </c>
      <c r="B6878">
        <v>0</v>
      </c>
    </row>
    <row r="6879" spans="1:2" x14ac:dyDescent="0.25">
      <c r="A6879">
        <v>12221</v>
      </c>
      <c r="B6879">
        <v>0</v>
      </c>
    </row>
    <row r="6880" spans="1:2" x14ac:dyDescent="0.25">
      <c r="A6880">
        <v>12223</v>
      </c>
      <c r="B6880">
        <v>0</v>
      </c>
    </row>
    <row r="6881" spans="1:2" x14ac:dyDescent="0.25">
      <c r="A6881">
        <v>12225</v>
      </c>
      <c r="B6881">
        <v>0</v>
      </c>
    </row>
    <row r="6882" spans="1:2" x14ac:dyDescent="0.25">
      <c r="A6882">
        <v>12228</v>
      </c>
      <c r="B6882">
        <v>0</v>
      </c>
    </row>
    <row r="6883" spans="1:2" x14ac:dyDescent="0.25">
      <c r="A6883">
        <v>12229</v>
      </c>
      <c r="B6883">
        <v>0</v>
      </c>
    </row>
    <row r="6884" spans="1:2" x14ac:dyDescent="0.25">
      <c r="A6884">
        <v>12230</v>
      </c>
      <c r="B6884">
        <v>0</v>
      </c>
    </row>
    <row r="6885" spans="1:2" x14ac:dyDescent="0.25">
      <c r="A6885">
        <v>12232</v>
      </c>
      <c r="B6885">
        <v>0</v>
      </c>
    </row>
    <row r="6886" spans="1:2" x14ac:dyDescent="0.25">
      <c r="A6886">
        <v>12233</v>
      </c>
      <c r="B6886">
        <v>0</v>
      </c>
    </row>
    <row r="6887" spans="1:2" x14ac:dyDescent="0.25">
      <c r="A6887">
        <v>12235</v>
      </c>
      <c r="B6887">
        <v>0</v>
      </c>
    </row>
    <row r="6888" spans="1:2" x14ac:dyDescent="0.25">
      <c r="A6888">
        <v>12236</v>
      </c>
      <c r="B6888">
        <v>0</v>
      </c>
    </row>
    <row r="6889" spans="1:2" x14ac:dyDescent="0.25">
      <c r="A6889">
        <v>12239</v>
      </c>
      <c r="B6889">
        <v>0</v>
      </c>
    </row>
    <row r="6890" spans="1:2" x14ac:dyDescent="0.25">
      <c r="A6890">
        <v>12241</v>
      </c>
      <c r="B6890">
        <v>0</v>
      </c>
    </row>
    <row r="6891" spans="1:2" x14ac:dyDescent="0.25">
      <c r="A6891">
        <v>12244</v>
      </c>
      <c r="B6891">
        <v>0</v>
      </c>
    </row>
    <row r="6892" spans="1:2" x14ac:dyDescent="0.25">
      <c r="A6892">
        <v>12245</v>
      </c>
      <c r="B6892">
        <v>0</v>
      </c>
    </row>
    <row r="6893" spans="1:2" x14ac:dyDescent="0.25">
      <c r="A6893">
        <v>12247</v>
      </c>
      <c r="B6893">
        <v>0</v>
      </c>
    </row>
    <row r="6894" spans="1:2" x14ac:dyDescent="0.25">
      <c r="A6894">
        <v>12248</v>
      </c>
      <c r="B6894">
        <v>0</v>
      </c>
    </row>
    <row r="6895" spans="1:2" x14ac:dyDescent="0.25">
      <c r="A6895">
        <v>12251</v>
      </c>
      <c r="B6895">
        <v>0</v>
      </c>
    </row>
    <row r="6896" spans="1:2" x14ac:dyDescent="0.25">
      <c r="A6896">
        <v>12253</v>
      </c>
      <c r="B6896">
        <v>0</v>
      </c>
    </row>
    <row r="6897" spans="1:2" x14ac:dyDescent="0.25">
      <c r="A6897">
        <v>12254</v>
      </c>
      <c r="B6897">
        <v>0</v>
      </c>
    </row>
    <row r="6898" spans="1:2" x14ac:dyDescent="0.25">
      <c r="A6898">
        <v>12255</v>
      </c>
      <c r="B6898">
        <v>0</v>
      </c>
    </row>
    <row r="6899" spans="1:2" x14ac:dyDescent="0.25">
      <c r="A6899">
        <v>12256</v>
      </c>
      <c r="B6899">
        <v>0</v>
      </c>
    </row>
    <row r="6900" spans="1:2" x14ac:dyDescent="0.25">
      <c r="A6900">
        <v>12258</v>
      </c>
      <c r="B6900">
        <v>0</v>
      </c>
    </row>
    <row r="6901" spans="1:2" x14ac:dyDescent="0.25">
      <c r="A6901">
        <v>12259</v>
      </c>
      <c r="B6901">
        <v>0</v>
      </c>
    </row>
    <row r="6902" spans="1:2" x14ac:dyDescent="0.25">
      <c r="A6902">
        <v>12261</v>
      </c>
      <c r="B6902">
        <v>0</v>
      </c>
    </row>
    <row r="6903" spans="1:2" x14ac:dyDescent="0.25">
      <c r="A6903">
        <v>12263</v>
      </c>
      <c r="B6903">
        <v>0</v>
      </c>
    </row>
    <row r="6904" spans="1:2" x14ac:dyDescent="0.25">
      <c r="A6904">
        <v>12266</v>
      </c>
      <c r="B6904">
        <v>0</v>
      </c>
    </row>
    <row r="6905" spans="1:2" x14ac:dyDescent="0.25">
      <c r="A6905">
        <v>12267</v>
      </c>
      <c r="B6905">
        <v>0</v>
      </c>
    </row>
    <row r="6906" spans="1:2" x14ac:dyDescent="0.25">
      <c r="A6906">
        <v>12268</v>
      </c>
      <c r="B6906">
        <v>0</v>
      </c>
    </row>
    <row r="6907" spans="1:2" x14ac:dyDescent="0.25">
      <c r="A6907">
        <v>12269</v>
      </c>
      <c r="B6907">
        <v>0</v>
      </c>
    </row>
    <row r="6908" spans="1:2" x14ac:dyDescent="0.25">
      <c r="A6908">
        <v>12270</v>
      </c>
      <c r="B6908">
        <v>0</v>
      </c>
    </row>
    <row r="6909" spans="1:2" x14ac:dyDescent="0.25">
      <c r="A6909">
        <v>12271</v>
      </c>
      <c r="B6909">
        <v>0</v>
      </c>
    </row>
    <row r="6910" spans="1:2" x14ac:dyDescent="0.25">
      <c r="A6910">
        <v>12272</v>
      </c>
      <c r="B6910">
        <v>0</v>
      </c>
    </row>
    <row r="6911" spans="1:2" x14ac:dyDescent="0.25">
      <c r="A6911">
        <v>12273</v>
      </c>
      <c r="B6911">
        <v>0</v>
      </c>
    </row>
    <row r="6912" spans="1:2" x14ac:dyDescent="0.25">
      <c r="A6912">
        <v>12274</v>
      </c>
      <c r="B6912">
        <v>0</v>
      </c>
    </row>
    <row r="6913" spans="1:2" x14ac:dyDescent="0.25">
      <c r="A6913">
        <v>12275</v>
      </c>
      <c r="B6913">
        <v>0</v>
      </c>
    </row>
    <row r="6914" spans="1:2" x14ac:dyDescent="0.25">
      <c r="A6914">
        <v>12276</v>
      </c>
      <c r="B6914">
        <v>0</v>
      </c>
    </row>
    <row r="6915" spans="1:2" x14ac:dyDescent="0.25">
      <c r="A6915">
        <v>12277</v>
      </c>
      <c r="B6915">
        <v>0</v>
      </c>
    </row>
    <row r="6916" spans="1:2" x14ac:dyDescent="0.25">
      <c r="A6916">
        <v>12279</v>
      </c>
      <c r="B6916">
        <v>0</v>
      </c>
    </row>
    <row r="6917" spans="1:2" x14ac:dyDescent="0.25">
      <c r="A6917">
        <v>12280</v>
      </c>
      <c r="B6917">
        <v>0</v>
      </c>
    </row>
    <row r="6918" spans="1:2" x14ac:dyDescent="0.25">
      <c r="A6918">
        <v>12282</v>
      </c>
      <c r="B6918">
        <v>0</v>
      </c>
    </row>
    <row r="6919" spans="1:2" x14ac:dyDescent="0.25">
      <c r="A6919">
        <v>12285</v>
      </c>
      <c r="B6919">
        <v>0</v>
      </c>
    </row>
    <row r="6920" spans="1:2" x14ac:dyDescent="0.25">
      <c r="A6920">
        <v>12286</v>
      </c>
      <c r="B6920">
        <v>0</v>
      </c>
    </row>
    <row r="6921" spans="1:2" x14ac:dyDescent="0.25">
      <c r="A6921">
        <v>12287</v>
      </c>
      <c r="B6921">
        <v>0</v>
      </c>
    </row>
    <row r="6922" spans="1:2" x14ac:dyDescent="0.25">
      <c r="A6922">
        <v>12292</v>
      </c>
      <c r="B6922">
        <v>0</v>
      </c>
    </row>
    <row r="6923" spans="1:2" x14ac:dyDescent="0.25">
      <c r="A6923">
        <v>12293</v>
      </c>
      <c r="B6923">
        <v>0</v>
      </c>
    </row>
    <row r="6924" spans="1:2" x14ac:dyDescent="0.25">
      <c r="A6924">
        <v>12294</v>
      </c>
      <c r="B6924">
        <v>0</v>
      </c>
    </row>
    <row r="6925" spans="1:2" x14ac:dyDescent="0.25">
      <c r="A6925">
        <v>12295</v>
      </c>
      <c r="B6925">
        <v>0</v>
      </c>
    </row>
    <row r="6926" spans="1:2" x14ac:dyDescent="0.25">
      <c r="A6926">
        <v>12296</v>
      </c>
      <c r="B6926">
        <v>0</v>
      </c>
    </row>
    <row r="6927" spans="1:2" x14ac:dyDescent="0.25">
      <c r="A6927">
        <v>12300</v>
      </c>
      <c r="B6927">
        <v>0</v>
      </c>
    </row>
    <row r="6928" spans="1:2" x14ac:dyDescent="0.25">
      <c r="A6928">
        <v>12301</v>
      </c>
      <c r="B6928">
        <v>0</v>
      </c>
    </row>
    <row r="6929" spans="1:2" x14ac:dyDescent="0.25">
      <c r="A6929">
        <v>12302</v>
      </c>
      <c r="B6929">
        <v>0</v>
      </c>
    </row>
    <row r="6930" spans="1:2" x14ac:dyDescent="0.25">
      <c r="A6930">
        <v>12303</v>
      </c>
      <c r="B6930">
        <v>0</v>
      </c>
    </row>
    <row r="6931" spans="1:2" x14ac:dyDescent="0.25">
      <c r="A6931">
        <v>12304</v>
      </c>
      <c r="B6931">
        <v>0</v>
      </c>
    </row>
    <row r="6932" spans="1:2" x14ac:dyDescent="0.25">
      <c r="A6932">
        <v>12305</v>
      </c>
      <c r="B6932">
        <v>0</v>
      </c>
    </row>
    <row r="6933" spans="1:2" x14ac:dyDescent="0.25">
      <c r="A6933">
        <v>12306</v>
      </c>
      <c r="B6933">
        <v>0</v>
      </c>
    </row>
    <row r="6934" spans="1:2" x14ac:dyDescent="0.25">
      <c r="A6934">
        <v>12307</v>
      </c>
      <c r="B6934">
        <v>0</v>
      </c>
    </row>
    <row r="6935" spans="1:2" x14ac:dyDescent="0.25">
      <c r="A6935">
        <v>12309</v>
      </c>
      <c r="B6935">
        <v>0</v>
      </c>
    </row>
    <row r="6936" spans="1:2" x14ac:dyDescent="0.25">
      <c r="A6936">
        <v>12310</v>
      </c>
      <c r="B6936">
        <v>0</v>
      </c>
    </row>
    <row r="6937" spans="1:2" x14ac:dyDescent="0.25">
      <c r="A6937">
        <v>12312</v>
      </c>
      <c r="B6937">
        <v>0</v>
      </c>
    </row>
    <row r="6938" spans="1:2" x14ac:dyDescent="0.25">
      <c r="A6938">
        <v>12313</v>
      </c>
      <c r="B6938">
        <v>0</v>
      </c>
    </row>
    <row r="6939" spans="1:2" x14ac:dyDescent="0.25">
      <c r="A6939">
        <v>12315</v>
      </c>
      <c r="B6939">
        <v>0</v>
      </c>
    </row>
    <row r="6940" spans="1:2" x14ac:dyDescent="0.25">
      <c r="A6940">
        <v>12317</v>
      </c>
      <c r="B6940">
        <v>0</v>
      </c>
    </row>
    <row r="6941" spans="1:2" x14ac:dyDescent="0.25">
      <c r="A6941">
        <v>12319</v>
      </c>
      <c r="B6941">
        <v>0</v>
      </c>
    </row>
    <row r="6942" spans="1:2" x14ac:dyDescent="0.25">
      <c r="A6942">
        <v>12320</v>
      </c>
      <c r="B6942">
        <v>0</v>
      </c>
    </row>
    <row r="6943" spans="1:2" x14ac:dyDescent="0.25">
      <c r="A6943">
        <v>12321</v>
      </c>
      <c r="B6943">
        <v>0</v>
      </c>
    </row>
    <row r="6944" spans="1:2" x14ac:dyDescent="0.25">
      <c r="A6944">
        <v>12322</v>
      </c>
      <c r="B6944">
        <v>0</v>
      </c>
    </row>
    <row r="6945" spans="1:2" x14ac:dyDescent="0.25">
      <c r="A6945">
        <v>12323</v>
      </c>
      <c r="B6945">
        <v>0</v>
      </c>
    </row>
    <row r="6946" spans="1:2" x14ac:dyDescent="0.25">
      <c r="A6946">
        <v>12325</v>
      </c>
      <c r="B6946">
        <v>0</v>
      </c>
    </row>
    <row r="6947" spans="1:2" x14ac:dyDescent="0.25">
      <c r="A6947">
        <v>12326</v>
      </c>
      <c r="B6947">
        <v>0</v>
      </c>
    </row>
    <row r="6948" spans="1:2" x14ac:dyDescent="0.25">
      <c r="A6948">
        <v>12329</v>
      </c>
      <c r="B6948">
        <v>0</v>
      </c>
    </row>
    <row r="6949" spans="1:2" x14ac:dyDescent="0.25">
      <c r="A6949">
        <v>12330</v>
      </c>
      <c r="B6949">
        <v>0</v>
      </c>
    </row>
    <row r="6950" spans="1:2" x14ac:dyDescent="0.25">
      <c r="A6950">
        <v>12331</v>
      </c>
      <c r="B6950">
        <v>0</v>
      </c>
    </row>
    <row r="6951" spans="1:2" x14ac:dyDescent="0.25">
      <c r="A6951">
        <v>12332</v>
      </c>
      <c r="B6951">
        <v>0</v>
      </c>
    </row>
    <row r="6952" spans="1:2" x14ac:dyDescent="0.25">
      <c r="A6952">
        <v>12333</v>
      </c>
      <c r="B6952">
        <v>0</v>
      </c>
    </row>
    <row r="6953" spans="1:2" x14ac:dyDescent="0.25">
      <c r="A6953">
        <v>12334</v>
      </c>
      <c r="B6953">
        <v>0</v>
      </c>
    </row>
    <row r="6954" spans="1:2" x14ac:dyDescent="0.25">
      <c r="A6954">
        <v>12337</v>
      </c>
      <c r="B6954">
        <v>0</v>
      </c>
    </row>
    <row r="6955" spans="1:2" x14ac:dyDescent="0.25">
      <c r="A6955">
        <v>12338</v>
      </c>
      <c r="B6955">
        <v>0</v>
      </c>
    </row>
    <row r="6956" spans="1:2" x14ac:dyDescent="0.25">
      <c r="A6956">
        <v>12339</v>
      </c>
      <c r="B6956">
        <v>0</v>
      </c>
    </row>
    <row r="6957" spans="1:2" x14ac:dyDescent="0.25">
      <c r="A6957">
        <v>12341</v>
      </c>
      <c r="B6957">
        <v>0</v>
      </c>
    </row>
    <row r="6958" spans="1:2" x14ac:dyDescent="0.25">
      <c r="A6958">
        <v>12342</v>
      </c>
      <c r="B6958">
        <v>0</v>
      </c>
    </row>
    <row r="6959" spans="1:2" x14ac:dyDescent="0.25">
      <c r="A6959">
        <v>12345</v>
      </c>
      <c r="B6959">
        <v>0</v>
      </c>
    </row>
    <row r="6960" spans="1:2" x14ac:dyDescent="0.25">
      <c r="A6960">
        <v>12346</v>
      </c>
      <c r="B6960">
        <v>0</v>
      </c>
    </row>
    <row r="6961" spans="1:2" x14ac:dyDescent="0.25">
      <c r="A6961">
        <v>12347</v>
      </c>
      <c r="B6961">
        <v>0</v>
      </c>
    </row>
    <row r="6962" spans="1:2" x14ac:dyDescent="0.25">
      <c r="A6962">
        <v>12352</v>
      </c>
      <c r="B6962">
        <v>0</v>
      </c>
    </row>
    <row r="6963" spans="1:2" x14ac:dyDescent="0.25">
      <c r="A6963">
        <v>12353</v>
      </c>
      <c r="B6963">
        <v>0</v>
      </c>
    </row>
    <row r="6964" spans="1:2" x14ac:dyDescent="0.25">
      <c r="A6964">
        <v>12354</v>
      </c>
      <c r="B6964">
        <v>0</v>
      </c>
    </row>
    <row r="6965" spans="1:2" x14ac:dyDescent="0.25">
      <c r="A6965">
        <v>12356</v>
      </c>
      <c r="B6965">
        <v>0</v>
      </c>
    </row>
    <row r="6966" spans="1:2" x14ac:dyDescent="0.25">
      <c r="A6966">
        <v>12358</v>
      </c>
      <c r="B6966">
        <v>0</v>
      </c>
    </row>
    <row r="6967" spans="1:2" x14ac:dyDescent="0.25">
      <c r="A6967">
        <v>12360</v>
      </c>
      <c r="B6967">
        <v>0</v>
      </c>
    </row>
    <row r="6968" spans="1:2" x14ac:dyDescent="0.25">
      <c r="A6968">
        <v>12363</v>
      </c>
      <c r="B6968">
        <v>0</v>
      </c>
    </row>
    <row r="6969" spans="1:2" x14ac:dyDescent="0.25">
      <c r="A6969">
        <v>12364</v>
      </c>
      <c r="B6969">
        <v>0</v>
      </c>
    </row>
    <row r="6970" spans="1:2" x14ac:dyDescent="0.25">
      <c r="A6970">
        <v>12365</v>
      </c>
      <c r="B6970">
        <v>0</v>
      </c>
    </row>
    <row r="6971" spans="1:2" x14ac:dyDescent="0.25">
      <c r="A6971">
        <v>12366</v>
      </c>
      <c r="B6971">
        <v>0</v>
      </c>
    </row>
    <row r="6972" spans="1:2" x14ac:dyDescent="0.25">
      <c r="A6972">
        <v>12368</v>
      </c>
      <c r="B6972">
        <v>0</v>
      </c>
    </row>
    <row r="6973" spans="1:2" x14ac:dyDescent="0.25">
      <c r="A6973">
        <v>12369</v>
      </c>
      <c r="B6973">
        <v>0</v>
      </c>
    </row>
    <row r="6974" spans="1:2" x14ac:dyDescent="0.25">
      <c r="A6974">
        <v>12370</v>
      </c>
      <c r="B6974">
        <v>0</v>
      </c>
    </row>
    <row r="6975" spans="1:2" x14ac:dyDescent="0.25">
      <c r="A6975">
        <v>12371</v>
      </c>
      <c r="B6975">
        <v>0</v>
      </c>
    </row>
    <row r="6976" spans="1:2" x14ac:dyDescent="0.25">
      <c r="A6976">
        <v>12372</v>
      </c>
      <c r="B6976">
        <v>0</v>
      </c>
    </row>
    <row r="6977" spans="1:2" x14ac:dyDescent="0.25">
      <c r="A6977">
        <v>12374</v>
      </c>
      <c r="B6977">
        <v>0</v>
      </c>
    </row>
    <row r="6978" spans="1:2" x14ac:dyDescent="0.25">
      <c r="A6978">
        <v>12375</v>
      </c>
      <c r="B6978">
        <v>0</v>
      </c>
    </row>
    <row r="6979" spans="1:2" x14ac:dyDescent="0.25">
      <c r="A6979">
        <v>12376</v>
      </c>
      <c r="B6979">
        <v>0</v>
      </c>
    </row>
    <row r="6980" spans="1:2" x14ac:dyDescent="0.25">
      <c r="A6980">
        <v>12377</v>
      </c>
      <c r="B6980">
        <v>0</v>
      </c>
    </row>
    <row r="6981" spans="1:2" x14ac:dyDescent="0.25">
      <c r="A6981">
        <v>12378</v>
      </c>
      <c r="B6981">
        <v>0</v>
      </c>
    </row>
    <row r="6982" spans="1:2" x14ac:dyDescent="0.25">
      <c r="A6982">
        <v>12379</v>
      </c>
      <c r="B6982">
        <v>0</v>
      </c>
    </row>
    <row r="6983" spans="1:2" x14ac:dyDescent="0.25">
      <c r="A6983">
        <v>12380</v>
      </c>
      <c r="B6983">
        <v>0</v>
      </c>
    </row>
    <row r="6984" spans="1:2" x14ac:dyDescent="0.25">
      <c r="A6984">
        <v>12381</v>
      </c>
      <c r="B6984">
        <v>0</v>
      </c>
    </row>
    <row r="6985" spans="1:2" x14ac:dyDescent="0.25">
      <c r="A6985">
        <v>12382</v>
      </c>
      <c r="B6985">
        <v>0</v>
      </c>
    </row>
    <row r="6986" spans="1:2" x14ac:dyDescent="0.25">
      <c r="A6986">
        <v>12383</v>
      </c>
      <c r="B6986">
        <v>0</v>
      </c>
    </row>
    <row r="6987" spans="1:2" x14ac:dyDescent="0.25">
      <c r="A6987">
        <v>12384</v>
      </c>
      <c r="B6987">
        <v>0</v>
      </c>
    </row>
    <row r="6988" spans="1:2" x14ac:dyDescent="0.25">
      <c r="A6988">
        <v>12385</v>
      </c>
      <c r="B6988">
        <v>0</v>
      </c>
    </row>
    <row r="6989" spans="1:2" x14ac:dyDescent="0.25">
      <c r="A6989">
        <v>12386</v>
      </c>
      <c r="B6989">
        <v>0</v>
      </c>
    </row>
    <row r="6990" spans="1:2" x14ac:dyDescent="0.25">
      <c r="A6990">
        <v>12387</v>
      </c>
      <c r="B6990">
        <v>0</v>
      </c>
    </row>
    <row r="6991" spans="1:2" x14ac:dyDescent="0.25">
      <c r="A6991">
        <v>12388</v>
      </c>
      <c r="B6991">
        <v>0</v>
      </c>
    </row>
    <row r="6992" spans="1:2" x14ac:dyDescent="0.25">
      <c r="A6992">
        <v>12389</v>
      </c>
      <c r="B6992">
        <v>0</v>
      </c>
    </row>
    <row r="6993" spans="1:2" x14ac:dyDescent="0.25">
      <c r="A6993">
        <v>12390</v>
      </c>
      <c r="B6993">
        <v>0</v>
      </c>
    </row>
    <row r="6994" spans="1:2" x14ac:dyDescent="0.25">
      <c r="A6994">
        <v>12392</v>
      </c>
      <c r="B6994">
        <v>0</v>
      </c>
    </row>
    <row r="6995" spans="1:2" x14ac:dyDescent="0.25">
      <c r="A6995">
        <v>12401</v>
      </c>
      <c r="B6995">
        <v>0</v>
      </c>
    </row>
    <row r="6996" spans="1:2" x14ac:dyDescent="0.25">
      <c r="A6996">
        <v>12402</v>
      </c>
      <c r="B6996">
        <v>0</v>
      </c>
    </row>
    <row r="6997" spans="1:2" x14ac:dyDescent="0.25">
      <c r="A6997">
        <v>12403</v>
      </c>
      <c r="B6997">
        <v>0</v>
      </c>
    </row>
    <row r="6998" spans="1:2" x14ac:dyDescent="0.25">
      <c r="A6998">
        <v>12404</v>
      </c>
      <c r="B6998">
        <v>0</v>
      </c>
    </row>
    <row r="6999" spans="1:2" x14ac:dyDescent="0.25">
      <c r="A6999">
        <v>12405</v>
      </c>
      <c r="B6999">
        <v>0</v>
      </c>
    </row>
    <row r="7000" spans="1:2" x14ac:dyDescent="0.25">
      <c r="A7000">
        <v>12407</v>
      </c>
      <c r="B7000">
        <v>0</v>
      </c>
    </row>
    <row r="7001" spans="1:2" x14ac:dyDescent="0.25">
      <c r="A7001">
        <v>12409</v>
      </c>
      <c r="B7001">
        <v>0</v>
      </c>
    </row>
    <row r="7002" spans="1:2" x14ac:dyDescent="0.25">
      <c r="A7002">
        <v>12411</v>
      </c>
      <c r="B7002">
        <v>0</v>
      </c>
    </row>
    <row r="7003" spans="1:2" x14ac:dyDescent="0.25">
      <c r="A7003">
        <v>12413</v>
      </c>
      <c r="B7003">
        <v>0</v>
      </c>
    </row>
    <row r="7004" spans="1:2" x14ac:dyDescent="0.25">
      <c r="A7004">
        <v>12414</v>
      </c>
      <c r="B7004">
        <v>0</v>
      </c>
    </row>
    <row r="7005" spans="1:2" x14ac:dyDescent="0.25">
      <c r="A7005">
        <v>12415</v>
      </c>
      <c r="B7005">
        <v>0</v>
      </c>
    </row>
    <row r="7006" spans="1:2" x14ac:dyDescent="0.25">
      <c r="A7006">
        <v>12417</v>
      </c>
      <c r="B7006">
        <v>0</v>
      </c>
    </row>
    <row r="7007" spans="1:2" x14ac:dyDescent="0.25">
      <c r="A7007">
        <v>12419</v>
      </c>
      <c r="B7007">
        <v>0</v>
      </c>
    </row>
    <row r="7008" spans="1:2" x14ac:dyDescent="0.25">
      <c r="A7008">
        <v>12420</v>
      </c>
      <c r="B7008">
        <v>0</v>
      </c>
    </row>
    <row r="7009" spans="1:2" x14ac:dyDescent="0.25">
      <c r="A7009">
        <v>12421</v>
      </c>
      <c r="B7009">
        <v>0</v>
      </c>
    </row>
    <row r="7010" spans="1:2" x14ac:dyDescent="0.25">
      <c r="A7010">
        <v>12422</v>
      </c>
      <c r="B7010">
        <v>0</v>
      </c>
    </row>
    <row r="7011" spans="1:2" x14ac:dyDescent="0.25">
      <c r="A7011">
        <v>12425</v>
      </c>
      <c r="B7011">
        <v>0</v>
      </c>
    </row>
    <row r="7012" spans="1:2" x14ac:dyDescent="0.25">
      <c r="A7012">
        <v>12426</v>
      </c>
      <c r="B7012">
        <v>0</v>
      </c>
    </row>
    <row r="7013" spans="1:2" x14ac:dyDescent="0.25">
      <c r="A7013">
        <v>12427</v>
      </c>
      <c r="B7013">
        <v>0</v>
      </c>
    </row>
    <row r="7014" spans="1:2" x14ac:dyDescent="0.25">
      <c r="A7014">
        <v>12428</v>
      </c>
      <c r="B7014">
        <v>0</v>
      </c>
    </row>
    <row r="7015" spans="1:2" x14ac:dyDescent="0.25">
      <c r="A7015">
        <v>12429</v>
      </c>
      <c r="B7015">
        <v>0</v>
      </c>
    </row>
    <row r="7016" spans="1:2" x14ac:dyDescent="0.25">
      <c r="A7016">
        <v>12430</v>
      </c>
      <c r="B7016">
        <v>0</v>
      </c>
    </row>
    <row r="7017" spans="1:2" x14ac:dyDescent="0.25">
      <c r="A7017">
        <v>12431</v>
      </c>
      <c r="B7017">
        <v>0</v>
      </c>
    </row>
    <row r="7018" spans="1:2" x14ac:dyDescent="0.25">
      <c r="A7018">
        <v>12432</v>
      </c>
      <c r="B7018">
        <v>0</v>
      </c>
    </row>
    <row r="7019" spans="1:2" x14ac:dyDescent="0.25">
      <c r="A7019">
        <v>12433</v>
      </c>
      <c r="B7019">
        <v>0</v>
      </c>
    </row>
    <row r="7020" spans="1:2" x14ac:dyDescent="0.25">
      <c r="A7020">
        <v>12434</v>
      </c>
      <c r="B7020">
        <v>0</v>
      </c>
    </row>
    <row r="7021" spans="1:2" x14ac:dyDescent="0.25">
      <c r="A7021">
        <v>12435</v>
      </c>
      <c r="B7021">
        <v>0</v>
      </c>
    </row>
    <row r="7022" spans="1:2" x14ac:dyDescent="0.25">
      <c r="A7022">
        <v>12436</v>
      </c>
      <c r="B7022">
        <v>0</v>
      </c>
    </row>
    <row r="7023" spans="1:2" x14ac:dyDescent="0.25">
      <c r="A7023">
        <v>12437</v>
      </c>
      <c r="B7023">
        <v>0</v>
      </c>
    </row>
    <row r="7024" spans="1:2" x14ac:dyDescent="0.25">
      <c r="A7024">
        <v>12438</v>
      </c>
      <c r="B7024">
        <v>0</v>
      </c>
    </row>
    <row r="7025" spans="1:2" x14ac:dyDescent="0.25">
      <c r="A7025">
        <v>12439</v>
      </c>
      <c r="B7025">
        <v>0</v>
      </c>
    </row>
    <row r="7026" spans="1:2" x14ac:dyDescent="0.25">
      <c r="A7026">
        <v>12440</v>
      </c>
      <c r="B7026">
        <v>0</v>
      </c>
    </row>
    <row r="7027" spans="1:2" x14ac:dyDescent="0.25">
      <c r="A7027">
        <v>12441</v>
      </c>
      <c r="B7027">
        <v>0</v>
      </c>
    </row>
    <row r="7028" spans="1:2" x14ac:dyDescent="0.25">
      <c r="A7028">
        <v>12442</v>
      </c>
      <c r="B7028">
        <v>0</v>
      </c>
    </row>
    <row r="7029" spans="1:2" x14ac:dyDescent="0.25">
      <c r="A7029">
        <v>12443</v>
      </c>
      <c r="B7029">
        <v>0</v>
      </c>
    </row>
    <row r="7030" spans="1:2" x14ac:dyDescent="0.25">
      <c r="A7030">
        <v>12444</v>
      </c>
      <c r="B7030">
        <v>0</v>
      </c>
    </row>
    <row r="7031" spans="1:2" x14ac:dyDescent="0.25">
      <c r="A7031">
        <v>12445</v>
      </c>
      <c r="B7031">
        <v>0</v>
      </c>
    </row>
    <row r="7032" spans="1:2" x14ac:dyDescent="0.25">
      <c r="A7032">
        <v>12446</v>
      </c>
      <c r="B7032">
        <v>0</v>
      </c>
    </row>
    <row r="7033" spans="1:2" x14ac:dyDescent="0.25">
      <c r="A7033">
        <v>12447</v>
      </c>
      <c r="B7033">
        <v>0</v>
      </c>
    </row>
    <row r="7034" spans="1:2" x14ac:dyDescent="0.25">
      <c r="A7034">
        <v>12448</v>
      </c>
      <c r="B7034">
        <v>0</v>
      </c>
    </row>
    <row r="7035" spans="1:2" x14ac:dyDescent="0.25">
      <c r="A7035">
        <v>12449</v>
      </c>
      <c r="B7035">
        <v>0</v>
      </c>
    </row>
    <row r="7036" spans="1:2" x14ac:dyDescent="0.25">
      <c r="A7036">
        <v>12450</v>
      </c>
      <c r="B7036">
        <v>0</v>
      </c>
    </row>
    <row r="7037" spans="1:2" x14ac:dyDescent="0.25">
      <c r="A7037">
        <v>12451</v>
      </c>
      <c r="B7037">
        <v>0</v>
      </c>
    </row>
    <row r="7038" spans="1:2" x14ac:dyDescent="0.25">
      <c r="A7038">
        <v>12452</v>
      </c>
      <c r="B7038">
        <v>0</v>
      </c>
    </row>
    <row r="7039" spans="1:2" x14ac:dyDescent="0.25">
      <c r="A7039">
        <v>12453</v>
      </c>
      <c r="B7039">
        <v>0</v>
      </c>
    </row>
    <row r="7040" spans="1:2" x14ac:dyDescent="0.25">
      <c r="A7040">
        <v>12454</v>
      </c>
      <c r="B7040">
        <v>0</v>
      </c>
    </row>
    <row r="7041" spans="1:2" x14ac:dyDescent="0.25">
      <c r="A7041">
        <v>12455</v>
      </c>
      <c r="B7041">
        <v>0</v>
      </c>
    </row>
    <row r="7042" spans="1:2" x14ac:dyDescent="0.25">
      <c r="A7042">
        <v>12456</v>
      </c>
      <c r="B7042">
        <v>0</v>
      </c>
    </row>
    <row r="7043" spans="1:2" x14ac:dyDescent="0.25">
      <c r="A7043">
        <v>12457</v>
      </c>
      <c r="B7043">
        <v>0</v>
      </c>
    </row>
    <row r="7044" spans="1:2" x14ac:dyDescent="0.25">
      <c r="A7044">
        <v>12458</v>
      </c>
      <c r="B7044">
        <v>0</v>
      </c>
    </row>
    <row r="7045" spans="1:2" x14ac:dyDescent="0.25">
      <c r="A7045">
        <v>12459</v>
      </c>
      <c r="B7045">
        <v>0</v>
      </c>
    </row>
    <row r="7046" spans="1:2" x14ac:dyDescent="0.25">
      <c r="A7046">
        <v>12460</v>
      </c>
      <c r="B7046">
        <v>0</v>
      </c>
    </row>
    <row r="7047" spans="1:2" x14ac:dyDescent="0.25">
      <c r="A7047">
        <v>12461</v>
      </c>
      <c r="B7047">
        <v>0</v>
      </c>
    </row>
    <row r="7048" spans="1:2" x14ac:dyDescent="0.25">
      <c r="A7048">
        <v>12462</v>
      </c>
      <c r="B7048">
        <v>0</v>
      </c>
    </row>
    <row r="7049" spans="1:2" x14ac:dyDescent="0.25">
      <c r="A7049">
        <v>12463</v>
      </c>
      <c r="B7049">
        <v>0</v>
      </c>
    </row>
    <row r="7050" spans="1:2" x14ac:dyDescent="0.25">
      <c r="A7050">
        <v>12468</v>
      </c>
      <c r="B7050">
        <v>0</v>
      </c>
    </row>
    <row r="7051" spans="1:2" x14ac:dyDescent="0.25">
      <c r="A7051">
        <v>12469</v>
      </c>
      <c r="B7051">
        <v>0</v>
      </c>
    </row>
    <row r="7052" spans="1:2" x14ac:dyDescent="0.25">
      <c r="A7052">
        <v>12471</v>
      </c>
      <c r="B7052">
        <v>0</v>
      </c>
    </row>
    <row r="7053" spans="1:2" x14ac:dyDescent="0.25">
      <c r="A7053">
        <v>12472</v>
      </c>
      <c r="B7053">
        <v>0</v>
      </c>
    </row>
    <row r="7054" spans="1:2" x14ac:dyDescent="0.25">
      <c r="A7054">
        <v>12474</v>
      </c>
      <c r="B7054">
        <v>0</v>
      </c>
    </row>
    <row r="7055" spans="1:2" x14ac:dyDescent="0.25">
      <c r="A7055">
        <v>12475</v>
      </c>
      <c r="B7055">
        <v>0</v>
      </c>
    </row>
    <row r="7056" spans="1:2" x14ac:dyDescent="0.25">
      <c r="A7056">
        <v>12477</v>
      </c>
      <c r="B7056">
        <v>0</v>
      </c>
    </row>
    <row r="7057" spans="1:2" x14ac:dyDescent="0.25">
      <c r="A7057">
        <v>12499</v>
      </c>
      <c r="B7057">
        <v>0</v>
      </c>
    </row>
    <row r="7058" spans="1:2" x14ac:dyDescent="0.25">
      <c r="A7058">
        <v>12500</v>
      </c>
      <c r="B7058">
        <v>0</v>
      </c>
    </row>
    <row r="7059" spans="1:2" x14ac:dyDescent="0.25">
      <c r="A7059">
        <v>12501</v>
      </c>
      <c r="B7059">
        <v>0</v>
      </c>
    </row>
    <row r="7060" spans="1:2" x14ac:dyDescent="0.25">
      <c r="A7060">
        <v>12502</v>
      </c>
      <c r="B7060">
        <v>0</v>
      </c>
    </row>
    <row r="7061" spans="1:2" x14ac:dyDescent="0.25">
      <c r="A7061">
        <v>12503</v>
      </c>
      <c r="B7061">
        <v>0</v>
      </c>
    </row>
    <row r="7062" spans="1:2" x14ac:dyDescent="0.25">
      <c r="A7062">
        <v>12504</v>
      </c>
      <c r="B7062">
        <v>0</v>
      </c>
    </row>
    <row r="7063" spans="1:2" x14ac:dyDescent="0.25">
      <c r="A7063">
        <v>12505</v>
      </c>
      <c r="B7063">
        <v>0</v>
      </c>
    </row>
    <row r="7064" spans="1:2" x14ac:dyDescent="0.25">
      <c r="A7064">
        <v>12506</v>
      </c>
      <c r="B7064">
        <v>0</v>
      </c>
    </row>
    <row r="7065" spans="1:2" x14ac:dyDescent="0.25">
      <c r="A7065">
        <v>12507</v>
      </c>
      <c r="B7065">
        <v>0</v>
      </c>
    </row>
    <row r="7066" spans="1:2" x14ac:dyDescent="0.25">
      <c r="A7066">
        <v>12508</v>
      </c>
      <c r="B7066">
        <v>0</v>
      </c>
    </row>
    <row r="7067" spans="1:2" x14ac:dyDescent="0.25">
      <c r="A7067">
        <v>12509</v>
      </c>
      <c r="B7067">
        <v>0</v>
      </c>
    </row>
    <row r="7068" spans="1:2" x14ac:dyDescent="0.25">
      <c r="A7068">
        <v>12510</v>
      </c>
      <c r="B7068">
        <v>0</v>
      </c>
    </row>
    <row r="7069" spans="1:2" x14ac:dyDescent="0.25">
      <c r="A7069">
        <v>12511</v>
      </c>
      <c r="B7069">
        <v>0</v>
      </c>
    </row>
    <row r="7070" spans="1:2" x14ac:dyDescent="0.25">
      <c r="A7070">
        <v>12512</v>
      </c>
      <c r="B7070">
        <v>0</v>
      </c>
    </row>
    <row r="7071" spans="1:2" x14ac:dyDescent="0.25">
      <c r="A7071">
        <v>12513</v>
      </c>
      <c r="B7071">
        <v>0</v>
      </c>
    </row>
    <row r="7072" spans="1:2" x14ac:dyDescent="0.25">
      <c r="A7072">
        <v>12514</v>
      </c>
      <c r="B7072">
        <v>0</v>
      </c>
    </row>
    <row r="7073" spans="1:2" x14ac:dyDescent="0.25">
      <c r="A7073">
        <v>12515</v>
      </c>
      <c r="B7073">
        <v>0</v>
      </c>
    </row>
    <row r="7074" spans="1:2" x14ac:dyDescent="0.25">
      <c r="A7074">
        <v>12516</v>
      </c>
      <c r="B7074">
        <v>0</v>
      </c>
    </row>
    <row r="7075" spans="1:2" x14ac:dyDescent="0.25">
      <c r="A7075">
        <v>12517</v>
      </c>
      <c r="B7075">
        <v>0</v>
      </c>
    </row>
    <row r="7076" spans="1:2" x14ac:dyDescent="0.25">
      <c r="A7076">
        <v>12518</v>
      </c>
      <c r="B7076">
        <v>0</v>
      </c>
    </row>
    <row r="7077" spans="1:2" x14ac:dyDescent="0.25">
      <c r="A7077">
        <v>12519</v>
      </c>
      <c r="B7077">
        <v>0</v>
      </c>
    </row>
    <row r="7078" spans="1:2" x14ac:dyDescent="0.25">
      <c r="A7078">
        <v>12520</v>
      </c>
      <c r="B7078">
        <v>0</v>
      </c>
    </row>
    <row r="7079" spans="1:2" x14ac:dyDescent="0.25">
      <c r="A7079">
        <v>12521</v>
      </c>
      <c r="B7079">
        <v>0</v>
      </c>
    </row>
    <row r="7080" spans="1:2" x14ac:dyDescent="0.25">
      <c r="A7080">
        <v>12522</v>
      </c>
      <c r="B7080">
        <v>0</v>
      </c>
    </row>
    <row r="7081" spans="1:2" x14ac:dyDescent="0.25">
      <c r="A7081">
        <v>12523</v>
      </c>
      <c r="B7081">
        <v>0</v>
      </c>
    </row>
    <row r="7082" spans="1:2" x14ac:dyDescent="0.25">
      <c r="A7082">
        <v>12525</v>
      </c>
      <c r="B7082">
        <v>0</v>
      </c>
    </row>
    <row r="7083" spans="1:2" x14ac:dyDescent="0.25">
      <c r="A7083">
        <v>12526</v>
      </c>
      <c r="B7083">
        <v>0</v>
      </c>
    </row>
    <row r="7084" spans="1:2" x14ac:dyDescent="0.25">
      <c r="A7084">
        <v>12527</v>
      </c>
      <c r="B7084">
        <v>0</v>
      </c>
    </row>
    <row r="7085" spans="1:2" x14ac:dyDescent="0.25">
      <c r="A7085">
        <v>12528</v>
      </c>
      <c r="B7085">
        <v>0</v>
      </c>
    </row>
    <row r="7086" spans="1:2" x14ac:dyDescent="0.25">
      <c r="A7086">
        <v>12529</v>
      </c>
      <c r="B7086">
        <v>0</v>
      </c>
    </row>
    <row r="7087" spans="1:2" x14ac:dyDescent="0.25">
      <c r="A7087">
        <v>12530</v>
      </c>
      <c r="B7087">
        <v>0</v>
      </c>
    </row>
    <row r="7088" spans="1:2" x14ac:dyDescent="0.25">
      <c r="A7088">
        <v>12531</v>
      </c>
      <c r="B7088">
        <v>0</v>
      </c>
    </row>
    <row r="7089" spans="1:2" x14ac:dyDescent="0.25">
      <c r="A7089">
        <v>12532</v>
      </c>
      <c r="B7089">
        <v>0</v>
      </c>
    </row>
    <row r="7090" spans="1:2" x14ac:dyDescent="0.25">
      <c r="A7090">
        <v>12533</v>
      </c>
      <c r="B7090">
        <v>0</v>
      </c>
    </row>
    <row r="7091" spans="1:2" x14ac:dyDescent="0.25">
      <c r="A7091">
        <v>12534</v>
      </c>
      <c r="B7091">
        <v>0</v>
      </c>
    </row>
    <row r="7092" spans="1:2" x14ac:dyDescent="0.25">
      <c r="A7092">
        <v>12535</v>
      </c>
      <c r="B7092">
        <v>0</v>
      </c>
    </row>
    <row r="7093" spans="1:2" x14ac:dyDescent="0.25">
      <c r="A7093">
        <v>12536</v>
      </c>
      <c r="B7093">
        <v>0</v>
      </c>
    </row>
    <row r="7094" spans="1:2" x14ac:dyDescent="0.25">
      <c r="A7094">
        <v>12538</v>
      </c>
      <c r="B7094">
        <v>0</v>
      </c>
    </row>
    <row r="7095" spans="1:2" x14ac:dyDescent="0.25">
      <c r="A7095">
        <v>12540</v>
      </c>
      <c r="B7095">
        <v>0</v>
      </c>
    </row>
    <row r="7096" spans="1:2" x14ac:dyDescent="0.25">
      <c r="A7096">
        <v>12542</v>
      </c>
      <c r="B7096">
        <v>0</v>
      </c>
    </row>
    <row r="7097" spans="1:2" x14ac:dyDescent="0.25">
      <c r="A7097">
        <v>12544</v>
      </c>
      <c r="B7097">
        <v>0</v>
      </c>
    </row>
    <row r="7098" spans="1:2" x14ac:dyDescent="0.25">
      <c r="A7098">
        <v>12546</v>
      </c>
      <c r="B7098">
        <v>0</v>
      </c>
    </row>
    <row r="7099" spans="1:2" x14ac:dyDescent="0.25">
      <c r="A7099">
        <v>12547</v>
      </c>
      <c r="B7099">
        <v>0</v>
      </c>
    </row>
    <row r="7100" spans="1:2" x14ac:dyDescent="0.25">
      <c r="A7100">
        <v>12548</v>
      </c>
      <c r="B7100">
        <v>0</v>
      </c>
    </row>
    <row r="7101" spans="1:2" x14ac:dyDescent="0.25">
      <c r="A7101">
        <v>12549</v>
      </c>
      <c r="B7101">
        <v>0</v>
      </c>
    </row>
    <row r="7102" spans="1:2" x14ac:dyDescent="0.25">
      <c r="A7102">
        <v>12550</v>
      </c>
      <c r="B7102">
        <v>0</v>
      </c>
    </row>
    <row r="7103" spans="1:2" x14ac:dyDescent="0.25">
      <c r="A7103">
        <v>12552</v>
      </c>
      <c r="B7103">
        <v>0</v>
      </c>
    </row>
    <row r="7104" spans="1:2" x14ac:dyDescent="0.25">
      <c r="A7104">
        <v>12554</v>
      </c>
      <c r="B7104">
        <v>0</v>
      </c>
    </row>
    <row r="7105" spans="1:2" x14ac:dyDescent="0.25">
      <c r="A7105">
        <v>12555</v>
      </c>
      <c r="B7105">
        <v>0</v>
      </c>
    </row>
    <row r="7106" spans="1:2" x14ac:dyDescent="0.25">
      <c r="A7106">
        <v>12556</v>
      </c>
      <c r="B7106">
        <v>0</v>
      </c>
    </row>
    <row r="7107" spans="1:2" x14ac:dyDescent="0.25">
      <c r="A7107">
        <v>12560</v>
      </c>
      <c r="B7107">
        <v>0</v>
      </c>
    </row>
    <row r="7108" spans="1:2" x14ac:dyDescent="0.25">
      <c r="A7108">
        <v>12561</v>
      </c>
      <c r="B7108">
        <v>0</v>
      </c>
    </row>
    <row r="7109" spans="1:2" x14ac:dyDescent="0.25">
      <c r="A7109">
        <v>12562</v>
      </c>
      <c r="B7109">
        <v>0</v>
      </c>
    </row>
    <row r="7110" spans="1:2" x14ac:dyDescent="0.25">
      <c r="A7110">
        <v>12563</v>
      </c>
      <c r="B7110">
        <v>0</v>
      </c>
    </row>
    <row r="7111" spans="1:2" x14ac:dyDescent="0.25">
      <c r="A7111">
        <v>12564</v>
      </c>
      <c r="B7111">
        <v>0</v>
      </c>
    </row>
    <row r="7112" spans="1:2" x14ac:dyDescent="0.25">
      <c r="A7112">
        <v>12566</v>
      </c>
      <c r="B7112">
        <v>0</v>
      </c>
    </row>
    <row r="7113" spans="1:2" x14ac:dyDescent="0.25">
      <c r="A7113">
        <v>12568</v>
      </c>
      <c r="B7113">
        <v>0</v>
      </c>
    </row>
    <row r="7114" spans="1:2" x14ac:dyDescent="0.25">
      <c r="A7114">
        <v>12569</v>
      </c>
      <c r="B7114">
        <v>0</v>
      </c>
    </row>
    <row r="7115" spans="1:2" x14ac:dyDescent="0.25">
      <c r="A7115">
        <v>12571</v>
      </c>
      <c r="B7115">
        <v>0</v>
      </c>
    </row>
    <row r="7116" spans="1:2" x14ac:dyDescent="0.25">
      <c r="A7116">
        <v>12573</v>
      </c>
      <c r="B7116">
        <v>0</v>
      </c>
    </row>
    <row r="7117" spans="1:2" x14ac:dyDescent="0.25">
      <c r="A7117">
        <v>12574</v>
      </c>
      <c r="B7117">
        <v>0</v>
      </c>
    </row>
    <row r="7118" spans="1:2" x14ac:dyDescent="0.25">
      <c r="A7118">
        <v>12575</v>
      </c>
      <c r="B7118">
        <v>0</v>
      </c>
    </row>
    <row r="7119" spans="1:2" x14ac:dyDescent="0.25">
      <c r="A7119">
        <v>12576</v>
      </c>
      <c r="B7119">
        <v>0</v>
      </c>
    </row>
    <row r="7120" spans="1:2" x14ac:dyDescent="0.25">
      <c r="A7120">
        <v>12577</v>
      </c>
      <c r="B7120">
        <v>0</v>
      </c>
    </row>
    <row r="7121" spans="1:2" x14ac:dyDescent="0.25">
      <c r="A7121">
        <v>12578</v>
      </c>
      <c r="B7121">
        <v>0</v>
      </c>
    </row>
    <row r="7122" spans="1:2" x14ac:dyDescent="0.25">
      <c r="A7122">
        <v>12579</v>
      </c>
      <c r="B7122">
        <v>0</v>
      </c>
    </row>
    <row r="7123" spans="1:2" x14ac:dyDescent="0.25">
      <c r="A7123">
        <v>12580</v>
      </c>
      <c r="B7123">
        <v>0</v>
      </c>
    </row>
    <row r="7124" spans="1:2" x14ac:dyDescent="0.25">
      <c r="A7124">
        <v>12581</v>
      </c>
      <c r="B7124">
        <v>0</v>
      </c>
    </row>
    <row r="7125" spans="1:2" x14ac:dyDescent="0.25">
      <c r="A7125">
        <v>12582</v>
      </c>
      <c r="B7125">
        <v>0</v>
      </c>
    </row>
    <row r="7126" spans="1:2" x14ac:dyDescent="0.25">
      <c r="A7126">
        <v>12583</v>
      </c>
      <c r="B7126">
        <v>0</v>
      </c>
    </row>
    <row r="7127" spans="1:2" x14ac:dyDescent="0.25">
      <c r="A7127">
        <v>12584</v>
      </c>
      <c r="B7127">
        <v>0</v>
      </c>
    </row>
    <row r="7128" spans="1:2" x14ac:dyDescent="0.25">
      <c r="A7128">
        <v>12585</v>
      </c>
      <c r="B7128">
        <v>0</v>
      </c>
    </row>
    <row r="7129" spans="1:2" x14ac:dyDescent="0.25">
      <c r="A7129">
        <v>12586</v>
      </c>
      <c r="B7129">
        <v>0</v>
      </c>
    </row>
    <row r="7130" spans="1:2" x14ac:dyDescent="0.25">
      <c r="A7130">
        <v>12587</v>
      </c>
      <c r="B7130">
        <v>0</v>
      </c>
    </row>
    <row r="7131" spans="1:2" x14ac:dyDescent="0.25">
      <c r="A7131">
        <v>12588</v>
      </c>
      <c r="B7131">
        <v>0</v>
      </c>
    </row>
    <row r="7132" spans="1:2" x14ac:dyDescent="0.25">
      <c r="A7132">
        <v>12589</v>
      </c>
      <c r="B7132">
        <v>0</v>
      </c>
    </row>
    <row r="7133" spans="1:2" x14ac:dyDescent="0.25">
      <c r="A7133">
        <v>12593</v>
      </c>
      <c r="B7133">
        <v>0</v>
      </c>
    </row>
    <row r="7134" spans="1:2" x14ac:dyDescent="0.25">
      <c r="A7134">
        <v>12594</v>
      </c>
      <c r="B7134">
        <v>0</v>
      </c>
    </row>
    <row r="7135" spans="1:2" x14ac:dyDescent="0.25">
      <c r="A7135">
        <v>12595</v>
      </c>
      <c r="B7135">
        <v>0</v>
      </c>
    </row>
    <row r="7136" spans="1:2" x14ac:dyDescent="0.25">
      <c r="A7136">
        <v>12596</v>
      </c>
      <c r="B7136">
        <v>0</v>
      </c>
    </row>
    <row r="7137" spans="1:2" x14ac:dyDescent="0.25">
      <c r="A7137">
        <v>12597</v>
      </c>
      <c r="B7137">
        <v>0</v>
      </c>
    </row>
    <row r="7138" spans="1:2" x14ac:dyDescent="0.25">
      <c r="A7138">
        <v>12598</v>
      </c>
      <c r="B7138">
        <v>0</v>
      </c>
    </row>
    <row r="7139" spans="1:2" x14ac:dyDescent="0.25">
      <c r="A7139">
        <v>12599</v>
      </c>
      <c r="B7139">
        <v>0</v>
      </c>
    </row>
    <row r="7140" spans="1:2" x14ac:dyDescent="0.25">
      <c r="A7140">
        <v>12600</v>
      </c>
      <c r="B7140">
        <v>0</v>
      </c>
    </row>
    <row r="7141" spans="1:2" x14ac:dyDescent="0.25">
      <c r="A7141">
        <v>12602</v>
      </c>
      <c r="B7141">
        <v>0</v>
      </c>
    </row>
    <row r="7142" spans="1:2" x14ac:dyDescent="0.25">
      <c r="A7142">
        <v>12604</v>
      </c>
      <c r="B7142">
        <v>0</v>
      </c>
    </row>
    <row r="7143" spans="1:2" x14ac:dyDescent="0.25">
      <c r="A7143">
        <v>12605</v>
      </c>
      <c r="B7143">
        <v>0</v>
      </c>
    </row>
    <row r="7144" spans="1:2" x14ac:dyDescent="0.25">
      <c r="A7144">
        <v>12606</v>
      </c>
      <c r="B7144">
        <v>0</v>
      </c>
    </row>
    <row r="7145" spans="1:2" x14ac:dyDescent="0.25">
      <c r="A7145">
        <v>12607</v>
      </c>
      <c r="B7145">
        <v>0</v>
      </c>
    </row>
    <row r="7146" spans="1:2" x14ac:dyDescent="0.25">
      <c r="A7146">
        <v>12609</v>
      </c>
      <c r="B7146">
        <v>0</v>
      </c>
    </row>
    <row r="7147" spans="1:2" x14ac:dyDescent="0.25">
      <c r="A7147">
        <v>12611</v>
      </c>
      <c r="B7147">
        <v>0</v>
      </c>
    </row>
    <row r="7148" spans="1:2" x14ac:dyDescent="0.25">
      <c r="A7148">
        <v>12612</v>
      </c>
      <c r="B7148">
        <v>0</v>
      </c>
    </row>
    <row r="7149" spans="1:2" x14ac:dyDescent="0.25">
      <c r="A7149">
        <v>12613</v>
      </c>
      <c r="B7149">
        <v>0</v>
      </c>
    </row>
    <row r="7150" spans="1:2" x14ac:dyDescent="0.25">
      <c r="A7150">
        <v>12614</v>
      </c>
      <c r="B7150">
        <v>0</v>
      </c>
    </row>
    <row r="7151" spans="1:2" x14ac:dyDescent="0.25">
      <c r="A7151">
        <v>12615</v>
      </c>
      <c r="B7151">
        <v>0</v>
      </c>
    </row>
    <row r="7152" spans="1:2" x14ac:dyDescent="0.25">
      <c r="A7152">
        <v>12616</v>
      </c>
      <c r="B7152">
        <v>0</v>
      </c>
    </row>
    <row r="7153" spans="1:2" x14ac:dyDescent="0.25">
      <c r="A7153">
        <v>12617</v>
      </c>
      <c r="B7153">
        <v>0</v>
      </c>
    </row>
    <row r="7154" spans="1:2" x14ac:dyDescent="0.25">
      <c r="A7154">
        <v>12618</v>
      </c>
      <c r="B7154">
        <v>0</v>
      </c>
    </row>
    <row r="7155" spans="1:2" x14ac:dyDescent="0.25">
      <c r="A7155">
        <v>12619</v>
      </c>
      <c r="B7155">
        <v>0</v>
      </c>
    </row>
    <row r="7156" spans="1:2" x14ac:dyDescent="0.25">
      <c r="A7156">
        <v>12620</v>
      </c>
      <c r="B7156">
        <v>0</v>
      </c>
    </row>
    <row r="7157" spans="1:2" x14ac:dyDescent="0.25">
      <c r="A7157">
        <v>12621</v>
      </c>
      <c r="B7157">
        <v>0</v>
      </c>
    </row>
    <row r="7158" spans="1:2" x14ac:dyDescent="0.25">
      <c r="A7158">
        <v>12622</v>
      </c>
      <c r="B7158">
        <v>0</v>
      </c>
    </row>
    <row r="7159" spans="1:2" x14ac:dyDescent="0.25">
      <c r="A7159">
        <v>12623</v>
      </c>
      <c r="B7159">
        <v>0</v>
      </c>
    </row>
    <row r="7160" spans="1:2" x14ac:dyDescent="0.25">
      <c r="A7160">
        <v>12624</v>
      </c>
      <c r="B7160">
        <v>0</v>
      </c>
    </row>
    <row r="7161" spans="1:2" x14ac:dyDescent="0.25">
      <c r="A7161">
        <v>12625</v>
      </c>
      <c r="B7161">
        <v>0</v>
      </c>
    </row>
    <row r="7162" spans="1:2" x14ac:dyDescent="0.25">
      <c r="A7162">
        <v>12626</v>
      </c>
      <c r="B7162">
        <v>0</v>
      </c>
    </row>
    <row r="7163" spans="1:2" x14ac:dyDescent="0.25">
      <c r="A7163">
        <v>12627</v>
      </c>
      <c r="B7163">
        <v>0</v>
      </c>
    </row>
    <row r="7164" spans="1:2" x14ac:dyDescent="0.25">
      <c r="A7164">
        <v>12628</v>
      </c>
      <c r="B7164">
        <v>0</v>
      </c>
    </row>
    <row r="7165" spans="1:2" x14ac:dyDescent="0.25">
      <c r="A7165">
        <v>12656</v>
      </c>
      <c r="B7165">
        <v>0</v>
      </c>
    </row>
    <row r="7166" spans="1:2" x14ac:dyDescent="0.25">
      <c r="A7166">
        <v>12660</v>
      </c>
      <c r="B7166">
        <v>0</v>
      </c>
    </row>
    <row r="7167" spans="1:2" x14ac:dyDescent="0.25">
      <c r="A7167">
        <v>12662</v>
      </c>
      <c r="B7167">
        <v>0</v>
      </c>
    </row>
    <row r="7168" spans="1:2" x14ac:dyDescent="0.25">
      <c r="A7168">
        <v>12663</v>
      </c>
      <c r="B7168">
        <v>0</v>
      </c>
    </row>
    <row r="7169" spans="1:2" x14ac:dyDescent="0.25">
      <c r="A7169">
        <v>12664</v>
      </c>
      <c r="B7169">
        <v>0</v>
      </c>
    </row>
    <row r="7170" spans="1:2" x14ac:dyDescent="0.25">
      <c r="A7170">
        <v>12665</v>
      </c>
      <c r="B7170">
        <v>0</v>
      </c>
    </row>
    <row r="7171" spans="1:2" x14ac:dyDescent="0.25">
      <c r="A7171">
        <v>12667</v>
      </c>
      <c r="B7171">
        <v>0</v>
      </c>
    </row>
    <row r="7172" spans="1:2" x14ac:dyDescent="0.25">
      <c r="A7172">
        <v>12669</v>
      </c>
      <c r="B7172">
        <v>0</v>
      </c>
    </row>
    <row r="7173" spans="1:2" x14ac:dyDescent="0.25">
      <c r="A7173">
        <v>12670</v>
      </c>
      <c r="B7173">
        <v>0</v>
      </c>
    </row>
    <row r="7174" spans="1:2" x14ac:dyDescent="0.25">
      <c r="A7174">
        <v>12673</v>
      </c>
      <c r="B7174">
        <v>0</v>
      </c>
    </row>
    <row r="7175" spans="1:2" x14ac:dyDescent="0.25">
      <c r="A7175">
        <v>12689</v>
      </c>
      <c r="B7175">
        <v>0</v>
      </c>
    </row>
    <row r="7176" spans="1:2" x14ac:dyDescent="0.25">
      <c r="A7176">
        <v>12690</v>
      </c>
      <c r="B7176">
        <v>0</v>
      </c>
    </row>
    <row r="7177" spans="1:2" x14ac:dyDescent="0.25">
      <c r="A7177">
        <v>12692</v>
      </c>
      <c r="B7177">
        <v>0</v>
      </c>
    </row>
    <row r="7178" spans="1:2" x14ac:dyDescent="0.25">
      <c r="A7178">
        <v>12693</v>
      </c>
      <c r="B7178">
        <v>0</v>
      </c>
    </row>
    <row r="7179" spans="1:2" x14ac:dyDescent="0.25">
      <c r="A7179">
        <v>12694</v>
      </c>
      <c r="B7179">
        <v>0</v>
      </c>
    </row>
    <row r="7180" spans="1:2" x14ac:dyDescent="0.25">
      <c r="A7180">
        <v>12695</v>
      </c>
      <c r="B7180">
        <v>0</v>
      </c>
    </row>
    <row r="7181" spans="1:2" x14ac:dyDescent="0.25">
      <c r="A7181">
        <v>12696</v>
      </c>
      <c r="B7181">
        <v>0</v>
      </c>
    </row>
    <row r="7182" spans="1:2" x14ac:dyDescent="0.25">
      <c r="A7182">
        <v>12697</v>
      </c>
      <c r="B7182">
        <v>0</v>
      </c>
    </row>
    <row r="7183" spans="1:2" x14ac:dyDescent="0.25">
      <c r="A7183">
        <v>12698</v>
      </c>
      <c r="B7183">
        <v>0</v>
      </c>
    </row>
    <row r="7184" spans="1:2" x14ac:dyDescent="0.25">
      <c r="A7184">
        <v>12699</v>
      </c>
      <c r="B7184">
        <v>0</v>
      </c>
    </row>
    <row r="7185" spans="1:2" x14ac:dyDescent="0.25">
      <c r="A7185">
        <v>12700</v>
      </c>
      <c r="B7185">
        <v>0</v>
      </c>
    </row>
    <row r="7186" spans="1:2" x14ac:dyDescent="0.25">
      <c r="A7186">
        <v>12701</v>
      </c>
      <c r="B7186">
        <v>0</v>
      </c>
    </row>
    <row r="7187" spans="1:2" x14ac:dyDescent="0.25">
      <c r="A7187">
        <v>12702</v>
      </c>
      <c r="B7187">
        <v>0</v>
      </c>
    </row>
    <row r="7188" spans="1:2" x14ac:dyDescent="0.25">
      <c r="A7188">
        <v>12703</v>
      </c>
      <c r="B7188">
        <v>0</v>
      </c>
    </row>
    <row r="7189" spans="1:2" x14ac:dyDescent="0.25">
      <c r="A7189">
        <v>12704</v>
      </c>
      <c r="B7189">
        <v>0</v>
      </c>
    </row>
    <row r="7190" spans="1:2" x14ac:dyDescent="0.25">
      <c r="A7190">
        <v>12705</v>
      </c>
      <c r="B7190">
        <v>0</v>
      </c>
    </row>
    <row r="7191" spans="1:2" x14ac:dyDescent="0.25">
      <c r="A7191">
        <v>12706</v>
      </c>
      <c r="B7191">
        <v>0</v>
      </c>
    </row>
    <row r="7192" spans="1:2" x14ac:dyDescent="0.25">
      <c r="A7192">
        <v>12716</v>
      </c>
      <c r="B7192">
        <v>0</v>
      </c>
    </row>
    <row r="7193" spans="1:2" x14ac:dyDescent="0.25">
      <c r="A7193">
        <v>12717</v>
      </c>
      <c r="B7193">
        <v>0</v>
      </c>
    </row>
    <row r="7194" spans="1:2" x14ac:dyDescent="0.25">
      <c r="A7194">
        <v>12718</v>
      </c>
      <c r="B7194">
        <v>0</v>
      </c>
    </row>
    <row r="7195" spans="1:2" x14ac:dyDescent="0.25">
      <c r="A7195">
        <v>12719</v>
      </c>
      <c r="B7195">
        <v>0</v>
      </c>
    </row>
    <row r="7196" spans="1:2" x14ac:dyDescent="0.25">
      <c r="A7196">
        <v>12720</v>
      </c>
      <c r="B7196">
        <v>0</v>
      </c>
    </row>
    <row r="7197" spans="1:2" x14ac:dyDescent="0.25">
      <c r="A7197">
        <v>12721</v>
      </c>
      <c r="B7197">
        <v>0</v>
      </c>
    </row>
    <row r="7198" spans="1:2" x14ac:dyDescent="0.25">
      <c r="A7198">
        <v>12722</v>
      </c>
      <c r="B7198">
        <v>0</v>
      </c>
    </row>
    <row r="7199" spans="1:2" x14ac:dyDescent="0.25">
      <c r="A7199">
        <v>12723</v>
      </c>
      <c r="B7199">
        <v>0</v>
      </c>
    </row>
    <row r="7200" spans="1:2" x14ac:dyDescent="0.25">
      <c r="A7200">
        <v>12724</v>
      </c>
      <c r="B7200">
        <v>0</v>
      </c>
    </row>
    <row r="7201" spans="1:2" x14ac:dyDescent="0.25">
      <c r="A7201">
        <v>12725</v>
      </c>
      <c r="B7201">
        <v>0</v>
      </c>
    </row>
    <row r="7202" spans="1:2" x14ac:dyDescent="0.25">
      <c r="A7202">
        <v>12726</v>
      </c>
      <c r="B7202">
        <v>0</v>
      </c>
    </row>
    <row r="7203" spans="1:2" x14ac:dyDescent="0.25">
      <c r="A7203">
        <v>12727</v>
      </c>
      <c r="B7203">
        <v>0</v>
      </c>
    </row>
    <row r="7204" spans="1:2" x14ac:dyDescent="0.25">
      <c r="A7204">
        <v>12733</v>
      </c>
      <c r="B7204">
        <v>0</v>
      </c>
    </row>
    <row r="7205" spans="1:2" x14ac:dyDescent="0.25">
      <c r="A7205">
        <v>12734</v>
      </c>
      <c r="B7205">
        <v>0</v>
      </c>
    </row>
    <row r="7206" spans="1:2" x14ac:dyDescent="0.25">
      <c r="A7206">
        <v>12735</v>
      </c>
      <c r="B7206">
        <v>0</v>
      </c>
    </row>
    <row r="7207" spans="1:2" x14ac:dyDescent="0.25">
      <c r="A7207">
        <v>12736</v>
      </c>
      <c r="B7207">
        <v>0</v>
      </c>
    </row>
    <row r="7208" spans="1:2" x14ac:dyDescent="0.25">
      <c r="A7208">
        <v>12739</v>
      </c>
      <c r="B7208">
        <v>0</v>
      </c>
    </row>
    <row r="7209" spans="1:2" x14ac:dyDescent="0.25">
      <c r="A7209">
        <v>12740</v>
      </c>
      <c r="B7209">
        <v>0</v>
      </c>
    </row>
    <row r="7210" spans="1:2" x14ac:dyDescent="0.25">
      <c r="A7210">
        <v>12742</v>
      </c>
      <c r="B7210">
        <v>0</v>
      </c>
    </row>
    <row r="7211" spans="1:2" x14ac:dyDescent="0.25">
      <c r="A7211">
        <v>12743</v>
      </c>
      <c r="B7211">
        <v>0</v>
      </c>
    </row>
    <row r="7212" spans="1:2" x14ac:dyDescent="0.25">
      <c r="A7212">
        <v>12745</v>
      </c>
      <c r="B7212">
        <v>0</v>
      </c>
    </row>
    <row r="7213" spans="1:2" x14ac:dyDescent="0.25">
      <c r="A7213">
        <v>12747</v>
      </c>
      <c r="B7213">
        <v>0</v>
      </c>
    </row>
    <row r="7214" spans="1:2" x14ac:dyDescent="0.25">
      <c r="A7214">
        <v>12748</v>
      </c>
      <c r="B7214">
        <v>0</v>
      </c>
    </row>
    <row r="7215" spans="1:2" x14ac:dyDescent="0.25">
      <c r="A7215">
        <v>12749</v>
      </c>
      <c r="B7215">
        <v>0</v>
      </c>
    </row>
    <row r="7216" spans="1:2" x14ac:dyDescent="0.25">
      <c r="A7216">
        <v>12754</v>
      </c>
      <c r="B7216">
        <v>0</v>
      </c>
    </row>
    <row r="7217" spans="1:2" x14ac:dyDescent="0.25">
      <c r="A7217">
        <v>12755</v>
      </c>
      <c r="B7217">
        <v>0</v>
      </c>
    </row>
    <row r="7218" spans="1:2" x14ac:dyDescent="0.25">
      <c r="A7218">
        <v>12756</v>
      </c>
      <c r="B7218">
        <v>0</v>
      </c>
    </row>
    <row r="7219" spans="1:2" x14ac:dyDescent="0.25">
      <c r="A7219">
        <v>12757</v>
      </c>
      <c r="B7219">
        <v>0</v>
      </c>
    </row>
    <row r="7220" spans="1:2" x14ac:dyDescent="0.25">
      <c r="A7220">
        <v>12761</v>
      </c>
      <c r="B7220">
        <v>0</v>
      </c>
    </row>
    <row r="7221" spans="1:2" x14ac:dyDescent="0.25">
      <c r="A7221">
        <v>12762</v>
      </c>
      <c r="B7221">
        <v>0</v>
      </c>
    </row>
    <row r="7222" spans="1:2" x14ac:dyDescent="0.25">
      <c r="A7222">
        <v>12773</v>
      </c>
      <c r="B7222">
        <v>0</v>
      </c>
    </row>
    <row r="7223" spans="1:2" x14ac:dyDescent="0.25">
      <c r="A7223">
        <v>12777</v>
      </c>
      <c r="B7223">
        <v>0</v>
      </c>
    </row>
    <row r="7224" spans="1:2" x14ac:dyDescent="0.25">
      <c r="A7224">
        <v>12778</v>
      </c>
      <c r="B7224">
        <v>0</v>
      </c>
    </row>
    <row r="7225" spans="1:2" x14ac:dyDescent="0.25">
      <c r="A7225">
        <v>12779</v>
      </c>
      <c r="B7225">
        <v>0</v>
      </c>
    </row>
    <row r="7226" spans="1:2" x14ac:dyDescent="0.25">
      <c r="A7226">
        <v>12780</v>
      </c>
      <c r="B7226">
        <v>0</v>
      </c>
    </row>
    <row r="7227" spans="1:2" x14ac:dyDescent="0.25">
      <c r="A7227">
        <v>12782</v>
      </c>
      <c r="B7227">
        <v>0</v>
      </c>
    </row>
    <row r="7228" spans="1:2" x14ac:dyDescent="0.25">
      <c r="A7228">
        <v>12783</v>
      </c>
      <c r="B7228">
        <v>0</v>
      </c>
    </row>
    <row r="7229" spans="1:2" x14ac:dyDescent="0.25">
      <c r="A7229">
        <v>12784</v>
      </c>
      <c r="B7229">
        <v>0</v>
      </c>
    </row>
    <row r="7230" spans="1:2" x14ac:dyDescent="0.25">
      <c r="A7230">
        <v>12785</v>
      </c>
      <c r="B7230">
        <v>0</v>
      </c>
    </row>
    <row r="7231" spans="1:2" x14ac:dyDescent="0.25">
      <c r="A7231">
        <v>12786</v>
      </c>
      <c r="B7231">
        <v>0</v>
      </c>
    </row>
    <row r="7232" spans="1:2" x14ac:dyDescent="0.25">
      <c r="A7232">
        <v>12787</v>
      </c>
      <c r="B7232">
        <v>0</v>
      </c>
    </row>
    <row r="7233" spans="1:2" x14ac:dyDescent="0.25">
      <c r="A7233">
        <v>12788</v>
      </c>
      <c r="B7233">
        <v>0</v>
      </c>
    </row>
    <row r="7234" spans="1:2" x14ac:dyDescent="0.25">
      <c r="A7234">
        <v>12789</v>
      </c>
      <c r="B7234">
        <v>0</v>
      </c>
    </row>
    <row r="7235" spans="1:2" x14ac:dyDescent="0.25">
      <c r="A7235">
        <v>12790</v>
      </c>
      <c r="B7235">
        <v>0</v>
      </c>
    </row>
    <row r="7236" spans="1:2" x14ac:dyDescent="0.25">
      <c r="A7236">
        <v>12791</v>
      </c>
      <c r="B7236">
        <v>0</v>
      </c>
    </row>
    <row r="7237" spans="1:2" x14ac:dyDescent="0.25">
      <c r="A7237">
        <v>12793</v>
      </c>
      <c r="B7237">
        <v>0</v>
      </c>
    </row>
    <row r="7238" spans="1:2" x14ac:dyDescent="0.25">
      <c r="A7238">
        <v>12794</v>
      </c>
      <c r="B7238">
        <v>0</v>
      </c>
    </row>
    <row r="7239" spans="1:2" x14ac:dyDescent="0.25">
      <c r="A7239">
        <v>12795</v>
      </c>
      <c r="B7239">
        <v>0</v>
      </c>
    </row>
    <row r="7240" spans="1:2" x14ac:dyDescent="0.25">
      <c r="A7240">
        <v>12797</v>
      </c>
      <c r="B7240">
        <v>0</v>
      </c>
    </row>
    <row r="7241" spans="1:2" x14ac:dyDescent="0.25">
      <c r="A7241">
        <v>12799</v>
      </c>
      <c r="B7241">
        <v>0</v>
      </c>
    </row>
    <row r="7242" spans="1:2" x14ac:dyDescent="0.25">
      <c r="A7242">
        <v>12800</v>
      </c>
      <c r="B7242">
        <v>0</v>
      </c>
    </row>
    <row r="7243" spans="1:2" x14ac:dyDescent="0.25">
      <c r="A7243">
        <v>12801</v>
      </c>
      <c r="B7243">
        <v>0</v>
      </c>
    </row>
    <row r="7244" spans="1:2" x14ac:dyDescent="0.25">
      <c r="A7244">
        <v>12802</v>
      </c>
      <c r="B7244">
        <v>0</v>
      </c>
    </row>
    <row r="7245" spans="1:2" x14ac:dyDescent="0.25">
      <c r="A7245">
        <v>12803</v>
      </c>
      <c r="B7245">
        <v>0</v>
      </c>
    </row>
    <row r="7246" spans="1:2" x14ac:dyDescent="0.25">
      <c r="A7246">
        <v>12805</v>
      </c>
      <c r="B7246">
        <v>0</v>
      </c>
    </row>
    <row r="7247" spans="1:2" x14ac:dyDescent="0.25">
      <c r="A7247">
        <v>12806</v>
      </c>
      <c r="B7247">
        <v>0</v>
      </c>
    </row>
    <row r="7248" spans="1:2" x14ac:dyDescent="0.25">
      <c r="A7248">
        <v>12807</v>
      </c>
      <c r="B7248">
        <v>0</v>
      </c>
    </row>
    <row r="7249" spans="1:2" x14ac:dyDescent="0.25">
      <c r="A7249">
        <v>12810</v>
      </c>
      <c r="B7249">
        <v>0</v>
      </c>
    </row>
    <row r="7250" spans="1:2" x14ac:dyDescent="0.25">
      <c r="A7250">
        <v>12812</v>
      </c>
      <c r="B7250">
        <v>0</v>
      </c>
    </row>
    <row r="7251" spans="1:2" x14ac:dyDescent="0.25">
      <c r="A7251">
        <v>12814</v>
      </c>
      <c r="B7251">
        <v>0</v>
      </c>
    </row>
    <row r="7252" spans="1:2" x14ac:dyDescent="0.25">
      <c r="A7252">
        <v>12815</v>
      </c>
      <c r="B7252">
        <v>0</v>
      </c>
    </row>
    <row r="7253" spans="1:2" x14ac:dyDescent="0.25">
      <c r="A7253">
        <v>12817</v>
      </c>
      <c r="B7253">
        <v>0</v>
      </c>
    </row>
    <row r="7254" spans="1:2" x14ac:dyDescent="0.25">
      <c r="A7254">
        <v>12819</v>
      </c>
      <c r="B7254">
        <v>0</v>
      </c>
    </row>
    <row r="7255" spans="1:2" x14ac:dyDescent="0.25">
      <c r="A7255">
        <v>12821</v>
      </c>
      <c r="B7255">
        <v>0</v>
      </c>
    </row>
    <row r="7256" spans="1:2" x14ac:dyDescent="0.25">
      <c r="A7256">
        <v>12822</v>
      </c>
      <c r="B7256">
        <v>0</v>
      </c>
    </row>
    <row r="7257" spans="1:2" x14ac:dyDescent="0.25">
      <c r="A7257">
        <v>12823</v>
      </c>
      <c r="B7257">
        <v>0</v>
      </c>
    </row>
    <row r="7258" spans="1:2" x14ac:dyDescent="0.25">
      <c r="A7258">
        <v>12825</v>
      </c>
      <c r="B7258">
        <v>0</v>
      </c>
    </row>
    <row r="7259" spans="1:2" x14ac:dyDescent="0.25">
      <c r="A7259">
        <v>12827</v>
      </c>
      <c r="B7259">
        <v>0</v>
      </c>
    </row>
    <row r="7260" spans="1:2" x14ac:dyDescent="0.25">
      <c r="A7260">
        <v>12830</v>
      </c>
      <c r="B7260">
        <v>0</v>
      </c>
    </row>
    <row r="7261" spans="1:2" x14ac:dyDescent="0.25">
      <c r="A7261">
        <v>12832</v>
      </c>
      <c r="B7261">
        <v>0</v>
      </c>
    </row>
    <row r="7262" spans="1:2" x14ac:dyDescent="0.25">
      <c r="A7262">
        <v>12835</v>
      </c>
      <c r="B7262">
        <v>0</v>
      </c>
    </row>
    <row r="7263" spans="1:2" x14ac:dyDescent="0.25">
      <c r="A7263">
        <v>12836</v>
      </c>
      <c r="B7263">
        <v>0</v>
      </c>
    </row>
    <row r="7264" spans="1:2" x14ac:dyDescent="0.25">
      <c r="A7264">
        <v>12837</v>
      </c>
      <c r="B7264">
        <v>0</v>
      </c>
    </row>
    <row r="7265" spans="1:2" x14ac:dyDescent="0.25">
      <c r="A7265">
        <v>12838</v>
      </c>
      <c r="B7265">
        <v>0</v>
      </c>
    </row>
    <row r="7266" spans="1:2" x14ac:dyDescent="0.25">
      <c r="A7266">
        <v>12840</v>
      </c>
      <c r="B7266">
        <v>0</v>
      </c>
    </row>
    <row r="7267" spans="1:2" x14ac:dyDescent="0.25">
      <c r="A7267">
        <v>12842</v>
      </c>
      <c r="B7267">
        <v>0</v>
      </c>
    </row>
    <row r="7268" spans="1:2" x14ac:dyDescent="0.25">
      <c r="A7268">
        <v>12843</v>
      </c>
      <c r="B7268">
        <v>0</v>
      </c>
    </row>
    <row r="7269" spans="1:2" x14ac:dyDescent="0.25">
      <c r="A7269">
        <v>12844</v>
      </c>
      <c r="B7269">
        <v>0</v>
      </c>
    </row>
    <row r="7270" spans="1:2" x14ac:dyDescent="0.25">
      <c r="A7270">
        <v>12846</v>
      </c>
      <c r="B7270">
        <v>0</v>
      </c>
    </row>
    <row r="7271" spans="1:2" x14ac:dyDescent="0.25">
      <c r="A7271">
        <v>12848</v>
      </c>
      <c r="B7271">
        <v>0</v>
      </c>
    </row>
    <row r="7272" spans="1:2" x14ac:dyDescent="0.25">
      <c r="A7272">
        <v>12850</v>
      </c>
      <c r="B7272">
        <v>0</v>
      </c>
    </row>
    <row r="7273" spans="1:2" x14ac:dyDescent="0.25">
      <c r="A7273">
        <v>12852</v>
      </c>
      <c r="B7273">
        <v>0</v>
      </c>
    </row>
    <row r="7274" spans="1:2" x14ac:dyDescent="0.25">
      <c r="A7274">
        <v>12854</v>
      </c>
      <c r="B7274">
        <v>0</v>
      </c>
    </row>
    <row r="7275" spans="1:2" x14ac:dyDescent="0.25">
      <c r="A7275">
        <v>12856</v>
      </c>
      <c r="B7275">
        <v>0</v>
      </c>
    </row>
    <row r="7276" spans="1:2" x14ac:dyDescent="0.25">
      <c r="A7276">
        <v>12857</v>
      </c>
      <c r="B7276">
        <v>0</v>
      </c>
    </row>
    <row r="7277" spans="1:2" x14ac:dyDescent="0.25">
      <c r="A7277">
        <v>12858</v>
      </c>
      <c r="B7277">
        <v>0</v>
      </c>
    </row>
    <row r="7278" spans="1:2" x14ac:dyDescent="0.25">
      <c r="A7278">
        <v>12859</v>
      </c>
      <c r="B7278">
        <v>0</v>
      </c>
    </row>
    <row r="7279" spans="1:2" x14ac:dyDescent="0.25">
      <c r="A7279">
        <v>12860</v>
      </c>
      <c r="B7279">
        <v>0</v>
      </c>
    </row>
    <row r="7280" spans="1:2" x14ac:dyDescent="0.25">
      <c r="A7280">
        <v>12861</v>
      </c>
      <c r="B7280">
        <v>0</v>
      </c>
    </row>
    <row r="7281" spans="1:2" x14ac:dyDescent="0.25">
      <c r="A7281">
        <v>12862</v>
      </c>
      <c r="B7281">
        <v>0</v>
      </c>
    </row>
    <row r="7282" spans="1:2" x14ac:dyDescent="0.25">
      <c r="A7282">
        <v>12863</v>
      </c>
      <c r="B7282">
        <v>0</v>
      </c>
    </row>
    <row r="7283" spans="1:2" x14ac:dyDescent="0.25">
      <c r="A7283">
        <v>12864</v>
      </c>
      <c r="B7283">
        <v>0</v>
      </c>
    </row>
    <row r="7284" spans="1:2" x14ac:dyDescent="0.25">
      <c r="A7284">
        <v>12865</v>
      </c>
      <c r="B7284">
        <v>0</v>
      </c>
    </row>
    <row r="7285" spans="1:2" x14ac:dyDescent="0.25">
      <c r="A7285">
        <v>12866</v>
      </c>
      <c r="B7285">
        <v>0</v>
      </c>
    </row>
    <row r="7286" spans="1:2" x14ac:dyDescent="0.25">
      <c r="A7286">
        <v>12867</v>
      </c>
      <c r="B7286">
        <v>0</v>
      </c>
    </row>
    <row r="7287" spans="1:2" x14ac:dyDescent="0.25">
      <c r="A7287">
        <v>12868</v>
      </c>
      <c r="B7287">
        <v>0</v>
      </c>
    </row>
    <row r="7288" spans="1:2" x14ac:dyDescent="0.25">
      <c r="A7288">
        <v>12869</v>
      </c>
      <c r="B7288">
        <v>0</v>
      </c>
    </row>
    <row r="7289" spans="1:2" x14ac:dyDescent="0.25">
      <c r="A7289">
        <v>12870</v>
      </c>
      <c r="B7289">
        <v>0</v>
      </c>
    </row>
    <row r="7290" spans="1:2" x14ac:dyDescent="0.25">
      <c r="A7290">
        <v>12871</v>
      </c>
      <c r="B7290">
        <v>0</v>
      </c>
    </row>
    <row r="7291" spans="1:2" x14ac:dyDescent="0.25">
      <c r="A7291">
        <v>12872</v>
      </c>
      <c r="B7291">
        <v>0</v>
      </c>
    </row>
    <row r="7292" spans="1:2" x14ac:dyDescent="0.25">
      <c r="A7292">
        <v>12873</v>
      </c>
      <c r="B7292">
        <v>0</v>
      </c>
    </row>
    <row r="7293" spans="1:2" x14ac:dyDescent="0.25">
      <c r="A7293">
        <v>12874</v>
      </c>
      <c r="B7293">
        <v>0</v>
      </c>
    </row>
    <row r="7294" spans="1:2" x14ac:dyDescent="0.25">
      <c r="A7294">
        <v>12875</v>
      </c>
      <c r="B7294">
        <v>0</v>
      </c>
    </row>
    <row r="7295" spans="1:2" x14ac:dyDescent="0.25">
      <c r="A7295">
        <v>12876</v>
      </c>
      <c r="B7295">
        <v>0</v>
      </c>
    </row>
    <row r="7296" spans="1:2" x14ac:dyDescent="0.25">
      <c r="A7296">
        <v>12877</v>
      </c>
      <c r="B7296">
        <v>0</v>
      </c>
    </row>
    <row r="7297" spans="1:2" x14ac:dyDescent="0.25">
      <c r="A7297">
        <v>12878</v>
      </c>
      <c r="B7297">
        <v>0</v>
      </c>
    </row>
    <row r="7298" spans="1:2" x14ac:dyDescent="0.25">
      <c r="A7298">
        <v>12880</v>
      </c>
      <c r="B7298">
        <v>0</v>
      </c>
    </row>
    <row r="7299" spans="1:2" x14ac:dyDescent="0.25">
      <c r="A7299">
        <v>12881</v>
      </c>
      <c r="B7299">
        <v>0</v>
      </c>
    </row>
    <row r="7300" spans="1:2" x14ac:dyDescent="0.25">
      <c r="A7300">
        <v>12882</v>
      </c>
      <c r="B7300">
        <v>0</v>
      </c>
    </row>
    <row r="7301" spans="1:2" x14ac:dyDescent="0.25">
      <c r="A7301">
        <v>12884</v>
      </c>
      <c r="B7301">
        <v>0</v>
      </c>
    </row>
    <row r="7302" spans="1:2" x14ac:dyDescent="0.25">
      <c r="A7302">
        <v>12886</v>
      </c>
      <c r="B7302">
        <v>0</v>
      </c>
    </row>
    <row r="7303" spans="1:2" x14ac:dyDescent="0.25">
      <c r="A7303">
        <v>12889</v>
      </c>
      <c r="B7303">
        <v>0</v>
      </c>
    </row>
    <row r="7304" spans="1:2" x14ac:dyDescent="0.25">
      <c r="A7304">
        <v>12892</v>
      </c>
      <c r="B7304">
        <v>0</v>
      </c>
    </row>
    <row r="7305" spans="1:2" x14ac:dyDescent="0.25">
      <c r="A7305">
        <v>12895</v>
      </c>
      <c r="B7305">
        <v>0</v>
      </c>
    </row>
    <row r="7306" spans="1:2" x14ac:dyDescent="0.25">
      <c r="A7306">
        <v>12897</v>
      </c>
      <c r="B7306">
        <v>0</v>
      </c>
    </row>
    <row r="7307" spans="1:2" x14ac:dyDescent="0.25">
      <c r="A7307">
        <v>12898</v>
      </c>
      <c r="B7307">
        <v>0</v>
      </c>
    </row>
    <row r="7308" spans="1:2" x14ac:dyDescent="0.25">
      <c r="A7308">
        <v>12899</v>
      </c>
      <c r="B7308">
        <v>0</v>
      </c>
    </row>
    <row r="7309" spans="1:2" x14ac:dyDescent="0.25">
      <c r="A7309">
        <v>12916</v>
      </c>
      <c r="B7309">
        <v>0</v>
      </c>
    </row>
    <row r="7310" spans="1:2" x14ac:dyDescent="0.25">
      <c r="A7310">
        <v>12919</v>
      </c>
      <c r="B7310">
        <v>0</v>
      </c>
    </row>
    <row r="7311" spans="1:2" x14ac:dyDescent="0.25">
      <c r="A7311">
        <v>12920</v>
      </c>
      <c r="B7311">
        <v>0</v>
      </c>
    </row>
    <row r="7312" spans="1:2" x14ac:dyDescent="0.25">
      <c r="A7312">
        <v>12921</v>
      </c>
      <c r="B7312">
        <v>0</v>
      </c>
    </row>
    <row r="7313" spans="1:2" x14ac:dyDescent="0.25">
      <c r="A7313">
        <v>12922</v>
      </c>
      <c r="B7313">
        <v>0</v>
      </c>
    </row>
    <row r="7314" spans="1:2" x14ac:dyDescent="0.25">
      <c r="A7314">
        <v>12923</v>
      </c>
      <c r="B7314">
        <v>0</v>
      </c>
    </row>
    <row r="7315" spans="1:2" x14ac:dyDescent="0.25">
      <c r="A7315">
        <v>12924</v>
      </c>
      <c r="B7315">
        <v>0</v>
      </c>
    </row>
    <row r="7316" spans="1:2" x14ac:dyDescent="0.25">
      <c r="A7316">
        <v>12925</v>
      </c>
      <c r="B7316">
        <v>0</v>
      </c>
    </row>
    <row r="7317" spans="1:2" x14ac:dyDescent="0.25">
      <c r="A7317">
        <v>12933</v>
      </c>
      <c r="B7317">
        <v>0</v>
      </c>
    </row>
    <row r="7318" spans="1:2" x14ac:dyDescent="0.25">
      <c r="A7318">
        <v>12935</v>
      </c>
      <c r="B7318">
        <v>0</v>
      </c>
    </row>
    <row r="7319" spans="1:2" x14ac:dyDescent="0.25">
      <c r="A7319">
        <v>12943</v>
      </c>
      <c r="B7319">
        <v>0</v>
      </c>
    </row>
    <row r="7320" spans="1:2" x14ac:dyDescent="0.25">
      <c r="A7320">
        <v>12944</v>
      </c>
      <c r="B7320">
        <v>0</v>
      </c>
    </row>
    <row r="7321" spans="1:2" x14ac:dyDescent="0.25">
      <c r="A7321">
        <v>12946</v>
      </c>
      <c r="B7321">
        <v>0</v>
      </c>
    </row>
    <row r="7322" spans="1:2" x14ac:dyDescent="0.25">
      <c r="A7322">
        <v>12948</v>
      </c>
      <c r="B7322">
        <v>9</v>
      </c>
    </row>
    <row r="7323" spans="1:2" x14ac:dyDescent="0.25">
      <c r="A7323">
        <v>12949</v>
      </c>
      <c r="B7323">
        <v>0</v>
      </c>
    </row>
    <row r="7324" spans="1:2" x14ac:dyDescent="0.25">
      <c r="A7324">
        <v>12951</v>
      </c>
      <c r="B7324">
        <v>7</v>
      </c>
    </row>
    <row r="7325" spans="1:2" x14ac:dyDescent="0.25">
      <c r="A7325">
        <v>12952</v>
      </c>
      <c r="B7325">
        <v>0</v>
      </c>
    </row>
    <row r="7326" spans="1:2" x14ac:dyDescent="0.25">
      <c r="A7326">
        <v>12956</v>
      </c>
      <c r="B7326">
        <v>0</v>
      </c>
    </row>
    <row r="7327" spans="1:2" x14ac:dyDescent="0.25">
      <c r="A7327">
        <v>12957</v>
      </c>
      <c r="B7327">
        <v>0</v>
      </c>
    </row>
    <row r="7328" spans="1:2" x14ac:dyDescent="0.25">
      <c r="A7328">
        <v>12958</v>
      </c>
      <c r="B7328">
        <v>0</v>
      </c>
    </row>
    <row r="7329" spans="1:2" x14ac:dyDescent="0.25">
      <c r="A7329">
        <v>12959</v>
      </c>
      <c r="B7329">
        <v>0</v>
      </c>
    </row>
    <row r="7330" spans="1:2" x14ac:dyDescent="0.25">
      <c r="A7330">
        <v>12960</v>
      </c>
      <c r="B7330">
        <v>0</v>
      </c>
    </row>
    <row r="7331" spans="1:2" x14ac:dyDescent="0.25">
      <c r="A7331">
        <v>12961</v>
      </c>
      <c r="B7331">
        <v>0</v>
      </c>
    </row>
    <row r="7332" spans="1:2" x14ac:dyDescent="0.25">
      <c r="A7332">
        <v>12962</v>
      </c>
      <c r="B7332">
        <v>0</v>
      </c>
    </row>
    <row r="7333" spans="1:2" x14ac:dyDescent="0.25">
      <c r="A7333">
        <v>12963</v>
      </c>
      <c r="B7333">
        <v>0</v>
      </c>
    </row>
    <row r="7334" spans="1:2" x14ac:dyDescent="0.25">
      <c r="A7334">
        <v>12964</v>
      </c>
      <c r="B7334">
        <v>0</v>
      </c>
    </row>
    <row r="7335" spans="1:2" x14ac:dyDescent="0.25">
      <c r="A7335">
        <v>12966</v>
      </c>
      <c r="B7335">
        <v>0</v>
      </c>
    </row>
    <row r="7336" spans="1:2" x14ac:dyDescent="0.25">
      <c r="A7336">
        <v>12967</v>
      </c>
      <c r="B7336">
        <v>0</v>
      </c>
    </row>
    <row r="7337" spans="1:2" x14ac:dyDescent="0.25">
      <c r="A7337">
        <v>12968</v>
      </c>
      <c r="B7337">
        <v>0</v>
      </c>
    </row>
    <row r="7338" spans="1:2" x14ac:dyDescent="0.25">
      <c r="A7338">
        <v>12969</v>
      </c>
      <c r="B7338">
        <v>0</v>
      </c>
    </row>
    <row r="7339" spans="1:2" x14ac:dyDescent="0.25">
      <c r="A7339">
        <v>12970</v>
      </c>
      <c r="B7339">
        <v>0</v>
      </c>
    </row>
    <row r="7340" spans="1:2" x14ac:dyDescent="0.25">
      <c r="A7340">
        <v>12971</v>
      </c>
      <c r="B7340">
        <v>0</v>
      </c>
    </row>
    <row r="7341" spans="1:2" x14ac:dyDescent="0.25">
      <c r="A7341">
        <v>12972</v>
      </c>
      <c r="B7341">
        <v>0</v>
      </c>
    </row>
    <row r="7342" spans="1:2" x14ac:dyDescent="0.25">
      <c r="A7342">
        <v>12973</v>
      </c>
      <c r="B7342">
        <v>0</v>
      </c>
    </row>
    <row r="7343" spans="1:2" x14ac:dyDescent="0.25">
      <c r="A7343">
        <v>12974</v>
      </c>
      <c r="B7343">
        <v>0</v>
      </c>
    </row>
    <row r="7344" spans="1:2" x14ac:dyDescent="0.25">
      <c r="A7344">
        <v>12975</v>
      </c>
      <c r="B7344">
        <v>0</v>
      </c>
    </row>
    <row r="7345" spans="1:2" x14ac:dyDescent="0.25">
      <c r="A7345">
        <v>12976</v>
      </c>
      <c r="B7345">
        <v>0</v>
      </c>
    </row>
    <row r="7346" spans="1:2" x14ac:dyDescent="0.25">
      <c r="A7346">
        <v>12977</v>
      </c>
      <c r="B7346">
        <v>0</v>
      </c>
    </row>
    <row r="7347" spans="1:2" x14ac:dyDescent="0.25">
      <c r="A7347">
        <v>12978</v>
      </c>
      <c r="B7347">
        <v>0</v>
      </c>
    </row>
    <row r="7348" spans="1:2" x14ac:dyDescent="0.25">
      <c r="A7348">
        <v>12980</v>
      </c>
      <c r="B7348">
        <v>0</v>
      </c>
    </row>
    <row r="7349" spans="1:2" x14ac:dyDescent="0.25">
      <c r="A7349">
        <v>12981</v>
      </c>
      <c r="B7349">
        <v>0</v>
      </c>
    </row>
    <row r="7350" spans="1:2" x14ac:dyDescent="0.25">
      <c r="A7350">
        <v>12982</v>
      </c>
      <c r="B7350">
        <v>0</v>
      </c>
    </row>
    <row r="7351" spans="1:2" x14ac:dyDescent="0.25">
      <c r="A7351">
        <v>12983</v>
      </c>
      <c r="B7351">
        <v>0</v>
      </c>
    </row>
    <row r="7352" spans="1:2" x14ac:dyDescent="0.25">
      <c r="A7352">
        <v>12984</v>
      </c>
      <c r="B7352">
        <v>0</v>
      </c>
    </row>
    <row r="7353" spans="1:2" x14ac:dyDescent="0.25">
      <c r="A7353">
        <v>12985</v>
      </c>
      <c r="B7353">
        <v>0</v>
      </c>
    </row>
    <row r="7354" spans="1:2" x14ac:dyDescent="0.25">
      <c r="A7354">
        <v>12986</v>
      </c>
      <c r="B7354">
        <v>0</v>
      </c>
    </row>
    <row r="7355" spans="1:2" x14ac:dyDescent="0.25">
      <c r="A7355">
        <v>12989</v>
      </c>
      <c r="B7355">
        <v>0</v>
      </c>
    </row>
    <row r="7356" spans="1:2" x14ac:dyDescent="0.25">
      <c r="A7356">
        <v>13001</v>
      </c>
      <c r="B7356">
        <v>0</v>
      </c>
    </row>
    <row r="7357" spans="1:2" x14ac:dyDescent="0.25">
      <c r="A7357">
        <v>13003</v>
      </c>
      <c r="B7357">
        <v>0</v>
      </c>
    </row>
    <row r="7358" spans="1:2" x14ac:dyDescent="0.25">
      <c r="A7358">
        <v>13004</v>
      </c>
      <c r="B7358">
        <v>0</v>
      </c>
    </row>
    <row r="7359" spans="1:2" x14ac:dyDescent="0.25">
      <c r="A7359">
        <v>13005</v>
      </c>
      <c r="B7359">
        <v>0</v>
      </c>
    </row>
    <row r="7360" spans="1:2" x14ac:dyDescent="0.25">
      <c r="A7360">
        <v>13013</v>
      </c>
      <c r="B7360">
        <v>0</v>
      </c>
    </row>
    <row r="7361" spans="1:2" x14ac:dyDescent="0.25">
      <c r="A7361">
        <v>13015</v>
      </c>
      <c r="B7361">
        <v>0</v>
      </c>
    </row>
    <row r="7362" spans="1:2" x14ac:dyDescent="0.25">
      <c r="A7362">
        <v>13017</v>
      </c>
      <c r="B7362">
        <v>0</v>
      </c>
    </row>
    <row r="7363" spans="1:2" x14ac:dyDescent="0.25">
      <c r="A7363">
        <v>13018</v>
      </c>
      <c r="B7363">
        <v>0</v>
      </c>
    </row>
    <row r="7364" spans="1:2" x14ac:dyDescent="0.25">
      <c r="A7364">
        <v>13019</v>
      </c>
      <c r="B7364">
        <v>0</v>
      </c>
    </row>
    <row r="7365" spans="1:2" x14ac:dyDescent="0.25">
      <c r="A7365">
        <v>13020</v>
      </c>
      <c r="B7365">
        <v>0</v>
      </c>
    </row>
    <row r="7366" spans="1:2" x14ac:dyDescent="0.25">
      <c r="A7366">
        <v>13022</v>
      </c>
      <c r="B7366">
        <v>0</v>
      </c>
    </row>
    <row r="7367" spans="1:2" x14ac:dyDescent="0.25">
      <c r="A7367">
        <v>13023</v>
      </c>
      <c r="B7367">
        <v>0</v>
      </c>
    </row>
    <row r="7368" spans="1:2" x14ac:dyDescent="0.25">
      <c r="A7368">
        <v>13024</v>
      </c>
      <c r="B7368">
        <v>0</v>
      </c>
    </row>
    <row r="7369" spans="1:2" x14ac:dyDescent="0.25">
      <c r="A7369">
        <v>13025</v>
      </c>
      <c r="B7369">
        <v>0</v>
      </c>
    </row>
    <row r="7370" spans="1:2" x14ac:dyDescent="0.25">
      <c r="A7370">
        <v>13027</v>
      </c>
      <c r="B7370">
        <v>0</v>
      </c>
    </row>
    <row r="7371" spans="1:2" x14ac:dyDescent="0.25">
      <c r="A7371">
        <v>13028</v>
      </c>
      <c r="B7371">
        <v>0</v>
      </c>
    </row>
    <row r="7372" spans="1:2" x14ac:dyDescent="0.25">
      <c r="A7372">
        <v>13029</v>
      </c>
      <c r="B7372">
        <v>0</v>
      </c>
    </row>
    <row r="7373" spans="1:2" x14ac:dyDescent="0.25">
      <c r="A7373">
        <v>13030</v>
      </c>
      <c r="B7373">
        <v>0</v>
      </c>
    </row>
    <row r="7374" spans="1:2" x14ac:dyDescent="0.25">
      <c r="A7374">
        <v>13031</v>
      </c>
      <c r="B7374">
        <v>0</v>
      </c>
    </row>
    <row r="7375" spans="1:2" x14ac:dyDescent="0.25">
      <c r="A7375">
        <v>13032</v>
      </c>
      <c r="B7375">
        <v>0</v>
      </c>
    </row>
    <row r="7376" spans="1:2" x14ac:dyDescent="0.25">
      <c r="A7376">
        <v>13033</v>
      </c>
      <c r="B7376">
        <v>0</v>
      </c>
    </row>
    <row r="7377" spans="1:2" x14ac:dyDescent="0.25">
      <c r="A7377">
        <v>13034</v>
      </c>
      <c r="B7377">
        <v>0</v>
      </c>
    </row>
    <row r="7378" spans="1:2" x14ac:dyDescent="0.25">
      <c r="A7378">
        <v>13038</v>
      </c>
      <c r="B7378">
        <v>0</v>
      </c>
    </row>
    <row r="7379" spans="1:2" x14ac:dyDescent="0.25">
      <c r="A7379">
        <v>13039</v>
      </c>
      <c r="B7379">
        <v>0</v>
      </c>
    </row>
    <row r="7380" spans="1:2" x14ac:dyDescent="0.25">
      <c r="A7380">
        <v>13040</v>
      </c>
      <c r="B7380">
        <v>0</v>
      </c>
    </row>
    <row r="7381" spans="1:2" x14ac:dyDescent="0.25">
      <c r="A7381">
        <v>13041</v>
      </c>
      <c r="B7381">
        <v>0</v>
      </c>
    </row>
    <row r="7382" spans="1:2" x14ac:dyDescent="0.25">
      <c r="A7382">
        <v>13043</v>
      </c>
      <c r="B7382">
        <v>0</v>
      </c>
    </row>
    <row r="7383" spans="1:2" x14ac:dyDescent="0.25">
      <c r="A7383">
        <v>13045</v>
      </c>
      <c r="B7383">
        <v>0</v>
      </c>
    </row>
    <row r="7384" spans="1:2" x14ac:dyDescent="0.25">
      <c r="A7384">
        <v>13046</v>
      </c>
      <c r="B7384">
        <v>0</v>
      </c>
    </row>
    <row r="7385" spans="1:2" x14ac:dyDescent="0.25">
      <c r="A7385">
        <v>13047</v>
      </c>
      <c r="B7385">
        <v>0</v>
      </c>
    </row>
    <row r="7386" spans="1:2" x14ac:dyDescent="0.25">
      <c r="A7386">
        <v>13048</v>
      </c>
      <c r="B7386">
        <v>0</v>
      </c>
    </row>
    <row r="7387" spans="1:2" x14ac:dyDescent="0.25">
      <c r="A7387">
        <v>13050</v>
      </c>
      <c r="B7387">
        <v>0</v>
      </c>
    </row>
    <row r="7388" spans="1:2" x14ac:dyDescent="0.25">
      <c r="A7388">
        <v>13051</v>
      </c>
      <c r="B7388">
        <v>0</v>
      </c>
    </row>
    <row r="7389" spans="1:2" x14ac:dyDescent="0.25">
      <c r="A7389">
        <v>13053</v>
      </c>
      <c r="B7389">
        <v>0</v>
      </c>
    </row>
    <row r="7390" spans="1:2" x14ac:dyDescent="0.25">
      <c r="A7390">
        <v>13054</v>
      </c>
      <c r="B7390">
        <v>0</v>
      </c>
    </row>
    <row r="7391" spans="1:2" x14ac:dyDescent="0.25">
      <c r="A7391">
        <v>13055</v>
      </c>
      <c r="B7391">
        <v>0</v>
      </c>
    </row>
    <row r="7392" spans="1:2" x14ac:dyDescent="0.25">
      <c r="A7392">
        <v>13056</v>
      </c>
      <c r="B7392">
        <v>0</v>
      </c>
    </row>
    <row r="7393" spans="1:2" x14ac:dyDescent="0.25">
      <c r="A7393">
        <v>13057</v>
      </c>
      <c r="B7393">
        <v>0</v>
      </c>
    </row>
    <row r="7394" spans="1:2" x14ac:dyDescent="0.25">
      <c r="A7394">
        <v>13058</v>
      </c>
      <c r="B7394">
        <v>0</v>
      </c>
    </row>
    <row r="7395" spans="1:2" x14ac:dyDescent="0.25">
      <c r="A7395">
        <v>13061</v>
      </c>
      <c r="B7395">
        <v>14</v>
      </c>
    </row>
    <row r="7396" spans="1:2" x14ac:dyDescent="0.25">
      <c r="A7396">
        <v>13065</v>
      </c>
      <c r="B7396">
        <v>0</v>
      </c>
    </row>
    <row r="7397" spans="1:2" x14ac:dyDescent="0.25">
      <c r="A7397">
        <v>13066</v>
      </c>
      <c r="B7397">
        <v>0</v>
      </c>
    </row>
    <row r="7398" spans="1:2" x14ac:dyDescent="0.25">
      <c r="A7398">
        <v>13067</v>
      </c>
      <c r="B7398">
        <v>0</v>
      </c>
    </row>
    <row r="7399" spans="1:2" x14ac:dyDescent="0.25">
      <c r="A7399">
        <v>13068</v>
      </c>
      <c r="B7399">
        <v>0</v>
      </c>
    </row>
    <row r="7400" spans="1:2" x14ac:dyDescent="0.25">
      <c r="A7400">
        <v>13069</v>
      </c>
      <c r="B7400">
        <v>0</v>
      </c>
    </row>
    <row r="7401" spans="1:2" x14ac:dyDescent="0.25">
      <c r="A7401">
        <v>13070</v>
      </c>
      <c r="B7401">
        <v>0</v>
      </c>
    </row>
    <row r="7402" spans="1:2" x14ac:dyDescent="0.25">
      <c r="A7402">
        <v>13071</v>
      </c>
      <c r="B7402">
        <v>0</v>
      </c>
    </row>
    <row r="7403" spans="1:2" x14ac:dyDescent="0.25">
      <c r="A7403">
        <v>13072</v>
      </c>
      <c r="B7403">
        <v>0</v>
      </c>
    </row>
    <row r="7404" spans="1:2" x14ac:dyDescent="0.25">
      <c r="A7404">
        <v>13073</v>
      </c>
      <c r="B7404">
        <v>0</v>
      </c>
    </row>
    <row r="7405" spans="1:2" x14ac:dyDescent="0.25">
      <c r="A7405">
        <v>13074</v>
      </c>
      <c r="B7405">
        <v>0</v>
      </c>
    </row>
    <row r="7406" spans="1:2" x14ac:dyDescent="0.25">
      <c r="A7406">
        <v>13075</v>
      </c>
      <c r="B7406">
        <v>0</v>
      </c>
    </row>
    <row r="7407" spans="1:2" x14ac:dyDescent="0.25">
      <c r="A7407">
        <v>13077</v>
      </c>
      <c r="B7407">
        <v>0</v>
      </c>
    </row>
    <row r="7408" spans="1:2" x14ac:dyDescent="0.25">
      <c r="A7408">
        <v>13078</v>
      </c>
      <c r="B7408">
        <v>0</v>
      </c>
    </row>
    <row r="7409" spans="1:2" x14ac:dyDescent="0.25">
      <c r="A7409">
        <v>13079</v>
      </c>
      <c r="B7409">
        <v>0</v>
      </c>
    </row>
    <row r="7410" spans="1:2" x14ac:dyDescent="0.25">
      <c r="A7410">
        <v>13097</v>
      </c>
      <c r="B7410">
        <v>0</v>
      </c>
    </row>
    <row r="7411" spans="1:2" x14ac:dyDescent="0.25">
      <c r="A7411">
        <v>13098</v>
      </c>
      <c r="B7411">
        <v>0</v>
      </c>
    </row>
    <row r="7412" spans="1:2" x14ac:dyDescent="0.25">
      <c r="A7412">
        <v>13101</v>
      </c>
      <c r="B7412">
        <v>0</v>
      </c>
    </row>
    <row r="7413" spans="1:2" x14ac:dyDescent="0.25">
      <c r="A7413">
        <v>13104</v>
      </c>
      <c r="B7413">
        <v>0</v>
      </c>
    </row>
    <row r="7414" spans="1:2" x14ac:dyDescent="0.25">
      <c r="A7414">
        <v>13110</v>
      </c>
      <c r="B7414">
        <v>0</v>
      </c>
    </row>
    <row r="7415" spans="1:2" x14ac:dyDescent="0.25">
      <c r="A7415">
        <v>13112</v>
      </c>
      <c r="B7415">
        <v>0</v>
      </c>
    </row>
    <row r="7416" spans="1:2" x14ac:dyDescent="0.25">
      <c r="A7416">
        <v>13114</v>
      </c>
      <c r="B7416">
        <v>0</v>
      </c>
    </row>
    <row r="7417" spans="1:2" x14ac:dyDescent="0.25">
      <c r="A7417">
        <v>13115</v>
      </c>
      <c r="B7417">
        <v>0</v>
      </c>
    </row>
    <row r="7418" spans="1:2" x14ac:dyDescent="0.25">
      <c r="A7418">
        <v>13116</v>
      </c>
      <c r="B7418">
        <v>0</v>
      </c>
    </row>
    <row r="7419" spans="1:2" x14ac:dyDescent="0.25">
      <c r="A7419">
        <v>13117</v>
      </c>
      <c r="B7419">
        <v>0</v>
      </c>
    </row>
    <row r="7420" spans="1:2" x14ac:dyDescent="0.25">
      <c r="A7420">
        <v>13120</v>
      </c>
      <c r="B7420">
        <v>0</v>
      </c>
    </row>
    <row r="7421" spans="1:2" x14ac:dyDescent="0.25">
      <c r="A7421">
        <v>13121</v>
      </c>
      <c r="B7421">
        <v>0</v>
      </c>
    </row>
    <row r="7422" spans="1:2" x14ac:dyDescent="0.25">
      <c r="A7422">
        <v>13123</v>
      </c>
      <c r="B7422">
        <v>0</v>
      </c>
    </row>
    <row r="7423" spans="1:2" x14ac:dyDescent="0.25">
      <c r="A7423">
        <v>13125</v>
      </c>
      <c r="B7423">
        <v>0</v>
      </c>
    </row>
    <row r="7424" spans="1:2" x14ac:dyDescent="0.25">
      <c r="A7424">
        <v>13127</v>
      </c>
      <c r="B7424">
        <v>0</v>
      </c>
    </row>
    <row r="7425" spans="1:2" x14ac:dyDescent="0.25">
      <c r="A7425">
        <v>13128</v>
      </c>
      <c r="B7425">
        <v>0</v>
      </c>
    </row>
    <row r="7426" spans="1:2" x14ac:dyDescent="0.25">
      <c r="A7426">
        <v>13129</v>
      </c>
      <c r="B7426">
        <v>0</v>
      </c>
    </row>
    <row r="7427" spans="1:2" x14ac:dyDescent="0.25">
      <c r="A7427">
        <v>13131</v>
      </c>
      <c r="B7427">
        <v>0</v>
      </c>
    </row>
    <row r="7428" spans="1:2" x14ac:dyDescent="0.25">
      <c r="A7428">
        <v>13135</v>
      </c>
      <c r="B7428">
        <v>0</v>
      </c>
    </row>
    <row r="7429" spans="1:2" x14ac:dyDescent="0.25">
      <c r="A7429">
        <v>13138</v>
      </c>
      <c r="B7429">
        <v>0</v>
      </c>
    </row>
    <row r="7430" spans="1:2" x14ac:dyDescent="0.25">
      <c r="A7430">
        <v>13139</v>
      </c>
      <c r="B7430">
        <v>0</v>
      </c>
    </row>
    <row r="7431" spans="1:2" x14ac:dyDescent="0.25">
      <c r="A7431">
        <v>13140</v>
      </c>
      <c r="B7431">
        <v>0</v>
      </c>
    </row>
    <row r="7432" spans="1:2" x14ac:dyDescent="0.25">
      <c r="A7432">
        <v>13141</v>
      </c>
      <c r="B7432">
        <v>0</v>
      </c>
    </row>
    <row r="7433" spans="1:2" x14ac:dyDescent="0.25">
      <c r="A7433">
        <v>13143</v>
      </c>
      <c r="B7433">
        <v>0</v>
      </c>
    </row>
    <row r="7434" spans="1:2" x14ac:dyDescent="0.25">
      <c r="A7434">
        <v>13146</v>
      </c>
      <c r="B7434">
        <v>0</v>
      </c>
    </row>
    <row r="7435" spans="1:2" x14ac:dyDescent="0.25">
      <c r="A7435">
        <v>13149</v>
      </c>
      <c r="B7435">
        <v>0</v>
      </c>
    </row>
    <row r="7436" spans="1:2" x14ac:dyDescent="0.25">
      <c r="A7436">
        <v>13161</v>
      </c>
      <c r="B7436">
        <v>0</v>
      </c>
    </row>
    <row r="7437" spans="1:2" x14ac:dyDescent="0.25">
      <c r="A7437">
        <v>13166</v>
      </c>
      <c r="B7437">
        <v>0</v>
      </c>
    </row>
    <row r="7438" spans="1:2" x14ac:dyDescent="0.25">
      <c r="A7438">
        <v>13167</v>
      </c>
      <c r="B7438">
        <v>0</v>
      </c>
    </row>
    <row r="7439" spans="1:2" x14ac:dyDescent="0.25">
      <c r="A7439">
        <v>13183</v>
      </c>
      <c r="B7439">
        <v>0</v>
      </c>
    </row>
    <row r="7440" spans="1:2" x14ac:dyDescent="0.25">
      <c r="A7440">
        <v>13184</v>
      </c>
      <c r="B7440">
        <v>0</v>
      </c>
    </row>
    <row r="7441" spans="1:2" x14ac:dyDescent="0.25">
      <c r="A7441">
        <v>13194</v>
      </c>
      <c r="B7441">
        <v>0</v>
      </c>
    </row>
    <row r="7442" spans="1:2" x14ac:dyDescent="0.25">
      <c r="A7442">
        <v>13195</v>
      </c>
      <c r="B7442">
        <v>0</v>
      </c>
    </row>
    <row r="7443" spans="1:2" x14ac:dyDescent="0.25">
      <c r="A7443">
        <v>13196</v>
      </c>
      <c r="B7443">
        <v>0</v>
      </c>
    </row>
    <row r="7444" spans="1:2" x14ac:dyDescent="0.25">
      <c r="A7444">
        <v>13199</v>
      </c>
      <c r="B7444">
        <v>0</v>
      </c>
    </row>
    <row r="7445" spans="1:2" x14ac:dyDescent="0.25">
      <c r="A7445">
        <v>13201</v>
      </c>
      <c r="B7445">
        <v>1</v>
      </c>
    </row>
    <row r="7446" spans="1:2" x14ac:dyDescent="0.25">
      <c r="A7446">
        <v>13203</v>
      </c>
      <c r="B7446">
        <v>0</v>
      </c>
    </row>
    <row r="7447" spans="1:2" x14ac:dyDescent="0.25">
      <c r="A7447">
        <v>13205</v>
      </c>
      <c r="B7447">
        <v>1</v>
      </c>
    </row>
    <row r="7448" spans="1:2" x14ac:dyDescent="0.25">
      <c r="A7448">
        <v>13213</v>
      </c>
      <c r="B7448">
        <v>0</v>
      </c>
    </row>
    <row r="7449" spans="1:2" x14ac:dyDescent="0.25">
      <c r="A7449">
        <v>13215</v>
      </c>
      <c r="B7449">
        <v>0</v>
      </c>
    </row>
    <row r="7450" spans="1:2" x14ac:dyDescent="0.25">
      <c r="A7450">
        <v>13219</v>
      </c>
      <c r="B7450">
        <v>0</v>
      </c>
    </row>
    <row r="7451" spans="1:2" x14ac:dyDescent="0.25">
      <c r="A7451">
        <v>13222</v>
      </c>
      <c r="B7451">
        <v>0</v>
      </c>
    </row>
    <row r="7452" spans="1:2" x14ac:dyDescent="0.25">
      <c r="A7452">
        <v>13223</v>
      </c>
      <c r="B7452">
        <v>0</v>
      </c>
    </row>
    <row r="7453" spans="1:2" x14ac:dyDescent="0.25">
      <c r="A7453">
        <v>13224</v>
      </c>
      <c r="B7453">
        <v>0</v>
      </c>
    </row>
    <row r="7454" spans="1:2" x14ac:dyDescent="0.25">
      <c r="A7454">
        <v>13225</v>
      </c>
      <c r="B7454">
        <v>0</v>
      </c>
    </row>
    <row r="7455" spans="1:2" x14ac:dyDescent="0.25">
      <c r="A7455">
        <v>13226</v>
      </c>
      <c r="B7455">
        <v>0</v>
      </c>
    </row>
    <row r="7456" spans="1:2" x14ac:dyDescent="0.25">
      <c r="A7456">
        <v>13227</v>
      </c>
      <c r="B7456">
        <v>0</v>
      </c>
    </row>
    <row r="7457" spans="1:2" x14ac:dyDescent="0.25">
      <c r="A7457">
        <v>13228</v>
      </c>
      <c r="B7457">
        <v>0</v>
      </c>
    </row>
    <row r="7458" spans="1:2" x14ac:dyDescent="0.25">
      <c r="A7458">
        <v>13229</v>
      </c>
      <c r="B7458">
        <v>0</v>
      </c>
    </row>
    <row r="7459" spans="1:2" x14ac:dyDescent="0.25">
      <c r="A7459">
        <v>13230</v>
      </c>
      <c r="B7459">
        <v>0</v>
      </c>
    </row>
    <row r="7460" spans="1:2" x14ac:dyDescent="0.25">
      <c r="A7460">
        <v>13231</v>
      </c>
      <c r="B7460">
        <v>0</v>
      </c>
    </row>
    <row r="7461" spans="1:2" x14ac:dyDescent="0.25">
      <c r="A7461">
        <v>13232</v>
      </c>
      <c r="B7461">
        <v>0</v>
      </c>
    </row>
    <row r="7462" spans="1:2" x14ac:dyDescent="0.25">
      <c r="A7462">
        <v>13233</v>
      </c>
      <c r="B7462">
        <v>0</v>
      </c>
    </row>
    <row r="7463" spans="1:2" x14ac:dyDescent="0.25">
      <c r="A7463">
        <v>13234</v>
      </c>
      <c r="B7463">
        <v>0</v>
      </c>
    </row>
    <row r="7464" spans="1:2" x14ac:dyDescent="0.25">
      <c r="A7464">
        <v>13235</v>
      </c>
      <c r="B7464">
        <v>0</v>
      </c>
    </row>
    <row r="7465" spans="1:2" x14ac:dyDescent="0.25">
      <c r="A7465">
        <v>13236</v>
      </c>
      <c r="B7465">
        <v>0</v>
      </c>
    </row>
    <row r="7466" spans="1:2" x14ac:dyDescent="0.25">
      <c r="A7466">
        <v>13237</v>
      </c>
      <c r="B7466">
        <v>0</v>
      </c>
    </row>
    <row r="7467" spans="1:2" x14ac:dyDescent="0.25">
      <c r="A7467">
        <v>13238</v>
      </c>
      <c r="B7467">
        <v>0</v>
      </c>
    </row>
    <row r="7468" spans="1:2" x14ac:dyDescent="0.25">
      <c r="A7468">
        <v>13239</v>
      </c>
      <c r="B7468">
        <v>0</v>
      </c>
    </row>
    <row r="7469" spans="1:2" x14ac:dyDescent="0.25">
      <c r="A7469">
        <v>13240</v>
      </c>
      <c r="B7469">
        <v>0</v>
      </c>
    </row>
    <row r="7470" spans="1:2" x14ac:dyDescent="0.25">
      <c r="A7470">
        <v>13241</v>
      </c>
      <c r="B7470">
        <v>0</v>
      </c>
    </row>
    <row r="7471" spans="1:2" x14ac:dyDescent="0.25">
      <c r="A7471">
        <v>13242</v>
      </c>
      <c r="B7471">
        <v>0</v>
      </c>
    </row>
    <row r="7472" spans="1:2" x14ac:dyDescent="0.25">
      <c r="A7472">
        <v>13243</v>
      </c>
      <c r="B7472">
        <v>0</v>
      </c>
    </row>
    <row r="7473" spans="1:2" x14ac:dyDescent="0.25">
      <c r="A7473">
        <v>13244</v>
      </c>
      <c r="B7473">
        <v>0</v>
      </c>
    </row>
    <row r="7474" spans="1:2" x14ac:dyDescent="0.25">
      <c r="A7474">
        <v>13245</v>
      </c>
      <c r="B7474">
        <v>0</v>
      </c>
    </row>
    <row r="7475" spans="1:2" x14ac:dyDescent="0.25">
      <c r="A7475">
        <v>13246</v>
      </c>
      <c r="B7475">
        <v>0</v>
      </c>
    </row>
    <row r="7476" spans="1:2" x14ac:dyDescent="0.25">
      <c r="A7476">
        <v>13247</v>
      </c>
      <c r="B7476">
        <v>0</v>
      </c>
    </row>
    <row r="7477" spans="1:2" x14ac:dyDescent="0.25">
      <c r="A7477">
        <v>13248</v>
      </c>
      <c r="B7477">
        <v>0</v>
      </c>
    </row>
    <row r="7478" spans="1:2" x14ac:dyDescent="0.25">
      <c r="A7478">
        <v>13249</v>
      </c>
      <c r="B7478">
        <v>0</v>
      </c>
    </row>
    <row r="7479" spans="1:2" x14ac:dyDescent="0.25">
      <c r="A7479">
        <v>13250</v>
      </c>
      <c r="B7479">
        <v>0</v>
      </c>
    </row>
    <row r="7480" spans="1:2" x14ac:dyDescent="0.25">
      <c r="A7480">
        <v>13251</v>
      </c>
      <c r="B7480">
        <v>0</v>
      </c>
    </row>
    <row r="7481" spans="1:2" x14ac:dyDescent="0.25">
      <c r="A7481">
        <v>13252</v>
      </c>
      <c r="B7481">
        <v>0</v>
      </c>
    </row>
    <row r="7482" spans="1:2" x14ac:dyDescent="0.25">
      <c r="A7482">
        <v>13253</v>
      </c>
      <c r="B7482">
        <v>0</v>
      </c>
    </row>
    <row r="7483" spans="1:2" x14ac:dyDescent="0.25">
      <c r="A7483">
        <v>13254</v>
      </c>
      <c r="B7483">
        <v>0</v>
      </c>
    </row>
    <row r="7484" spans="1:2" x14ac:dyDescent="0.25">
      <c r="A7484">
        <v>13255</v>
      </c>
      <c r="B7484">
        <v>0</v>
      </c>
    </row>
    <row r="7485" spans="1:2" x14ac:dyDescent="0.25">
      <c r="A7485">
        <v>13256</v>
      </c>
      <c r="B7485">
        <v>0</v>
      </c>
    </row>
    <row r="7486" spans="1:2" x14ac:dyDescent="0.25">
      <c r="A7486">
        <v>13260</v>
      </c>
      <c r="B7486">
        <v>0</v>
      </c>
    </row>
    <row r="7487" spans="1:2" x14ac:dyDescent="0.25">
      <c r="A7487">
        <v>13262</v>
      </c>
      <c r="B7487">
        <v>0</v>
      </c>
    </row>
    <row r="7488" spans="1:2" x14ac:dyDescent="0.25">
      <c r="A7488">
        <v>13263</v>
      </c>
      <c r="B7488">
        <v>0</v>
      </c>
    </row>
    <row r="7489" spans="1:2" x14ac:dyDescent="0.25">
      <c r="A7489">
        <v>13264</v>
      </c>
      <c r="B7489">
        <v>0</v>
      </c>
    </row>
    <row r="7490" spans="1:2" x14ac:dyDescent="0.25">
      <c r="A7490">
        <v>13265</v>
      </c>
      <c r="B7490">
        <v>0</v>
      </c>
    </row>
    <row r="7491" spans="1:2" x14ac:dyDescent="0.25">
      <c r="A7491">
        <v>13266</v>
      </c>
      <c r="B7491">
        <v>0</v>
      </c>
    </row>
    <row r="7492" spans="1:2" x14ac:dyDescent="0.25">
      <c r="A7492">
        <v>13267</v>
      </c>
      <c r="B7492">
        <v>0</v>
      </c>
    </row>
    <row r="7493" spans="1:2" x14ac:dyDescent="0.25">
      <c r="A7493">
        <v>13268</v>
      </c>
      <c r="B7493">
        <v>0</v>
      </c>
    </row>
    <row r="7494" spans="1:2" x14ac:dyDescent="0.25">
      <c r="A7494">
        <v>13269</v>
      </c>
      <c r="B7494">
        <v>0</v>
      </c>
    </row>
    <row r="7495" spans="1:2" x14ac:dyDescent="0.25">
      <c r="A7495">
        <v>13270</v>
      </c>
      <c r="B7495">
        <v>0</v>
      </c>
    </row>
    <row r="7496" spans="1:2" x14ac:dyDescent="0.25">
      <c r="A7496">
        <v>13271</v>
      </c>
      <c r="B7496">
        <v>0</v>
      </c>
    </row>
    <row r="7497" spans="1:2" x14ac:dyDescent="0.25">
      <c r="A7497">
        <v>13272</v>
      </c>
      <c r="B7497">
        <v>0</v>
      </c>
    </row>
    <row r="7498" spans="1:2" x14ac:dyDescent="0.25">
      <c r="A7498">
        <v>13273</v>
      </c>
      <c r="B7498">
        <v>0</v>
      </c>
    </row>
    <row r="7499" spans="1:2" x14ac:dyDescent="0.25">
      <c r="A7499">
        <v>13274</v>
      </c>
      <c r="B7499">
        <v>0</v>
      </c>
    </row>
    <row r="7500" spans="1:2" x14ac:dyDescent="0.25">
      <c r="A7500">
        <v>13275</v>
      </c>
      <c r="B7500">
        <v>0</v>
      </c>
    </row>
    <row r="7501" spans="1:2" x14ac:dyDescent="0.25">
      <c r="A7501">
        <v>13276</v>
      </c>
      <c r="B7501">
        <v>0</v>
      </c>
    </row>
    <row r="7502" spans="1:2" x14ac:dyDescent="0.25">
      <c r="A7502">
        <v>13277</v>
      </c>
      <c r="B7502">
        <v>0</v>
      </c>
    </row>
    <row r="7503" spans="1:2" x14ac:dyDescent="0.25">
      <c r="A7503">
        <v>13278</v>
      </c>
      <c r="B7503">
        <v>0</v>
      </c>
    </row>
    <row r="7504" spans="1:2" x14ac:dyDescent="0.25">
      <c r="A7504">
        <v>13279</v>
      </c>
      <c r="B7504">
        <v>0</v>
      </c>
    </row>
    <row r="7505" spans="1:2" x14ac:dyDescent="0.25">
      <c r="A7505">
        <v>13280</v>
      </c>
      <c r="B7505">
        <v>0</v>
      </c>
    </row>
    <row r="7506" spans="1:2" x14ac:dyDescent="0.25">
      <c r="A7506">
        <v>13281</v>
      </c>
      <c r="B7506">
        <v>0</v>
      </c>
    </row>
    <row r="7507" spans="1:2" x14ac:dyDescent="0.25">
      <c r="A7507">
        <v>13282</v>
      </c>
      <c r="B7507">
        <v>0</v>
      </c>
    </row>
    <row r="7508" spans="1:2" x14ac:dyDescent="0.25">
      <c r="A7508">
        <v>13307</v>
      </c>
      <c r="B7508">
        <v>0</v>
      </c>
    </row>
    <row r="7509" spans="1:2" x14ac:dyDescent="0.25">
      <c r="A7509">
        <v>13308</v>
      </c>
      <c r="B7509">
        <v>0</v>
      </c>
    </row>
    <row r="7510" spans="1:2" x14ac:dyDescent="0.25">
      <c r="A7510">
        <v>13309</v>
      </c>
      <c r="B7510">
        <v>0</v>
      </c>
    </row>
    <row r="7511" spans="1:2" x14ac:dyDescent="0.25">
      <c r="A7511">
        <v>13310</v>
      </c>
      <c r="B7511">
        <v>0</v>
      </c>
    </row>
    <row r="7512" spans="1:2" x14ac:dyDescent="0.25">
      <c r="A7512">
        <v>13311</v>
      </c>
      <c r="B7512">
        <v>0</v>
      </c>
    </row>
    <row r="7513" spans="1:2" x14ac:dyDescent="0.25">
      <c r="A7513">
        <v>13312</v>
      </c>
      <c r="B7513">
        <v>0</v>
      </c>
    </row>
    <row r="7514" spans="1:2" x14ac:dyDescent="0.25">
      <c r="A7514">
        <v>13313</v>
      </c>
      <c r="B7514">
        <v>0</v>
      </c>
    </row>
    <row r="7515" spans="1:2" x14ac:dyDescent="0.25">
      <c r="A7515">
        <v>13316</v>
      </c>
      <c r="B7515">
        <v>0</v>
      </c>
    </row>
    <row r="7516" spans="1:2" x14ac:dyDescent="0.25">
      <c r="A7516">
        <v>13317</v>
      </c>
      <c r="B7516">
        <v>0</v>
      </c>
    </row>
    <row r="7517" spans="1:2" x14ac:dyDescent="0.25">
      <c r="A7517">
        <v>13319</v>
      </c>
      <c r="B7517">
        <v>0</v>
      </c>
    </row>
    <row r="7518" spans="1:2" x14ac:dyDescent="0.25">
      <c r="A7518">
        <v>13321</v>
      </c>
      <c r="B7518">
        <v>0</v>
      </c>
    </row>
    <row r="7519" spans="1:2" x14ac:dyDescent="0.25">
      <c r="A7519">
        <v>13323</v>
      </c>
      <c r="B7519">
        <v>0</v>
      </c>
    </row>
    <row r="7520" spans="1:2" x14ac:dyDescent="0.25">
      <c r="A7520">
        <v>13325</v>
      </c>
      <c r="B7520">
        <v>0</v>
      </c>
    </row>
    <row r="7521" spans="1:2" x14ac:dyDescent="0.25">
      <c r="A7521">
        <v>13326</v>
      </c>
      <c r="B7521">
        <v>0</v>
      </c>
    </row>
    <row r="7522" spans="1:2" x14ac:dyDescent="0.25">
      <c r="A7522">
        <v>13327</v>
      </c>
      <c r="B7522">
        <v>0</v>
      </c>
    </row>
    <row r="7523" spans="1:2" x14ac:dyDescent="0.25">
      <c r="A7523">
        <v>13331</v>
      </c>
      <c r="B7523">
        <v>0</v>
      </c>
    </row>
    <row r="7524" spans="1:2" x14ac:dyDescent="0.25">
      <c r="A7524">
        <v>13332</v>
      </c>
      <c r="B7524">
        <v>0</v>
      </c>
    </row>
    <row r="7525" spans="1:2" x14ac:dyDescent="0.25">
      <c r="A7525">
        <v>13333</v>
      </c>
      <c r="B7525">
        <v>0</v>
      </c>
    </row>
    <row r="7526" spans="1:2" x14ac:dyDescent="0.25">
      <c r="A7526">
        <v>13334</v>
      </c>
      <c r="B7526">
        <v>0</v>
      </c>
    </row>
    <row r="7527" spans="1:2" x14ac:dyDescent="0.25">
      <c r="A7527">
        <v>13337</v>
      </c>
      <c r="B7527">
        <v>0</v>
      </c>
    </row>
    <row r="7528" spans="1:2" x14ac:dyDescent="0.25">
      <c r="A7528">
        <v>13338</v>
      </c>
      <c r="B7528">
        <v>0</v>
      </c>
    </row>
    <row r="7529" spans="1:2" x14ac:dyDescent="0.25">
      <c r="A7529">
        <v>13339</v>
      </c>
      <c r="B7529">
        <v>0</v>
      </c>
    </row>
    <row r="7530" spans="1:2" x14ac:dyDescent="0.25">
      <c r="A7530">
        <v>13341</v>
      </c>
      <c r="B7530">
        <v>0</v>
      </c>
    </row>
    <row r="7531" spans="1:2" x14ac:dyDescent="0.25">
      <c r="A7531">
        <v>13343</v>
      </c>
      <c r="B7531">
        <v>0</v>
      </c>
    </row>
    <row r="7532" spans="1:2" x14ac:dyDescent="0.25">
      <c r="A7532">
        <v>13344</v>
      </c>
      <c r="B7532">
        <v>0</v>
      </c>
    </row>
    <row r="7533" spans="1:2" x14ac:dyDescent="0.25">
      <c r="A7533">
        <v>13346</v>
      </c>
      <c r="B7533">
        <v>0</v>
      </c>
    </row>
    <row r="7534" spans="1:2" x14ac:dyDescent="0.25">
      <c r="A7534">
        <v>13347</v>
      </c>
      <c r="B7534">
        <v>0</v>
      </c>
    </row>
    <row r="7535" spans="1:2" x14ac:dyDescent="0.25">
      <c r="A7535">
        <v>13350</v>
      </c>
      <c r="B7535">
        <v>0</v>
      </c>
    </row>
    <row r="7536" spans="1:2" x14ac:dyDescent="0.25">
      <c r="A7536">
        <v>13352</v>
      </c>
      <c r="B7536">
        <v>0</v>
      </c>
    </row>
    <row r="7537" spans="1:2" x14ac:dyDescent="0.25">
      <c r="A7537">
        <v>13358</v>
      </c>
      <c r="B7537">
        <v>0</v>
      </c>
    </row>
    <row r="7538" spans="1:2" x14ac:dyDescent="0.25">
      <c r="A7538">
        <v>13361</v>
      </c>
      <c r="B7538">
        <v>0</v>
      </c>
    </row>
    <row r="7539" spans="1:2" x14ac:dyDescent="0.25">
      <c r="A7539">
        <v>13362</v>
      </c>
      <c r="B7539">
        <v>0</v>
      </c>
    </row>
    <row r="7540" spans="1:2" x14ac:dyDescent="0.25">
      <c r="A7540">
        <v>13364</v>
      </c>
      <c r="B7540">
        <v>0</v>
      </c>
    </row>
    <row r="7541" spans="1:2" x14ac:dyDescent="0.25">
      <c r="A7541">
        <v>13366</v>
      </c>
      <c r="B7541">
        <v>0</v>
      </c>
    </row>
    <row r="7542" spans="1:2" x14ac:dyDescent="0.25">
      <c r="A7542">
        <v>13368</v>
      </c>
      <c r="B7542">
        <v>0</v>
      </c>
    </row>
    <row r="7543" spans="1:2" x14ac:dyDescent="0.25">
      <c r="A7543">
        <v>13370</v>
      </c>
      <c r="B7543">
        <v>0</v>
      </c>
    </row>
    <row r="7544" spans="1:2" x14ac:dyDescent="0.25">
      <c r="A7544">
        <v>13372</v>
      </c>
      <c r="B7544">
        <v>0</v>
      </c>
    </row>
    <row r="7545" spans="1:2" x14ac:dyDescent="0.25">
      <c r="A7545">
        <v>13374</v>
      </c>
      <c r="B7545">
        <v>0</v>
      </c>
    </row>
    <row r="7546" spans="1:2" x14ac:dyDescent="0.25">
      <c r="A7546">
        <v>13377</v>
      </c>
      <c r="B7546">
        <v>0</v>
      </c>
    </row>
    <row r="7547" spans="1:2" x14ac:dyDescent="0.25">
      <c r="A7547">
        <v>13379</v>
      </c>
      <c r="B7547">
        <v>0</v>
      </c>
    </row>
    <row r="7548" spans="1:2" x14ac:dyDescent="0.25">
      <c r="A7548">
        <v>13380</v>
      </c>
      <c r="B7548">
        <v>0</v>
      </c>
    </row>
    <row r="7549" spans="1:2" x14ac:dyDescent="0.25">
      <c r="A7549">
        <v>13386</v>
      </c>
      <c r="B7549">
        <v>0</v>
      </c>
    </row>
    <row r="7550" spans="1:2" x14ac:dyDescent="0.25">
      <c r="A7550">
        <v>13388</v>
      </c>
      <c r="B7550">
        <v>0</v>
      </c>
    </row>
    <row r="7551" spans="1:2" x14ac:dyDescent="0.25">
      <c r="A7551">
        <v>13391</v>
      </c>
      <c r="B7551">
        <v>0</v>
      </c>
    </row>
    <row r="7552" spans="1:2" x14ac:dyDescent="0.25">
      <c r="A7552">
        <v>13393</v>
      </c>
      <c r="B7552">
        <v>0</v>
      </c>
    </row>
    <row r="7553" spans="1:2" x14ac:dyDescent="0.25">
      <c r="A7553">
        <v>13395</v>
      </c>
      <c r="B7553">
        <v>0</v>
      </c>
    </row>
    <row r="7554" spans="1:2" x14ac:dyDescent="0.25">
      <c r="A7554">
        <v>13397</v>
      </c>
      <c r="B7554">
        <v>0</v>
      </c>
    </row>
    <row r="7555" spans="1:2" x14ac:dyDescent="0.25">
      <c r="A7555">
        <v>13398</v>
      </c>
      <c r="B7555">
        <v>0</v>
      </c>
    </row>
    <row r="7556" spans="1:2" x14ac:dyDescent="0.25">
      <c r="A7556">
        <v>13400</v>
      </c>
      <c r="B7556">
        <v>0</v>
      </c>
    </row>
    <row r="7557" spans="1:2" x14ac:dyDescent="0.25">
      <c r="A7557">
        <v>13402</v>
      </c>
      <c r="B7557">
        <v>0</v>
      </c>
    </row>
    <row r="7558" spans="1:2" x14ac:dyDescent="0.25">
      <c r="A7558">
        <v>13404</v>
      </c>
      <c r="B7558">
        <v>0</v>
      </c>
    </row>
    <row r="7559" spans="1:2" x14ac:dyDescent="0.25">
      <c r="A7559">
        <v>13406</v>
      </c>
      <c r="B7559">
        <v>0</v>
      </c>
    </row>
    <row r="7560" spans="1:2" x14ac:dyDescent="0.25">
      <c r="A7560">
        <v>13407</v>
      </c>
      <c r="B7560">
        <v>0</v>
      </c>
    </row>
    <row r="7561" spans="1:2" x14ac:dyDescent="0.25">
      <c r="A7561">
        <v>13408</v>
      </c>
      <c r="B7561">
        <v>0</v>
      </c>
    </row>
    <row r="7562" spans="1:2" x14ac:dyDescent="0.25">
      <c r="A7562">
        <v>13409</v>
      </c>
      <c r="B7562">
        <v>0</v>
      </c>
    </row>
    <row r="7563" spans="1:2" x14ac:dyDescent="0.25">
      <c r="A7563">
        <v>13410</v>
      </c>
      <c r="B7563">
        <v>0</v>
      </c>
    </row>
    <row r="7564" spans="1:2" x14ac:dyDescent="0.25">
      <c r="A7564">
        <v>13411</v>
      </c>
      <c r="B7564">
        <v>0</v>
      </c>
    </row>
    <row r="7565" spans="1:2" x14ac:dyDescent="0.25">
      <c r="A7565">
        <v>13412</v>
      </c>
      <c r="B7565">
        <v>0</v>
      </c>
    </row>
    <row r="7566" spans="1:2" x14ac:dyDescent="0.25">
      <c r="A7566">
        <v>13414</v>
      </c>
      <c r="B7566">
        <v>0</v>
      </c>
    </row>
    <row r="7567" spans="1:2" x14ac:dyDescent="0.25">
      <c r="A7567">
        <v>13416</v>
      </c>
      <c r="B7567">
        <v>0</v>
      </c>
    </row>
    <row r="7568" spans="1:2" x14ac:dyDescent="0.25">
      <c r="A7568">
        <v>13418</v>
      </c>
      <c r="B7568">
        <v>0</v>
      </c>
    </row>
    <row r="7569" spans="1:2" x14ac:dyDescent="0.25">
      <c r="A7569">
        <v>13420</v>
      </c>
      <c r="B7569">
        <v>0</v>
      </c>
    </row>
    <row r="7570" spans="1:2" x14ac:dyDescent="0.25">
      <c r="A7570">
        <v>13422</v>
      </c>
      <c r="B7570">
        <v>0</v>
      </c>
    </row>
    <row r="7571" spans="1:2" x14ac:dyDescent="0.25">
      <c r="A7571">
        <v>13424</v>
      </c>
      <c r="B7571">
        <v>0</v>
      </c>
    </row>
    <row r="7572" spans="1:2" x14ac:dyDescent="0.25">
      <c r="A7572">
        <v>13428</v>
      </c>
      <c r="B7572">
        <v>0</v>
      </c>
    </row>
    <row r="7573" spans="1:2" x14ac:dyDescent="0.25">
      <c r="A7573">
        <v>13429</v>
      </c>
      <c r="B7573">
        <v>0</v>
      </c>
    </row>
    <row r="7574" spans="1:2" x14ac:dyDescent="0.25">
      <c r="A7574">
        <v>13430</v>
      </c>
      <c r="B7574">
        <v>0</v>
      </c>
    </row>
    <row r="7575" spans="1:2" x14ac:dyDescent="0.25">
      <c r="A7575">
        <v>13431</v>
      </c>
      <c r="B7575">
        <v>0</v>
      </c>
    </row>
    <row r="7576" spans="1:2" x14ac:dyDescent="0.25">
      <c r="A7576">
        <v>13432</v>
      </c>
      <c r="B7576">
        <v>0</v>
      </c>
    </row>
    <row r="7577" spans="1:2" x14ac:dyDescent="0.25">
      <c r="A7577">
        <v>13433</v>
      </c>
      <c r="B7577">
        <v>0</v>
      </c>
    </row>
    <row r="7578" spans="1:2" x14ac:dyDescent="0.25">
      <c r="A7578">
        <v>13434</v>
      </c>
      <c r="B7578">
        <v>0</v>
      </c>
    </row>
    <row r="7579" spans="1:2" x14ac:dyDescent="0.25">
      <c r="A7579">
        <v>13435</v>
      </c>
      <c r="B7579">
        <v>0</v>
      </c>
    </row>
    <row r="7580" spans="1:2" x14ac:dyDescent="0.25">
      <c r="A7580">
        <v>13436</v>
      </c>
      <c r="B7580">
        <v>0</v>
      </c>
    </row>
    <row r="7581" spans="1:2" x14ac:dyDescent="0.25">
      <c r="A7581">
        <v>13437</v>
      </c>
      <c r="B7581">
        <v>0</v>
      </c>
    </row>
    <row r="7582" spans="1:2" x14ac:dyDescent="0.25">
      <c r="A7582">
        <v>13439</v>
      </c>
      <c r="B7582">
        <v>0</v>
      </c>
    </row>
    <row r="7583" spans="1:2" x14ac:dyDescent="0.25">
      <c r="A7583">
        <v>13440</v>
      </c>
      <c r="B7583">
        <v>0</v>
      </c>
    </row>
    <row r="7584" spans="1:2" x14ac:dyDescent="0.25">
      <c r="A7584">
        <v>13442</v>
      </c>
      <c r="B7584">
        <v>0</v>
      </c>
    </row>
    <row r="7585" spans="1:2" x14ac:dyDescent="0.25">
      <c r="A7585">
        <v>13444</v>
      </c>
      <c r="B7585">
        <v>0</v>
      </c>
    </row>
    <row r="7586" spans="1:2" x14ac:dyDescent="0.25">
      <c r="A7586">
        <v>13446</v>
      </c>
      <c r="B7586">
        <v>0</v>
      </c>
    </row>
    <row r="7587" spans="1:2" x14ac:dyDescent="0.25">
      <c r="A7587">
        <v>13448</v>
      </c>
      <c r="B7587">
        <v>0</v>
      </c>
    </row>
    <row r="7588" spans="1:2" x14ac:dyDescent="0.25">
      <c r="A7588">
        <v>13450</v>
      </c>
      <c r="B7588">
        <v>0</v>
      </c>
    </row>
    <row r="7589" spans="1:2" x14ac:dyDescent="0.25">
      <c r="A7589">
        <v>13452</v>
      </c>
      <c r="B7589">
        <v>0</v>
      </c>
    </row>
    <row r="7590" spans="1:2" x14ac:dyDescent="0.25">
      <c r="A7590">
        <v>13454</v>
      </c>
      <c r="B7590">
        <v>0</v>
      </c>
    </row>
    <row r="7591" spans="1:2" x14ac:dyDescent="0.25">
      <c r="A7591">
        <v>13456</v>
      </c>
      <c r="B7591">
        <v>0</v>
      </c>
    </row>
    <row r="7592" spans="1:2" x14ac:dyDescent="0.25">
      <c r="A7592">
        <v>13458</v>
      </c>
      <c r="B7592">
        <v>0</v>
      </c>
    </row>
    <row r="7593" spans="1:2" x14ac:dyDescent="0.25">
      <c r="A7593">
        <v>13459</v>
      </c>
      <c r="B7593">
        <v>0</v>
      </c>
    </row>
    <row r="7594" spans="1:2" x14ac:dyDescent="0.25">
      <c r="A7594">
        <v>13460</v>
      </c>
      <c r="B7594">
        <v>0</v>
      </c>
    </row>
    <row r="7595" spans="1:2" x14ac:dyDescent="0.25">
      <c r="A7595">
        <v>13461</v>
      </c>
      <c r="B7595">
        <v>0</v>
      </c>
    </row>
    <row r="7596" spans="1:2" x14ac:dyDescent="0.25">
      <c r="A7596">
        <v>13463</v>
      </c>
      <c r="B7596">
        <v>0</v>
      </c>
    </row>
    <row r="7597" spans="1:2" x14ac:dyDescent="0.25">
      <c r="A7597">
        <v>13464</v>
      </c>
      <c r="B7597">
        <v>0</v>
      </c>
    </row>
    <row r="7598" spans="1:2" x14ac:dyDescent="0.25">
      <c r="A7598">
        <v>13465</v>
      </c>
      <c r="B7598">
        <v>0</v>
      </c>
    </row>
    <row r="7599" spans="1:2" x14ac:dyDescent="0.25">
      <c r="A7599">
        <v>13466</v>
      </c>
      <c r="B7599">
        <v>0</v>
      </c>
    </row>
    <row r="7600" spans="1:2" x14ac:dyDescent="0.25">
      <c r="A7600">
        <v>13467</v>
      </c>
      <c r="B7600">
        <v>0</v>
      </c>
    </row>
    <row r="7601" spans="1:2" x14ac:dyDescent="0.25">
      <c r="A7601">
        <v>13469</v>
      </c>
      <c r="B7601">
        <v>0</v>
      </c>
    </row>
    <row r="7602" spans="1:2" x14ac:dyDescent="0.25">
      <c r="A7602">
        <v>13470</v>
      </c>
      <c r="B7602">
        <v>0</v>
      </c>
    </row>
    <row r="7603" spans="1:2" x14ac:dyDescent="0.25">
      <c r="A7603">
        <v>13472</v>
      </c>
      <c r="B7603">
        <v>0</v>
      </c>
    </row>
    <row r="7604" spans="1:2" x14ac:dyDescent="0.25">
      <c r="A7604">
        <v>13473</v>
      </c>
      <c r="B7604">
        <v>0</v>
      </c>
    </row>
    <row r="7605" spans="1:2" x14ac:dyDescent="0.25">
      <c r="A7605">
        <v>13475</v>
      </c>
      <c r="B7605">
        <v>0</v>
      </c>
    </row>
    <row r="7606" spans="1:2" x14ac:dyDescent="0.25">
      <c r="A7606">
        <v>13476</v>
      </c>
      <c r="B7606">
        <v>0</v>
      </c>
    </row>
    <row r="7607" spans="1:2" x14ac:dyDescent="0.25">
      <c r="A7607">
        <v>13478</v>
      </c>
      <c r="B7607">
        <v>0</v>
      </c>
    </row>
    <row r="7608" spans="1:2" x14ac:dyDescent="0.25">
      <c r="A7608">
        <v>13479</v>
      </c>
      <c r="B7608">
        <v>0</v>
      </c>
    </row>
    <row r="7609" spans="1:2" x14ac:dyDescent="0.25">
      <c r="A7609">
        <v>13480</v>
      </c>
      <c r="B7609">
        <v>0</v>
      </c>
    </row>
    <row r="7610" spans="1:2" x14ac:dyDescent="0.25">
      <c r="A7610">
        <v>13486</v>
      </c>
      <c r="B7610">
        <v>0</v>
      </c>
    </row>
    <row r="7611" spans="1:2" x14ac:dyDescent="0.25">
      <c r="A7611">
        <v>13487</v>
      </c>
      <c r="B7611">
        <v>0</v>
      </c>
    </row>
    <row r="7612" spans="1:2" x14ac:dyDescent="0.25">
      <c r="A7612">
        <v>13489</v>
      </c>
      <c r="B7612">
        <v>0</v>
      </c>
    </row>
    <row r="7613" spans="1:2" x14ac:dyDescent="0.25">
      <c r="A7613">
        <v>13492</v>
      </c>
      <c r="B7613">
        <v>0</v>
      </c>
    </row>
    <row r="7614" spans="1:2" x14ac:dyDescent="0.25">
      <c r="A7614">
        <v>13494</v>
      </c>
      <c r="B7614">
        <v>0</v>
      </c>
    </row>
    <row r="7615" spans="1:2" x14ac:dyDescent="0.25">
      <c r="A7615">
        <v>13495</v>
      </c>
      <c r="B7615">
        <v>0</v>
      </c>
    </row>
    <row r="7616" spans="1:2" x14ac:dyDescent="0.25">
      <c r="A7616">
        <v>13497</v>
      </c>
      <c r="B7616">
        <v>0</v>
      </c>
    </row>
    <row r="7617" spans="1:2" x14ac:dyDescent="0.25">
      <c r="A7617">
        <v>13499</v>
      </c>
      <c r="B7617">
        <v>0</v>
      </c>
    </row>
    <row r="7618" spans="1:2" x14ac:dyDescent="0.25">
      <c r="A7618">
        <v>13509</v>
      </c>
      <c r="B7618">
        <v>0</v>
      </c>
    </row>
    <row r="7619" spans="1:2" x14ac:dyDescent="0.25">
      <c r="A7619">
        <v>13525</v>
      </c>
      <c r="B7619">
        <v>0</v>
      </c>
    </row>
    <row r="7620" spans="1:2" x14ac:dyDescent="0.25">
      <c r="A7620">
        <v>13526</v>
      </c>
      <c r="B7620">
        <v>0</v>
      </c>
    </row>
    <row r="7621" spans="1:2" x14ac:dyDescent="0.25">
      <c r="A7621">
        <v>13527</v>
      </c>
      <c r="B7621">
        <v>0</v>
      </c>
    </row>
    <row r="7622" spans="1:2" x14ac:dyDescent="0.25">
      <c r="A7622">
        <v>13528</v>
      </c>
      <c r="B7622">
        <v>0</v>
      </c>
    </row>
    <row r="7623" spans="1:2" x14ac:dyDescent="0.25">
      <c r="A7623">
        <v>13529</v>
      </c>
      <c r="B7623">
        <v>0</v>
      </c>
    </row>
    <row r="7624" spans="1:2" x14ac:dyDescent="0.25">
      <c r="A7624">
        <v>13531</v>
      </c>
      <c r="B7624">
        <v>0</v>
      </c>
    </row>
    <row r="7625" spans="1:2" x14ac:dyDescent="0.25">
      <c r="A7625">
        <v>13533</v>
      </c>
      <c r="B7625">
        <v>0</v>
      </c>
    </row>
    <row r="7626" spans="1:2" x14ac:dyDescent="0.25">
      <c r="A7626">
        <v>13535</v>
      </c>
      <c r="B7626">
        <v>0</v>
      </c>
    </row>
    <row r="7627" spans="1:2" x14ac:dyDescent="0.25">
      <c r="A7627">
        <v>13537</v>
      </c>
      <c r="B7627">
        <v>0</v>
      </c>
    </row>
    <row r="7628" spans="1:2" x14ac:dyDescent="0.25">
      <c r="A7628">
        <v>13541</v>
      </c>
      <c r="B7628">
        <v>0</v>
      </c>
    </row>
    <row r="7629" spans="1:2" x14ac:dyDescent="0.25">
      <c r="A7629">
        <v>13543</v>
      </c>
      <c r="B7629">
        <v>0</v>
      </c>
    </row>
    <row r="7630" spans="1:2" x14ac:dyDescent="0.25">
      <c r="A7630">
        <v>13544</v>
      </c>
      <c r="B7630">
        <v>0</v>
      </c>
    </row>
    <row r="7631" spans="1:2" x14ac:dyDescent="0.25">
      <c r="A7631">
        <v>13545</v>
      </c>
      <c r="B7631">
        <v>0</v>
      </c>
    </row>
    <row r="7632" spans="1:2" x14ac:dyDescent="0.25">
      <c r="A7632">
        <v>13546</v>
      </c>
      <c r="B7632">
        <v>0</v>
      </c>
    </row>
    <row r="7633" spans="1:2" x14ac:dyDescent="0.25">
      <c r="A7633">
        <v>13549</v>
      </c>
      <c r="B7633">
        <v>0</v>
      </c>
    </row>
    <row r="7634" spans="1:2" x14ac:dyDescent="0.25">
      <c r="A7634">
        <v>13552</v>
      </c>
      <c r="B7634">
        <v>0</v>
      </c>
    </row>
    <row r="7635" spans="1:2" x14ac:dyDescent="0.25">
      <c r="A7635">
        <v>13555</v>
      </c>
      <c r="B7635">
        <v>0</v>
      </c>
    </row>
    <row r="7636" spans="1:2" x14ac:dyDescent="0.25">
      <c r="A7636">
        <v>13558</v>
      </c>
      <c r="B7636">
        <v>0</v>
      </c>
    </row>
    <row r="7637" spans="1:2" x14ac:dyDescent="0.25">
      <c r="A7637">
        <v>13560</v>
      </c>
      <c r="B7637">
        <v>0</v>
      </c>
    </row>
    <row r="7638" spans="1:2" x14ac:dyDescent="0.25">
      <c r="A7638">
        <v>13563</v>
      </c>
      <c r="B7638">
        <v>0</v>
      </c>
    </row>
    <row r="7639" spans="1:2" x14ac:dyDescent="0.25">
      <c r="A7639">
        <v>13564</v>
      </c>
      <c r="B7639">
        <v>0</v>
      </c>
    </row>
    <row r="7640" spans="1:2" x14ac:dyDescent="0.25">
      <c r="A7640">
        <v>13566</v>
      </c>
      <c r="B7640">
        <v>11</v>
      </c>
    </row>
    <row r="7641" spans="1:2" x14ac:dyDescent="0.25">
      <c r="A7641">
        <v>13567</v>
      </c>
      <c r="B7641">
        <v>0</v>
      </c>
    </row>
    <row r="7642" spans="1:2" x14ac:dyDescent="0.25">
      <c r="A7642">
        <v>13569</v>
      </c>
      <c r="B7642">
        <v>0</v>
      </c>
    </row>
    <row r="7643" spans="1:2" x14ac:dyDescent="0.25">
      <c r="A7643">
        <v>13572</v>
      </c>
      <c r="B7643">
        <v>7</v>
      </c>
    </row>
    <row r="7644" spans="1:2" x14ac:dyDescent="0.25">
      <c r="A7644">
        <v>13573</v>
      </c>
      <c r="B7644">
        <v>0</v>
      </c>
    </row>
    <row r="7645" spans="1:2" x14ac:dyDescent="0.25">
      <c r="A7645">
        <v>13574</v>
      </c>
      <c r="B7645">
        <v>0</v>
      </c>
    </row>
    <row r="7646" spans="1:2" x14ac:dyDescent="0.25">
      <c r="A7646">
        <v>13577</v>
      </c>
      <c r="B7646">
        <v>0</v>
      </c>
    </row>
    <row r="7647" spans="1:2" x14ac:dyDescent="0.25">
      <c r="A7647">
        <v>13578</v>
      </c>
      <c r="B7647">
        <v>0</v>
      </c>
    </row>
    <row r="7648" spans="1:2" x14ac:dyDescent="0.25">
      <c r="A7648">
        <v>13579</v>
      </c>
      <c r="B7648">
        <v>0</v>
      </c>
    </row>
    <row r="7649" spans="1:2" x14ac:dyDescent="0.25">
      <c r="A7649">
        <v>13580</v>
      </c>
      <c r="B7649">
        <v>0</v>
      </c>
    </row>
    <row r="7650" spans="1:2" x14ac:dyDescent="0.25">
      <c r="A7650">
        <v>13581</v>
      </c>
      <c r="B7650">
        <v>0</v>
      </c>
    </row>
    <row r="7651" spans="1:2" x14ac:dyDescent="0.25">
      <c r="A7651">
        <v>13582</v>
      </c>
      <c r="B7651">
        <v>0</v>
      </c>
    </row>
    <row r="7652" spans="1:2" x14ac:dyDescent="0.25">
      <c r="A7652">
        <v>13583</v>
      </c>
      <c r="B7652">
        <v>0</v>
      </c>
    </row>
    <row r="7653" spans="1:2" x14ac:dyDescent="0.25">
      <c r="A7653">
        <v>13584</v>
      </c>
      <c r="B7653">
        <v>0</v>
      </c>
    </row>
    <row r="7654" spans="1:2" x14ac:dyDescent="0.25">
      <c r="A7654">
        <v>13586</v>
      </c>
      <c r="B7654">
        <v>0</v>
      </c>
    </row>
    <row r="7655" spans="1:2" x14ac:dyDescent="0.25">
      <c r="A7655">
        <v>13587</v>
      </c>
      <c r="B7655">
        <v>0</v>
      </c>
    </row>
    <row r="7656" spans="1:2" x14ac:dyDescent="0.25">
      <c r="A7656">
        <v>13588</v>
      </c>
      <c r="B7656">
        <v>0</v>
      </c>
    </row>
    <row r="7657" spans="1:2" x14ac:dyDescent="0.25">
      <c r="A7657">
        <v>13590</v>
      </c>
      <c r="B7657">
        <v>0</v>
      </c>
    </row>
    <row r="7658" spans="1:2" x14ac:dyDescent="0.25">
      <c r="A7658">
        <v>13592</v>
      </c>
      <c r="B7658">
        <v>0</v>
      </c>
    </row>
    <row r="7659" spans="1:2" x14ac:dyDescent="0.25">
      <c r="A7659">
        <v>13593</v>
      </c>
      <c r="B7659">
        <v>0</v>
      </c>
    </row>
    <row r="7660" spans="1:2" x14ac:dyDescent="0.25">
      <c r="A7660">
        <v>13595</v>
      </c>
      <c r="B7660">
        <v>0</v>
      </c>
    </row>
    <row r="7661" spans="1:2" x14ac:dyDescent="0.25">
      <c r="A7661">
        <v>13596</v>
      </c>
      <c r="B7661">
        <v>0</v>
      </c>
    </row>
    <row r="7662" spans="1:2" x14ac:dyDescent="0.25">
      <c r="A7662">
        <v>13597</v>
      </c>
      <c r="B7662">
        <v>0</v>
      </c>
    </row>
    <row r="7663" spans="1:2" x14ac:dyDescent="0.25">
      <c r="A7663">
        <v>13598</v>
      </c>
      <c r="B7663">
        <v>0</v>
      </c>
    </row>
    <row r="7664" spans="1:2" x14ac:dyDescent="0.25">
      <c r="A7664">
        <v>13600</v>
      </c>
      <c r="B7664">
        <v>0</v>
      </c>
    </row>
    <row r="7665" spans="1:2" x14ac:dyDescent="0.25">
      <c r="A7665">
        <v>13601</v>
      </c>
      <c r="B7665">
        <v>0</v>
      </c>
    </row>
    <row r="7666" spans="1:2" x14ac:dyDescent="0.25">
      <c r="A7666">
        <v>13602</v>
      </c>
      <c r="B7666">
        <v>0</v>
      </c>
    </row>
    <row r="7667" spans="1:2" x14ac:dyDescent="0.25">
      <c r="A7667">
        <v>13604</v>
      </c>
      <c r="B7667">
        <v>0</v>
      </c>
    </row>
    <row r="7668" spans="1:2" x14ac:dyDescent="0.25">
      <c r="A7668">
        <v>13606</v>
      </c>
      <c r="B7668">
        <v>0</v>
      </c>
    </row>
    <row r="7669" spans="1:2" x14ac:dyDescent="0.25">
      <c r="A7669">
        <v>13607</v>
      </c>
      <c r="B7669">
        <v>0</v>
      </c>
    </row>
    <row r="7670" spans="1:2" x14ac:dyDescent="0.25">
      <c r="A7670">
        <v>13609</v>
      </c>
      <c r="B7670">
        <v>0</v>
      </c>
    </row>
    <row r="7671" spans="1:2" x14ac:dyDescent="0.25">
      <c r="A7671">
        <v>13610</v>
      </c>
      <c r="B7671">
        <v>0</v>
      </c>
    </row>
    <row r="7672" spans="1:2" x14ac:dyDescent="0.25">
      <c r="A7672">
        <v>13612</v>
      </c>
      <c r="B7672">
        <v>0</v>
      </c>
    </row>
    <row r="7673" spans="1:2" x14ac:dyDescent="0.25">
      <c r="A7673">
        <v>13614</v>
      </c>
      <c r="B7673">
        <v>0</v>
      </c>
    </row>
    <row r="7674" spans="1:2" x14ac:dyDescent="0.25">
      <c r="A7674">
        <v>13616</v>
      </c>
      <c r="B7674">
        <v>0</v>
      </c>
    </row>
    <row r="7675" spans="1:2" x14ac:dyDescent="0.25">
      <c r="A7675">
        <v>13618</v>
      </c>
      <c r="B7675">
        <v>0</v>
      </c>
    </row>
    <row r="7676" spans="1:2" x14ac:dyDescent="0.25">
      <c r="A7676">
        <v>13627</v>
      </c>
      <c r="B7676">
        <v>0</v>
      </c>
    </row>
    <row r="7677" spans="1:2" x14ac:dyDescent="0.25">
      <c r="A7677">
        <v>13628</v>
      </c>
      <c r="B7677">
        <v>0</v>
      </c>
    </row>
    <row r="7678" spans="1:2" x14ac:dyDescent="0.25">
      <c r="A7678">
        <v>13632</v>
      </c>
      <c r="B7678">
        <v>0</v>
      </c>
    </row>
    <row r="7679" spans="1:2" x14ac:dyDescent="0.25">
      <c r="A7679">
        <v>13638</v>
      </c>
      <c r="B7679">
        <v>0</v>
      </c>
    </row>
    <row r="7680" spans="1:2" x14ac:dyDescent="0.25">
      <c r="A7680">
        <v>13640</v>
      </c>
      <c r="B7680">
        <v>0</v>
      </c>
    </row>
    <row r="7681" spans="1:2" x14ac:dyDescent="0.25">
      <c r="A7681">
        <v>13641</v>
      </c>
      <c r="B7681">
        <v>0</v>
      </c>
    </row>
    <row r="7682" spans="1:2" x14ac:dyDescent="0.25">
      <c r="A7682">
        <v>13643</v>
      </c>
      <c r="B7682">
        <v>0</v>
      </c>
    </row>
    <row r="7683" spans="1:2" x14ac:dyDescent="0.25">
      <c r="A7683">
        <v>13646</v>
      </c>
      <c r="B7683">
        <v>0</v>
      </c>
    </row>
    <row r="7684" spans="1:2" x14ac:dyDescent="0.25">
      <c r="A7684">
        <v>13647</v>
      </c>
      <c r="B7684">
        <v>0</v>
      </c>
    </row>
    <row r="7685" spans="1:2" x14ac:dyDescent="0.25">
      <c r="A7685">
        <v>13649</v>
      </c>
      <c r="B7685">
        <v>0</v>
      </c>
    </row>
    <row r="7686" spans="1:2" x14ac:dyDescent="0.25">
      <c r="A7686">
        <v>13652</v>
      </c>
      <c r="B7686">
        <v>0</v>
      </c>
    </row>
    <row r="7687" spans="1:2" x14ac:dyDescent="0.25">
      <c r="A7687">
        <v>13654</v>
      </c>
      <c r="B7687">
        <v>0</v>
      </c>
    </row>
    <row r="7688" spans="1:2" x14ac:dyDescent="0.25">
      <c r="A7688">
        <v>13656</v>
      </c>
      <c r="B7688">
        <v>0</v>
      </c>
    </row>
    <row r="7689" spans="1:2" x14ac:dyDescent="0.25">
      <c r="A7689">
        <v>13658</v>
      </c>
      <c r="B7689">
        <v>0</v>
      </c>
    </row>
    <row r="7690" spans="1:2" x14ac:dyDescent="0.25">
      <c r="A7690">
        <v>13661</v>
      </c>
      <c r="B7690">
        <v>0</v>
      </c>
    </row>
    <row r="7691" spans="1:2" x14ac:dyDescent="0.25">
      <c r="A7691">
        <v>13663</v>
      </c>
      <c r="B7691">
        <v>0</v>
      </c>
    </row>
    <row r="7692" spans="1:2" x14ac:dyDescent="0.25">
      <c r="A7692">
        <v>13665</v>
      </c>
      <c r="B7692">
        <v>0</v>
      </c>
    </row>
    <row r="7693" spans="1:2" x14ac:dyDescent="0.25">
      <c r="A7693">
        <v>13667</v>
      </c>
      <c r="B7693">
        <v>0</v>
      </c>
    </row>
    <row r="7694" spans="1:2" x14ac:dyDescent="0.25">
      <c r="A7694">
        <v>13669</v>
      </c>
      <c r="B7694">
        <v>0</v>
      </c>
    </row>
    <row r="7695" spans="1:2" x14ac:dyDescent="0.25">
      <c r="A7695">
        <v>13674</v>
      </c>
      <c r="B7695">
        <v>0</v>
      </c>
    </row>
    <row r="7696" spans="1:2" x14ac:dyDescent="0.25">
      <c r="A7696">
        <v>13676</v>
      </c>
      <c r="B7696">
        <v>0</v>
      </c>
    </row>
    <row r="7697" spans="1:2" x14ac:dyDescent="0.25">
      <c r="A7697">
        <v>13678</v>
      </c>
      <c r="B7697">
        <v>0</v>
      </c>
    </row>
    <row r="7698" spans="1:2" x14ac:dyDescent="0.25">
      <c r="A7698">
        <v>13680</v>
      </c>
      <c r="B7698">
        <v>0</v>
      </c>
    </row>
    <row r="7699" spans="1:2" x14ac:dyDescent="0.25">
      <c r="A7699">
        <v>13682</v>
      </c>
      <c r="B7699">
        <v>0</v>
      </c>
    </row>
    <row r="7700" spans="1:2" x14ac:dyDescent="0.25">
      <c r="A7700">
        <v>13684</v>
      </c>
      <c r="B7700">
        <v>0</v>
      </c>
    </row>
    <row r="7701" spans="1:2" x14ac:dyDescent="0.25">
      <c r="A7701">
        <v>13686</v>
      </c>
      <c r="B7701">
        <v>0</v>
      </c>
    </row>
    <row r="7702" spans="1:2" x14ac:dyDescent="0.25">
      <c r="A7702">
        <v>13688</v>
      </c>
      <c r="B7702">
        <v>0</v>
      </c>
    </row>
    <row r="7703" spans="1:2" x14ac:dyDescent="0.25">
      <c r="A7703">
        <v>13691</v>
      </c>
      <c r="B7703">
        <v>0</v>
      </c>
    </row>
    <row r="7704" spans="1:2" x14ac:dyDescent="0.25">
      <c r="A7704">
        <v>13692</v>
      </c>
      <c r="B7704">
        <v>0</v>
      </c>
    </row>
    <row r="7705" spans="1:2" x14ac:dyDescent="0.25">
      <c r="A7705">
        <v>13699</v>
      </c>
      <c r="B7705">
        <v>0</v>
      </c>
    </row>
    <row r="7706" spans="1:2" x14ac:dyDescent="0.25">
      <c r="A7706">
        <v>13700</v>
      </c>
      <c r="B7706">
        <v>0</v>
      </c>
    </row>
    <row r="7707" spans="1:2" x14ac:dyDescent="0.25">
      <c r="A7707">
        <v>13701</v>
      </c>
      <c r="B7707">
        <v>0</v>
      </c>
    </row>
    <row r="7708" spans="1:2" x14ac:dyDescent="0.25">
      <c r="A7708">
        <v>13704</v>
      </c>
      <c r="B7708">
        <v>0</v>
      </c>
    </row>
    <row r="7709" spans="1:2" x14ac:dyDescent="0.25">
      <c r="A7709">
        <v>13705</v>
      </c>
      <c r="B7709">
        <v>0</v>
      </c>
    </row>
    <row r="7710" spans="1:2" x14ac:dyDescent="0.25">
      <c r="A7710">
        <v>13706</v>
      </c>
      <c r="B7710">
        <v>0</v>
      </c>
    </row>
    <row r="7711" spans="1:2" x14ac:dyDescent="0.25">
      <c r="A7711">
        <v>13707</v>
      </c>
      <c r="B7711">
        <v>0</v>
      </c>
    </row>
    <row r="7712" spans="1:2" x14ac:dyDescent="0.25">
      <c r="A7712">
        <v>13708</v>
      </c>
      <c r="B7712">
        <v>0</v>
      </c>
    </row>
    <row r="7713" spans="1:2" x14ac:dyDescent="0.25">
      <c r="A7713">
        <v>13709</v>
      </c>
      <c r="B7713">
        <v>0</v>
      </c>
    </row>
    <row r="7714" spans="1:2" x14ac:dyDescent="0.25">
      <c r="A7714">
        <v>13726</v>
      </c>
      <c r="B7714">
        <v>0</v>
      </c>
    </row>
    <row r="7715" spans="1:2" x14ac:dyDescent="0.25">
      <c r="A7715">
        <v>13727</v>
      </c>
      <c r="B7715">
        <v>0</v>
      </c>
    </row>
    <row r="7716" spans="1:2" x14ac:dyDescent="0.25">
      <c r="A7716">
        <v>13728</v>
      </c>
      <c r="B7716">
        <v>0</v>
      </c>
    </row>
    <row r="7717" spans="1:2" x14ac:dyDescent="0.25">
      <c r="A7717">
        <v>13756</v>
      </c>
      <c r="B7717">
        <v>0</v>
      </c>
    </row>
    <row r="7718" spans="1:2" x14ac:dyDescent="0.25">
      <c r="A7718">
        <v>13757</v>
      </c>
      <c r="B7718">
        <v>0</v>
      </c>
    </row>
    <row r="7719" spans="1:2" x14ac:dyDescent="0.25">
      <c r="A7719">
        <v>13758</v>
      </c>
      <c r="B7719">
        <v>0</v>
      </c>
    </row>
    <row r="7720" spans="1:2" x14ac:dyDescent="0.25">
      <c r="A7720">
        <v>13759</v>
      </c>
      <c r="B7720">
        <v>0</v>
      </c>
    </row>
    <row r="7721" spans="1:2" x14ac:dyDescent="0.25">
      <c r="A7721">
        <v>13760</v>
      </c>
      <c r="B7721">
        <v>0</v>
      </c>
    </row>
    <row r="7722" spans="1:2" x14ac:dyDescent="0.25">
      <c r="A7722">
        <v>13761</v>
      </c>
      <c r="B7722">
        <v>0</v>
      </c>
    </row>
    <row r="7723" spans="1:2" x14ac:dyDescent="0.25">
      <c r="A7723">
        <v>13762</v>
      </c>
      <c r="B7723">
        <v>0</v>
      </c>
    </row>
    <row r="7724" spans="1:2" x14ac:dyDescent="0.25">
      <c r="A7724">
        <v>13764</v>
      </c>
      <c r="B7724">
        <v>0</v>
      </c>
    </row>
    <row r="7725" spans="1:2" x14ac:dyDescent="0.25">
      <c r="A7725">
        <v>13766</v>
      </c>
      <c r="B7725">
        <v>0</v>
      </c>
    </row>
    <row r="7726" spans="1:2" x14ac:dyDescent="0.25">
      <c r="A7726">
        <v>13767</v>
      </c>
      <c r="B7726">
        <v>0</v>
      </c>
    </row>
    <row r="7727" spans="1:2" x14ac:dyDescent="0.25">
      <c r="A7727">
        <v>13768</v>
      </c>
      <c r="B7727">
        <v>0</v>
      </c>
    </row>
    <row r="7728" spans="1:2" x14ac:dyDescent="0.25">
      <c r="A7728">
        <v>13771</v>
      </c>
      <c r="B7728">
        <v>0</v>
      </c>
    </row>
    <row r="7729" spans="1:2" x14ac:dyDescent="0.25">
      <c r="A7729">
        <v>13772</v>
      </c>
      <c r="B7729">
        <v>0</v>
      </c>
    </row>
    <row r="7730" spans="1:2" x14ac:dyDescent="0.25">
      <c r="A7730">
        <v>13773</v>
      </c>
      <c r="B7730">
        <v>0</v>
      </c>
    </row>
    <row r="7731" spans="1:2" x14ac:dyDescent="0.25">
      <c r="A7731">
        <v>13774</v>
      </c>
      <c r="B7731">
        <v>0</v>
      </c>
    </row>
    <row r="7732" spans="1:2" x14ac:dyDescent="0.25">
      <c r="A7732">
        <v>13775</v>
      </c>
      <c r="B7732">
        <v>0</v>
      </c>
    </row>
    <row r="7733" spans="1:2" x14ac:dyDescent="0.25">
      <c r="A7733">
        <v>13777</v>
      </c>
      <c r="B7733">
        <v>0</v>
      </c>
    </row>
    <row r="7734" spans="1:2" x14ac:dyDescent="0.25">
      <c r="A7734">
        <v>13778</v>
      </c>
      <c r="B7734">
        <v>0</v>
      </c>
    </row>
    <row r="7735" spans="1:2" x14ac:dyDescent="0.25">
      <c r="A7735">
        <v>13779</v>
      </c>
      <c r="B7735">
        <v>0</v>
      </c>
    </row>
    <row r="7736" spans="1:2" x14ac:dyDescent="0.25">
      <c r="A7736">
        <v>13780</v>
      </c>
      <c r="B7736">
        <v>0</v>
      </c>
    </row>
    <row r="7737" spans="1:2" x14ac:dyDescent="0.25">
      <c r="A7737">
        <v>13781</v>
      </c>
      <c r="B7737">
        <v>0</v>
      </c>
    </row>
    <row r="7738" spans="1:2" x14ac:dyDescent="0.25">
      <c r="A7738">
        <v>13783</v>
      </c>
      <c r="B7738">
        <v>0</v>
      </c>
    </row>
    <row r="7739" spans="1:2" x14ac:dyDescent="0.25">
      <c r="A7739">
        <v>13784</v>
      </c>
      <c r="B7739">
        <v>0</v>
      </c>
    </row>
    <row r="7740" spans="1:2" x14ac:dyDescent="0.25">
      <c r="A7740">
        <v>13785</v>
      </c>
      <c r="B7740">
        <v>0</v>
      </c>
    </row>
    <row r="7741" spans="1:2" x14ac:dyDescent="0.25">
      <c r="A7741">
        <v>13786</v>
      </c>
      <c r="B7741">
        <v>0</v>
      </c>
    </row>
    <row r="7742" spans="1:2" x14ac:dyDescent="0.25">
      <c r="A7742">
        <v>13787</v>
      </c>
      <c r="B7742">
        <v>0</v>
      </c>
    </row>
    <row r="7743" spans="1:2" x14ac:dyDescent="0.25">
      <c r="A7743">
        <v>13788</v>
      </c>
      <c r="B7743">
        <v>0</v>
      </c>
    </row>
    <row r="7744" spans="1:2" x14ac:dyDescent="0.25">
      <c r="A7744">
        <v>13789</v>
      </c>
      <c r="B7744">
        <v>0</v>
      </c>
    </row>
    <row r="7745" spans="1:2" x14ac:dyDescent="0.25">
      <c r="A7745">
        <v>13791</v>
      </c>
      <c r="B7745">
        <v>0</v>
      </c>
    </row>
    <row r="7746" spans="1:2" x14ac:dyDescent="0.25">
      <c r="A7746">
        <v>13793</v>
      </c>
      <c r="B7746">
        <v>0</v>
      </c>
    </row>
    <row r="7747" spans="1:2" x14ac:dyDescent="0.25">
      <c r="A7747">
        <v>13795</v>
      </c>
      <c r="B7747">
        <v>0</v>
      </c>
    </row>
    <row r="7748" spans="1:2" x14ac:dyDescent="0.25">
      <c r="A7748">
        <v>13797</v>
      </c>
      <c r="B7748">
        <v>0</v>
      </c>
    </row>
    <row r="7749" spans="1:2" x14ac:dyDescent="0.25">
      <c r="A7749">
        <v>13799</v>
      </c>
      <c r="B7749">
        <v>0</v>
      </c>
    </row>
    <row r="7750" spans="1:2" x14ac:dyDescent="0.25">
      <c r="A7750">
        <v>13801</v>
      </c>
      <c r="B7750">
        <v>0</v>
      </c>
    </row>
    <row r="7751" spans="1:2" x14ac:dyDescent="0.25">
      <c r="A7751">
        <v>13803</v>
      </c>
      <c r="B7751">
        <v>0</v>
      </c>
    </row>
    <row r="7752" spans="1:2" x14ac:dyDescent="0.25">
      <c r="A7752">
        <v>13805</v>
      </c>
      <c r="B7752">
        <v>0</v>
      </c>
    </row>
    <row r="7753" spans="1:2" x14ac:dyDescent="0.25">
      <c r="A7753">
        <v>13807</v>
      </c>
      <c r="B7753">
        <v>0</v>
      </c>
    </row>
    <row r="7754" spans="1:2" x14ac:dyDescent="0.25">
      <c r="A7754">
        <v>13809</v>
      </c>
      <c r="B7754">
        <v>0</v>
      </c>
    </row>
    <row r="7755" spans="1:2" x14ac:dyDescent="0.25">
      <c r="A7755">
        <v>13811</v>
      </c>
      <c r="B7755">
        <v>0</v>
      </c>
    </row>
    <row r="7756" spans="1:2" x14ac:dyDescent="0.25">
      <c r="A7756">
        <v>13813</v>
      </c>
      <c r="B7756">
        <v>0</v>
      </c>
    </row>
    <row r="7757" spans="1:2" x14ac:dyDescent="0.25">
      <c r="A7757">
        <v>13815</v>
      </c>
      <c r="B7757">
        <v>0</v>
      </c>
    </row>
    <row r="7758" spans="1:2" x14ac:dyDescent="0.25">
      <c r="A7758">
        <v>13817</v>
      </c>
      <c r="B7758">
        <v>0</v>
      </c>
    </row>
    <row r="7759" spans="1:2" x14ac:dyDescent="0.25">
      <c r="A7759">
        <v>13819</v>
      </c>
      <c r="B7759">
        <v>0</v>
      </c>
    </row>
    <row r="7760" spans="1:2" x14ac:dyDescent="0.25">
      <c r="A7760">
        <v>13827</v>
      </c>
      <c r="B7760">
        <v>8</v>
      </c>
    </row>
    <row r="7761" spans="1:2" x14ac:dyDescent="0.25">
      <c r="A7761">
        <v>13830</v>
      </c>
      <c r="B7761">
        <v>0</v>
      </c>
    </row>
    <row r="7762" spans="1:2" x14ac:dyDescent="0.25">
      <c r="A7762">
        <v>13833</v>
      </c>
      <c r="B7762">
        <v>0</v>
      </c>
    </row>
    <row r="7763" spans="1:2" x14ac:dyDescent="0.25">
      <c r="A7763">
        <v>13835</v>
      </c>
      <c r="B7763">
        <v>0</v>
      </c>
    </row>
    <row r="7764" spans="1:2" x14ac:dyDescent="0.25">
      <c r="A7764">
        <v>13837</v>
      </c>
      <c r="B7764">
        <v>0</v>
      </c>
    </row>
    <row r="7765" spans="1:2" x14ac:dyDescent="0.25">
      <c r="A7765">
        <v>13839</v>
      </c>
      <c r="B7765">
        <v>11</v>
      </c>
    </row>
    <row r="7766" spans="1:2" x14ac:dyDescent="0.25">
      <c r="A7766">
        <v>13841</v>
      </c>
      <c r="B7766">
        <v>0</v>
      </c>
    </row>
    <row r="7767" spans="1:2" x14ac:dyDescent="0.25">
      <c r="A7767">
        <v>13843</v>
      </c>
      <c r="B7767">
        <v>0</v>
      </c>
    </row>
    <row r="7768" spans="1:2" x14ac:dyDescent="0.25">
      <c r="A7768">
        <v>13844</v>
      </c>
      <c r="B7768">
        <v>0</v>
      </c>
    </row>
    <row r="7769" spans="1:2" x14ac:dyDescent="0.25">
      <c r="A7769">
        <v>13846</v>
      </c>
      <c r="B7769">
        <v>0</v>
      </c>
    </row>
    <row r="7770" spans="1:2" x14ac:dyDescent="0.25">
      <c r="A7770">
        <v>13851</v>
      </c>
      <c r="B7770">
        <v>0</v>
      </c>
    </row>
    <row r="7771" spans="1:2" x14ac:dyDescent="0.25">
      <c r="A7771">
        <v>13853</v>
      </c>
      <c r="B7771">
        <v>0</v>
      </c>
    </row>
    <row r="7772" spans="1:2" x14ac:dyDescent="0.25">
      <c r="A7772">
        <v>13855</v>
      </c>
      <c r="B7772">
        <v>0</v>
      </c>
    </row>
    <row r="7773" spans="1:2" x14ac:dyDescent="0.25">
      <c r="A7773">
        <v>13857</v>
      </c>
      <c r="B7773">
        <v>0</v>
      </c>
    </row>
    <row r="7774" spans="1:2" x14ac:dyDescent="0.25">
      <c r="A7774">
        <v>13859</v>
      </c>
      <c r="B7774">
        <v>0</v>
      </c>
    </row>
    <row r="7775" spans="1:2" x14ac:dyDescent="0.25">
      <c r="A7775">
        <v>13861</v>
      </c>
      <c r="B7775">
        <v>0</v>
      </c>
    </row>
    <row r="7776" spans="1:2" x14ac:dyDescent="0.25">
      <c r="A7776">
        <v>13865</v>
      </c>
      <c r="B7776">
        <v>0</v>
      </c>
    </row>
    <row r="7777" spans="1:2" x14ac:dyDescent="0.25">
      <c r="A7777">
        <v>13866</v>
      </c>
      <c r="B7777">
        <v>0</v>
      </c>
    </row>
    <row r="7778" spans="1:2" x14ac:dyDescent="0.25">
      <c r="A7778">
        <v>13871</v>
      </c>
      <c r="B7778">
        <v>0</v>
      </c>
    </row>
    <row r="7779" spans="1:2" x14ac:dyDescent="0.25">
      <c r="A7779">
        <v>13872</v>
      </c>
      <c r="B7779">
        <v>0</v>
      </c>
    </row>
    <row r="7780" spans="1:2" x14ac:dyDescent="0.25">
      <c r="A7780">
        <v>13873</v>
      </c>
      <c r="B7780">
        <v>0</v>
      </c>
    </row>
    <row r="7781" spans="1:2" x14ac:dyDescent="0.25">
      <c r="A7781">
        <v>13874</v>
      </c>
      <c r="B7781">
        <v>0</v>
      </c>
    </row>
    <row r="7782" spans="1:2" x14ac:dyDescent="0.25">
      <c r="A7782">
        <v>13876</v>
      </c>
      <c r="B7782">
        <v>0</v>
      </c>
    </row>
    <row r="7783" spans="1:2" x14ac:dyDescent="0.25">
      <c r="A7783">
        <v>13885</v>
      </c>
      <c r="B7783">
        <v>0</v>
      </c>
    </row>
    <row r="7784" spans="1:2" x14ac:dyDescent="0.25">
      <c r="A7784">
        <v>13887</v>
      </c>
      <c r="B7784">
        <v>0</v>
      </c>
    </row>
    <row r="7785" spans="1:2" x14ac:dyDescent="0.25">
      <c r="A7785">
        <v>13889</v>
      </c>
      <c r="B7785">
        <v>0</v>
      </c>
    </row>
    <row r="7786" spans="1:2" x14ac:dyDescent="0.25">
      <c r="A7786">
        <v>13891</v>
      </c>
      <c r="B7786">
        <v>0</v>
      </c>
    </row>
    <row r="7787" spans="1:2" x14ac:dyDescent="0.25">
      <c r="A7787">
        <v>13893</v>
      </c>
      <c r="B7787">
        <v>0</v>
      </c>
    </row>
    <row r="7788" spans="1:2" x14ac:dyDescent="0.25">
      <c r="A7788">
        <v>13895</v>
      </c>
      <c r="B7788">
        <v>0</v>
      </c>
    </row>
    <row r="7789" spans="1:2" x14ac:dyDescent="0.25">
      <c r="A7789">
        <v>13898</v>
      </c>
      <c r="B7789">
        <v>0</v>
      </c>
    </row>
    <row r="7790" spans="1:2" x14ac:dyDescent="0.25">
      <c r="A7790">
        <v>13901</v>
      </c>
      <c r="B7790">
        <v>0</v>
      </c>
    </row>
    <row r="7791" spans="1:2" x14ac:dyDescent="0.25">
      <c r="A7791">
        <v>13904</v>
      </c>
      <c r="B7791">
        <v>0</v>
      </c>
    </row>
    <row r="7792" spans="1:2" x14ac:dyDescent="0.25">
      <c r="A7792">
        <v>13907</v>
      </c>
      <c r="B7792">
        <v>0</v>
      </c>
    </row>
    <row r="7793" spans="1:2" x14ac:dyDescent="0.25">
      <c r="A7793">
        <v>13910</v>
      </c>
      <c r="B7793">
        <v>0</v>
      </c>
    </row>
    <row r="7794" spans="1:2" x14ac:dyDescent="0.25">
      <c r="A7794">
        <v>13913</v>
      </c>
      <c r="B7794">
        <v>0</v>
      </c>
    </row>
    <row r="7795" spans="1:2" x14ac:dyDescent="0.25">
      <c r="A7795">
        <v>13916</v>
      </c>
      <c r="B7795">
        <v>0</v>
      </c>
    </row>
    <row r="7796" spans="1:2" x14ac:dyDescent="0.25">
      <c r="A7796">
        <v>13920</v>
      </c>
      <c r="B7796">
        <v>0</v>
      </c>
    </row>
    <row r="7797" spans="1:2" x14ac:dyDescent="0.25">
      <c r="A7797">
        <v>13924</v>
      </c>
      <c r="B7797">
        <v>0</v>
      </c>
    </row>
    <row r="7798" spans="1:2" x14ac:dyDescent="0.25">
      <c r="A7798">
        <v>13927</v>
      </c>
      <c r="B7798">
        <v>0</v>
      </c>
    </row>
    <row r="7799" spans="1:2" x14ac:dyDescent="0.25">
      <c r="A7799">
        <v>13930</v>
      </c>
      <c r="B7799">
        <v>0</v>
      </c>
    </row>
    <row r="7800" spans="1:2" x14ac:dyDescent="0.25">
      <c r="A7800">
        <v>13934</v>
      </c>
      <c r="B7800">
        <v>0</v>
      </c>
    </row>
    <row r="7801" spans="1:2" x14ac:dyDescent="0.25">
      <c r="A7801">
        <v>13936</v>
      </c>
      <c r="B7801">
        <v>0</v>
      </c>
    </row>
    <row r="7802" spans="1:2" x14ac:dyDescent="0.25">
      <c r="A7802">
        <v>13938</v>
      </c>
      <c r="B7802">
        <v>0</v>
      </c>
    </row>
    <row r="7803" spans="1:2" x14ac:dyDescent="0.25">
      <c r="A7803">
        <v>13940</v>
      </c>
      <c r="B7803">
        <v>0</v>
      </c>
    </row>
    <row r="7804" spans="1:2" x14ac:dyDescent="0.25">
      <c r="A7804">
        <v>13942</v>
      </c>
      <c r="B7804">
        <v>0</v>
      </c>
    </row>
    <row r="7805" spans="1:2" x14ac:dyDescent="0.25">
      <c r="A7805">
        <v>13944</v>
      </c>
      <c r="B7805">
        <v>0</v>
      </c>
    </row>
    <row r="7806" spans="1:2" x14ac:dyDescent="0.25">
      <c r="A7806">
        <v>13946</v>
      </c>
      <c r="B7806">
        <v>0</v>
      </c>
    </row>
    <row r="7807" spans="1:2" x14ac:dyDescent="0.25">
      <c r="A7807">
        <v>13951</v>
      </c>
      <c r="B7807">
        <v>0</v>
      </c>
    </row>
    <row r="7808" spans="1:2" x14ac:dyDescent="0.25">
      <c r="A7808">
        <v>13952</v>
      </c>
      <c r="B7808">
        <v>0</v>
      </c>
    </row>
    <row r="7809" spans="1:2" x14ac:dyDescent="0.25">
      <c r="A7809">
        <v>13953</v>
      </c>
      <c r="B7809">
        <v>0</v>
      </c>
    </row>
    <row r="7810" spans="1:2" x14ac:dyDescent="0.25">
      <c r="A7810">
        <v>13954</v>
      </c>
      <c r="B7810">
        <v>0</v>
      </c>
    </row>
    <row r="7811" spans="1:2" x14ac:dyDescent="0.25">
      <c r="A7811">
        <v>13955</v>
      </c>
      <c r="B7811">
        <v>0</v>
      </c>
    </row>
    <row r="7812" spans="1:2" x14ac:dyDescent="0.25">
      <c r="A7812">
        <v>13956</v>
      </c>
      <c r="B7812">
        <v>0</v>
      </c>
    </row>
    <row r="7813" spans="1:2" x14ac:dyDescent="0.25">
      <c r="A7813">
        <v>13975</v>
      </c>
      <c r="B7813">
        <v>0</v>
      </c>
    </row>
    <row r="7814" spans="1:2" x14ac:dyDescent="0.25">
      <c r="A7814">
        <v>13977</v>
      </c>
      <c r="B7814">
        <v>0</v>
      </c>
    </row>
    <row r="7815" spans="1:2" x14ac:dyDescent="0.25">
      <c r="A7815">
        <v>13978</v>
      </c>
      <c r="B7815">
        <v>0</v>
      </c>
    </row>
    <row r="7816" spans="1:2" x14ac:dyDescent="0.25">
      <c r="A7816">
        <v>13980</v>
      </c>
      <c r="B7816">
        <v>0</v>
      </c>
    </row>
    <row r="7817" spans="1:2" x14ac:dyDescent="0.25">
      <c r="A7817">
        <v>13986</v>
      </c>
      <c r="B7817">
        <v>0</v>
      </c>
    </row>
    <row r="7818" spans="1:2" x14ac:dyDescent="0.25">
      <c r="A7818">
        <v>13988</v>
      </c>
      <c r="B7818">
        <v>0</v>
      </c>
    </row>
    <row r="7819" spans="1:2" x14ac:dyDescent="0.25">
      <c r="A7819">
        <v>13989</v>
      </c>
      <c r="B7819">
        <v>0</v>
      </c>
    </row>
    <row r="7820" spans="1:2" x14ac:dyDescent="0.25">
      <c r="A7820">
        <v>13991</v>
      </c>
      <c r="B7820">
        <v>0</v>
      </c>
    </row>
    <row r="7821" spans="1:2" x14ac:dyDescent="0.25">
      <c r="A7821">
        <v>13992</v>
      </c>
      <c r="B7821">
        <v>0</v>
      </c>
    </row>
    <row r="7822" spans="1:2" x14ac:dyDescent="0.25">
      <c r="A7822">
        <v>13994</v>
      </c>
      <c r="B7822">
        <v>0</v>
      </c>
    </row>
    <row r="7823" spans="1:2" x14ac:dyDescent="0.25">
      <c r="A7823">
        <v>13996</v>
      </c>
      <c r="B7823">
        <v>0</v>
      </c>
    </row>
    <row r="7824" spans="1:2" x14ac:dyDescent="0.25">
      <c r="A7824">
        <v>13998</v>
      </c>
      <c r="B7824">
        <v>0</v>
      </c>
    </row>
    <row r="7825" spans="1:2" x14ac:dyDescent="0.25">
      <c r="A7825">
        <v>14000</v>
      </c>
      <c r="B7825">
        <v>0</v>
      </c>
    </row>
    <row r="7826" spans="1:2" x14ac:dyDescent="0.25">
      <c r="A7826">
        <v>14002</v>
      </c>
      <c r="B7826">
        <v>0</v>
      </c>
    </row>
    <row r="7827" spans="1:2" x14ac:dyDescent="0.25">
      <c r="A7827">
        <v>14004</v>
      </c>
      <c r="B7827">
        <v>0</v>
      </c>
    </row>
    <row r="7828" spans="1:2" x14ac:dyDescent="0.25">
      <c r="A7828">
        <v>14006</v>
      </c>
      <c r="B7828">
        <v>0</v>
      </c>
    </row>
    <row r="7829" spans="1:2" x14ac:dyDescent="0.25">
      <c r="A7829">
        <v>14008</v>
      </c>
      <c r="B7829">
        <v>0</v>
      </c>
    </row>
    <row r="7830" spans="1:2" x14ac:dyDescent="0.25">
      <c r="A7830">
        <v>14010</v>
      </c>
      <c r="B7830">
        <v>0</v>
      </c>
    </row>
    <row r="7831" spans="1:2" x14ac:dyDescent="0.25">
      <c r="A7831">
        <v>14012</v>
      </c>
      <c r="B7831">
        <v>0</v>
      </c>
    </row>
    <row r="7832" spans="1:2" x14ac:dyDescent="0.25">
      <c r="A7832">
        <v>14014</v>
      </c>
      <c r="B7832">
        <v>0</v>
      </c>
    </row>
    <row r="7833" spans="1:2" x14ac:dyDescent="0.25">
      <c r="A7833">
        <v>14016</v>
      </c>
      <c r="B7833">
        <v>0</v>
      </c>
    </row>
    <row r="7834" spans="1:2" x14ac:dyDescent="0.25">
      <c r="A7834">
        <v>14018</v>
      </c>
      <c r="B7834">
        <v>0</v>
      </c>
    </row>
    <row r="7835" spans="1:2" x14ac:dyDescent="0.25">
      <c r="A7835">
        <v>14020</v>
      </c>
      <c r="B7835">
        <v>0</v>
      </c>
    </row>
    <row r="7836" spans="1:2" x14ac:dyDescent="0.25">
      <c r="A7836">
        <v>14022</v>
      </c>
      <c r="B7836">
        <v>0</v>
      </c>
    </row>
    <row r="7837" spans="1:2" x14ac:dyDescent="0.25">
      <c r="A7837">
        <v>14025</v>
      </c>
      <c r="B7837">
        <v>0</v>
      </c>
    </row>
    <row r="7838" spans="1:2" x14ac:dyDescent="0.25">
      <c r="A7838">
        <v>14026</v>
      </c>
      <c r="B7838">
        <v>0</v>
      </c>
    </row>
    <row r="7839" spans="1:2" x14ac:dyDescent="0.25">
      <c r="A7839">
        <v>14028</v>
      </c>
      <c r="B7839">
        <v>0</v>
      </c>
    </row>
    <row r="7840" spans="1:2" x14ac:dyDescent="0.25">
      <c r="A7840">
        <v>14029</v>
      </c>
      <c r="B7840">
        <v>0</v>
      </c>
    </row>
    <row r="7841" spans="1:2" x14ac:dyDescent="0.25">
      <c r="A7841">
        <v>14030</v>
      </c>
      <c r="B7841">
        <v>0</v>
      </c>
    </row>
    <row r="7842" spans="1:2" x14ac:dyDescent="0.25">
      <c r="A7842">
        <v>14031</v>
      </c>
      <c r="B7842">
        <v>0</v>
      </c>
    </row>
    <row r="7843" spans="1:2" x14ac:dyDescent="0.25">
      <c r="A7843">
        <v>14032</v>
      </c>
      <c r="B7843">
        <v>0</v>
      </c>
    </row>
    <row r="7844" spans="1:2" x14ac:dyDescent="0.25">
      <c r="A7844">
        <v>14033</v>
      </c>
      <c r="B7844">
        <v>0</v>
      </c>
    </row>
    <row r="7845" spans="1:2" x14ac:dyDescent="0.25">
      <c r="A7845">
        <v>14034</v>
      </c>
      <c r="B7845">
        <v>0</v>
      </c>
    </row>
    <row r="7846" spans="1:2" x14ac:dyDescent="0.25">
      <c r="A7846">
        <v>14035</v>
      </c>
      <c r="B7846">
        <v>0</v>
      </c>
    </row>
    <row r="7847" spans="1:2" x14ac:dyDescent="0.25">
      <c r="A7847">
        <v>14037</v>
      </c>
      <c r="B7847">
        <v>0</v>
      </c>
    </row>
    <row r="7848" spans="1:2" x14ac:dyDescent="0.25">
      <c r="A7848">
        <v>14038</v>
      </c>
      <c r="B7848">
        <v>0</v>
      </c>
    </row>
    <row r="7849" spans="1:2" x14ac:dyDescent="0.25">
      <c r="A7849">
        <v>14039</v>
      </c>
      <c r="B7849">
        <v>0</v>
      </c>
    </row>
    <row r="7850" spans="1:2" x14ac:dyDescent="0.25">
      <c r="A7850">
        <v>14041</v>
      </c>
      <c r="B7850">
        <v>0</v>
      </c>
    </row>
    <row r="7851" spans="1:2" x14ac:dyDescent="0.25">
      <c r="A7851">
        <v>14042</v>
      </c>
      <c r="B7851">
        <v>0</v>
      </c>
    </row>
    <row r="7852" spans="1:2" x14ac:dyDescent="0.25">
      <c r="A7852">
        <v>14043</v>
      </c>
      <c r="B7852">
        <v>0</v>
      </c>
    </row>
    <row r="7853" spans="1:2" x14ac:dyDescent="0.25">
      <c r="A7853">
        <v>14044</v>
      </c>
      <c r="B7853">
        <v>0</v>
      </c>
    </row>
    <row r="7854" spans="1:2" x14ac:dyDescent="0.25">
      <c r="A7854">
        <v>14045</v>
      </c>
      <c r="B7854">
        <v>0</v>
      </c>
    </row>
    <row r="7855" spans="1:2" x14ac:dyDescent="0.25">
      <c r="A7855">
        <v>14046</v>
      </c>
      <c r="B7855">
        <v>0</v>
      </c>
    </row>
    <row r="7856" spans="1:2" x14ac:dyDescent="0.25">
      <c r="A7856">
        <v>14048</v>
      </c>
      <c r="B7856">
        <v>0</v>
      </c>
    </row>
    <row r="7857" spans="1:2" x14ac:dyDescent="0.25">
      <c r="A7857">
        <v>14052</v>
      </c>
      <c r="B7857">
        <v>0</v>
      </c>
    </row>
    <row r="7858" spans="1:2" x14ac:dyDescent="0.25">
      <c r="A7858">
        <v>14056</v>
      </c>
      <c r="B7858">
        <v>0</v>
      </c>
    </row>
    <row r="7859" spans="1:2" x14ac:dyDescent="0.25">
      <c r="A7859">
        <v>14058</v>
      </c>
      <c r="B7859">
        <v>0</v>
      </c>
    </row>
    <row r="7860" spans="1:2" x14ac:dyDescent="0.25">
      <c r="A7860">
        <v>14062</v>
      </c>
      <c r="B7860">
        <v>0</v>
      </c>
    </row>
    <row r="7861" spans="1:2" x14ac:dyDescent="0.25">
      <c r="A7861">
        <v>14065</v>
      </c>
      <c r="B7861">
        <v>0</v>
      </c>
    </row>
    <row r="7862" spans="1:2" x14ac:dyDescent="0.25">
      <c r="A7862">
        <v>14068</v>
      </c>
      <c r="B7862">
        <v>0</v>
      </c>
    </row>
    <row r="7863" spans="1:2" x14ac:dyDescent="0.25">
      <c r="A7863">
        <v>14069</v>
      </c>
      <c r="B7863">
        <v>0</v>
      </c>
    </row>
    <row r="7864" spans="1:2" x14ac:dyDescent="0.25">
      <c r="A7864">
        <v>14071</v>
      </c>
      <c r="B7864">
        <v>0</v>
      </c>
    </row>
    <row r="7865" spans="1:2" x14ac:dyDescent="0.25">
      <c r="A7865">
        <v>14072</v>
      </c>
      <c r="B7865">
        <v>0</v>
      </c>
    </row>
    <row r="7866" spans="1:2" x14ac:dyDescent="0.25">
      <c r="A7866">
        <v>14073</v>
      </c>
      <c r="B7866">
        <v>0</v>
      </c>
    </row>
    <row r="7867" spans="1:2" x14ac:dyDescent="0.25">
      <c r="A7867">
        <v>14074</v>
      </c>
      <c r="B7867">
        <v>0</v>
      </c>
    </row>
    <row r="7868" spans="1:2" x14ac:dyDescent="0.25">
      <c r="A7868">
        <v>14075</v>
      </c>
      <c r="B7868">
        <v>0</v>
      </c>
    </row>
    <row r="7869" spans="1:2" x14ac:dyDescent="0.25">
      <c r="A7869">
        <v>14076</v>
      </c>
      <c r="B7869">
        <v>0</v>
      </c>
    </row>
    <row r="7870" spans="1:2" x14ac:dyDescent="0.25">
      <c r="A7870">
        <v>14078</v>
      </c>
      <c r="B7870">
        <v>0</v>
      </c>
    </row>
    <row r="7871" spans="1:2" x14ac:dyDescent="0.25">
      <c r="A7871">
        <v>14080</v>
      </c>
      <c r="B7871">
        <v>0</v>
      </c>
    </row>
    <row r="7872" spans="1:2" x14ac:dyDescent="0.25">
      <c r="A7872">
        <v>14083</v>
      </c>
      <c r="B7872">
        <v>0</v>
      </c>
    </row>
    <row r="7873" spans="1:2" x14ac:dyDescent="0.25">
      <c r="A7873">
        <v>14084</v>
      </c>
      <c r="B7873">
        <v>0</v>
      </c>
    </row>
    <row r="7874" spans="1:2" x14ac:dyDescent="0.25">
      <c r="A7874">
        <v>14086</v>
      </c>
      <c r="B7874">
        <v>0</v>
      </c>
    </row>
    <row r="7875" spans="1:2" x14ac:dyDescent="0.25">
      <c r="A7875">
        <v>14088</v>
      </c>
      <c r="B7875">
        <v>0</v>
      </c>
    </row>
    <row r="7876" spans="1:2" x14ac:dyDescent="0.25">
      <c r="A7876">
        <v>14090</v>
      </c>
      <c r="B7876">
        <v>0</v>
      </c>
    </row>
    <row r="7877" spans="1:2" x14ac:dyDescent="0.25">
      <c r="A7877">
        <v>14093</v>
      </c>
      <c r="B7877">
        <v>0</v>
      </c>
    </row>
    <row r="7878" spans="1:2" x14ac:dyDescent="0.25">
      <c r="A7878">
        <v>14096</v>
      </c>
      <c r="B7878">
        <v>0</v>
      </c>
    </row>
    <row r="7879" spans="1:2" x14ac:dyDescent="0.25">
      <c r="A7879">
        <v>14097</v>
      </c>
      <c r="B7879">
        <v>0</v>
      </c>
    </row>
    <row r="7880" spans="1:2" x14ac:dyDescent="0.25">
      <c r="A7880">
        <v>14099</v>
      </c>
      <c r="B7880">
        <v>0</v>
      </c>
    </row>
    <row r="7881" spans="1:2" x14ac:dyDescent="0.25">
      <c r="A7881">
        <v>14101</v>
      </c>
      <c r="B7881">
        <v>0</v>
      </c>
    </row>
    <row r="7882" spans="1:2" x14ac:dyDescent="0.25">
      <c r="A7882">
        <v>14103</v>
      </c>
      <c r="B7882">
        <v>0</v>
      </c>
    </row>
    <row r="7883" spans="1:2" x14ac:dyDescent="0.25">
      <c r="A7883">
        <v>14105</v>
      </c>
      <c r="B7883">
        <v>0</v>
      </c>
    </row>
    <row r="7884" spans="1:2" x14ac:dyDescent="0.25">
      <c r="A7884">
        <v>14107</v>
      </c>
      <c r="B7884">
        <v>0</v>
      </c>
    </row>
    <row r="7885" spans="1:2" x14ac:dyDescent="0.25">
      <c r="A7885">
        <v>14109</v>
      </c>
      <c r="B7885">
        <v>0</v>
      </c>
    </row>
    <row r="7886" spans="1:2" x14ac:dyDescent="0.25">
      <c r="A7886">
        <v>14111</v>
      </c>
      <c r="B7886">
        <v>0</v>
      </c>
    </row>
    <row r="7887" spans="1:2" x14ac:dyDescent="0.25">
      <c r="A7887">
        <v>14113</v>
      </c>
      <c r="B7887">
        <v>0</v>
      </c>
    </row>
    <row r="7888" spans="1:2" x14ac:dyDescent="0.25">
      <c r="A7888">
        <v>14114</v>
      </c>
      <c r="B7888">
        <v>0</v>
      </c>
    </row>
    <row r="7889" spans="1:2" x14ac:dyDescent="0.25">
      <c r="A7889">
        <v>14117</v>
      </c>
      <c r="B7889">
        <v>0</v>
      </c>
    </row>
    <row r="7890" spans="1:2" x14ac:dyDescent="0.25">
      <c r="A7890">
        <v>14120</v>
      </c>
      <c r="B7890">
        <v>0</v>
      </c>
    </row>
    <row r="7891" spans="1:2" x14ac:dyDescent="0.25">
      <c r="A7891">
        <v>14123</v>
      </c>
      <c r="B7891">
        <v>0</v>
      </c>
    </row>
    <row r="7892" spans="1:2" x14ac:dyDescent="0.25">
      <c r="A7892">
        <v>14131</v>
      </c>
      <c r="B7892">
        <v>0</v>
      </c>
    </row>
    <row r="7893" spans="1:2" x14ac:dyDescent="0.25">
      <c r="A7893">
        <v>14133</v>
      </c>
      <c r="B7893">
        <v>0</v>
      </c>
    </row>
    <row r="7894" spans="1:2" x14ac:dyDescent="0.25">
      <c r="A7894">
        <v>14135</v>
      </c>
      <c r="B7894">
        <v>0</v>
      </c>
    </row>
    <row r="7895" spans="1:2" x14ac:dyDescent="0.25">
      <c r="A7895">
        <v>14138</v>
      </c>
      <c r="B7895">
        <v>0</v>
      </c>
    </row>
    <row r="7896" spans="1:2" x14ac:dyDescent="0.25">
      <c r="A7896">
        <v>14205</v>
      </c>
      <c r="B7896">
        <v>0</v>
      </c>
    </row>
    <row r="7897" spans="1:2" x14ac:dyDescent="0.25">
      <c r="A7897">
        <v>14210</v>
      </c>
      <c r="B7897">
        <v>0</v>
      </c>
    </row>
    <row r="7898" spans="1:2" x14ac:dyDescent="0.25">
      <c r="A7898">
        <v>14212</v>
      </c>
      <c r="B7898">
        <v>0</v>
      </c>
    </row>
    <row r="7899" spans="1:2" x14ac:dyDescent="0.25">
      <c r="A7899">
        <v>14213</v>
      </c>
      <c r="B7899">
        <v>0</v>
      </c>
    </row>
    <row r="7900" spans="1:2" x14ac:dyDescent="0.25">
      <c r="A7900">
        <v>14216</v>
      </c>
      <c r="B7900">
        <v>0</v>
      </c>
    </row>
    <row r="7901" spans="1:2" x14ac:dyDescent="0.25">
      <c r="A7901">
        <v>14217</v>
      </c>
      <c r="B7901">
        <v>0</v>
      </c>
    </row>
    <row r="7902" spans="1:2" x14ac:dyDescent="0.25">
      <c r="A7902">
        <v>14218</v>
      </c>
      <c r="B7902">
        <v>0</v>
      </c>
    </row>
    <row r="7903" spans="1:2" x14ac:dyDescent="0.25">
      <c r="A7903">
        <v>14219</v>
      </c>
      <c r="B7903">
        <v>0</v>
      </c>
    </row>
    <row r="7904" spans="1:2" x14ac:dyDescent="0.25">
      <c r="A7904">
        <v>14220</v>
      </c>
      <c r="B7904">
        <v>0</v>
      </c>
    </row>
    <row r="7905" spans="1:2" x14ac:dyDescent="0.25">
      <c r="A7905">
        <v>14221</v>
      </c>
      <c r="B7905">
        <v>0</v>
      </c>
    </row>
    <row r="7906" spans="1:2" x14ac:dyDescent="0.25">
      <c r="A7906">
        <v>14222</v>
      </c>
      <c r="B7906">
        <v>0</v>
      </c>
    </row>
    <row r="7907" spans="1:2" x14ac:dyDescent="0.25">
      <c r="A7907">
        <v>14224</v>
      </c>
      <c r="B7907">
        <v>0</v>
      </c>
    </row>
    <row r="7908" spans="1:2" x14ac:dyDescent="0.25">
      <c r="A7908">
        <v>14232</v>
      </c>
      <c r="B7908">
        <v>0</v>
      </c>
    </row>
    <row r="7909" spans="1:2" x14ac:dyDescent="0.25">
      <c r="A7909">
        <v>14234</v>
      </c>
      <c r="B7909">
        <v>0</v>
      </c>
    </row>
    <row r="7910" spans="1:2" x14ac:dyDescent="0.25">
      <c r="A7910">
        <v>14235</v>
      </c>
      <c r="B7910">
        <v>0</v>
      </c>
    </row>
    <row r="7911" spans="1:2" x14ac:dyDescent="0.25">
      <c r="A7911">
        <v>14238</v>
      </c>
      <c r="B7911">
        <v>0</v>
      </c>
    </row>
    <row r="7912" spans="1:2" x14ac:dyDescent="0.25">
      <c r="A7912">
        <v>14239</v>
      </c>
      <c r="B7912">
        <v>0</v>
      </c>
    </row>
    <row r="7913" spans="1:2" x14ac:dyDescent="0.25">
      <c r="A7913">
        <v>14264</v>
      </c>
      <c r="B7913">
        <v>0</v>
      </c>
    </row>
    <row r="7914" spans="1:2" x14ac:dyDescent="0.25">
      <c r="A7914">
        <v>14265</v>
      </c>
      <c r="B7914">
        <v>0</v>
      </c>
    </row>
    <row r="7915" spans="1:2" x14ac:dyDescent="0.25">
      <c r="A7915">
        <v>14266</v>
      </c>
      <c r="B7915">
        <v>0</v>
      </c>
    </row>
    <row r="7916" spans="1:2" x14ac:dyDescent="0.25">
      <c r="A7916">
        <v>14267</v>
      </c>
      <c r="B7916">
        <v>0</v>
      </c>
    </row>
    <row r="7917" spans="1:2" x14ac:dyDescent="0.25">
      <c r="A7917">
        <v>14268</v>
      </c>
      <c r="B7917">
        <v>0</v>
      </c>
    </row>
    <row r="7918" spans="1:2" x14ac:dyDescent="0.25">
      <c r="A7918">
        <v>14269</v>
      </c>
      <c r="B7918">
        <v>0</v>
      </c>
    </row>
    <row r="7919" spans="1:2" x14ac:dyDescent="0.25">
      <c r="A7919">
        <v>14270</v>
      </c>
      <c r="B7919">
        <v>0</v>
      </c>
    </row>
    <row r="7920" spans="1:2" x14ac:dyDescent="0.25">
      <c r="A7920">
        <v>14271</v>
      </c>
      <c r="B7920">
        <v>0</v>
      </c>
    </row>
    <row r="7921" spans="1:2" x14ac:dyDescent="0.25">
      <c r="A7921">
        <v>14272</v>
      </c>
      <c r="B7921">
        <v>0</v>
      </c>
    </row>
    <row r="7922" spans="1:2" x14ac:dyDescent="0.25">
      <c r="A7922">
        <v>14273</v>
      </c>
      <c r="B7922">
        <v>0</v>
      </c>
    </row>
    <row r="7923" spans="1:2" x14ac:dyDescent="0.25">
      <c r="A7923">
        <v>14274</v>
      </c>
      <c r="B7923">
        <v>0</v>
      </c>
    </row>
    <row r="7924" spans="1:2" x14ac:dyDescent="0.25">
      <c r="A7924">
        <v>14275</v>
      </c>
      <c r="B7924">
        <v>0</v>
      </c>
    </row>
    <row r="7925" spans="1:2" x14ac:dyDescent="0.25">
      <c r="A7925">
        <v>14276</v>
      </c>
      <c r="B7925">
        <v>0</v>
      </c>
    </row>
    <row r="7926" spans="1:2" x14ac:dyDescent="0.25">
      <c r="A7926">
        <v>14277</v>
      </c>
      <c r="B7926">
        <v>0</v>
      </c>
    </row>
    <row r="7927" spans="1:2" x14ac:dyDescent="0.25">
      <c r="A7927">
        <v>14279</v>
      </c>
      <c r="B7927">
        <v>0</v>
      </c>
    </row>
    <row r="7928" spans="1:2" x14ac:dyDescent="0.25">
      <c r="A7928">
        <v>14281</v>
      </c>
      <c r="B7928">
        <v>0</v>
      </c>
    </row>
    <row r="7929" spans="1:2" x14ac:dyDescent="0.25">
      <c r="A7929">
        <v>14283</v>
      </c>
      <c r="B7929">
        <v>0</v>
      </c>
    </row>
    <row r="7930" spans="1:2" x14ac:dyDescent="0.25">
      <c r="A7930">
        <v>14285</v>
      </c>
      <c r="B7930">
        <v>0</v>
      </c>
    </row>
    <row r="7931" spans="1:2" x14ac:dyDescent="0.25">
      <c r="A7931">
        <v>14287</v>
      </c>
      <c r="B7931">
        <v>0</v>
      </c>
    </row>
    <row r="7932" spans="1:2" x14ac:dyDescent="0.25">
      <c r="A7932">
        <v>14289</v>
      </c>
      <c r="B7932">
        <v>0</v>
      </c>
    </row>
    <row r="7933" spans="1:2" x14ac:dyDescent="0.25">
      <c r="A7933">
        <v>14291</v>
      </c>
      <c r="B7933">
        <v>0</v>
      </c>
    </row>
    <row r="7934" spans="1:2" x14ac:dyDescent="0.25">
      <c r="A7934">
        <v>14293</v>
      </c>
      <c r="B7934">
        <v>0</v>
      </c>
    </row>
    <row r="7935" spans="1:2" x14ac:dyDescent="0.25">
      <c r="A7935">
        <v>14295</v>
      </c>
      <c r="B7935">
        <v>0</v>
      </c>
    </row>
    <row r="7936" spans="1:2" x14ac:dyDescent="0.25">
      <c r="A7936">
        <v>14315</v>
      </c>
      <c r="B7936">
        <v>0</v>
      </c>
    </row>
    <row r="7937" spans="1:2" x14ac:dyDescent="0.25">
      <c r="A7937">
        <v>14316</v>
      </c>
      <c r="B7937">
        <v>0</v>
      </c>
    </row>
    <row r="7938" spans="1:2" x14ac:dyDescent="0.25">
      <c r="A7938">
        <v>14322</v>
      </c>
      <c r="B7938">
        <v>0</v>
      </c>
    </row>
    <row r="7939" spans="1:2" x14ac:dyDescent="0.25">
      <c r="A7939">
        <v>14324</v>
      </c>
      <c r="B7939">
        <v>0</v>
      </c>
    </row>
    <row r="7940" spans="1:2" x14ac:dyDescent="0.25">
      <c r="A7940">
        <v>14326</v>
      </c>
      <c r="B7940">
        <v>0</v>
      </c>
    </row>
    <row r="7941" spans="1:2" x14ac:dyDescent="0.25">
      <c r="A7941">
        <v>14328</v>
      </c>
      <c r="B7941">
        <v>0</v>
      </c>
    </row>
    <row r="7942" spans="1:2" x14ac:dyDescent="0.25">
      <c r="A7942">
        <v>14330</v>
      </c>
      <c r="B7942">
        <v>0</v>
      </c>
    </row>
    <row r="7943" spans="1:2" x14ac:dyDescent="0.25">
      <c r="A7943">
        <v>14333</v>
      </c>
      <c r="B7943">
        <v>0</v>
      </c>
    </row>
    <row r="7944" spans="1:2" x14ac:dyDescent="0.25">
      <c r="A7944">
        <v>14334</v>
      </c>
      <c r="B7944">
        <v>0</v>
      </c>
    </row>
    <row r="7945" spans="1:2" x14ac:dyDescent="0.25">
      <c r="A7945">
        <v>14335</v>
      </c>
      <c r="B7945">
        <v>0</v>
      </c>
    </row>
    <row r="7946" spans="1:2" x14ac:dyDescent="0.25">
      <c r="A7946">
        <v>14336</v>
      </c>
      <c r="B7946">
        <v>0</v>
      </c>
    </row>
    <row r="7947" spans="1:2" x14ac:dyDescent="0.25">
      <c r="A7947">
        <v>14337</v>
      </c>
      <c r="B7947">
        <v>0</v>
      </c>
    </row>
    <row r="7948" spans="1:2" x14ac:dyDescent="0.25">
      <c r="A7948">
        <v>14338</v>
      </c>
      <c r="B7948">
        <v>0</v>
      </c>
    </row>
    <row r="7949" spans="1:2" x14ac:dyDescent="0.25">
      <c r="A7949">
        <v>14339</v>
      </c>
      <c r="B7949">
        <v>0</v>
      </c>
    </row>
    <row r="7950" spans="1:2" x14ac:dyDescent="0.25">
      <c r="A7950">
        <v>14340</v>
      </c>
      <c r="B7950">
        <v>0</v>
      </c>
    </row>
    <row r="7951" spans="1:2" x14ac:dyDescent="0.25">
      <c r="A7951">
        <v>14343</v>
      </c>
      <c r="B7951">
        <v>0</v>
      </c>
    </row>
    <row r="7952" spans="1:2" x14ac:dyDescent="0.25">
      <c r="A7952">
        <v>14351</v>
      </c>
      <c r="B7952">
        <v>0</v>
      </c>
    </row>
    <row r="7953" spans="1:2" x14ac:dyDescent="0.25">
      <c r="A7953">
        <v>14352</v>
      </c>
      <c r="B7953">
        <v>0</v>
      </c>
    </row>
    <row r="7954" spans="1:2" x14ac:dyDescent="0.25">
      <c r="A7954">
        <v>14375</v>
      </c>
      <c r="B7954">
        <v>0</v>
      </c>
    </row>
    <row r="7955" spans="1:2" x14ac:dyDescent="0.25">
      <c r="A7955">
        <v>14376</v>
      </c>
      <c r="B7955">
        <v>0</v>
      </c>
    </row>
    <row r="7956" spans="1:2" x14ac:dyDescent="0.25">
      <c r="A7956">
        <v>14377</v>
      </c>
      <c r="B7956">
        <v>0</v>
      </c>
    </row>
    <row r="7957" spans="1:2" x14ac:dyDescent="0.25">
      <c r="A7957">
        <v>14378</v>
      </c>
      <c r="B7957">
        <v>0</v>
      </c>
    </row>
    <row r="7958" spans="1:2" x14ac:dyDescent="0.25">
      <c r="A7958">
        <v>14379</v>
      </c>
      <c r="B7958">
        <v>0</v>
      </c>
    </row>
    <row r="7959" spans="1:2" x14ac:dyDescent="0.25">
      <c r="A7959">
        <v>14380</v>
      </c>
      <c r="B7959">
        <v>0</v>
      </c>
    </row>
    <row r="7960" spans="1:2" x14ac:dyDescent="0.25">
      <c r="A7960">
        <v>14381</v>
      </c>
      <c r="B7960">
        <v>0</v>
      </c>
    </row>
    <row r="7961" spans="1:2" x14ac:dyDescent="0.25">
      <c r="A7961">
        <v>14382</v>
      </c>
      <c r="B7961">
        <v>0</v>
      </c>
    </row>
    <row r="7962" spans="1:2" x14ac:dyDescent="0.25">
      <c r="A7962">
        <v>14383</v>
      </c>
      <c r="B7962">
        <v>0</v>
      </c>
    </row>
    <row r="7963" spans="1:2" x14ac:dyDescent="0.25">
      <c r="A7963">
        <v>14384</v>
      </c>
      <c r="B7963">
        <v>0</v>
      </c>
    </row>
    <row r="7964" spans="1:2" x14ac:dyDescent="0.25">
      <c r="A7964">
        <v>14385</v>
      </c>
      <c r="B7964">
        <v>0</v>
      </c>
    </row>
    <row r="7965" spans="1:2" x14ac:dyDescent="0.25">
      <c r="A7965">
        <v>14386</v>
      </c>
      <c r="B7965">
        <v>0</v>
      </c>
    </row>
    <row r="7966" spans="1:2" x14ac:dyDescent="0.25">
      <c r="A7966">
        <v>14387</v>
      </c>
      <c r="B7966">
        <v>0</v>
      </c>
    </row>
    <row r="7967" spans="1:2" x14ac:dyDescent="0.25">
      <c r="A7967">
        <v>14388</v>
      </c>
      <c r="B7967">
        <v>0</v>
      </c>
    </row>
    <row r="7968" spans="1:2" x14ac:dyDescent="0.25">
      <c r="A7968">
        <v>14389</v>
      </c>
      <c r="B7968">
        <v>0</v>
      </c>
    </row>
    <row r="7969" spans="1:2" x14ac:dyDescent="0.25">
      <c r="A7969">
        <v>14390</v>
      </c>
      <c r="B7969">
        <v>0</v>
      </c>
    </row>
    <row r="7970" spans="1:2" x14ac:dyDescent="0.25">
      <c r="A7970">
        <v>14391</v>
      </c>
      <c r="B7970">
        <v>0</v>
      </c>
    </row>
    <row r="7971" spans="1:2" x14ac:dyDescent="0.25">
      <c r="A7971">
        <v>14392</v>
      </c>
      <c r="B7971">
        <v>0</v>
      </c>
    </row>
    <row r="7972" spans="1:2" x14ac:dyDescent="0.25">
      <c r="A7972">
        <v>14393</v>
      </c>
      <c r="B7972">
        <v>0</v>
      </c>
    </row>
    <row r="7973" spans="1:2" x14ac:dyDescent="0.25">
      <c r="A7973">
        <v>14394</v>
      </c>
      <c r="B7973">
        <v>0</v>
      </c>
    </row>
    <row r="7974" spans="1:2" x14ac:dyDescent="0.25">
      <c r="A7974">
        <v>14395</v>
      </c>
      <c r="B7974">
        <v>0</v>
      </c>
    </row>
    <row r="7975" spans="1:2" x14ac:dyDescent="0.25">
      <c r="A7975">
        <v>14397</v>
      </c>
      <c r="B7975">
        <v>0</v>
      </c>
    </row>
    <row r="7976" spans="1:2" x14ac:dyDescent="0.25">
      <c r="A7976">
        <v>14398</v>
      </c>
      <c r="B7976">
        <v>0</v>
      </c>
    </row>
    <row r="7977" spans="1:2" x14ac:dyDescent="0.25">
      <c r="A7977">
        <v>14399</v>
      </c>
      <c r="B7977">
        <v>0</v>
      </c>
    </row>
    <row r="7978" spans="1:2" x14ac:dyDescent="0.25">
      <c r="A7978">
        <v>14400</v>
      </c>
      <c r="B7978">
        <v>0</v>
      </c>
    </row>
    <row r="7979" spans="1:2" x14ac:dyDescent="0.25">
      <c r="A7979">
        <v>14401</v>
      </c>
      <c r="B7979">
        <v>0</v>
      </c>
    </row>
    <row r="7980" spans="1:2" x14ac:dyDescent="0.25">
      <c r="A7980">
        <v>14403</v>
      </c>
      <c r="B7980">
        <v>0</v>
      </c>
    </row>
    <row r="7981" spans="1:2" x14ac:dyDescent="0.25">
      <c r="A7981">
        <v>14405</v>
      </c>
      <c r="B7981">
        <v>0</v>
      </c>
    </row>
    <row r="7982" spans="1:2" x14ac:dyDescent="0.25">
      <c r="A7982">
        <v>14406</v>
      </c>
      <c r="B7982">
        <v>0</v>
      </c>
    </row>
    <row r="7983" spans="1:2" x14ac:dyDescent="0.25">
      <c r="A7983">
        <v>14407</v>
      </c>
      <c r="B7983">
        <v>0</v>
      </c>
    </row>
    <row r="7984" spans="1:2" x14ac:dyDescent="0.25">
      <c r="A7984">
        <v>14408</v>
      </c>
      <c r="B7984">
        <v>0</v>
      </c>
    </row>
    <row r="7985" spans="1:2" x14ac:dyDescent="0.25">
      <c r="A7985">
        <v>14409</v>
      </c>
      <c r="B7985">
        <v>0</v>
      </c>
    </row>
    <row r="7986" spans="1:2" x14ac:dyDescent="0.25">
      <c r="A7986">
        <v>14410</v>
      </c>
      <c r="B7986">
        <v>0</v>
      </c>
    </row>
    <row r="7987" spans="1:2" x14ac:dyDescent="0.25">
      <c r="A7987">
        <v>14412</v>
      </c>
      <c r="B7987">
        <v>0</v>
      </c>
    </row>
    <row r="7988" spans="1:2" x14ac:dyDescent="0.25">
      <c r="A7988">
        <v>14413</v>
      </c>
      <c r="B7988">
        <v>0</v>
      </c>
    </row>
    <row r="7989" spans="1:2" x14ac:dyDescent="0.25">
      <c r="A7989">
        <v>14414</v>
      </c>
      <c r="B7989">
        <v>0</v>
      </c>
    </row>
    <row r="7990" spans="1:2" x14ac:dyDescent="0.25">
      <c r="A7990">
        <v>14415</v>
      </c>
      <c r="B7990">
        <v>0</v>
      </c>
    </row>
    <row r="7991" spans="1:2" x14ac:dyDescent="0.25">
      <c r="A7991">
        <v>14416</v>
      </c>
      <c r="B7991">
        <v>0</v>
      </c>
    </row>
    <row r="7992" spans="1:2" x14ac:dyDescent="0.25">
      <c r="A7992">
        <v>14417</v>
      </c>
      <c r="B7992">
        <v>0</v>
      </c>
    </row>
    <row r="7993" spans="1:2" x14ac:dyDescent="0.25">
      <c r="A7993">
        <v>14418</v>
      </c>
      <c r="B7993">
        <v>0</v>
      </c>
    </row>
    <row r="7994" spans="1:2" x14ac:dyDescent="0.25">
      <c r="A7994">
        <v>14419</v>
      </c>
      <c r="B7994">
        <v>0</v>
      </c>
    </row>
    <row r="7995" spans="1:2" x14ac:dyDescent="0.25">
      <c r="A7995">
        <v>14420</v>
      </c>
      <c r="B7995">
        <v>0</v>
      </c>
    </row>
    <row r="7996" spans="1:2" x14ac:dyDescent="0.25">
      <c r="A7996">
        <v>14421</v>
      </c>
      <c r="B7996">
        <v>0</v>
      </c>
    </row>
    <row r="7997" spans="1:2" x14ac:dyDescent="0.25">
      <c r="A7997">
        <v>14449</v>
      </c>
      <c r="B7997">
        <v>0</v>
      </c>
    </row>
    <row r="7998" spans="1:2" x14ac:dyDescent="0.25">
      <c r="A7998">
        <v>14450</v>
      </c>
      <c r="B7998">
        <v>0</v>
      </c>
    </row>
    <row r="7999" spans="1:2" x14ac:dyDescent="0.25">
      <c r="A7999">
        <v>14458</v>
      </c>
      <c r="B7999">
        <v>0</v>
      </c>
    </row>
    <row r="8000" spans="1:2" x14ac:dyDescent="0.25">
      <c r="A8000">
        <v>14459</v>
      </c>
      <c r="B8000">
        <v>0</v>
      </c>
    </row>
    <row r="8001" spans="1:2" x14ac:dyDescent="0.25">
      <c r="A8001">
        <v>14460</v>
      </c>
      <c r="B8001">
        <v>0</v>
      </c>
    </row>
    <row r="8002" spans="1:2" x14ac:dyDescent="0.25">
      <c r="A8002">
        <v>14461</v>
      </c>
      <c r="B8002">
        <v>0</v>
      </c>
    </row>
    <row r="8003" spans="1:2" x14ac:dyDescent="0.25">
      <c r="A8003">
        <v>14462</v>
      </c>
      <c r="B8003">
        <v>0</v>
      </c>
    </row>
    <row r="8004" spans="1:2" x14ac:dyDescent="0.25">
      <c r="A8004">
        <v>14465</v>
      </c>
      <c r="B8004">
        <v>0</v>
      </c>
    </row>
    <row r="8005" spans="1:2" x14ac:dyDescent="0.25">
      <c r="A8005">
        <v>14469</v>
      </c>
      <c r="B8005">
        <v>0</v>
      </c>
    </row>
    <row r="8006" spans="1:2" x14ac:dyDescent="0.25">
      <c r="A8006">
        <v>14470</v>
      </c>
      <c r="B8006">
        <v>0</v>
      </c>
    </row>
    <row r="8007" spans="1:2" x14ac:dyDescent="0.25">
      <c r="A8007">
        <v>14472</v>
      </c>
      <c r="B8007">
        <v>0</v>
      </c>
    </row>
    <row r="8008" spans="1:2" x14ac:dyDescent="0.25">
      <c r="A8008">
        <v>14474</v>
      </c>
      <c r="B8008">
        <v>0</v>
      </c>
    </row>
    <row r="8009" spans="1:2" x14ac:dyDescent="0.25">
      <c r="A8009">
        <v>14476</v>
      </c>
      <c r="B8009">
        <v>0</v>
      </c>
    </row>
    <row r="8010" spans="1:2" x14ac:dyDescent="0.25">
      <c r="A8010">
        <v>14478</v>
      </c>
      <c r="B8010">
        <v>0</v>
      </c>
    </row>
    <row r="8011" spans="1:2" x14ac:dyDescent="0.25">
      <c r="A8011">
        <v>14480</v>
      </c>
      <c r="B8011">
        <v>0</v>
      </c>
    </row>
    <row r="8012" spans="1:2" x14ac:dyDescent="0.25">
      <c r="A8012">
        <v>14482</v>
      </c>
      <c r="B8012">
        <v>0</v>
      </c>
    </row>
    <row r="8013" spans="1:2" x14ac:dyDescent="0.25">
      <c r="A8013">
        <v>14484</v>
      </c>
      <c r="B8013">
        <v>0</v>
      </c>
    </row>
    <row r="8014" spans="1:2" x14ac:dyDescent="0.25">
      <c r="A8014">
        <v>14490</v>
      </c>
      <c r="B8014">
        <v>0</v>
      </c>
    </row>
    <row r="8015" spans="1:2" x14ac:dyDescent="0.25">
      <c r="A8015">
        <v>14492</v>
      </c>
      <c r="B8015">
        <v>0</v>
      </c>
    </row>
    <row r="8016" spans="1:2" x14ac:dyDescent="0.25">
      <c r="A8016">
        <v>14494</v>
      </c>
      <c r="B8016">
        <v>0</v>
      </c>
    </row>
    <row r="8017" spans="1:2" x14ac:dyDescent="0.25">
      <c r="A8017">
        <v>14496</v>
      </c>
      <c r="B8017">
        <v>0</v>
      </c>
    </row>
    <row r="8018" spans="1:2" x14ac:dyDescent="0.25">
      <c r="A8018">
        <v>14503</v>
      </c>
      <c r="B8018">
        <v>0</v>
      </c>
    </row>
    <row r="8019" spans="1:2" x14ac:dyDescent="0.25">
      <c r="A8019">
        <v>14504</v>
      </c>
      <c r="B8019">
        <v>0</v>
      </c>
    </row>
    <row r="8020" spans="1:2" x14ac:dyDescent="0.25">
      <c r="A8020">
        <v>14505</v>
      </c>
      <c r="B8020">
        <v>0</v>
      </c>
    </row>
    <row r="8021" spans="1:2" x14ac:dyDescent="0.25">
      <c r="A8021">
        <v>14508</v>
      </c>
      <c r="B8021">
        <v>0</v>
      </c>
    </row>
    <row r="8022" spans="1:2" x14ac:dyDescent="0.25">
      <c r="A8022">
        <v>14510</v>
      </c>
      <c r="B8022">
        <v>0</v>
      </c>
    </row>
    <row r="8023" spans="1:2" x14ac:dyDescent="0.25">
      <c r="A8023">
        <v>14512</v>
      </c>
      <c r="B8023">
        <v>0</v>
      </c>
    </row>
    <row r="8024" spans="1:2" x14ac:dyDescent="0.25">
      <c r="A8024">
        <v>14514</v>
      </c>
      <c r="B8024">
        <v>0</v>
      </c>
    </row>
    <row r="8025" spans="1:2" x14ac:dyDescent="0.25">
      <c r="A8025">
        <v>14517</v>
      </c>
      <c r="B8025">
        <v>0</v>
      </c>
    </row>
    <row r="8026" spans="1:2" x14ac:dyDescent="0.25">
      <c r="A8026">
        <v>14519</v>
      </c>
      <c r="B8026">
        <v>0</v>
      </c>
    </row>
    <row r="8027" spans="1:2" x14ac:dyDescent="0.25">
      <c r="A8027">
        <v>14522</v>
      </c>
      <c r="B8027">
        <v>0</v>
      </c>
    </row>
    <row r="8028" spans="1:2" x14ac:dyDescent="0.25">
      <c r="A8028">
        <v>14523</v>
      </c>
      <c r="B8028">
        <v>0</v>
      </c>
    </row>
    <row r="8029" spans="1:2" x14ac:dyDescent="0.25">
      <c r="A8029">
        <v>14524</v>
      </c>
      <c r="B8029">
        <v>0</v>
      </c>
    </row>
    <row r="8030" spans="1:2" x14ac:dyDescent="0.25">
      <c r="A8030">
        <v>14525</v>
      </c>
      <c r="B8030">
        <v>0</v>
      </c>
    </row>
    <row r="8031" spans="1:2" x14ac:dyDescent="0.25">
      <c r="A8031">
        <v>14526</v>
      </c>
      <c r="B8031">
        <v>0</v>
      </c>
    </row>
    <row r="8032" spans="1:2" x14ac:dyDescent="0.25">
      <c r="A8032">
        <v>14527</v>
      </c>
      <c r="B8032">
        <v>0</v>
      </c>
    </row>
    <row r="8033" spans="1:2" x14ac:dyDescent="0.25">
      <c r="A8033">
        <v>14528</v>
      </c>
      <c r="B8033">
        <v>0</v>
      </c>
    </row>
    <row r="8034" spans="1:2" x14ac:dyDescent="0.25">
      <c r="A8034">
        <v>14531</v>
      </c>
      <c r="B8034">
        <v>0</v>
      </c>
    </row>
    <row r="8035" spans="1:2" x14ac:dyDescent="0.25">
      <c r="A8035">
        <v>14532</v>
      </c>
      <c r="B8035">
        <v>0</v>
      </c>
    </row>
    <row r="8036" spans="1:2" x14ac:dyDescent="0.25">
      <c r="A8036">
        <v>14535</v>
      </c>
      <c r="B8036">
        <v>0</v>
      </c>
    </row>
    <row r="8037" spans="1:2" x14ac:dyDescent="0.25">
      <c r="A8037">
        <v>14536</v>
      </c>
      <c r="B8037">
        <v>0</v>
      </c>
    </row>
    <row r="8038" spans="1:2" x14ac:dyDescent="0.25">
      <c r="A8038">
        <v>14538</v>
      </c>
      <c r="B8038">
        <v>0</v>
      </c>
    </row>
    <row r="8039" spans="1:2" x14ac:dyDescent="0.25">
      <c r="A8039">
        <v>14540</v>
      </c>
      <c r="B8039">
        <v>0</v>
      </c>
    </row>
    <row r="8040" spans="1:2" x14ac:dyDescent="0.25">
      <c r="A8040">
        <v>14542</v>
      </c>
      <c r="B8040">
        <v>0</v>
      </c>
    </row>
    <row r="8041" spans="1:2" x14ac:dyDescent="0.25">
      <c r="A8041">
        <v>14544</v>
      </c>
      <c r="B8041">
        <v>0</v>
      </c>
    </row>
    <row r="8042" spans="1:2" x14ac:dyDescent="0.25">
      <c r="A8042">
        <v>14546</v>
      </c>
      <c r="B8042">
        <v>0</v>
      </c>
    </row>
    <row r="8043" spans="1:2" x14ac:dyDescent="0.25">
      <c r="A8043">
        <v>14548</v>
      </c>
      <c r="B8043">
        <v>0</v>
      </c>
    </row>
    <row r="8044" spans="1:2" x14ac:dyDescent="0.25">
      <c r="A8044">
        <v>14550</v>
      </c>
      <c r="B8044">
        <v>0</v>
      </c>
    </row>
    <row r="8045" spans="1:2" x14ac:dyDescent="0.25">
      <c r="A8045">
        <v>14552</v>
      </c>
      <c r="B8045">
        <v>0</v>
      </c>
    </row>
    <row r="8046" spans="1:2" x14ac:dyDescent="0.25">
      <c r="A8046">
        <v>14554</v>
      </c>
      <c r="B8046">
        <v>0</v>
      </c>
    </row>
    <row r="8047" spans="1:2" x14ac:dyDescent="0.25">
      <c r="A8047">
        <v>14556</v>
      </c>
      <c r="B8047">
        <v>0</v>
      </c>
    </row>
    <row r="8048" spans="1:2" x14ac:dyDescent="0.25">
      <c r="A8048">
        <v>14558</v>
      </c>
      <c r="B8048">
        <v>0</v>
      </c>
    </row>
    <row r="8049" spans="1:2" x14ac:dyDescent="0.25">
      <c r="A8049">
        <v>14560</v>
      </c>
      <c r="B8049">
        <v>0</v>
      </c>
    </row>
    <row r="8050" spans="1:2" x14ac:dyDescent="0.25">
      <c r="A8050">
        <v>14562</v>
      </c>
      <c r="B8050">
        <v>0</v>
      </c>
    </row>
    <row r="8051" spans="1:2" x14ac:dyDescent="0.25">
      <c r="A8051">
        <v>14565</v>
      </c>
      <c r="B8051">
        <v>0</v>
      </c>
    </row>
    <row r="8052" spans="1:2" x14ac:dyDescent="0.25">
      <c r="A8052">
        <v>14568</v>
      </c>
      <c r="B8052">
        <v>0</v>
      </c>
    </row>
    <row r="8053" spans="1:2" x14ac:dyDescent="0.25">
      <c r="A8053">
        <v>14571</v>
      </c>
      <c r="B8053">
        <v>0</v>
      </c>
    </row>
    <row r="8054" spans="1:2" x14ac:dyDescent="0.25">
      <c r="A8054">
        <v>14576</v>
      </c>
      <c r="B8054">
        <v>0</v>
      </c>
    </row>
    <row r="8055" spans="1:2" x14ac:dyDescent="0.25">
      <c r="A8055">
        <v>14577</v>
      </c>
      <c r="B8055">
        <v>0</v>
      </c>
    </row>
    <row r="8056" spans="1:2" x14ac:dyDescent="0.25">
      <c r="A8056">
        <v>14578</v>
      </c>
      <c r="B8056">
        <v>0</v>
      </c>
    </row>
    <row r="8057" spans="1:2" x14ac:dyDescent="0.25">
      <c r="A8057">
        <v>14579</v>
      </c>
      <c r="B8057">
        <v>0</v>
      </c>
    </row>
    <row r="8058" spans="1:2" x14ac:dyDescent="0.25">
      <c r="A8058">
        <v>14581</v>
      </c>
      <c r="B8058">
        <v>0</v>
      </c>
    </row>
    <row r="8059" spans="1:2" x14ac:dyDescent="0.25">
      <c r="A8059">
        <v>14583</v>
      </c>
      <c r="B8059">
        <v>0</v>
      </c>
    </row>
    <row r="8060" spans="1:2" x14ac:dyDescent="0.25">
      <c r="A8060">
        <v>14584</v>
      </c>
      <c r="B8060">
        <v>0</v>
      </c>
    </row>
    <row r="8061" spans="1:2" x14ac:dyDescent="0.25">
      <c r="A8061">
        <v>14585</v>
      </c>
      <c r="B8061">
        <v>0</v>
      </c>
    </row>
    <row r="8062" spans="1:2" x14ac:dyDescent="0.25">
      <c r="A8062">
        <v>14586</v>
      </c>
      <c r="B8062">
        <v>0</v>
      </c>
    </row>
    <row r="8063" spans="1:2" x14ac:dyDescent="0.25">
      <c r="A8063">
        <v>14587</v>
      </c>
      <c r="B8063">
        <v>0</v>
      </c>
    </row>
    <row r="8064" spans="1:2" x14ac:dyDescent="0.25">
      <c r="A8064">
        <v>14588</v>
      </c>
      <c r="B8064">
        <v>0</v>
      </c>
    </row>
    <row r="8065" spans="1:2" x14ac:dyDescent="0.25">
      <c r="A8065">
        <v>14589</v>
      </c>
      <c r="B8065">
        <v>0</v>
      </c>
    </row>
    <row r="8066" spans="1:2" x14ac:dyDescent="0.25">
      <c r="A8066">
        <v>14590</v>
      </c>
      <c r="B8066">
        <v>0</v>
      </c>
    </row>
    <row r="8067" spans="1:2" x14ac:dyDescent="0.25">
      <c r="A8067">
        <v>14591</v>
      </c>
      <c r="B8067">
        <v>0</v>
      </c>
    </row>
    <row r="8068" spans="1:2" x14ac:dyDescent="0.25">
      <c r="A8068">
        <v>14592</v>
      </c>
      <c r="B8068">
        <v>0</v>
      </c>
    </row>
    <row r="8069" spans="1:2" x14ac:dyDescent="0.25">
      <c r="A8069">
        <v>14593</v>
      </c>
      <c r="B8069">
        <v>0</v>
      </c>
    </row>
    <row r="8070" spans="1:2" x14ac:dyDescent="0.25">
      <c r="A8070">
        <v>14594</v>
      </c>
      <c r="B8070">
        <v>0</v>
      </c>
    </row>
    <row r="8071" spans="1:2" x14ac:dyDescent="0.25">
      <c r="A8071">
        <v>14595</v>
      </c>
      <c r="B8071">
        <v>0</v>
      </c>
    </row>
    <row r="8072" spans="1:2" x14ac:dyDescent="0.25">
      <c r="A8072">
        <v>14597</v>
      </c>
      <c r="B8072">
        <v>0</v>
      </c>
    </row>
    <row r="8073" spans="1:2" x14ac:dyDescent="0.25">
      <c r="A8073">
        <v>14598</v>
      </c>
      <c r="B8073">
        <v>0</v>
      </c>
    </row>
    <row r="8074" spans="1:2" x14ac:dyDescent="0.25">
      <c r="A8074">
        <v>14599</v>
      </c>
      <c r="B8074">
        <v>0</v>
      </c>
    </row>
    <row r="8075" spans="1:2" x14ac:dyDescent="0.25">
      <c r="A8075">
        <v>14600</v>
      </c>
      <c r="B8075">
        <v>0</v>
      </c>
    </row>
    <row r="8076" spans="1:2" x14ac:dyDescent="0.25">
      <c r="A8076">
        <v>14601</v>
      </c>
      <c r="B8076">
        <v>0</v>
      </c>
    </row>
    <row r="8077" spans="1:2" x14ac:dyDescent="0.25">
      <c r="A8077">
        <v>14604</v>
      </c>
      <c r="B8077">
        <v>0</v>
      </c>
    </row>
    <row r="8078" spans="1:2" x14ac:dyDescent="0.25">
      <c r="A8078">
        <v>14606</v>
      </c>
      <c r="B8078">
        <v>0</v>
      </c>
    </row>
    <row r="8079" spans="1:2" x14ac:dyDescent="0.25">
      <c r="A8079">
        <v>14608</v>
      </c>
      <c r="B8079">
        <v>0</v>
      </c>
    </row>
    <row r="8080" spans="1:2" x14ac:dyDescent="0.25">
      <c r="A8080">
        <v>14610</v>
      </c>
      <c r="B8080">
        <v>0</v>
      </c>
    </row>
    <row r="8081" spans="1:2" x14ac:dyDescent="0.25">
      <c r="A8081">
        <v>14612</v>
      </c>
      <c r="B8081">
        <v>0</v>
      </c>
    </row>
    <row r="8082" spans="1:2" x14ac:dyDescent="0.25">
      <c r="A8082">
        <v>14614</v>
      </c>
      <c r="B8082">
        <v>0</v>
      </c>
    </row>
    <row r="8083" spans="1:2" x14ac:dyDescent="0.25">
      <c r="A8083">
        <v>14617</v>
      </c>
      <c r="B8083">
        <v>0</v>
      </c>
    </row>
    <row r="8084" spans="1:2" x14ac:dyDescent="0.25">
      <c r="A8084">
        <v>14618</v>
      </c>
      <c r="B8084">
        <v>0</v>
      </c>
    </row>
    <row r="8085" spans="1:2" x14ac:dyDescent="0.25">
      <c r="A8085">
        <v>14620</v>
      </c>
      <c r="B8085">
        <v>0</v>
      </c>
    </row>
    <row r="8086" spans="1:2" x14ac:dyDescent="0.25">
      <c r="A8086">
        <v>14622</v>
      </c>
      <c r="B8086">
        <v>0</v>
      </c>
    </row>
    <row r="8087" spans="1:2" x14ac:dyDescent="0.25">
      <c r="A8087">
        <v>14624</v>
      </c>
      <c r="B8087">
        <v>0</v>
      </c>
    </row>
    <row r="8088" spans="1:2" x14ac:dyDescent="0.25">
      <c r="A8088">
        <v>14626</v>
      </c>
      <c r="B8088">
        <v>0</v>
      </c>
    </row>
    <row r="8089" spans="1:2" x14ac:dyDescent="0.25">
      <c r="A8089">
        <v>14628</v>
      </c>
      <c r="B8089">
        <v>0</v>
      </c>
    </row>
    <row r="8090" spans="1:2" x14ac:dyDescent="0.25">
      <c r="A8090">
        <v>14630</v>
      </c>
      <c r="B8090">
        <v>0</v>
      </c>
    </row>
    <row r="8091" spans="1:2" x14ac:dyDescent="0.25">
      <c r="A8091">
        <v>14632</v>
      </c>
      <c r="B8091">
        <v>0</v>
      </c>
    </row>
    <row r="8092" spans="1:2" x14ac:dyDescent="0.25">
      <c r="A8092">
        <v>14634</v>
      </c>
      <c r="B8092">
        <v>0</v>
      </c>
    </row>
    <row r="8093" spans="1:2" x14ac:dyDescent="0.25">
      <c r="A8093">
        <v>14636</v>
      </c>
      <c r="B8093">
        <v>0</v>
      </c>
    </row>
    <row r="8094" spans="1:2" x14ac:dyDescent="0.25">
      <c r="A8094">
        <v>14638</v>
      </c>
      <c r="B8094">
        <v>0</v>
      </c>
    </row>
    <row r="8095" spans="1:2" x14ac:dyDescent="0.25">
      <c r="A8095">
        <v>14640</v>
      </c>
      <c r="B8095">
        <v>0</v>
      </c>
    </row>
    <row r="8096" spans="1:2" x14ac:dyDescent="0.25">
      <c r="A8096">
        <v>14642</v>
      </c>
      <c r="B8096">
        <v>0</v>
      </c>
    </row>
    <row r="8097" spans="1:2" x14ac:dyDescent="0.25">
      <c r="A8097">
        <v>14644</v>
      </c>
      <c r="B8097">
        <v>0</v>
      </c>
    </row>
    <row r="8098" spans="1:2" x14ac:dyDescent="0.25">
      <c r="A8098">
        <v>14646</v>
      </c>
      <c r="B8098">
        <v>0</v>
      </c>
    </row>
    <row r="8099" spans="1:2" x14ac:dyDescent="0.25">
      <c r="A8099">
        <v>14649</v>
      </c>
      <c r="B8099">
        <v>0</v>
      </c>
    </row>
    <row r="8100" spans="1:2" x14ac:dyDescent="0.25">
      <c r="A8100">
        <v>14651</v>
      </c>
      <c r="B8100">
        <v>0</v>
      </c>
    </row>
    <row r="8101" spans="1:2" x14ac:dyDescent="0.25">
      <c r="A8101">
        <v>14653</v>
      </c>
      <c r="B8101">
        <v>0</v>
      </c>
    </row>
    <row r="8102" spans="1:2" x14ac:dyDescent="0.25">
      <c r="A8102">
        <v>14655</v>
      </c>
      <c r="B8102">
        <v>0</v>
      </c>
    </row>
    <row r="8103" spans="1:2" x14ac:dyDescent="0.25">
      <c r="A8103">
        <v>14657</v>
      </c>
      <c r="B8103">
        <v>0</v>
      </c>
    </row>
    <row r="8104" spans="1:2" x14ac:dyDescent="0.25">
      <c r="A8104">
        <v>14659</v>
      </c>
      <c r="B8104">
        <v>0</v>
      </c>
    </row>
    <row r="8105" spans="1:2" x14ac:dyDescent="0.25">
      <c r="A8105">
        <v>14660</v>
      </c>
      <c r="B8105">
        <v>0</v>
      </c>
    </row>
    <row r="8106" spans="1:2" x14ac:dyDescent="0.25">
      <c r="A8106">
        <v>14661</v>
      </c>
      <c r="B8106">
        <v>0</v>
      </c>
    </row>
    <row r="8107" spans="1:2" x14ac:dyDescent="0.25">
      <c r="A8107">
        <v>14663</v>
      </c>
      <c r="B8107">
        <v>0</v>
      </c>
    </row>
    <row r="8108" spans="1:2" x14ac:dyDescent="0.25">
      <c r="A8108">
        <v>14666</v>
      </c>
      <c r="B8108">
        <v>0</v>
      </c>
    </row>
    <row r="8109" spans="1:2" x14ac:dyDescent="0.25">
      <c r="A8109">
        <v>14668</v>
      </c>
      <c r="B8109">
        <v>0</v>
      </c>
    </row>
    <row r="8110" spans="1:2" x14ac:dyDescent="0.25">
      <c r="A8110">
        <v>14669</v>
      </c>
      <c r="B8110">
        <v>0</v>
      </c>
    </row>
    <row r="8111" spans="1:2" x14ac:dyDescent="0.25">
      <c r="A8111">
        <v>14672</v>
      </c>
      <c r="B8111">
        <v>0</v>
      </c>
    </row>
    <row r="8112" spans="1:2" x14ac:dyDescent="0.25">
      <c r="A8112">
        <v>14674</v>
      </c>
      <c r="B8112">
        <v>0</v>
      </c>
    </row>
    <row r="8113" spans="1:2" x14ac:dyDescent="0.25">
      <c r="A8113">
        <v>14676</v>
      </c>
      <c r="B8113">
        <v>0</v>
      </c>
    </row>
    <row r="8114" spans="1:2" x14ac:dyDescent="0.25">
      <c r="A8114">
        <v>14678</v>
      </c>
      <c r="B8114">
        <v>0</v>
      </c>
    </row>
    <row r="8115" spans="1:2" x14ac:dyDescent="0.25">
      <c r="A8115">
        <v>14680</v>
      </c>
      <c r="B8115">
        <v>0</v>
      </c>
    </row>
    <row r="8116" spans="1:2" x14ac:dyDescent="0.25">
      <c r="A8116">
        <v>14682</v>
      </c>
      <c r="B8116">
        <v>0</v>
      </c>
    </row>
    <row r="8117" spans="1:2" x14ac:dyDescent="0.25">
      <c r="A8117">
        <v>14684</v>
      </c>
      <c r="B8117">
        <v>0</v>
      </c>
    </row>
    <row r="8118" spans="1:2" x14ac:dyDescent="0.25">
      <c r="A8118">
        <v>14691</v>
      </c>
      <c r="B8118">
        <v>0</v>
      </c>
    </row>
    <row r="8119" spans="1:2" x14ac:dyDescent="0.25">
      <c r="A8119">
        <v>14692</v>
      </c>
      <c r="B8119">
        <v>0</v>
      </c>
    </row>
    <row r="8120" spans="1:2" x14ac:dyDescent="0.25">
      <c r="A8120">
        <v>14693</v>
      </c>
      <c r="B8120">
        <v>0</v>
      </c>
    </row>
    <row r="8121" spans="1:2" x14ac:dyDescent="0.25">
      <c r="A8121">
        <v>14694</v>
      </c>
      <c r="B8121">
        <v>0</v>
      </c>
    </row>
    <row r="8122" spans="1:2" x14ac:dyDescent="0.25">
      <c r="A8122">
        <v>14695</v>
      </c>
      <c r="B8122">
        <v>0</v>
      </c>
    </row>
    <row r="8123" spans="1:2" x14ac:dyDescent="0.25">
      <c r="A8123">
        <v>14696</v>
      </c>
      <c r="B8123">
        <v>0</v>
      </c>
    </row>
    <row r="8124" spans="1:2" x14ac:dyDescent="0.25">
      <c r="A8124">
        <v>14697</v>
      </c>
      <c r="B8124">
        <v>0</v>
      </c>
    </row>
    <row r="8125" spans="1:2" x14ac:dyDescent="0.25">
      <c r="A8125">
        <v>14698</v>
      </c>
      <c r="B8125">
        <v>0</v>
      </c>
    </row>
    <row r="8126" spans="1:2" x14ac:dyDescent="0.25">
      <c r="A8126">
        <v>14700</v>
      </c>
      <c r="B8126">
        <v>0</v>
      </c>
    </row>
    <row r="8127" spans="1:2" x14ac:dyDescent="0.25">
      <c r="A8127">
        <v>14703</v>
      </c>
      <c r="B8127">
        <v>0</v>
      </c>
    </row>
    <row r="8128" spans="1:2" x14ac:dyDescent="0.25">
      <c r="A8128">
        <v>14704</v>
      </c>
      <c r="B8128">
        <v>0</v>
      </c>
    </row>
    <row r="8129" spans="1:2" x14ac:dyDescent="0.25">
      <c r="A8129">
        <v>14707</v>
      </c>
      <c r="B8129">
        <v>0</v>
      </c>
    </row>
    <row r="8130" spans="1:2" x14ac:dyDescent="0.25">
      <c r="A8130">
        <v>14708</v>
      </c>
      <c r="B8130">
        <v>0</v>
      </c>
    </row>
    <row r="8131" spans="1:2" x14ac:dyDescent="0.25">
      <c r="A8131">
        <v>14709</v>
      </c>
      <c r="B8131">
        <v>0</v>
      </c>
    </row>
    <row r="8132" spans="1:2" x14ac:dyDescent="0.25">
      <c r="A8132">
        <v>14711</v>
      </c>
      <c r="B8132">
        <v>0</v>
      </c>
    </row>
    <row r="8133" spans="1:2" x14ac:dyDescent="0.25">
      <c r="A8133">
        <v>14713</v>
      </c>
      <c r="B8133">
        <v>0</v>
      </c>
    </row>
    <row r="8134" spans="1:2" x14ac:dyDescent="0.25">
      <c r="A8134">
        <v>14715</v>
      </c>
      <c r="B8134">
        <v>0</v>
      </c>
    </row>
    <row r="8135" spans="1:2" x14ac:dyDescent="0.25">
      <c r="A8135">
        <v>14717</v>
      </c>
      <c r="B8135">
        <v>0</v>
      </c>
    </row>
    <row r="8136" spans="1:2" x14ac:dyDescent="0.25">
      <c r="A8136">
        <v>14718</v>
      </c>
      <c r="B8136">
        <v>0</v>
      </c>
    </row>
    <row r="8137" spans="1:2" x14ac:dyDescent="0.25">
      <c r="A8137">
        <v>14721</v>
      </c>
      <c r="B8137">
        <v>0</v>
      </c>
    </row>
    <row r="8138" spans="1:2" x14ac:dyDescent="0.25">
      <c r="A8138">
        <v>14724</v>
      </c>
      <c r="B8138">
        <v>0</v>
      </c>
    </row>
    <row r="8139" spans="1:2" x14ac:dyDescent="0.25">
      <c r="A8139">
        <v>14726</v>
      </c>
      <c r="B8139">
        <v>0</v>
      </c>
    </row>
    <row r="8140" spans="1:2" x14ac:dyDescent="0.25">
      <c r="A8140">
        <v>14728</v>
      </c>
      <c r="B8140">
        <v>0</v>
      </c>
    </row>
    <row r="8141" spans="1:2" x14ac:dyDescent="0.25">
      <c r="A8141">
        <v>14730</v>
      </c>
      <c r="B8141">
        <v>0</v>
      </c>
    </row>
    <row r="8142" spans="1:2" x14ac:dyDescent="0.25">
      <c r="A8142">
        <v>14732</v>
      </c>
      <c r="B8142">
        <v>0</v>
      </c>
    </row>
    <row r="8143" spans="1:2" x14ac:dyDescent="0.25">
      <c r="A8143">
        <v>14734</v>
      </c>
      <c r="B8143">
        <v>0</v>
      </c>
    </row>
    <row r="8144" spans="1:2" x14ac:dyDescent="0.25">
      <c r="A8144">
        <v>14736</v>
      </c>
      <c r="B8144">
        <v>0</v>
      </c>
    </row>
    <row r="8145" spans="1:2" x14ac:dyDescent="0.25">
      <c r="A8145">
        <v>14782</v>
      </c>
      <c r="B8145">
        <v>0</v>
      </c>
    </row>
    <row r="8146" spans="1:2" x14ac:dyDescent="0.25">
      <c r="A8146">
        <v>14783</v>
      </c>
      <c r="B8146">
        <v>0</v>
      </c>
    </row>
    <row r="8147" spans="1:2" x14ac:dyDescent="0.25">
      <c r="A8147">
        <v>14784</v>
      </c>
      <c r="B8147">
        <v>0</v>
      </c>
    </row>
    <row r="8148" spans="1:2" x14ac:dyDescent="0.25">
      <c r="A8148">
        <v>14785</v>
      </c>
      <c r="B8148">
        <v>0</v>
      </c>
    </row>
    <row r="8149" spans="1:2" x14ac:dyDescent="0.25">
      <c r="A8149">
        <v>14786</v>
      </c>
      <c r="B8149">
        <v>0</v>
      </c>
    </row>
    <row r="8150" spans="1:2" x14ac:dyDescent="0.25">
      <c r="A8150">
        <v>14787</v>
      </c>
      <c r="B8150">
        <v>0</v>
      </c>
    </row>
    <row r="8151" spans="1:2" x14ac:dyDescent="0.25">
      <c r="A8151">
        <v>14789</v>
      </c>
      <c r="B8151">
        <v>0</v>
      </c>
    </row>
    <row r="8152" spans="1:2" x14ac:dyDescent="0.25">
      <c r="A8152">
        <v>14790</v>
      </c>
      <c r="B8152">
        <v>0</v>
      </c>
    </row>
    <row r="8153" spans="1:2" x14ac:dyDescent="0.25">
      <c r="A8153">
        <v>14792</v>
      </c>
      <c r="B8153">
        <v>0</v>
      </c>
    </row>
    <row r="8154" spans="1:2" x14ac:dyDescent="0.25">
      <c r="A8154">
        <v>14793</v>
      </c>
      <c r="B8154">
        <v>0</v>
      </c>
    </row>
    <row r="8155" spans="1:2" x14ac:dyDescent="0.25">
      <c r="A8155">
        <v>14794</v>
      </c>
      <c r="B8155">
        <v>0</v>
      </c>
    </row>
    <row r="8156" spans="1:2" x14ac:dyDescent="0.25">
      <c r="A8156">
        <v>14795</v>
      </c>
      <c r="B8156">
        <v>0</v>
      </c>
    </row>
    <row r="8157" spans="1:2" x14ac:dyDescent="0.25">
      <c r="A8157">
        <v>14796</v>
      </c>
      <c r="B8157">
        <v>0</v>
      </c>
    </row>
    <row r="8158" spans="1:2" x14ac:dyDescent="0.25">
      <c r="A8158">
        <v>14797</v>
      </c>
      <c r="B8158">
        <v>0</v>
      </c>
    </row>
    <row r="8159" spans="1:2" x14ac:dyDescent="0.25">
      <c r="A8159">
        <v>14798</v>
      </c>
      <c r="B8159">
        <v>0</v>
      </c>
    </row>
    <row r="8160" spans="1:2" x14ac:dyDescent="0.25">
      <c r="A8160">
        <v>14799</v>
      </c>
      <c r="B8160">
        <v>0</v>
      </c>
    </row>
    <row r="8161" spans="1:2" x14ac:dyDescent="0.25">
      <c r="A8161">
        <v>14800</v>
      </c>
      <c r="B8161">
        <v>0</v>
      </c>
    </row>
    <row r="8162" spans="1:2" x14ac:dyDescent="0.25">
      <c r="A8162">
        <v>14801</v>
      </c>
      <c r="B8162">
        <v>0</v>
      </c>
    </row>
    <row r="8163" spans="1:2" x14ac:dyDescent="0.25">
      <c r="A8163">
        <v>14802</v>
      </c>
      <c r="B8163">
        <v>0</v>
      </c>
    </row>
    <row r="8164" spans="1:2" x14ac:dyDescent="0.25">
      <c r="A8164">
        <v>14803</v>
      </c>
      <c r="B8164">
        <v>0</v>
      </c>
    </row>
    <row r="8165" spans="1:2" x14ac:dyDescent="0.25">
      <c r="A8165">
        <v>14804</v>
      </c>
      <c r="B8165">
        <v>0</v>
      </c>
    </row>
    <row r="8166" spans="1:2" x14ac:dyDescent="0.25">
      <c r="A8166">
        <v>14805</v>
      </c>
      <c r="B8166">
        <v>0</v>
      </c>
    </row>
    <row r="8167" spans="1:2" x14ac:dyDescent="0.25">
      <c r="A8167">
        <v>14806</v>
      </c>
      <c r="B8167">
        <v>0</v>
      </c>
    </row>
    <row r="8168" spans="1:2" x14ac:dyDescent="0.25">
      <c r="A8168">
        <v>14807</v>
      </c>
      <c r="B8168">
        <v>0</v>
      </c>
    </row>
    <row r="8169" spans="1:2" x14ac:dyDescent="0.25">
      <c r="A8169">
        <v>14808</v>
      </c>
      <c r="B8169">
        <v>0</v>
      </c>
    </row>
    <row r="8170" spans="1:2" x14ac:dyDescent="0.25">
      <c r="A8170">
        <v>14809</v>
      </c>
      <c r="B8170">
        <v>0</v>
      </c>
    </row>
    <row r="8171" spans="1:2" x14ac:dyDescent="0.25">
      <c r="A8171">
        <v>14810</v>
      </c>
      <c r="B8171">
        <v>0</v>
      </c>
    </row>
    <row r="8172" spans="1:2" x14ac:dyDescent="0.25">
      <c r="A8172">
        <v>14812</v>
      </c>
      <c r="B8172">
        <v>0</v>
      </c>
    </row>
    <row r="8173" spans="1:2" x14ac:dyDescent="0.25">
      <c r="A8173">
        <v>14813</v>
      </c>
      <c r="B8173">
        <v>0</v>
      </c>
    </row>
    <row r="8174" spans="1:2" x14ac:dyDescent="0.25">
      <c r="A8174">
        <v>14814</v>
      </c>
      <c r="B8174">
        <v>0</v>
      </c>
    </row>
    <row r="8175" spans="1:2" x14ac:dyDescent="0.25">
      <c r="A8175">
        <v>14815</v>
      </c>
      <c r="B8175">
        <v>0</v>
      </c>
    </row>
    <row r="8176" spans="1:2" x14ac:dyDescent="0.25">
      <c r="A8176">
        <v>14816</v>
      </c>
      <c r="B8176">
        <v>0</v>
      </c>
    </row>
    <row r="8177" spans="1:2" x14ac:dyDescent="0.25">
      <c r="A8177">
        <v>14817</v>
      </c>
      <c r="B8177">
        <v>0</v>
      </c>
    </row>
    <row r="8178" spans="1:2" x14ac:dyDescent="0.25">
      <c r="A8178">
        <v>14818</v>
      </c>
      <c r="B8178">
        <v>0</v>
      </c>
    </row>
    <row r="8179" spans="1:2" x14ac:dyDescent="0.25">
      <c r="A8179">
        <v>14819</v>
      </c>
      <c r="B8179">
        <v>0</v>
      </c>
    </row>
    <row r="8180" spans="1:2" x14ac:dyDescent="0.25">
      <c r="A8180">
        <v>14820</v>
      </c>
      <c r="B8180">
        <v>0</v>
      </c>
    </row>
    <row r="8181" spans="1:2" x14ac:dyDescent="0.25">
      <c r="A8181">
        <v>14821</v>
      </c>
      <c r="B8181">
        <v>0</v>
      </c>
    </row>
    <row r="8182" spans="1:2" x14ac:dyDescent="0.25">
      <c r="A8182">
        <v>14822</v>
      </c>
      <c r="B8182">
        <v>0</v>
      </c>
    </row>
    <row r="8183" spans="1:2" x14ac:dyDescent="0.25">
      <c r="A8183">
        <v>14823</v>
      </c>
      <c r="B8183">
        <v>0</v>
      </c>
    </row>
    <row r="8184" spans="1:2" x14ac:dyDescent="0.25">
      <c r="A8184">
        <v>14824</v>
      </c>
      <c r="B8184">
        <v>0</v>
      </c>
    </row>
    <row r="8185" spans="1:2" x14ac:dyDescent="0.25">
      <c r="A8185">
        <v>14825</v>
      </c>
      <c r="B8185">
        <v>0</v>
      </c>
    </row>
    <row r="8186" spans="1:2" x14ac:dyDescent="0.25">
      <c r="A8186">
        <v>14826</v>
      </c>
      <c r="B8186">
        <v>0</v>
      </c>
    </row>
    <row r="8187" spans="1:2" x14ac:dyDescent="0.25">
      <c r="A8187">
        <v>14827</v>
      </c>
      <c r="B8187">
        <v>0</v>
      </c>
    </row>
    <row r="8188" spans="1:2" x14ac:dyDescent="0.25">
      <c r="A8188">
        <v>14828</v>
      </c>
      <c r="B8188">
        <v>0</v>
      </c>
    </row>
    <row r="8189" spans="1:2" x14ac:dyDescent="0.25">
      <c r="A8189">
        <v>14829</v>
      </c>
      <c r="B8189">
        <v>0</v>
      </c>
    </row>
    <row r="8190" spans="1:2" x14ac:dyDescent="0.25">
      <c r="A8190">
        <v>14836</v>
      </c>
      <c r="B8190">
        <v>0</v>
      </c>
    </row>
    <row r="8191" spans="1:2" x14ac:dyDescent="0.25">
      <c r="A8191">
        <v>14838</v>
      </c>
      <c r="B8191">
        <v>0</v>
      </c>
    </row>
    <row r="8192" spans="1:2" x14ac:dyDescent="0.25">
      <c r="A8192">
        <v>14840</v>
      </c>
      <c r="B8192">
        <v>0</v>
      </c>
    </row>
    <row r="8193" spans="1:2" x14ac:dyDescent="0.25">
      <c r="A8193">
        <v>14842</v>
      </c>
      <c r="B8193">
        <v>0</v>
      </c>
    </row>
    <row r="8194" spans="1:2" x14ac:dyDescent="0.25">
      <c r="A8194">
        <v>14844</v>
      </c>
      <c r="B8194">
        <v>0</v>
      </c>
    </row>
    <row r="8195" spans="1:2" x14ac:dyDescent="0.25">
      <c r="A8195">
        <v>14845</v>
      </c>
      <c r="B8195">
        <v>0</v>
      </c>
    </row>
    <row r="8196" spans="1:2" x14ac:dyDescent="0.25">
      <c r="A8196">
        <v>14850</v>
      </c>
      <c r="B8196">
        <v>0</v>
      </c>
    </row>
    <row r="8197" spans="1:2" x14ac:dyDescent="0.25">
      <c r="A8197">
        <v>14851</v>
      </c>
      <c r="B8197">
        <v>0</v>
      </c>
    </row>
    <row r="8198" spans="1:2" x14ac:dyDescent="0.25">
      <c r="A8198">
        <v>14855</v>
      </c>
      <c r="B8198">
        <v>0</v>
      </c>
    </row>
    <row r="8199" spans="1:2" x14ac:dyDescent="0.25">
      <c r="A8199">
        <v>14856</v>
      </c>
      <c r="B8199">
        <v>0</v>
      </c>
    </row>
    <row r="8200" spans="1:2" x14ac:dyDescent="0.25">
      <c r="A8200">
        <v>14868</v>
      </c>
      <c r="B8200">
        <v>0</v>
      </c>
    </row>
    <row r="8201" spans="1:2" x14ac:dyDescent="0.25">
      <c r="A8201">
        <v>14869</v>
      </c>
      <c r="B8201">
        <v>0</v>
      </c>
    </row>
    <row r="8202" spans="1:2" x14ac:dyDescent="0.25">
      <c r="A8202">
        <v>14870</v>
      </c>
      <c r="B8202">
        <v>0</v>
      </c>
    </row>
    <row r="8203" spans="1:2" x14ac:dyDescent="0.25">
      <c r="A8203">
        <v>14871</v>
      </c>
      <c r="B8203">
        <v>0</v>
      </c>
    </row>
    <row r="8204" spans="1:2" x14ac:dyDescent="0.25">
      <c r="A8204">
        <v>14872</v>
      </c>
      <c r="B8204">
        <v>0</v>
      </c>
    </row>
    <row r="8205" spans="1:2" x14ac:dyDescent="0.25">
      <c r="A8205">
        <v>14873</v>
      </c>
      <c r="B8205">
        <v>0</v>
      </c>
    </row>
    <row r="8206" spans="1:2" x14ac:dyDescent="0.25">
      <c r="A8206">
        <v>14874</v>
      </c>
      <c r="B8206">
        <v>0</v>
      </c>
    </row>
    <row r="8207" spans="1:2" x14ac:dyDescent="0.25">
      <c r="A8207">
        <v>14875</v>
      </c>
      <c r="B8207">
        <v>0</v>
      </c>
    </row>
    <row r="8208" spans="1:2" x14ac:dyDescent="0.25">
      <c r="A8208">
        <v>14876</v>
      </c>
      <c r="B8208">
        <v>0</v>
      </c>
    </row>
    <row r="8209" spans="1:2" x14ac:dyDescent="0.25">
      <c r="A8209">
        <v>14877</v>
      </c>
      <c r="B8209">
        <v>0</v>
      </c>
    </row>
    <row r="8210" spans="1:2" x14ac:dyDescent="0.25">
      <c r="A8210">
        <v>14878</v>
      </c>
      <c r="B8210">
        <v>0</v>
      </c>
    </row>
    <row r="8211" spans="1:2" x14ac:dyDescent="0.25">
      <c r="A8211">
        <v>14879</v>
      </c>
      <c r="B8211">
        <v>0</v>
      </c>
    </row>
    <row r="8212" spans="1:2" x14ac:dyDescent="0.25">
      <c r="A8212">
        <v>14880</v>
      </c>
      <c r="B8212">
        <v>0</v>
      </c>
    </row>
    <row r="8213" spans="1:2" x14ac:dyDescent="0.25">
      <c r="A8213">
        <v>14881</v>
      </c>
      <c r="B8213">
        <v>0</v>
      </c>
    </row>
    <row r="8214" spans="1:2" x14ac:dyDescent="0.25">
      <c r="A8214">
        <v>14882</v>
      </c>
      <c r="B8214">
        <v>0</v>
      </c>
    </row>
    <row r="8215" spans="1:2" x14ac:dyDescent="0.25">
      <c r="A8215">
        <v>14883</v>
      </c>
      <c r="B8215">
        <v>0</v>
      </c>
    </row>
    <row r="8216" spans="1:2" x14ac:dyDescent="0.25">
      <c r="A8216">
        <v>14884</v>
      </c>
      <c r="B8216">
        <v>0</v>
      </c>
    </row>
    <row r="8217" spans="1:2" x14ac:dyDescent="0.25">
      <c r="A8217">
        <v>14885</v>
      </c>
      <c r="B8217">
        <v>0</v>
      </c>
    </row>
    <row r="8218" spans="1:2" x14ac:dyDescent="0.25">
      <c r="A8218">
        <v>14886</v>
      </c>
      <c r="B8218">
        <v>0</v>
      </c>
    </row>
    <row r="8219" spans="1:2" x14ac:dyDescent="0.25">
      <c r="A8219">
        <v>14887</v>
      </c>
      <c r="B8219">
        <v>0</v>
      </c>
    </row>
    <row r="8220" spans="1:2" x14ac:dyDescent="0.25">
      <c r="A8220">
        <v>14888</v>
      </c>
      <c r="B8220">
        <v>0</v>
      </c>
    </row>
    <row r="8221" spans="1:2" x14ac:dyDescent="0.25">
      <c r="A8221">
        <v>14889</v>
      </c>
      <c r="B8221">
        <v>0</v>
      </c>
    </row>
    <row r="8222" spans="1:2" x14ac:dyDescent="0.25">
      <c r="A8222">
        <v>14890</v>
      </c>
      <c r="B8222">
        <v>0</v>
      </c>
    </row>
    <row r="8223" spans="1:2" x14ac:dyDescent="0.25">
      <c r="A8223">
        <v>14891</v>
      </c>
      <c r="B8223">
        <v>0</v>
      </c>
    </row>
    <row r="8224" spans="1:2" x14ac:dyDescent="0.25">
      <c r="A8224">
        <v>14892</v>
      </c>
      <c r="B8224">
        <v>0</v>
      </c>
    </row>
    <row r="8225" spans="1:2" x14ac:dyDescent="0.25">
      <c r="A8225">
        <v>14893</v>
      </c>
      <c r="B8225">
        <v>0</v>
      </c>
    </row>
    <row r="8226" spans="1:2" x14ac:dyDescent="0.25">
      <c r="A8226">
        <v>14894</v>
      </c>
      <c r="B8226">
        <v>0</v>
      </c>
    </row>
    <row r="8227" spans="1:2" x14ac:dyDescent="0.25">
      <c r="A8227">
        <v>14895</v>
      </c>
      <c r="B8227">
        <v>0</v>
      </c>
    </row>
    <row r="8228" spans="1:2" x14ac:dyDescent="0.25">
      <c r="A8228">
        <v>14896</v>
      </c>
      <c r="B8228">
        <v>0</v>
      </c>
    </row>
    <row r="8229" spans="1:2" x14ac:dyDescent="0.25">
      <c r="A8229">
        <v>14897</v>
      </c>
      <c r="B8229">
        <v>0</v>
      </c>
    </row>
    <row r="8230" spans="1:2" x14ac:dyDescent="0.25">
      <c r="A8230">
        <v>14898</v>
      </c>
      <c r="B8230">
        <v>0</v>
      </c>
    </row>
    <row r="8231" spans="1:2" x14ac:dyDescent="0.25">
      <c r="A8231">
        <v>14899</v>
      </c>
      <c r="B8231">
        <v>0</v>
      </c>
    </row>
    <row r="8232" spans="1:2" x14ac:dyDescent="0.25">
      <c r="A8232">
        <v>14900</v>
      </c>
      <c r="B8232">
        <v>0</v>
      </c>
    </row>
    <row r="8233" spans="1:2" x14ac:dyDescent="0.25">
      <c r="A8233">
        <v>14901</v>
      </c>
      <c r="B8233">
        <v>0</v>
      </c>
    </row>
    <row r="8234" spans="1:2" x14ac:dyDescent="0.25">
      <c r="A8234">
        <v>14902</v>
      </c>
      <c r="B8234">
        <v>0</v>
      </c>
    </row>
    <row r="8235" spans="1:2" x14ac:dyDescent="0.25">
      <c r="A8235">
        <v>14903</v>
      </c>
      <c r="B8235">
        <v>0</v>
      </c>
    </row>
    <row r="8236" spans="1:2" x14ac:dyDescent="0.25">
      <c r="A8236">
        <v>14904</v>
      </c>
      <c r="B8236">
        <v>0</v>
      </c>
    </row>
    <row r="8237" spans="1:2" x14ac:dyDescent="0.25">
      <c r="A8237">
        <v>14905</v>
      </c>
      <c r="B8237">
        <v>0</v>
      </c>
    </row>
    <row r="8238" spans="1:2" x14ac:dyDescent="0.25">
      <c r="A8238">
        <v>14906</v>
      </c>
      <c r="B8238">
        <v>0</v>
      </c>
    </row>
    <row r="8239" spans="1:2" x14ac:dyDescent="0.25">
      <c r="A8239">
        <v>14907</v>
      </c>
      <c r="B8239">
        <v>0</v>
      </c>
    </row>
    <row r="8240" spans="1:2" x14ac:dyDescent="0.25">
      <c r="A8240">
        <v>14908</v>
      </c>
      <c r="B8240">
        <v>0</v>
      </c>
    </row>
    <row r="8241" spans="1:2" x14ac:dyDescent="0.25">
      <c r="A8241">
        <v>14909</v>
      </c>
      <c r="B8241">
        <v>0</v>
      </c>
    </row>
    <row r="8242" spans="1:2" x14ac:dyDescent="0.25">
      <c r="A8242">
        <v>14910</v>
      </c>
      <c r="B8242">
        <v>0</v>
      </c>
    </row>
    <row r="8243" spans="1:2" x14ac:dyDescent="0.25">
      <c r="A8243">
        <v>14911</v>
      </c>
      <c r="B8243">
        <v>0</v>
      </c>
    </row>
    <row r="8244" spans="1:2" x14ac:dyDescent="0.25">
      <c r="A8244">
        <v>14912</v>
      </c>
      <c r="B8244">
        <v>0</v>
      </c>
    </row>
    <row r="8245" spans="1:2" x14ac:dyDescent="0.25">
      <c r="A8245">
        <v>14913</v>
      </c>
      <c r="B8245">
        <v>0</v>
      </c>
    </row>
    <row r="8246" spans="1:2" x14ac:dyDescent="0.25">
      <c r="A8246">
        <v>14914</v>
      </c>
      <c r="B8246">
        <v>0</v>
      </c>
    </row>
    <row r="8247" spans="1:2" x14ac:dyDescent="0.25">
      <c r="A8247">
        <v>14915</v>
      </c>
      <c r="B8247">
        <v>0</v>
      </c>
    </row>
    <row r="8248" spans="1:2" x14ac:dyDescent="0.25">
      <c r="A8248">
        <v>14916</v>
      </c>
      <c r="B8248">
        <v>0</v>
      </c>
    </row>
    <row r="8249" spans="1:2" x14ac:dyDescent="0.25">
      <c r="A8249">
        <v>14917</v>
      </c>
      <c r="B8249">
        <v>0</v>
      </c>
    </row>
    <row r="8250" spans="1:2" x14ac:dyDescent="0.25">
      <c r="A8250">
        <v>14918</v>
      </c>
      <c r="B8250">
        <v>0</v>
      </c>
    </row>
    <row r="8251" spans="1:2" x14ac:dyDescent="0.25">
      <c r="A8251">
        <v>14919</v>
      </c>
      <c r="B8251">
        <v>0</v>
      </c>
    </row>
    <row r="8252" spans="1:2" x14ac:dyDescent="0.25">
      <c r="A8252">
        <v>14920</v>
      </c>
      <c r="B8252">
        <v>0</v>
      </c>
    </row>
    <row r="8253" spans="1:2" x14ac:dyDescent="0.25">
      <c r="A8253">
        <v>14921</v>
      </c>
      <c r="B8253">
        <v>0</v>
      </c>
    </row>
    <row r="8254" spans="1:2" x14ac:dyDescent="0.25">
      <c r="A8254">
        <v>14922</v>
      </c>
      <c r="B8254">
        <v>0</v>
      </c>
    </row>
    <row r="8255" spans="1:2" x14ac:dyDescent="0.25">
      <c r="A8255">
        <v>14923</v>
      </c>
      <c r="B8255">
        <v>0</v>
      </c>
    </row>
    <row r="8256" spans="1:2" x14ac:dyDescent="0.25">
      <c r="A8256">
        <v>14924</v>
      </c>
      <c r="B8256">
        <v>0</v>
      </c>
    </row>
    <row r="8257" spans="1:2" x14ac:dyDescent="0.25">
      <c r="A8257">
        <v>14925</v>
      </c>
      <c r="B8257">
        <v>0</v>
      </c>
    </row>
    <row r="8258" spans="1:2" x14ac:dyDescent="0.25">
      <c r="A8258">
        <v>14926</v>
      </c>
      <c r="B8258">
        <v>0</v>
      </c>
    </row>
    <row r="8259" spans="1:2" x14ac:dyDescent="0.25">
      <c r="A8259">
        <v>14927</v>
      </c>
      <c r="B8259">
        <v>0</v>
      </c>
    </row>
    <row r="8260" spans="1:2" x14ac:dyDescent="0.25">
      <c r="A8260">
        <v>14928</v>
      </c>
      <c r="B8260">
        <v>0</v>
      </c>
    </row>
    <row r="8261" spans="1:2" x14ac:dyDescent="0.25">
      <c r="A8261">
        <v>14929</v>
      </c>
      <c r="B8261">
        <v>0</v>
      </c>
    </row>
    <row r="8262" spans="1:2" x14ac:dyDescent="0.25">
      <c r="A8262">
        <v>14930</v>
      </c>
      <c r="B8262">
        <v>0</v>
      </c>
    </row>
    <row r="8263" spans="1:2" x14ac:dyDescent="0.25">
      <c r="A8263">
        <v>14931</v>
      </c>
      <c r="B8263">
        <v>0</v>
      </c>
    </row>
    <row r="8264" spans="1:2" x14ac:dyDescent="0.25">
      <c r="A8264">
        <v>14932</v>
      </c>
      <c r="B8264">
        <v>0</v>
      </c>
    </row>
    <row r="8265" spans="1:2" x14ac:dyDescent="0.25">
      <c r="A8265">
        <v>14933</v>
      </c>
      <c r="B8265">
        <v>0</v>
      </c>
    </row>
    <row r="8266" spans="1:2" x14ac:dyDescent="0.25">
      <c r="A8266">
        <v>14934</v>
      </c>
      <c r="B8266">
        <v>0</v>
      </c>
    </row>
    <row r="8267" spans="1:2" x14ac:dyDescent="0.25">
      <c r="A8267">
        <v>14935</v>
      </c>
      <c r="B8267">
        <v>0</v>
      </c>
    </row>
    <row r="8268" spans="1:2" x14ac:dyDescent="0.25">
      <c r="A8268">
        <v>14936</v>
      </c>
      <c r="B8268">
        <v>0</v>
      </c>
    </row>
    <row r="8269" spans="1:2" x14ac:dyDescent="0.25">
      <c r="A8269">
        <v>14937</v>
      </c>
      <c r="B8269">
        <v>0</v>
      </c>
    </row>
    <row r="8270" spans="1:2" x14ac:dyDescent="0.25">
      <c r="A8270">
        <v>14938</v>
      </c>
      <c r="B8270">
        <v>0</v>
      </c>
    </row>
    <row r="8271" spans="1:2" x14ac:dyDescent="0.25">
      <c r="A8271">
        <v>14939</v>
      </c>
      <c r="B8271">
        <v>0</v>
      </c>
    </row>
    <row r="8272" spans="1:2" x14ac:dyDescent="0.25">
      <c r="A8272">
        <v>14940</v>
      </c>
      <c r="B8272">
        <v>0</v>
      </c>
    </row>
    <row r="8273" spans="1:2" x14ac:dyDescent="0.25">
      <c r="A8273">
        <v>14941</v>
      </c>
      <c r="B8273">
        <v>0</v>
      </c>
    </row>
    <row r="8274" spans="1:2" x14ac:dyDescent="0.25">
      <c r="A8274">
        <v>14942</v>
      </c>
      <c r="B8274">
        <v>0</v>
      </c>
    </row>
    <row r="8275" spans="1:2" x14ac:dyDescent="0.25">
      <c r="A8275">
        <v>14943</v>
      </c>
      <c r="B8275">
        <v>0</v>
      </c>
    </row>
    <row r="8276" spans="1:2" x14ac:dyDescent="0.25">
      <c r="A8276">
        <v>14944</v>
      </c>
      <c r="B8276">
        <v>0</v>
      </c>
    </row>
    <row r="8277" spans="1:2" x14ac:dyDescent="0.25">
      <c r="A8277">
        <v>14945</v>
      </c>
      <c r="B8277">
        <v>0</v>
      </c>
    </row>
    <row r="8278" spans="1:2" x14ac:dyDescent="0.25">
      <c r="A8278">
        <v>14946</v>
      </c>
      <c r="B8278">
        <v>0</v>
      </c>
    </row>
    <row r="8279" spans="1:2" x14ac:dyDescent="0.25">
      <c r="A8279">
        <v>14947</v>
      </c>
      <c r="B8279">
        <v>0</v>
      </c>
    </row>
    <row r="8280" spans="1:2" x14ac:dyDescent="0.25">
      <c r="A8280">
        <v>14948</v>
      </c>
      <c r="B8280">
        <v>0</v>
      </c>
    </row>
    <row r="8281" spans="1:2" x14ac:dyDescent="0.25">
      <c r="A8281">
        <v>14949</v>
      </c>
      <c r="B8281">
        <v>0</v>
      </c>
    </row>
    <row r="8282" spans="1:2" x14ac:dyDescent="0.25">
      <c r="A8282">
        <v>14950</v>
      </c>
      <c r="B8282">
        <v>0</v>
      </c>
    </row>
    <row r="8283" spans="1:2" x14ac:dyDescent="0.25">
      <c r="A8283">
        <v>14951</v>
      </c>
      <c r="B8283">
        <v>0</v>
      </c>
    </row>
    <row r="8284" spans="1:2" x14ac:dyDescent="0.25">
      <c r="A8284">
        <v>14952</v>
      </c>
      <c r="B8284">
        <v>0</v>
      </c>
    </row>
    <row r="8285" spans="1:2" x14ac:dyDescent="0.25">
      <c r="A8285">
        <v>14953</v>
      </c>
      <c r="B8285">
        <v>0</v>
      </c>
    </row>
    <row r="8286" spans="1:2" x14ac:dyDescent="0.25">
      <c r="A8286">
        <v>14954</v>
      </c>
      <c r="B8286">
        <v>0</v>
      </c>
    </row>
    <row r="8287" spans="1:2" x14ac:dyDescent="0.25">
      <c r="A8287">
        <v>14955</v>
      </c>
      <c r="B8287">
        <v>0</v>
      </c>
    </row>
    <row r="8288" spans="1:2" x14ac:dyDescent="0.25">
      <c r="A8288">
        <v>14956</v>
      </c>
      <c r="B8288">
        <v>0</v>
      </c>
    </row>
    <row r="8289" spans="1:2" x14ac:dyDescent="0.25">
      <c r="A8289">
        <v>14957</v>
      </c>
      <c r="B8289">
        <v>0</v>
      </c>
    </row>
    <row r="8290" spans="1:2" x14ac:dyDescent="0.25">
      <c r="A8290">
        <v>14958</v>
      </c>
      <c r="B8290">
        <v>0</v>
      </c>
    </row>
    <row r="8291" spans="1:2" x14ac:dyDescent="0.25">
      <c r="A8291">
        <v>14959</v>
      </c>
      <c r="B8291">
        <v>0</v>
      </c>
    </row>
    <row r="8292" spans="1:2" x14ac:dyDescent="0.25">
      <c r="A8292">
        <v>14960</v>
      </c>
      <c r="B8292">
        <v>0</v>
      </c>
    </row>
    <row r="8293" spans="1:2" x14ac:dyDescent="0.25">
      <c r="A8293">
        <v>14961</v>
      </c>
      <c r="B8293">
        <v>0</v>
      </c>
    </row>
    <row r="8294" spans="1:2" x14ac:dyDescent="0.25">
      <c r="A8294">
        <v>14962</v>
      </c>
      <c r="B8294">
        <v>0</v>
      </c>
    </row>
    <row r="8295" spans="1:2" x14ac:dyDescent="0.25">
      <c r="A8295">
        <v>14963</v>
      </c>
      <c r="B8295">
        <v>0</v>
      </c>
    </row>
    <row r="8296" spans="1:2" x14ac:dyDescent="0.25">
      <c r="A8296">
        <v>14964</v>
      </c>
      <c r="B8296">
        <v>0</v>
      </c>
    </row>
    <row r="8297" spans="1:2" x14ac:dyDescent="0.25">
      <c r="A8297">
        <v>14965</v>
      </c>
      <c r="B8297">
        <v>0</v>
      </c>
    </row>
    <row r="8298" spans="1:2" x14ac:dyDescent="0.25">
      <c r="A8298">
        <v>14966</v>
      </c>
      <c r="B8298">
        <v>0</v>
      </c>
    </row>
    <row r="8299" spans="1:2" x14ac:dyDescent="0.25">
      <c r="A8299">
        <v>14967</v>
      </c>
      <c r="B8299">
        <v>0</v>
      </c>
    </row>
    <row r="8300" spans="1:2" x14ac:dyDescent="0.25">
      <c r="A8300">
        <v>14970</v>
      </c>
      <c r="B8300">
        <v>0</v>
      </c>
    </row>
    <row r="8301" spans="1:2" x14ac:dyDescent="0.25">
      <c r="A8301">
        <v>14971</v>
      </c>
      <c r="B8301">
        <v>0</v>
      </c>
    </row>
    <row r="8302" spans="1:2" x14ac:dyDescent="0.25">
      <c r="A8302">
        <v>14976</v>
      </c>
      <c r="B8302">
        <v>0</v>
      </c>
    </row>
    <row r="8303" spans="1:2" x14ac:dyDescent="0.25">
      <c r="A8303">
        <v>14977</v>
      </c>
      <c r="B8303">
        <v>0</v>
      </c>
    </row>
    <row r="8304" spans="1:2" x14ac:dyDescent="0.25">
      <c r="A8304">
        <v>14978</v>
      </c>
      <c r="B8304">
        <v>0</v>
      </c>
    </row>
    <row r="8305" spans="1:2" x14ac:dyDescent="0.25">
      <c r="A8305">
        <v>14980</v>
      </c>
      <c r="B8305">
        <v>0</v>
      </c>
    </row>
    <row r="8306" spans="1:2" x14ac:dyDescent="0.25">
      <c r="A8306">
        <v>14985</v>
      </c>
      <c r="B8306">
        <v>0</v>
      </c>
    </row>
    <row r="8307" spans="1:2" x14ac:dyDescent="0.25">
      <c r="A8307">
        <v>14986</v>
      </c>
      <c r="B8307">
        <v>0</v>
      </c>
    </row>
    <row r="8308" spans="1:2" x14ac:dyDescent="0.25">
      <c r="A8308">
        <v>14987</v>
      </c>
      <c r="B8308">
        <v>0</v>
      </c>
    </row>
    <row r="8309" spans="1:2" x14ac:dyDescent="0.25">
      <c r="A8309">
        <v>14988</v>
      </c>
      <c r="B8309">
        <v>0</v>
      </c>
    </row>
    <row r="8310" spans="1:2" x14ac:dyDescent="0.25">
      <c r="A8310">
        <v>14990</v>
      </c>
      <c r="B8310">
        <v>0</v>
      </c>
    </row>
    <row r="8311" spans="1:2" x14ac:dyDescent="0.25">
      <c r="A8311">
        <v>14992</v>
      </c>
      <c r="B8311">
        <v>0</v>
      </c>
    </row>
    <row r="8312" spans="1:2" x14ac:dyDescent="0.25">
      <c r="A8312">
        <v>14994</v>
      </c>
      <c r="B8312">
        <v>0</v>
      </c>
    </row>
    <row r="8313" spans="1:2" x14ac:dyDescent="0.25">
      <c r="A8313">
        <v>14996</v>
      </c>
      <c r="B8313">
        <v>0</v>
      </c>
    </row>
    <row r="8314" spans="1:2" x14ac:dyDescent="0.25">
      <c r="A8314">
        <v>14998</v>
      </c>
      <c r="B8314">
        <v>0</v>
      </c>
    </row>
    <row r="8315" spans="1:2" x14ac:dyDescent="0.25">
      <c r="A8315">
        <v>15000</v>
      </c>
      <c r="B8315">
        <v>0</v>
      </c>
    </row>
    <row r="8316" spans="1:2" x14ac:dyDescent="0.25">
      <c r="A8316">
        <v>15002</v>
      </c>
      <c r="B8316">
        <v>0</v>
      </c>
    </row>
    <row r="8317" spans="1:2" x14ac:dyDescent="0.25">
      <c r="A8317">
        <v>15005</v>
      </c>
      <c r="B8317">
        <v>0</v>
      </c>
    </row>
    <row r="8318" spans="1:2" x14ac:dyDescent="0.25">
      <c r="A8318">
        <v>15006</v>
      </c>
      <c r="B8318">
        <v>0</v>
      </c>
    </row>
    <row r="8319" spans="1:2" x14ac:dyDescent="0.25">
      <c r="A8319">
        <v>15008</v>
      </c>
      <c r="B8319">
        <v>0</v>
      </c>
    </row>
    <row r="8320" spans="1:2" x14ac:dyDescent="0.25">
      <c r="A8320">
        <v>15009</v>
      </c>
      <c r="B8320">
        <v>0</v>
      </c>
    </row>
    <row r="8321" spans="1:2" x14ac:dyDescent="0.25">
      <c r="A8321">
        <v>15010</v>
      </c>
      <c r="B8321">
        <v>0</v>
      </c>
    </row>
    <row r="8322" spans="1:2" x14ac:dyDescent="0.25">
      <c r="A8322">
        <v>15011</v>
      </c>
      <c r="B8322">
        <v>0</v>
      </c>
    </row>
    <row r="8323" spans="1:2" x14ac:dyDescent="0.25">
      <c r="A8323">
        <v>15012</v>
      </c>
      <c r="B8323">
        <v>0</v>
      </c>
    </row>
    <row r="8324" spans="1:2" x14ac:dyDescent="0.25">
      <c r="A8324">
        <v>15014</v>
      </c>
      <c r="B8324">
        <v>0</v>
      </c>
    </row>
    <row r="8325" spans="1:2" x14ac:dyDescent="0.25">
      <c r="A8325">
        <v>15027</v>
      </c>
      <c r="B8325">
        <v>0</v>
      </c>
    </row>
    <row r="8326" spans="1:2" x14ac:dyDescent="0.25">
      <c r="A8326">
        <v>15028</v>
      </c>
      <c r="B8326">
        <v>0</v>
      </c>
    </row>
    <row r="8327" spans="1:2" x14ac:dyDescent="0.25">
      <c r="A8327">
        <v>15029</v>
      </c>
      <c r="B8327">
        <v>0</v>
      </c>
    </row>
    <row r="8328" spans="1:2" x14ac:dyDescent="0.25">
      <c r="A8328">
        <v>15033</v>
      </c>
      <c r="B8328">
        <v>0</v>
      </c>
    </row>
    <row r="8329" spans="1:2" x14ac:dyDescent="0.25">
      <c r="A8329">
        <v>15034</v>
      </c>
      <c r="B8329">
        <v>0</v>
      </c>
    </row>
    <row r="8330" spans="1:2" x14ac:dyDescent="0.25">
      <c r="A8330">
        <v>15035</v>
      </c>
      <c r="B8330">
        <v>0</v>
      </c>
    </row>
    <row r="8331" spans="1:2" x14ac:dyDescent="0.25">
      <c r="A8331">
        <v>15037</v>
      </c>
      <c r="B8331">
        <v>0</v>
      </c>
    </row>
    <row r="8332" spans="1:2" x14ac:dyDescent="0.25">
      <c r="A8332">
        <v>15039</v>
      </c>
      <c r="B8332">
        <v>0</v>
      </c>
    </row>
    <row r="8333" spans="1:2" x14ac:dyDescent="0.25">
      <c r="A8333">
        <v>15041</v>
      </c>
      <c r="B8333">
        <v>0</v>
      </c>
    </row>
    <row r="8334" spans="1:2" x14ac:dyDescent="0.25">
      <c r="A8334">
        <v>15043</v>
      </c>
      <c r="B8334">
        <v>0</v>
      </c>
    </row>
    <row r="8335" spans="1:2" x14ac:dyDescent="0.25">
      <c r="A8335">
        <v>15045</v>
      </c>
      <c r="B8335">
        <v>0</v>
      </c>
    </row>
    <row r="8336" spans="1:2" x14ac:dyDescent="0.25">
      <c r="A8336">
        <v>15047</v>
      </c>
      <c r="B8336">
        <v>0</v>
      </c>
    </row>
    <row r="8337" spans="1:2" x14ac:dyDescent="0.25">
      <c r="A8337">
        <v>15049</v>
      </c>
      <c r="B8337">
        <v>0</v>
      </c>
    </row>
    <row r="8338" spans="1:2" x14ac:dyDescent="0.25">
      <c r="A8338">
        <v>15051</v>
      </c>
      <c r="B8338">
        <v>0</v>
      </c>
    </row>
    <row r="8339" spans="1:2" x14ac:dyDescent="0.25">
      <c r="A8339">
        <v>15052</v>
      </c>
      <c r="B8339">
        <v>0</v>
      </c>
    </row>
    <row r="8340" spans="1:2" x14ac:dyDescent="0.25">
      <c r="A8340">
        <v>15054</v>
      </c>
      <c r="B8340">
        <v>0</v>
      </c>
    </row>
    <row r="8341" spans="1:2" x14ac:dyDescent="0.25">
      <c r="A8341">
        <v>15056</v>
      </c>
      <c r="B8341">
        <v>0</v>
      </c>
    </row>
    <row r="8342" spans="1:2" x14ac:dyDescent="0.25">
      <c r="A8342">
        <v>15057</v>
      </c>
      <c r="B8342">
        <v>0</v>
      </c>
    </row>
    <row r="8343" spans="1:2" x14ac:dyDescent="0.25">
      <c r="A8343">
        <v>15060</v>
      </c>
      <c r="B8343">
        <v>0</v>
      </c>
    </row>
    <row r="8344" spans="1:2" x14ac:dyDescent="0.25">
      <c r="A8344">
        <v>15061</v>
      </c>
      <c r="B8344">
        <v>0</v>
      </c>
    </row>
    <row r="8345" spans="1:2" x14ac:dyDescent="0.25">
      <c r="A8345">
        <v>15062</v>
      </c>
      <c r="B8345">
        <v>0</v>
      </c>
    </row>
    <row r="8346" spans="1:2" x14ac:dyDescent="0.25">
      <c r="A8346">
        <v>15070</v>
      </c>
      <c r="B8346">
        <v>0</v>
      </c>
    </row>
    <row r="8347" spans="1:2" x14ac:dyDescent="0.25">
      <c r="A8347">
        <v>15099</v>
      </c>
      <c r="B8347">
        <v>0</v>
      </c>
    </row>
    <row r="8348" spans="1:2" x14ac:dyDescent="0.25">
      <c r="A8348">
        <v>15100</v>
      </c>
      <c r="B8348">
        <v>0</v>
      </c>
    </row>
    <row r="8349" spans="1:2" x14ac:dyDescent="0.25">
      <c r="A8349">
        <v>15101</v>
      </c>
      <c r="B8349">
        <v>0</v>
      </c>
    </row>
    <row r="8350" spans="1:2" x14ac:dyDescent="0.25">
      <c r="A8350">
        <v>15102</v>
      </c>
      <c r="B8350">
        <v>0</v>
      </c>
    </row>
    <row r="8351" spans="1:2" x14ac:dyDescent="0.25">
      <c r="A8351">
        <v>15103</v>
      </c>
      <c r="B8351">
        <v>0</v>
      </c>
    </row>
    <row r="8352" spans="1:2" x14ac:dyDescent="0.25">
      <c r="A8352">
        <v>15104</v>
      </c>
      <c r="B8352">
        <v>0</v>
      </c>
    </row>
    <row r="8353" spans="1:2" x14ac:dyDescent="0.25">
      <c r="A8353">
        <v>15105</v>
      </c>
      <c r="B8353">
        <v>0</v>
      </c>
    </row>
    <row r="8354" spans="1:2" x14ac:dyDescent="0.25">
      <c r="A8354">
        <v>15106</v>
      </c>
      <c r="B8354">
        <v>0</v>
      </c>
    </row>
    <row r="8355" spans="1:2" x14ac:dyDescent="0.25">
      <c r="A8355">
        <v>15107</v>
      </c>
      <c r="B8355">
        <v>0</v>
      </c>
    </row>
    <row r="8356" spans="1:2" x14ac:dyDescent="0.25">
      <c r="A8356">
        <v>15108</v>
      </c>
      <c r="B8356">
        <v>0</v>
      </c>
    </row>
    <row r="8357" spans="1:2" x14ac:dyDescent="0.25">
      <c r="A8357">
        <v>15109</v>
      </c>
      <c r="B8357">
        <v>0</v>
      </c>
    </row>
    <row r="8358" spans="1:2" x14ac:dyDescent="0.25">
      <c r="A8358">
        <v>15110</v>
      </c>
      <c r="B8358">
        <v>0</v>
      </c>
    </row>
    <row r="8359" spans="1:2" x14ac:dyDescent="0.25">
      <c r="A8359">
        <v>15111</v>
      </c>
      <c r="B8359">
        <v>0</v>
      </c>
    </row>
    <row r="8360" spans="1:2" x14ac:dyDescent="0.25">
      <c r="A8360">
        <v>15112</v>
      </c>
      <c r="B8360">
        <v>0</v>
      </c>
    </row>
    <row r="8361" spans="1:2" x14ac:dyDescent="0.25">
      <c r="A8361">
        <v>15113</v>
      </c>
      <c r="B8361">
        <v>0</v>
      </c>
    </row>
    <row r="8362" spans="1:2" x14ac:dyDescent="0.25">
      <c r="A8362">
        <v>15117</v>
      </c>
      <c r="B8362">
        <v>0</v>
      </c>
    </row>
    <row r="8363" spans="1:2" x14ac:dyDescent="0.25">
      <c r="A8363">
        <v>15118</v>
      </c>
      <c r="B8363">
        <v>0</v>
      </c>
    </row>
    <row r="8364" spans="1:2" x14ac:dyDescent="0.25">
      <c r="A8364">
        <v>15119</v>
      </c>
      <c r="B8364">
        <v>0</v>
      </c>
    </row>
    <row r="8365" spans="1:2" x14ac:dyDescent="0.25">
      <c r="A8365">
        <v>15120</v>
      </c>
      <c r="B8365">
        <v>0</v>
      </c>
    </row>
    <row r="8366" spans="1:2" x14ac:dyDescent="0.25">
      <c r="A8366">
        <v>15121</v>
      </c>
      <c r="B8366">
        <v>0</v>
      </c>
    </row>
    <row r="8367" spans="1:2" x14ac:dyDescent="0.25">
      <c r="A8367">
        <v>15123</v>
      </c>
      <c r="B8367">
        <v>0</v>
      </c>
    </row>
    <row r="8368" spans="1:2" x14ac:dyDescent="0.25">
      <c r="A8368">
        <v>15124</v>
      </c>
      <c r="B8368">
        <v>0</v>
      </c>
    </row>
    <row r="8369" spans="1:2" x14ac:dyDescent="0.25">
      <c r="A8369">
        <v>15125</v>
      </c>
      <c r="B8369">
        <v>0</v>
      </c>
    </row>
    <row r="8370" spans="1:2" x14ac:dyDescent="0.25">
      <c r="A8370">
        <v>15127</v>
      </c>
      <c r="B8370">
        <v>0</v>
      </c>
    </row>
    <row r="8371" spans="1:2" x14ac:dyDescent="0.25">
      <c r="A8371">
        <v>15130</v>
      </c>
      <c r="B8371">
        <v>0</v>
      </c>
    </row>
    <row r="8372" spans="1:2" x14ac:dyDescent="0.25">
      <c r="A8372">
        <v>15132</v>
      </c>
      <c r="B8372">
        <v>0</v>
      </c>
    </row>
    <row r="8373" spans="1:2" x14ac:dyDescent="0.25">
      <c r="A8373">
        <v>15134</v>
      </c>
      <c r="B8373">
        <v>8</v>
      </c>
    </row>
    <row r="8374" spans="1:2" x14ac:dyDescent="0.25">
      <c r="A8374">
        <v>15135</v>
      </c>
      <c r="B8374">
        <v>0</v>
      </c>
    </row>
    <row r="8375" spans="1:2" x14ac:dyDescent="0.25">
      <c r="A8375">
        <v>15137</v>
      </c>
      <c r="B8375">
        <v>0</v>
      </c>
    </row>
    <row r="8376" spans="1:2" x14ac:dyDescent="0.25">
      <c r="A8376">
        <v>15140</v>
      </c>
      <c r="B8376">
        <v>0</v>
      </c>
    </row>
    <row r="8377" spans="1:2" x14ac:dyDescent="0.25">
      <c r="A8377">
        <v>15141</v>
      </c>
      <c r="B8377">
        <v>0</v>
      </c>
    </row>
    <row r="8378" spans="1:2" x14ac:dyDescent="0.25">
      <c r="A8378">
        <v>15146</v>
      </c>
      <c r="B8378">
        <v>0</v>
      </c>
    </row>
    <row r="8379" spans="1:2" x14ac:dyDescent="0.25">
      <c r="A8379">
        <v>15147</v>
      </c>
      <c r="B8379">
        <v>0</v>
      </c>
    </row>
    <row r="8380" spans="1:2" x14ac:dyDescent="0.25">
      <c r="A8380">
        <v>15148</v>
      </c>
      <c r="B8380">
        <v>0</v>
      </c>
    </row>
    <row r="8381" spans="1:2" x14ac:dyDescent="0.25">
      <c r="A8381">
        <v>15150</v>
      </c>
      <c r="B8381">
        <v>0</v>
      </c>
    </row>
    <row r="8382" spans="1:2" x14ac:dyDescent="0.25">
      <c r="A8382">
        <v>15152</v>
      </c>
      <c r="B8382">
        <v>0</v>
      </c>
    </row>
    <row r="8383" spans="1:2" x14ac:dyDescent="0.25">
      <c r="A8383">
        <v>15154</v>
      </c>
      <c r="B8383">
        <v>0</v>
      </c>
    </row>
    <row r="8384" spans="1:2" x14ac:dyDescent="0.25">
      <c r="A8384">
        <v>15156</v>
      </c>
      <c r="B8384">
        <v>0</v>
      </c>
    </row>
    <row r="8385" spans="1:2" x14ac:dyDescent="0.25">
      <c r="A8385">
        <v>15158</v>
      </c>
      <c r="B8385">
        <v>0</v>
      </c>
    </row>
    <row r="8386" spans="1:2" x14ac:dyDescent="0.25">
      <c r="A8386">
        <v>15160</v>
      </c>
      <c r="B8386">
        <v>0</v>
      </c>
    </row>
    <row r="8387" spans="1:2" x14ac:dyDescent="0.25">
      <c r="A8387">
        <v>15162</v>
      </c>
      <c r="B8387">
        <v>0</v>
      </c>
    </row>
    <row r="8388" spans="1:2" x14ac:dyDescent="0.25">
      <c r="A8388">
        <v>15164</v>
      </c>
      <c r="B8388">
        <v>0</v>
      </c>
    </row>
    <row r="8389" spans="1:2" x14ac:dyDescent="0.25">
      <c r="A8389">
        <v>15166</v>
      </c>
      <c r="B8389">
        <v>0</v>
      </c>
    </row>
    <row r="8390" spans="1:2" x14ac:dyDescent="0.25">
      <c r="A8390">
        <v>15168</v>
      </c>
      <c r="B8390">
        <v>0</v>
      </c>
    </row>
    <row r="8391" spans="1:2" x14ac:dyDescent="0.25">
      <c r="A8391">
        <v>15170</v>
      </c>
      <c r="B8391">
        <v>0</v>
      </c>
    </row>
    <row r="8392" spans="1:2" x14ac:dyDescent="0.25">
      <c r="A8392">
        <v>15172</v>
      </c>
      <c r="B8392">
        <v>0</v>
      </c>
    </row>
    <row r="8393" spans="1:2" x14ac:dyDescent="0.25">
      <c r="A8393">
        <v>15174</v>
      </c>
      <c r="B8393">
        <v>0</v>
      </c>
    </row>
    <row r="8394" spans="1:2" x14ac:dyDescent="0.25">
      <c r="A8394">
        <v>15179</v>
      </c>
      <c r="B8394">
        <v>0</v>
      </c>
    </row>
    <row r="8395" spans="1:2" x14ac:dyDescent="0.25">
      <c r="A8395">
        <v>15180</v>
      </c>
      <c r="B8395">
        <v>0</v>
      </c>
    </row>
    <row r="8396" spans="1:2" x14ac:dyDescent="0.25">
      <c r="A8396">
        <v>15190</v>
      </c>
      <c r="B8396">
        <v>0</v>
      </c>
    </row>
    <row r="8397" spans="1:2" x14ac:dyDescent="0.25">
      <c r="A8397">
        <v>15191</v>
      </c>
      <c r="B8397">
        <v>0</v>
      </c>
    </row>
    <row r="8398" spans="1:2" x14ac:dyDescent="0.25">
      <c r="A8398">
        <v>15192</v>
      </c>
      <c r="B8398">
        <v>0</v>
      </c>
    </row>
    <row r="8399" spans="1:2" x14ac:dyDescent="0.25">
      <c r="A8399">
        <v>15193</v>
      </c>
      <c r="B8399">
        <v>0</v>
      </c>
    </row>
    <row r="8400" spans="1:2" x14ac:dyDescent="0.25">
      <c r="A8400">
        <v>15194</v>
      </c>
      <c r="B8400">
        <v>0</v>
      </c>
    </row>
    <row r="8401" spans="1:2" x14ac:dyDescent="0.25">
      <c r="A8401">
        <v>15195</v>
      </c>
      <c r="B8401">
        <v>0</v>
      </c>
    </row>
    <row r="8402" spans="1:2" x14ac:dyDescent="0.25">
      <c r="A8402">
        <v>15196</v>
      </c>
      <c r="B8402">
        <v>0</v>
      </c>
    </row>
    <row r="8403" spans="1:2" x14ac:dyDescent="0.25">
      <c r="A8403">
        <v>15203</v>
      </c>
      <c r="B8403">
        <v>0</v>
      </c>
    </row>
    <row r="8404" spans="1:2" x14ac:dyDescent="0.25">
      <c r="A8404">
        <v>15205</v>
      </c>
      <c r="B8404">
        <v>0</v>
      </c>
    </row>
    <row r="8405" spans="1:2" x14ac:dyDescent="0.25">
      <c r="A8405">
        <v>15207</v>
      </c>
      <c r="B8405">
        <v>0</v>
      </c>
    </row>
    <row r="8406" spans="1:2" x14ac:dyDescent="0.25">
      <c r="A8406">
        <v>15208</v>
      </c>
      <c r="B8406">
        <v>0</v>
      </c>
    </row>
    <row r="8407" spans="1:2" x14ac:dyDescent="0.25">
      <c r="A8407">
        <v>15209</v>
      </c>
      <c r="B8407">
        <v>0</v>
      </c>
    </row>
    <row r="8408" spans="1:2" x14ac:dyDescent="0.25">
      <c r="A8408">
        <v>15210</v>
      </c>
      <c r="B8408">
        <v>0</v>
      </c>
    </row>
    <row r="8409" spans="1:2" x14ac:dyDescent="0.25">
      <c r="A8409">
        <v>15211</v>
      </c>
      <c r="B8409">
        <v>0</v>
      </c>
    </row>
    <row r="8410" spans="1:2" x14ac:dyDescent="0.25">
      <c r="A8410">
        <v>15217</v>
      </c>
      <c r="B8410">
        <v>0</v>
      </c>
    </row>
    <row r="8411" spans="1:2" x14ac:dyDescent="0.25">
      <c r="A8411">
        <v>15218</v>
      </c>
      <c r="B8411">
        <v>0</v>
      </c>
    </row>
    <row r="8412" spans="1:2" x14ac:dyDescent="0.25">
      <c r="A8412">
        <v>15219</v>
      </c>
      <c r="B8412">
        <v>0</v>
      </c>
    </row>
    <row r="8413" spans="1:2" x14ac:dyDescent="0.25">
      <c r="A8413">
        <v>15220</v>
      </c>
      <c r="B8413">
        <v>0</v>
      </c>
    </row>
    <row r="8414" spans="1:2" x14ac:dyDescent="0.25">
      <c r="A8414">
        <v>15221</v>
      </c>
      <c r="B8414">
        <v>0</v>
      </c>
    </row>
    <row r="8415" spans="1:2" x14ac:dyDescent="0.25">
      <c r="A8415">
        <v>15222</v>
      </c>
      <c r="B8415">
        <v>0</v>
      </c>
    </row>
    <row r="8416" spans="1:2" x14ac:dyDescent="0.25">
      <c r="A8416">
        <v>15223</v>
      </c>
      <c r="B8416">
        <v>0</v>
      </c>
    </row>
    <row r="8417" spans="1:2" x14ac:dyDescent="0.25">
      <c r="A8417">
        <v>15226</v>
      </c>
      <c r="B8417">
        <v>0</v>
      </c>
    </row>
    <row r="8418" spans="1:2" x14ac:dyDescent="0.25">
      <c r="A8418">
        <v>15229</v>
      </c>
      <c r="B8418">
        <v>0</v>
      </c>
    </row>
    <row r="8419" spans="1:2" x14ac:dyDescent="0.25">
      <c r="A8419">
        <v>15232</v>
      </c>
      <c r="B8419">
        <v>0</v>
      </c>
    </row>
    <row r="8420" spans="1:2" x14ac:dyDescent="0.25">
      <c r="A8420">
        <v>15235</v>
      </c>
      <c r="B8420">
        <v>0</v>
      </c>
    </row>
    <row r="8421" spans="1:2" x14ac:dyDescent="0.25">
      <c r="A8421">
        <v>15238</v>
      </c>
      <c r="B8421">
        <v>0</v>
      </c>
    </row>
    <row r="8422" spans="1:2" x14ac:dyDescent="0.25">
      <c r="A8422">
        <v>15242</v>
      </c>
      <c r="B8422">
        <v>0</v>
      </c>
    </row>
    <row r="8423" spans="1:2" x14ac:dyDescent="0.25">
      <c r="A8423">
        <v>15243</v>
      </c>
      <c r="B8423">
        <v>0</v>
      </c>
    </row>
    <row r="8424" spans="1:2" x14ac:dyDescent="0.25">
      <c r="A8424">
        <v>15245</v>
      </c>
      <c r="B8424">
        <v>0</v>
      </c>
    </row>
    <row r="8425" spans="1:2" x14ac:dyDescent="0.25">
      <c r="A8425">
        <v>15247</v>
      </c>
      <c r="B8425">
        <v>0</v>
      </c>
    </row>
    <row r="8426" spans="1:2" x14ac:dyDescent="0.25">
      <c r="A8426">
        <v>15260</v>
      </c>
      <c r="B8426">
        <v>0</v>
      </c>
    </row>
    <row r="8427" spans="1:2" x14ac:dyDescent="0.25">
      <c r="A8427">
        <v>15261</v>
      </c>
      <c r="B8427">
        <v>0</v>
      </c>
    </row>
    <row r="8428" spans="1:2" x14ac:dyDescent="0.25">
      <c r="A8428">
        <v>15262</v>
      </c>
      <c r="B8428">
        <v>0</v>
      </c>
    </row>
    <row r="8429" spans="1:2" x14ac:dyDescent="0.25">
      <c r="A8429">
        <v>15263</v>
      </c>
      <c r="B8429">
        <v>0</v>
      </c>
    </row>
    <row r="8430" spans="1:2" x14ac:dyDescent="0.25">
      <c r="A8430">
        <v>15264</v>
      </c>
      <c r="B8430">
        <v>0</v>
      </c>
    </row>
    <row r="8431" spans="1:2" x14ac:dyDescent="0.25">
      <c r="A8431">
        <v>15265</v>
      </c>
      <c r="B8431">
        <v>0</v>
      </c>
    </row>
    <row r="8432" spans="1:2" x14ac:dyDescent="0.25">
      <c r="A8432">
        <v>15266</v>
      </c>
      <c r="B8432">
        <v>0</v>
      </c>
    </row>
    <row r="8433" spans="1:2" x14ac:dyDescent="0.25">
      <c r="A8433">
        <v>15267</v>
      </c>
      <c r="B8433">
        <v>0</v>
      </c>
    </row>
    <row r="8434" spans="1:2" x14ac:dyDescent="0.25">
      <c r="A8434">
        <v>15268</v>
      </c>
      <c r="B8434">
        <v>0</v>
      </c>
    </row>
    <row r="8435" spans="1:2" x14ac:dyDescent="0.25">
      <c r="A8435">
        <v>15269</v>
      </c>
      <c r="B8435">
        <v>0</v>
      </c>
    </row>
    <row r="8436" spans="1:2" x14ac:dyDescent="0.25">
      <c r="A8436">
        <v>15280</v>
      </c>
      <c r="B8436">
        <v>0</v>
      </c>
    </row>
    <row r="8437" spans="1:2" x14ac:dyDescent="0.25">
      <c r="A8437">
        <v>15281</v>
      </c>
      <c r="B8437">
        <v>0</v>
      </c>
    </row>
    <row r="8438" spans="1:2" x14ac:dyDescent="0.25">
      <c r="A8438">
        <v>15282</v>
      </c>
      <c r="B8438">
        <v>0</v>
      </c>
    </row>
    <row r="8439" spans="1:2" x14ac:dyDescent="0.25">
      <c r="A8439">
        <v>15283</v>
      </c>
      <c r="B8439">
        <v>0</v>
      </c>
    </row>
    <row r="8440" spans="1:2" x14ac:dyDescent="0.25">
      <c r="A8440">
        <v>15284</v>
      </c>
      <c r="B8440">
        <v>0</v>
      </c>
    </row>
    <row r="8441" spans="1:2" x14ac:dyDescent="0.25">
      <c r="A8441">
        <v>15285</v>
      </c>
      <c r="B8441">
        <v>0</v>
      </c>
    </row>
    <row r="8442" spans="1:2" x14ac:dyDescent="0.25">
      <c r="A8442">
        <v>15286</v>
      </c>
      <c r="B8442">
        <v>0</v>
      </c>
    </row>
    <row r="8443" spans="1:2" x14ac:dyDescent="0.25">
      <c r="A8443">
        <v>15288</v>
      </c>
      <c r="B8443">
        <v>0</v>
      </c>
    </row>
    <row r="8444" spans="1:2" x14ac:dyDescent="0.25">
      <c r="A8444">
        <v>15289</v>
      </c>
      <c r="B8444">
        <v>0</v>
      </c>
    </row>
    <row r="8445" spans="1:2" x14ac:dyDescent="0.25">
      <c r="A8445">
        <v>15290</v>
      </c>
      <c r="B8445">
        <v>0</v>
      </c>
    </row>
    <row r="8446" spans="1:2" x14ac:dyDescent="0.25">
      <c r="A8446">
        <v>15291</v>
      </c>
      <c r="B8446">
        <v>0</v>
      </c>
    </row>
    <row r="8447" spans="1:2" x14ac:dyDescent="0.25">
      <c r="A8447">
        <v>15293</v>
      </c>
      <c r="B8447">
        <v>0</v>
      </c>
    </row>
    <row r="8448" spans="1:2" x14ac:dyDescent="0.25">
      <c r="A8448">
        <v>15296</v>
      </c>
      <c r="B8448">
        <v>0</v>
      </c>
    </row>
    <row r="8449" spans="1:2" x14ac:dyDescent="0.25">
      <c r="A8449">
        <v>15309</v>
      </c>
      <c r="B8449">
        <v>0</v>
      </c>
    </row>
    <row r="8450" spans="1:2" x14ac:dyDescent="0.25">
      <c r="A8450">
        <v>15310</v>
      </c>
      <c r="B8450">
        <v>0</v>
      </c>
    </row>
    <row r="8451" spans="1:2" x14ac:dyDescent="0.25">
      <c r="A8451">
        <v>15311</v>
      </c>
      <c r="B8451">
        <v>0</v>
      </c>
    </row>
    <row r="8452" spans="1:2" x14ac:dyDescent="0.25">
      <c r="A8452">
        <v>15312</v>
      </c>
      <c r="B8452">
        <v>0</v>
      </c>
    </row>
    <row r="8453" spans="1:2" x14ac:dyDescent="0.25">
      <c r="A8453">
        <v>15313</v>
      </c>
      <c r="B8453">
        <v>0</v>
      </c>
    </row>
    <row r="8454" spans="1:2" x14ac:dyDescent="0.25">
      <c r="A8454">
        <v>15314</v>
      </c>
      <c r="B8454">
        <v>0</v>
      </c>
    </row>
    <row r="8455" spans="1:2" x14ac:dyDescent="0.25">
      <c r="A8455">
        <v>15315</v>
      </c>
      <c r="B8455">
        <v>0</v>
      </c>
    </row>
    <row r="8456" spans="1:2" x14ac:dyDescent="0.25">
      <c r="A8456">
        <v>15317</v>
      </c>
      <c r="B8456">
        <v>0</v>
      </c>
    </row>
    <row r="8457" spans="1:2" x14ac:dyDescent="0.25">
      <c r="A8457">
        <v>15319</v>
      </c>
      <c r="B8457">
        <v>0</v>
      </c>
    </row>
    <row r="8458" spans="1:2" x14ac:dyDescent="0.25">
      <c r="A8458">
        <v>15320</v>
      </c>
      <c r="B8458">
        <v>0</v>
      </c>
    </row>
    <row r="8459" spans="1:2" x14ac:dyDescent="0.25">
      <c r="A8459">
        <v>15321</v>
      </c>
      <c r="B8459">
        <v>0</v>
      </c>
    </row>
    <row r="8460" spans="1:2" x14ac:dyDescent="0.25">
      <c r="A8460">
        <v>15322</v>
      </c>
      <c r="B8460">
        <v>0</v>
      </c>
    </row>
    <row r="8461" spans="1:2" x14ac:dyDescent="0.25">
      <c r="A8461">
        <v>15323</v>
      </c>
      <c r="B8461">
        <v>0</v>
      </c>
    </row>
    <row r="8462" spans="1:2" x14ac:dyDescent="0.25">
      <c r="A8462">
        <v>15324</v>
      </c>
      <c r="B8462">
        <v>0</v>
      </c>
    </row>
    <row r="8463" spans="1:2" x14ac:dyDescent="0.25">
      <c r="A8463">
        <v>15325</v>
      </c>
      <c r="B8463">
        <v>0</v>
      </c>
    </row>
    <row r="8464" spans="1:2" x14ac:dyDescent="0.25">
      <c r="A8464">
        <v>15326</v>
      </c>
      <c r="B8464">
        <v>0</v>
      </c>
    </row>
    <row r="8465" spans="1:2" x14ac:dyDescent="0.25">
      <c r="A8465">
        <v>15327</v>
      </c>
      <c r="B8465">
        <v>0</v>
      </c>
    </row>
    <row r="8466" spans="1:2" x14ac:dyDescent="0.25">
      <c r="A8466">
        <v>15328</v>
      </c>
      <c r="B8466">
        <v>0</v>
      </c>
    </row>
    <row r="8467" spans="1:2" x14ac:dyDescent="0.25">
      <c r="A8467">
        <v>15329</v>
      </c>
      <c r="B8467">
        <v>0</v>
      </c>
    </row>
    <row r="8468" spans="1:2" x14ac:dyDescent="0.25">
      <c r="A8468">
        <v>15330</v>
      </c>
      <c r="B8468">
        <v>0</v>
      </c>
    </row>
    <row r="8469" spans="1:2" x14ac:dyDescent="0.25">
      <c r="A8469">
        <v>15331</v>
      </c>
      <c r="B8469">
        <v>0</v>
      </c>
    </row>
    <row r="8470" spans="1:2" x14ac:dyDescent="0.25">
      <c r="A8470">
        <v>15332</v>
      </c>
      <c r="B8470">
        <v>0</v>
      </c>
    </row>
    <row r="8471" spans="1:2" x14ac:dyDescent="0.25">
      <c r="A8471">
        <v>15333</v>
      </c>
      <c r="B8471">
        <v>0</v>
      </c>
    </row>
    <row r="8472" spans="1:2" x14ac:dyDescent="0.25">
      <c r="A8472">
        <v>15334</v>
      </c>
      <c r="B8472">
        <v>0</v>
      </c>
    </row>
    <row r="8473" spans="1:2" x14ac:dyDescent="0.25">
      <c r="A8473">
        <v>15335</v>
      </c>
      <c r="B8473">
        <v>0</v>
      </c>
    </row>
    <row r="8474" spans="1:2" x14ac:dyDescent="0.25">
      <c r="A8474">
        <v>15336</v>
      </c>
      <c r="B8474">
        <v>0</v>
      </c>
    </row>
    <row r="8475" spans="1:2" x14ac:dyDescent="0.25">
      <c r="A8475">
        <v>15337</v>
      </c>
      <c r="B8475">
        <v>0</v>
      </c>
    </row>
    <row r="8476" spans="1:2" x14ac:dyDescent="0.25">
      <c r="A8476">
        <v>15338</v>
      </c>
      <c r="B8476">
        <v>0</v>
      </c>
    </row>
    <row r="8477" spans="1:2" x14ac:dyDescent="0.25">
      <c r="A8477">
        <v>15339</v>
      </c>
      <c r="B8477">
        <v>0</v>
      </c>
    </row>
    <row r="8478" spans="1:2" x14ac:dyDescent="0.25">
      <c r="A8478">
        <v>15341</v>
      </c>
      <c r="B8478">
        <v>0</v>
      </c>
    </row>
    <row r="8479" spans="1:2" x14ac:dyDescent="0.25">
      <c r="A8479">
        <v>15342</v>
      </c>
      <c r="B8479">
        <v>0</v>
      </c>
    </row>
    <row r="8480" spans="1:2" x14ac:dyDescent="0.25">
      <c r="A8480">
        <v>15343</v>
      </c>
      <c r="B8480">
        <v>0</v>
      </c>
    </row>
    <row r="8481" spans="1:2" x14ac:dyDescent="0.25">
      <c r="A8481">
        <v>15344</v>
      </c>
      <c r="B8481">
        <v>0</v>
      </c>
    </row>
    <row r="8482" spans="1:2" x14ac:dyDescent="0.25">
      <c r="A8482">
        <v>15345</v>
      </c>
      <c r="B8482">
        <v>0</v>
      </c>
    </row>
    <row r="8483" spans="1:2" x14ac:dyDescent="0.25">
      <c r="A8483">
        <v>15346</v>
      </c>
      <c r="B8483">
        <v>0</v>
      </c>
    </row>
    <row r="8484" spans="1:2" x14ac:dyDescent="0.25">
      <c r="A8484">
        <v>15348</v>
      </c>
      <c r="B8484">
        <v>0</v>
      </c>
    </row>
    <row r="8485" spans="1:2" x14ac:dyDescent="0.25">
      <c r="A8485">
        <v>15350</v>
      </c>
      <c r="B8485">
        <v>0</v>
      </c>
    </row>
    <row r="8486" spans="1:2" x14ac:dyDescent="0.25">
      <c r="A8486">
        <v>15352</v>
      </c>
      <c r="B8486">
        <v>0</v>
      </c>
    </row>
    <row r="8487" spans="1:2" x14ac:dyDescent="0.25">
      <c r="A8487">
        <v>15353</v>
      </c>
      <c r="B8487">
        <v>0</v>
      </c>
    </row>
    <row r="8488" spans="1:2" x14ac:dyDescent="0.25">
      <c r="A8488">
        <v>15354</v>
      </c>
      <c r="B8488">
        <v>0</v>
      </c>
    </row>
    <row r="8489" spans="1:2" x14ac:dyDescent="0.25">
      <c r="A8489">
        <v>15355</v>
      </c>
      <c r="B8489">
        <v>0</v>
      </c>
    </row>
    <row r="8490" spans="1:2" x14ac:dyDescent="0.25">
      <c r="A8490">
        <v>15357</v>
      </c>
      <c r="B8490">
        <v>0</v>
      </c>
    </row>
    <row r="8491" spans="1:2" x14ac:dyDescent="0.25">
      <c r="A8491">
        <v>15359</v>
      </c>
      <c r="B8491">
        <v>0</v>
      </c>
    </row>
    <row r="8492" spans="1:2" x14ac:dyDescent="0.25">
      <c r="A8492">
        <v>15361</v>
      </c>
      <c r="B8492">
        <v>0</v>
      </c>
    </row>
    <row r="8493" spans="1:2" x14ac:dyDescent="0.25">
      <c r="A8493">
        <v>15363</v>
      </c>
      <c r="B8493">
        <v>0</v>
      </c>
    </row>
    <row r="8494" spans="1:2" x14ac:dyDescent="0.25">
      <c r="A8494">
        <v>15365</v>
      </c>
      <c r="B8494">
        <v>0</v>
      </c>
    </row>
    <row r="8495" spans="1:2" x14ac:dyDescent="0.25">
      <c r="A8495">
        <v>15372</v>
      </c>
      <c r="B8495">
        <v>0</v>
      </c>
    </row>
    <row r="8496" spans="1:2" x14ac:dyDescent="0.25">
      <c r="A8496">
        <v>15373</v>
      </c>
      <c r="B8496">
        <v>0</v>
      </c>
    </row>
    <row r="8497" spans="1:2" x14ac:dyDescent="0.25">
      <c r="A8497">
        <v>15374</v>
      </c>
      <c r="B8497">
        <v>0</v>
      </c>
    </row>
    <row r="8498" spans="1:2" x14ac:dyDescent="0.25">
      <c r="A8498">
        <v>15375</v>
      </c>
      <c r="B8498">
        <v>0</v>
      </c>
    </row>
    <row r="8499" spans="1:2" x14ac:dyDescent="0.25">
      <c r="A8499">
        <v>15376</v>
      </c>
      <c r="B8499">
        <v>0</v>
      </c>
    </row>
    <row r="8500" spans="1:2" x14ac:dyDescent="0.25">
      <c r="A8500">
        <v>15377</v>
      </c>
      <c r="B8500">
        <v>0</v>
      </c>
    </row>
    <row r="8501" spans="1:2" x14ac:dyDescent="0.25">
      <c r="A8501">
        <v>15378</v>
      </c>
      <c r="B8501">
        <v>0</v>
      </c>
    </row>
    <row r="8502" spans="1:2" x14ac:dyDescent="0.25">
      <c r="A8502">
        <v>15379</v>
      </c>
      <c r="B8502">
        <v>0</v>
      </c>
    </row>
    <row r="8503" spans="1:2" x14ac:dyDescent="0.25">
      <c r="A8503">
        <v>15382</v>
      </c>
      <c r="B8503">
        <v>0</v>
      </c>
    </row>
    <row r="8504" spans="1:2" x14ac:dyDescent="0.25">
      <c r="A8504">
        <v>15383</v>
      </c>
      <c r="B8504">
        <v>0</v>
      </c>
    </row>
    <row r="8505" spans="1:2" x14ac:dyDescent="0.25">
      <c r="A8505">
        <v>15397</v>
      </c>
      <c r="B8505">
        <v>0</v>
      </c>
    </row>
    <row r="8506" spans="1:2" x14ac:dyDescent="0.25">
      <c r="A8506">
        <v>15398</v>
      </c>
      <c r="B8506">
        <v>0</v>
      </c>
    </row>
    <row r="8507" spans="1:2" x14ac:dyDescent="0.25">
      <c r="A8507">
        <v>15399</v>
      </c>
      <c r="B8507">
        <v>0</v>
      </c>
    </row>
    <row r="8508" spans="1:2" x14ac:dyDescent="0.25">
      <c r="A8508">
        <v>15400</v>
      </c>
      <c r="B8508">
        <v>0</v>
      </c>
    </row>
    <row r="8509" spans="1:2" x14ac:dyDescent="0.25">
      <c r="A8509">
        <v>15401</v>
      </c>
      <c r="B8509">
        <v>0</v>
      </c>
    </row>
    <row r="8510" spans="1:2" x14ac:dyDescent="0.25">
      <c r="A8510">
        <v>15402</v>
      </c>
      <c r="B8510">
        <v>0</v>
      </c>
    </row>
    <row r="8511" spans="1:2" x14ac:dyDescent="0.25">
      <c r="A8511">
        <v>15403</v>
      </c>
      <c r="B8511">
        <v>0</v>
      </c>
    </row>
    <row r="8512" spans="1:2" x14ac:dyDescent="0.25">
      <c r="A8512">
        <v>15404</v>
      </c>
      <c r="B8512">
        <v>0</v>
      </c>
    </row>
    <row r="8513" spans="1:2" x14ac:dyDescent="0.25">
      <c r="A8513">
        <v>15405</v>
      </c>
      <c r="B8513">
        <v>0</v>
      </c>
    </row>
    <row r="8514" spans="1:2" x14ac:dyDescent="0.25">
      <c r="A8514">
        <v>15406</v>
      </c>
      <c r="B8514">
        <v>0</v>
      </c>
    </row>
    <row r="8515" spans="1:2" x14ac:dyDescent="0.25">
      <c r="A8515">
        <v>15407</v>
      </c>
      <c r="B8515">
        <v>0</v>
      </c>
    </row>
    <row r="8516" spans="1:2" x14ac:dyDescent="0.25">
      <c r="A8516">
        <v>15408</v>
      </c>
      <c r="B8516">
        <v>0</v>
      </c>
    </row>
    <row r="8517" spans="1:2" x14ac:dyDescent="0.25">
      <c r="A8517">
        <v>15409</v>
      </c>
      <c r="B8517">
        <v>0</v>
      </c>
    </row>
    <row r="8518" spans="1:2" x14ac:dyDescent="0.25">
      <c r="A8518">
        <v>15410</v>
      </c>
      <c r="B8518">
        <v>0</v>
      </c>
    </row>
    <row r="8519" spans="1:2" x14ac:dyDescent="0.25">
      <c r="A8519">
        <v>15411</v>
      </c>
      <c r="B8519">
        <v>0</v>
      </c>
    </row>
    <row r="8520" spans="1:2" x14ac:dyDescent="0.25">
      <c r="A8520">
        <v>15412</v>
      </c>
      <c r="B8520">
        <v>0</v>
      </c>
    </row>
    <row r="8521" spans="1:2" x14ac:dyDescent="0.25">
      <c r="A8521">
        <v>15414</v>
      </c>
      <c r="B8521">
        <v>0</v>
      </c>
    </row>
    <row r="8522" spans="1:2" x14ac:dyDescent="0.25">
      <c r="A8522">
        <v>15416</v>
      </c>
      <c r="B8522">
        <v>0</v>
      </c>
    </row>
    <row r="8523" spans="1:2" x14ac:dyDescent="0.25">
      <c r="A8523">
        <v>15417</v>
      </c>
      <c r="B8523">
        <v>0</v>
      </c>
    </row>
    <row r="8524" spans="1:2" x14ac:dyDescent="0.25">
      <c r="A8524">
        <v>15418</v>
      </c>
      <c r="B8524">
        <v>0</v>
      </c>
    </row>
    <row r="8525" spans="1:2" x14ac:dyDescent="0.25">
      <c r="A8525">
        <v>15419</v>
      </c>
      <c r="B8525">
        <v>0</v>
      </c>
    </row>
    <row r="8526" spans="1:2" x14ac:dyDescent="0.25">
      <c r="A8526">
        <v>15420</v>
      </c>
      <c r="B8526">
        <v>0</v>
      </c>
    </row>
    <row r="8527" spans="1:2" x14ac:dyDescent="0.25">
      <c r="A8527">
        <v>15421</v>
      </c>
      <c r="B8527">
        <v>0</v>
      </c>
    </row>
    <row r="8528" spans="1:2" x14ac:dyDescent="0.25">
      <c r="A8528">
        <v>15422</v>
      </c>
      <c r="B8528">
        <v>0</v>
      </c>
    </row>
    <row r="8529" spans="1:2" x14ac:dyDescent="0.25">
      <c r="A8529">
        <v>15423</v>
      </c>
      <c r="B8529">
        <v>0</v>
      </c>
    </row>
    <row r="8530" spans="1:2" x14ac:dyDescent="0.25">
      <c r="A8530">
        <v>15424</v>
      </c>
      <c r="B8530">
        <v>0</v>
      </c>
    </row>
    <row r="8531" spans="1:2" x14ac:dyDescent="0.25">
      <c r="A8531">
        <v>15433</v>
      </c>
      <c r="B8531">
        <v>0</v>
      </c>
    </row>
    <row r="8532" spans="1:2" x14ac:dyDescent="0.25">
      <c r="A8532">
        <v>15434</v>
      </c>
      <c r="B8532">
        <v>0</v>
      </c>
    </row>
    <row r="8533" spans="1:2" x14ac:dyDescent="0.25">
      <c r="A8533">
        <v>15435</v>
      </c>
      <c r="B8533">
        <v>0</v>
      </c>
    </row>
    <row r="8534" spans="1:2" x14ac:dyDescent="0.25">
      <c r="A8534">
        <v>15436</v>
      </c>
      <c r="B8534">
        <v>0</v>
      </c>
    </row>
    <row r="8535" spans="1:2" x14ac:dyDescent="0.25">
      <c r="A8535">
        <v>15437</v>
      </c>
      <c r="B8535">
        <v>0</v>
      </c>
    </row>
    <row r="8536" spans="1:2" x14ac:dyDescent="0.25">
      <c r="A8536">
        <v>15438</v>
      </c>
      <c r="B8536">
        <v>0</v>
      </c>
    </row>
    <row r="8537" spans="1:2" x14ac:dyDescent="0.25">
      <c r="A8537">
        <v>15439</v>
      </c>
      <c r="B8537">
        <v>0</v>
      </c>
    </row>
    <row r="8538" spans="1:2" x14ac:dyDescent="0.25">
      <c r="A8538">
        <v>15440</v>
      </c>
      <c r="B8538">
        <v>0</v>
      </c>
    </row>
    <row r="8539" spans="1:2" x14ac:dyDescent="0.25">
      <c r="A8539">
        <v>15442</v>
      </c>
      <c r="B8539">
        <v>0</v>
      </c>
    </row>
    <row r="8540" spans="1:2" x14ac:dyDescent="0.25">
      <c r="A8540">
        <v>15445</v>
      </c>
      <c r="B8540">
        <v>0</v>
      </c>
    </row>
    <row r="8541" spans="1:2" x14ac:dyDescent="0.25">
      <c r="A8541">
        <v>15446</v>
      </c>
      <c r="B8541">
        <v>0</v>
      </c>
    </row>
    <row r="8542" spans="1:2" x14ac:dyDescent="0.25">
      <c r="A8542">
        <v>15451</v>
      </c>
      <c r="B8542">
        <v>0</v>
      </c>
    </row>
    <row r="8543" spans="1:2" x14ac:dyDescent="0.25">
      <c r="A8543">
        <v>15452</v>
      </c>
      <c r="B8543">
        <v>0</v>
      </c>
    </row>
    <row r="8544" spans="1:2" x14ac:dyDescent="0.25">
      <c r="A8544">
        <v>15453</v>
      </c>
      <c r="B8544">
        <v>0</v>
      </c>
    </row>
    <row r="8545" spans="1:2" x14ac:dyDescent="0.25">
      <c r="A8545">
        <v>15454</v>
      </c>
      <c r="B8545">
        <v>0</v>
      </c>
    </row>
    <row r="8546" spans="1:2" x14ac:dyDescent="0.25">
      <c r="A8546">
        <v>15456</v>
      </c>
      <c r="B8546">
        <v>0</v>
      </c>
    </row>
    <row r="8547" spans="1:2" x14ac:dyDescent="0.25">
      <c r="A8547">
        <v>15458</v>
      </c>
      <c r="B8547">
        <v>0</v>
      </c>
    </row>
    <row r="8548" spans="1:2" x14ac:dyDescent="0.25">
      <c r="A8548">
        <v>15461</v>
      </c>
      <c r="B8548">
        <v>0</v>
      </c>
    </row>
    <row r="8549" spans="1:2" x14ac:dyDescent="0.25">
      <c r="A8549">
        <v>15464</v>
      </c>
      <c r="B8549">
        <v>0</v>
      </c>
    </row>
    <row r="8550" spans="1:2" x14ac:dyDescent="0.25">
      <c r="A8550">
        <v>15467</v>
      </c>
      <c r="B8550">
        <v>0</v>
      </c>
    </row>
    <row r="8551" spans="1:2" x14ac:dyDescent="0.25">
      <c r="A8551">
        <v>15469</v>
      </c>
      <c r="B8551">
        <v>0</v>
      </c>
    </row>
    <row r="8552" spans="1:2" x14ac:dyDescent="0.25">
      <c r="A8552">
        <v>15470</v>
      </c>
      <c r="B8552">
        <v>0</v>
      </c>
    </row>
    <row r="8553" spans="1:2" x14ac:dyDescent="0.25">
      <c r="A8553">
        <v>15472</v>
      </c>
      <c r="B8553">
        <v>0</v>
      </c>
    </row>
    <row r="8554" spans="1:2" x14ac:dyDescent="0.25">
      <c r="A8554">
        <v>15473</v>
      </c>
      <c r="B8554">
        <v>0</v>
      </c>
    </row>
    <row r="8555" spans="1:2" x14ac:dyDescent="0.25">
      <c r="A8555">
        <v>15480</v>
      </c>
      <c r="B8555">
        <v>0</v>
      </c>
    </row>
    <row r="8556" spans="1:2" x14ac:dyDescent="0.25">
      <c r="A8556">
        <v>15481</v>
      </c>
      <c r="B8556">
        <v>0</v>
      </c>
    </row>
    <row r="8557" spans="1:2" x14ac:dyDescent="0.25">
      <c r="A8557">
        <v>15482</v>
      </c>
      <c r="B8557">
        <v>0</v>
      </c>
    </row>
    <row r="8558" spans="1:2" x14ac:dyDescent="0.25">
      <c r="A8558">
        <v>15483</v>
      </c>
      <c r="B8558">
        <v>0</v>
      </c>
    </row>
    <row r="8559" spans="1:2" x14ac:dyDescent="0.25">
      <c r="A8559">
        <v>15484</v>
      </c>
      <c r="B8559">
        <v>0</v>
      </c>
    </row>
    <row r="8560" spans="1:2" x14ac:dyDescent="0.25">
      <c r="A8560">
        <v>15485</v>
      </c>
      <c r="B8560">
        <v>0</v>
      </c>
    </row>
    <row r="8561" spans="1:2" x14ac:dyDescent="0.25">
      <c r="A8561">
        <v>15487</v>
      </c>
      <c r="B8561">
        <v>0</v>
      </c>
    </row>
    <row r="8562" spans="1:2" x14ac:dyDescent="0.25">
      <c r="A8562">
        <v>15488</v>
      </c>
      <c r="B8562">
        <v>0</v>
      </c>
    </row>
    <row r="8563" spans="1:2" x14ac:dyDescent="0.25">
      <c r="A8563">
        <v>15489</v>
      </c>
      <c r="B8563">
        <v>0</v>
      </c>
    </row>
    <row r="8564" spans="1:2" x14ac:dyDescent="0.25">
      <c r="A8564">
        <v>15492</v>
      </c>
      <c r="B8564">
        <v>0</v>
      </c>
    </row>
    <row r="8565" spans="1:2" x14ac:dyDescent="0.25">
      <c r="A8565">
        <v>15493</v>
      </c>
      <c r="B8565">
        <v>0</v>
      </c>
    </row>
    <row r="8566" spans="1:2" x14ac:dyDescent="0.25">
      <c r="A8566">
        <v>15503</v>
      </c>
      <c r="B8566">
        <v>0</v>
      </c>
    </row>
    <row r="8567" spans="1:2" x14ac:dyDescent="0.25">
      <c r="A8567">
        <v>15509</v>
      </c>
      <c r="B8567">
        <v>0</v>
      </c>
    </row>
    <row r="8568" spans="1:2" x14ac:dyDescent="0.25">
      <c r="A8568">
        <v>15511</v>
      </c>
      <c r="B8568">
        <v>0</v>
      </c>
    </row>
    <row r="8569" spans="1:2" x14ac:dyDescent="0.25">
      <c r="A8569">
        <v>15512</v>
      </c>
      <c r="B8569">
        <v>0</v>
      </c>
    </row>
    <row r="8570" spans="1:2" x14ac:dyDescent="0.25">
      <c r="A8570">
        <v>15518</v>
      </c>
      <c r="B8570">
        <v>0</v>
      </c>
    </row>
    <row r="8571" spans="1:2" x14ac:dyDescent="0.25">
      <c r="A8571">
        <v>15519</v>
      </c>
      <c r="B8571">
        <v>0</v>
      </c>
    </row>
    <row r="8572" spans="1:2" x14ac:dyDescent="0.25">
      <c r="A8572">
        <v>15520</v>
      </c>
      <c r="B8572">
        <v>0</v>
      </c>
    </row>
    <row r="8573" spans="1:2" x14ac:dyDescent="0.25">
      <c r="A8573">
        <v>15521</v>
      </c>
      <c r="B8573">
        <v>0</v>
      </c>
    </row>
    <row r="8574" spans="1:2" x14ac:dyDescent="0.25">
      <c r="A8574">
        <v>15523</v>
      </c>
      <c r="B8574">
        <v>0</v>
      </c>
    </row>
    <row r="8575" spans="1:2" x14ac:dyDescent="0.25">
      <c r="A8575">
        <v>15529</v>
      </c>
      <c r="B8575">
        <v>0</v>
      </c>
    </row>
    <row r="8576" spans="1:2" x14ac:dyDescent="0.25">
      <c r="A8576">
        <v>15531</v>
      </c>
      <c r="B8576">
        <v>0</v>
      </c>
    </row>
    <row r="8577" spans="1:2" x14ac:dyDescent="0.25">
      <c r="A8577">
        <v>15534</v>
      </c>
      <c r="B8577">
        <v>0</v>
      </c>
    </row>
    <row r="8578" spans="1:2" x14ac:dyDescent="0.25">
      <c r="A8578">
        <v>15542</v>
      </c>
      <c r="B8578">
        <v>0</v>
      </c>
    </row>
    <row r="8579" spans="1:2" x14ac:dyDescent="0.25">
      <c r="A8579">
        <v>15546</v>
      </c>
      <c r="B8579">
        <v>0</v>
      </c>
    </row>
    <row r="8580" spans="1:2" x14ac:dyDescent="0.25">
      <c r="A8580">
        <v>15549</v>
      </c>
      <c r="B8580">
        <v>0</v>
      </c>
    </row>
    <row r="8581" spans="1:2" x14ac:dyDescent="0.25">
      <c r="A8581">
        <v>15551</v>
      </c>
      <c r="B8581">
        <v>0</v>
      </c>
    </row>
    <row r="8582" spans="1:2" x14ac:dyDescent="0.25">
      <c r="A8582">
        <v>15554</v>
      </c>
      <c r="B8582">
        <v>0</v>
      </c>
    </row>
    <row r="8583" spans="1:2" x14ac:dyDescent="0.25">
      <c r="A8583">
        <v>15557</v>
      </c>
      <c r="B8583">
        <v>0</v>
      </c>
    </row>
    <row r="8584" spans="1:2" x14ac:dyDescent="0.25">
      <c r="A8584">
        <v>15580</v>
      </c>
      <c r="B8584">
        <v>0</v>
      </c>
    </row>
    <row r="8585" spans="1:2" x14ac:dyDescent="0.25">
      <c r="A8585">
        <v>15582</v>
      </c>
      <c r="B8585">
        <v>0</v>
      </c>
    </row>
    <row r="8586" spans="1:2" x14ac:dyDescent="0.25">
      <c r="A8586">
        <v>15584</v>
      </c>
      <c r="B8586">
        <v>0</v>
      </c>
    </row>
    <row r="8587" spans="1:2" x14ac:dyDescent="0.25">
      <c r="A8587">
        <v>15585</v>
      </c>
      <c r="B8587">
        <v>0</v>
      </c>
    </row>
    <row r="8588" spans="1:2" x14ac:dyDescent="0.25">
      <c r="A8588">
        <v>15594</v>
      </c>
      <c r="B8588">
        <v>0</v>
      </c>
    </row>
    <row r="8589" spans="1:2" x14ac:dyDescent="0.25">
      <c r="A8589">
        <v>15595</v>
      </c>
      <c r="B8589">
        <v>0</v>
      </c>
    </row>
    <row r="8590" spans="1:2" x14ac:dyDescent="0.25">
      <c r="A8590">
        <v>15596</v>
      </c>
      <c r="B8590">
        <v>0</v>
      </c>
    </row>
    <row r="8591" spans="1:2" x14ac:dyDescent="0.25">
      <c r="A8591">
        <v>15597</v>
      </c>
      <c r="B8591">
        <v>0</v>
      </c>
    </row>
    <row r="8592" spans="1:2" x14ac:dyDescent="0.25">
      <c r="A8592">
        <v>15598</v>
      </c>
      <c r="B8592">
        <v>0</v>
      </c>
    </row>
    <row r="8593" spans="1:2" x14ac:dyDescent="0.25">
      <c r="A8593">
        <v>15599</v>
      </c>
      <c r="B8593">
        <v>0</v>
      </c>
    </row>
    <row r="8594" spans="1:2" x14ac:dyDescent="0.25">
      <c r="A8594">
        <v>15616</v>
      </c>
      <c r="B8594">
        <v>0</v>
      </c>
    </row>
    <row r="8595" spans="1:2" x14ac:dyDescent="0.25">
      <c r="A8595">
        <v>15617</v>
      </c>
      <c r="B8595">
        <v>0</v>
      </c>
    </row>
    <row r="8596" spans="1:2" x14ac:dyDescent="0.25">
      <c r="A8596">
        <v>15618</v>
      </c>
      <c r="B8596">
        <v>0</v>
      </c>
    </row>
    <row r="8597" spans="1:2" x14ac:dyDescent="0.25">
      <c r="A8597">
        <v>15620</v>
      </c>
      <c r="B8597">
        <v>0</v>
      </c>
    </row>
    <row r="8598" spans="1:2" x14ac:dyDescent="0.25">
      <c r="A8598">
        <v>15632</v>
      </c>
      <c r="B8598">
        <v>0</v>
      </c>
    </row>
    <row r="8599" spans="1:2" x14ac:dyDescent="0.25">
      <c r="A8599">
        <v>15633</v>
      </c>
      <c r="B8599">
        <v>0</v>
      </c>
    </row>
    <row r="8600" spans="1:2" x14ac:dyDescent="0.25">
      <c r="A8600">
        <v>15634</v>
      </c>
      <c r="B8600">
        <v>0</v>
      </c>
    </row>
    <row r="8601" spans="1:2" x14ac:dyDescent="0.25">
      <c r="A8601">
        <v>15635</v>
      </c>
      <c r="B8601">
        <v>0</v>
      </c>
    </row>
    <row r="8602" spans="1:2" x14ac:dyDescent="0.25">
      <c r="A8602">
        <v>15636</v>
      </c>
      <c r="B8602">
        <v>0</v>
      </c>
    </row>
    <row r="8603" spans="1:2" x14ac:dyDescent="0.25">
      <c r="A8603">
        <v>15637</v>
      </c>
      <c r="B8603">
        <v>0</v>
      </c>
    </row>
    <row r="8604" spans="1:2" x14ac:dyDescent="0.25">
      <c r="A8604">
        <v>15638</v>
      </c>
      <c r="B8604">
        <v>0</v>
      </c>
    </row>
    <row r="8605" spans="1:2" x14ac:dyDescent="0.25">
      <c r="A8605">
        <v>15639</v>
      </c>
      <c r="B8605">
        <v>0</v>
      </c>
    </row>
    <row r="8606" spans="1:2" x14ac:dyDescent="0.25">
      <c r="A8606">
        <v>15640</v>
      </c>
      <c r="B8606">
        <v>0</v>
      </c>
    </row>
    <row r="8607" spans="1:2" x14ac:dyDescent="0.25">
      <c r="A8607">
        <v>15641</v>
      </c>
      <c r="B8607">
        <v>0</v>
      </c>
    </row>
    <row r="8608" spans="1:2" x14ac:dyDescent="0.25">
      <c r="A8608">
        <v>15644</v>
      </c>
      <c r="B8608">
        <v>0</v>
      </c>
    </row>
    <row r="8609" spans="1:2" x14ac:dyDescent="0.25">
      <c r="A8609">
        <v>15645</v>
      </c>
      <c r="B8609">
        <v>0</v>
      </c>
    </row>
    <row r="8610" spans="1:2" x14ac:dyDescent="0.25">
      <c r="A8610">
        <v>15646</v>
      </c>
      <c r="B8610">
        <v>0</v>
      </c>
    </row>
    <row r="8611" spans="1:2" x14ac:dyDescent="0.25">
      <c r="A8611">
        <v>15647</v>
      </c>
      <c r="B8611">
        <v>0</v>
      </c>
    </row>
    <row r="8612" spans="1:2" x14ac:dyDescent="0.25">
      <c r="A8612">
        <v>15648</v>
      </c>
      <c r="B8612">
        <v>0</v>
      </c>
    </row>
    <row r="8613" spans="1:2" x14ac:dyDescent="0.25">
      <c r="A8613">
        <v>15649</v>
      </c>
      <c r="B8613">
        <v>0</v>
      </c>
    </row>
    <row r="8614" spans="1:2" x14ac:dyDescent="0.25">
      <c r="A8614">
        <v>15650</v>
      </c>
      <c r="B8614">
        <v>0</v>
      </c>
    </row>
    <row r="8615" spans="1:2" x14ac:dyDescent="0.25">
      <c r="A8615">
        <v>15659</v>
      </c>
      <c r="B8615">
        <v>0</v>
      </c>
    </row>
    <row r="8616" spans="1:2" x14ac:dyDescent="0.25">
      <c r="A8616">
        <v>15660</v>
      </c>
      <c r="B8616">
        <v>0</v>
      </c>
    </row>
    <row r="8617" spans="1:2" x14ac:dyDescent="0.25">
      <c r="A8617">
        <v>15661</v>
      </c>
      <c r="B8617">
        <v>0</v>
      </c>
    </row>
    <row r="8618" spans="1:2" x14ac:dyDescent="0.25">
      <c r="A8618">
        <v>15662</v>
      </c>
      <c r="B8618">
        <v>0</v>
      </c>
    </row>
    <row r="8619" spans="1:2" x14ac:dyDescent="0.25">
      <c r="A8619">
        <v>15663</v>
      </c>
      <c r="B8619">
        <v>0</v>
      </c>
    </row>
    <row r="8620" spans="1:2" x14ac:dyDescent="0.25">
      <c r="A8620">
        <v>15664</v>
      </c>
      <c r="B8620">
        <v>0</v>
      </c>
    </row>
    <row r="8621" spans="1:2" x14ac:dyDescent="0.25">
      <c r="A8621">
        <v>15665</v>
      </c>
      <c r="B8621">
        <v>0</v>
      </c>
    </row>
    <row r="8622" spans="1:2" x14ac:dyDescent="0.25">
      <c r="A8622">
        <v>15666</v>
      </c>
      <c r="B8622">
        <v>0</v>
      </c>
    </row>
    <row r="8623" spans="1:2" x14ac:dyDescent="0.25">
      <c r="A8623">
        <v>15667</v>
      </c>
      <c r="B8623">
        <v>0</v>
      </c>
    </row>
    <row r="8624" spans="1:2" x14ac:dyDescent="0.25">
      <c r="A8624">
        <v>15668</v>
      </c>
      <c r="B8624">
        <v>0</v>
      </c>
    </row>
    <row r="8625" spans="1:2" x14ac:dyDescent="0.25">
      <c r="A8625">
        <v>15669</v>
      </c>
      <c r="B8625">
        <v>0</v>
      </c>
    </row>
    <row r="8626" spans="1:2" x14ac:dyDescent="0.25">
      <c r="A8626">
        <v>15672</v>
      </c>
      <c r="B8626">
        <v>8</v>
      </c>
    </row>
    <row r="8627" spans="1:2" x14ac:dyDescent="0.25">
      <c r="A8627">
        <v>15674</v>
      </c>
      <c r="B8627">
        <v>0</v>
      </c>
    </row>
    <row r="8628" spans="1:2" x14ac:dyDescent="0.25">
      <c r="A8628">
        <v>15682</v>
      </c>
      <c r="B8628">
        <v>0</v>
      </c>
    </row>
    <row r="8629" spans="1:2" x14ac:dyDescent="0.25">
      <c r="A8629">
        <v>15683</v>
      </c>
      <c r="B8629">
        <v>0</v>
      </c>
    </row>
    <row r="8630" spans="1:2" x14ac:dyDescent="0.25">
      <c r="A8630">
        <v>15686</v>
      </c>
      <c r="B8630">
        <v>0</v>
      </c>
    </row>
    <row r="8631" spans="1:2" x14ac:dyDescent="0.25">
      <c r="A8631">
        <v>15688</v>
      </c>
      <c r="B8631">
        <v>0</v>
      </c>
    </row>
    <row r="8632" spans="1:2" x14ac:dyDescent="0.25">
      <c r="A8632">
        <v>15690</v>
      </c>
      <c r="B8632">
        <v>0</v>
      </c>
    </row>
    <row r="8633" spans="1:2" x14ac:dyDescent="0.25">
      <c r="A8633">
        <v>15696</v>
      </c>
      <c r="B8633">
        <v>0</v>
      </c>
    </row>
    <row r="8634" spans="1:2" x14ac:dyDescent="0.25">
      <c r="A8634">
        <v>15698</v>
      </c>
      <c r="B8634">
        <v>0</v>
      </c>
    </row>
    <row r="8635" spans="1:2" x14ac:dyDescent="0.25">
      <c r="A8635">
        <v>15700</v>
      </c>
      <c r="B8635">
        <v>0</v>
      </c>
    </row>
    <row r="8636" spans="1:2" x14ac:dyDescent="0.25">
      <c r="A8636">
        <v>15703</v>
      </c>
      <c r="B8636">
        <v>0</v>
      </c>
    </row>
    <row r="8637" spans="1:2" x14ac:dyDescent="0.25">
      <c r="A8637">
        <v>15710</v>
      </c>
      <c r="B8637">
        <v>0</v>
      </c>
    </row>
    <row r="8638" spans="1:2" x14ac:dyDescent="0.25">
      <c r="A8638">
        <v>15711</v>
      </c>
      <c r="B8638">
        <v>0</v>
      </c>
    </row>
    <row r="8639" spans="1:2" x14ac:dyDescent="0.25">
      <c r="A8639">
        <v>15719</v>
      </c>
      <c r="B8639">
        <v>0</v>
      </c>
    </row>
    <row r="8640" spans="1:2" x14ac:dyDescent="0.25">
      <c r="A8640">
        <v>15720</v>
      </c>
      <c r="B8640">
        <v>0</v>
      </c>
    </row>
    <row r="8641" spans="1:2" x14ac:dyDescent="0.25">
      <c r="A8641">
        <v>15721</v>
      </c>
      <c r="B8641">
        <v>0</v>
      </c>
    </row>
    <row r="8642" spans="1:2" x14ac:dyDescent="0.25">
      <c r="A8642">
        <v>15722</v>
      </c>
      <c r="B8642">
        <v>0</v>
      </c>
    </row>
    <row r="8643" spans="1:2" x14ac:dyDescent="0.25">
      <c r="A8643">
        <v>15723</v>
      </c>
      <c r="B8643">
        <v>0</v>
      </c>
    </row>
    <row r="8644" spans="1:2" x14ac:dyDescent="0.25">
      <c r="A8644">
        <v>15724</v>
      </c>
      <c r="B8644">
        <v>0</v>
      </c>
    </row>
    <row r="8645" spans="1:2" x14ac:dyDescent="0.25">
      <c r="A8645">
        <v>15725</v>
      </c>
      <c r="B8645">
        <v>0</v>
      </c>
    </row>
    <row r="8646" spans="1:2" x14ac:dyDescent="0.25">
      <c r="A8646">
        <v>15726</v>
      </c>
      <c r="B8646">
        <v>0</v>
      </c>
    </row>
    <row r="8647" spans="1:2" x14ac:dyDescent="0.25">
      <c r="A8647">
        <v>15728</v>
      </c>
      <c r="B8647">
        <v>0</v>
      </c>
    </row>
    <row r="8648" spans="1:2" x14ac:dyDescent="0.25">
      <c r="A8648">
        <v>15730</v>
      </c>
      <c r="B8648">
        <v>0</v>
      </c>
    </row>
    <row r="8649" spans="1:2" x14ac:dyDescent="0.25">
      <c r="A8649">
        <v>15738</v>
      </c>
      <c r="B8649">
        <v>0</v>
      </c>
    </row>
    <row r="8650" spans="1:2" x14ac:dyDescent="0.25">
      <c r="A8650">
        <v>15739</v>
      </c>
      <c r="B8650">
        <v>0</v>
      </c>
    </row>
    <row r="8651" spans="1:2" x14ac:dyDescent="0.25">
      <c r="A8651">
        <v>15740</v>
      </c>
      <c r="B8651">
        <v>0</v>
      </c>
    </row>
    <row r="8652" spans="1:2" x14ac:dyDescent="0.25">
      <c r="A8652">
        <v>15741</v>
      </c>
      <c r="B8652">
        <v>0</v>
      </c>
    </row>
    <row r="8653" spans="1:2" x14ac:dyDescent="0.25">
      <c r="A8653">
        <v>15742</v>
      </c>
      <c r="B8653">
        <v>0</v>
      </c>
    </row>
    <row r="8654" spans="1:2" x14ac:dyDescent="0.25">
      <c r="A8654">
        <v>15743</v>
      </c>
      <c r="B8654">
        <v>0</v>
      </c>
    </row>
    <row r="8655" spans="1:2" x14ac:dyDescent="0.25">
      <c r="A8655">
        <v>15744</v>
      </c>
      <c r="B8655">
        <v>0</v>
      </c>
    </row>
    <row r="8656" spans="1:2" x14ac:dyDescent="0.25">
      <c r="A8656">
        <v>15776</v>
      </c>
      <c r="B8656">
        <v>0</v>
      </c>
    </row>
    <row r="8657" spans="1:2" x14ac:dyDescent="0.25">
      <c r="A8657">
        <v>15778</v>
      </c>
      <c r="B8657">
        <v>0</v>
      </c>
    </row>
    <row r="8658" spans="1:2" x14ac:dyDescent="0.25">
      <c r="A8658">
        <v>15780</v>
      </c>
      <c r="B8658">
        <v>0</v>
      </c>
    </row>
    <row r="8659" spans="1:2" x14ac:dyDescent="0.25">
      <c r="A8659">
        <v>15783</v>
      </c>
      <c r="B8659">
        <v>0</v>
      </c>
    </row>
    <row r="8660" spans="1:2" x14ac:dyDescent="0.25">
      <c r="A8660">
        <v>15786</v>
      </c>
      <c r="B8660">
        <v>0</v>
      </c>
    </row>
    <row r="8661" spans="1:2" x14ac:dyDescent="0.25">
      <c r="A8661">
        <v>15788</v>
      </c>
      <c r="B8661">
        <v>0</v>
      </c>
    </row>
    <row r="8662" spans="1:2" x14ac:dyDescent="0.25">
      <c r="A8662">
        <v>15792</v>
      </c>
      <c r="B8662">
        <v>0</v>
      </c>
    </row>
    <row r="8663" spans="1:2" x14ac:dyDescent="0.25">
      <c r="A8663">
        <v>15795</v>
      </c>
      <c r="B8663">
        <v>0</v>
      </c>
    </row>
    <row r="8664" spans="1:2" x14ac:dyDescent="0.25">
      <c r="A8664">
        <v>15797</v>
      </c>
      <c r="B8664">
        <v>0</v>
      </c>
    </row>
    <row r="8665" spans="1:2" x14ac:dyDescent="0.25">
      <c r="A8665">
        <v>15799</v>
      </c>
      <c r="B8665">
        <v>0</v>
      </c>
    </row>
    <row r="8666" spans="1:2" x14ac:dyDescent="0.25">
      <c r="A8666">
        <v>15801</v>
      </c>
      <c r="B8666">
        <v>0</v>
      </c>
    </row>
    <row r="8667" spans="1:2" x14ac:dyDescent="0.25">
      <c r="A8667">
        <v>15804</v>
      </c>
      <c r="B8667">
        <v>0</v>
      </c>
    </row>
    <row r="8668" spans="1:2" x14ac:dyDescent="0.25">
      <c r="A8668">
        <v>15806</v>
      </c>
      <c r="B8668">
        <v>0</v>
      </c>
    </row>
    <row r="8669" spans="1:2" x14ac:dyDescent="0.25">
      <c r="A8669">
        <v>15808</v>
      </c>
      <c r="B8669">
        <v>0</v>
      </c>
    </row>
    <row r="8670" spans="1:2" x14ac:dyDescent="0.25">
      <c r="A8670">
        <v>15810</v>
      </c>
      <c r="B8670">
        <v>0</v>
      </c>
    </row>
    <row r="8671" spans="1:2" x14ac:dyDescent="0.25">
      <c r="A8671">
        <v>15813</v>
      </c>
      <c r="B8671">
        <v>0</v>
      </c>
    </row>
    <row r="8672" spans="1:2" x14ac:dyDescent="0.25">
      <c r="A8672">
        <v>15814</v>
      </c>
      <c r="B8672">
        <v>0</v>
      </c>
    </row>
    <row r="8673" spans="1:2" x14ac:dyDescent="0.25">
      <c r="A8673">
        <v>15816</v>
      </c>
      <c r="B8673">
        <v>0</v>
      </c>
    </row>
    <row r="8674" spans="1:2" x14ac:dyDescent="0.25">
      <c r="A8674">
        <v>15831</v>
      </c>
      <c r="B8674">
        <v>0</v>
      </c>
    </row>
    <row r="8675" spans="1:2" x14ac:dyDescent="0.25">
      <c r="A8675">
        <v>15832</v>
      </c>
      <c r="B8675">
        <v>0</v>
      </c>
    </row>
    <row r="8676" spans="1:2" x14ac:dyDescent="0.25">
      <c r="A8676">
        <v>15833</v>
      </c>
      <c r="B8676">
        <v>0</v>
      </c>
    </row>
    <row r="8677" spans="1:2" x14ac:dyDescent="0.25">
      <c r="A8677">
        <v>15834</v>
      </c>
      <c r="B8677">
        <v>0</v>
      </c>
    </row>
    <row r="8678" spans="1:2" x14ac:dyDescent="0.25">
      <c r="A8678">
        <v>15835</v>
      </c>
      <c r="B8678">
        <v>0</v>
      </c>
    </row>
    <row r="8679" spans="1:2" x14ac:dyDescent="0.25">
      <c r="A8679">
        <v>15836</v>
      </c>
      <c r="B8679">
        <v>0</v>
      </c>
    </row>
    <row r="8680" spans="1:2" x14ac:dyDescent="0.25">
      <c r="A8680">
        <v>15837</v>
      </c>
      <c r="B8680">
        <v>0</v>
      </c>
    </row>
    <row r="8681" spans="1:2" x14ac:dyDescent="0.25">
      <c r="A8681">
        <v>15840</v>
      </c>
      <c r="B8681">
        <v>0</v>
      </c>
    </row>
    <row r="8682" spans="1:2" x14ac:dyDescent="0.25">
      <c r="A8682">
        <v>15841</v>
      </c>
      <c r="B8682">
        <v>0</v>
      </c>
    </row>
    <row r="8683" spans="1:2" x14ac:dyDescent="0.25">
      <c r="A8683">
        <v>15842</v>
      </c>
      <c r="B8683">
        <v>0</v>
      </c>
    </row>
    <row r="8684" spans="1:2" x14ac:dyDescent="0.25">
      <c r="A8684">
        <v>15843</v>
      </c>
      <c r="B8684">
        <v>0</v>
      </c>
    </row>
    <row r="8685" spans="1:2" x14ac:dyDescent="0.25">
      <c r="A8685">
        <v>15844</v>
      </c>
      <c r="B8685">
        <v>0</v>
      </c>
    </row>
    <row r="8686" spans="1:2" x14ac:dyDescent="0.25">
      <c r="A8686">
        <v>15845</v>
      </c>
      <c r="B8686">
        <v>0</v>
      </c>
    </row>
    <row r="8687" spans="1:2" x14ac:dyDescent="0.25">
      <c r="A8687">
        <v>15846</v>
      </c>
      <c r="B8687">
        <v>0</v>
      </c>
    </row>
    <row r="8688" spans="1:2" x14ac:dyDescent="0.25">
      <c r="A8688">
        <v>15847</v>
      </c>
      <c r="B8688">
        <v>0</v>
      </c>
    </row>
    <row r="8689" spans="1:2" x14ac:dyDescent="0.25">
      <c r="A8689">
        <v>15848</v>
      </c>
      <c r="B8689">
        <v>0</v>
      </c>
    </row>
    <row r="8690" spans="1:2" x14ac:dyDescent="0.25">
      <c r="A8690">
        <v>15849</v>
      </c>
      <c r="B8690">
        <v>0</v>
      </c>
    </row>
    <row r="8691" spans="1:2" x14ac:dyDescent="0.25">
      <c r="A8691">
        <v>15850</v>
      </c>
      <c r="B8691">
        <v>0</v>
      </c>
    </row>
    <row r="8692" spans="1:2" x14ac:dyDescent="0.25">
      <c r="A8692">
        <v>15851</v>
      </c>
      <c r="B8692">
        <v>0</v>
      </c>
    </row>
    <row r="8693" spans="1:2" x14ac:dyDescent="0.25">
      <c r="A8693">
        <v>15852</v>
      </c>
      <c r="B8693">
        <v>0</v>
      </c>
    </row>
    <row r="8694" spans="1:2" x14ac:dyDescent="0.25">
      <c r="A8694">
        <v>15853</v>
      </c>
      <c r="B8694">
        <v>0</v>
      </c>
    </row>
    <row r="8695" spans="1:2" x14ac:dyDescent="0.25">
      <c r="A8695">
        <v>15854</v>
      </c>
      <c r="B8695">
        <v>0</v>
      </c>
    </row>
    <row r="8696" spans="1:2" x14ac:dyDescent="0.25">
      <c r="A8696">
        <v>15855</v>
      </c>
      <c r="B8696">
        <v>0</v>
      </c>
    </row>
    <row r="8697" spans="1:2" x14ac:dyDescent="0.25">
      <c r="A8697">
        <v>15856</v>
      </c>
      <c r="B8697">
        <v>0</v>
      </c>
    </row>
    <row r="8698" spans="1:2" x14ac:dyDescent="0.25">
      <c r="A8698">
        <v>15857</v>
      </c>
      <c r="B8698">
        <v>0</v>
      </c>
    </row>
    <row r="8699" spans="1:2" x14ac:dyDescent="0.25">
      <c r="A8699">
        <v>15858</v>
      </c>
      <c r="B8699">
        <v>0</v>
      </c>
    </row>
    <row r="8700" spans="1:2" x14ac:dyDescent="0.25">
      <c r="A8700">
        <v>15859</v>
      </c>
      <c r="B8700">
        <v>0</v>
      </c>
    </row>
    <row r="8701" spans="1:2" x14ac:dyDescent="0.25">
      <c r="A8701">
        <v>15860</v>
      </c>
      <c r="B8701">
        <v>0</v>
      </c>
    </row>
    <row r="8702" spans="1:2" x14ac:dyDescent="0.25">
      <c r="A8702">
        <v>15861</v>
      </c>
      <c r="B8702">
        <v>0</v>
      </c>
    </row>
    <row r="8703" spans="1:2" x14ac:dyDescent="0.25">
      <c r="A8703">
        <v>15862</v>
      </c>
      <c r="B8703">
        <v>0</v>
      </c>
    </row>
    <row r="8704" spans="1:2" x14ac:dyDescent="0.25">
      <c r="A8704">
        <v>15863</v>
      </c>
      <c r="B8704">
        <v>0</v>
      </c>
    </row>
    <row r="8705" spans="1:2" x14ac:dyDescent="0.25">
      <c r="A8705">
        <v>15864</v>
      </c>
      <c r="B8705">
        <v>0</v>
      </c>
    </row>
    <row r="8706" spans="1:2" x14ac:dyDescent="0.25">
      <c r="A8706">
        <v>15865</v>
      </c>
      <c r="B8706">
        <v>0</v>
      </c>
    </row>
    <row r="8707" spans="1:2" x14ac:dyDescent="0.25">
      <c r="A8707">
        <v>15866</v>
      </c>
      <c r="B8707">
        <v>0</v>
      </c>
    </row>
    <row r="8708" spans="1:2" x14ac:dyDescent="0.25">
      <c r="A8708">
        <v>15867</v>
      </c>
      <c r="B8708">
        <v>0</v>
      </c>
    </row>
    <row r="8709" spans="1:2" x14ac:dyDescent="0.25">
      <c r="A8709">
        <v>15868</v>
      </c>
      <c r="B8709">
        <v>0</v>
      </c>
    </row>
    <row r="8710" spans="1:2" x14ac:dyDescent="0.25">
      <c r="A8710">
        <v>15869</v>
      </c>
      <c r="B8710">
        <v>0</v>
      </c>
    </row>
    <row r="8711" spans="1:2" x14ac:dyDescent="0.25">
      <c r="A8711">
        <v>15870</v>
      </c>
      <c r="B8711">
        <v>0</v>
      </c>
    </row>
    <row r="8712" spans="1:2" x14ac:dyDescent="0.25">
      <c r="A8712">
        <v>15871</v>
      </c>
      <c r="B8712">
        <v>0</v>
      </c>
    </row>
    <row r="8713" spans="1:2" x14ac:dyDescent="0.25">
      <c r="A8713">
        <v>15872</v>
      </c>
      <c r="B8713">
        <v>0</v>
      </c>
    </row>
    <row r="8714" spans="1:2" x14ac:dyDescent="0.25">
      <c r="A8714">
        <v>15873</v>
      </c>
      <c r="B8714">
        <v>0</v>
      </c>
    </row>
    <row r="8715" spans="1:2" x14ac:dyDescent="0.25">
      <c r="A8715">
        <v>15874</v>
      </c>
      <c r="B8715">
        <v>0</v>
      </c>
    </row>
    <row r="8716" spans="1:2" x14ac:dyDescent="0.25">
      <c r="A8716">
        <v>15875</v>
      </c>
      <c r="B8716">
        <v>0</v>
      </c>
    </row>
    <row r="8717" spans="1:2" x14ac:dyDescent="0.25">
      <c r="A8717">
        <v>15876</v>
      </c>
      <c r="B8717">
        <v>0</v>
      </c>
    </row>
    <row r="8718" spans="1:2" x14ac:dyDescent="0.25">
      <c r="A8718">
        <v>15877</v>
      </c>
      <c r="B8718">
        <v>0</v>
      </c>
    </row>
    <row r="8719" spans="1:2" x14ac:dyDescent="0.25">
      <c r="A8719">
        <v>15878</v>
      </c>
      <c r="B8719">
        <v>0</v>
      </c>
    </row>
    <row r="8720" spans="1:2" x14ac:dyDescent="0.25">
      <c r="A8720">
        <v>15879</v>
      </c>
      <c r="B8720">
        <v>0</v>
      </c>
    </row>
    <row r="8721" spans="1:2" x14ac:dyDescent="0.25">
      <c r="A8721">
        <v>15880</v>
      </c>
      <c r="B8721">
        <v>0</v>
      </c>
    </row>
    <row r="8722" spans="1:2" x14ac:dyDescent="0.25">
      <c r="A8722">
        <v>15881</v>
      </c>
      <c r="B8722">
        <v>0</v>
      </c>
    </row>
    <row r="8723" spans="1:2" x14ac:dyDescent="0.25">
      <c r="A8723">
        <v>15882</v>
      </c>
      <c r="B8723">
        <v>0</v>
      </c>
    </row>
    <row r="8724" spans="1:2" x14ac:dyDescent="0.25">
      <c r="A8724">
        <v>15883</v>
      </c>
      <c r="B8724">
        <v>0</v>
      </c>
    </row>
    <row r="8725" spans="1:2" x14ac:dyDescent="0.25">
      <c r="A8725">
        <v>15884</v>
      </c>
      <c r="B8725">
        <v>0</v>
      </c>
    </row>
    <row r="8726" spans="1:2" x14ac:dyDescent="0.25">
      <c r="A8726">
        <v>15885</v>
      </c>
      <c r="B8726">
        <v>0</v>
      </c>
    </row>
    <row r="8727" spans="1:2" x14ac:dyDescent="0.25">
      <c r="A8727">
        <v>15886</v>
      </c>
      <c r="B8727">
        <v>0</v>
      </c>
    </row>
    <row r="8728" spans="1:2" x14ac:dyDescent="0.25">
      <c r="A8728">
        <v>15887</v>
      </c>
      <c r="B8728">
        <v>0</v>
      </c>
    </row>
    <row r="8729" spans="1:2" x14ac:dyDescent="0.25">
      <c r="A8729">
        <v>15888</v>
      </c>
      <c r="B8729">
        <v>0</v>
      </c>
    </row>
    <row r="8730" spans="1:2" x14ac:dyDescent="0.25">
      <c r="A8730">
        <v>15889</v>
      </c>
      <c r="B8730">
        <v>0</v>
      </c>
    </row>
    <row r="8731" spans="1:2" x14ac:dyDescent="0.25">
      <c r="A8731">
        <v>15890</v>
      </c>
      <c r="B8731">
        <v>0</v>
      </c>
    </row>
    <row r="8732" spans="1:2" x14ac:dyDescent="0.25">
      <c r="A8732">
        <v>15891</v>
      </c>
      <c r="B8732">
        <v>0</v>
      </c>
    </row>
    <row r="8733" spans="1:2" x14ac:dyDescent="0.25">
      <c r="A8733">
        <v>15892</v>
      </c>
      <c r="B8733">
        <v>0</v>
      </c>
    </row>
    <row r="8734" spans="1:2" x14ac:dyDescent="0.25">
      <c r="A8734">
        <v>15893</v>
      </c>
      <c r="B8734">
        <v>0</v>
      </c>
    </row>
    <row r="8735" spans="1:2" x14ac:dyDescent="0.25">
      <c r="A8735">
        <v>15894</v>
      </c>
      <c r="B8735">
        <v>0</v>
      </c>
    </row>
    <row r="8736" spans="1:2" x14ac:dyDescent="0.25">
      <c r="A8736">
        <v>15895</v>
      </c>
      <c r="B8736">
        <v>0</v>
      </c>
    </row>
    <row r="8737" spans="1:2" x14ac:dyDescent="0.25">
      <c r="A8737">
        <v>15896</v>
      </c>
      <c r="B8737">
        <v>0</v>
      </c>
    </row>
    <row r="8738" spans="1:2" x14ac:dyDescent="0.25">
      <c r="A8738">
        <v>15897</v>
      </c>
      <c r="B8738">
        <v>0</v>
      </c>
    </row>
    <row r="8739" spans="1:2" x14ac:dyDescent="0.25">
      <c r="A8739">
        <v>15898</v>
      </c>
      <c r="B8739">
        <v>0</v>
      </c>
    </row>
    <row r="8740" spans="1:2" x14ac:dyDescent="0.25">
      <c r="A8740">
        <v>15899</v>
      </c>
      <c r="B8740">
        <v>0</v>
      </c>
    </row>
    <row r="8741" spans="1:2" x14ac:dyDescent="0.25">
      <c r="A8741">
        <v>15901</v>
      </c>
      <c r="B8741">
        <v>0</v>
      </c>
    </row>
    <row r="8742" spans="1:2" x14ac:dyDescent="0.25">
      <c r="A8742">
        <v>15903</v>
      </c>
      <c r="B8742">
        <v>0</v>
      </c>
    </row>
    <row r="8743" spans="1:2" x14ac:dyDescent="0.25">
      <c r="A8743">
        <v>15905</v>
      </c>
      <c r="B8743">
        <v>0</v>
      </c>
    </row>
    <row r="8744" spans="1:2" x14ac:dyDescent="0.25">
      <c r="A8744">
        <v>15907</v>
      </c>
      <c r="B8744">
        <v>0</v>
      </c>
    </row>
    <row r="8745" spans="1:2" x14ac:dyDescent="0.25">
      <c r="A8745">
        <v>15909</v>
      </c>
      <c r="B8745">
        <v>0</v>
      </c>
    </row>
    <row r="8746" spans="1:2" x14ac:dyDescent="0.25">
      <c r="A8746">
        <v>15911</v>
      </c>
      <c r="B8746">
        <v>0</v>
      </c>
    </row>
    <row r="8747" spans="1:2" x14ac:dyDescent="0.25">
      <c r="A8747">
        <v>15913</v>
      </c>
      <c r="B8747">
        <v>0</v>
      </c>
    </row>
    <row r="8748" spans="1:2" x14ac:dyDescent="0.25">
      <c r="A8748">
        <v>15915</v>
      </c>
      <c r="B8748">
        <v>0</v>
      </c>
    </row>
    <row r="8749" spans="1:2" x14ac:dyDescent="0.25">
      <c r="A8749">
        <v>15916</v>
      </c>
      <c r="B8749">
        <v>0</v>
      </c>
    </row>
    <row r="8750" spans="1:2" x14ac:dyDescent="0.25">
      <c r="A8750">
        <v>15917</v>
      </c>
      <c r="B8750">
        <v>0</v>
      </c>
    </row>
    <row r="8751" spans="1:2" x14ac:dyDescent="0.25">
      <c r="A8751">
        <v>15919</v>
      </c>
      <c r="B8751">
        <v>0</v>
      </c>
    </row>
    <row r="8752" spans="1:2" x14ac:dyDescent="0.25">
      <c r="A8752">
        <v>15931</v>
      </c>
      <c r="B8752">
        <v>0</v>
      </c>
    </row>
    <row r="8753" spans="1:2" x14ac:dyDescent="0.25">
      <c r="A8753">
        <v>15932</v>
      </c>
      <c r="B8753">
        <v>0</v>
      </c>
    </row>
    <row r="8754" spans="1:2" x14ac:dyDescent="0.25">
      <c r="A8754">
        <v>15933</v>
      </c>
      <c r="B8754">
        <v>0</v>
      </c>
    </row>
    <row r="8755" spans="1:2" x14ac:dyDescent="0.25">
      <c r="A8755">
        <v>15944</v>
      </c>
      <c r="B8755">
        <v>0</v>
      </c>
    </row>
    <row r="8756" spans="1:2" x14ac:dyDescent="0.25">
      <c r="A8756">
        <v>15945</v>
      </c>
      <c r="B8756">
        <v>0</v>
      </c>
    </row>
    <row r="8757" spans="1:2" x14ac:dyDescent="0.25">
      <c r="A8757">
        <v>15946</v>
      </c>
      <c r="B8757">
        <v>0</v>
      </c>
    </row>
    <row r="8758" spans="1:2" x14ac:dyDescent="0.25">
      <c r="A8758">
        <v>15947</v>
      </c>
      <c r="B8758">
        <v>0</v>
      </c>
    </row>
    <row r="8759" spans="1:2" x14ac:dyDescent="0.25">
      <c r="A8759">
        <v>15948</v>
      </c>
      <c r="B8759">
        <v>0</v>
      </c>
    </row>
    <row r="8760" spans="1:2" x14ac:dyDescent="0.25">
      <c r="A8760">
        <v>15949</v>
      </c>
      <c r="B8760">
        <v>0</v>
      </c>
    </row>
    <row r="8761" spans="1:2" x14ac:dyDescent="0.25">
      <c r="A8761">
        <v>15950</v>
      </c>
      <c r="B8761">
        <v>0</v>
      </c>
    </row>
    <row r="8762" spans="1:2" x14ac:dyDescent="0.25">
      <c r="A8762">
        <v>15952</v>
      </c>
      <c r="B8762">
        <v>0</v>
      </c>
    </row>
    <row r="8763" spans="1:2" x14ac:dyDescent="0.25">
      <c r="A8763">
        <v>15960</v>
      </c>
      <c r="B8763">
        <v>0</v>
      </c>
    </row>
    <row r="8764" spans="1:2" x14ac:dyDescent="0.25">
      <c r="A8764">
        <v>15961</v>
      </c>
      <c r="B8764">
        <v>0</v>
      </c>
    </row>
    <row r="8765" spans="1:2" x14ac:dyDescent="0.25">
      <c r="A8765">
        <v>15970</v>
      </c>
      <c r="B8765">
        <v>0</v>
      </c>
    </row>
    <row r="8766" spans="1:2" x14ac:dyDescent="0.25">
      <c r="A8766">
        <v>15971</v>
      </c>
      <c r="B8766">
        <v>0</v>
      </c>
    </row>
    <row r="8767" spans="1:2" x14ac:dyDescent="0.25">
      <c r="A8767">
        <v>15972</v>
      </c>
      <c r="B8767">
        <v>0</v>
      </c>
    </row>
    <row r="8768" spans="1:2" x14ac:dyDescent="0.25">
      <c r="A8768">
        <v>15974</v>
      </c>
      <c r="B8768">
        <v>0</v>
      </c>
    </row>
    <row r="8769" spans="1:2" x14ac:dyDescent="0.25">
      <c r="A8769">
        <v>15976</v>
      </c>
      <c r="B8769">
        <v>0</v>
      </c>
    </row>
    <row r="8770" spans="1:2" x14ac:dyDescent="0.25">
      <c r="A8770">
        <v>15978</v>
      </c>
      <c r="B8770">
        <v>0</v>
      </c>
    </row>
    <row r="8771" spans="1:2" x14ac:dyDescent="0.25">
      <c r="A8771">
        <v>15980</v>
      </c>
      <c r="B8771">
        <v>0</v>
      </c>
    </row>
    <row r="8772" spans="1:2" x14ac:dyDescent="0.25">
      <c r="A8772">
        <v>15982</v>
      </c>
      <c r="B8772">
        <v>0</v>
      </c>
    </row>
    <row r="8773" spans="1:2" x14ac:dyDescent="0.25">
      <c r="A8773">
        <v>15984</v>
      </c>
      <c r="B8773">
        <v>0</v>
      </c>
    </row>
    <row r="8774" spans="1:2" x14ac:dyDescent="0.25">
      <c r="A8774">
        <v>15986</v>
      </c>
      <c r="B8774">
        <v>0</v>
      </c>
    </row>
    <row r="8775" spans="1:2" x14ac:dyDescent="0.25">
      <c r="A8775">
        <v>15988</v>
      </c>
      <c r="B8775">
        <v>0</v>
      </c>
    </row>
    <row r="8776" spans="1:2" x14ac:dyDescent="0.25">
      <c r="A8776">
        <v>15990</v>
      </c>
      <c r="B8776">
        <v>0</v>
      </c>
    </row>
    <row r="8777" spans="1:2" x14ac:dyDescent="0.25">
      <c r="A8777">
        <v>15992</v>
      </c>
      <c r="B8777">
        <v>0</v>
      </c>
    </row>
    <row r="8778" spans="1:2" x14ac:dyDescent="0.25">
      <c r="A8778">
        <v>15994</v>
      </c>
      <c r="B8778">
        <v>0</v>
      </c>
    </row>
    <row r="8779" spans="1:2" x14ac:dyDescent="0.25">
      <c r="A8779">
        <v>15996</v>
      </c>
      <c r="B8779">
        <v>0</v>
      </c>
    </row>
    <row r="8780" spans="1:2" x14ac:dyDescent="0.25">
      <c r="A8780">
        <v>15998</v>
      </c>
      <c r="B8780">
        <v>0</v>
      </c>
    </row>
    <row r="8781" spans="1:2" x14ac:dyDescent="0.25">
      <c r="A8781">
        <v>16000</v>
      </c>
      <c r="B8781">
        <v>0</v>
      </c>
    </row>
    <row r="8782" spans="1:2" x14ac:dyDescent="0.25">
      <c r="A8782">
        <v>16002</v>
      </c>
      <c r="B8782">
        <v>0</v>
      </c>
    </row>
    <row r="8783" spans="1:2" x14ac:dyDescent="0.25">
      <c r="A8783">
        <v>16004</v>
      </c>
      <c r="B8783">
        <v>0</v>
      </c>
    </row>
    <row r="8784" spans="1:2" x14ac:dyDescent="0.25">
      <c r="A8784">
        <v>16005</v>
      </c>
      <c r="B8784">
        <v>0</v>
      </c>
    </row>
    <row r="8785" spans="1:2" x14ac:dyDescent="0.25">
      <c r="A8785">
        <v>16007</v>
      </c>
      <c r="B8785">
        <v>0</v>
      </c>
    </row>
    <row r="8786" spans="1:2" x14ac:dyDescent="0.25">
      <c r="A8786">
        <v>16009</v>
      </c>
      <c r="B8786">
        <v>0</v>
      </c>
    </row>
    <row r="8787" spans="1:2" x14ac:dyDescent="0.25">
      <c r="A8787">
        <v>16011</v>
      </c>
      <c r="B8787">
        <v>0</v>
      </c>
    </row>
    <row r="8788" spans="1:2" x14ac:dyDescent="0.25">
      <c r="A8788">
        <v>16013</v>
      </c>
      <c r="B8788">
        <v>0</v>
      </c>
    </row>
    <row r="8789" spans="1:2" x14ac:dyDescent="0.25">
      <c r="A8789">
        <v>16015</v>
      </c>
      <c r="B8789">
        <v>0</v>
      </c>
    </row>
    <row r="8790" spans="1:2" x14ac:dyDescent="0.25">
      <c r="A8790">
        <v>16017</v>
      </c>
      <c r="B8790">
        <v>0</v>
      </c>
    </row>
    <row r="8791" spans="1:2" x14ac:dyDescent="0.25">
      <c r="A8791">
        <v>16019</v>
      </c>
      <c r="B8791">
        <v>0</v>
      </c>
    </row>
    <row r="8792" spans="1:2" x14ac:dyDescent="0.25">
      <c r="A8792">
        <v>16021</v>
      </c>
      <c r="B8792">
        <v>0</v>
      </c>
    </row>
    <row r="8793" spans="1:2" x14ac:dyDescent="0.25">
      <c r="A8793">
        <v>16023</v>
      </c>
      <c r="B8793">
        <v>0</v>
      </c>
    </row>
    <row r="8794" spans="1:2" x14ac:dyDescent="0.25">
      <c r="A8794">
        <v>16025</v>
      </c>
      <c r="B8794">
        <v>0</v>
      </c>
    </row>
    <row r="8795" spans="1:2" x14ac:dyDescent="0.25">
      <c r="A8795">
        <v>16027</v>
      </c>
      <c r="B8795">
        <v>0</v>
      </c>
    </row>
    <row r="8796" spans="1:2" x14ac:dyDescent="0.25">
      <c r="A8796">
        <v>16029</v>
      </c>
      <c r="B8796">
        <v>0</v>
      </c>
    </row>
    <row r="8797" spans="1:2" x14ac:dyDescent="0.25">
      <c r="A8797">
        <v>16031</v>
      </c>
      <c r="B8797">
        <v>0</v>
      </c>
    </row>
    <row r="8798" spans="1:2" x14ac:dyDescent="0.25">
      <c r="A8798">
        <v>16032</v>
      </c>
      <c r="B8798">
        <v>0</v>
      </c>
    </row>
    <row r="8799" spans="1:2" x14ac:dyDescent="0.25">
      <c r="A8799">
        <v>16033</v>
      </c>
      <c r="B8799">
        <v>0</v>
      </c>
    </row>
    <row r="8800" spans="1:2" x14ac:dyDescent="0.25">
      <c r="A8800">
        <v>16034</v>
      </c>
      <c r="B8800">
        <v>0</v>
      </c>
    </row>
    <row r="8801" spans="1:2" x14ac:dyDescent="0.25">
      <c r="A8801">
        <v>16038</v>
      </c>
      <c r="B8801">
        <v>0</v>
      </c>
    </row>
    <row r="8802" spans="1:2" x14ac:dyDescent="0.25">
      <c r="A8802">
        <v>16040</v>
      </c>
      <c r="B8802">
        <v>0</v>
      </c>
    </row>
    <row r="8803" spans="1:2" x14ac:dyDescent="0.25">
      <c r="A8803">
        <v>16041</v>
      </c>
      <c r="B8803">
        <v>0</v>
      </c>
    </row>
    <row r="8804" spans="1:2" x14ac:dyDescent="0.25">
      <c r="A8804">
        <v>16043</v>
      </c>
      <c r="B8804">
        <v>0</v>
      </c>
    </row>
    <row r="8805" spans="1:2" x14ac:dyDescent="0.25">
      <c r="A8805">
        <v>16046</v>
      </c>
      <c r="B8805">
        <v>0</v>
      </c>
    </row>
    <row r="8806" spans="1:2" x14ac:dyDescent="0.25">
      <c r="A8806">
        <v>16048</v>
      </c>
      <c r="B8806">
        <v>0</v>
      </c>
    </row>
    <row r="8807" spans="1:2" x14ac:dyDescent="0.25">
      <c r="A8807">
        <v>16050</v>
      </c>
      <c r="B8807">
        <v>0</v>
      </c>
    </row>
    <row r="8808" spans="1:2" x14ac:dyDescent="0.25">
      <c r="A8808">
        <v>16052</v>
      </c>
      <c r="B8808">
        <v>0</v>
      </c>
    </row>
    <row r="8809" spans="1:2" x14ac:dyDescent="0.25">
      <c r="A8809">
        <v>16054</v>
      </c>
      <c r="B8809">
        <v>0</v>
      </c>
    </row>
    <row r="8810" spans="1:2" x14ac:dyDescent="0.25">
      <c r="A8810">
        <v>16055</v>
      </c>
      <c r="B8810">
        <v>0</v>
      </c>
    </row>
    <row r="8811" spans="1:2" x14ac:dyDescent="0.25">
      <c r="A8811">
        <v>16056</v>
      </c>
      <c r="B8811">
        <v>0</v>
      </c>
    </row>
    <row r="8812" spans="1:2" x14ac:dyDescent="0.25">
      <c r="A8812">
        <v>16057</v>
      </c>
      <c r="B8812">
        <v>0</v>
      </c>
    </row>
    <row r="8813" spans="1:2" x14ac:dyDescent="0.25">
      <c r="A8813">
        <v>16058</v>
      </c>
      <c r="B8813">
        <v>0</v>
      </c>
    </row>
    <row r="8814" spans="1:2" x14ac:dyDescent="0.25">
      <c r="A8814">
        <v>16059</v>
      </c>
      <c r="B8814">
        <v>0</v>
      </c>
    </row>
    <row r="8815" spans="1:2" x14ac:dyDescent="0.25">
      <c r="A8815">
        <v>16060</v>
      </c>
      <c r="B8815">
        <v>0</v>
      </c>
    </row>
    <row r="8816" spans="1:2" x14ac:dyDescent="0.25">
      <c r="A8816">
        <v>16061</v>
      </c>
      <c r="B8816">
        <v>0</v>
      </c>
    </row>
    <row r="8817" spans="1:2" x14ac:dyDescent="0.25">
      <c r="A8817">
        <v>16074</v>
      </c>
      <c r="B8817">
        <v>0</v>
      </c>
    </row>
    <row r="8818" spans="1:2" x14ac:dyDescent="0.25">
      <c r="A8818">
        <v>16077</v>
      </c>
      <c r="B8818">
        <v>0</v>
      </c>
    </row>
    <row r="8819" spans="1:2" x14ac:dyDescent="0.25">
      <c r="A8819">
        <v>16080</v>
      </c>
      <c r="B8819">
        <v>0</v>
      </c>
    </row>
    <row r="8820" spans="1:2" x14ac:dyDescent="0.25">
      <c r="A8820">
        <v>16083</v>
      </c>
      <c r="B8820">
        <v>0</v>
      </c>
    </row>
    <row r="8821" spans="1:2" x14ac:dyDescent="0.25">
      <c r="A8821">
        <v>16096</v>
      </c>
      <c r="B8821">
        <v>0</v>
      </c>
    </row>
    <row r="8822" spans="1:2" x14ac:dyDescent="0.25">
      <c r="A8822">
        <v>16102</v>
      </c>
      <c r="B8822">
        <v>0</v>
      </c>
    </row>
    <row r="8823" spans="1:2" x14ac:dyDescent="0.25">
      <c r="A8823">
        <v>16104</v>
      </c>
      <c r="B8823">
        <v>0</v>
      </c>
    </row>
    <row r="8824" spans="1:2" x14ac:dyDescent="0.25">
      <c r="A8824">
        <v>16106</v>
      </c>
      <c r="B8824">
        <v>0</v>
      </c>
    </row>
    <row r="8825" spans="1:2" x14ac:dyDescent="0.25">
      <c r="A8825">
        <v>16108</v>
      </c>
      <c r="B8825">
        <v>0</v>
      </c>
    </row>
    <row r="8826" spans="1:2" x14ac:dyDescent="0.25">
      <c r="A8826">
        <v>16110</v>
      </c>
      <c r="B8826">
        <v>0</v>
      </c>
    </row>
    <row r="8827" spans="1:2" x14ac:dyDescent="0.25">
      <c r="A8827">
        <v>16112</v>
      </c>
      <c r="B8827">
        <v>0</v>
      </c>
    </row>
    <row r="8828" spans="1:2" x14ac:dyDescent="0.25">
      <c r="A8828">
        <v>16114</v>
      </c>
      <c r="B8828">
        <v>0</v>
      </c>
    </row>
    <row r="8829" spans="1:2" x14ac:dyDescent="0.25">
      <c r="A8829">
        <v>16116</v>
      </c>
      <c r="B8829">
        <v>0</v>
      </c>
    </row>
    <row r="8830" spans="1:2" x14ac:dyDescent="0.25">
      <c r="A8830">
        <v>16118</v>
      </c>
      <c r="B8830">
        <v>0</v>
      </c>
    </row>
    <row r="8831" spans="1:2" x14ac:dyDescent="0.25">
      <c r="A8831">
        <v>16120</v>
      </c>
      <c r="B8831">
        <v>0</v>
      </c>
    </row>
    <row r="8832" spans="1:2" x14ac:dyDescent="0.25">
      <c r="A8832">
        <v>16122</v>
      </c>
      <c r="B8832">
        <v>0</v>
      </c>
    </row>
    <row r="8833" spans="1:2" x14ac:dyDescent="0.25">
      <c r="A8833">
        <v>16124</v>
      </c>
      <c r="B8833">
        <v>0</v>
      </c>
    </row>
    <row r="8834" spans="1:2" x14ac:dyDescent="0.25">
      <c r="A8834">
        <v>16126</v>
      </c>
      <c r="B8834">
        <v>0</v>
      </c>
    </row>
    <row r="8835" spans="1:2" x14ac:dyDescent="0.25">
      <c r="A8835">
        <v>16128</v>
      </c>
      <c r="B8835">
        <v>0</v>
      </c>
    </row>
    <row r="8836" spans="1:2" x14ac:dyDescent="0.25">
      <c r="A8836">
        <v>16130</v>
      </c>
      <c r="B8836">
        <v>0</v>
      </c>
    </row>
    <row r="8837" spans="1:2" x14ac:dyDescent="0.25">
      <c r="A8837">
        <v>16132</v>
      </c>
      <c r="B8837">
        <v>0</v>
      </c>
    </row>
    <row r="8838" spans="1:2" x14ac:dyDescent="0.25">
      <c r="A8838">
        <v>16134</v>
      </c>
      <c r="B8838">
        <v>0</v>
      </c>
    </row>
    <row r="8839" spans="1:2" x14ac:dyDescent="0.25">
      <c r="A8839">
        <v>16135</v>
      </c>
      <c r="B8839">
        <v>0</v>
      </c>
    </row>
    <row r="8840" spans="1:2" x14ac:dyDescent="0.25">
      <c r="A8840">
        <v>16140</v>
      </c>
      <c r="B8840">
        <v>0</v>
      </c>
    </row>
    <row r="8841" spans="1:2" x14ac:dyDescent="0.25">
      <c r="A8841">
        <v>16141</v>
      </c>
      <c r="B8841">
        <v>0</v>
      </c>
    </row>
    <row r="8842" spans="1:2" x14ac:dyDescent="0.25">
      <c r="A8842">
        <v>16142</v>
      </c>
      <c r="B8842">
        <v>0</v>
      </c>
    </row>
    <row r="8843" spans="1:2" x14ac:dyDescent="0.25">
      <c r="A8843">
        <v>16144</v>
      </c>
      <c r="B8843">
        <v>0</v>
      </c>
    </row>
    <row r="8844" spans="1:2" x14ac:dyDescent="0.25">
      <c r="A8844">
        <v>16146</v>
      </c>
      <c r="B8844">
        <v>0</v>
      </c>
    </row>
    <row r="8845" spans="1:2" x14ac:dyDescent="0.25">
      <c r="A8845">
        <v>16148</v>
      </c>
      <c r="B8845">
        <v>0</v>
      </c>
    </row>
    <row r="8846" spans="1:2" x14ac:dyDescent="0.25">
      <c r="A8846">
        <v>16150</v>
      </c>
      <c r="B8846">
        <v>0</v>
      </c>
    </row>
    <row r="8847" spans="1:2" x14ac:dyDescent="0.25">
      <c r="A8847">
        <v>16152</v>
      </c>
      <c r="B8847">
        <v>0</v>
      </c>
    </row>
    <row r="8848" spans="1:2" x14ac:dyDescent="0.25">
      <c r="A8848">
        <v>16154</v>
      </c>
      <c r="B8848">
        <v>0</v>
      </c>
    </row>
    <row r="8849" spans="1:2" x14ac:dyDescent="0.25">
      <c r="A8849">
        <v>16156</v>
      </c>
      <c r="B8849">
        <v>0</v>
      </c>
    </row>
    <row r="8850" spans="1:2" x14ac:dyDescent="0.25">
      <c r="A8850">
        <v>16158</v>
      </c>
      <c r="B8850">
        <v>0</v>
      </c>
    </row>
    <row r="8851" spans="1:2" x14ac:dyDescent="0.25">
      <c r="A8851">
        <v>16160</v>
      </c>
      <c r="B8851">
        <v>0</v>
      </c>
    </row>
    <row r="8852" spans="1:2" x14ac:dyDescent="0.25">
      <c r="A8852">
        <v>16162</v>
      </c>
      <c r="B8852">
        <v>0</v>
      </c>
    </row>
    <row r="8853" spans="1:2" x14ac:dyDescent="0.25">
      <c r="A8853">
        <v>16164</v>
      </c>
      <c r="B8853">
        <v>0</v>
      </c>
    </row>
    <row r="8854" spans="1:2" x14ac:dyDescent="0.25">
      <c r="A8854">
        <v>16166</v>
      </c>
      <c r="B8854">
        <v>0</v>
      </c>
    </row>
    <row r="8855" spans="1:2" x14ac:dyDescent="0.25">
      <c r="A8855">
        <v>16168</v>
      </c>
      <c r="B8855">
        <v>0</v>
      </c>
    </row>
    <row r="8856" spans="1:2" x14ac:dyDescent="0.25">
      <c r="A8856">
        <v>16170</v>
      </c>
      <c r="B8856">
        <v>0</v>
      </c>
    </row>
    <row r="8857" spans="1:2" x14ac:dyDescent="0.25">
      <c r="A8857">
        <v>16172</v>
      </c>
      <c r="B8857">
        <v>0</v>
      </c>
    </row>
    <row r="8858" spans="1:2" x14ac:dyDescent="0.25">
      <c r="A8858">
        <v>16174</v>
      </c>
      <c r="B8858">
        <v>0</v>
      </c>
    </row>
    <row r="8859" spans="1:2" x14ac:dyDescent="0.25">
      <c r="A8859">
        <v>16176</v>
      </c>
      <c r="B8859">
        <v>0</v>
      </c>
    </row>
    <row r="8860" spans="1:2" x14ac:dyDescent="0.25">
      <c r="A8860">
        <v>16178</v>
      </c>
      <c r="B8860">
        <v>0</v>
      </c>
    </row>
    <row r="8861" spans="1:2" x14ac:dyDescent="0.25">
      <c r="A8861">
        <v>16180</v>
      </c>
      <c r="B8861">
        <v>0</v>
      </c>
    </row>
    <row r="8862" spans="1:2" x14ac:dyDescent="0.25">
      <c r="A8862">
        <v>16182</v>
      </c>
      <c r="B8862">
        <v>0</v>
      </c>
    </row>
    <row r="8863" spans="1:2" x14ac:dyDescent="0.25">
      <c r="A8863">
        <v>16184</v>
      </c>
      <c r="B8863">
        <v>0</v>
      </c>
    </row>
    <row r="8864" spans="1:2" x14ac:dyDescent="0.25">
      <c r="A8864">
        <v>16186</v>
      </c>
      <c r="B8864">
        <v>0</v>
      </c>
    </row>
    <row r="8865" spans="1:2" x14ac:dyDescent="0.25">
      <c r="A8865">
        <v>16188</v>
      </c>
      <c r="B8865">
        <v>0</v>
      </c>
    </row>
    <row r="8866" spans="1:2" x14ac:dyDescent="0.25">
      <c r="A8866">
        <v>16190</v>
      </c>
      <c r="B8866">
        <v>0</v>
      </c>
    </row>
    <row r="8867" spans="1:2" x14ac:dyDescent="0.25">
      <c r="A8867">
        <v>16191</v>
      </c>
      <c r="B8867">
        <v>0</v>
      </c>
    </row>
    <row r="8868" spans="1:2" x14ac:dyDescent="0.25">
      <c r="A8868">
        <v>16192</v>
      </c>
      <c r="B8868">
        <v>0</v>
      </c>
    </row>
    <row r="8869" spans="1:2" x14ac:dyDescent="0.25">
      <c r="A8869">
        <v>16194</v>
      </c>
      <c r="B8869">
        <v>0</v>
      </c>
    </row>
    <row r="8870" spans="1:2" x14ac:dyDescent="0.25">
      <c r="A8870">
        <v>16195</v>
      </c>
      <c r="B8870">
        <v>0</v>
      </c>
    </row>
    <row r="8871" spans="1:2" x14ac:dyDescent="0.25">
      <c r="A8871">
        <v>16197</v>
      </c>
      <c r="B8871">
        <v>0</v>
      </c>
    </row>
    <row r="8872" spans="1:2" x14ac:dyDescent="0.25">
      <c r="A8872">
        <v>16198</v>
      </c>
      <c r="B8872">
        <v>0</v>
      </c>
    </row>
    <row r="8873" spans="1:2" x14ac:dyDescent="0.25">
      <c r="A8873">
        <v>16200</v>
      </c>
      <c r="B8873">
        <v>0</v>
      </c>
    </row>
    <row r="8874" spans="1:2" x14ac:dyDescent="0.25">
      <c r="A8874">
        <v>16201</v>
      </c>
      <c r="B8874">
        <v>0</v>
      </c>
    </row>
    <row r="8875" spans="1:2" x14ac:dyDescent="0.25">
      <c r="A8875">
        <v>16202</v>
      </c>
      <c r="B8875">
        <v>0</v>
      </c>
    </row>
    <row r="8876" spans="1:2" x14ac:dyDescent="0.25">
      <c r="A8876">
        <v>16204</v>
      </c>
      <c r="B8876">
        <v>0</v>
      </c>
    </row>
    <row r="8877" spans="1:2" x14ac:dyDescent="0.25">
      <c r="A8877">
        <v>16206</v>
      </c>
      <c r="B8877">
        <v>0</v>
      </c>
    </row>
    <row r="8878" spans="1:2" x14ac:dyDescent="0.25">
      <c r="A8878">
        <v>16208</v>
      </c>
      <c r="B8878">
        <v>0</v>
      </c>
    </row>
    <row r="8879" spans="1:2" x14ac:dyDescent="0.25">
      <c r="A8879">
        <v>16209</v>
      </c>
      <c r="B8879">
        <v>0</v>
      </c>
    </row>
    <row r="8880" spans="1:2" x14ac:dyDescent="0.25">
      <c r="A8880">
        <v>16210</v>
      </c>
      <c r="B8880">
        <v>0</v>
      </c>
    </row>
    <row r="8881" spans="1:2" x14ac:dyDescent="0.25">
      <c r="A8881">
        <v>16211</v>
      </c>
      <c r="B8881">
        <v>0</v>
      </c>
    </row>
    <row r="8882" spans="1:2" x14ac:dyDescent="0.25">
      <c r="A8882">
        <v>16212</v>
      </c>
      <c r="B8882">
        <v>0</v>
      </c>
    </row>
    <row r="8883" spans="1:2" x14ac:dyDescent="0.25">
      <c r="A8883">
        <v>16213</v>
      </c>
      <c r="B8883">
        <v>0</v>
      </c>
    </row>
    <row r="8884" spans="1:2" x14ac:dyDescent="0.25">
      <c r="A8884">
        <v>16214</v>
      </c>
      <c r="B8884">
        <v>0</v>
      </c>
    </row>
    <row r="8885" spans="1:2" x14ac:dyDescent="0.25">
      <c r="A8885">
        <v>16215</v>
      </c>
      <c r="B8885">
        <v>0</v>
      </c>
    </row>
    <row r="8886" spans="1:2" x14ac:dyDescent="0.25">
      <c r="A8886">
        <v>16216</v>
      </c>
      <c r="B8886">
        <v>0</v>
      </c>
    </row>
    <row r="8887" spans="1:2" x14ac:dyDescent="0.25">
      <c r="A8887">
        <v>16217</v>
      </c>
      <c r="B8887">
        <v>0</v>
      </c>
    </row>
    <row r="8888" spans="1:2" x14ac:dyDescent="0.25">
      <c r="A8888">
        <v>16218</v>
      </c>
      <c r="B8888">
        <v>0</v>
      </c>
    </row>
    <row r="8889" spans="1:2" x14ac:dyDescent="0.25">
      <c r="A8889">
        <v>16219</v>
      </c>
      <c r="B8889">
        <v>0</v>
      </c>
    </row>
    <row r="8890" spans="1:2" x14ac:dyDescent="0.25">
      <c r="A8890">
        <v>16222</v>
      </c>
      <c r="B8890">
        <v>0</v>
      </c>
    </row>
    <row r="8891" spans="1:2" x14ac:dyDescent="0.25">
      <c r="A8891">
        <v>16225</v>
      </c>
      <c r="B8891">
        <v>0</v>
      </c>
    </row>
    <row r="8892" spans="1:2" x14ac:dyDescent="0.25">
      <c r="A8892">
        <v>16227</v>
      </c>
      <c r="B8892">
        <v>0</v>
      </c>
    </row>
    <row r="8893" spans="1:2" x14ac:dyDescent="0.25">
      <c r="A8893">
        <v>16229</v>
      </c>
      <c r="B8893">
        <v>0</v>
      </c>
    </row>
    <row r="8894" spans="1:2" x14ac:dyDescent="0.25">
      <c r="A8894">
        <v>16232</v>
      </c>
      <c r="B8894">
        <v>0</v>
      </c>
    </row>
    <row r="8895" spans="1:2" x14ac:dyDescent="0.25">
      <c r="A8895">
        <v>16233</v>
      </c>
      <c r="B8895">
        <v>0</v>
      </c>
    </row>
    <row r="8896" spans="1:2" x14ac:dyDescent="0.25">
      <c r="A8896">
        <v>16236</v>
      </c>
      <c r="B8896">
        <v>0</v>
      </c>
    </row>
    <row r="8897" spans="1:2" x14ac:dyDescent="0.25">
      <c r="A8897">
        <v>16237</v>
      </c>
      <c r="B8897">
        <v>0</v>
      </c>
    </row>
    <row r="8898" spans="1:2" x14ac:dyDescent="0.25">
      <c r="A8898">
        <v>16240</v>
      </c>
      <c r="B8898">
        <v>0</v>
      </c>
    </row>
    <row r="8899" spans="1:2" x14ac:dyDescent="0.25">
      <c r="A8899">
        <v>16244</v>
      </c>
      <c r="B8899">
        <v>0</v>
      </c>
    </row>
    <row r="8900" spans="1:2" x14ac:dyDescent="0.25">
      <c r="A8900">
        <v>16245</v>
      </c>
      <c r="B8900">
        <v>0</v>
      </c>
    </row>
    <row r="8901" spans="1:2" x14ac:dyDescent="0.25">
      <c r="A8901">
        <v>16246</v>
      </c>
      <c r="B8901">
        <v>0</v>
      </c>
    </row>
    <row r="8902" spans="1:2" x14ac:dyDescent="0.25">
      <c r="A8902">
        <v>16248</v>
      </c>
      <c r="B8902">
        <v>0</v>
      </c>
    </row>
    <row r="8903" spans="1:2" x14ac:dyDescent="0.25">
      <c r="A8903">
        <v>16249</v>
      </c>
      <c r="B8903">
        <v>0</v>
      </c>
    </row>
    <row r="8904" spans="1:2" x14ac:dyDescent="0.25">
      <c r="A8904">
        <v>16251</v>
      </c>
      <c r="B8904">
        <v>0</v>
      </c>
    </row>
    <row r="8905" spans="1:2" x14ac:dyDescent="0.25">
      <c r="A8905">
        <v>16253</v>
      </c>
      <c r="B8905">
        <v>0</v>
      </c>
    </row>
    <row r="8906" spans="1:2" x14ac:dyDescent="0.25">
      <c r="A8906">
        <v>16258</v>
      </c>
      <c r="B8906">
        <v>0</v>
      </c>
    </row>
    <row r="8907" spans="1:2" x14ac:dyDescent="0.25">
      <c r="A8907">
        <v>16263</v>
      </c>
      <c r="B8907">
        <v>0</v>
      </c>
    </row>
    <row r="8908" spans="1:2" x14ac:dyDescent="0.25">
      <c r="A8908">
        <v>16269</v>
      </c>
      <c r="B8908">
        <v>0</v>
      </c>
    </row>
    <row r="8909" spans="1:2" x14ac:dyDescent="0.25">
      <c r="A8909">
        <v>16271</v>
      </c>
      <c r="B8909">
        <v>0</v>
      </c>
    </row>
    <row r="8910" spans="1:2" x14ac:dyDescent="0.25">
      <c r="A8910">
        <v>16273</v>
      </c>
      <c r="B8910">
        <v>0</v>
      </c>
    </row>
    <row r="8911" spans="1:2" x14ac:dyDescent="0.25">
      <c r="A8911">
        <v>16275</v>
      </c>
      <c r="B8911">
        <v>0</v>
      </c>
    </row>
    <row r="8912" spans="1:2" x14ac:dyDescent="0.25">
      <c r="A8912">
        <v>16277</v>
      </c>
      <c r="B8912">
        <v>0</v>
      </c>
    </row>
    <row r="8913" spans="1:2" x14ac:dyDescent="0.25">
      <c r="A8913">
        <v>16279</v>
      </c>
      <c r="B8913">
        <v>0</v>
      </c>
    </row>
    <row r="8914" spans="1:2" x14ac:dyDescent="0.25">
      <c r="A8914">
        <v>16281</v>
      </c>
      <c r="B8914">
        <v>0</v>
      </c>
    </row>
    <row r="8915" spans="1:2" x14ac:dyDescent="0.25">
      <c r="A8915">
        <v>16282</v>
      </c>
      <c r="B8915">
        <v>0</v>
      </c>
    </row>
    <row r="8916" spans="1:2" x14ac:dyDescent="0.25">
      <c r="A8916">
        <v>16300</v>
      </c>
      <c r="B8916">
        <v>0</v>
      </c>
    </row>
    <row r="8917" spans="1:2" x14ac:dyDescent="0.25">
      <c r="A8917">
        <v>16302</v>
      </c>
      <c r="B8917">
        <v>0</v>
      </c>
    </row>
    <row r="8918" spans="1:2" x14ac:dyDescent="0.25">
      <c r="A8918">
        <v>16303</v>
      </c>
      <c r="B8918">
        <v>0</v>
      </c>
    </row>
    <row r="8919" spans="1:2" x14ac:dyDescent="0.25">
      <c r="A8919">
        <v>16304</v>
      </c>
      <c r="B8919">
        <v>0</v>
      </c>
    </row>
    <row r="8920" spans="1:2" x14ac:dyDescent="0.25">
      <c r="A8920">
        <v>16305</v>
      </c>
      <c r="B8920">
        <v>0</v>
      </c>
    </row>
    <row r="8921" spans="1:2" x14ac:dyDescent="0.25">
      <c r="A8921">
        <v>16306</v>
      </c>
      <c r="B8921">
        <v>0</v>
      </c>
    </row>
    <row r="8922" spans="1:2" x14ac:dyDescent="0.25">
      <c r="A8922">
        <v>16307</v>
      </c>
      <c r="B8922">
        <v>0</v>
      </c>
    </row>
    <row r="8923" spans="1:2" x14ac:dyDescent="0.25">
      <c r="A8923">
        <v>16308</v>
      </c>
      <c r="B8923">
        <v>0</v>
      </c>
    </row>
    <row r="8924" spans="1:2" x14ac:dyDescent="0.25">
      <c r="A8924">
        <v>16309</v>
      </c>
      <c r="B8924">
        <v>0</v>
      </c>
    </row>
    <row r="8925" spans="1:2" x14ac:dyDescent="0.25">
      <c r="A8925">
        <v>16310</v>
      </c>
      <c r="B8925">
        <v>0</v>
      </c>
    </row>
    <row r="8926" spans="1:2" x14ac:dyDescent="0.25">
      <c r="A8926">
        <v>16311</v>
      </c>
      <c r="B8926">
        <v>0</v>
      </c>
    </row>
    <row r="8927" spans="1:2" x14ac:dyDescent="0.25">
      <c r="A8927">
        <v>16312</v>
      </c>
      <c r="B8927">
        <v>0</v>
      </c>
    </row>
    <row r="8928" spans="1:2" x14ac:dyDescent="0.25">
      <c r="A8928">
        <v>16313</v>
      </c>
      <c r="B8928">
        <v>0</v>
      </c>
    </row>
    <row r="8929" spans="1:2" x14ac:dyDescent="0.25">
      <c r="A8929">
        <v>16314</v>
      </c>
      <c r="B8929">
        <v>0</v>
      </c>
    </row>
    <row r="8930" spans="1:2" x14ac:dyDescent="0.25">
      <c r="A8930">
        <v>16315</v>
      </c>
      <c r="B8930">
        <v>0</v>
      </c>
    </row>
    <row r="8931" spans="1:2" x14ac:dyDescent="0.25">
      <c r="A8931">
        <v>16316</v>
      </c>
      <c r="B8931">
        <v>0</v>
      </c>
    </row>
    <row r="8932" spans="1:2" x14ac:dyDescent="0.25">
      <c r="A8932">
        <v>16317</v>
      </c>
      <c r="B8932">
        <v>0</v>
      </c>
    </row>
    <row r="8933" spans="1:2" x14ac:dyDescent="0.25">
      <c r="A8933">
        <v>16318</v>
      </c>
      <c r="B8933">
        <v>0</v>
      </c>
    </row>
    <row r="8934" spans="1:2" x14ac:dyDescent="0.25">
      <c r="A8934">
        <v>16321</v>
      </c>
      <c r="B8934">
        <v>0</v>
      </c>
    </row>
    <row r="8935" spans="1:2" x14ac:dyDescent="0.25">
      <c r="A8935">
        <v>16330</v>
      </c>
      <c r="B8935">
        <v>0</v>
      </c>
    </row>
    <row r="8936" spans="1:2" x14ac:dyDescent="0.25">
      <c r="A8936">
        <v>16331</v>
      </c>
      <c r="B8936">
        <v>0</v>
      </c>
    </row>
    <row r="8937" spans="1:2" x14ac:dyDescent="0.25">
      <c r="A8937">
        <v>16334</v>
      </c>
      <c r="B8937">
        <v>0</v>
      </c>
    </row>
    <row r="8938" spans="1:2" x14ac:dyDescent="0.25">
      <c r="A8938">
        <v>16336</v>
      </c>
      <c r="B8938">
        <v>0</v>
      </c>
    </row>
    <row r="8939" spans="1:2" x14ac:dyDescent="0.25">
      <c r="A8939">
        <v>16338</v>
      </c>
      <c r="B8939">
        <v>0</v>
      </c>
    </row>
    <row r="8940" spans="1:2" x14ac:dyDescent="0.25">
      <c r="A8940">
        <v>16339</v>
      </c>
      <c r="B8940">
        <v>0</v>
      </c>
    </row>
    <row r="8941" spans="1:2" x14ac:dyDescent="0.25">
      <c r="A8941">
        <v>16341</v>
      </c>
      <c r="B8941">
        <v>0</v>
      </c>
    </row>
    <row r="8942" spans="1:2" x14ac:dyDescent="0.25">
      <c r="A8942">
        <v>16342</v>
      </c>
      <c r="B8942">
        <v>0</v>
      </c>
    </row>
    <row r="8943" spans="1:2" x14ac:dyDescent="0.25">
      <c r="A8943">
        <v>16344</v>
      </c>
      <c r="B8943">
        <v>0</v>
      </c>
    </row>
    <row r="8944" spans="1:2" x14ac:dyDescent="0.25">
      <c r="A8944">
        <v>16345</v>
      </c>
      <c r="B8944">
        <v>0</v>
      </c>
    </row>
    <row r="8945" spans="1:2" x14ac:dyDescent="0.25">
      <c r="A8945">
        <v>16346</v>
      </c>
      <c r="B8945">
        <v>0</v>
      </c>
    </row>
    <row r="8946" spans="1:2" x14ac:dyDescent="0.25">
      <c r="A8946">
        <v>16347</v>
      </c>
      <c r="B8946">
        <v>0</v>
      </c>
    </row>
    <row r="8947" spans="1:2" x14ac:dyDescent="0.25">
      <c r="A8947">
        <v>16348</v>
      </c>
      <c r="B8947">
        <v>0</v>
      </c>
    </row>
    <row r="8948" spans="1:2" x14ac:dyDescent="0.25">
      <c r="A8948">
        <v>16349</v>
      </c>
      <c r="B8948">
        <v>0</v>
      </c>
    </row>
    <row r="8949" spans="1:2" x14ac:dyDescent="0.25">
      <c r="A8949">
        <v>16350</v>
      </c>
      <c r="B8949">
        <v>0</v>
      </c>
    </row>
    <row r="8950" spans="1:2" x14ac:dyDescent="0.25">
      <c r="A8950">
        <v>16351</v>
      </c>
      <c r="B8950">
        <v>0</v>
      </c>
    </row>
    <row r="8951" spans="1:2" x14ac:dyDescent="0.25">
      <c r="A8951">
        <v>16353</v>
      </c>
      <c r="B8951">
        <v>0</v>
      </c>
    </row>
    <row r="8952" spans="1:2" x14ac:dyDescent="0.25">
      <c r="A8952">
        <v>16354</v>
      </c>
      <c r="B8952">
        <v>0</v>
      </c>
    </row>
    <row r="8953" spans="1:2" x14ac:dyDescent="0.25">
      <c r="A8953">
        <v>16355</v>
      </c>
      <c r="B8953">
        <v>0</v>
      </c>
    </row>
    <row r="8954" spans="1:2" x14ac:dyDescent="0.25">
      <c r="A8954">
        <v>16356</v>
      </c>
      <c r="B8954">
        <v>0</v>
      </c>
    </row>
    <row r="8955" spans="1:2" x14ac:dyDescent="0.25">
      <c r="A8955">
        <v>16357</v>
      </c>
      <c r="B8955">
        <v>0</v>
      </c>
    </row>
    <row r="8956" spans="1:2" x14ac:dyDescent="0.25">
      <c r="A8956">
        <v>16358</v>
      </c>
      <c r="B8956">
        <v>0</v>
      </c>
    </row>
    <row r="8957" spans="1:2" x14ac:dyDescent="0.25">
      <c r="A8957">
        <v>16360</v>
      </c>
      <c r="B8957">
        <v>0</v>
      </c>
    </row>
    <row r="8958" spans="1:2" x14ac:dyDescent="0.25">
      <c r="A8958">
        <v>16361</v>
      </c>
      <c r="B8958">
        <v>0</v>
      </c>
    </row>
    <row r="8959" spans="1:2" x14ac:dyDescent="0.25">
      <c r="A8959">
        <v>16365</v>
      </c>
      <c r="B8959">
        <v>0</v>
      </c>
    </row>
    <row r="8960" spans="1:2" x14ac:dyDescent="0.25">
      <c r="A8960">
        <v>16368</v>
      </c>
      <c r="B8960">
        <v>0</v>
      </c>
    </row>
    <row r="8961" spans="1:2" x14ac:dyDescent="0.25">
      <c r="A8961">
        <v>16370</v>
      </c>
      <c r="B8961">
        <v>0</v>
      </c>
    </row>
    <row r="8962" spans="1:2" x14ac:dyDescent="0.25">
      <c r="A8962">
        <v>16371</v>
      </c>
      <c r="B8962">
        <v>0</v>
      </c>
    </row>
    <row r="8963" spans="1:2" x14ac:dyDescent="0.25">
      <c r="A8963">
        <v>16374</v>
      </c>
      <c r="B8963">
        <v>0</v>
      </c>
    </row>
    <row r="8964" spans="1:2" x14ac:dyDescent="0.25">
      <c r="A8964">
        <v>16377</v>
      </c>
      <c r="B8964">
        <v>0</v>
      </c>
    </row>
    <row r="8965" spans="1:2" x14ac:dyDescent="0.25">
      <c r="A8965">
        <v>16378</v>
      </c>
      <c r="B8965">
        <v>0</v>
      </c>
    </row>
    <row r="8966" spans="1:2" x14ac:dyDescent="0.25">
      <c r="A8966">
        <v>16379</v>
      </c>
      <c r="B8966">
        <v>0</v>
      </c>
    </row>
    <row r="8967" spans="1:2" x14ac:dyDescent="0.25">
      <c r="A8967">
        <v>16380</v>
      </c>
      <c r="B8967">
        <v>0</v>
      </c>
    </row>
    <row r="8968" spans="1:2" x14ac:dyDescent="0.25">
      <c r="A8968">
        <v>16401</v>
      </c>
      <c r="B8968">
        <v>0</v>
      </c>
    </row>
    <row r="8969" spans="1:2" x14ac:dyDescent="0.25">
      <c r="A8969">
        <v>16405</v>
      </c>
      <c r="B8969">
        <v>0</v>
      </c>
    </row>
    <row r="8970" spans="1:2" x14ac:dyDescent="0.25">
      <c r="A8970">
        <v>16406</v>
      </c>
      <c r="B8970">
        <v>0</v>
      </c>
    </row>
    <row r="8971" spans="1:2" x14ac:dyDescent="0.25">
      <c r="A8971">
        <v>16407</v>
      </c>
      <c r="B8971">
        <v>0</v>
      </c>
    </row>
    <row r="8972" spans="1:2" x14ac:dyDescent="0.25">
      <c r="A8972">
        <v>16408</v>
      </c>
      <c r="B8972">
        <v>0</v>
      </c>
    </row>
    <row r="8973" spans="1:2" x14ac:dyDescent="0.25">
      <c r="A8973">
        <v>16409</v>
      </c>
      <c r="B8973">
        <v>0</v>
      </c>
    </row>
    <row r="8974" spans="1:2" x14ac:dyDescent="0.25">
      <c r="A8974">
        <v>16410</v>
      </c>
      <c r="B8974">
        <v>0</v>
      </c>
    </row>
    <row r="8975" spans="1:2" x14ac:dyDescent="0.25">
      <c r="A8975">
        <v>16411</v>
      </c>
      <c r="B8975">
        <v>0</v>
      </c>
    </row>
    <row r="8976" spans="1:2" x14ac:dyDescent="0.25">
      <c r="A8976">
        <v>16412</v>
      </c>
      <c r="B8976">
        <v>0</v>
      </c>
    </row>
    <row r="8977" spans="1:2" x14ac:dyDescent="0.25">
      <c r="A8977">
        <v>16415</v>
      </c>
      <c r="B8977">
        <v>0</v>
      </c>
    </row>
    <row r="8978" spans="1:2" x14ac:dyDescent="0.25">
      <c r="A8978">
        <v>16416</v>
      </c>
      <c r="B8978">
        <v>0</v>
      </c>
    </row>
    <row r="8979" spans="1:2" x14ac:dyDescent="0.25">
      <c r="A8979">
        <v>16417</v>
      </c>
      <c r="B8979">
        <v>0</v>
      </c>
    </row>
    <row r="8980" spans="1:2" x14ac:dyDescent="0.25">
      <c r="A8980">
        <v>16418</v>
      </c>
      <c r="B8980">
        <v>0</v>
      </c>
    </row>
    <row r="8981" spans="1:2" x14ac:dyDescent="0.25">
      <c r="A8981">
        <v>16419</v>
      </c>
      <c r="B8981">
        <v>0</v>
      </c>
    </row>
    <row r="8982" spans="1:2" x14ac:dyDescent="0.25">
      <c r="A8982">
        <v>16420</v>
      </c>
      <c r="B8982">
        <v>0</v>
      </c>
    </row>
    <row r="8983" spans="1:2" x14ac:dyDescent="0.25">
      <c r="A8983">
        <v>16421</v>
      </c>
      <c r="B8983">
        <v>0</v>
      </c>
    </row>
    <row r="8984" spans="1:2" x14ac:dyDescent="0.25">
      <c r="A8984">
        <v>16426</v>
      </c>
      <c r="B8984">
        <v>0</v>
      </c>
    </row>
    <row r="8985" spans="1:2" x14ac:dyDescent="0.25">
      <c r="A8985">
        <v>16428</v>
      </c>
      <c r="B8985">
        <v>0</v>
      </c>
    </row>
    <row r="8986" spans="1:2" x14ac:dyDescent="0.25">
      <c r="A8986">
        <v>16429</v>
      </c>
      <c r="B8986">
        <v>0</v>
      </c>
    </row>
    <row r="8987" spans="1:2" x14ac:dyDescent="0.25">
      <c r="A8987">
        <v>16432</v>
      </c>
      <c r="B8987">
        <v>0</v>
      </c>
    </row>
    <row r="8988" spans="1:2" x14ac:dyDescent="0.25">
      <c r="A8988">
        <v>16433</v>
      </c>
      <c r="B8988">
        <v>0</v>
      </c>
    </row>
    <row r="8989" spans="1:2" x14ac:dyDescent="0.25">
      <c r="A8989">
        <v>16437</v>
      </c>
      <c r="B8989">
        <v>0</v>
      </c>
    </row>
    <row r="8990" spans="1:2" x14ac:dyDescent="0.25">
      <c r="A8990">
        <v>16438</v>
      </c>
      <c r="B8990">
        <v>0</v>
      </c>
    </row>
    <row r="8991" spans="1:2" x14ac:dyDescent="0.25">
      <c r="A8991">
        <v>16442</v>
      </c>
      <c r="B8991">
        <v>0</v>
      </c>
    </row>
    <row r="8992" spans="1:2" x14ac:dyDescent="0.25">
      <c r="A8992">
        <v>16451</v>
      </c>
      <c r="B8992">
        <v>0</v>
      </c>
    </row>
    <row r="8993" spans="1:2" x14ac:dyDescent="0.25">
      <c r="A8993">
        <v>16453</v>
      </c>
      <c r="B8993">
        <v>0</v>
      </c>
    </row>
    <row r="8994" spans="1:2" x14ac:dyDescent="0.25">
      <c r="A8994">
        <v>16458</v>
      </c>
      <c r="B8994">
        <v>0</v>
      </c>
    </row>
    <row r="8995" spans="1:2" x14ac:dyDescent="0.25">
      <c r="A8995">
        <v>16459</v>
      </c>
      <c r="B8995">
        <v>0</v>
      </c>
    </row>
    <row r="8996" spans="1:2" x14ac:dyDescent="0.25">
      <c r="A8996">
        <v>16461</v>
      </c>
      <c r="B8996">
        <v>0</v>
      </c>
    </row>
    <row r="8997" spans="1:2" x14ac:dyDescent="0.25">
      <c r="A8997">
        <v>16462</v>
      </c>
      <c r="B8997">
        <v>0</v>
      </c>
    </row>
    <row r="8998" spans="1:2" x14ac:dyDescent="0.25">
      <c r="A8998">
        <v>16463</v>
      </c>
      <c r="B8998">
        <v>0</v>
      </c>
    </row>
    <row r="8999" spans="1:2" x14ac:dyDescent="0.25">
      <c r="A8999">
        <v>16464</v>
      </c>
      <c r="B8999">
        <v>0</v>
      </c>
    </row>
    <row r="9000" spans="1:2" x14ac:dyDescent="0.25">
      <c r="A9000">
        <v>16466</v>
      </c>
      <c r="B9000">
        <v>0</v>
      </c>
    </row>
    <row r="9001" spans="1:2" x14ac:dyDescent="0.25">
      <c r="A9001">
        <v>16467</v>
      </c>
      <c r="B9001">
        <v>0</v>
      </c>
    </row>
    <row r="9002" spans="1:2" x14ac:dyDescent="0.25">
      <c r="A9002">
        <v>16470</v>
      </c>
      <c r="B9002">
        <v>0</v>
      </c>
    </row>
    <row r="9003" spans="1:2" x14ac:dyDescent="0.25">
      <c r="A9003">
        <v>16471</v>
      </c>
      <c r="B9003">
        <v>0</v>
      </c>
    </row>
    <row r="9004" spans="1:2" x14ac:dyDescent="0.25">
      <c r="A9004">
        <v>16473</v>
      </c>
      <c r="B9004">
        <v>0</v>
      </c>
    </row>
    <row r="9005" spans="1:2" x14ac:dyDescent="0.25">
      <c r="A9005">
        <v>16474</v>
      </c>
      <c r="B9005">
        <v>0</v>
      </c>
    </row>
    <row r="9006" spans="1:2" x14ac:dyDescent="0.25">
      <c r="A9006">
        <v>16476</v>
      </c>
      <c r="B9006">
        <v>0</v>
      </c>
    </row>
    <row r="9007" spans="1:2" x14ac:dyDescent="0.25">
      <c r="A9007">
        <v>16477</v>
      </c>
      <c r="B9007">
        <v>0</v>
      </c>
    </row>
    <row r="9008" spans="1:2" x14ac:dyDescent="0.25">
      <c r="A9008">
        <v>16479</v>
      </c>
      <c r="B9008">
        <v>0</v>
      </c>
    </row>
    <row r="9009" spans="1:2" x14ac:dyDescent="0.25">
      <c r="A9009">
        <v>16480</v>
      </c>
      <c r="B9009">
        <v>0</v>
      </c>
    </row>
    <row r="9010" spans="1:2" x14ac:dyDescent="0.25">
      <c r="A9010">
        <v>16481</v>
      </c>
      <c r="B9010">
        <v>0</v>
      </c>
    </row>
    <row r="9011" spans="1:2" x14ac:dyDescent="0.25">
      <c r="A9011">
        <v>16488</v>
      </c>
      <c r="B9011">
        <v>0</v>
      </c>
    </row>
    <row r="9012" spans="1:2" x14ac:dyDescent="0.25">
      <c r="A9012">
        <v>16503</v>
      </c>
      <c r="B9012">
        <v>1</v>
      </c>
    </row>
    <row r="9013" spans="1:2" x14ac:dyDescent="0.25">
      <c r="A9013">
        <v>16504</v>
      </c>
      <c r="B9013">
        <v>0</v>
      </c>
    </row>
    <row r="9014" spans="1:2" x14ac:dyDescent="0.25">
      <c r="A9014">
        <v>16505</v>
      </c>
      <c r="B9014">
        <v>0</v>
      </c>
    </row>
    <row r="9015" spans="1:2" x14ac:dyDescent="0.25">
      <c r="A9015">
        <v>16506</v>
      </c>
      <c r="B9015">
        <v>0</v>
      </c>
    </row>
    <row r="9016" spans="1:2" x14ac:dyDescent="0.25">
      <c r="A9016">
        <v>16512</v>
      </c>
      <c r="B9016">
        <v>0</v>
      </c>
    </row>
    <row r="9017" spans="1:2" x14ac:dyDescent="0.25">
      <c r="A9017">
        <v>16513</v>
      </c>
      <c r="B9017">
        <v>0</v>
      </c>
    </row>
    <row r="9018" spans="1:2" x14ac:dyDescent="0.25">
      <c r="A9018">
        <v>16514</v>
      </c>
      <c r="B9018">
        <v>0</v>
      </c>
    </row>
    <row r="9019" spans="1:2" x14ac:dyDescent="0.25">
      <c r="A9019">
        <v>16515</v>
      </c>
      <c r="B9019">
        <v>0</v>
      </c>
    </row>
    <row r="9020" spans="1:2" x14ac:dyDescent="0.25">
      <c r="A9020">
        <v>16516</v>
      </c>
      <c r="B9020">
        <v>0</v>
      </c>
    </row>
    <row r="9021" spans="1:2" x14ac:dyDescent="0.25">
      <c r="A9021">
        <v>16517</v>
      </c>
      <c r="B9021">
        <v>0</v>
      </c>
    </row>
    <row r="9022" spans="1:2" x14ac:dyDescent="0.25">
      <c r="A9022">
        <v>16518</v>
      </c>
      <c r="B9022">
        <v>0</v>
      </c>
    </row>
    <row r="9023" spans="1:2" x14ac:dyDescent="0.25">
      <c r="A9023">
        <v>16519</v>
      </c>
      <c r="B9023">
        <v>0</v>
      </c>
    </row>
    <row r="9024" spans="1:2" x14ac:dyDescent="0.25">
      <c r="A9024">
        <v>16520</v>
      </c>
      <c r="B9024">
        <v>0</v>
      </c>
    </row>
    <row r="9025" spans="1:2" x14ac:dyDescent="0.25">
      <c r="A9025">
        <v>16521</v>
      </c>
      <c r="B9025">
        <v>0</v>
      </c>
    </row>
    <row r="9026" spans="1:2" x14ac:dyDescent="0.25">
      <c r="A9026">
        <v>16522</v>
      </c>
      <c r="B9026">
        <v>0</v>
      </c>
    </row>
    <row r="9027" spans="1:2" x14ac:dyDescent="0.25">
      <c r="A9027">
        <v>16523</v>
      </c>
      <c r="B9027">
        <v>0</v>
      </c>
    </row>
    <row r="9028" spans="1:2" x14ac:dyDescent="0.25">
      <c r="A9028">
        <v>16524</v>
      </c>
      <c r="B9028">
        <v>0</v>
      </c>
    </row>
    <row r="9029" spans="1:2" x14ac:dyDescent="0.25">
      <c r="A9029">
        <v>16525</v>
      </c>
      <c r="B9029">
        <v>0</v>
      </c>
    </row>
    <row r="9030" spans="1:2" x14ac:dyDescent="0.25">
      <c r="A9030">
        <v>16526</v>
      </c>
      <c r="B9030">
        <v>0</v>
      </c>
    </row>
    <row r="9031" spans="1:2" x14ac:dyDescent="0.25">
      <c r="A9031">
        <v>16527</v>
      </c>
      <c r="B9031">
        <v>0</v>
      </c>
    </row>
    <row r="9032" spans="1:2" x14ac:dyDescent="0.25">
      <c r="A9032">
        <v>16532</v>
      </c>
      <c r="B9032">
        <v>0</v>
      </c>
    </row>
    <row r="9033" spans="1:2" x14ac:dyDescent="0.25">
      <c r="A9033">
        <v>16534</v>
      </c>
      <c r="B9033">
        <v>0</v>
      </c>
    </row>
    <row r="9034" spans="1:2" x14ac:dyDescent="0.25">
      <c r="A9034">
        <v>16536</v>
      </c>
      <c r="B9034">
        <v>0</v>
      </c>
    </row>
    <row r="9035" spans="1:2" x14ac:dyDescent="0.25">
      <c r="A9035">
        <v>16538</v>
      </c>
      <c r="B9035">
        <v>0</v>
      </c>
    </row>
    <row r="9036" spans="1:2" x14ac:dyDescent="0.25">
      <c r="A9036">
        <v>16540</v>
      </c>
      <c r="B9036">
        <v>0</v>
      </c>
    </row>
    <row r="9037" spans="1:2" x14ac:dyDescent="0.25">
      <c r="A9037">
        <v>16542</v>
      </c>
      <c r="B9037">
        <v>0</v>
      </c>
    </row>
    <row r="9038" spans="1:2" x14ac:dyDescent="0.25">
      <c r="A9038">
        <v>16544</v>
      </c>
      <c r="B9038">
        <v>0</v>
      </c>
    </row>
    <row r="9039" spans="1:2" x14ac:dyDescent="0.25">
      <c r="A9039">
        <v>16546</v>
      </c>
      <c r="B9039">
        <v>0</v>
      </c>
    </row>
    <row r="9040" spans="1:2" x14ac:dyDescent="0.25">
      <c r="A9040">
        <v>16548</v>
      </c>
      <c r="B9040">
        <v>0</v>
      </c>
    </row>
    <row r="9041" spans="1:2" x14ac:dyDescent="0.25">
      <c r="A9041">
        <v>16549</v>
      </c>
      <c r="B9041">
        <v>0</v>
      </c>
    </row>
    <row r="9042" spans="1:2" x14ac:dyDescent="0.25">
      <c r="A9042">
        <v>16551</v>
      </c>
      <c r="B9042">
        <v>0</v>
      </c>
    </row>
    <row r="9043" spans="1:2" x14ac:dyDescent="0.25">
      <c r="A9043">
        <v>16553</v>
      </c>
      <c r="B9043">
        <v>0</v>
      </c>
    </row>
    <row r="9044" spans="1:2" x14ac:dyDescent="0.25">
      <c r="A9044">
        <v>16555</v>
      </c>
      <c r="B9044">
        <v>0</v>
      </c>
    </row>
    <row r="9045" spans="1:2" x14ac:dyDescent="0.25">
      <c r="A9045">
        <v>16557</v>
      </c>
      <c r="B9045">
        <v>0</v>
      </c>
    </row>
    <row r="9046" spans="1:2" x14ac:dyDescent="0.25">
      <c r="A9046">
        <v>16559</v>
      </c>
      <c r="B9046">
        <v>0</v>
      </c>
    </row>
    <row r="9047" spans="1:2" x14ac:dyDescent="0.25">
      <c r="A9047">
        <v>16561</v>
      </c>
      <c r="B9047">
        <v>0</v>
      </c>
    </row>
    <row r="9048" spans="1:2" x14ac:dyDescent="0.25">
      <c r="A9048">
        <v>16563</v>
      </c>
      <c r="B9048">
        <v>0</v>
      </c>
    </row>
    <row r="9049" spans="1:2" x14ac:dyDescent="0.25">
      <c r="A9049">
        <v>16565</v>
      </c>
      <c r="B9049">
        <v>0</v>
      </c>
    </row>
    <row r="9050" spans="1:2" x14ac:dyDescent="0.25">
      <c r="A9050">
        <v>16567</v>
      </c>
      <c r="B9050">
        <v>0</v>
      </c>
    </row>
    <row r="9051" spans="1:2" x14ac:dyDescent="0.25">
      <c r="A9051">
        <v>16569</v>
      </c>
      <c r="B9051">
        <v>0</v>
      </c>
    </row>
    <row r="9052" spans="1:2" x14ac:dyDescent="0.25">
      <c r="A9052">
        <v>16571</v>
      </c>
      <c r="B9052">
        <v>0</v>
      </c>
    </row>
    <row r="9053" spans="1:2" x14ac:dyDescent="0.25">
      <c r="A9053">
        <v>16573</v>
      </c>
      <c r="B9053">
        <v>0</v>
      </c>
    </row>
    <row r="9054" spans="1:2" x14ac:dyDescent="0.25">
      <c r="A9054">
        <v>16575</v>
      </c>
      <c r="B9054">
        <v>0</v>
      </c>
    </row>
    <row r="9055" spans="1:2" x14ac:dyDescent="0.25">
      <c r="A9055">
        <v>16577</v>
      </c>
      <c r="B9055">
        <v>0</v>
      </c>
    </row>
    <row r="9056" spans="1:2" x14ac:dyDescent="0.25">
      <c r="A9056">
        <v>16579</v>
      </c>
      <c r="B9056">
        <v>0</v>
      </c>
    </row>
    <row r="9057" spans="1:2" x14ac:dyDescent="0.25">
      <c r="A9057">
        <v>16581</v>
      </c>
      <c r="B9057">
        <v>0</v>
      </c>
    </row>
    <row r="9058" spans="1:2" x14ac:dyDescent="0.25">
      <c r="A9058">
        <v>16583</v>
      </c>
      <c r="B9058">
        <v>0</v>
      </c>
    </row>
    <row r="9059" spans="1:2" x14ac:dyDescent="0.25">
      <c r="A9059">
        <v>16585</v>
      </c>
      <c r="B9059">
        <v>0</v>
      </c>
    </row>
    <row r="9060" spans="1:2" x14ac:dyDescent="0.25">
      <c r="A9060">
        <v>16587</v>
      </c>
      <c r="B9060">
        <v>0</v>
      </c>
    </row>
    <row r="9061" spans="1:2" x14ac:dyDescent="0.25">
      <c r="A9061">
        <v>16589</v>
      </c>
      <c r="B9061">
        <v>0</v>
      </c>
    </row>
    <row r="9062" spans="1:2" x14ac:dyDescent="0.25">
      <c r="A9062">
        <v>16592</v>
      </c>
      <c r="B9062">
        <v>0</v>
      </c>
    </row>
    <row r="9063" spans="1:2" x14ac:dyDescent="0.25">
      <c r="A9063">
        <v>16593</v>
      </c>
      <c r="B9063">
        <v>0</v>
      </c>
    </row>
    <row r="9064" spans="1:2" x14ac:dyDescent="0.25">
      <c r="A9064">
        <v>16595</v>
      </c>
      <c r="B9064">
        <v>0</v>
      </c>
    </row>
    <row r="9065" spans="1:2" x14ac:dyDescent="0.25">
      <c r="A9065">
        <v>16596</v>
      </c>
      <c r="B9065">
        <v>0</v>
      </c>
    </row>
    <row r="9066" spans="1:2" x14ac:dyDescent="0.25">
      <c r="A9066">
        <v>16598</v>
      </c>
      <c r="B9066">
        <v>0</v>
      </c>
    </row>
    <row r="9067" spans="1:2" x14ac:dyDescent="0.25">
      <c r="A9067">
        <v>16606</v>
      </c>
      <c r="B9067">
        <v>0</v>
      </c>
    </row>
    <row r="9068" spans="1:2" x14ac:dyDescent="0.25">
      <c r="A9068">
        <v>16608</v>
      </c>
      <c r="B9068">
        <v>0</v>
      </c>
    </row>
    <row r="9069" spans="1:2" x14ac:dyDescent="0.25">
      <c r="A9069">
        <v>16610</v>
      </c>
      <c r="B9069">
        <v>0</v>
      </c>
    </row>
    <row r="9070" spans="1:2" x14ac:dyDescent="0.25">
      <c r="A9070">
        <v>16612</v>
      </c>
      <c r="B9070">
        <v>0</v>
      </c>
    </row>
    <row r="9071" spans="1:2" x14ac:dyDescent="0.25">
      <c r="A9071">
        <v>16614</v>
      </c>
      <c r="B9071">
        <v>0</v>
      </c>
    </row>
    <row r="9072" spans="1:2" x14ac:dyDescent="0.25">
      <c r="A9072">
        <v>16616</v>
      </c>
      <c r="B9072">
        <v>0</v>
      </c>
    </row>
    <row r="9073" spans="1:2" x14ac:dyDescent="0.25">
      <c r="A9073">
        <v>16618</v>
      </c>
      <c r="B9073">
        <v>0</v>
      </c>
    </row>
    <row r="9074" spans="1:2" x14ac:dyDescent="0.25">
      <c r="A9074">
        <v>16620</v>
      </c>
      <c r="B9074">
        <v>0</v>
      </c>
    </row>
    <row r="9075" spans="1:2" x14ac:dyDescent="0.25">
      <c r="A9075">
        <v>16622</v>
      </c>
      <c r="B9075">
        <v>0</v>
      </c>
    </row>
    <row r="9076" spans="1:2" x14ac:dyDescent="0.25">
      <c r="A9076">
        <v>16624</v>
      </c>
      <c r="B9076">
        <v>0</v>
      </c>
    </row>
    <row r="9077" spans="1:2" x14ac:dyDescent="0.25">
      <c r="A9077">
        <v>16626</v>
      </c>
      <c r="B9077">
        <v>0</v>
      </c>
    </row>
    <row r="9078" spans="1:2" x14ac:dyDescent="0.25">
      <c r="A9078">
        <v>16633</v>
      </c>
      <c r="B9078">
        <v>0</v>
      </c>
    </row>
    <row r="9079" spans="1:2" x14ac:dyDescent="0.25">
      <c r="A9079">
        <v>16635</v>
      </c>
      <c r="B9079">
        <v>0</v>
      </c>
    </row>
    <row r="9080" spans="1:2" x14ac:dyDescent="0.25">
      <c r="A9080">
        <v>16637</v>
      </c>
      <c r="B9080">
        <v>0</v>
      </c>
    </row>
    <row r="9081" spans="1:2" x14ac:dyDescent="0.25">
      <c r="A9081">
        <v>16639</v>
      </c>
      <c r="B9081">
        <v>0</v>
      </c>
    </row>
    <row r="9082" spans="1:2" x14ac:dyDescent="0.25">
      <c r="A9082">
        <v>16640</v>
      </c>
      <c r="B9082">
        <v>0</v>
      </c>
    </row>
    <row r="9083" spans="1:2" x14ac:dyDescent="0.25">
      <c r="A9083">
        <v>16641</v>
      </c>
      <c r="B9083">
        <v>0</v>
      </c>
    </row>
    <row r="9084" spans="1:2" x14ac:dyDescent="0.25">
      <c r="A9084">
        <v>16642</v>
      </c>
      <c r="B9084">
        <v>0</v>
      </c>
    </row>
    <row r="9085" spans="1:2" x14ac:dyDescent="0.25">
      <c r="A9085">
        <v>16643</v>
      </c>
      <c r="B9085">
        <v>0</v>
      </c>
    </row>
    <row r="9086" spans="1:2" x14ac:dyDescent="0.25">
      <c r="A9086">
        <v>16644</v>
      </c>
      <c r="B9086">
        <v>0</v>
      </c>
    </row>
    <row r="9087" spans="1:2" x14ac:dyDescent="0.25">
      <c r="A9087">
        <v>16645</v>
      </c>
      <c r="B9087">
        <v>0</v>
      </c>
    </row>
    <row r="9088" spans="1:2" x14ac:dyDescent="0.25">
      <c r="A9088">
        <v>16646</v>
      </c>
      <c r="B9088">
        <v>0</v>
      </c>
    </row>
    <row r="9089" spans="1:2" x14ac:dyDescent="0.25">
      <c r="A9089">
        <v>16647</v>
      </c>
      <c r="B9089">
        <v>0</v>
      </c>
    </row>
    <row r="9090" spans="1:2" x14ac:dyDescent="0.25">
      <c r="A9090">
        <v>16648</v>
      </c>
      <c r="B9090">
        <v>0</v>
      </c>
    </row>
    <row r="9091" spans="1:2" x14ac:dyDescent="0.25">
      <c r="A9091">
        <v>16649</v>
      </c>
      <c r="B9091">
        <v>0</v>
      </c>
    </row>
    <row r="9092" spans="1:2" x14ac:dyDescent="0.25">
      <c r="A9092">
        <v>16651</v>
      </c>
      <c r="B9092">
        <v>0</v>
      </c>
    </row>
    <row r="9093" spans="1:2" x14ac:dyDescent="0.25">
      <c r="A9093">
        <v>16654</v>
      </c>
      <c r="B9093">
        <v>0</v>
      </c>
    </row>
    <row r="9094" spans="1:2" x14ac:dyDescent="0.25">
      <c r="A9094">
        <v>16656</v>
      </c>
      <c r="B9094">
        <v>0</v>
      </c>
    </row>
    <row r="9095" spans="1:2" x14ac:dyDescent="0.25">
      <c r="A9095">
        <v>16661</v>
      </c>
      <c r="B9095">
        <v>0</v>
      </c>
    </row>
    <row r="9096" spans="1:2" x14ac:dyDescent="0.25">
      <c r="A9096">
        <v>16663</v>
      </c>
      <c r="B9096">
        <v>0</v>
      </c>
    </row>
    <row r="9097" spans="1:2" x14ac:dyDescent="0.25">
      <c r="A9097">
        <v>16665</v>
      </c>
      <c r="B9097">
        <v>0</v>
      </c>
    </row>
    <row r="9098" spans="1:2" x14ac:dyDescent="0.25">
      <c r="A9098">
        <v>16667</v>
      </c>
      <c r="B9098">
        <v>0</v>
      </c>
    </row>
    <row r="9099" spans="1:2" x14ac:dyDescent="0.25">
      <c r="A9099">
        <v>16669</v>
      </c>
      <c r="B9099">
        <v>0</v>
      </c>
    </row>
    <row r="9100" spans="1:2" x14ac:dyDescent="0.25">
      <c r="A9100">
        <v>16671</v>
      </c>
      <c r="B9100">
        <v>0</v>
      </c>
    </row>
    <row r="9101" spans="1:2" x14ac:dyDescent="0.25">
      <c r="A9101">
        <v>16673</v>
      </c>
      <c r="B9101">
        <v>0</v>
      </c>
    </row>
    <row r="9102" spans="1:2" x14ac:dyDescent="0.25">
      <c r="A9102">
        <v>16675</v>
      </c>
      <c r="B9102">
        <v>0</v>
      </c>
    </row>
    <row r="9103" spans="1:2" x14ac:dyDescent="0.25">
      <c r="A9103">
        <v>16680</v>
      </c>
      <c r="B9103">
        <v>0</v>
      </c>
    </row>
    <row r="9104" spans="1:2" x14ac:dyDescent="0.25">
      <c r="A9104">
        <v>16681</v>
      </c>
      <c r="B9104">
        <v>0</v>
      </c>
    </row>
    <row r="9105" spans="1:2" x14ac:dyDescent="0.25">
      <c r="A9105">
        <v>16683</v>
      </c>
      <c r="B9105">
        <v>0</v>
      </c>
    </row>
    <row r="9106" spans="1:2" x14ac:dyDescent="0.25">
      <c r="A9106">
        <v>16693</v>
      </c>
      <c r="B9106">
        <v>0</v>
      </c>
    </row>
    <row r="9107" spans="1:2" x14ac:dyDescent="0.25">
      <c r="A9107">
        <v>16694</v>
      </c>
      <c r="B9107">
        <v>0</v>
      </c>
    </row>
    <row r="9108" spans="1:2" x14ac:dyDescent="0.25">
      <c r="A9108">
        <v>16695</v>
      </c>
      <c r="B9108">
        <v>0</v>
      </c>
    </row>
    <row r="9109" spans="1:2" x14ac:dyDescent="0.25">
      <c r="A9109">
        <v>16696</v>
      </c>
      <c r="B9109">
        <v>0</v>
      </c>
    </row>
    <row r="9110" spans="1:2" x14ac:dyDescent="0.25">
      <c r="A9110">
        <v>16697</v>
      </c>
      <c r="B9110">
        <v>0</v>
      </c>
    </row>
    <row r="9111" spans="1:2" x14ac:dyDescent="0.25">
      <c r="A9111">
        <v>16698</v>
      </c>
      <c r="B9111">
        <v>0</v>
      </c>
    </row>
    <row r="9112" spans="1:2" x14ac:dyDescent="0.25">
      <c r="A9112">
        <v>16700</v>
      </c>
      <c r="B9112">
        <v>0</v>
      </c>
    </row>
    <row r="9113" spans="1:2" x14ac:dyDescent="0.25">
      <c r="A9113">
        <v>16701</v>
      </c>
      <c r="B9113">
        <v>0</v>
      </c>
    </row>
    <row r="9114" spans="1:2" x14ac:dyDescent="0.25">
      <c r="A9114">
        <v>16706</v>
      </c>
      <c r="B9114">
        <v>0</v>
      </c>
    </row>
    <row r="9115" spans="1:2" x14ac:dyDescent="0.25">
      <c r="A9115">
        <v>16707</v>
      </c>
      <c r="B9115">
        <v>0</v>
      </c>
    </row>
    <row r="9116" spans="1:2" x14ac:dyDescent="0.25">
      <c r="A9116">
        <v>16708</v>
      </c>
      <c r="B9116">
        <v>0</v>
      </c>
    </row>
    <row r="9117" spans="1:2" x14ac:dyDescent="0.25">
      <c r="A9117">
        <v>16709</v>
      </c>
      <c r="B9117">
        <v>0</v>
      </c>
    </row>
    <row r="9118" spans="1:2" x14ac:dyDescent="0.25">
      <c r="A9118">
        <v>16710</v>
      </c>
      <c r="B9118">
        <v>0</v>
      </c>
    </row>
    <row r="9119" spans="1:2" x14ac:dyDescent="0.25">
      <c r="A9119">
        <v>16711</v>
      </c>
      <c r="B9119">
        <v>0</v>
      </c>
    </row>
    <row r="9120" spans="1:2" x14ac:dyDescent="0.25">
      <c r="A9120">
        <v>16712</v>
      </c>
      <c r="B9120">
        <v>0</v>
      </c>
    </row>
    <row r="9121" spans="1:2" x14ac:dyDescent="0.25">
      <c r="A9121">
        <v>16713</v>
      </c>
      <c r="B9121">
        <v>0</v>
      </c>
    </row>
    <row r="9122" spans="1:2" x14ac:dyDescent="0.25">
      <c r="A9122">
        <v>16714</v>
      </c>
      <c r="B9122">
        <v>0</v>
      </c>
    </row>
    <row r="9123" spans="1:2" x14ac:dyDescent="0.25">
      <c r="A9123">
        <v>16715</v>
      </c>
      <c r="B9123">
        <v>0</v>
      </c>
    </row>
    <row r="9124" spans="1:2" x14ac:dyDescent="0.25">
      <c r="A9124">
        <v>16716</v>
      </c>
      <c r="B9124">
        <v>0</v>
      </c>
    </row>
    <row r="9125" spans="1:2" x14ac:dyDescent="0.25">
      <c r="A9125">
        <v>16717</v>
      </c>
      <c r="B9125">
        <v>0</v>
      </c>
    </row>
    <row r="9126" spans="1:2" x14ac:dyDescent="0.25">
      <c r="A9126">
        <v>16721</v>
      </c>
      <c r="B9126">
        <v>0</v>
      </c>
    </row>
    <row r="9127" spans="1:2" x14ac:dyDescent="0.25">
      <c r="A9127">
        <v>16722</v>
      </c>
      <c r="B9127">
        <v>0</v>
      </c>
    </row>
    <row r="9128" spans="1:2" x14ac:dyDescent="0.25">
      <c r="A9128">
        <v>16723</v>
      </c>
      <c r="B9128">
        <v>0</v>
      </c>
    </row>
    <row r="9129" spans="1:2" x14ac:dyDescent="0.25">
      <c r="A9129">
        <v>16728</v>
      </c>
      <c r="B9129">
        <v>0</v>
      </c>
    </row>
    <row r="9130" spans="1:2" x14ac:dyDescent="0.25">
      <c r="A9130">
        <v>16731</v>
      </c>
      <c r="B9130">
        <v>0</v>
      </c>
    </row>
    <row r="9131" spans="1:2" x14ac:dyDescent="0.25">
      <c r="A9131">
        <v>16749</v>
      </c>
      <c r="B9131">
        <v>0</v>
      </c>
    </row>
    <row r="9132" spans="1:2" x14ac:dyDescent="0.25">
      <c r="A9132">
        <v>16750</v>
      </c>
      <c r="B9132">
        <v>0</v>
      </c>
    </row>
    <row r="9133" spans="1:2" x14ac:dyDescent="0.25">
      <c r="A9133">
        <v>16753</v>
      </c>
      <c r="B9133">
        <v>0</v>
      </c>
    </row>
    <row r="9134" spans="1:2" x14ac:dyDescent="0.25">
      <c r="A9134">
        <v>16754</v>
      </c>
      <c r="B9134">
        <v>0</v>
      </c>
    </row>
    <row r="9135" spans="1:2" x14ac:dyDescent="0.25">
      <c r="A9135">
        <v>16759</v>
      </c>
      <c r="B9135">
        <v>0</v>
      </c>
    </row>
    <row r="9136" spans="1:2" x14ac:dyDescent="0.25">
      <c r="A9136">
        <v>16776</v>
      </c>
      <c r="B9136">
        <v>0</v>
      </c>
    </row>
    <row r="9137" spans="1:2" x14ac:dyDescent="0.25">
      <c r="A9137">
        <v>16778</v>
      </c>
      <c r="B9137">
        <v>0</v>
      </c>
    </row>
    <row r="9138" spans="1:2" x14ac:dyDescent="0.25">
      <c r="A9138">
        <v>16779</v>
      </c>
      <c r="B9138">
        <v>0</v>
      </c>
    </row>
    <row r="9139" spans="1:2" x14ac:dyDescent="0.25">
      <c r="A9139">
        <v>16780</v>
      </c>
      <c r="B9139">
        <v>0</v>
      </c>
    </row>
    <row r="9140" spans="1:2" x14ac:dyDescent="0.25">
      <c r="A9140">
        <v>16781</v>
      </c>
      <c r="B9140">
        <v>0</v>
      </c>
    </row>
    <row r="9141" spans="1:2" x14ac:dyDescent="0.25">
      <c r="A9141">
        <v>16782</v>
      </c>
      <c r="B9141">
        <v>0</v>
      </c>
    </row>
    <row r="9142" spans="1:2" x14ac:dyDescent="0.25">
      <c r="A9142">
        <v>16783</v>
      </c>
      <c r="B9142">
        <v>0</v>
      </c>
    </row>
    <row r="9143" spans="1:2" x14ac:dyDescent="0.25">
      <c r="A9143">
        <v>16784</v>
      </c>
      <c r="B9143">
        <v>0</v>
      </c>
    </row>
    <row r="9144" spans="1:2" x14ac:dyDescent="0.25">
      <c r="A9144">
        <v>16785</v>
      </c>
      <c r="B9144">
        <v>0</v>
      </c>
    </row>
    <row r="9145" spans="1:2" x14ac:dyDescent="0.25">
      <c r="A9145">
        <v>16786</v>
      </c>
      <c r="B9145">
        <v>0</v>
      </c>
    </row>
    <row r="9146" spans="1:2" x14ac:dyDescent="0.25">
      <c r="A9146">
        <v>16787</v>
      </c>
      <c r="B9146">
        <v>0</v>
      </c>
    </row>
    <row r="9147" spans="1:2" x14ac:dyDescent="0.25">
      <c r="A9147">
        <v>16788</v>
      </c>
      <c r="B9147">
        <v>0</v>
      </c>
    </row>
    <row r="9148" spans="1:2" x14ac:dyDescent="0.25">
      <c r="A9148">
        <v>16789</v>
      </c>
      <c r="B9148">
        <v>0</v>
      </c>
    </row>
    <row r="9149" spans="1:2" x14ac:dyDescent="0.25">
      <c r="A9149">
        <v>16790</v>
      </c>
      <c r="B9149">
        <v>0</v>
      </c>
    </row>
    <row r="9150" spans="1:2" x14ac:dyDescent="0.25">
      <c r="A9150">
        <v>16791</v>
      </c>
      <c r="B9150">
        <v>0</v>
      </c>
    </row>
    <row r="9151" spans="1:2" x14ac:dyDescent="0.25">
      <c r="A9151">
        <v>16793</v>
      </c>
      <c r="B9151">
        <v>0</v>
      </c>
    </row>
    <row r="9152" spans="1:2" x14ac:dyDescent="0.25">
      <c r="A9152">
        <v>16795</v>
      </c>
      <c r="B9152">
        <v>0</v>
      </c>
    </row>
    <row r="9153" spans="1:2" x14ac:dyDescent="0.25">
      <c r="A9153">
        <v>16797</v>
      </c>
      <c r="B9153">
        <v>0</v>
      </c>
    </row>
    <row r="9154" spans="1:2" x14ac:dyDescent="0.25">
      <c r="A9154">
        <v>16799</v>
      </c>
      <c r="B9154">
        <v>0</v>
      </c>
    </row>
    <row r="9155" spans="1:2" x14ac:dyDescent="0.25">
      <c r="A9155">
        <v>16801</v>
      </c>
      <c r="B9155">
        <v>0</v>
      </c>
    </row>
    <row r="9156" spans="1:2" x14ac:dyDescent="0.25">
      <c r="A9156">
        <v>16802</v>
      </c>
      <c r="B9156">
        <v>0</v>
      </c>
    </row>
    <row r="9157" spans="1:2" x14ac:dyDescent="0.25">
      <c r="A9157">
        <v>16806</v>
      </c>
      <c r="B9157">
        <v>0</v>
      </c>
    </row>
    <row r="9158" spans="1:2" x14ac:dyDescent="0.25">
      <c r="A9158">
        <v>16808</v>
      </c>
      <c r="B9158">
        <v>0</v>
      </c>
    </row>
    <row r="9159" spans="1:2" x14ac:dyDescent="0.25">
      <c r="A9159">
        <v>16810</v>
      </c>
      <c r="B9159">
        <v>0</v>
      </c>
    </row>
    <row r="9160" spans="1:2" x14ac:dyDescent="0.25">
      <c r="A9160">
        <v>16811</v>
      </c>
      <c r="B9160">
        <v>0</v>
      </c>
    </row>
    <row r="9161" spans="1:2" x14ac:dyDescent="0.25">
      <c r="A9161">
        <v>16812</v>
      </c>
      <c r="B9161">
        <v>0</v>
      </c>
    </row>
    <row r="9162" spans="1:2" x14ac:dyDescent="0.25">
      <c r="A9162">
        <v>16813</v>
      </c>
      <c r="B9162">
        <v>0</v>
      </c>
    </row>
    <row r="9163" spans="1:2" x14ac:dyDescent="0.25">
      <c r="A9163">
        <v>16816</v>
      </c>
      <c r="B9163">
        <v>0</v>
      </c>
    </row>
    <row r="9164" spans="1:2" x14ac:dyDescent="0.25">
      <c r="A9164">
        <v>16819</v>
      </c>
      <c r="B9164">
        <v>0</v>
      </c>
    </row>
    <row r="9165" spans="1:2" x14ac:dyDescent="0.25">
      <c r="A9165">
        <v>16822</v>
      </c>
      <c r="B9165">
        <v>0</v>
      </c>
    </row>
    <row r="9166" spans="1:2" x14ac:dyDescent="0.25">
      <c r="A9166">
        <v>16830</v>
      </c>
      <c r="B9166">
        <v>0</v>
      </c>
    </row>
    <row r="9167" spans="1:2" x14ac:dyDescent="0.25">
      <c r="A9167">
        <v>16831</v>
      </c>
      <c r="B9167">
        <v>0</v>
      </c>
    </row>
    <row r="9168" spans="1:2" x14ac:dyDescent="0.25">
      <c r="A9168">
        <v>16832</v>
      </c>
      <c r="B9168">
        <v>0</v>
      </c>
    </row>
    <row r="9169" spans="1:2" x14ac:dyDescent="0.25">
      <c r="A9169">
        <v>16834</v>
      </c>
      <c r="B9169">
        <v>0</v>
      </c>
    </row>
    <row r="9170" spans="1:2" x14ac:dyDescent="0.25">
      <c r="A9170">
        <v>16836</v>
      </c>
      <c r="B9170">
        <v>0</v>
      </c>
    </row>
    <row r="9171" spans="1:2" x14ac:dyDescent="0.25">
      <c r="A9171">
        <v>16837</v>
      </c>
      <c r="B9171">
        <v>0</v>
      </c>
    </row>
    <row r="9172" spans="1:2" x14ac:dyDescent="0.25">
      <c r="A9172">
        <v>16838</v>
      </c>
      <c r="B9172">
        <v>0</v>
      </c>
    </row>
    <row r="9173" spans="1:2" x14ac:dyDescent="0.25">
      <c r="A9173">
        <v>16839</v>
      </c>
      <c r="B9173">
        <v>0</v>
      </c>
    </row>
    <row r="9174" spans="1:2" x14ac:dyDescent="0.25">
      <c r="A9174">
        <v>16866</v>
      </c>
      <c r="B9174">
        <v>0</v>
      </c>
    </row>
    <row r="9175" spans="1:2" x14ac:dyDescent="0.25">
      <c r="A9175">
        <v>16869</v>
      </c>
      <c r="B9175">
        <v>0</v>
      </c>
    </row>
    <row r="9176" spans="1:2" x14ac:dyDescent="0.25">
      <c r="A9176">
        <v>16872</v>
      </c>
      <c r="B9176">
        <v>0</v>
      </c>
    </row>
    <row r="9177" spans="1:2" x14ac:dyDescent="0.25">
      <c r="A9177">
        <v>16875</v>
      </c>
      <c r="B9177">
        <v>0</v>
      </c>
    </row>
    <row r="9178" spans="1:2" x14ac:dyDescent="0.25">
      <c r="A9178">
        <v>16878</v>
      </c>
      <c r="B9178">
        <v>0</v>
      </c>
    </row>
    <row r="9179" spans="1:2" x14ac:dyDescent="0.25">
      <c r="A9179">
        <v>16881</v>
      </c>
      <c r="B9179">
        <v>0</v>
      </c>
    </row>
    <row r="9180" spans="1:2" x14ac:dyDescent="0.25">
      <c r="A9180">
        <v>16884</v>
      </c>
      <c r="B9180">
        <v>0</v>
      </c>
    </row>
    <row r="9181" spans="1:2" x14ac:dyDescent="0.25">
      <c r="A9181">
        <v>16887</v>
      </c>
      <c r="B9181">
        <v>0</v>
      </c>
    </row>
    <row r="9182" spans="1:2" x14ac:dyDescent="0.25">
      <c r="A9182">
        <v>16890</v>
      </c>
      <c r="B9182">
        <v>0</v>
      </c>
    </row>
    <row r="9183" spans="1:2" x14ac:dyDescent="0.25">
      <c r="A9183">
        <v>16893</v>
      </c>
      <c r="B9183">
        <v>0</v>
      </c>
    </row>
    <row r="9184" spans="1:2" x14ac:dyDescent="0.25">
      <c r="A9184">
        <v>16895</v>
      </c>
      <c r="B9184">
        <v>0</v>
      </c>
    </row>
    <row r="9185" spans="1:2" x14ac:dyDescent="0.25">
      <c r="A9185">
        <v>16897</v>
      </c>
      <c r="B9185">
        <v>0</v>
      </c>
    </row>
    <row r="9186" spans="1:2" x14ac:dyDescent="0.25">
      <c r="A9186">
        <v>16899</v>
      </c>
      <c r="B9186">
        <v>0</v>
      </c>
    </row>
    <row r="9187" spans="1:2" x14ac:dyDescent="0.25">
      <c r="A9187">
        <v>16925</v>
      </c>
      <c r="B9187">
        <v>0</v>
      </c>
    </row>
    <row r="9188" spans="1:2" x14ac:dyDescent="0.25">
      <c r="A9188">
        <v>16926</v>
      </c>
      <c r="B9188">
        <v>0</v>
      </c>
    </row>
    <row r="9189" spans="1:2" x14ac:dyDescent="0.25">
      <c r="A9189">
        <v>16927</v>
      </c>
      <c r="B9189">
        <v>0</v>
      </c>
    </row>
    <row r="9190" spans="1:2" x14ac:dyDescent="0.25">
      <c r="A9190">
        <v>16930</v>
      </c>
      <c r="B9190">
        <v>0</v>
      </c>
    </row>
    <row r="9191" spans="1:2" x14ac:dyDescent="0.25">
      <c r="A9191">
        <v>16931</v>
      </c>
      <c r="B9191">
        <v>0</v>
      </c>
    </row>
    <row r="9192" spans="1:2" x14ac:dyDescent="0.25">
      <c r="A9192">
        <v>16932</v>
      </c>
      <c r="B9192">
        <v>0</v>
      </c>
    </row>
    <row r="9193" spans="1:2" x14ac:dyDescent="0.25">
      <c r="A9193">
        <v>16935</v>
      </c>
      <c r="B9193">
        <v>0</v>
      </c>
    </row>
    <row r="9194" spans="1:2" x14ac:dyDescent="0.25">
      <c r="A9194">
        <v>16936</v>
      </c>
      <c r="B9194">
        <v>0</v>
      </c>
    </row>
    <row r="9195" spans="1:2" x14ac:dyDescent="0.25">
      <c r="A9195">
        <v>16937</v>
      </c>
      <c r="B9195">
        <v>0</v>
      </c>
    </row>
    <row r="9196" spans="1:2" x14ac:dyDescent="0.25">
      <c r="A9196">
        <v>16940</v>
      </c>
      <c r="B9196">
        <v>0</v>
      </c>
    </row>
    <row r="9197" spans="1:2" x14ac:dyDescent="0.25">
      <c r="A9197">
        <v>16943</v>
      </c>
      <c r="B9197">
        <v>0</v>
      </c>
    </row>
    <row r="9198" spans="1:2" x14ac:dyDescent="0.25">
      <c r="A9198">
        <v>16944</v>
      </c>
      <c r="B9198">
        <v>0</v>
      </c>
    </row>
    <row r="9199" spans="1:2" x14ac:dyDescent="0.25">
      <c r="A9199">
        <v>16946</v>
      </c>
      <c r="B9199">
        <v>0</v>
      </c>
    </row>
    <row r="9200" spans="1:2" x14ac:dyDescent="0.25">
      <c r="A9200">
        <v>16947</v>
      </c>
      <c r="B9200">
        <v>0</v>
      </c>
    </row>
    <row r="9201" spans="1:2" x14ac:dyDescent="0.25">
      <c r="A9201">
        <v>16957</v>
      </c>
      <c r="B9201">
        <v>0</v>
      </c>
    </row>
    <row r="9202" spans="1:2" x14ac:dyDescent="0.25">
      <c r="A9202">
        <v>16959</v>
      </c>
      <c r="B9202">
        <v>0</v>
      </c>
    </row>
    <row r="9203" spans="1:2" x14ac:dyDescent="0.25">
      <c r="A9203">
        <v>16960</v>
      </c>
      <c r="B9203">
        <v>0</v>
      </c>
    </row>
    <row r="9204" spans="1:2" x14ac:dyDescent="0.25">
      <c r="A9204">
        <v>16961</v>
      </c>
      <c r="B9204">
        <v>0</v>
      </c>
    </row>
    <row r="9205" spans="1:2" x14ac:dyDescent="0.25">
      <c r="A9205">
        <v>16962</v>
      </c>
      <c r="B9205">
        <v>0</v>
      </c>
    </row>
    <row r="9206" spans="1:2" x14ac:dyDescent="0.25">
      <c r="A9206">
        <v>16964</v>
      </c>
      <c r="B9206">
        <v>0</v>
      </c>
    </row>
    <row r="9207" spans="1:2" x14ac:dyDescent="0.25">
      <c r="A9207">
        <v>16965</v>
      </c>
      <c r="B9207">
        <v>0</v>
      </c>
    </row>
    <row r="9208" spans="1:2" x14ac:dyDescent="0.25">
      <c r="A9208">
        <v>16966</v>
      </c>
      <c r="B9208">
        <v>0</v>
      </c>
    </row>
    <row r="9209" spans="1:2" x14ac:dyDescent="0.25">
      <c r="A9209">
        <v>16967</v>
      </c>
      <c r="B9209">
        <v>0</v>
      </c>
    </row>
    <row r="9210" spans="1:2" x14ac:dyDescent="0.25">
      <c r="A9210">
        <v>16968</v>
      </c>
      <c r="B9210">
        <v>0</v>
      </c>
    </row>
    <row r="9211" spans="1:2" x14ac:dyDescent="0.25">
      <c r="A9211">
        <v>16969</v>
      </c>
      <c r="B9211">
        <v>0</v>
      </c>
    </row>
    <row r="9212" spans="1:2" x14ac:dyDescent="0.25">
      <c r="A9212">
        <v>16970</v>
      </c>
      <c r="B9212">
        <v>0</v>
      </c>
    </row>
    <row r="9213" spans="1:2" x14ac:dyDescent="0.25">
      <c r="A9213">
        <v>16971</v>
      </c>
      <c r="B9213">
        <v>0</v>
      </c>
    </row>
    <row r="9214" spans="1:2" x14ac:dyDescent="0.25">
      <c r="A9214">
        <v>16972</v>
      </c>
      <c r="B9214">
        <v>0</v>
      </c>
    </row>
    <row r="9215" spans="1:2" x14ac:dyDescent="0.25">
      <c r="A9215">
        <v>16980</v>
      </c>
      <c r="B9215">
        <v>0</v>
      </c>
    </row>
    <row r="9216" spans="1:2" x14ac:dyDescent="0.25">
      <c r="A9216">
        <v>16981</v>
      </c>
      <c r="B9216">
        <v>0</v>
      </c>
    </row>
    <row r="9217" spans="1:2" x14ac:dyDescent="0.25">
      <c r="A9217">
        <v>16982</v>
      </c>
      <c r="B9217">
        <v>0</v>
      </c>
    </row>
    <row r="9218" spans="1:2" x14ac:dyDescent="0.25">
      <c r="A9218">
        <v>16983</v>
      </c>
      <c r="B9218">
        <v>0</v>
      </c>
    </row>
    <row r="9219" spans="1:2" x14ac:dyDescent="0.25">
      <c r="A9219">
        <v>16990</v>
      </c>
      <c r="B9219">
        <v>0</v>
      </c>
    </row>
    <row r="9220" spans="1:2" x14ac:dyDescent="0.25">
      <c r="A9220">
        <v>16991</v>
      </c>
      <c r="B9220">
        <v>0</v>
      </c>
    </row>
    <row r="9221" spans="1:2" x14ac:dyDescent="0.25">
      <c r="A9221">
        <v>16992</v>
      </c>
      <c r="B9221">
        <v>0</v>
      </c>
    </row>
    <row r="9222" spans="1:2" x14ac:dyDescent="0.25">
      <c r="A9222">
        <v>16993</v>
      </c>
      <c r="B9222">
        <v>0</v>
      </c>
    </row>
    <row r="9223" spans="1:2" x14ac:dyDescent="0.25">
      <c r="A9223">
        <v>16995</v>
      </c>
      <c r="B9223">
        <v>0</v>
      </c>
    </row>
    <row r="9224" spans="1:2" x14ac:dyDescent="0.25">
      <c r="A9224">
        <v>16996</v>
      </c>
      <c r="B9224">
        <v>0</v>
      </c>
    </row>
    <row r="9225" spans="1:2" x14ac:dyDescent="0.25">
      <c r="A9225">
        <v>16997</v>
      </c>
      <c r="B9225">
        <v>0</v>
      </c>
    </row>
    <row r="9226" spans="1:2" x14ac:dyDescent="0.25">
      <c r="A9226">
        <v>16998</v>
      </c>
      <c r="B9226">
        <v>0</v>
      </c>
    </row>
    <row r="9227" spans="1:2" x14ac:dyDescent="0.25">
      <c r="A9227">
        <v>16999</v>
      </c>
      <c r="B9227">
        <v>0</v>
      </c>
    </row>
    <row r="9228" spans="1:2" x14ac:dyDescent="0.25">
      <c r="A9228">
        <v>17000</v>
      </c>
      <c r="B9228">
        <v>0</v>
      </c>
    </row>
    <row r="9229" spans="1:2" x14ac:dyDescent="0.25">
      <c r="A9229">
        <v>17001</v>
      </c>
      <c r="B9229">
        <v>0</v>
      </c>
    </row>
    <row r="9230" spans="1:2" x14ac:dyDescent="0.25">
      <c r="A9230">
        <v>17002</v>
      </c>
      <c r="B9230">
        <v>0</v>
      </c>
    </row>
    <row r="9231" spans="1:2" x14ac:dyDescent="0.25">
      <c r="A9231">
        <v>17003</v>
      </c>
      <c r="B9231">
        <v>0</v>
      </c>
    </row>
    <row r="9232" spans="1:2" x14ac:dyDescent="0.25">
      <c r="A9232">
        <v>17004</v>
      </c>
      <c r="B9232">
        <v>0</v>
      </c>
    </row>
    <row r="9233" spans="1:2" x14ac:dyDescent="0.25">
      <c r="A9233">
        <v>17005</v>
      </c>
      <c r="B9233">
        <v>0</v>
      </c>
    </row>
    <row r="9234" spans="1:2" x14ac:dyDescent="0.25">
      <c r="A9234">
        <v>17008</v>
      </c>
      <c r="B9234">
        <v>0</v>
      </c>
    </row>
    <row r="9235" spans="1:2" x14ac:dyDescent="0.25">
      <c r="A9235">
        <v>17009</v>
      </c>
      <c r="B9235">
        <v>0</v>
      </c>
    </row>
    <row r="9236" spans="1:2" x14ac:dyDescent="0.25">
      <c r="A9236">
        <v>17010</v>
      </c>
      <c r="B9236">
        <v>0</v>
      </c>
    </row>
    <row r="9237" spans="1:2" x14ac:dyDescent="0.25">
      <c r="A9237">
        <v>17011</v>
      </c>
      <c r="B9237">
        <v>0</v>
      </c>
    </row>
    <row r="9238" spans="1:2" x14ac:dyDescent="0.25">
      <c r="A9238">
        <v>17014</v>
      </c>
      <c r="B9238">
        <v>0</v>
      </c>
    </row>
    <row r="9239" spans="1:2" x14ac:dyDescent="0.25">
      <c r="A9239">
        <v>17015</v>
      </c>
      <c r="B9239">
        <v>0</v>
      </c>
    </row>
    <row r="9240" spans="1:2" x14ac:dyDescent="0.25">
      <c r="A9240">
        <v>17016</v>
      </c>
      <c r="B9240">
        <v>0</v>
      </c>
    </row>
    <row r="9241" spans="1:2" x14ac:dyDescent="0.25">
      <c r="A9241">
        <v>17017</v>
      </c>
      <c r="B9241">
        <v>0</v>
      </c>
    </row>
    <row r="9242" spans="1:2" x14ac:dyDescent="0.25">
      <c r="A9242">
        <v>17019</v>
      </c>
      <c r="B9242">
        <v>0</v>
      </c>
    </row>
    <row r="9243" spans="1:2" x14ac:dyDescent="0.25">
      <c r="A9243">
        <v>17020</v>
      </c>
      <c r="B9243">
        <v>0</v>
      </c>
    </row>
    <row r="9244" spans="1:2" x14ac:dyDescent="0.25">
      <c r="A9244">
        <v>17022</v>
      </c>
      <c r="B9244">
        <v>0</v>
      </c>
    </row>
    <row r="9245" spans="1:2" x14ac:dyDescent="0.25">
      <c r="A9245">
        <v>17031</v>
      </c>
      <c r="B9245">
        <v>0</v>
      </c>
    </row>
    <row r="9246" spans="1:2" x14ac:dyDescent="0.25">
      <c r="A9246">
        <v>17034</v>
      </c>
      <c r="B9246">
        <v>0</v>
      </c>
    </row>
    <row r="9247" spans="1:2" x14ac:dyDescent="0.25">
      <c r="A9247">
        <v>17037</v>
      </c>
      <c r="B9247">
        <v>0</v>
      </c>
    </row>
    <row r="9248" spans="1:2" x14ac:dyDescent="0.25">
      <c r="A9248">
        <v>17038</v>
      </c>
      <c r="B9248">
        <v>0</v>
      </c>
    </row>
    <row r="9249" spans="1:2" x14ac:dyDescent="0.25">
      <c r="A9249">
        <v>17039</v>
      </c>
      <c r="B9249">
        <v>0</v>
      </c>
    </row>
    <row r="9250" spans="1:2" x14ac:dyDescent="0.25">
      <c r="A9250">
        <v>17040</v>
      </c>
      <c r="B9250">
        <v>0</v>
      </c>
    </row>
    <row r="9251" spans="1:2" x14ac:dyDescent="0.25">
      <c r="A9251">
        <v>17042</v>
      </c>
      <c r="B9251">
        <v>0</v>
      </c>
    </row>
    <row r="9252" spans="1:2" x14ac:dyDescent="0.25">
      <c r="A9252">
        <v>17054</v>
      </c>
      <c r="B9252">
        <v>0</v>
      </c>
    </row>
    <row r="9253" spans="1:2" x14ac:dyDescent="0.25">
      <c r="A9253">
        <v>17057</v>
      </c>
      <c r="B9253">
        <v>0</v>
      </c>
    </row>
    <row r="9254" spans="1:2" x14ac:dyDescent="0.25">
      <c r="A9254">
        <v>17060</v>
      </c>
      <c r="B9254">
        <v>0</v>
      </c>
    </row>
    <row r="9255" spans="1:2" x14ac:dyDescent="0.25">
      <c r="A9255">
        <v>17063</v>
      </c>
      <c r="B9255">
        <v>0</v>
      </c>
    </row>
    <row r="9256" spans="1:2" x14ac:dyDescent="0.25">
      <c r="A9256">
        <v>17066</v>
      </c>
      <c r="B9256">
        <v>0</v>
      </c>
    </row>
    <row r="9257" spans="1:2" x14ac:dyDescent="0.25">
      <c r="A9257">
        <v>17068</v>
      </c>
      <c r="B9257">
        <v>0</v>
      </c>
    </row>
    <row r="9258" spans="1:2" x14ac:dyDescent="0.25">
      <c r="A9258">
        <v>17069</v>
      </c>
      <c r="B9258">
        <v>0</v>
      </c>
    </row>
    <row r="9259" spans="1:2" x14ac:dyDescent="0.25">
      <c r="A9259">
        <v>17070</v>
      </c>
      <c r="B9259">
        <v>0</v>
      </c>
    </row>
    <row r="9260" spans="1:2" x14ac:dyDescent="0.25">
      <c r="A9260">
        <v>17071</v>
      </c>
      <c r="B9260">
        <v>0</v>
      </c>
    </row>
    <row r="9261" spans="1:2" x14ac:dyDescent="0.25">
      <c r="A9261">
        <v>17072</v>
      </c>
      <c r="B9261">
        <v>0</v>
      </c>
    </row>
    <row r="9262" spans="1:2" x14ac:dyDescent="0.25">
      <c r="A9262">
        <v>17073</v>
      </c>
      <c r="B9262">
        <v>0</v>
      </c>
    </row>
    <row r="9263" spans="1:2" x14ac:dyDescent="0.25">
      <c r="A9263">
        <v>17091</v>
      </c>
      <c r="B9263">
        <v>0</v>
      </c>
    </row>
    <row r="9264" spans="1:2" x14ac:dyDescent="0.25">
      <c r="A9264">
        <v>17099</v>
      </c>
      <c r="B9264">
        <v>0</v>
      </c>
    </row>
    <row r="9265" spans="1:2" x14ac:dyDescent="0.25">
      <c r="A9265">
        <v>17101</v>
      </c>
      <c r="B9265">
        <v>0</v>
      </c>
    </row>
    <row r="9266" spans="1:2" x14ac:dyDescent="0.25">
      <c r="A9266">
        <v>17103</v>
      </c>
      <c r="B9266">
        <v>0</v>
      </c>
    </row>
    <row r="9267" spans="1:2" x14ac:dyDescent="0.25">
      <c r="A9267">
        <v>17105</v>
      </c>
      <c r="B9267">
        <v>0</v>
      </c>
    </row>
    <row r="9268" spans="1:2" x14ac:dyDescent="0.25">
      <c r="A9268">
        <v>17107</v>
      </c>
      <c r="B9268">
        <v>0</v>
      </c>
    </row>
    <row r="9269" spans="1:2" x14ac:dyDescent="0.25">
      <c r="A9269">
        <v>17125</v>
      </c>
      <c r="B9269">
        <v>0</v>
      </c>
    </row>
    <row r="9270" spans="1:2" x14ac:dyDescent="0.25">
      <c r="A9270">
        <v>17126</v>
      </c>
      <c r="B9270">
        <v>0</v>
      </c>
    </row>
    <row r="9271" spans="1:2" x14ac:dyDescent="0.25">
      <c r="A9271">
        <v>17127</v>
      </c>
      <c r="B9271">
        <v>0</v>
      </c>
    </row>
    <row r="9272" spans="1:2" x14ac:dyDescent="0.25">
      <c r="A9272">
        <v>17128</v>
      </c>
      <c r="B9272">
        <v>0</v>
      </c>
    </row>
    <row r="9273" spans="1:2" x14ac:dyDescent="0.25">
      <c r="A9273">
        <v>17129</v>
      </c>
      <c r="B9273">
        <v>0</v>
      </c>
    </row>
    <row r="9274" spans="1:2" x14ac:dyDescent="0.25">
      <c r="A9274">
        <v>17130</v>
      </c>
      <c r="B9274">
        <v>0</v>
      </c>
    </row>
    <row r="9275" spans="1:2" x14ac:dyDescent="0.25">
      <c r="A9275">
        <v>17131</v>
      </c>
      <c r="B9275">
        <v>0</v>
      </c>
    </row>
    <row r="9276" spans="1:2" x14ac:dyDescent="0.25">
      <c r="A9276">
        <v>17132</v>
      </c>
      <c r="B9276">
        <v>0</v>
      </c>
    </row>
    <row r="9277" spans="1:2" x14ac:dyDescent="0.25">
      <c r="A9277">
        <v>17133</v>
      </c>
      <c r="B9277">
        <v>0</v>
      </c>
    </row>
    <row r="9278" spans="1:2" x14ac:dyDescent="0.25">
      <c r="A9278">
        <v>17134</v>
      </c>
      <c r="B9278">
        <v>0</v>
      </c>
    </row>
    <row r="9279" spans="1:2" x14ac:dyDescent="0.25">
      <c r="A9279">
        <v>17135</v>
      </c>
      <c r="B9279">
        <v>0</v>
      </c>
    </row>
    <row r="9280" spans="1:2" x14ac:dyDescent="0.25">
      <c r="A9280">
        <v>17138</v>
      </c>
      <c r="B9280">
        <v>0</v>
      </c>
    </row>
    <row r="9281" spans="1:2" x14ac:dyDescent="0.25">
      <c r="A9281">
        <v>17146</v>
      </c>
      <c r="B9281">
        <v>0</v>
      </c>
    </row>
    <row r="9282" spans="1:2" x14ac:dyDescent="0.25">
      <c r="A9282">
        <v>17147</v>
      </c>
      <c r="B9282">
        <v>0</v>
      </c>
    </row>
    <row r="9283" spans="1:2" x14ac:dyDescent="0.25">
      <c r="A9283">
        <v>17148</v>
      </c>
      <c r="B9283">
        <v>0</v>
      </c>
    </row>
    <row r="9284" spans="1:2" x14ac:dyDescent="0.25">
      <c r="A9284">
        <v>17149</v>
      </c>
      <c r="B9284">
        <v>0</v>
      </c>
    </row>
    <row r="9285" spans="1:2" x14ac:dyDescent="0.25">
      <c r="A9285">
        <v>17150</v>
      </c>
      <c r="B9285">
        <v>0</v>
      </c>
    </row>
    <row r="9286" spans="1:2" x14ac:dyDescent="0.25">
      <c r="A9286">
        <v>17151</v>
      </c>
      <c r="B9286">
        <v>0</v>
      </c>
    </row>
    <row r="9287" spans="1:2" x14ac:dyDescent="0.25">
      <c r="A9287">
        <v>17154</v>
      </c>
      <c r="B9287">
        <v>0</v>
      </c>
    </row>
    <row r="9288" spans="1:2" x14ac:dyDescent="0.25">
      <c r="A9288">
        <v>17155</v>
      </c>
      <c r="B9288">
        <v>0</v>
      </c>
    </row>
    <row r="9289" spans="1:2" x14ac:dyDescent="0.25">
      <c r="A9289">
        <v>17156</v>
      </c>
      <c r="B9289">
        <v>0</v>
      </c>
    </row>
    <row r="9290" spans="1:2" x14ac:dyDescent="0.25">
      <c r="A9290">
        <v>17157</v>
      </c>
      <c r="B9290">
        <v>0</v>
      </c>
    </row>
    <row r="9291" spans="1:2" x14ac:dyDescent="0.25">
      <c r="A9291">
        <v>17163</v>
      </c>
      <c r="B9291">
        <v>0</v>
      </c>
    </row>
    <row r="9292" spans="1:2" x14ac:dyDescent="0.25">
      <c r="A9292">
        <v>17166</v>
      </c>
      <c r="B9292">
        <v>0</v>
      </c>
    </row>
    <row r="9293" spans="1:2" x14ac:dyDescent="0.25">
      <c r="A9293">
        <v>17167</v>
      </c>
      <c r="B9293">
        <v>0</v>
      </c>
    </row>
    <row r="9294" spans="1:2" x14ac:dyDescent="0.25">
      <c r="A9294">
        <v>17170</v>
      </c>
      <c r="B9294">
        <v>0</v>
      </c>
    </row>
    <row r="9295" spans="1:2" x14ac:dyDescent="0.25">
      <c r="A9295">
        <v>17171</v>
      </c>
      <c r="B9295">
        <v>0</v>
      </c>
    </row>
    <row r="9296" spans="1:2" x14ac:dyDescent="0.25">
      <c r="A9296">
        <v>17177</v>
      </c>
      <c r="B9296">
        <v>0</v>
      </c>
    </row>
    <row r="9297" spans="1:2" x14ac:dyDescent="0.25">
      <c r="A9297">
        <v>17180</v>
      </c>
      <c r="B9297">
        <v>0</v>
      </c>
    </row>
    <row r="9298" spans="1:2" x14ac:dyDescent="0.25">
      <c r="A9298">
        <v>17190</v>
      </c>
      <c r="B9298">
        <v>0</v>
      </c>
    </row>
    <row r="9299" spans="1:2" x14ac:dyDescent="0.25">
      <c r="A9299">
        <v>17193</v>
      </c>
      <c r="B9299">
        <v>0</v>
      </c>
    </row>
    <row r="9300" spans="1:2" x14ac:dyDescent="0.25">
      <c r="A9300">
        <v>17196</v>
      </c>
      <c r="B9300">
        <v>0</v>
      </c>
    </row>
    <row r="9301" spans="1:2" x14ac:dyDescent="0.25">
      <c r="A9301">
        <v>17197</v>
      </c>
      <c r="B9301">
        <v>0</v>
      </c>
    </row>
    <row r="9302" spans="1:2" x14ac:dyDescent="0.25">
      <c r="A9302">
        <v>17198</v>
      </c>
      <c r="B9302">
        <v>0</v>
      </c>
    </row>
    <row r="9303" spans="1:2" x14ac:dyDescent="0.25">
      <c r="A9303">
        <v>17199</v>
      </c>
      <c r="B9303">
        <v>0</v>
      </c>
    </row>
    <row r="9304" spans="1:2" x14ac:dyDescent="0.25">
      <c r="A9304">
        <v>17200</v>
      </c>
      <c r="B9304">
        <v>0</v>
      </c>
    </row>
    <row r="9305" spans="1:2" x14ac:dyDescent="0.25">
      <c r="A9305">
        <v>17202</v>
      </c>
      <c r="B9305">
        <v>0</v>
      </c>
    </row>
    <row r="9306" spans="1:2" x14ac:dyDescent="0.25">
      <c r="A9306">
        <v>17204</v>
      </c>
      <c r="B9306">
        <v>0</v>
      </c>
    </row>
    <row r="9307" spans="1:2" x14ac:dyDescent="0.25">
      <c r="A9307">
        <v>17206</v>
      </c>
      <c r="B9307">
        <v>0</v>
      </c>
    </row>
    <row r="9308" spans="1:2" x14ac:dyDescent="0.25">
      <c r="A9308">
        <v>17208</v>
      </c>
      <c r="B9308">
        <v>0</v>
      </c>
    </row>
    <row r="9309" spans="1:2" x14ac:dyDescent="0.25">
      <c r="A9309">
        <v>17209</v>
      </c>
      <c r="B9309">
        <v>0</v>
      </c>
    </row>
    <row r="9310" spans="1:2" x14ac:dyDescent="0.25">
      <c r="A9310">
        <v>17211</v>
      </c>
      <c r="B9310">
        <v>0</v>
      </c>
    </row>
    <row r="9311" spans="1:2" x14ac:dyDescent="0.25">
      <c r="A9311">
        <v>17214</v>
      </c>
      <c r="B9311">
        <v>0</v>
      </c>
    </row>
    <row r="9312" spans="1:2" x14ac:dyDescent="0.25">
      <c r="A9312">
        <v>17217</v>
      </c>
      <c r="B9312">
        <v>0</v>
      </c>
    </row>
    <row r="9313" spans="1:2" x14ac:dyDescent="0.25">
      <c r="A9313">
        <v>17238</v>
      </c>
      <c r="B9313">
        <v>0</v>
      </c>
    </row>
    <row r="9314" spans="1:2" x14ac:dyDescent="0.25">
      <c r="A9314">
        <v>17239</v>
      </c>
      <c r="B9314">
        <v>0</v>
      </c>
    </row>
    <row r="9315" spans="1:2" x14ac:dyDescent="0.25">
      <c r="A9315">
        <v>17240</v>
      </c>
      <c r="B9315">
        <v>0</v>
      </c>
    </row>
    <row r="9316" spans="1:2" x14ac:dyDescent="0.25">
      <c r="A9316">
        <v>17241</v>
      </c>
      <c r="B9316">
        <v>0</v>
      </c>
    </row>
    <row r="9317" spans="1:2" x14ac:dyDescent="0.25">
      <c r="A9317">
        <v>17243</v>
      </c>
      <c r="B9317">
        <v>0</v>
      </c>
    </row>
    <row r="9318" spans="1:2" x14ac:dyDescent="0.25">
      <c r="A9318">
        <v>17254</v>
      </c>
      <c r="B9318">
        <v>0</v>
      </c>
    </row>
    <row r="9319" spans="1:2" x14ac:dyDescent="0.25">
      <c r="A9319">
        <v>17255</v>
      </c>
      <c r="B9319">
        <v>0</v>
      </c>
    </row>
    <row r="9320" spans="1:2" x14ac:dyDescent="0.25">
      <c r="A9320">
        <v>17260</v>
      </c>
      <c r="B9320">
        <v>0</v>
      </c>
    </row>
    <row r="9321" spans="1:2" x14ac:dyDescent="0.25">
      <c r="A9321">
        <v>17261</v>
      </c>
      <c r="B9321">
        <v>0</v>
      </c>
    </row>
    <row r="9322" spans="1:2" x14ac:dyDescent="0.25">
      <c r="A9322">
        <v>17262</v>
      </c>
      <c r="B9322">
        <v>0</v>
      </c>
    </row>
    <row r="9323" spans="1:2" x14ac:dyDescent="0.25">
      <c r="A9323">
        <v>17264</v>
      </c>
      <c r="B9323">
        <v>0</v>
      </c>
    </row>
    <row r="9324" spans="1:2" x14ac:dyDescent="0.25">
      <c r="A9324">
        <v>17266</v>
      </c>
      <c r="B9324">
        <v>0</v>
      </c>
    </row>
    <row r="9325" spans="1:2" x14ac:dyDescent="0.25">
      <c r="A9325">
        <v>17268</v>
      </c>
      <c r="B9325">
        <v>0</v>
      </c>
    </row>
    <row r="9326" spans="1:2" x14ac:dyDescent="0.25">
      <c r="A9326">
        <v>17276</v>
      </c>
      <c r="B9326">
        <v>0</v>
      </c>
    </row>
    <row r="9327" spans="1:2" x14ac:dyDescent="0.25">
      <c r="A9327">
        <v>17278</v>
      </c>
      <c r="B9327">
        <v>0</v>
      </c>
    </row>
    <row r="9328" spans="1:2" x14ac:dyDescent="0.25">
      <c r="A9328">
        <v>17279</v>
      </c>
      <c r="B9328">
        <v>0</v>
      </c>
    </row>
    <row r="9329" spans="1:2" x14ac:dyDescent="0.25">
      <c r="A9329">
        <v>17281</v>
      </c>
      <c r="B9329">
        <v>0</v>
      </c>
    </row>
    <row r="9330" spans="1:2" x14ac:dyDescent="0.25">
      <c r="A9330">
        <v>17283</v>
      </c>
      <c r="B9330">
        <v>0</v>
      </c>
    </row>
    <row r="9331" spans="1:2" x14ac:dyDescent="0.25">
      <c r="A9331">
        <v>17285</v>
      </c>
      <c r="B9331">
        <v>0</v>
      </c>
    </row>
    <row r="9332" spans="1:2" x14ac:dyDescent="0.25">
      <c r="A9332">
        <v>17286</v>
      </c>
      <c r="B9332">
        <v>0</v>
      </c>
    </row>
    <row r="9333" spans="1:2" x14ac:dyDescent="0.25">
      <c r="A9333">
        <v>17287</v>
      </c>
      <c r="B9333">
        <v>0</v>
      </c>
    </row>
    <row r="9334" spans="1:2" x14ac:dyDescent="0.25">
      <c r="A9334">
        <v>17288</v>
      </c>
      <c r="B9334">
        <v>0</v>
      </c>
    </row>
    <row r="9335" spans="1:2" x14ac:dyDescent="0.25">
      <c r="A9335">
        <v>17289</v>
      </c>
      <c r="B9335">
        <v>0</v>
      </c>
    </row>
    <row r="9336" spans="1:2" x14ac:dyDescent="0.25">
      <c r="A9336">
        <v>17290</v>
      </c>
      <c r="B9336">
        <v>0</v>
      </c>
    </row>
    <row r="9337" spans="1:2" x14ac:dyDescent="0.25">
      <c r="A9337">
        <v>17291</v>
      </c>
      <c r="B9337">
        <v>0</v>
      </c>
    </row>
    <row r="9338" spans="1:2" x14ac:dyDescent="0.25">
      <c r="A9338">
        <v>17293</v>
      </c>
      <c r="B9338">
        <v>0</v>
      </c>
    </row>
    <row r="9339" spans="1:2" x14ac:dyDescent="0.25">
      <c r="A9339">
        <v>17295</v>
      </c>
      <c r="B9339">
        <v>0</v>
      </c>
    </row>
    <row r="9340" spans="1:2" x14ac:dyDescent="0.25">
      <c r="A9340">
        <v>17296</v>
      </c>
      <c r="B9340">
        <v>0</v>
      </c>
    </row>
    <row r="9341" spans="1:2" x14ac:dyDescent="0.25">
      <c r="A9341">
        <v>17298</v>
      </c>
      <c r="B9341">
        <v>0</v>
      </c>
    </row>
    <row r="9342" spans="1:2" x14ac:dyDescent="0.25">
      <c r="A9342">
        <v>17312</v>
      </c>
      <c r="B9342">
        <v>0</v>
      </c>
    </row>
    <row r="9343" spans="1:2" x14ac:dyDescent="0.25">
      <c r="A9343">
        <v>17314</v>
      </c>
      <c r="B9343">
        <v>0</v>
      </c>
    </row>
    <row r="9344" spans="1:2" x14ac:dyDescent="0.25">
      <c r="A9344">
        <v>17315</v>
      </c>
      <c r="B9344">
        <v>0</v>
      </c>
    </row>
    <row r="9345" spans="1:2" x14ac:dyDescent="0.25">
      <c r="A9345">
        <v>17319</v>
      </c>
      <c r="B9345">
        <v>0</v>
      </c>
    </row>
    <row r="9346" spans="1:2" x14ac:dyDescent="0.25">
      <c r="A9346">
        <v>17320</v>
      </c>
      <c r="B9346">
        <v>0</v>
      </c>
    </row>
    <row r="9347" spans="1:2" x14ac:dyDescent="0.25">
      <c r="A9347">
        <v>17321</v>
      </c>
      <c r="B9347">
        <v>0</v>
      </c>
    </row>
    <row r="9348" spans="1:2" x14ac:dyDescent="0.25">
      <c r="A9348">
        <v>17322</v>
      </c>
      <c r="B9348">
        <v>0</v>
      </c>
    </row>
    <row r="9349" spans="1:2" x14ac:dyDescent="0.25">
      <c r="A9349">
        <v>17323</v>
      </c>
      <c r="B9349">
        <v>0</v>
      </c>
    </row>
    <row r="9350" spans="1:2" x14ac:dyDescent="0.25">
      <c r="A9350">
        <v>17324</v>
      </c>
      <c r="B9350">
        <v>0</v>
      </c>
    </row>
    <row r="9351" spans="1:2" x14ac:dyDescent="0.25">
      <c r="A9351">
        <v>17325</v>
      </c>
      <c r="B9351">
        <v>0</v>
      </c>
    </row>
    <row r="9352" spans="1:2" x14ac:dyDescent="0.25">
      <c r="A9352">
        <v>17326</v>
      </c>
      <c r="B9352">
        <v>0</v>
      </c>
    </row>
    <row r="9353" spans="1:2" x14ac:dyDescent="0.25">
      <c r="A9353">
        <v>17327</v>
      </c>
      <c r="B9353">
        <v>0</v>
      </c>
    </row>
    <row r="9354" spans="1:2" x14ac:dyDescent="0.25">
      <c r="A9354">
        <v>17328</v>
      </c>
      <c r="B9354">
        <v>0</v>
      </c>
    </row>
    <row r="9355" spans="1:2" x14ac:dyDescent="0.25">
      <c r="A9355">
        <v>17329</v>
      </c>
      <c r="B9355">
        <v>0</v>
      </c>
    </row>
    <row r="9356" spans="1:2" x14ac:dyDescent="0.25">
      <c r="A9356">
        <v>17332</v>
      </c>
      <c r="B9356">
        <v>0</v>
      </c>
    </row>
    <row r="9357" spans="1:2" x14ac:dyDescent="0.25">
      <c r="A9357">
        <v>17335</v>
      </c>
      <c r="B9357">
        <v>0</v>
      </c>
    </row>
    <row r="9358" spans="1:2" x14ac:dyDescent="0.25">
      <c r="A9358">
        <v>17338</v>
      </c>
      <c r="B9358">
        <v>0</v>
      </c>
    </row>
    <row r="9359" spans="1:2" x14ac:dyDescent="0.25">
      <c r="A9359">
        <v>17341</v>
      </c>
      <c r="B9359">
        <v>0</v>
      </c>
    </row>
    <row r="9360" spans="1:2" x14ac:dyDescent="0.25">
      <c r="A9360">
        <v>17342</v>
      </c>
      <c r="B9360">
        <v>0</v>
      </c>
    </row>
    <row r="9361" spans="1:2" x14ac:dyDescent="0.25">
      <c r="A9361">
        <v>17345</v>
      </c>
      <c r="B9361">
        <v>0</v>
      </c>
    </row>
    <row r="9362" spans="1:2" x14ac:dyDescent="0.25">
      <c r="A9362">
        <v>17346</v>
      </c>
      <c r="B9362">
        <v>0</v>
      </c>
    </row>
    <row r="9363" spans="1:2" x14ac:dyDescent="0.25">
      <c r="A9363">
        <v>17349</v>
      </c>
      <c r="B9363">
        <v>0</v>
      </c>
    </row>
    <row r="9364" spans="1:2" x14ac:dyDescent="0.25">
      <c r="A9364">
        <v>17361</v>
      </c>
      <c r="B9364">
        <v>0</v>
      </c>
    </row>
    <row r="9365" spans="1:2" x14ac:dyDescent="0.25">
      <c r="A9365">
        <v>17362</v>
      </c>
      <c r="B9365">
        <v>0</v>
      </c>
    </row>
    <row r="9366" spans="1:2" x14ac:dyDescent="0.25">
      <c r="A9366">
        <v>17364</v>
      </c>
      <c r="B9366">
        <v>0</v>
      </c>
    </row>
    <row r="9367" spans="1:2" x14ac:dyDescent="0.25">
      <c r="A9367">
        <v>17366</v>
      </c>
      <c r="B9367">
        <v>0</v>
      </c>
    </row>
    <row r="9368" spans="1:2" x14ac:dyDescent="0.25">
      <c r="A9368">
        <v>17369</v>
      </c>
      <c r="B9368">
        <v>0</v>
      </c>
    </row>
    <row r="9369" spans="1:2" x14ac:dyDescent="0.25">
      <c r="A9369">
        <v>17371</v>
      </c>
      <c r="B9369">
        <v>0</v>
      </c>
    </row>
    <row r="9370" spans="1:2" x14ac:dyDescent="0.25">
      <c r="A9370">
        <v>17374</v>
      </c>
      <c r="B9370">
        <v>0</v>
      </c>
    </row>
    <row r="9371" spans="1:2" x14ac:dyDescent="0.25">
      <c r="A9371">
        <v>17375</v>
      </c>
      <c r="B9371">
        <v>0</v>
      </c>
    </row>
    <row r="9372" spans="1:2" x14ac:dyDescent="0.25">
      <c r="A9372">
        <v>17376</v>
      </c>
      <c r="B9372">
        <v>0</v>
      </c>
    </row>
    <row r="9373" spans="1:2" x14ac:dyDescent="0.25">
      <c r="A9373">
        <v>17378</v>
      </c>
      <c r="B9373">
        <v>0</v>
      </c>
    </row>
    <row r="9374" spans="1:2" x14ac:dyDescent="0.25">
      <c r="A9374">
        <v>17381</v>
      </c>
      <c r="B9374">
        <v>0</v>
      </c>
    </row>
    <row r="9375" spans="1:2" x14ac:dyDescent="0.25">
      <c r="A9375">
        <v>17383</v>
      </c>
      <c r="B9375">
        <v>0</v>
      </c>
    </row>
    <row r="9376" spans="1:2" x14ac:dyDescent="0.25">
      <c r="A9376">
        <v>17384</v>
      </c>
      <c r="B9376">
        <v>0</v>
      </c>
    </row>
    <row r="9377" spans="1:2" x14ac:dyDescent="0.25">
      <c r="A9377">
        <v>17387</v>
      </c>
      <c r="B9377">
        <v>0</v>
      </c>
    </row>
    <row r="9378" spans="1:2" x14ac:dyDescent="0.25">
      <c r="A9378">
        <v>17388</v>
      </c>
      <c r="B9378">
        <v>0</v>
      </c>
    </row>
    <row r="9379" spans="1:2" x14ac:dyDescent="0.25">
      <c r="A9379">
        <v>17390</v>
      </c>
      <c r="B9379">
        <v>0</v>
      </c>
    </row>
    <row r="9380" spans="1:2" x14ac:dyDescent="0.25">
      <c r="A9380">
        <v>17393</v>
      </c>
      <c r="B9380">
        <v>0</v>
      </c>
    </row>
    <row r="9381" spans="1:2" x14ac:dyDescent="0.25">
      <c r="A9381">
        <v>17395</v>
      </c>
      <c r="B9381">
        <v>0</v>
      </c>
    </row>
    <row r="9382" spans="1:2" x14ac:dyDescent="0.25">
      <c r="A9382">
        <v>17398</v>
      </c>
      <c r="B9382">
        <v>0</v>
      </c>
    </row>
    <row r="9383" spans="1:2" x14ac:dyDescent="0.25">
      <c r="A9383">
        <v>17400</v>
      </c>
      <c r="B9383">
        <v>0</v>
      </c>
    </row>
    <row r="9384" spans="1:2" x14ac:dyDescent="0.25">
      <c r="A9384">
        <v>17401</v>
      </c>
      <c r="B9384">
        <v>0</v>
      </c>
    </row>
    <row r="9385" spans="1:2" x14ac:dyDescent="0.25">
      <c r="A9385">
        <v>17404</v>
      </c>
      <c r="B9385">
        <v>0</v>
      </c>
    </row>
    <row r="9386" spans="1:2" x14ac:dyDescent="0.25">
      <c r="A9386">
        <v>17407</v>
      </c>
      <c r="B9386">
        <v>0</v>
      </c>
    </row>
    <row r="9387" spans="1:2" x14ac:dyDescent="0.25">
      <c r="A9387">
        <v>17410</v>
      </c>
      <c r="B9387">
        <v>0</v>
      </c>
    </row>
    <row r="9388" spans="1:2" x14ac:dyDescent="0.25">
      <c r="A9388">
        <v>17413</v>
      </c>
      <c r="B9388">
        <v>0</v>
      </c>
    </row>
    <row r="9389" spans="1:2" x14ac:dyDescent="0.25">
      <c r="A9389">
        <v>17416</v>
      </c>
      <c r="B9389">
        <v>0</v>
      </c>
    </row>
    <row r="9390" spans="1:2" x14ac:dyDescent="0.25">
      <c r="A9390">
        <v>17419</v>
      </c>
      <c r="B9390">
        <v>0</v>
      </c>
    </row>
    <row r="9391" spans="1:2" x14ac:dyDescent="0.25">
      <c r="A9391">
        <v>17422</v>
      </c>
      <c r="B9391">
        <v>0</v>
      </c>
    </row>
    <row r="9392" spans="1:2" x14ac:dyDescent="0.25">
      <c r="A9392">
        <v>17425</v>
      </c>
      <c r="B9392">
        <v>0</v>
      </c>
    </row>
    <row r="9393" spans="1:2" x14ac:dyDescent="0.25">
      <c r="A9393">
        <v>17428</v>
      </c>
      <c r="B9393">
        <v>0</v>
      </c>
    </row>
    <row r="9394" spans="1:2" x14ac:dyDescent="0.25">
      <c r="A9394">
        <v>17431</v>
      </c>
      <c r="B9394">
        <v>0</v>
      </c>
    </row>
    <row r="9395" spans="1:2" x14ac:dyDescent="0.25">
      <c r="A9395">
        <v>17434</v>
      </c>
      <c r="B9395">
        <v>0</v>
      </c>
    </row>
    <row r="9396" spans="1:2" x14ac:dyDescent="0.25">
      <c r="A9396">
        <v>17437</v>
      </c>
      <c r="B9396">
        <v>0</v>
      </c>
    </row>
    <row r="9397" spans="1:2" x14ac:dyDescent="0.25">
      <c r="A9397">
        <v>17440</v>
      </c>
      <c r="B9397">
        <v>0</v>
      </c>
    </row>
    <row r="9398" spans="1:2" x14ac:dyDescent="0.25">
      <c r="A9398">
        <v>17442</v>
      </c>
      <c r="B9398">
        <v>0</v>
      </c>
    </row>
    <row r="9399" spans="1:2" x14ac:dyDescent="0.25">
      <c r="A9399">
        <v>17444</v>
      </c>
      <c r="B9399">
        <v>0</v>
      </c>
    </row>
    <row r="9400" spans="1:2" x14ac:dyDescent="0.25">
      <c r="A9400">
        <v>17452</v>
      </c>
      <c r="B9400">
        <v>0</v>
      </c>
    </row>
    <row r="9401" spans="1:2" x14ac:dyDescent="0.25">
      <c r="A9401">
        <v>17455</v>
      </c>
      <c r="B9401">
        <v>0</v>
      </c>
    </row>
    <row r="9402" spans="1:2" x14ac:dyDescent="0.25">
      <c r="A9402">
        <v>17457</v>
      </c>
      <c r="B9402">
        <v>0</v>
      </c>
    </row>
    <row r="9403" spans="1:2" x14ac:dyDescent="0.25">
      <c r="A9403">
        <v>17459</v>
      </c>
      <c r="B9403">
        <v>0</v>
      </c>
    </row>
    <row r="9404" spans="1:2" x14ac:dyDescent="0.25">
      <c r="A9404">
        <v>17461</v>
      </c>
      <c r="B9404">
        <v>0</v>
      </c>
    </row>
    <row r="9405" spans="1:2" x14ac:dyDescent="0.25">
      <c r="A9405">
        <v>17464</v>
      </c>
      <c r="B9405">
        <v>0</v>
      </c>
    </row>
    <row r="9406" spans="1:2" x14ac:dyDescent="0.25">
      <c r="A9406">
        <v>17467</v>
      </c>
      <c r="B9406">
        <v>0</v>
      </c>
    </row>
    <row r="9407" spans="1:2" x14ac:dyDescent="0.25">
      <c r="A9407">
        <v>17469</v>
      </c>
      <c r="B9407">
        <v>0</v>
      </c>
    </row>
    <row r="9408" spans="1:2" x14ac:dyDescent="0.25">
      <c r="A9408">
        <v>17472</v>
      </c>
      <c r="B9408">
        <v>0</v>
      </c>
    </row>
    <row r="9409" spans="1:2" x14ac:dyDescent="0.25">
      <c r="A9409">
        <v>17475</v>
      </c>
      <c r="B9409">
        <v>0</v>
      </c>
    </row>
    <row r="9410" spans="1:2" x14ac:dyDescent="0.25">
      <c r="A9410">
        <v>17478</v>
      </c>
      <c r="B9410">
        <v>0</v>
      </c>
    </row>
    <row r="9411" spans="1:2" x14ac:dyDescent="0.25">
      <c r="A9411">
        <v>17481</v>
      </c>
      <c r="B9411">
        <v>0</v>
      </c>
    </row>
    <row r="9412" spans="1:2" x14ac:dyDescent="0.25">
      <c r="A9412">
        <v>17484</v>
      </c>
      <c r="B9412">
        <v>0</v>
      </c>
    </row>
    <row r="9413" spans="1:2" x14ac:dyDescent="0.25">
      <c r="A9413">
        <v>17487</v>
      </c>
      <c r="B9413">
        <v>0</v>
      </c>
    </row>
    <row r="9414" spans="1:2" x14ac:dyDescent="0.25">
      <c r="A9414">
        <v>17490</v>
      </c>
      <c r="B9414">
        <v>0</v>
      </c>
    </row>
    <row r="9415" spans="1:2" x14ac:dyDescent="0.25">
      <c r="A9415">
        <v>17492</v>
      </c>
      <c r="B9415">
        <v>0</v>
      </c>
    </row>
    <row r="9416" spans="1:2" x14ac:dyDescent="0.25">
      <c r="A9416">
        <v>17494</v>
      </c>
      <c r="B9416">
        <v>0</v>
      </c>
    </row>
    <row r="9417" spans="1:2" x14ac:dyDescent="0.25">
      <c r="A9417">
        <v>17496</v>
      </c>
      <c r="B9417">
        <v>0</v>
      </c>
    </row>
    <row r="9418" spans="1:2" x14ac:dyDescent="0.25">
      <c r="A9418">
        <v>17498</v>
      </c>
      <c r="B9418">
        <v>0</v>
      </c>
    </row>
    <row r="9419" spans="1:2" x14ac:dyDescent="0.25">
      <c r="A9419">
        <v>17500</v>
      </c>
      <c r="B9419">
        <v>0</v>
      </c>
    </row>
    <row r="9420" spans="1:2" x14ac:dyDescent="0.25">
      <c r="A9420">
        <v>17502</v>
      </c>
      <c r="B9420">
        <v>0</v>
      </c>
    </row>
    <row r="9421" spans="1:2" x14ac:dyDescent="0.25">
      <c r="A9421">
        <v>17504</v>
      </c>
      <c r="B9421">
        <v>0</v>
      </c>
    </row>
    <row r="9422" spans="1:2" x14ac:dyDescent="0.25">
      <c r="A9422">
        <v>17506</v>
      </c>
      <c r="B9422">
        <v>0</v>
      </c>
    </row>
    <row r="9423" spans="1:2" x14ac:dyDescent="0.25">
      <c r="A9423">
        <v>17508</v>
      </c>
      <c r="B9423">
        <v>0</v>
      </c>
    </row>
    <row r="9424" spans="1:2" x14ac:dyDescent="0.25">
      <c r="A9424">
        <v>17510</v>
      </c>
      <c r="B9424">
        <v>0</v>
      </c>
    </row>
    <row r="9425" spans="1:2" x14ac:dyDescent="0.25">
      <c r="A9425">
        <v>17512</v>
      </c>
      <c r="B9425">
        <v>0</v>
      </c>
    </row>
    <row r="9426" spans="1:2" x14ac:dyDescent="0.25">
      <c r="A9426">
        <v>17514</v>
      </c>
      <c r="B9426">
        <v>0</v>
      </c>
    </row>
    <row r="9427" spans="1:2" x14ac:dyDescent="0.25">
      <c r="A9427">
        <v>17516</v>
      </c>
      <c r="B9427">
        <v>0</v>
      </c>
    </row>
    <row r="9428" spans="1:2" x14ac:dyDescent="0.25">
      <c r="A9428">
        <v>17518</v>
      </c>
      <c r="B9428">
        <v>0</v>
      </c>
    </row>
    <row r="9429" spans="1:2" x14ac:dyDescent="0.25">
      <c r="A9429">
        <v>17520</v>
      </c>
      <c r="B9429">
        <v>0</v>
      </c>
    </row>
    <row r="9430" spans="1:2" x14ac:dyDescent="0.25">
      <c r="A9430">
        <v>17521</v>
      </c>
      <c r="B9430">
        <v>0</v>
      </c>
    </row>
    <row r="9431" spans="1:2" x14ac:dyDescent="0.25">
      <c r="A9431">
        <v>17522</v>
      </c>
      <c r="B9431">
        <v>0</v>
      </c>
    </row>
    <row r="9432" spans="1:2" x14ac:dyDescent="0.25">
      <c r="A9432">
        <v>17523</v>
      </c>
      <c r="B9432">
        <v>0</v>
      </c>
    </row>
    <row r="9433" spans="1:2" x14ac:dyDescent="0.25">
      <c r="A9433">
        <v>17524</v>
      </c>
      <c r="B9433">
        <v>0</v>
      </c>
    </row>
    <row r="9434" spans="1:2" x14ac:dyDescent="0.25">
      <c r="A9434">
        <v>17525</v>
      </c>
      <c r="B9434">
        <v>0</v>
      </c>
    </row>
    <row r="9435" spans="1:2" x14ac:dyDescent="0.25">
      <c r="A9435">
        <v>17528</v>
      </c>
      <c r="B9435">
        <v>0</v>
      </c>
    </row>
    <row r="9436" spans="1:2" x14ac:dyDescent="0.25">
      <c r="A9436">
        <v>17545</v>
      </c>
      <c r="B9436">
        <v>0</v>
      </c>
    </row>
    <row r="9437" spans="1:2" x14ac:dyDescent="0.25">
      <c r="A9437">
        <v>17547</v>
      </c>
      <c r="B9437">
        <v>0</v>
      </c>
    </row>
    <row r="9438" spans="1:2" x14ac:dyDescent="0.25">
      <c r="A9438">
        <v>17549</v>
      </c>
      <c r="B9438">
        <v>0</v>
      </c>
    </row>
    <row r="9439" spans="1:2" x14ac:dyDescent="0.25">
      <c r="A9439">
        <v>17551</v>
      </c>
      <c r="B9439">
        <v>0</v>
      </c>
    </row>
    <row r="9440" spans="1:2" x14ac:dyDescent="0.25">
      <c r="A9440">
        <v>17552</v>
      </c>
      <c r="B9440">
        <v>0</v>
      </c>
    </row>
    <row r="9441" spans="1:2" x14ac:dyDescent="0.25">
      <c r="A9441">
        <v>17554</v>
      </c>
      <c r="B9441">
        <v>0</v>
      </c>
    </row>
    <row r="9442" spans="1:2" x14ac:dyDescent="0.25">
      <c r="A9442">
        <v>17555</v>
      </c>
      <c r="B9442">
        <v>0</v>
      </c>
    </row>
    <row r="9443" spans="1:2" x14ac:dyDescent="0.25">
      <c r="A9443">
        <v>17556</v>
      </c>
      <c r="B9443">
        <v>0</v>
      </c>
    </row>
    <row r="9444" spans="1:2" x14ac:dyDescent="0.25">
      <c r="A9444">
        <v>17558</v>
      </c>
      <c r="B9444">
        <v>0</v>
      </c>
    </row>
    <row r="9445" spans="1:2" x14ac:dyDescent="0.25">
      <c r="A9445">
        <v>17559</v>
      </c>
      <c r="B9445">
        <v>0</v>
      </c>
    </row>
    <row r="9446" spans="1:2" x14ac:dyDescent="0.25">
      <c r="A9446">
        <v>17560</v>
      </c>
      <c r="B9446">
        <v>0</v>
      </c>
    </row>
    <row r="9447" spans="1:2" x14ac:dyDescent="0.25">
      <c r="A9447">
        <v>17562</v>
      </c>
      <c r="B9447">
        <v>0</v>
      </c>
    </row>
    <row r="9448" spans="1:2" x14ac:dyDescent="0.25">
      <c r="A9448">
        <v>17563</v>
      </c>
      <c r="B9448">
        <v>0</v>
      </c>
    </row>
    <row r="9449" spans="1:2" x14ac:dyDescent="0.25">
      <c r="A9449">
        <v>17566</v>
      </c>
      <c r="B9449">
        <v>0</v>
      </c>
    </row>
    <row r="9450" spans="1:2" x14ac:dyDescent="0.25">
      <c r="A9450">
        <v>17567</v>
      </c>
      <c r="B9450">
        <v>0</v>
      </c>
    </row>
    <row r="9451" spans="1:2" x14ac:dyDescent="0.25">
      <c r="A9451">
        <v>17568</v>
      </c>
      <c r="B9451">
        <v>0</v>
      </c>
    </row>
    <row r="9452" spans="1:2" x14ac:dyDescent="0.25">
      <c r="A9452">
        <v>17569</v>
      </c>
      <c r="B9452">
        <v>0</v>
      </c>
    </row>
    <row r="9453" spans="1:2" x14ac:dyDescent="0.25">
      <c r="A9453">
        <v>17570</v>
      </c>
      <c r="B9453">
        <v>0</v>
      </c>
    </row>
    <row r="9454" spans="1:2" x14ac:dyDescent="0.25">
      <c r="A9454">
        <v>17571</v>
      </c>
      <c r="B9454">
        <v>0</v>
      </c>
    </row>
    <row r="9455" spans="1:2" x14ac:dyDescent="0.25">
      <c r="A9455">
        <v>17572</v>
      </c>
      <c r="B9455">
        <v>0</v>
      </c>
    </row>
    <row r="9456" spans="1:2" x14ac:dyDescent="0.25">
      <c r="A9456">
        <v>17573</v>
      </c>
      <c r="B9456">
        <v>0</v>
      </c>
    </row>
    <row r="9457" spans="1:2" x14ac:dyDescent="0.25">
      <c r="A9457">
        <v>17574</v>
      </c>
      <c r="B9457">
        <v>0</v>
      </c>
    </row>
    <row r="9458" spans="1:2" x14ac:dyDescent="0.25">
      <c r="A9458">
        <v>17575</v>
      </c>
      <c r="B9458">
        <v>0</v>
      </c>
    </row>
    <row r="9459" spans="1:2" x14ac:dyDescent="0.25">
      <c r="A9459">
        <v>17576</v>
      </c>
      <c r="B9459">
        <v>0</v>
      </c>
    </row>
    <row r="9460" spans="1:2" x14ac:dyDescent="0.25">
      <c r="A9460">
        <v>17577</v>
      </c>
      <c r="B9460">
        <v>0</v>
      </c>
    </row>
    <row r="9461" spans="1:2" x14ac:dyDescent="0.25">
      <c r="A9461">
        <v>17578</v>
      </c>
      <c r="B9461">
        <v>0</v>
      </c>
    </row>
    <row r="9462" spans="1:2" x14ac:dyDescent="0.25">
      <c r="A9462">
        <v>17579</v>
      </c>
      <c r="B9462">
        <v>0</v>
      </c>
    </row>
    <row r="9463" spans="1:2" x14ac:dyDescent="0.25">
      <c r="A9463">
        <v>17581</v>
      </c>
      <c r="B9463">
        <v>0</v>
      </c>
    </row>
    <row r="9464" spans="1:2" x14ac:dyDescent="0.25">
      <c r="A9464">
        <v>17587</v>
      </c>
      <c r="B9464">
        <v>0</v>
      </c>
    </row>
    <row r="9465" spans="1:2" x14ac:dyDescent="0.25">
      <c r="A9465">
        <v>17588</v>
      </c>
      <c r="B9465">
        <v>0</v>
      </c>
    </row>
    <row r="9466" spans="1:2" x14ac:dyDescent="0.25">
      <c r="A9466">
        <v>17589</v>
      </c>
      <c r="B9466">
        <v>0</v>
      </c>
    </row>
    <row r="9467" spans="1:2" x14ac:dyDescent="0.25">
      <c r="A9467">
        <v>17593</v>
      </c>
      <c r="B9467">
        <v>0</v>
      </c>
    </row>
    <row r="9468" spans="1:2" x14ac:dyDescent="0.25">
      <c r="A9468">
        <v>17594</v>
      </c>
      <c r="B9468">
        <v>0</v>
      </c>
    </row>
    <row r="9469" spans="1:2" x14ac:dyDescent="0.25">
      <c r="A9469">
        <v>17595</v>
      </c>
      <c r="B9469">
        <v>0</v>
      </c>
    </row>
    <row r="9470" spans="1:2" x14ac:dyDescent="0.25">
      <c r="A9470">
        <v>17596</v>
      </c>
      <c r="B9470">
        <v>0</v>
      </c>
    </row>
    <row r="9471" spans="1:2" x14ac:dyDescent="0.25">
      <c r="A9471">
        <v>17597</v>
      </c>
      <c r="B9471">
        <v>0</v>
      </c>
    </row>
    <row r="9472" spans="1:2" x14ac:dyDescent="0.25">
      <c r="A9472">
        <v>17598</v>
      </c>
      <c r="B9472">
        <v>0</v>
      </c>
    </row>
    <row r="9473" spans="1:2" x14ac:dyDescent="0.25">
      <c r="A9473">
        <v>17599</v>
      </c>
      <c r="B9473">
        <v>0</v>
      </c>
    </row>
    <row r="9474" spans="1:2" x14ac:dyDescent="0.25">
      <c r="A9474">
        <v>17600</v>
      </c>
      <c r="B9474">
        <v>0</v>
      </c>
    </row>
    <row r="9475" spans="1:2" x14ac:dyDescent="0.25">
      <c r="A9475">
        <v>17608</v>
      </c>
      <c r="B9475">
        <v>0</v>
      </c>
    </row>
    <row r="9476" spans="1:2" x14ac:dyDescent="0.25">
      <c r="A9476">
        <v>17610</v>
      </c>
      <c r="B9476">
        <v>0</v>
      </c>
    </row>
    <row r="9477" spans="1:2" x14ac:dyDescent="0.25">
      <c r="A9477">
        <v>17612</v>
      </c>
      <c r="B9477">
        <v>0</v>
      </c>
    </row>
    <row r="9478" spans="1:2" x14ac:dyDescent="0.25">
      <c r="A9478">
        <v>17614</v>
      </c>
      <c r="B9478">
        <v>0</v>
      </c>
    </row>
    <row r="9479" spans="1:2" x14ac:dyDescent="0.25">
      <c r="A9479">
        <v>17616</v>
      </c>
      <c r="B9479">
        <v>0</v>
      </c>
    </row>
    <row r="9480" spans="1:2" x14ac:dyDescent="0.25">
      <c r="A9480">
        <v>17618</v>
      </c>
      <c r="B9480">
        <v>0</v>
      </c>
    </row>
    <row r="9481" spans="1:2" x14ac:dyDescent="0.25">
      <c r="A9481">
        <v>17620</v>
      </c>
      <c r="B9481">
        <v>0</v>
      </c>
    </row>
    <row r="9482" spans="1:2" x14ac:dyDescent="0.25">
      <c r="A9482">
        <v>17622</v>
      </c>
      <c r="B9482">
        <v>0</v>
      </c>
    </row>
    <row r="9483" spans="1:2" x14ac:dyDescent="0.25">
      <c r="A9483">
        <v>17625</v>
      </c>
      <c r="B9483">
        <v>0</v>
      </c>
    </row>
    <row r="9484" spans="1:2" x14ac:dyDescent="0.25">
      <c r="A9484">
        <v>17627</v>
      </c>
      <c r="B9484">
        <v>0</v>
      </c>
    </row>
    <row r="9485" spans="1:2" x14ac:dyDescent="0.25">
      <c r="A9485">
        <v>17629</v>
      </c>
      <c r="B9485">
        <v>0</v>
      </c>
    </row>
    <row r="9486" spans="1:2" x14ac:dyDescent="0.25">
      <c r="A9486">
        <v>17631</v>
      </c>
      <c r="B9486">
        <v>0</v>
      </c>
    </row>
    <row r="9487" spans="1:2" x14ac:dyDescent="0.25">
      <c r="A9487">
        <v>17633</v>
      </c>
      <c r="B9487">
        <v>0</v>
      </c>
    </row>
    <row r="9488" spans="1:2" x14ac:dyDescent="0.25">
      <c r="A9488">
        <v>17634</v>
      </c>
      <c r="B9488">
        <v>0</v>
      </c>
    </row>
    <row r="9489" spans="1:2" x14ac:dyDescent="0.25">
      <c r="A9489">
        <v>17636</v>
      </c>
      <c r="B9489">
        <v>0</v>
      </c>
    </row>
    <row r="9490" spans="1:2" x14ac:dyDescent="0.25">
      <c r="A9490">
        <v>17638</v>
      </c>
      <c r="B9490">
        <v>0</v>
      </c>
    </row>
    <row r="9491" spans="1:2" x14ac:dyDescent="0.25">
      <c r="A9491">
        <v>17666</v>
      </c>
      <c r="B9491">
        <v>0</v>
      </c>
    </row>
    <row r="9492" spans="1:2" x14ac:dyDescent="0.25">
      <c r="A9492">
        <v>17667</v>
      </c>
      <c r="B9492">
        <v>0</v>
      </c>
    </row>
    <row r="9493" spans="1:2" x14ac:dyDescent="0.25">
      <c r="A9493">
        <v>17668</v>
      </c>
      <c r="B9493">
        <v>0</v>
      </c>
    </row>
    <row r="9494" spans="1:2" x14ac:dyDescent="0.25">
      <c r="A9494">
        <v>17669</v>
      </c>
      <c r="B9494">
        <v>0</v>
      </c>
    </row>
    <row r="9495" spans="1:2" x14ac:dyDescent="0.25">
      <c r="A9495">
        <v>17670</v>
      </c>
      <c r="B9495">
        <v>0</v>
      </c>
    </row>
    <row r="9496" spans="1:2" x14ac:dyDescent="0.25">
      <c r="A9496">
        <v>17671</v>
      </c>
      <c r="B9496">
        <v>0</v>
      </c>
    </row>
    <row r="9497" spans="1:2" x14ac:dyDescent="0.25">
      <c r="A9497">
        <v>17672</v>
      </c>
      <c r="B9497">
        <v>0</v>
      </c>
    </row>
    <row r="9498" spans="1:2" x14ac:dyDescent="0.25">
      <c r="A9498">
        <v>17673</v>
      </c>
      <c r="B9498">
        <v>0</v>
      </c>
    </row>
    <row r="9499" spans="1:2" x14ac:dyDescent="0.25">
      <c r="A9499">
        <v>17674</v>
      </c>
      <c r="B9499">
        <v>0</v>
      </c>
    </row>
    <row r="9500" spans="1:2" x14ac:dyDescent="0.25">
      <c r="A9500">
        <v>17675</v>
      </c>
      <c r="B9500">
        <v>0</v>
      </c>
    </row>
    <row r="9501" spans="1:2" x14ac:dyDescent="0.25">
      <c r="A9501">
        <v>17676</v>
      </c>
      <c r="B9501">
        <v>0</v>
      </c>
    </row>
    <row r="9502" spans="1:2" x14ac:dyDescent="0.25">
      <c r="A9502">
        <v>17678</v>
      </c>
      <c r="B9502">
        <v>0</v>
      </c>
    </row>
    <row r="9503" spans="1:2" x14ac:dyDescent="0.25">
      <c r="A9503">
        <v>17679</v>
      </c>
      <c r="B9503">
        <v>0</v>
      </c>
    </row>
    <row r="9504" spans="1:2" x14ac:dyDescent="0.25">
      <c r="A9504">
        <v>17680</v>
      </c>
      <c r="B9504">
        <v>0</v>
      </c>
    </row>
    <row r="9505" spans="1:2" x14ac:dyDescent="0.25">
      <c r="A9505">
        <v>17682</v>
      </c>
      <c r="B9505">
        <v>0</v>
      </c>
    </row>
    <row r="9506" spans="1:2" x14ac:dyDescent="0.25">
      <c r="A9506">
        <v>17684</v>
      </c>
      <c r="B9506">
        <v>0</v>
      </c>
    </row>
    <row r="9507" spans="1:2" x14ac:dyDescent="0.25">
      <c r="A9507">
        <v>17685</v>
      </c>
      <c r="B9507">
        <v>0</v>
      </c>
    </row>
    <row r="9508" spans="1:2" x14ac:dyDescent="0.25">
      <c r="A9508">
        <v>17686</v>
      </c>
      <c r="B9508">
        <v>0</v>
      </c>
    </row>
    <row r="9509" spans="1:2" x14ac:dyDescent="0.25">
      <c r="A9509">
        <v>17687</v>
      </c>
      <c r="B9509">
        <v>0</v>
      </c>
    </row>
    <row r="9510" spans="1:2" x14ac:dyDescent="0.25">
      <c r="A9510">
        <v>17688</v>
      </c>
      <c r="B9510">
        <v>0</v>
      </c>
    </row>
    <row r="9511" spans="1:2" x14ac:dyDescent="0.25">
      <c r="A9511">
        <v>17689</v>
      </c>
      <c r="B9511">
        <v>0</v>
      </c>
    </row>
    <row r="9512" spans="1:2" x14ac:dyDescent="0.25">
      <c r="A9512">
        <v>17690</v>
      </c>
      <c r="B9512">
        <v>0</v>
      </c>
    </row>
    <row r="9513" spans="1:2" x14ac:dyDescent="0.25">
      <c r="A9513">
        <v>17691</v>
      </c>
      <c r="B9513">
        <v>0</v>
      </c>
    </row>
    <row r="9514" spans="1:2" x14ac:dyDescent="0.25">
      <c r="A9514">
        <v>17692</v>
      </c>
      <c r="B9514">
        <v>0</v>
      </c>
    </row>
    <row r="9515" spans="1:2" x14ac:dyDescent="0.25">
      <c r="A9515">
        <v>17694</v>
      </c>
      <c r="B9515">
        <v>0</v>
      </c>
    </row>
    <row r="9516" spans="1:2" x14ac:dyDescent="0.25">
      <c r="A9516">
        <v>17695</v>
      </c>
      <c r="B9516">
        <v>0</v>
      </c>
    </row>
    <row r="9517" spans="1:2" x14ac:dyDescent="0.25">
      <c r="A9517">
        <v>17696</v>
      </c>
      <c r="B9517">
        <v>0</v>
      </c>
    </row>
    <row r="9518" spans="1:2" x14ac:dyDescent="0.25">
      <c r="A9518">
        <v>17698</v>
      </c>
      <c r="B9518">
        <v>0</v>
      </c>
    </row>
    <row r="9519" spans="1:2" x14ac:dyDescent="0.25">
      <c r="A9519">
        <v>17700</v>
      </c>
      <c r="B9519">
        <v>0</v>
      </c>
    </row>
    <row r="9520" spans="1:2" x14ac:dyDescent="0.25">
      <c r="A9520">
        <v>17701</v>
      </c>
      <c r="B9520">
        <v>0</v>
      </c>
    </row>
    <row r="9521" spans="1:2" x14ac:dyDescent="0.25">
      <c r="A9521">
        <v>17704</v>
      </c>
      <c r="B9521">
        <v>0</v>
      </c>
    </row>
    <row r="9522" spans="1:2" x14ac:dyDescent="0.25">
      <c r="A9522">
        <v>17721</v>
      </c>
      <c r="B9522">
        <v>0</v>
      </c>
    </row>
    <row r="9523" spans="1:2" x14ac:dyDescent="0.25">
      <c r="A9523">
        <v>17725</v>
      </c>
      <c r="B9523">
        <v>0</v>
      </c>
    </row>
    <row r="9524" spans="1:2" x14ac:dyDescent="0.25">
      <c r="A9524">
        <v>17730</v>
      </c>
      <c r="B9524">
        <v>0</v>
      </c>
    </row>
    <row r="9525" spans="1:2" x14ac:dyDescent="0.25">
      <c r="A9525">
        <v>17734</v>
      </c>
      <c r="B9525">
        <v>0</v>
      </c>
    </row>
    <row r="9526" spans="1:2" x14ac:dyDescent="0.25">
      <c r="A9526">
        <v>17736</v>
      </c>
      <c r="B9526">
        <v>0</v>
      </c>
    </row>
    <row r="9527" spans="1:2" x14ac:dyDescent="0.25">
      <c r="A9527">
        <v>17738</v>
      </c>
      <c r="B9527">
        <v>0</v>
      </c>
    </row>
    <row r="9528" spans="1:2" x14ac:dyDescent="0.25">
      <c r="A9528">
        <v>17740</v>
      </c>
      <c r="B9528">
        <v>0</v>
      </c>
    </row>
    <row r="9529" spans="1:2" x14ac:dyDescent="0.25">
      <c r="A9529">
        <v>17742</v>
      </c>
      <c r="B9529">
        <v>0</v>
      </c>
    </row>
    <row r="9530" spans="1:2" x14ac:dyDescent="0.25">
      <c r="A9530">
        <v>17744</v>
      </c>
      <c r="B9530">
        <v>0</v>
      </c>
    </row>
    <row r="9531" spans="1:2" x14ac:dyDescent="0.25">
      <c r="A9531">
        <v>17746</v>
      </c>
      <c r="B9531">
        <v>0</v>
      </c>
    </row>
    <row r="9532" spans="1:2" x14ac:dyDescent="0.25">
      <c r="A9532">
        <v>17752</v>
      </c>
      <c r="B9532">
        <v>0</v>
      </c>
    </row>
    <row r="9533" spans="1:2" x14ac:dyDescent="0.25">
      <c r="A9533">
        <v>17754</v>
      </c>
      <c r="B9533">
        <v>0</v>
      </c>
    </row>
    <row r="9534" spans="1:2" x14ac:dyDescent="0.25">
      <c r="A9534">
        <v>17757</v>
      </c>
      <c r="B9534">
        <v>7</v>
      </c>
    </row>
    <row r="9535" spans="1:2" x14ac:dyDescent="0.25">
      <c r="A9535">
        <v>17759</v>
      </c>
      <c r="B9535">
        <v>0</v>
      </c>
    </row>
    <row r="9536" spans="1:2" x14ac:dyDescent="0.25">
      <c r="A9536">
        <v>17766</v>
      </c>
      <c r="B9536">
        <v>0</v>
      </c>
    </row>
    <row r="9537" spans="1:2" x14ac:dyDescent="0.25">
      <c r="A9537">
        <v>17767</v>
      </c>
      <c r="B9537">
        <v>0</v>
      </c>
    </row>
    <row r="9538" spans="1:2" x14ac:dyDescent="0.25">
      <c r="A9538">
        <v>17768</v>
      </c>
      <c r="B9538">
        <v>0</v>
      </c>
    </row>
    <row r="9539" spans="1:2" x14ac:dyDescent="0.25">
      <c r="A9539">
        <v>17770</v>
      </c>
      <c r="B9539">
        <v>0</v>
      </c>
    </row>
    <row r="9540" spans="1:2" x14ac:dyDescent="0.25">
      <c r="A9540">
        <v>17771</v>
      </c>
      <c r="B9540">
        <v>0</v>
      </c>
    </row>
    <row r="9541" spans="1:2" x14ac:dyDescent="0.25">
      <c r="A9541">
        <v>17772</v>
      </c>
      <c r="B9541">
        <v>0</v>
      </c>
    </row>
    <row r="9542" spans="1:2" x14ac:dyDescent="0.25">
      <c r="A9542">
        <v>17773</v>
      </c>
      <c r="B9542">
        <v>0</v>
      </c>
    </row>
    <row r="9543" spans="1:2" x14ac:dyDescent="0.25">
      <c r="A9543">
        <v>17787</v>
      </c>
      <c r="B9543">
        <v>0</v>
      </c>
    </row>
    <row r="9544" spans="1:2" x14ac:dyDescent="0.25">
      <c r="A9544">
        <v>17788</v>
      </c>
      <c r="B9544">
        <v>0</v>
      </c>
    </row>
    <row r="9545" spans="1:2" x14ac:dyDescent="0.25">
      <c r="A9545">
        <v>17789</v>
      </c>
      <c r="B9545">
        <v>0</v>
      </c>
    </row>
    <row r="9546" spans="1:2" x14ac:dyDescent="0.25">
      <c r="A9546">
        <v>17790</v>
      </c>
      <c r="B9546">
        <v>0</v>
      </c>
    </row>
    <row r="9547" spans="1:2" x14ac:dyDescent="0.25">
      <c r="A9547">
        <v>17791</v>
      </c>
      <c r="B9547">
        <v>0</v>
      </c>
    </row>
    <row r="9548" spans="1:2" x14ac:dyDescent="0.25">
      <c r="A9548">
        <v>17797</v>
      </c>
      <c r="B9548">
        <v>0</v>
      </c>
    </row>
    <row r="9549" spans="1:2" x14ac:dyDescent="0.25">
      <c r="A9549">
        <v>17799</v>
      </c>
      <c r="B9549">
        <v>0</v>
      </c>
    </row>
    <row r="9550" spans="1:2" x14ac:dyDescent="0.25">
      <c r="A9550">
        <v>17806</v>
      </c>
      <c r="B9550">
        <v>0</v>
      </c>
    </row>
    <row r="9551" spans="1:2" x14ac:dyDescent="0.25">
      <c r="A9551">
        <v>17808</v>
      </c>
      <c r="B9551">
        <v>7</v>
      </c>
    </row>
    <row r="9552" spans="1:2" x14ac:dyDescent="0.25">
      <c r="A9552">
        <v>17810</v>
      </c>
      <c r="B9552">
        <v>8</v>
      </c>
    </row>
    <row r="9553" spans="1:2" x14ac:dyDescent="0.25">
      <c r="A9553">
        <v>17812</v>
      </c>
      <c r="B9553">
        <v>0</v>
      </c>
    </row>
    <row r="9554" spans="1:2" x14ac:dyDescent="0.25">
      <c r="A9554">
        <v>17814</v>
      </c>
      <c r="B9554">
        <v>0</v>
      </c>
    </row>
    <row r="9555" spans="1:2" x14ac:dyDescent="0.25">
      <c r="A9555">
        <v>17817</v>
      </c>
      <c r="B9555">
        <v>0</v>
      </c>
    </row>
    <row r="9556" spans="1:2" x14ac:dyDescent="0.25">
      <c r="A9556">
        <v>17819</v>
      </c>
      <c r="B9556">
        <v>0</v>
      </c>
    </row>
    <row r="9557" spans="1:2" x14ac:dyDescent="0.25">
      <c r="A9557">
        <v>17820</v>
      </c>
      <c r="B9557">
        <v>0</v>
      </c>
    </row>
    <row r="9558" spans="1:2" x14ac:dyDescent="0.25">
      <c r="A9558">
        <v>17821</v>
      </c>
      <c r="B9558">
        <v>0</v>
      </c>
    </row>
    <row r="9559" spans="1:2" x14ac:dyDescent="0.25">
      <c r="A9559">
        <v>17822</v>
      </c>
      <c r="B9559">
        <v>0</v>
      </c>
    </row>
    <row r="9560" spans="1:2" x14ac:dyDescent="0.25">
      <c r="A9560">
        <v>17823</v>
      </c>
      <c r="B9560">
        <v>0</v>
      </c>
    </row>
    <row r="9561" spans="1:2" x14ac:dyDescent="0.25">
      <c r="A9561">
        <v>17824</v>
      </c>
      <c r="B9561">
        <v>0</v>
      </c>
    </row>
    <row r="9562" spans="1:2" x14ac:dyDescent="0.25">
      <c r="A9562">
        <v>17849</v>
      </c>
      <c r="B9562">
        <v>0</v>
      </c>
    </row>
    <row r="9563" spans="1:2" x14ac:dyDescent="0.25">
      <c r="A9563">
        <v>17850</v>
      </c>
      <c r="B9563">
        <v>0</v>
      </c>
    </row>
    <row r="9564" spans="1:2" x14ac:dyDescent="0.25">
      <c r="A9564">
        <v>17851</v>
      </c>
      <c r="B9564">
        <v>0</v>
      </c>
    </row>
    <row r="9565" spans="1:2" x14ac:dyDescent="0.25">
      <c r="A9565">
        <v>17852</v>
      </c>
      <c r="B9565">
        <v>0</v>
      </c>
    </row>
    <row r="9566" spans="1:2" x14ac:dyDescent="0.25">
      <c r="A9566">
        <v>17859</v>
      </c>
      <c r="B9566">
        <v>0</v>
      </c>
    </row>
    <row r="9567" spans="1:2" x14ac:dyDescent="0.25">
      <c r="A9567">
        <v>17862</v>
      </c>
      <c r="B9567">
        <v>0</v>
      </c>
    </row>
    <row r="9568" spans="1:2" x14ac:dyDescent="0.25">
      <c r="A9568">
        <v>17863</v>
      </c>
      <c r="B9568">
        <v>0</v>
      </c>
    </row>
    <row r="9569" spans="1:2" x14ac:dyDescent="0.25">
      <c r="A9569">
        <v>17864</v>
      </c>
      <c r="B9569">
        <v>0</v>
      </c>
    </row>
    <row r="9570" spans="1:2" x14ac:dyDescent="0.25">
      <c r="A9570">
        <v>17866</v>
      </c>
      <c r="B9570">
        <v>0</v>
      </c>
    </row>
    <row r="9571" spans="1:2" x14ac:dyDescent="0.25">
      <c r="A9571">
        <v>17869</v>
      </c>
      <c r="B9571">
        <v>0</v>
      </c>
    </row>
    <row r="9572" spans="1:2" x14ac:dyDescent="0.25">
      <c r="A9572">
        <v>17872</v>
      </c>
      <c r="B9572">
        <v>0</v>
      </c>
    </row>
    <row r="9573" spans="1:2" x14ac:dyDescent="0.25">
      <c r="A9573">
        <v>17874</v>
      </c>
      <c r="B9573">
        <v>0</v>
      </c>
    </row>
    <row r="9574" spans="1:2" x14ac:dyDescent="0.25">
      <c r="A9574">
        <v>17885</v>
      </c>
      <c r="B9574">
        <v>0</v>
      </c>
    </row>
    <row r="9575" spans="1:2" x14ac:dyDescent="0.25">
      <c r="A9575">
        <v>17886</v>
      </c>
      <c r="B9575">
        <v>0</v>
      </c>
    </row>
    <row r="9576" spans="1:2" x14ac:dyDescent="0.25">
      <c r="A9576">
        <v>17887</v>
      </c>
      <c r="B9576">
        <v>0</v>
      </c>
    </row>
    <row r="9577" spans="1:2" x14ac:dyDescent="0.25">
      <c r="A9577">
        <v>17888</v>
      </c>
      <c r="B9577">
        <v>0</v>
      </c>
    </row>
    <row r="9578" spans="1:2" x14ac:dyDescent="0.25">
      <c r="A9578">
        <v>17891</v>
      </c>
      <c r="B9578">
        <v>0</v>
      </c>
    </row>
    <row r="9579" spans="1:2" x14ac:dyDescent="0.25">
      <c r="A9579">
        <v>17894</v>
      </c>
      <c r="B9579">
        <v>0</v>
      </c>
    </row>
    <row r="9580" spans="1:2" x14ac:dyDescent="0.25">
      <c r="A9580">
        <v>17896</v>
      </c>
      <c r="B9580">
        <v>0</v>
      </c>
    </row>
    <row r="9581" spans="1:2" x14ac:dyDescent="0.25">
      <c r="A9581">
        <v>17898</v>
      </c>
      <c r="B9581">
        <v>0</v>
      </c>
    </row>
    <row r="9582" spans="1:2" x14ac:dyDescent="0.25">
      <c r="A9582">
        <v>17900</v>
      </c>
      <c r="B9582">
        <v>0</v>
      </c>
    </row>
    <row r="9583" spans="1:2" x14ac:dyDescent="0.25">
      <c r="A9583">
        <v>17902</v>
      </c>
      <c r="B9583">
        <v>0</v>
      </c>
    </row>
    <row r="9584" spans="1:2" x14ac:dyDescent="0.25">
      <c r="A9584">
        <v>17903</v>
      </c>
      <c r="B9584">
        <v>0</v>
      </c>
    </row>
    <row r="9585" spans="1:2" x14ac:dyDescent="0.25">
      <c r="A9585">
        <v>17906</v>
      </c>
      <c r="B9585">
        <v>0</v>
      </c>
    </row>
    <row r="9586" spans="1:2" x14ac:dyDescent="0.25">
      <c r="A9586">
        <v>17908</v>
      </c>
      <c r="B9586">
        <v>0</v>
      </c>
    </row>
    <row r="9587" spans="1:2" x14ac:dyDescent="0.25">
      <c r="A9587">
        <v>17910</v>
      </c>
      <c r="B9587">
        <v>0</v>
      </c>
    </row>
    <row r="9588" spans="1:2" x14ac:dyDescent="0.25">
      <c r="A9588">
        <v>17912</v>
      </c>
      <c r="B9588">
        <v>0</v>
      </c>
    </row>
    <row r="9589" spans="1:2" x14ac:dyDescent="0.25">
      <c r="A9589">
        <v>17914</v>
      </c>
      <c r="B9589">
        <v>0</v>
      </c>
    </row>
    <row r="9590" spans="1:2" x14ac:dyDescent="0.25">
      <c r="A9590">
        <v>17916</v>
      </c>
      <c r="B9590">
        <v>0</v>
      </c>
    </row>
    <row r="9591" spans="1:2" x14ac:dyDescent="0.25">
      <c r="A9591">
        <v>17918</v>
      </c>
      <c r="B9591">
        <v>0</v>
      </c>
    </row>
    <row r="9592" spans="1:2" x14ac:dyDescent="0.25">
      <c r="A9592">
        <v>17921</v>
      </c>
      <c r="B9592">
        <v>0</v>
      </c>
    </row>
    <row r="9593" spans="1:2" x14ac:dyDescent="0.25">
      <c r="A9593">
        <v>17923</v>
      </c>
      <c r="B9593">
        <v>0</v>
      </c>
    </row>
    <row r="9594" spans="1:2" x14ac:dyDescent="0.25">
      <c r="A9594">
        <v>17924</v>
      </c>
      <c r="B9594">
        <v>0</v>
      </c>
    </row>
    <row r="9595" spans="1:2" x14ac:dyDescent="0.25">
      <c r="A9595">
        <v>17944</v>
      </c>
      <c r="B9595">
        <v>0</v>
      </c>
    </row>
    <row r="9596" spans="1:2" x14ac:dyDescent="0.25">
      <c r="A9596">
        <v>17946</v>
      </c>
      <c r="B9596">
        <v>0</v>
      </c>
    </row>
    <row r="9597" spans="1:2" x14ac:dyDescent="0.25">
      <c r="A9597">
        <v>17948</v>
      </c>
      <c r="B9597">
        <v>0</v>
      </c>
    </row>
    <row r="9598" spans="1:2" x14ac:dyDescent="0.25">
      <c r="A9598">
        <v>17950</v>
      </c>
      <c r="B9598">
        <v>0</v>
      </c>
    </row>
    <row r="9599" spans="1:2" x14ac:dyDescent="0.25">
      <c r="A9599">
        <v>17952</v>
      </c>
      <c r="B9599">
        <v>0</v>
      </c>
    </row>
    <row r="9600" spans="1:2" x14ac:dyDescent="0.25">
      <c r="A9600">
        <v>17954</v>
      </c>
      <c r="B9600">
        <v>0</v>
      </c>
    </row>
    <row r="9601" spans="1:2" x14ac:dyDescent="0.25">
      <c r="A9601">
        <v>17956</v>
      </c>
      <c r="B9601">
        <v>0</v>
      </c>
    </row>
    <row r="9602" spans="1:2" x14ac:dyDescent="0.25">
      <c r="A9602">
        <v>17957</v>
      </c>
      <c r="B9602">
        <v>0</v>
      </c>
    </row>
    <row r="9603" spans="1:2" x14ac:dyDescent="0.25">
      <c r="A9603">
        <v>17958</v>
      </c>
      <c r="B9603">
        <v>0</v>
      </c>
    </row>
    <row r="9604" spans="1:2" x14ac:dyDescent="0.25">
      <c r="A9604">
        <v>17961</v>
      </c>
      <c r="B9604">
        <v>0</v>
      </c>
    </row>
    <row r="9605" spans="1:2" x14ac:dyDescent="0.25">
      <c r="A9605">
        <v>17973</v>
      </c>
      <c r="B9605">
        <v>0</v>
      </c>
    </row>
    <row r="9606" spans="1:2" x14ac:dyDescent="0.25">
      <c r="A9606">
        <v>17975</v>
      </c>
      <c r="B9606">
        <v>0</v>
      </c>
    </row>
    <row r="9607" spans="1:2" x14ac:dyDescent="0.25">
      <c r="A9607">
        <v>17976</v>
      </c>
      <c r="B9607">
        <v>0</v>
      </c>
    </row>
    <row r="9608" spans="1:2" x14ac:dyDescent="0.25">
      <c r="A9608">
        <v>17977</v>
      </c>
      <c r="B9608">
        <v>0</v>
      </c>
    </row>
    <row r="9609" spans="1:2" x14ac:dyDescent="0.25">
      <c r="A9609">
        <v>17978</v>
      </c>
      <c r="B9609">
        <v>0</v>
      </c>
    </row>
    <row r="9610" spans="1:2" x14ac:dyDescent="0.25">
      <c r="A9610">
        <v>17979</v>
      </c>
      <c r="B9610">
        <v>0</v>
      </c>
    </row>
    <row r="9611" spans="1:2" x14ac:dyDescent="0.25">
      <c r="A9611">
        <v>17980</v>
      </c>
      <c r="B9611">
        <v>0</v>
      </c>
    </row>
    <row r="9612" spans="1:2" x14ac:dyDescent="0.25">
      <c r="A9612">
        <v>17981</v>
      </c>
      <c r="B9612">
        <v>0</v>
      </c>
    </row>
    <row r="9613" spans="1:2" x14ac:dyDescent="0.25">
      <c r="A9613">
        <v>17982</v>
      </c>
      <c r="B9613">
        <v>0</v>
      </c>
    </row>
    <row r="9614" spans="1:2" x14ac:dyDescent="0.25">
      <c r="A9614">
        <v>17983</v>
      </c>
      <c r="B9614">
        <v>0</v>
      </c>
    </row>
    <row r="9615" spans="1:2" x14ac:dyDescent="0.25">
      <c r="A9615">
        <v>17985</v>
      </c>
      <c r="B9615">
        <v>0</v>
      </c>
    </row>
    <row r="9616" spans="1:2" x14ac:dyDescent="0.25">
      <c r="A9616">
        <v>17987</v>
      </c>
      <c r="B9616">
        <v>0</v>
      </c>
    </row>
    <row r="9617" spans="1:2" x14ac:dyDescent="0.25">
      <c r="A9617">
        <v>17988</v>
      </c>
      <c r="B9617">
        <v>0</v>
      </c>
    </row>
    <row r="9618" spans="1:2" x14ac:dyDescent="0.25">
      <c r="A9618">
        <v>17989</v>
      </c>
      <c r="B9618">
        <v>0</v>
      </c>
    </row>
    <row r="9619" spans="1:2" x14ac:dyDescent="0.25">
      <c r="A9619">
        <v>17994</v>
      </c>
      <c r="B9619">
        <v>0</v>
      </c>
    </row>
    <row r="9620" spans="1:2" x14ac:dyDescent="0.25">
      <c r="A9620">
        <v>17995</v>
      </c>
      <c r="B9620">
        <v>0</v>
      </c>
    </row>
    <row r="9621" spans="1:2" x14ac:dyDescent="0.25">
      <c r="A9621">
        <v>17996</v>
      </c>
      <c r="B9621">
        <v>0</v>
      </c>
    </row>
    <row r="9622" spans="1:2" x14ac:dyDescent="0.25">
      <c r="A9622">
        <v>17997</v>
      </c>
      <c r="B9622">
        <v>0</v>
      </c>
    </row>
    <row r="9623" spans="1:2" x14ac:dyDescent="0.25">
      <c r="A9623">
        <v>17998</v>
      </c>
      <c r="B9623">
        <v>0</v>
      </c>
    </row>
    <row r="9624" spans="1:2" x14ac:dyDescent="0.25">
      <c r="A9624">
        <v>17999</v>
      </c>
      <c r="B9624">
        <v>0</v>
      </c>
    </row>
    <row r="9625" spans="1:2" x14ac:dyDescent="0.25">
      <c r="A9625">
        <v>18001</v>
      </c>
      <c r="B9625">
        <v>0</v>
      </c>
    </row>
    <row r="9626" spans="1:2" x14ac:dyDescent="0.25">
      <c r="A9626">
        <v>18003</v>
      </c>
      <c r="B9626">
        <v>0</v>
      </c>
    </row>
    <row r="9627" spans="1:2" x14ac:dyDescent="0.25">
      <c r="A9627">
        <v>18005</v>
      </c>
      <c r="B9627">
        <v>0</v>
      </c>
    </row>
    <row r="9628" spans="1:2" x14ac:dyDescent="0.25">
      <c r="A9628">
        <v>18006</v>
      </c>
      <c r="B9628">
        <v>0</v>
      </c>
    </row>
    <row r="9629" spans="1:2" x14ac:dyDescent="0.25">
      <c r="A9629">
        <v>18008</v>
      </c>
      <c r="B9629">
        <v>0</v>
      </c>
    </row>
    <row r="9630" spans="1:2" x14ac:dyDescent="0.25">
      <c r="A9630">
        <v>18010</v>
      </c>
      <c r="B9630">
        <v>0</v>
      </c>
    </row>
    <row r="9631" spans="1:2" x14ac:dyDescent="0.25">
      <c r="A9631">
        <v>18012</v>
      </c>
      <c r="B9631">
        <v>0</v>
      </c>
    </row>
    <row r="9632" spans="1:2" x14ac:dyDescent="0.25">
      <c r="A9632">
        <v>18014</v>
      </c>
      <c r="B9632">
        <v>0</v>
      </c>
    </row>
    <row r="9633" spans="1:2" x14ac:dyDescent="0.25">
      <c r="A9633">
        <v>18017</v>
      </c>
      <c r="B9633">
        <v>0</v>
      </c>
    </row>
    <row r="9634" spans="1:2" x14ac:dyDescent="0.25">
      <c r="A9634">
        <v>18022</v>
      </c>
      <c r="B9634">
        <v>0</v>
      </c>
    </row>
    <row r="9635" spans="1:2" x14ac:dyDescent="0.25">
      <c r="A9635">
        <v>18031</v>
      </c>
      <c r="B9635">
        <v>0</v>
      </c>
    </row>
    <row r="9636" spans="1:2" x14ac:dyDescent="0.25">
      <c r="A9636">
        <v>18033</v>
      </c>
      <c r="B9636">
        <v>0</v>
      </c>
    </row>
    <row r="9637" spans="1:2" x14ac:dyDescent="0.25">
      <c r="A9637">
        <v>18035</v>
      </c>
      <c r="B9637">
        <v>0</v>
      </c>
    </row>
    <row r="9638" spans="1:2" x14ac:dyDescent="0.25">
      <c r="A9638">
        <v>18036</v>
      </c>
      <c r="B9638">
        <v>0</v>
      </c>
    </row>
    <row r="9639" spans="1:2" x14ac:dyDescent="0.25">
      <c r="A9639">
        <v>18037</v>
      </c>
      <c r="B9639">
        <v>0</v>
      </c>
    </row>
    <row r="9640" spans="1:2" x14ac:dyDescent="0.25">
      <c r="A9640">
        <v>18038</v>
      </c>
      <c r="B9640">
        <v>0</v>
      </c>
    </row>
    <row r="9641" spans="1:2" x14ac:dyDescent="0.25">
      <c r="A9641">
        <v>18039</v>
      </c>
      <c r="B9641">
        <v>0</v>
      </c>
    </row>
    <row r="9642" spans="1:2" x14ac:dyDescent="0.25">
      <c r="A9642">
        <v>18040</v>
      </c>
      <c r="B9642">
        <v>0</v>
      </c>
    </row>
    <row r="9643" spans="1:2" x14ac:dyDescent="0.25">
      <c r="A9643">
        <v>18041</v>
      </c>
      <c r="B9643">
        <v>0</v>
      </c>
    </row>
    <row r="9644" spans="1:2" x14ac:dyDescent="0.25">
      <c r="A9644">
        <v>18044</v>
      </c>
      <c r="B9644">
        <v>0</v>
      </c>
    </row>
    <row r="9645" spans="1:2" x14ac:dyDescent="0.25">
      <c r="A9645">
        <v>18047</v>
      </c>
      <c r="B9645">
        <v>0</v>
      </c>
    </row>
    <row r="9646" spans="1:2" x14ac:dyDescent="0.25">
      <c r="A9646">
        <v>18049</v>
      </c>
      <c r="B9646">
        <v>0</v>
      </c>
    </row>
    <row r="9647" spans="1:2" x14ac:dyDescent="0.25">
      <c r="A9647">
        <v>18050</v>
      </c>
      <c r="B9647">
        <v>0</v>
      </c>
    </row>
    <row r="9648" spans="1:2" x14ac:dyDescent="0.25">
      <c r="A9648">
        <v>18051</v>
      </c>
      <c r="B9648">
        <v>0</v>
      </c>
    </row>
    <row r="9649" spans="1:2" x14ac:dyDescent="0.25">
      <c r="A9649">
        <v>18053</v>
      </c>
      <c r="B9649">
        <v>0</v>
      </c>
    </row>
    <row r="9650" spans="1:2" x14ac:dyDescent="0.25">
      <c r="A9650">
        <v>18055</v>
      </c>
      <c r="B9650">
        <v>0</v>
      </c>
    </row>
    <row r="9651" spans="1:2" x14ac:dyDescent="0.25">
      <c r="A9651">
        <v>18057</v>
      </c>
      <c r="B9651">
        <v>0</v>
      </c>
    </row>
    <row r="9652" spans="1:2" x14ac:dyDescent="0.25">
      <c r="A9652">
        <v>18060</v>
      </c>
      <c r="B9652">
        <v>0</v>
      </c>
    </row>
    <row r="9653" spans="1:2" x14ac:dyDescent="0.25">
      <c r="A9653">
        <v>18062</v>
      </c>
      <c r="B9653">
        <v>0</v>
      </c>
    </row>
    <row r="9654" spans="1:2" x14ac:dyDescent="0.25">
      <c r="A9654">
        <v>18072</v>
      </c>
      <c r="B9654">
        <v>0</v>
      </c>
    </row>
    <row r="9655" spans="1:2" x14ac:dyDescent="0.25">
      <c r="A9655">
        <v>18075</v>
      </c>
      <c r="B9655">
        <v>0</v>
      </c>
    </row>
    <row r="9656" spans="1:2" x14ac:dyDescent="0.25">
      <c r="A9656">
        <v>18094</v>
      </c>
      <c r="B9656">
        <v>0</v>
      </c>
    </row>
    <row r="9657" spans="1:2" x14ac:dyDescent="0.25">
      <c r="A9657">
        <v>18097</v>
      </c>
      <c r="B9657">
        <v>0</v>
      </c>
    </row>
    <row r="9658" spans="1:2" x14ac:dyDescent="0.25">
      <c r="A9658">
        <v>18098</v>
      </c>
      <c r="B9658">
        <v>0</v>
      </c>
    </row>
    <row r="9659" spans="1:2" x14ac:dyDescent="0.25">
      <c r="A9659">
        <v>18099</v>
      </c>
      <c r="B9659">
        <v>0</v>
      </c>
    </row>
    <row r="9660" spans="1:2" x14ac:dyDescent="0.25">
      <c r="A9660">
        <v>18100</v>
      </c>
      <c r="B9660">
        <v>0</v>
      </c>
    </row>
    <row r="9661" spans="1:2" x14ac:dyDescent="0.25">
      <c r="A9661">
        <v>18101</v>
      </c>
      <c r="B9661">
        <v>0</v>
      </c>
    </row>
    <row r="9662" spans="1:2" x14ac:dyDescent="0.25">
      <c r="A9662">
        <v>18102</v>
      </c>
      <c r="B9662">
        <v>0</v>
      </c>
    </row>
    <row r="9663" spans="1:2" x14ac:dyDescent="0.25">
      <c r="A9663">
        <v>18103</v>
      </c>
      <c r="B9663">
        <v>0</v>
      </c>
    </row>
    <row r="9664" spans="1:2" x14ac:dyDescent="0.25">
      <c r="A9664">
        <v>18104</v>
      </c>
      <c r="B9664">
        <v>0</v>
      </c>
    </row>
    <row r="9665" spans="1:2" x14ac:dyDescent="0.25">
      <c r="A9665">
        <v>18105</v>
      </c>
      <c r="B9665">
        <v>0</v>
      </c>
    </row>
    <row r="9666" spans="1:2" x14ac:dyDescent="0.25">
      <c r="A9666">
        <v>18106</v>
      </c>
      <c r="B9666">
        <v>0</v>
      </c>
    </row>
    <row r="9667" spans="1:2" x14ac:dyDescent="0.25">
      <c r="A9667">
        <v>18107</v>
      </c>
      <c r="B9667">
        <v>0</v>
      </c>
    </row>
    <row r="9668" spans="1:2" x14ac:dyDescent="0.25">
      <c r="A9668">
        <v>18108</v>
      </c>
      <c r="B9668">
        <v>0</v>
      </c>
    </row>
    <row r="9669" spans="1:2" x14ac:dyDescent="0.25">
      <c r="A9669">
        <v>18109</v>
      </c>
      <c r="B9669">
        <v>0</v>
      </c>
    </row>
    <row r="9670" spans="1:2" x14ac:dyDescent="0.25">
      <c r="A9670">
        <v>18111</v>
      </c>
      <c r="B9670">
        <v>0</v>
      </c>
    </row>
    <row r="9671" spans="1:2" x14ac:dyDescent="0.25">
      <c r="A9671">
        <v>18113</v>
      </c>
      <c r="B9671">
        <v>0</v>
      </c>
    </row>
    <row r="9672" spans="1:2" x14ac:dyDescent="0.25">
      <c r="A9672">
        <v>18114</v>
      </c>
      <c r="B9672">
        <v>0</v>
      </c>
    </row>
    <row r="9673" spans="1:2" x14ac:dyDescent="0.25">
      <c r="A9673">
        <v>18116</v>
      </c>
      <c r="B9673">
        <v>0</v>
      </c>
    </row>
    <row r="9674" spans="1:2" x14ac:dyDescent="0.25">
      <c r="A9674">
        <v>18117</v>
      </c>
      <c r="B9674">
        <v>0</v>
      </c>
    </row>
    <row r="9675" spans="1:2" x14ac:dyDescent="0.25">
      <c r="A9675">
        <v>18118</v>
      </c>
      <c r="B9675">
        <v>0</v>
      </c>
    </row>
    <row r="9676" spans="1:2" x14ac:dyDescent="0.25">
      <c r="A9676">
        <v>18119</v>
      </c>
      <c r="B9676">
        <v>0</v>
      </c>
    </row>
    <row r="9677" spans="1:2" x14ac:dyDescent="0.25">
      <c r="A9677">
        <v>18120</v>
      </c>
      <c r="B9677">
        <v>0</v>
      </c>
    </row>
    <row r="9678" spans="1:2" x14ac:dyDescent="0.25">
      <c r="A9678">
        <v>18121</v>
      </c>
      <c r="B9678">
        <v>0</v>
      </c>
    </row>
    <row r="9679" spans="1:2" x14ac:dyDescent="0.25">
      <c r="A9679">
        <v>18129</v>
      </c>
      <c r="B9679">
        <v>0</v>
      </c>
    </row>
    <row r="9680" spans="1:2" x14ac:dyDescent="0.25">
      <c r="A9680">
        <v>18130</v>
      </c>
      <c r="B9680">
        <v>0</v>
      </c>
    </row>
    <row r="9681" spans="1:2" x14ac:dyDescent="0.25">
      <c r="A9681">
        <v>18131</v>
      </c>
      <c r="B9681">
        <v>0</v>
      </c>
    </row>
    <row r="9682" spans="1:2" x14ac:dyDescent="0.25">
      <c r="A9682">
        <v>18135</v>
      </c>
      <c r="B9682">
        <v>0</v>
      </c>
    </row>
    <row r="9683" spans="1:2" x14ac:dyDescent="0.25">
      <c r="A9683">
        <v>18137</v>
      </c>
      <c r="B9683">
        <v>0</v>
      </c>
    </row>
    <row r="9684" spans="1:2" x14ac:dyDescent="0.25">
      <c r="A9684">
        <v>18139</v>
      </c>
      <c r="B9684">
        <v>0</v>
      </c>
    </row>
    <row r="9685" spans="1:2" x14ac:dyDescent="0.25">
      <c r="A9685">
        <v>18140</v>
      </c>
      <c r="B9685">
        <v>0</v>
      </c>
    </row>
    <row r="9686" spans="1:2" x14ac:dyDescent="0.25">
      <c r="A9686">
        <v>18142</v>
      </c>
      <c r="B9686">
        <v>0</v>
      </c>
    </row>
    <row r="9687" spans="1:2" x14ac:dyDescent="0.25">
      <c r="A9687">
        <v>18144</v>
      </c>
      <c r="B9687">
        <v>0</v>
      </c>
    </row>
    <row r="9688" spans="1:2" x14ac:dyDescent="0.25">
      <c r="A9688">
        <v>18145</v>
      </c>
      <c r="B9688">
        <v>0</v>
      </c>
    </row>
    <row r="9689" spans="1:2" x14ac:dyDescent="0.25">
      <c r="A9689">
        <v>18146</v>
      </c>
      <c r="B9689">
        <v>0</v>
      </c>
    </row>
    <row r="9690" spans="1:2" x14ac:dyDescent="0.25">
      <c r="A9690">
        <v>18147</v>
      </c>
      <c r="B9690">
        <v>0</v>
      </c>
    </row>
    <row r="9691" spans="1:2" x14ac:dyDescent="0.25">
      <c r="A9691">
        <v>18148</v>
      </c>
      <c r="B9691">
        <v>0</v>
      </c>
    </row>
    <row r="9692" spans="1:2" x14ac:dyDescent="0.25">
      <c r="A9692">
        <v>18150</v>
      </c>
      <c r="B9692">
        <v>0</v>
      </c>
    </row>
    <row r="9693" spans="1:2" x14ac:dyDescent="0.25">
      <c r="A9693">
        <v>18152</v>
      </c>
      <c r="B9693">
        <v>0</v>
      </c>
    </row>
    <row r="9694" spans="1:2" x14ac:dyDescent="0.25">
      <c r="A9694">
        <v>18154</v>
      </c>
      <c r="B9694">
        <v>0</v>
      </c>
    </row>
    <row r="9695" spans="1:2" x14ac:dyDescent="0.25">
      <c r="A9695">
        <v>18155</v>
      </c>
      <c r="B9695">
        <v>0</v>
      </c>
    </row>
    <row r="9696" spans="1:2" x14ac:dyDescent="0.25">
      <c r="A9696">
        <v>18156</v>
      </c>
      <c r="B9696">
        <v>0</v>
      </c>
    </row>
    <row r="9697" spans="1:2" x14ac:dyDescent="0.25">
      <c r="A9697">
        <v>18157</v>
      </c>
      <c r="B9697">
        <v>0</v>
      </c>
    </row>
    <row r="9698" spans="1:2" x14ac:dyDescent="0.25">
      <c r="A9698">
        <v>18158</v>
      </c>
      <c r="B9698">
        <v>0</v>
      </c>
    </row>
    <row r="9699" spans="1:2" x14ac:dyDescent="0.25">
      <c r="A9699">
        <v>18159</v>
      </c>
      <c r="B9699">
        <v>0</v>
      </c>
    </row>
    <row r="9700" spans="1:2" x14ac:dyDescent="0.25">
      <c r="A9700">
        <v>18160</v>
      </c>
      <c r="B9700">
        <v>0</v>
      </c>
    </row>
    <row r="9701" spans="1:2" x14ac:dyDescent="0.25">
      <c r="A9701">
        <v>18161</v>
      </c>
      <c r="B9701">
        <v>0</v>
      </c>
    </row>
    <row r="9702" spans="1:2" x14ac:dyDescent="0.25">
      <c r="A9702">
        <v>18162</v>
      </c>
      <c r="B9702">
        <v>0</v>
      </c>
    </row>
    <row r="9703" spans="1:2" x14ac:dyDescent="0.25">
      <c r="A9703">
        <v>18163</v>
      </c>
      <c r="B9703">
        <v>0</v>
      </c>
    </row>
    <row r="9704" spans="1:2" x14ac:dyDescent="0.25">
      <c r="A9704">
        <v>18164</v>
      </c>
      <c r="B9704">
        <v>0</v>
      </c>
    </row>
    <row r="9705" spans="1:2" x14ac:dyDescent="0.25">
      <c r="A9705">
        <v>18167</v>
      </c>
      <c r="B9705">
        <v>0</v>
      </c>
    </row>
    <row r="9706" spans="1:2" x14ac:dyDescent="0.25">
      <c r="A9706">
        <v>18168</v>
      </c>
      <c r="B9706">
        <v>0</v>
      </c>
    </row>
    <row r="9707" spans="1:2" x14ac:dyDescent="0.25">
      <c r="A9707">
        <v>18169</v>
      </c>
      <c r="B9707">
        <v>0</v>
      </c>
    </row>
    <row r="9708" spans="1:2" x14ac:dyDescent="0.25">
      <c r="A9708">
        <v>18170</v>
      </c>
      <c r="B9708">
        <v>0</v>
      </c>
    </row>
    <row r="9709" spans="1:2" x14ac:dyDescent="0.25">
      <c r="A9709">
        <v>18176</v>
      </c>
      <c r="B9709">
        <v>0</v>
      </c>
    </row>
    <row r="9710" spans="1:2" x14ac:dyDescent="0.25">
      <c r="A9710">
        <v>18177</v>
      </c>
      <c r="B9710">
        <v>0</v>
      </c>
    </row>
    <row r="9711" spans="1:2" x14ac:dyDescent="0.25">
      <c r="A9711">
        <v>18178</v>
      </c>
      <c r="B9711">
        <v>0</v>
      </c>
    </row>
    <row r="9712" spans="1:2" x14ac:dyDescent="0.25">
      <c r="A9712">
        <v>18184</v>
      </c>
      <c r="B9712">
        <v>0</v>
      </c>
    </row>
    <row r="9713" spans="1:2" x14ac:dyDescent="0.25">
      <c r="A9713">
        <v>18185</v>
      </c>
      <c r="B9713">
        <v>0</v>
      </c>
    </row>
    <row r="9714" spans="1:2" x14ac:dyDescent="0.25">
      <c r="A9714">
        <v>18187</v>
      </c>
      <c r="B9714">
        <v>0</v>
      </c>
    </row>
    <row r="9715" spans="1:2" x14ac:dyDescent="0.25">
      <c r="A9715">
        <v>18189</v>
      </c>
      <c r="B9715">
        <v>0</v>
      </c>
    </row>
    <row r="9716" spans="1:2" x14ac:dyDescent="0.25">
      <c r="A9716">
        <v>18191</v>
      </c>
      <c r="B9716">
        <v>0</v>
      </c>
    </row>
    <row r="9717" spans="1:2" x14ac:dyDescent="0.25">
      <c r="A9717">
        <v>18193</v>
      </c>
      <c r="B9717">
        <v>0</v>
      </c>
    </row>
    <row r="9718" spans="1:2" x14ac:dyDescent="0.25">
      <c r="A9718">
        <v>18195</v>
      </c>
      <c r="B9718">
        <v>0</v>
      </c>
    </row>
    <row r="9719" spans="1:2" x14ac:dyDescent="0.25">
      <c r="A9719">
        <v>18196</v>
      </c>
      <c r="B9719">
        <v>0</v>
      </c>
    </row>
    <row r="9720" spans="1:2" x14ac:dyDescent="0.25">
      <c r="A9720">
        <v>18207</v>
      </c>
      <c r="B9720">
        <v>0</v>
      </c>
    </row>
    <row r="9721" spans="1:2" x14ac:dyDescent="0.25">
      <c r="A9721">
        <v>18208</v>
      </c>
      <c r="B9721">
        <v>0</v>
      </c>
    </row>
    <row r="9722" spans="1:2" x14ac:dyDescent="0.25">
      <c r="A9722">
        <v>18209</v>
      </c>
      <c r="B9722">
        <v>0</v>
      </c>
    </row>
    <row r="9723" spans="1:2" x14ac:dyDescent="0.25">
      <c r="A9723">
        <v>18210</v>
      </c>
      <c r="B9723">
        <v>0</v>
      </c>
    </row>
    <row r="9724" spans="1:2" x14ac:dyDescent="0.25">
      <c r="A9724">
        <v>18222</v>
      </c>
      <c r="B9724">
        <v>0</v>
      </c>
    </row>
    <row r="9725" spans="1:2" x14ac:dyDescent="0.25">
      <c r="A9725">
        <v>18223</v>
      </c>
      <c r="B9725">
        <v>0</v>
      </c>
    </row>
    <row r="9726" spans="1:2" x14ac:dyDescent="0.25">
      <c r="A9726">
        <v>18224</v>
      </c>
      <c r="B9726">
        <v>0</v>
      </c>
    </row>
    <row r="9727" spans="1:2" x14ac:dyDescent="0.25">
      <c r="A9727">
        <v>18229</v>
      </c>
      <c r="B9727">
        <v>0</v>
      </c>
    </row>
    <row r="9728" spans="1:2" x14ac:dyDescent="0.25">
      <c r="A9728">
        <v>18233</v>
      </c>
      <c r="B9728">
        <v>0</v>
      </c>
    </row>
    <row r="9729" spans="1:2" x14ac:dyDescent="0.25">
      <c r="A9729">
        <v>18235</v>
      </c>
      <c r="B9729">
        <v>0</v>
      </c>
    </row>
    <row r="9730" spans="1:2" x14ac:dyDescent="0.25">
      <c r="A9730">
        <v>18237</v>
      </c>
      <c r="B9730">
        <v>0</v>
      </c>
    </row>
    <row r="9731" spans="1:2" x14ac:dyDescent="0.25">
      <c r="A9731">
        <v>18241</v>
      </c>
      <c r="B9731">
        <v>0</v>
      </c>
    </row>
    <row r="9732" spans="1:2" x14ac:dyDescent="0.25">
      <c r="A9732">
        <v>18242</v>
      </c>
      <c r="B9732">
        <v>0</v>
      </c>
    </row>
    <row r="9733" spans="1:2" x14ac:dyDescent="0.25">
      <c r="A9733">
        <v>18243</v>
      </c>
      <c r="B9733">
        <v>0</v>
      </c>
    </row>
    <row r="9734" spans="1:2" x14ac:dyDescent="0.25">
      <c r="A9734">
        <v>18245</v>
      </c>
      <c r="B9734">
        <v>0</v>
      </c>
    </row>
    <row r="9735" spans="1:2" x14ac:dyDescent="0.25">
      <c r="A9735">
        <v>18248</v>
      </c>
      <c r="B9735">
        <v>0</v>
      </c>
    </row>
    <row r="9736" spans="1:2" x14ac:dyDescent="0.25">
      <c r="A9736">
        <v>18251</v>
      </c>
      <c r="B9736">
        <v>0</v>
      </c>
    </row>
    <row r="9737" spans="1:2" x14ac:dyDescent="0.25">
      <c r="A9737">
        <v>18254</v>
      </c>
      <c r="B9737">
        <v>0</v>
      </c>
    </row>
    <row r="9738" spans="1:2" x14ac:dyDescent="0.25">
      <c r="A9738">
        <v>18255</v>
      </c>
      <c r="B9738">
        <v>0</v>
      </c>
    </row>
    <row r="9739" spans="1:2" x14ac:dyDescent="0.25">
      <c r="A9739">
        <v>18256</v>
      </c>
      <c r="B9739">
        <v>0</v>
      </c>
    </row>
    <row r="9740" spans="1:2" x14ac:dyDescent="0.25">
      <c r="A9740">
        <v>18257</v>
      </c>
      <c r="B9740">
        <v>0</v>
      </c>
    </row>
    <row r="9741" spans="1:2" x14ac:dyDescent="0.25">
      <c r="A9741">
        <v>18258</v>
      </c>
      <c r="B9741">
        <v>0</v>
      </c>
    </row>
    <row r="9742" spans="1:2" x14ac:dyDescent="0.25">
      <c r="A9742">
        <v>18259</v>
      </c>
      <c r="B9742">
        <v>0</v>
      </c>
    </row>
    <row r="9743" spans="1:2" x14ac:dyDescent="0.25">
      <c r="A9743">
        <v>18260</v>
      </c>
      <c r="B9743">
        <v>0</v>
      </c>
    </row>
    <row r="9744" spans="1:2" x14ac:dyDescent="0.25">
      <c r="A9744">
        <v>18262</v>
      </c>
      <c r="B9744">
        <v>0</v>
      </c>
    </row>
    <row r="9745" spans="1:2" x14ac:dyDescent="0.25">
      <c r="A9745">
        <v>18266</v>
      </c>
      <c r="B9745">
        <v>0</v>
      </c>
    </row>
    <row r="9746" spans="1:2" x14ac:dyDescent="0.25">
      <c r="A9746">
        <v>18267</v>
      </c>
      <c r="B9746">
        <v>0</v>
      </c>
    </row>
    <row r="9747" spans="1:2" x14ac:dyDescent="0.25">
      <c r="A9747">
        <v>18268</v>
      </c>
      <c r="B9747">
        <v>0</v>
      </c>
    </row>
    <row r="9748" spans="1:2" x14ac:dyDescent="0.25">
      <c r="A9748">
        <v>18270</v>
      </c>
      <c r="B9748">
        <v>0</v>
      </c>
    </row>
    <row r="9749" spans="1:2" x14ac:dyDescent="0.25">
      <c r="A9749">
        <v>18273</v>
      </c>
      <c r="B9749">
        <v>0</v>
      </c>
    </row>
    <row r="9750" spans="1:2" x14ac:dyDescent="0.25">
      <c r="A9750">
        <v>18274</v>
      </c>
      <c r="B9750">
        <v>0</v>
      </c>
    </row>
    <row r="9751" spans="1:2" x14ac:dyDescent="0.25">
      <c r="A9751">
        <v>18276</v>
      </c>
      <c r="B9751">
        <v>0</v>
      </c>
    </row>
    <row r="9752" spans="1:2" x14ac:dyDescent="0.25">
      <c r="A9752">
        <v>18278</v>
      </c>
      <c r="B9752">
        <v>0</v>
      </c>
    </row>
    <row r="9753" spans="1:2" x14ac:dyDescent="0.25">
      <c r="A9753">
        <v>18280</v>
      </c>
      <c r="B9753">
        <v>0</v>
      </c>
    </row>
    <row r="9754" spans="1:2" x14ac:dyDescent="0.25">
      <c r="A9754">
        <v>18281</v>
      </c>
      <c r="B9754">
        <v>0</v>
      </c>
    </row>
    <row r="9755" spans="1:2" x14ac:dyDescent="0.25">
      <c r="A9755">
        <v>18291</v>
      </c>
      <c r="B9755">
        <v>0</v>
      </c>
    </row>
    <row r="9756" spans="1:2" x14ac:dyDescent="0.25">
      <c r="A9756">
        <v>18303</v>
      </c>
      <c r="B9756">
        <v>0</v>
      </c>
    </row>
    <row r="9757" spans="1:2" x14ac:dyDescent="0.25">
      <c r="A9757">
        <v>18304</v>
      </c>
      <c r="B9757">
        <v>0</v>
      </c>
    </row>
    <row r="9758" spans="1:2" x14ac:dyDescent="0.25">
      <c r="A9758">
        <v>18305</v>
      </c>
      <c r="B9758">
        <v>0</v>
      </c>
    </row>
    <row r="9759" spans="1:2" x14ac:dyDescent="0.25">
      <c r="A9759">
        <v>18313</v>
      </c>
      <c r="B9759">
        <v>0</v>
      </c>
    </row>
    <row r="9760" spans="1:2" x14ac:dyDescent="0.25">
      <c r="A9760">
        <v>18314</v>
      </c>
      <c r="B9760">
        <v>0</v>
      </c>
    </row>
    <row r="9761" spans="1:2" x14ac:dyDescent="0.25">
      <c r="A9761">
        <v>18315</v>
      </c>
      <c r="B9761">
        <v>0</v>
      </c>
    </row>
    <row r="9762" spans="1:2" x14ac:dyDescent="0.25">
      <c r="A9762">
        <v>18316</v>
      </c>
      <c r="B9762">
        <v>0</v>
      </c>
    </row>
    <row r="9763" spans="1:2" x14ac:dyDescent="0.25">
      <c r="A9763">
        <v>18317</v>
      </c>
      <c r="B9763">
        <v>0</v>
      </c>
    </row>
    <row r="9764" spans="1:2" x14ac:dyDescent="0.25">
      <c r="A9764">
        <v>18318</v>
      </c>
      <c r="B9764">
        <v>0</v>
      </c>
    </row>
    <row r="9765" spans="1:2" x14ac:dyDescent="0.25">
      <c r="A9765">
        <v>18331</v>
      </c>
      <c r="B9765">
        <v>0</v>
      </c>
    </row>
    <row r="9766" spans="1:2" x14ac:dyDescent="0.25">
      <c r="A9766">
        <v>18341</v>
      </c>
      <c r="B9766">
        <v>0</v>
      </c>
    </row>
    <row r="9767" spans="1:2" x14ac:dyDescent="0.25">
      <c r="A9767">
        <v>18342</v>
      </c>
      <c r="B9767">
        <v>0</v>
      </c>
    </row>
    <row r="9768" spans="1:2" x14ac:dyDescent="0.25">
      <c r="A9768">
        <v>18343</v>
      </c>
      <c r="B9768">
        <v>0</v>
      </c>
    </row>
    <row r="9769" spans="1:2" x14ac:dyDescent="0.25">
      <c r="A9769">
        <v>18344</v>
      </c>
      <c r="B9769">
        <v>0</v>
      </c>
    </row>
    <row r="9770" spans="1:2" x14ac:dyDescent="0.25">
      <c r="A9770">
        <v>18345</v>
      </c>
      <c r="B9770">
        <v>0</v>
      </c>
    </row>
    <row r="9771" spans="1:2" x14ac:dyDescent="0.25">
      <c r="A9771">
        <v>18346</v>
      </c>
      <c r="B9771">
        <v>0</v>
      </c>
    </row>
    <row r="9772" spans="1:2" x14ac:dyDescent="0.25">
      <c r="A9772">
        <v>18347</v>
      </c>
      <c r="B9772">
        <v>0</v>
      </c>
    </row>
    <row r="9773" spans="1:2" x14ac:dyDescent="0.25">
      <c r="A9773">
        <v>18348</v>
      </c>
      <c r="B9773">
        <v>0</v>
      </c>
    </row>
    <row r="9774" spans="1:2" x14ac:dyDescent="0.25">
      <c r="A9774">
        <v>18349</v>
      </c>
      <c r="B9774">
        <v>0</v>
      </c>
    </row>
    <row r="9775" spans="1:2" x14ac:dyDescent="0.25">
      <c r="A9775">
        <v>18350</v>
      </c>
      <c r="B9775">
        <v>0</v>
      </c>
    </row>
    <row r="9776" spans="1:2" x14ac:dyDescent="0.25">
      <c r="A9776">
        <v>18351</v>
      </c>
      <c r="B9776">
        <v>0</v>
      </c>
    </row>
    <row r="9777" spans="1:2" x14ac:dyDescent="0.25">
      <c r="A9777">
        <v>18352</v>
      </c>
      <c r="B9777">
        <v>0</v>
      </c>
    </row>
    <row r="9778" spans="1:2" x14ac:dyDescent="0.25">
      <c r="A9778">
        <v>18353</v>
      </c>
      <c r="B9778">
        <v>0</v>
      </c>
    </row>
    <row r="9779" spans="1:2" x14ac:dyDescent="0.25">
      <c r="A9779">
        <v>18354</v>
      </c>
      <c r="B9779">
        <v>0</v>
      </c>
    </row>
    <row r="9780" spans="1:2" x14ac:dyDescent="0.25">
      <c r="A9780">
        <v>18355</v>
      </c>
      <c r="B9780">
        <v>0</v>
      </c>
    </row>
    <row r="9781" spans="1:2" x14ac:dyDescent="0.25">
      <c r="A9781">
        <v>18357</v>
      </c>
      <c r="B9781">
        <v>0</v>
      </c>
    </row>
    <row r="9782" spans="1:2" x14ac:dyDescent="0.25">
      <c r="A9782">
        <v>18358</v>
      </c>
      <c r="B9782">
        <v>0</v>
      </c>
    </row>
    <row r="9783" spans="1:2" x14ac:dyDescent="0.25">
      <c r="A9783">
        <v>18359</v>
      </c>
      <c r="B9783">
        <v>0</v>
      </c>
    </row>
    <row r="9784" spans="1:2" x14ac:dyDescent="0.25">
      <c r="A9784">
        <v>18360</v>
      </c>
      <c r="B9784">
        <v>0</v>
      </c>
    </row>
    <row r="9785" spans="1:2" x14ac:dyDescent="0.25">
      <c r="A9785">
        <v>18362</v>
      </c>
      <c r="B9785">
        <v>0</v>
      </c>
    </row>
    <row r="9786" spans="1:2" x14ac:dyDescent="0.25">
      <c r="A9786">
        <v>18363</v>
      </c>
      <c r="B9786">
        <v>0</v>
      </c>
    </row>
    <row r="9787" spans="1:2" x14ac:dyDescent="0.25">
      <c r="A9787">
        <v>18364</v>
      </c>
      <c r="B9787">
        <v>0</v>
      </c>
    </row>
    <row r="9788" spans="1:2" x14ac:dyDescent="0.25">
      <c r="A9788">
        <v>18365</v>
      </c>
      <c r="B9788">
        <v>0</v>
      </c>
    </row>
    <row r="9789" spans="1:2" x14ac:dyDescent="0.25">
      <c r="A9789">
        <v>18366</v>
      </c>
      <c r="B9789">
        <v>0</v>
      </c>
    </row>
    <row r="9790" spans="1:2" x14ac:dyDescent="0.25">
      <c r="A9790">
        <v>18367</v>
      </c>
      <c r="B9790">
        <v>0</v>
      </c>
    </row>
    <row r="9791" spans="1:2" x14ac:dyDescent="0.25">
      <c r="A9791">
        <v>18370</v>
      </c>
      <c r="B9791">
        <v>0</v>
      </c>
    </row>
    <row r="9792" spans="1:2" x14ac:dyDescent="0.25">
      <c r="A9792">
        <v>18371</v>
      </c>
      <c r="B9792">
        <v>0</v>
      </c>
    </row>
    <row r="9793" spans="1:2" x14ac:dyDescent="0.25">
      <c r="A9793">
        <v>18372</v>
      </c>
      <c r="B9793">
        <v>0</v>
      </c>
    </row>
    <row r="9794" spans="1:2" x14ac:dyDescent="0.25">
      <c r="A9794">
        <v>18373</v>
      </c>
      <c r="B9794">
        <v>0</v>
      </c>
    </row>
    <row r="9795" spans="1:2" x14ac:dyDescent="0.25">
      <c r="A9795">
        <v>18375</v>
      </c>
      <c r="B9795">
        <v>0</v>
      </c>
    </row>
    <row r="9796" spans="1:2" x14ac:dyDescent="0.25">
      <c r="A9796">
        <v>18377</v>
      </c>
      <c r="B9796">
        <v>0</v>
      </c>
    </row>
    <row r="9797" spans="1:2" x14ac:dyDescent="0.25">
      <c r="A9797">
        <v>18379</v>
      </c>
      <c r="B9797">
        <v>0</v>
      </c>
    </row>
    <row r="9798" spans="1:2" x14ac:dyDescent="0.25">
      <c r="A9798">
        <v>18380</v>
      </c>
      <c r="B9798">
        <v>0</v>
      </c>
    </row>
    <row r="9799" spans="1:2" x14ac:dyDescent="0.25">
      <c r="A9799">
        <v>18381</v>
      </c>
      <c r="B9799">
        <v>0</v>
      </c>
    </row>
    <row r="9800" spans="1:2" x14ac:dyDescent="0.25">
      <c r="A9800">
        <v>18382</v>
      </c>
      <c r="B9800">
        <v>0</v>
      </c>
    </row>
    <row r="9801" spans="1:2" x14ac:dyDescent="0.25">
      <c r="A9801">
        <v>18383</v>
      </c>
      <c r="B9801">
        <v>0</v>
      </c>
    </row>
    <row r="9802" spans="1:2" x14ac:dyDescent="0.25">
      <c r="A9802">
        <v>18384</v>
      </c>
      <c r="B9802">
        <v>0</v>
      </c>
    </row>
    <row r="9803" spans="1:2" x14ac:dyDescent="0.25">
      <c r="A9803">
        <v>18385</v>
      </c>
      <c r="B9803">
        <v>0</v>
      </c>
    </row>
    <row r="9804" spans="1:2" x14ac:dyDescent="0.25">
      <c r="A9804">
        <v>18386</v>
      </c>
      <c r="B9804">
        <v>0</v>
      </c>
    </row>
    <row r="9805" spans="1:2" x14ac:dyDescent="0.25">
      <c r="A9805">
        <v>18388</v>
      </c>
      <c r="B9805">
        <v>0</v>
      </c>
    </row>
    <row r="9806" spans="1:2" x14ac:dyDescent="0.25">
      <c r="A9806">
        <v>18390</v>
      </c>
      <c r="B9806">
        <v>0</v>
      </c>
    </row>
    <row r="9807" spans="1:2" x14ac:dyDescent="0.25">
      <c r="A9807">
        <v>18391</v>
      </c>
      <c r="B9807">
        <v>0</v>
      </c>
    </row>
    <row r="9808" spans="1:2" x14ac:dyDescent="0.25">
      <c r="A9808">
        <v>18394</v>
      </c>
      <c r="B9808">
        <v>0</v>
      </c>
    </row>
    <row r="9809" spans="1:2" x14ac:dyDescent="0.25">
      <c r="A9809">
        <v>18396</v>
      </c>
      <c r="B9809">
        <v>0</v>
      </c>
    </row>
    <row r="9810" spans="1:2" x14ac:dyDescent="0.25">
      <c r="A9810">
        <v>18398</v>
      </c>
      <c r="B9810">
        <v>0</v>
      </c>
    </row>
    <row r="9811" spans="1:2" x14ac:dyDescent="0.25">
      <c r="A9811">
        <v>18436</v>
      </c>
      <c r="B9811">
        <v>0</v>
      </c>
    </row>
    <row r="9812" spans="1:2" x14ac:dyDescent="0.25">
      <c r="A9812">
        <v>18437</v>
      </c>
      <c r="B9812">
        <v>0</v>
      </c>
    </row>
    <row r="9813" spans="1:2" x14ac:dyDescent="0.25">
      <c r="A9813">
        <v>18438</v>
      </c>
      <c r="B9813">
        <v>0</v>
      </c>
    </row>
    <row r="9814" spans="1:2" x14ac:dyDescent="0.25">
      <c r="A9814">
        <v>18439</v>
      </c>
      <c r="B9814">
        <v>0</v>
      </c>
    </row>
    <row r="9815" spans="1:2" x14ac:dyDescent="0.25">
      <c r="A9815">
        <v>18440</v>
      </c>
      <c r="B9815">
        <v>0</v>
      </c>
    </row>
    <row r="9816" spans="1:2" x14ac:dyDescent="0.25">
      <c r="A9816">
        <v>18441</v>
      </c>
      <c r="B9816">
        <v>0</v>
      </c>
    </row>
    <row r="9817" spans="1:2" x14ac:dyDescent="0.25">
      <c r="A9817">
        <v>18442</v>
      </c>
      <c r="B9817">
        <v>0</v>
      </c>
    </row>
    <row r="9818" spans="1:2" x14ac:dyDescent="0.25">
      <c r="A9818">
        <v>18443</v>
      </c>
      <c r="B9818">
        <v>0</v>
      </c>
    </row>
    <row r="9819" spans="1:2" x14ac:dyDescent="0.25">
      <c r="A9819">
        <v>18445</v>
      </c>
      <c r="B9819">
        <v>0</v>
      </c>
    </row>
    <row r="9820" spans="1:2" x14ac:dyDescent="0.25">
      <c r="A9820">
        <v>18447</v>
      </c>
      <c r="B9820">
        <v>0</v>
      </c>
    </row>
    <row r="9821" spans="1:2" x14ac:dyDescent="0.25">
      <c r="A9821">
        <v>18449</v>
      </c>
      <c r="B9821">
        <v>0</v>
      </c>
    </row>
    <row r="9822" spans="1:2" x14ac:dyDescent="0.25">
      <c r="A9822">
        <v>18451</v>
      </c>
      <c r="B9822">
        <v>0</v>
      </c>
    </row>
    <row r="9823" spans="1:2" x14ac:dyDescent="0.25">
      <c r="A9823">
        <v>18453</v>
      </c>
      <c r="B9823">
        <v>0</v>
      </c>
    </row>
    <row r="9824" spans="1:2" x14ac:dyDescent="0.25">
      <c r="A9824">
        <v>18455</v>
      </c>
      <c r="B9824">
        <v>0</v>
      </c>
    </row>
    <row r="9825" spans="1:2" x14ac:dyDescent="0.25">
      <c r="A9825">
        <v>18457</v>
      </c>
      <c r="B9825">
        <v>0</v>
      </c>
    </row>
    <row r="9826" spans="1:2" x14ac:dyDescent="0.25">
      <c r="A9826">
        <v>18459</v>
      </c>
      <c r="B9826">
        <v>0</v>
      </c>
    </row>
    <row r="9827" spans="1:2" x14ac:dyDescent="0.25">
      <c r="A9827">
        <v>18461</v>
      </c>
      <c r="B9827">
        <v>0</v>
      </c>
    </row>
    <row r="9828" spans="1:2" x14ac:dyDescent="0.25">
      <c r="A9828">
        <v>18463</v>
      </c>
      <c r="B9828">
        <v>0</v>
      </c>
    </row>
    <row r="9829" spans="1:2" x14ac:dyDescent="0.25">
      <c r="A9829">
        <v>18464</v>
      </c>
      <c r="B9829">
        <v>0</v>
      </c>
    </row>
    <row r="9830" spans="1:2" x14ac:dyDescent="0.25">
      <c r="A9830">
        <v>18466</v>
      </c>
      <c r="B9830">
        <v>0</v>
      </c>
    </row>
    <row r="9831" spans="1:2" x14ac:dyDescent="0.25">
      <c r="A9831">
        <v>18469</v>
      </c>
      <c r="B9831">
        <v>0</v>
      </c>
    </row>
    <row r="9832" spans="1:2" x14ac:dyDescent="0.25">
      <c r="A9832">
        <v>18472</v>
      </c>
      <c r="B9832">
        <v>0</v>
      </c>
    </row>
    <row r="9833" spans="1:2" x14ac:dyDescent="0.25">
      <c r="A9833">
        <v>18474</v>
      </c>
      <c r="B9833">
        <v>0</v>
      </c>
    </row>
    <row r="9834" spans="1:2" x14ac:dyDescent="0.25">
      <c r="A9834">
        <v>18475</v>
      </c>
      <c r="B9834">
        <v>0</v>
      </c>
    </row>
    <row r="9835" spans="1:2" x14ac:dyDescent="0.25">
      <c r="A9835">
        <v>18477</v>
      </c>
      <c r="B9835">
        <v>0</v>
      </c>
    </row>
    <row r="9836" spans="1:2" x14ac:dyDescent="0.25">
      <c r="A9836">
        <v>18478</v>
      </c>
      <c r="B9836">
        <v>0</v>
      </c>
    </row>
    <row r="9837" spans="1:2" x14ac:dyDescent="0.25">
      <c r="A9837">
        <v>18479</v>
      </c>
      <c r="B9837">
        <v>0</v>
      </c>
    </row>
    <row r="9838" spans="1:2" x14ac:dyDescent="0.25">
      <c r="A9838">
        <v>18480</v>
      </c>
      <c r="B9838">
        <v>0</v>
      </c>
    </row>
    <row r="9839" spans="1:2" x14ac:dyDescent="0.25">
      <c r="A9839">
        <v>18489</v>
      </c>
      <c r="B9839">
        <v>0</v>
      </c>
    </row>
    <row r="9840" spans="1:2" x14ac:dyDescent="0.25">
      <c r="A9840">
        <v>18490</v>
      </c>
      <c r="B9840">
        <v>0</v>
      </c>
    </row>
    <row r="9841" spans="1:2" x14ac:dyDescent="0.25">
      <c r="A9841">
        <v>18491</v>
      </c>
      <c r="B9841">
        <v>0</v>
      </c>
    </row>
    <row r="9842" spans="1:2" x14ac:dyDescent="0.25">
      <c r="A9842">
        <v>18492</v>
      </c>
      <c r="B9842">
        <v>0</v>
      </c>
    </row>
    <row r="9843" spans="1:2" x14ac:dyDescent="0.25">
      <c r="A9843">
        <v>18493</v>
      </c>
      <c r="B9843">
        <v>0</v>
      </c>
    </row>
    <row r="9844" spans="1:2" x14ac:dyDescent="0.25">
      <c r="A9844">
        <v>18494</v>
      </c>
      <c r="B9844">
        <v>0</v>
      </c>
    </row>
    <row r="9845" spans="1:2" x14ac:dyDescent="0.25">
      <c r="A9845">
        <v>18495</v>
      </c>
      <c r="B9845">
        <v>0</v>
      </c>
    </row>
    <row r="9846" spans="1:2" x14ac:dyDescent="0.25">
      <c r="A9846">
        <v>18496</v>
      </c>
      <c r="B9846">
        <v>0</v>
      </c>
    </row>
    <row r="9847" spans="1:2" x14ac:dyDescent="0.25">
      <c r="A9847">
        <v>18497</v>
      </c>
      <c r="B9847">
        <v>0</v>
      </c>
    </row>
    <row r="9848" spans="1:2" x14ac:dyDescent="0.25">
      <c r="A9848">
        <v>18498</v>
      </c>
      <c r="B9848">
        <v>0</v>
      </c>
    </row>
    <row r="9849" spans="1:2" x14ac:dyDescent="0.25">
      <c r="A9849">
        <v>18500</v>
      </c>
      <c r="B9849">
        <v>0</v>
      </c>
    </row>
    <row r="9850" spans="1:2" x14ac:dyDescent="0.25">
      <c r="A9850">
        <v>18502</v>
      </c>
      <c r="B9850">
        <v>0</v>
      </c>
    </row>
    <row r="9851" spans="1:2" x14ac:dyDescent="0.25">
      <c r="A9851">
        <v>18504</v>
      </c>
      <c r="B9851">
        <v>0</v>
      </c>
    </row>
    <row r="9852" spans="1:2" x14ac:dyDescent="0.25">
      <c r="A9852">
        <v>18506</v>
      </c>
      <c r="B9852">
        <v>0</v>
      </c>
    </row>
    <row r="9853" spans="1:2" x14ac:dyDescent="0.25">
      <c r="A9853">
        <v>18507</v>
      </c>
      <c r="B9853">
        <v>0</v>
      </c>
    </row>
    <row r="9854" spans="1:2" x14ac:dyDescent="0.25">
      <c r="A9854">
        <v>18508</v>
      </c>
      <c r="B9854">
        <v>0</v>
      </c>
    </row>
    <row r="9855" spans="1:2" x14ac:dyDescent="0.25">
      <c r="A9855">
        <v>18511</v>
      </c>
      <c r="B9855">
        <v>0</v>
      </c>
    </row>
    <row r="9856" spans="1:2" x14ac:dyDescent="0.25">
      <c r="A9856">
        <v>18521</v>
      </c>
      <c r="B9856">
        <v>0</v>
      </c>
    </row>
    <row r="9857" spans="1:2" x14ac:dyDescent="0.25">
      <c r="A9857">
        <v>18523</v>
      </c>
      <c r="B9857">
        <v>0</v>
      </c>
    </row>
    <row r="9858" spans="1:2" x14ac:dyDescent="0.25">
      <c r="A9858">
        <v>18525</v>
      </c>
      <c r="B9858">
        <v>0</v>
      </c>
    </row>
    <row r="9859" spans="1:2" x14ac:dyDescent="0.25">
      <c r="A9859">
        <v>18528</v>
      </c>
      <c r="B9859">
        <v>0</v>
      </c>
    </row>
    <row r="9860" spans="1:2" x14ac:dyDescent="0.25">
      <c r="A9860">
        <v>18531</v>
      </c>
      <c r="B9860">
        <v>0</v>
      </c>
    </row>
    <row r="9861" spans="1:2" x14ac:dyDescent="0.25">
      <c r="A9861">
        <v>18557</v>
      </c>
      <c r="B9861">
        <v>0</v>
      </c>
    </row>
    <row r="9862" spans="1:2" x14ac:dyDescent="0.25">
      <c r="A9862">
        <v>18559</v>
      </c>
      <c r="B9862">
        <v>0</v>
      </c>
    </row>
    <row r="9863" spans="1:2" x14ac:dyDescent="0.25">
      <c r="A9863">
        <v>18562</v>
      </c>
      <c r="B9863">
        <v>0</v>
      </c>
    </row>
    <row r="9864" spans="1:2" x14ac:dyDescent="0.25">
      <c r="A9864">
        <v>18574</v>
      </c>
      <c r="B9864">
        <v>0</v>
      </c>
    </row>
    <row r="9865" spans="1:2" x14ac:dyDescent="0.25">
      <c r="A9865">
        <v>18575</v>
      </c>
      <c r="B9865">
        <v>0</v>
      </c>
    </row>
    <row r="9866" spans="1:2" x14ac:dyDescent="0.25">
      <c r="A9866">
        <v>18576</v>
      </c>
      <c r="B9866">
        <v>0</v>
      </c>
    </row>
    <row r="9867" spans="1:2" x14ac:dyDescent="0.25">
      <c r="A9867">
        <v>18577</v>
      </c>
      <c r="B9867">
        <v>0</v>
      </c>
    </row>
    <row r="9868" spans="1:2" x14ac:dyDescent="0.25">
      <c r="A9868">
        <v>18578</v>
      </c>
      <c r="B9868">
        <v>0</v>
      </c>
    </row>
    <row r="9869" spans="1:2" x14ac:dyDescent="0.25">
      <c r="A9869">
        <v>18579</v>
      </c>
      <c r="B9869">
        <v>0</v>
      </c>
    </row>
    <row r="9870" spans="1:2" x14ac:dyDescent="0.25">
      <c r="A9870">
        <v>18580</v>
      </c>
      <c r="B9870">
        <v>0</v>
      </c>
    </row>
    <row r="9871" spans="1:2" x14ac:dyDescent="0.25">
      <c r="A9871">
        <v>18581</v>
      </c>
      <c r="B9871">
        <v>0</v>
      </c>
    </row>
    <row r="9872" spans="1:2" x14ac:dyDescent="0.25">
      <c r="A9872">
        <v>18582</v>
      </c>
      <c r="B9872">
        <v>0</v>
      </c>
    </row>
    <row r="9873" spans="1:2" x14ac:dyDescent="0.25">
      <c r="A9873">
        <v>18586</v>
      </c>
      <c r="B9873">
        <v>0</v>
      </c>
    </row>
    <row r="9874" spans="1:2" x14ac:dyDescent="0.25">
      <c r="A9874">
        <v>18588</v>
      </c>
      <c r="B9874">
        <v>0</v>
      </c>
    </row>
    <row r="9875" spans="1:2" x14ac:dyDescent="0.25">
      <c r="A9875">
        <v>18590</v>
      </c>
      <c r="B9875">
        <v>0</v>
      </c>
    </row>
    <row r="9876" spans="1:2" x14ac:dyDescent="0.25">
      <c r="A9876">
        <v>18592</v>
      </c>
      <c r="B9876">
        <v>0</v>
      </c>
    </row>
    <row r="9877" spans="1:2" x14ac:dyDescent="0.25">
      <c r="A9877">
        <v>18594</v>
      </c>
      <c r="B9877">
        <v>0</v>
      </c>
    </row>
    <row r="9878" spans="1:2" x14ac:dyDescent="0.25">
      <c r="A9878">
        <v>18596</v>
      </c>
      <c r="B9878">
        <v>0</v>
      </c>
    </row>
    <row r="9879" spans="1:2" x14ac:dyDescent="0.25">
      <c r="A9879">
        <v>18601</v>
      </c>
      <c r="B9879">
        <v>0</v>
      </c>
    </row>
    <row r="9880" spans="1:2" x14ac:dyDescent="0.25">
      <c r="A9880">
        <v>18603</v>
      </c>
      <c r="B9880">
        <v>0</v>
      </c>
    </row>
    <row r="9881" spans="1:2" x14ac:dyDescent="0.25">
      <c r="A9881">
        <v>18605</v>
      </c>
      <c r="B9881">
        <v>0</v>
      </c>
    </row>
    <row r="9882" spans="1:2" x14ac:dyDescent="0.25">
      <c r="A9882">
        <v>18607</v>
      </c>
      <c r="B9882">
        <v>0</v>
      </c>
    </row>
    <row r="9883" spans="1:2" x14ac:dyDescent="0.25">
      <c r="A9883">
        <v>18630</v>
      </c>
      <c r="B9883">
        <v>0</v>
      </c>
    </row>
    <row r="9884" spans="1:2" x14ac:dyDescent="0.25">
      <c r="A9884">
        <v>18632</v>
      </c>
      <c r="B9884">
        <v>0</v>
      </c>
    </row>
    <row r="9885" spans="1:2" x14ac:dyDescent="0.25">
      <c r="A9885">
        <v>18633</v>
      </c>
      <c r="B9885">
        <v>0</v>
      </c>
    </row>
    <row r="9886" spans="1:2" x14ac:dyDescent="0.25">
      <c r="A9886">
        <v>18635</v>
      </c>
      <c r="B9886">
        <v>0</v>
      </c>
    </row>
    <row r="9887" spans="1:2" x14ac:dyDescent="0.25">
      <c r="A9887">
        <v>18636</v>
      </c>
      <c r="B9887">
        <v>0</v>
      </c>
    </row>
    <row r="9888" spans="1:2" x14ac:dyDescent="0.25">
      <c r="A9888">
        <v>18649</v>
      </c>
      <c r="B9888">
        <v>0</v>
      </c>
    </row>
    <row r="9889" spans="1:2" x14ac:dyDescent="0.25">
      <c r="A9889">
        <v>18652</v>
      </c>
      <c r="B9889">
        <v>0</v>
      </c>
    </row>
    <row r="9890" spans="1:2" x14ac:dyDescent="0.25">
      <c r="A9890">
        <v>18653</v>
      </c>
      <c r="B9890">
        <v>0</v>
      </c>
    </row>
    <row r="9891" spans="1:2" x14ac:dyDescent="0.25">
      <c r="A9891">
        <v>18655</v>
      </c>
      <c r="B9891">
        <v>0</v>
      </c>
    </row>
    <row r="9892" spans="1:2" x14ac:dyDescent="0.25">
      <c r="A9892">
        <v>18657</v>
      </c>
      <c r="B9892">
        <v>0</v>
      </c>
    </row>
    <row r="9893" spans="1:2" x14ac:dyDescent="0.25">
      <c r="A9893">
        <v>18660</v>
      </c>
      <c r="B9893">
        <v>0</v>
      </c>
    </row>
    <row r="9894" spans="1:2" x14ac:dyDescent="0.25">
      <c r="A9894">
        <v>18662</v>
      </c>
      <c r="B9894">
        <v>0</v>
      </c>
    </row>
    <row r="9895" spans="1:2" x14ac:dyDescent="0.25">
      <c r="A9895">
        <v>18664</v>
      </c>
      <c r="B9895">
        <v>0</v>
      </c>
    </row>
    <row r="9896" spans="1:2" x14ac:dyDescent="0.25">
      <c r="A9896">
        <v>18667</v>
      </c>
      <c r="B9896">
        <v>0</v>
      </c>
    </row>
    <row r="9897" spans="1:2" x14ac:dyDescent="0.25">
      <c r="A9897">
        <v>18669</v>
      </c>
      <c r="B9897">
        <v>0</v>
      </c>
    </row>
    <row r="9898" spans="1:2" x14ac:dyDescent="0.25">
      <c r="A9898">
        <v>18671</v>
      </c>
      <c r="B9898">
        <v>0</v>
      </c>
    </row>
    <row r="9899" spans="1:2" x14ac:dyDescent="0.25">
      <c r="A9899">
        <v>18673</v>
      </c>
      <c r="B9899">
        <v>1</v>
      </c>
    </row>
    <row r="9900" spans="1:2" x14ac:dyDescent="0.25">
      <c r="A9900">
        <v>18674</v>
      </c>
      <c r="B9900">
        <v>0</v>
      </c>
    </row>
    <row r="9901" spans="1:2" x14ac:dyDescent="0.25">
      <c r="A9901">
        <v>18676</v>
      </c>
      <c r="B9901">
        <v>0</v>
      </c>
    </row>
    <row r="9902" spans="1:2" x14ac:dyDescent="0.25">
      <c r="A9902">
        <v>18677</v>
      </c>
      <c r="B9902">
        <v>2</v>
      </c>
    </row>
    <row r="9903" spans="1:2" x14ac:dyDescent="0.25">
      <c r="A9903">
        <v>18678</v>
      </c>
      <c r="B9903">
        <v>3</v>
      </c>
    </row>
    <row r="9904" spans="1:2" x14ac:dyDescent="0.25">
      <c r="A9904">
        <v>18680</v>
      </c>
      <c r="B9904">
        <v>9</v>
      </c>
    </row>
    <row r="9905" spans="1:2" x14ac:dyDescent="0.25">
      <c r="A9905">
        <v>18682</v>
      </c>
      <c r="B9905">
        <v>0</v>
      </c>
    </row>
    <row r="9906" spans="1:2" x14ac:dyDescent="0.25">
      <c r="A9906">
        <v>18686</v>
      </c>
      <c r="B9906">
        <v>0</v>
      </c>
    </row>
    <row r="9907" spans="1:2" x14ac:dyDescent="0.25">
      <c r="A9907">
        <v>18687</v>
      </c>
      <c r="B9907">
        <v>0</v>
      </c>
    </row>
    <row r="9908" spans="1:2" x14ac:dyDescent="0.25">
      <c r="A9908">
        <v>18688</v>
      </c>
      <c r="B9908">
        <v>0</v>
      </c>
    </row>
    <row r="9909" spans="1:2" x14ac:dyDescent="0.25">
      <c r="A9909">
        <v>18689</v>
      </c>
      <c r="B9909">
        <v>0</v>
      </c>
    </row>
    <row r="9910" spans="1:2" x14ac:dyDescent="0.25">
      <c r="A9910">
        <v>18690</v>
      </c>
      <c r="B9910">
        <v>0</v>
      </c>
    </row>
    <row r="9911" spans="1:2" x14ac:dyDescent="0.25">
      <c r="A9911">
        <v>18691</v>
      </c>
      <c r="B9911">
        <v>0</v>
      </c>
    </row>
    <row r="9912" spans="1:2" x14ac:dyDescent="0.25">
      <c r="A9912">
        <v>18693</v>
      </c>
      <c r="B9912">
        <v>0</v>
      </c>
    </row>
    <row r="9913" spans="1:2" x14ac:dyDescent="0.25">
      <c r="A9913">
        <v>18694</v>
      </c>
      <c r="B9913">
        <v>0</v>
      </c>
    </row>
    <row r="9914" spans="1:2" x14ac:dyDescent="0.25">
      <c r="A9914">
        <v>18695</v>
      </c>
      <c r="B9914">
        <v>0</v>
      </c>
    </row>
    <row r="9915" spans="1:2" x14ac:dyDescent="0.25">
      <c r="A9915">
        <v>18696</v>
      </c>
      <c r="B9915">
        <v>0</v>
      </c>
    </row>
    <row r="9916" spans="1:2" x14ac:dyDescent="0.25">
      <c r="A9916">
        <v>18697</v>
      </c>
      <c r="B9916">
        <v>0</v>
      </c>
    </row>
    <row r="9917" spans="1:2" x14ac:dyDescent="0.25">
      <c r="A9917">
        <v>18698</v>
      </c>
      <c r="B9917">
        <v>0</v>
      </c>
    </row>
    <row r="9918" spans="1:2" x14ac:dyDescent="0.25">
      <c r="A9918">
        <v>18707</v>
      </c>
      <c r="B9918">
        <v>0</v>
      </c>
    </row>
    <row r="9919" spans="1:2" x14ac:dyDescent="0.25">
      <c r="A9919">
        <v>18708</v>
      </c>
      <c r="B9919">
        <v>0</v>
      </c>
    </row>
    <row r="9920" spans="1:2" x14ac:dyDescent="0.25">
      <c r="A9920">
        <v>18709</v>
      </c>
      <c r="B9920">
        <v>0</v>
      </c>
    </row>
    <row r="9921" spans="1:2" x14ac:dyDescent="0.25">
      <c r="A9921">
        <v>18710</v>
      </c>
      <c r="B9921">
        <v>0</v>
      </c>
    </row>
    <row r="9922" spans="1:2" x14ac:dyDescent="0.25">
      <c r="A9922">
        <v>18712</v>
      </c>
      <c r="B9922">
        <v>0</v>
      </c>
    </row>
    <row r="9923" spans="1:2" x14ac:dyDescent="0.25">
      <c r="A9923">
        <v>18713</v>
      </c>
      <c r="B9923">
        <v>0</v>
      </c>
    </row>
    <row r="9924" spans="1:2" x14ac:dyDescent="0.25">
      <c r="A9924">
        <v>18714</v>
      </c>
      <c r="B9924">
        <v>0</v>
      </c>
    </row>
    <row r="9925" spans="1:2" x14ac:dyDescent="0.25">
      <c r="A9925">
        <v>18716</v>
      </c>
      <c r="B9925">
        <v>0</v>
      </c>
    </row>
    <row r="9926" spans="1:2" x14ac:dyDescent="0.25">
      <c r="A9926">
        <v>18718</v>
      </c>
      <c r="B9926">
        <v>0</v>
      </c>
    </row>
    <row r="9927" spans="1:2" x14ac:dyDescent="0.25">
      <c r="A9927">
        <v>18720</v>
      </c>
      <c r="B9927">
        <v>0</v>
      </c>
    </row>
    <row r="9928" spans="1:2" x14ac:dyDescent="0.25">
      <c r="A9928">
        <v>18722</v>
      </c>
      <c r="B9928">
        <v>0</v>
      </c>
    </row>
    <row r="9929" spans="1:2" x14ac:dyDescent="0.25">
      <c r="A9929">
        <v>18724</v>
      </c>
      <c r="B9929">
        <v>0</v>
      </c>
    </row>
    <row r="9930" spans="1:2" x14ac:dyDescent="0.25">
      <c r="A9930">
        <v>18726</v>
      </c>
      <c r="B9930">
        <v>0</v>
      </c>
    </row>
    <row r="9931" spans="1:2" x14ac:dyDescent="0.25">
      <c r="A9931">
        <v>18728</v>
      </c>
      <c r="B9931">
        <v>0</v>
      </c>
    </row>
    <row r="9932" spans="1:2" x14ac:dyDescent="0.25">
      <c r="A9932">
        <v>18730</v>
      </c>
      <c r="B9932">
        <v>0</v>
      </c>
    </row>
    <row r="9933" spans="1:2" x14ac:dyDescent="0.25">
      <c r="A9933">
        <v>18739</v>
      </c>
      <c r="B9933">
        <v>0</v>
      </c>
    </row>
    <row r="9934" spans="1:2" x14ac:dyDescent="0.25">
      <c r="A9934">
        <v>18740</v>
      </c>
      <c r="B9934">
        <v>0</v>
      </c>
    </row>
    <row r="9935" spans="1:2" x14ac:dyDescent="0.25">
      <c r="A9935">
        <v>18741</v>
      </c>
      <c r="B9935">
        <v>0</v>
      </c>
    </row>
    <row r="9936" spans="1:2" x14ac:dyDescent="0.25">
      <c r="A9936">
        <v>18742</v>
      </c>
      <c r="B9936">
        <v>0</v>
      </c>
    </row>
    <row r="9937" spans="1:2" x14ac:dyDescent="0.25">
      <c r="A9937">
        <v>18744</v>
      </c>
      <c r="B9937">
        <v>0</v>
      </c>
    </row>
    <row r="9938" spans="1:2" x14ac:dyDescent="0.25">
      <c r="A9938">
        <v>18746</v>
      </c>
      <c r="B9938">
        <v>0</v>
      </c>
    </row>
    <row r="9939" spans="1:2" x14ac:dyDescent="0.25">
      <c r="A9939">
        <v>18748</v>
      </c>
      <c r="B9939">
        <v>0</v>
      </c>
    </row>
    <row r="9940" spans="1:2" x14ac:dyDescent="0.25">
      <c r="A9940">
        <v>18750</v>
      </c>
      <c r="B9940">
        <v>0</v>
      </c>
    </row>
    <row r="9941" spans="1:2" x14ac:dyDescent="0.25">
      <c r="A9941">
        <v>18752</v>
      </c>
      <c r="B9941">
        <v>0</v>
      </c>
    </row>
    <row r="9942" spans="1:2" x14ac:dyDescent="0.25">
      <c r="A9942">
        <v>18755</v>
      </c>
      <c r="B9942">
        <v>0</v>
      </c>
    </row>
    <row r="9943" spans="1:2" x14ac:dyDescent="0.25">
      <c r="A9943">
        <v>18758</v>
      </c>
      <c r="B9943">
        <v>0</v>
      </c>
    </row>
    <row r="9944" spans="1:2" x14ac:dyDescent="0.25">
      <c r="A9944">
        <v>18761</v>
      </c>
      <c r="B9944">
        <v>0</v>
      </c>
    </row>
    <row r="9945" spans="1:2" x14ac:dyDescent="0.25">
      <c r="A9945">
        <v>18763</v>
      </c>
      <c r="B9945">
        <v>0</v>
      </c>
    </row>
    <row r="9946" spans="1:2" x14ac:dyDescent="0.25">
      <c r="A9946">
        <v>18764</v>
      </c>
      <c r="B9946">
        <v>0</v>
      </c>
    </row>
    <row r="9947" spans="1:2" x14ac:dyDescent="0.25">
      <c r="A9947">
        <v>18765</v>
      </c>
      <c r="B9947">
        <v>0</v>
      </c>
    </row>
    <row r="9948" spans="1:2" x14ac:dyDescent="0.25">
      <c r="A9948">
        <v>18767</v>
      </c>
      <c r="B9948">
        <v>0</v>
      </c>
    </row>
    <row r="9949" spans="1:2" x14ac:dyDescent="0.25">
      <c r="A9949">
        <v>18772</v>
      </c>
      <c r="B9949">
        <v>0</v>
      </c>
    </row>
    <row r="9950" spans="1:2" x14ac:dyDescent="0.25">
      <c r="A9950">
        <v>18774</v>
      </c>
      <c r="B9950">
        <v>0</v>
      </c>
    </row>
    <row r="9951" spans="1:2" x14ac:dyDescent="0.25">
      <c r="A9951">
        <v>18777</v>
      </c>
      <c r="B9951">
        <v>0</v>
      </c>
    </row>
    <row r="9952" spans="1:2" x14ac:dyDescent="0.25">
      <c r="A9952">
        <v>18780</v>
      </c>
      <c r="B9952">
        <v>0</v>
      </c>
    </row>
    <row r="9953" spans="1:2" x14ac:dyDescent="0.25">
      <c r="A9953">
        <v>18781</v>
      </c>
      <c r="B9953">
        <v>0</v>
      </c>
    </row>
    <row r="9954" spans="1:2" x14ac:dyDescent="0.25">
      <c r="A9954">
        <v>18782</v>
      </c>
      <c r="B9954">
        <v>0</v>
      </c>
    </row>
    <row r="9955" spans="1:2" x14ac:dyDescent="0.25">
      <c r="A9955">
        <v>18783</v>
      </c>
      <c r="B9955">
        <v>0</v>
      </c>
    </row>
    <row r="9956" spans="1:2" x14ac:dyDescent="0.25">
      <c r="A9956">
        <v>18794</v>
      </c>
      <c r="B9956">
        <v>0</v>
      </c>
    </row>
    <row r="9957" spans="1:2" x14ac:dyDescent="0.25">
      <c r="A9957">
        <v>18795</v>
      </c>
      <c r="B9957">
        <v>0</v>
      </c>
    </row>
    <row r="9958" spans="1:2" x14ac:dyDescent="0.25">
      <c r="A9958">
        <v>18796</v>
      </c>
      <c r="B9958">
        <v>0</v>
      </c>
    </row>
    <row r="9959" spans="1:2" x14ac:dyDescent="0.25">
      <c r="A9959">
        <v>18798</v>
      </c>
      <c r="B9959">
        <v>0</v>
      </c>
    </row>
    <row r="9960" spans="1:2" x14ac:dyDescent="0.25">
      <c r="A9960">
        <v>18801</v>
      </c>
      <c r="B9960">
        <v>0</v>
      </c>
    </row>
    <row r="9961" spans="1:2" x14ac:dyDescent="0.25">
      <c r="A9961">
        <v>18802</v>
      </c>
      <c r="B9961">
        <v>0</v>
      </c>
    </row>
    <row r="9962" spans="1:2" x14ac:dyDescent="0.25">
      <c r="A9962">
        <v>18804</v>
      </c>
      <c r="B9962">
        <v>0</v>
      </c>
    </row>
    <row r="9963" spans="1:2" x14ac:dyDescent="0.25">
      <c r="A9963">
        <v>18807</v>
      </c>
      <c r="B9963">
        <v>0</v>
      </c>
    </row>
    <row r="9964" spans="1:2" x14ac:dyDescent="0.25">
      <c r="A9964">
        <v>18810</v>
      </c>
      <c r="B9964">
        <v>0</v>
      </c>
    </row>
    <row r="9965" spans="1:2" x14ac:dyDescent="0.25">
      <c r="A9965">
        <v>18813</v>
      </c>
      <c r="B9965">
        <v>0</v>
      </c>
    </row>
    <row r="9966" spans="1:2" x14ac:dyDescent="0.25">
      <c r="A9966">
        <v>18816</v>
      </c>
      <c r="B9966">
        <v>0</v>
      </c>
    </row>
    <row r="9967" spans="1:2" x14ac:dyDescent="0.25">
      <c r="A9967">
        <v>18817</v>
      </c>
      <c r="B9967">
        <v>0</v>
      </c>
    </row>
    <row r="9968" spans="1:2" x14ac:dyDescent="0.25">
      <c r="A9968">
        <v>18818</v>
      </c>
      <c r="B9968">
        <v>0</v>
      </c>
    </row>
    <row r="9969" spans="1:2" x14ac:dyDescent="0.25">
      <c r="A9969">
        <v>18820</v>
      </c>
      <c r="B9969">
        <v>0</v>
      </c>
    </row>
    <row r="9970" spans="1:2" x14ac:dyDescent="0.25">
      <c r="A9970">
        <v>18821</v>
      </c>
      <c r="B9970">
        <v>0</v>
      </c>
    </row>
    <row r="9971" spans="1:2" x14ac:dyDescent="0.25">
      <c r="A9971">
        <v>18823</v>
      </c>
      <c r="B9971">
        <v>0</v>
      </c>
    </row>
    <row r="9972" spans="1:2" x14ac:dyDescent="0.25">
      <c r="A9972">
        <v>18825</v>
      </c>
      <c r="B9972">
        <v>0</v>
      </c>
    </row>
    <row r="9973" spans="1:2" x14ac:dyDescent="0.25">
      <c r="A9973">
        <v>18826</v>
      </c>
      <c r="B9973">
        <v>0</v>
      </c>
    </row>
    <row r="9974" spans="1:2" x14ac:dyDescent="0.25">
      <c r="A9974">
        <v>18827</v>
      </c>
      <c r="B9974">
        <v>0</v>
      </c>
    </row>
    <row r="9975" spans="1:2" x14ac:dyDescent="0.25">
      <c r="A9975">
        <v>18828</v>
      </c>
      <c r="B9975">
        <v>0</v>
      </c>
    </row>
    <row r="9976" spans="1:2" x14ac:dyDescent="0.25">
      <c r="A9976">
        <v>18829</v>
      </c>
      <c r="B9976">
        <v>0</v>
      </c>
    </row>
    <row r="9977" spans="1:2" x14ac:dyDescent="0.25">
      <c r="A9977">
        <v>18830</v>
      </c>
      <c r="B9977">
        <v>0</v>
      </c>
    </row>
    <row r="9978" spans="1:2" x14ac:dyDescent="0.25">
      <c r="A9978">
        <v>18833</v>
      </c>
      <c r="B9978">
        <v>7</v>
      </c>
    </row>
    <row r="9979" spans="1:2" x14ac:dyDescent="0.25">
      <c r="A9979">
        <v>18836</v>
      </c>
      <c r="B9979">
        <v>0</v>
      </c>
    </row>
    <row r="9980" spans="1:2" x14ac:dyDescent="0.25">
      <c r="A9980">
        <v>18837</v>
      </c>
      <c r="B9980">
        <v>0</v>
      </c>
    </row>
    <row r="9981" spans="1:2" x14ac:dyDescent="0.25">
      <c r="A9981">
        <v>18839</v>
      </c>
      <c r="B9981">
        <v>0</v>
      </c>
    </row>
    <row r="9982" spans="1:2" x14ac:dyDescent="0.25">
      <c r="A9982">
        <v>18841</v>
      </c>
      <c r="B9982">
        <v>0</v>
      </c>
    </row>
    <row r="9983" spans="1:2" x14ac:dyDescent="0.25">
      <c r="A9983">
        <v>18842</v>
      </c>
      <c r="B9983">
        <v>0</v>
      </c>
    </row>
    <row r="9984" spans="1:2" x14ac:dyDescent="0.25">
      <c r="A9984">
        <v>18844</v>
      </c>
      <c r="B9984">
        <v>0</v>
      </c>
    </row>
    <row r="9985" spans="1:2" x14ac:dyDescent="0.25">
      <c r="A9985">
        <v>18845</v>
      </c>
      <c r="B9985">
        <v>0</v>
      </c>
    </row>
    <row r="9986" spans="1:2" x14ac:dyDescent="0.25">
      <c r="A9986">
        <v>18847</v>
      </c>
      <c r="B9986">
        <v>0</v>
      </c>
    </row>
    <row r="9987" spans="1:2" x14ac:dyDescent="0.25">
      <c r="A9987">
        <v>18849</v>
      </c>
      <c r="B9987">
        <v>0</v>
      </c>
    </row>
    <row r="9988" spans="1:2" x14ac:dyDescent="0.25">
      <c r="A9988">
        <v>18851</v>
      </c>
      <c r="B9988">
        <v>0</v>
      </c>
    </row>
    <row r="9989" spans="1:2" x14ac:dyDescent="0.25">
      <c r="A9989">
        <v>18854</v>
      </c>
      <c r="B9989">
        <v>0</v>
      </c>
    </row>
    <row r="9990" spans="1:2" x14ac:dyDescent="0.25">
      <c r="A9990">
        <v>18856</v>
      </c>
      <c r="B9990">
        <v>0</v>
      </c>
    </row>
    <row r="9991" spans="1:2" x14ac:dyDescent="0.25">
      <c r="A9991">
        <v>18858</v>
      </c>
      <c r="B9991">
        <v>0</v>
      </c>
    </row>
    <row r="9992" spans="1:2" x14ac:dyDescent="0.25">
      <c r="A9992">
        <v>18860</v>
      </c>
      <c r="B9992">
        <v>0</v>
      </c>
    </row>
    <row r="9993" spans="1:2" x14ac:dyDescent="0.25">
      <c r="A9993">
        <v>18862</v>
      </c>
      <c r="B9993">
        <v>0</v>
      </c>
    </row>
    <row r="9994" spans="1:2" x14ac:dyDescent="0.25">
      <c r="A9994">
        <v>18864</v>
      </c>
      <c r="B9994">
        <v>0</v>
      </c>
    </row>
    <row r="9995" spans="1:2" x14ac:dyDescent="0.25">
      <c r="A9995">
        <v>18866</v>
      </c>
      <c r="B9995">
        <v>0</v>
      </c>
    </row>
    <row r="9996" spans="1:2" x14ac:dyDescent="0.25">
      <c r="A9996">
        <v>18868</v>
      </c>
      <c r="B9996">
        <v>0</v>
      </c>
    </row>
    <row r="9997" spans="1:2" x14ac:dyDescent="0.25">
      <c r="A9997">
        <v>18870</v>
      </c>
      <c r="B9997">
        <v>0</v>
      </c>
    </row>
    <row r="9998" spans="1:2" x14ac:dyDescent="0.25">
      <c r="A9998">
        <v>18872</v>
      </c>
      <c r="B9998">
        <v>0</v>
      </c>
    </row>
    <row r="9999" spans="1:2" x14ac:dyDescent="0.25">
      <c r="A9999">
        <v>18878</v>
      </c>
      <c r="B9999">
        <v>0</v>
      </c>
    </row>
    <row r="10000" spans="1:2" x14ac:dyDescent="0.25">
      <c r="A10000">
        <v>18879</v>
      </c>
      <c r="B10000">
        <v>0</v>
      </c>
    </row>
    <row r="10001" spans="1:2" x14ac:dyDescent="0.25">
      <c r="A10001">
        <v>18897</v>
      </c>
      <c r="B10001">
        <v>0</v>
      </c>
    </row>
    <row r="10002" spans="1:2" x14ac:dyDescent="0.25">
      <c r="A10002">
        <v>18955</v>
      </c>
      <c r="B10002">
        <v>0</v>
      </c>
    </row>
    <row r="10003" spans="1:2" x14ac:dyDescent="0.25">
      <c r="A10003">
        <v>18957</v>
      </c>
      <c r="B10003">
        <v>0</v>
      </c>
    </row>
    <row r="10004" spans="1:2" x14ac:dyDescent="0.25">
      <c r="A10004">
        <v>18959</v>
      </c>
      <c r="B10004">
        <v>0</v>
      </c>
    </row>
    <row r="10005" spans="1:2" x14ac:dyDescent="0.25">
      <c r="A10005">
        <v>18964</v>
      </c>
      <c r="B10005">
        <v>0</v>
      </c>
    </row>
    <row r="10006" spans="1:2" x14ac:dyDescent="0.25">
      <c r="A10006">
        <v>18965</v>
      </c>
      <c r="B10006">
        <v>0</v>
      </c>
    </row>
    <row r="10007" spans="1:2" x14ac:dyDescent="0.25">
      <c r="A10007">
        <v>18967</v>
      </c>
      <c r="B10007">
        <v>0</v>
      </c>
    </row>
    <row r="10008" spans="1:2" x14ac:dyDescent="0.25">
      <c r="A10008">
        <v>18983</v>
      </c>
      <c r="B10008">
        <v>0</v>
      </c>
    </row>
    <row r="10009" spans="1:2" x14ac:dyDescent="0.25">
      <c r="A10009">
        <v>18985</v>
      </c>
      <c r="B10009">
        <v>0</v>
      </c>
    </row>
    <row r="10010" spans="1:2" x14ac:dyDescent="0.25">
      <c r="A10010">
        <v>18986</v>
      </c>
      <c r="B10010">
        <v>0</v>
      </c>
    </row>
    <row r="10011" spans="1:2" x14ac:dyDescent="0.25">
      <c r="A10011">
        <v>18987</v>
      </c>
      <c r="B10011">
        <v>0</v>
      </c>
    </row>
    <row r="10012" spans="1:2" x14ac:dyDescent="0.25">
      <c r="A10012">
        <v>18988</v>
      </c>
      <c r="B10012">
        <v>0</v>
      </c>
    </row>
    <row r="10013" spans="1:2" x14ac:dyDescent="0.25">
      <c r="A10013">
        <v>18989</v>
      </c>
      <c r="B10013">
        <v>0</v>
      </c>
    </row>
    <row r="10014" spans="1:2" x14ac:dyDescent="0.25">
      <c r="A10014">
        <v>18990</v>
      </c>
      <c r="B10014">
        <v>0</v>
      </c>
    </row>
    <row r="10015" spans="1:2" x14ac:dyDescent="0.25">
      <c r="A10015">
        <v>18992</v>
      </c>
      <c r="B10015">
        <v>0</v>
      </c>
    </row>
    <row r="10016" spans="1:2" x14ac:dyDescent="0.25">
      <c r="A10016">
        <v>18994</v>
      </c>
      <c r="B10016">
        <v>0</v>
      </c>
    </row>
    <row r="10017" spans="1:2" x14ac:dyDescent="0.25">
      <c r="A10017">
        <v>19004</v>
      </c>
      <c r="B10017">
        <v>0</v>
      </c>
    </row>
    <row r="10018" spans="1:2" x14ac:dyDescent="0.25">
      <c r="A10018">
        <v>19006</v>
      </c>
      <c r="B10018">
        <v>0</v>
      </c>
    </row>
    <row r="10019" spans="1:2" x14ac:dyDescent="0.25">
      <c r="A10019">
        <v>19007</v>
      </c>
      <c r="B10019">
        <v>0</v>
      </c>
    </row>
    <row r="10020" spans="1:2" x14ac:dyDescent="0.25">
      <c r="A10020">
        <v>19008</v>
      </c>
      <c r="B10020">
        <v>0</v>
      </c>
    </row>
    <row r="10021" spans="1:2" x14ac:dyDescent="0.25">
      <c r="A10021">
        <v>19009</v>
      </c>
      <c r="B10021">
        <v>0</v>
      </c>
    </row>
    <row r="10022" spans="1:2" x14ac:dyDescent="0.25">
      <c r="A10022">
        <v>19011</v>
      </c>
      <c r="B10022">
        <v>0</v>
      </c>
    </row>
    <row r="10023" spans="1:2" x14ac:dyDescent="0.25">
      <c r="A10023">
        <v>19012</v>
      </c>
      <c r="B10023">
        <v>0</v>
      </c>
    </row>
    <row r="10024" spans="1:2" x14ac:dyDescent="0.25">
      <c r="A10024">
        <v>19014</v>
      </c>
      <c r="B10024">
        <v>0</v>
      </c>
    </row>
    <row r="10025" spans="1:2" x14ac:dyDescent="0.25">
      <c r="A10025">
        <v>19015</v>
      </c>
      <c r="B10025">
        <v>0</v>
      </c>
    </row>
    <row r="10026" spans="1:2" x14ac:dyDescent="0.25">
      <c r="A10026">
        <v>19016</v>
      </c>
      <c r="B10026">
        <v>0</v>
      </c>
    </row>
    <row r="10027" spans="1:2" x14ac:dyDescent="0.25">
      <c r="A10027">
        <v>19017</v>
      </c>
      <c r="B10027">
        <v>0</v>
      </c>
    </row>
    <row r="10028" spans="1:2" x14ac:dyDescent="0.25">
      <c r="A10028">
        <v>19018</v>
      </c>
      <c r="B10028">
        <v>0</v>
      </c>
    </row>
    <row r="10029" spans="1:2" x14ac:dyDescent="0.25">
      <c r="A10029">
        <v>19019</v>
      </c>
      <c r="B10029">
        <v>0</v>
      </c>
    </row>
    <row r="10030" spans="1:2" x14ac:dyDescent="0.25">
      <c r="A10030">
        <v>19020</v>
      </c>
      <c r="B10030">
        <v>0</v>
      </c>
    </row>
    <row r="10031" spans="1:2" x14ac:dyDescent="0.25">
      <c r="A10031">
        <v>19021</v>
      </c>
      <c r="B10031">
        <v>0</v>
      </c>
    </row>
    <row r="10032" spans="1:2" x14ac:dyDescent="0.25">
      <c r="A10032">
        <v>19022</v>
      </c>
      <c r="B10032">
        <v>0</v>
      </c>
    </row>
    <row r="10033" spans="1:2" x14ac:dyDescent="0.25">
      <c r="A10033">
        <v>19023</v>
      </c>
      <c r="B10033">
        <v>0</v>
      </c>
    </row>
    <row r="10034" spans="1:2" x14ac:dyDescent="0.25">
      <c r="A10034">
        <v>19024</v>
      </c>
      <c r="B10034">
        <v>0</v>
      </c>
    </row>
    <row r="10035" spans="1:2" x14ac:dyDescent="0.25">
      <c r="A10035">
        <v>19025</v>
      </c>
      <c r="B10035">
        <v>0</v>
      </c>
    </row>
    <row r="10036" spans="1:2" x14ac:dyDescent="0.25">
      <c r="A10036">
        <v>19026</v>
      </c>
      <c r="B10036">
        <v>0</v>
      </c>
    </row>
    <row r="10037" spans="1:2" x14ac:dyDescent="0.25">
      <c r="A10037">
        <v>19027</v>
      </c>
      <c r="B10037">
        <v>0</v>
      </c>
    </row>
    <row r="10038" spans="1:2" x14ac:dyDescent="0.25">
      <c r="A10038">
        <v>19028</v>
      </c>
      <c r="B10038">
        <v>0</v>
      </c>
    </row>
    <row r="10039" spans="1:2" x14ac:dyDescent="0.25">
      <c r="A10039">
        <v>19029</v>
      </c>
      <c r="B10039">
        <v>0</v>
      </c>
    </row>
    <row r="10040" spans="1:2" x14ac:dyDescent="0.25">
      <c r="A10040">
        <v>19030</v>
      </c>
      <c r="B10040">
        <v>0</v>
      </c>
    </row>
    <row r="10041" spans="1:2" x14ac:dyDescent="0.25">
      <c r="A10041">
        <v>19082</v>
      </c>
      <c r="B10041">
        <v>0</v>
      </c>
    </row>
    <row r="10042" spans="1:2" x14ac:dyDescent="0.25">
      <c r="A10042">
        <v>19083</v>
      </c>
      <c r="B10042">
        <v>0</v>
      </c>
    </row>
    <row r="10043" spans="1:2" x14ac:dyDescent="0.25">
      <c r="A10043">
        <v>19084</v>
      </c>
      <c r="B10043">
        <v>0</v>
      </c>
    </row>
    <row r="10044" spans="1:2" x14ac:dyDescent="0.25">
      <c r="A10044">
        <v>19085</v>
      </c>
      <c r="B10044">
        <v>0</v>
      </c>
    </row>
    <row r="10045" spans="1:2" x14ac:dyDescent="0.25">
      <c r="A10045">
        <v>19086</v>
      </c>
      <c r="B10045">
        <v>0</v>
      </c>
    </row>
    <row r="10046" spans="1:2" x14ac:dyDescent="0.25">
      <c r="A10046">
        <v>19087</v>
      </c>
      <c r="B10046">
        <v>0</v>
      </c>
    </row>
    <row r="10047" spans="1:2" x14ac:dyDescent="0.25">
      <c r="A10047">
        <v>19098</v>
      </c>
      <c r="B10047">
        <v>0</v>
      </c>
    </row>
    <row r="10048" spans="1:2" x14ac:dyDescent="0.25">
      <c r="A10048">
        <v>19099</v>
      </c>
      <c r="B10048">
        <v>0</v>
      </c>
    </row>
    <row r="10049" spans="1:2" x14ac:dyDescent="0.25">
      <c r="A10049">
        <v>19100</v>
      </c>
      <c r="B10049">
        <v>0</v>
      </c>
    </row>
    <row r="10050" spans="1:2" x14ac:dyDescent="0.25">
      <c r="A10050">
        <v>19101</v>
      </c>
      <c r="B10050">
        <v>0</v>
      </c>
    </row>
    <row r="10051" spans="1:2" x14ac:dyDescent="0.25">
      <c r="A10051">
        <v>19102</v>
      </c>
      <c r="B10051">
        <v>0</v>
      </c>
    </row>
    <row r="10052" spans="1:2" x14ac:dyDescent="0.25">
      <c r="A10052">
        <v>19105</v>
      </c>
      <c r="B10052">
        <v>0</v>
      </c>
    </row>
    <row r="10053" spans="1:2" x14ac:dyDescent="0.25">
      <c r="A10053">
        <v>19117</v>
      </c>
      <c r="B10053">
        <v>0</v>
      </c>
    </row>
    <row r="10054" spans="1:2" x14ac:dyDescent="0.25">
      <c r="A10054">
        <v>19118</v>
      </c>
      <c r="B10054">
        <v>0</v>
      </c>
    </row>
    <row r="10055" spans="1:2" x14ac:dyDescent="0.25">
      <c r="A10055">
        <v>19123</v>
      </c>
      <c r="B10055">
        <v>0</v>
      </c>
    </row>
    <row r="10056" spans="1:2" x14ac:dyDescent="0.25">
      <c r="A10056">
        <v>19124</v>
      </c>
      <c r="B10056">
        <v>0</v>
      </c>
    </row>
    <row r="10057" spans="1:2" x14ac:dyDescent="0.25">
      <c r="A10057">
        <v>19150</v>
      </c>
      <c r="B10057">
        <v>0</v>
      </c>
    </row>
    <row r="10058" spans="1:2" x14ac:dyDescent="0.25">
      <c r="A10058">
        <v>19153</v>
      </c>
      <c r="B10058">
        <v>0</v>
      </c>
    </row>
    <row r="10059" spans="1:2" x14ac:dyDescent="0.25">
      <c r="A10059">
        <v>19156</v>
      </c>
      <c r="B10059">
        <v>0</v>
      </c>
    </row>
    <row r="10060" spans="1:2" x14ac:dyDescent="0.25">
      <c r="A10060">
        <v>19157</v>
      </c>
      <c r="B10060">
        <v>0</v>
      </c>
    </row>
    <row r="10061" spans="1:2" x14ac:dyDescent="0.25">
      <c r="A10061">
        <v>19158</v>
      </c>
      <c r="B10061">
        <v>0</v>
      </c>
    </row>
    <row r="10062" spans="1:2" x14ac:dyDescent="0.25">
      <c r="A10062">
        <v>19159</v>
      </c>
      <c r="B10062">
        <v>0</v>
      </c>
    </row>
    <row r="10063" spans="1:2" x14ac:dyDescent="0.25">
      <c r="A10063">
        <v>19162</v>
      </c>
      <c r="B10063">
        <v>0</v>
      </c>
    </row>
    <row r="10064" spans="1:2" x14ac:dyDescent="0.25">
      <c r="A10064">
        <v>19164</v>
      </c>
      <c r="B10064">
        <v>0</v>
      </c>
    </row>
    <row r="10065" spans="1:2" x14ac:dyDescent="0.25">
      <c r="A10065">
        <v>19166</v>
      </c>
      <c r="B10065">
        <v>0</v>
      </c>
    </row>
    <row r="10066" spans="1:2" x14ac:dyDescent="0.25">
      <c r="A10066">
        <v>19199</v>
      </c>
      <c r="B10066">
        <v>0</v>
      </c>
    </row>
    <row r="10067" spans="1:2" x14ac:dyDescent="0.25">
      <c r="A10067">
        <v>19204</v>
      </c>
      <c r="B10067">
        <v>0</v>
      </c>
    </row>
    <row r="10068" spans="1:2" x14ac:dyDescent="0.25">
      <c r="A10068">
        <v>19205</v>
      </c>
      <c r="B10068">
        <v>0</v>
      </c>
    </row>
    <row r="10069" spans="1:2" x14ac:dyDescent="0.25">
      <c r="A10069">
        <v>19206</v>
      </c>
      <c r="B10069">
        <v>0</v>
      </c>
    </row>
    <row r="10070" spans="1:2" x14ac:dyDescent="0.25">
      <c r="A10070">
        <v>19207</v>
      </c>
      <c r="B10070">
        <v>0</v>
      </c>
    </row>
    <row r="10071" spans="1:2" x14ac:dyDescent="0.25">
      <c r="A10071">
        <v>19208</v>
      </c>
      <c r="B10071">
        <v>0</v>
      </c>
    </row>
    <row r="10072" spans="1:2" x14ac:dyDescent="0.25">
      <c r="A10072">
        <v>19209</v>
      </c>
      <c r="B10072">
        <v>0</v>
      </c>
    </row>
    <row r="10073" spans="1:2" x14ac:dyDescent="0.25">
      <c r="A10073">
        <v>19210</v>
      </c>
      <c r="B10073">
        <v>0</v>
      </c>
    </row>
    <row r="10074" spans="1:2" x14ac:dyDescent="0.25">
      <c r="A10074">
        <v>19211</v>
      </c>
      <c r="B10074">
        <v>0</v>
      </c>
    </row>
    <row r="10075" spans="1:2" x14ac:dyDescent="0.25">
      <c r="A10075">
        <v>19213</v>
      </c>
      <c r="B10075">
        <v>0</v>
      </c>
    </row>
    <row r="10076" spans="1:2" x14ac:dyDescent="0.25">
      <c r="A10076">
        <v>19215</v>
      </c>
      <c r="B10076">
        <v>0</v>
      </c>
    </row>
    <row r="10077" spans="1:2" x14ac:dyDescent="0.25">
      <c r="A10077">
        <v>19217</v>
      </c>
      <c r="B10077">
        <v>0</v>
      </c>
    </row>
    <row r="10078" spans="1:2" x14ac:dyDescent="0.25">
      <c r="A10078">
        <v>19219</v>
      </c>
      <c r="B10078">
        <v>0</v>
      </c>
    </row>
    <row r="10079" spans="1:2" x14ac:dyDescent="0.25">
      <c r="A10079">
        <v>19220</v>
      </c>
      <c r="B10079">
        <v>0</v>
      </c>
    </row>
    <row r="10080" spans="1:2" x14ac:dyDescent="0.25">
      <c r="A10080">
        <v>19221</v>
      </c>
      <c r="B10080">
        <v>0</v>
      </c>
    </row>
    <row r="10081" spans="1:2" x14ac:dyDescent="0.25">
      <c r="A10081">
        <v>19222</v>
      </c>
      <c r="B10081">
        <v>0</v>
      </c>
    </row>
    <row r="10082" spans="1:2" x14ac:dyDescent="0.25">
      <c r="A10082">
        <v>19223</v>
      </c>
      <c r="B10082">
        <v>0</v>
      </c>
    </row>
    <row r="10083" spans="1:2" x14ac:dyDescent="0.25">
      <c r="A10083">
        <v>19225</v>
      </c>
      <c r="B10083">
        <v>0</v>
      </c>
    </row>
    <row r="10084" spans="1:2" x14ac:dyDescent="0.25">
      <c r="A10084">
        <v>19227</v>
      </c>
      <c r="B10084">
        <v>18</v>
      </c>
    </row>
    <row r="10085" spans="1:2" x14ac:dyDescent="0.25">
      <c r="A10085">
        <v>19228</v>
      </c>
      <c r="B10085">
        <v>0</v>
      </c>
    </row>
    <row r="10086" spans="1:2" x14ac:dyDescent="0.25">
      <c r="A10086">
        <v>19229</v>
      </c>
      <c r="B10086">
        <v>0</v>
      </c>
    </row>
    <row r="10087" spans="1:2" x14ac:dyDescent="0.25">
      <c r="A10087">
        <v>19231</v>
      </c>
      <c r="B10087">
        <v>0</v>
      </c>
    </row>
    <row r="10088" spans="1:2" x14ac:dyDescent="0.25">
      <c r="A10088">
        <v>19233</v>
      </c>
      <c r="B10088">
        <v>0</v>
      </c>
    </row>
    <row r="10089" spans="1:2" x14ac:dyDescent="0.25">
      <c r="A10089">
        <v>19234</v>
      </c>
      <c r="B10089">
        <v>0</v>
      </c>
    </row>
    <row r="10090" spans="1:2" x14ac:dyDescent="0.25">
      <c r="A10090">
        <v>19235</v>
      </c>
      <c r="B10090">
        <v>0</v>
      </c>
    </row>
    <row r="10091" spans="1:2" x14ac:dyDescent="0.25">
      <c r="A10091">
        <v>19236</v>
      </c>
      <c r="B10091">
        <v>0</v>
      </c>
    </row>
    <row r="10092" spans="1:2" x14ac:dyDescent="0.25">
      <c r="A10092">
        <v>19237</v>
      </c>
      <c r="B10092">
        <v>0</v>
      </c>
    </row>
    <row r="10093" spans="1:2" x14ac:dyDescent="0.25">
      <c r="A10093">
        <v>19238</v>
      </c>
      <c r="B10093">
        <v>0</v>
      </c>
    </row>
    <row r="10094" spans="1:2" x14ac:dyDescent="0.25">
      <c r="A10094">
        <v>19239</v>
      </c>
      <c r="B10094">
        <v>0</v>
      </c>
    </row>
    <row r="10095" spans="1:2" x14ac:dyDescent="0.25">
      <c r="A10095">
        <v>19240</v>
      </c>
      <c r="B10095">
        <v>0</v>
      </c>
    </row>
    <row r="10096" spans="1:2" x14ac:dyDescent="0.25">
      <c r="A10096">
        <v>19241</v>
      </c>
      <c r="B10096">
        <v>0</v>
      </c>
    </row>
    <row r="10097" spans="1:2" x14ac:dyDescent="0.25">
      <c r="A10097">
        <v>19260</v>
      </c>
      <c r="B10097">
        <v>0</v>
      </c>
    </row>
    <row r="10098" spans="1:2" x14ac:dyDescent="0.25">
      <c r="A10098">
        <v>19262</v>
      </c>
      <c r="B10098">
        <v>0</v>
      </c>
    </row>
    <row r="10099" spans="1:2" x14ac:dyDescent="0.25">
      <c r="A10099">
        <v>19264</v>
      </c>
      <c r="B10099">
        <v>0</v>
      </c>
    </row>
    <row r="10100" spans="1:2" x14ac:dyDescent="0.25">
      <c r="A10100">
        <v>19265</v>
      </c>
      <c r="B10100">
        <v>0</v>
      </c>
    </row>
    <row r="10101" spans="1:2" x14ac:dyDescent="0.25">
      <c r="A10101">
        <v>19266</v>
      </c>
      <c r="B10101">
        <v>0</v>
      </c>
    </row>
    <row r="10102" spans="1:2" x14ac:dyDescent="0.25">
      <c r="A10102">
        <v>19268</v>
      </c>
      <c r="B10102">
        <v>0</v>
      </c>
    </row>
    <row r="10103" spans="1:2" x14ac:dyDescent="0.25">
      <c r="A10103">
        <v>19269</v>
      </c>
      <c r="B10103">
        <v>0</v>
      </c>
    </row>
    <row r="10104" spans="1:2" x14ac:dyDescent="0.25">
      <c r="A10104">
        <v>19271</v>
      </c>
      <c r="B10104">
        <v>0</v>
      </c>
    </row>
    <row r="10105" spans="1:2" x14ac:dyDescent="0.25">
      <c r="A10105">
        <v>19273</v>
      </c>
      <c r="B10105">
        <v>0</v>
      </c>
    </row>
    <row r="10106" spans="1:2" x14ac:dyDescent="0.25">
      <c r="A10106">
        <v>19275</v>
      </c>
      <c r="B10106">
        <v>0</v>
      </c>
    </row>
    <row r="10107" spans="1:2" x14ac:dyDescent="0.25">
      <c r="A10107">
        <v>19278</v>
      </c>
      <c r="B10107">
        <v>0</v>
      </c>
    </row>
    <row r="10108" spans="1:2" x14ac:dyDescent="0.25">
      <c r="A10108">
        <v>19281</v>
      </c>
      <c r="B10108">
        <v>0</v>
      </c>
    </row>
    <row r="10109" spans="1:2" x14ac:dyDescent="0.25">
      <c r="A10109">
        <v>19284</v>
      </c>
      <c r="B10109">
        <v>0</v>
      </c>
    </row>
    <row r="10110" spans="1:2" x14ac:dyDescent="0.25">
      <c r="A10110">
        <v>19285</v>
      </c>
      <c r="B10110">
        <v>0</v>
      </c>
    </row>
    <row r="10111" spans="1:2" x14ac:dyDescent="0.25">
      <c r="A10111">
        <v>19286</v>
      </c>
      <c r="B10111">
        <v>0</v>
      </c>
    </row>
    <row r="10112" spans="1:2" x14ac:dyDescent="0.25">
      <c r="A10112">
        <v>19287</v>
      </c>
      <c r="B10112">
        <v>0</v>
      </c>
    </row>
    <row r="10113" spans="1:2" x14ac:dyDescent="0.25">
      <c r="A10113">
        <v>19288</v>
      </c>
      <c r="B10113">
        <v>0</v>
      </c>
    </row>
    <row r="10114" spans="1:2" x14ac:dyDescent="0.25">
      <c r="A10114">
        <v>19295</v>
      </c>
      <c r="B10114">
        <v>0</v>
      </c>
    </row>
    <row r="10115" spans="1:2" x14ac:dyDescent="0.25">
      <c r="A10115">
        <v>19296</v>
      </c>
      <c r="B10115">
        <v>0</v>
      </c>
    </row>
    <row r="10116" spans="1:2" x14ac:dyDescent="0.25">
      <c r="A10116">
        <v>19298</v>
      </c>
      <c r="B10116">
        <v>0</v>
      </c>
    </row>
    <row r="10117" spans="1:2" x14ac:dyDescent="0.25">
      <c r="A10117">
        <v>19301</v>
      </c>
      <c r="B10117">
        <v>0</v>
      </c>
    </row>
    <row r="10118" spans="1:2" x14ac:dyDescent="0.25">
      <c r="A10118">
        <v>19303</v>
      </c>
      <c r="B10118">
        <v>0</v>
      </c>
    </row>
    <row r="10119" spans="1:2" x14ac:dyDescent="0.25">
      <c r="A10119">
        <v>19305</v>
      </c>
      <c r="B10119">
        <v>0</v>
      </c>
    </row>
    <row r="10120" spans="1:2" x14ac:dyDescent="0.25">
      <c r="A10120">
        <v>19307</v>
      </c>
      <c r="B10120">
        <v>0</v>
      </c>
    </row>
    <row r="10121" spans="1:2" x14ac:dyDescent="0.25">
      <c r="A10121">
        <v>19309</v>
      </c>
      <c r="B10121">
        <v>0</v>
      </c>
    </row>
    <row r="10122" spans="1:2" x14ac:dyDescent="0.25">
      <c r="A10122">
        <v>19310</v>
      </c>
      <c r="B10122">
        <v>0</v>
      </c>
    </row>
    <row r="10123" spans="1:2" x14ac:dyDescent="0.25">
      <c r="A10123">
        <v>19312</v>
      </c>
      <c r="B10123">
        <v>0</v>
      </c>
    </row>
    <row r="10124" spans="1:2" x14ac:dyDescent="0.25">
      <c r="A10124">
        <v>19316</v>
      </c>
      <c r="B10124">
        <v>0</v>
      </c>
    </row>
    <row r="10125" spans="1:2" x14ac:dyDescent="0.25">
      <c r="A10125">
        <v>19319</v>
      </c>
      <c r="B10125">
        <v>0</v>
      </c>
    </row>
    <row r="10126" spans="1:2" x14ac:dyDescent="0.25">
      <c r="A10126">
        <v>19321</v>
      </c>
      <c r="B10126">
        <v>0</v>
      </c>
    </row>
    <row r="10127" spans="1:2" x14ac:dyDescent="0.25">
      <c r="A10127">
        <v>19324</v>
      </c>
      <c r="B10127">
        <v>0</v>
      </c>
    </row>
    <row r="10128" spans="1:2" x14ac:dyDescent="0.25">
      <c r="A10128">
        <v>19326</v>
      </c>
      <c r="B10128">
        <v>0</v>
      </c>
    </row>
    <row r="10129" spans="1:2" x14ac:dyDescent="0.25">
      <c r="A10129">
        <v>19327</v>
      </c>
      <c r="B10129">
        <v>0</v>
      </c>
    </row>
    <row r="10130" spans="1:2" x14ac:dyDescent="0.25">
      <c r="A10130">
        <v>19328</v>
      </c>
      <c r="B10130">
        <v>0</v>
      </c>
    </row>
    <row r="10131" spans="1:2" x14ac:dyDescent="0.25">
      <c r="A10131">
        <v>19337</v>
      </c>
      <c r="B10131">
        <v>0</v>
      </c>
    </row>
    <row r="10132" spans="1:2" x14ac:dyDescent="0.25">
      <c r="A10132">
        <v>19338</v>
      </c>
      <c r="B10132">
        <v>0</v>
      </c>
    </row>
    <row r="10133" spans="1:2" x14ac:dyDescent="0.25">
      <c r="A10133">
        <v>19339</v>
      </c>
      <c r="B10133">
        <v>0</v>
      </c>
    </row>
    <row r="10134" spans="1:2" x14ac:dyDescent="0.25">
      <c r="A10134">
        <v>19340</v>
      </c>
      <c r="B10134">
        <v>0</v>
      </c>
    </row>
    <row r="10135" spans="1:2" x14ac:dyDescent="0.25">
      <c r="A10135">
        <v>19341</v>
      </c>
      <c r="B10135">
        <v>0</v>
      </c>
    </row>
    <row r="10136" spans="1:2" x14ac:dyDescent="0.25">
      <c r="A10136">
        <v>19342</v>
      </c>
      <c r="B10136">
        <v>0</v>
      </c>
    </row>
    <row r="10137" spans="1:2" x14ac:dyDescent="0.25">
      <c r="A10137">
        <v>19343</v>
      </c>
      <c r="B10137">
        <v>0</v>
      </c>
    </row>
    <row r="10138" spans="1:2" x14ac:dyDescent="0.25">
      <c r="A10138">
        <v>19344</v>
      </c>
      <c r="B10138">
        <v>0</v>
      </c>
    </row>
    <row r="10139" spans="1:2" x14ac:dyDescent="0.25">
      <c r="A10139">
        <v>19348</v>
      </c>
      <c r="B10139">
        <v>0</v>
      </c>
    </row>
    <row r="10140" spans="1:2" x14ac:dyDescent="0.25">
      <c r="A10140">
        <v>19350</v>
      </c>
      <c r="B10140">
        <v>0</v>
      </c>
    </row>
    <row r="10141" spans="1:2" x14ac:dyDescent="0.25">
      <c r="A10141">
        <v>19352</v>
      </c>
      <c r="B10141">
        <v>0</v>
      </c>
    </row>
    <row r="10142" spans="1:2" x14ac:dyDescent="0.25">
      <c r="A10142">
        <v>19354</v>
      </c>
      <c r="B10142">
        <v>0</v>
      </c>
    </row>
    <row r="10143" spans="1:2" x14ac:dyDescent="0.25">
      <c r="A10143">
        <v>19356</v>
      </c>
      <c r="B10143">
        <v>0</v>
      </c>
    </row>
    <row r="10144" spans="1:2" x14ac:dyDescent="0.25">
      <c r="A10144">
        <v>19357</v>
      </c>
      <c r="B10144">
        <v>0</v>
      </c>
    </row>
    <row r="10145" spans="1:2" x14ac:dyDescent="0.25">
      <c r="A10145">
        <v>19358</v>
      </c>
      <c r="B10145">
        <v>0</v>
      </c>
    </row>
    <row r="10146" spans="1:2" x14ac:dyDescent="0.25">
      <c r="A10146">
        <v>19359</v>
      </c>
      <c r="B10146">
        <v>0</v>
      </c>
    </row>
    <row r="10147" spans="1:2" x14ac:dyDescent="0.25">
      <c r="A10147">
        <v>19364</v>
      </c>
      <c r="B10147">
        <v>0</v>
      </c>
    </row>
    <row r="10148" spans="1:2" x14ac:dyDescent="0.25">
      <c r="A10148">
        <v>19365</v>
      </c>
      <c r="B10148">
        <v>0</v>
      </c>
    </row>
    <row r="10149" spans="1:2" x14ac:dyDescent="0.25">
      <c r="A10149">
        <v>19366</v>
      </c>
      <c r="B10149">
        <v>0</v>
      </c>
    </row>
    <row r="10150" spans="1:2" x14ac:dyDescent="0.25">
      <c r="A10150">
        <v>19367</v>
      </c>
      <c r="B10150">
        <v>0</v>
      </c>
    </row>
    <row r="10151" spans="1:2" x14ac:dyDescent="0.25">
      <c r="A10151">
        <v>19368</v>
      </c>
      <c r="B10151">
        <v>0</v>
      </c>
    </row>
    <row r="10152" spans="1:2" x14ac:dyDescent="0.25">
      <c r="A10152">
        <v>19369</v>
      </c>
      <c r="B10152">
        <v>0</v>
      </c>
    </row>
    <row r="10153" spans="1:2" x14ac:dyDescent="0.25">
      <c r="A10153">
        <v>19370</v>
      </c>
      <c r="B10153">
        <v>0</v>
      </c>
    </row>
    <row r="10154" spans="1:2" x14ac:dyDescent="0.25">
      <c r="A10154">
        <v>19371</v>
      </c>
      <c r="B10154">
        <v>0</v>
      </c>
    </row>
    <row r="10155" spans="1:2" x14ac:dyDescent="0.25">
      <c r="A10155">
        <v>19372</v>
      </c>
      <c r="B10155">
        <v>0</v>
      </c>
    </row>
    <row r="10156" spans="1:2" x14ac:dyDescent="0.25">
      <c r="A10156">
        <v>19373</v>
      </c>
      <c r="B10156">
        <v>0</v>
      </c>
    </row>
    <row r="10157" spans="1:2" x14ac:dyDescent="0.25">
      <c r="A10157">
        <v>19374</v>
      </c>
      <c r="B10157">
        <v>0</v>
      </c>
    </row>
    <row r="10158" spans="1:2" x14ac:dyDescent="0.25">
      <c r="A10158">
        <v>19375</v>
      </c>
      <c r="B10158">
        <v>0</v>
      </c>
    </row>
    <row r="10159" spans="1:2" x14ac:dyDescent="0.25">
      <c r="A10159">
        <v>19376</v>
      </c>
      <c r="B10159">
        <v>0</v>
      </c>
    </row>
    <row r="10160" spans="1:2" x14ac:dyDescent="0.25">
      <c r="A10160">
        <v>19377</v>
      </c>
      <c r="B10160">
        <v>0</v>
      </c>
    </row>
    <row r="10161" spans="1:2" x14ac:dyDescent="0.25">
      <c r="A10161">
        <v>19378</v>
      </c>
      <c r="B10161">
        <v>0</v>
      </c>
    </row>
    <row r="10162" spans="1:2" x14ac:dyDescent="0.25">
      <c r="A10162">
        <v>19379</v>
      </c>
      <c r="B10162">
        <v>0</v>
      </c>
    </row>
    <row r="10163" spans="1:2" x14ac:dyDescent="0.25">
      <c r="A10163">
        <v>19380</v>
      </c>
      <c r="B10163">
        <v>0</v>
      </c>
    </row>
    <row r="10164" spans="1:2" x14ac:dyDescent="0.25">
      <c r="A10164">
        <v>19381</v>
      </c>
      <c r="B10164">
        <v>0</v>
      </c>
    </row>
    <row r="10165" spans="1:2" x14ac:dyDescent="0.25">
      <c r="A10165">
        <v>19382</v>
      </c>
      <c r="B10165">
        <v>0</v>
      </c>
    </row>
    <row r="10166" spans="1:2" x14ac:dyDescent="0.25">
      <c r="A10166">
        <v>19383</v>
      </c>
      <c r="B10166">
        <v>0</v>
      </c>
    </row>
    <row r="10167" spans="1:2" x14ac:dyDescent="0.25">
      <c r="A10167">
        <v>19384</v>
      </c>
      <c r="B10167">
        <v>0</v>
      </c>
    </row>
    <row r="10168" spans="1:2" x14ac:dyDescent="0.25">
      <c r="A10168">
        <v>19385</v>
      </c>
      <c r="B10168">
        <v>0</v>
      </c>
    </row>
    <row r="10169" spans="1:2" x14ac:dyDescent="0.25">
      <c r="A10169">
        <v>19386</v>
      </c>
      <c r="B10169">
        <v>0</v>
      </c>
    </row>
    <row r="10170" spans="1:2" x14ac:dyDescent="0.25">
      <c r="A10170">
        <v>19387</v>
      </c>
      <c r="B10170">
        <v>0</v>
      </c>
    </row>
    <row r="10171" spans="1:2" x14ac:dyDescent="0.25">
      <c r="A10171">
        <v>19388</v>
      </c>
      <c r="B10171">
        <v>0</v>
      </c>
    </row>
    <row r="10172" spans="1:2" x14ac:dyDescent="0.25">
      <c r="A10172">
        <v>19389</v>
      </c>
      <c r="B10172">
        <v>0</v>
      </c>
    </row>
    <row r="10173" spans="1:2" x14ac:dyDescent="0.25">
      <c r="A10173">
        <v>19390</v>
      </c>
      <c r="B10173">
        <v>0</v>
      </c>
    </row>
    <row r="10174" spans="1:2" x14ac:dyDescent="0.25">
      <c r="A10174">
        <v>19391</v>
      </c>
      <c r="B10174">
        <v>0</v>
      </c>
    </row>
    <row r="10175" spans="1:2" x14ac:dyDescent="0.25">
      <c r="A10175">
        <v>19392</v>
      </c>
      <c r="B10175">
        <v>0</v>
      </c>
    </row>
    <row r="10176" spans="1:2" x14ac:dyDescent="0.25">
      <c r="A10176">
        <v>19393</v>
      </c>
      <c r="B10176">
        <v>0</v>
      </c>
    </row>
    <row r="10177" spans="1:2" x14ac:dyDescent="0.25">
      <c r="A10177">
        <v>19394</v>
      </c>
      <c r="B10177">
        <v>0</v>
      </c>
    </row>
    <row r="10178" spans="1:2" x14ac:dyDescent="0.25">
      <c r="A10178">
        <v>19395</v>
      </c>
      <c r="B10178">
        <v>0</v>
      </c>
    </row>
    <row r="10179" spans="1:2" x14ac:dyDescent="0.25">
      <c r="A10179">
        <v>19396</v>
      </c>
      <c r="B10179">
        <v>0</v>
      </c>
    </row>
    <row r="10180" spans="1:2" x14ac:dyDescent="0.25">
      <c r="A10180">
        <v>19397</v>
      </c>
      <c r="B10180">
        <v>0</v>
      </c>
    </row>
    <row r="10181" spans="1:2" x14ac:dyDescent="0.25">
      <c r="A10181">
        <v>19399</v>
      </c>
      <c r="B10181">
        <v>0</v>
      </c>
    </row>
    <row r="10182" spans="1:2" x14ac:dyDescent="0.25">
      <c r="A10182">
        <v>19400</v>
      </c>
      <c r="B10182">
        <v>0</v>
      </c>
    </row>
    <row r="10183" spans="1:2" x14ac:dyDescent="0.25">
      <c r="A10183">
        <v>19401</v>
      </c>
      <c r="B10183">
        <v>0</v>
      </c>
    </row>
    <row r="10184" spans="1:2" x14ac:dyDescent="0.25">
      <c r="A10184">
        <v>19402</v>
      </c>
      <c r="B10184">
        <v>0</v>
      </c>
    </row>
    <row r="10185" spans="1:2" x14ac:dyDescent="0.25">
      <c r="A10185">
        <v>19415</v>
      </c>
      <c r="B10185">
        <v>0</v>
      </c>
    </row>
    <row r="10186" spans="1:2" x14ac:dyDescent="0.25">
      <c r="A10186">
        <v>19418</v>
      </c>
      <c r="B10186">
        <v>0</v>
      </c>
    </row>
    <row r="10187" spans="1:2" x14ac:dyDescent="0.25">
      <c r="A10187">
        <v>19420</v>
      </c>
      <c r="B10187">
        <v>0</v>
      </c>
    </row>
    <row r="10188" spans="1:2" x14ac:dyDescent="0.25">
      <c r="A10188">
        <v>19421</v>
      </c>
      <c r="B10188">
        <v>0</v>
      </c>
    </row>
    <row r="10189" spans="1:2" x14ac:dyDescent="0.25">
      <c r="A10189">
        <v>19422</v>
      </c>
      <c r="B10189">
        <v>0</v>
      </c>
    </row>
    <row r="10190" spans="1:2" x14ac:dyDescent="0.25">
      <c r="A10190">
        <v>19423</v>
      </c>
      <c r="B10190">
        <v>0</v>
      </c>
    </row>
    <row r="10191" spans="1:2" x14ac:dyDescent="0.25">
      <c r="A10191">
        <v>19424</v>
      </c>
      <c r="B10191">
        <v>0</v>
      </c>
    </row>
    <row r="10192" spans="1:2" x14ac:dyDescent="0.25">
      <c r="A10192">
        <v>19425</v>
      </c>
      <c r="B10192">
        <v>0</v>
      </c>
    </row>
    <row r="10193" spans="1:2" x14ac:dyDescent="0.25">
      <c r="A10193">
        <v>19426</v>
      </c>
      <c r="B10193">
        <v>0</v>
      </c>
    </row>
    <row r="10194" spans="1:2" x14ac:dyDescent="0.25">
      <c r="A10194">
        <v>19427</v>
      </c>
      <c r="B10194">
        <v>0</v>
      </c>
    </row>
    <row r="10195" spans="1:2" x14ac:dyDescent="0.25">
      <c r="A10195">
        <v>19428</v>
      </c>
      <c r="B10195">
        <v>0</v>
      </c>
    </row>
    <row r="10196" spans="1:2" x14ac:dyDescent="0.25">
      <c r="A10196">
        <v>19429</v>
      </c>
      <c r="B10196">
        <v>0</v>
      </c>
    </row>
    <row r="10197" spans="1:2" x14ac:dyDescent="0.25">
      <c r="A10197">
        <v>19430</v>
      </c>
      <c r="B10197">
        <v>0</v>
      </c>
    </row>
    <row r="10198" spans="1:2" x14ac:dyDescent="0.25">
      <c r="A10198">
        <v>19431</v>
      </c>
      <c r="B10198">
        <v>0</v>
      </c>
    </row>
    <row r="10199" spans="1:2" x14ac:dyDescent="0.25">
      <c r="A10199">
        <v>19436</v>
      </c>
      <c r="B10199">
        <v>0</v>
      </c>
    </row>
    <row r="10200" spans="1:2" x14ac:dyDescent="0.25">
      <c r="A10200">
        <v>19438</v>
      </c>
      <c r="B10200">
        <v>0</v>
      </c>
    </row>
    <row r="10201" spans="1:2" x14ac:dyDescent="0.25">
      <c r="A10201">
        <v>19454</v>
      </c>
      <c r="B10201">
        <v>0</v>
      </c>
    </row>
    <row r="10202" spans="1:2" x14ac:dyDescent="0.25">
      <c r="A10202">
        <v>19456</v>
      </c>
      <c r="B10202">
        <v>0</v>
      </c>
    </row>
    <row r="10203" spans="1:2" x14ac:dyDescent="0.25">
      <c r="A10203">
        <v>19457</v>
      </c>
      <c r="B10203">
        <v>0</v>
      </c>
    </row>
    <row r="10204" spans="1:2" x14ac:dyDescent="0.25">
      <c r="A10204">
        <v>19458</v>
      </c>
      <c r="B10204">
        <v>0</v>
      </c>
    </row>
    <row r="10205" spans="1:2" x14ac:dyDescent="0.25">
      <c r="A10205">
        <v>19504</v>
      </c>
      <c r="B10205">
        <v>0</v>
      </c>
    </row>
    <row r="10206" spans="1:2" x14ac:dyDescent="0.25">
      <c r="A10206">
        <v>19505</v>
      </c>
      <c r="B10206">
        <v>0</v>
      </c>
    </row>
    <row r="10207" spans="1:2" x14ac:dyDescent="0.25">
      <c r="A10207">
        <v>19510</v>
      </c>
      <c r="B10207">
        <v>0</v>
      </c>
    </row>
    <row r="10208" spans="1:2" x14ac:dyDescent="0.25">
      <c r="A10208">
        <v>19511</v>
      </c>
      <c r="B10208">
        <v>0</v>
      </c>
    </row>
    <row r="10209" spans="1:2" x14ac:dyDescent="0.25">
      <c r="A10209">
        <v>19512</v>
      </c>
      <c r="B10209">
        <v>0</v>
      </c>
    </row>
    <row r="10210" spans="1:2" x14ac:dyDescent="0.25">
      <c r="A10210">
        <v>19514</v>
      </c>
      <c r="B10210">
        <v>0</v>
      </c>
    </row>
    <row r="10211" spans="1:2" x14ac:dyDescent="0.25">
      <c r="A10211">
        <v>19515</v>
      </c>
      <c r="B10211">
        <v>0</v>
      </c>
    </row>
    <row r="10212" spans="1:2" x14ac:dyDescent="0.25">
      <c r="A10212">
        <v>19517</v>
      </c>
      <c r="B10212">
        <v>0</v>
      </c>
    </row>
    <row r="10213" spans="1:2" x14ac:dyDescent="0.25">
      <c r="A10213">
        <v>19519</v>
      </c>
      <c r="B10213">
        <v>0</v>
      </c>
    </row>
    <row r="10214" spans="1:2" x14ac:dyDescent="0.25">
      <c r="A10214">
        <v>19520</v>
      </c>
      <c r="B10214">
        <v>0</v>
      </c>
    </row>
    <row r="10215" spans="1:2" x14ac:dyDescent="0.25">
      <c r="A10215">
        <v>19521</v>
      </c>
      <c r="B10215">
        <v>0</v>
      </c>
    </row>
    <row r="10216" spans="1:2" x14ac:dyDescent="0.25">
      <c r="A10216">
        <v>19522</v>
      </c>
      <c r="B10216">
        <v>0</v>
      </c>
    </row>
    <row r="10217" spans="1:2" x14ac:dyDescent="0.25">
      <c r="A10217">
        <v>19523</v>
      </c>
      <c r="B10217">
        <v>0</v>
      </c>
    </row>
    <row r="10218" spans="1:2" x14ac:dyDescent="0.25">
      <c r="A10218">
        <v>19540</v>
      </c>
      <c r="B10218">
        <v>0</v>
      </c>
    </row>
    <row r="10219" spans="1:2" x14ac:dyDescent="0.25">
      <c r="A10219">
        <v>19542</v>
      </c>
      <c r="B10219">
        <v>0</v>
      </c>
    </row>
    <row r="10220" spans="1:2" x14ac:dyDescent="0.25">
      <c r="A10220">
        <v>19544</v>
      </c>
      <c r="B10220">
        <v>0</v>
      </c>
    </row>
    <row r="10221" spans="1:2" x14ac:dyDescent="0.25">
      <c r="A10221">
        <v>19546</v>
      </c>
      <c r="B10221">
        <v>0</v>
      </c>
    </row>
    <row r="10222" spans="1:2" x14ac:dyDescent="0.25">
      <c r="A10222">
        <v>19548</v>
      </c>
      <c r="B10222">
        <v>0</v>
      </c>
    </row>
    <row r="10223" spans="1:2" x14ac:dyDescent="0.25">
      <c r="A10223">
        <v>19550</v>
      </c>
      <c r="B10223">
        <v>0</v>
      </c>
    </row>
    <row r="10224" spans="1:2" x14ac:dyDescent="0.25">
      <c r="A10224">
        <v>19554</v>
      </c>
      <c r="B10224">
        <v>0</v>
      </c>
    </row>
    <row r="10225" spans="1:2" x14ac:dyDescent="0.25">
      <c r="A10225">
        <v>19555</v>
      </c>
      <c r="B10225">
        <v>0</v>
      </c>
    </row>
    <row r="10226" spans="1:2" x14ac:dyDescent="0.25">
      <c r="A10226">
        <v>19558</v>
      </c>
      <c r="B10226">
        <v>0</v>
      </c>
    </row>
    <row r="10227" spans="1:2" x14ac:dyDescent="0.25">
      <c r="A10227">
        <v>19560</v>
      </c>
      <c r="B10227">
        <v>0</v>
      </c>
    </row>
    <row r="10228" spans="1:2" x14ac:dyDescent="0.25">
      <c r="A10228">
        <v>19562</v>
      </c>
      <c r="B10228">
        <v>0</v>
      </c>
    </row>
    <row r="10229" spans="1:2" x14ac:dyDescent="0.25">
      <c r="A10229">
        <v>19563</v>
      </c>
      <c r="B10229">
        <v>0</v>
      </c>
    </row>
    <row r="10230" spans="1:2" x14ac:dyDescent="0.25">
      <c r="A10230">
        <v>19580</v>
      </c>
      <c r="B10230">
        <v>0</v>
      </c>
    </row>
    <row r="10231" spans="1:2" x14ac:dyDescent="0.25">
      <c r="A10231">
        <v>19581</v>
      </c>
      <c r="B10231">
        <v>0</v>
      </c>
    </row>
    <row r="10232" spans="1:2" x14ac:dyDescent="0.25">
      <c r="A10232">
        <v>19583</v>
      </c>
      <c r="B10232">
        <v>0</v>
      </c>
    </row>
    <row r="10233" spans="1:2" x14ac:dyDescent="0.25">
      <c r="A10233">
        <v>19584</v>
      </c>
      <c r="B10233">
        <v>0</v>
      </c>
    </row>
    <row r="10234" spans="1:2" x14ac:dyDescent="0.25">
      <c r="A10234">
        <v>19585</v>
      </c>
      <c r="B10234">
        <v>0</v>
      </c>
    </row>
    <row r="10235" spans="1:2" x14ac:dyDescent="0.25">
      <c r="A10235">
        <v>19587</v>
      </c>
      <c r="B10235">
        <v>0</v>
      </c>
    </row>
    <row r="10236" spans="1:2" x14ac:dyDescent="0.25">
      <c r="A10236">
        <v>19588</v>
      </c>
      <c r="B10236">
        <v>0</v>
      </c>
    </row>
    <row r="10237" spans="1:2" x14ac:dyDescent="0.25">
      <c r="A10237">
        <v>19590</v>
      </c>
      <c r="B10237">
        <v>0</v>
      </c>
    </row>
    <row r="10238" spans="1:2" x14ac:dyDescent="0.25">
      <c r="A10238">
        <v>19591</v>
      </c>
      <c r="B10238">
        <v>0</v>
      </c>
    </row>
    <row r="10239" spans="1:2" x14ac:dyDescent="0.25">
      <c r="A10239">
        <v>19593</v>
      </c>
      <c r="B10239">
        <v>0</v>
      </c>
    </row>
    <row r="10240" spans="1:2" x14ac:dyDescent="0.25">
      <c r="A10240">
        <v>19594</v>
      </c>
      <c r="B10240">
        <v>0</v>
      </c>
    </row>
    <row r="10241" spans="1:2" x14ac:dyDescent="0.25">
      <c r="A10241">
        <v>19596</v>
      </c>
      <c r="B10241">
        <v>0</v>
      </c>
    </row>
    <row r="10242" spans="1:2" x14ac:dyDescent="0.25">
      <c r="A10242">
        <v>19597</v>
      </c>
      <c r="B10242">
        <v>0</v>
      </c>
    </row>
    <row r="10243" spans="1:2" x14ac:dyDescent="0.25">
      <c r="A10243">
        <v>19598</v>
      </c>
      <c r="B10243">
        <v>0</v>
      </c>
    </row>
    <row r="10244" spans="1:2" x14ac:dyDescent="0.25">
      <c r="A10244">
        <v>19600</v>
      </c>
      <c r="B10244">
        <v>0</v>
      </c>
    </row>
    <row r="10245" spans="1:2" x14ac:dyDescent="0.25">
      <c r="A10245">
        <v>19601</v>
      </c>
      <c r="B10245">
        <v>0</v>
      </c>
    </row>
    <row r="10246" spans="1:2" x14ac:dyDescent="0.25">
      <c r="A10246">
        <v>19602</v>
      </c>
      <c r="B10246">
        <v>0</v>
      </c>
    </row>
    <row r="10247" spans="1:2" x14ac:dyDescent="0.25">
      <c r="A10247">
        <v>19603</v>
      </c>
      <c r="B10247">
        <v>0</v>
      </c>
    </row>
    <row r="10248" spans="1:2" x14ac:dyDescent="0.25">
      <c r="A10248">
        <v>19604</v>
      </c>
      <c r="B10248">
        <v>0</v>
      </c>
    </row>
    <row r="10249" spans="1:2" x14ac:dyDescent="0.25">
      <c r="A10249">
        <v>19605</v>
      </c>
      <c r="B10249">
        <v>0</v>
      </c>
    </row>
    <row r="10250" spans="1:2" x14ac:dyDescent="0.25">
      <c r="A10250">
        <v>19606</v>
      </c>
      <c r="B10250">
        <v>0</v>
      </c>
    </row>
    <row r="10251" spans="1:2" x14ac:dyDescent="0.25">
      <c r="A10251">
        <v>19607</v>
      </c>
      <c r="B10251">
        <v>0</v>
      </c>
    </row>
    <row r="10252" spans="1:2" x14ac:dyDescent="0.25">
      <c r="A10252">
        <v>19608</v>
      </c>
      <c r="B10252">
        <v>0</v>
      </c>
    </row>
    <row r="10253" spans="1:2" x14ac:dyDescent="0.25">
      <c r="A10253">
        <v>19609</v>
      </c>
      <c r="B10253">
        <v>0</v>
      </c>
    </row>
    <row r="10254" spans="1:2" x14ac:dyDescent="0.25">
      <c r="A10254">
        <v>19610</v>
      </c>
      <c r="B10254">
        <v>0</v>
      </c>
    </row>
    <row r="10255" spans="1:2" x14ac:dyDescent="0.25">
      <c r="A10255">
        <v>19614</v>
      </c>
      <c r="B10255">
        <v>0</v>
      </c>
    </row>
    <row r="10256" spans="1:2" x14ac:dyDescent="0.25">
      <c r="A10256">
        <v>19617</v>
      </c>
      <c r="B10256">
        <v>0</v>
      </c>
    </row>
    <row r="10257" spans="1:2" x14ac:dyDescent="0.25">
      <c r="A10257">
        <v>19618</v>
      </c>
      <c r="B10257">
        <v>0</v>
      </c>
    </row>
    <row r="10258" spans="1:2" x14ac:dyDescent="0.25">
      <c r="A10258">
        <v>19619</v>
      </c>
      <c r="B10258">
        <v>0</v>
      </c>
    </row>
    <row r="10259" spans="1:2" x14ac:dyDescent="0.25">
      <c r="A10259">
        <v>19626</v>
      </c>
      <c r="B10259">
        <v>0</v>
      </c>
    </row>
    <row r="10260" spans="1:2" x14ac:dyDescent="0.25">
      <c r="A10260">
        <v>19627</v>
      </c>
      <c r="B10260">
        <v>0</v>
      </c>
    </row>
    <row r="10261" spans="1:2" x14ac:dyDescent="0.25">
      <c r="A10261">
        <v>19629</v>
      </c>
      <c r="B10261">
        <v>0</v>
      </c>
    </row>
    <row r="10262" spans="1:2" x14ac:dyDescent="0.25">
      <c r="A10262">
        <v>19640</v>
      </c>
      <c r="B10262">
        <v>0</v>
      </c>
    </row>
    <row r="10263" spans="1:2" x14ac:dyDescent="0.25">
      <c r="A10263">
        <v>19641</v>
      </c>
      <c r="B10263">
        <v>0</v>
      </c>
    </row>
    <row r="10264" spans="1:2" x14ac:dyDescent="0.25">
      <c r="A10264">
        <v>19642</v>
      </c>
      <c r="B10264">
        <v>0</v>
      </c>
    </row>
    <row r="10265" spans="1:2" x14ac:dyDescent="0.25">
      <c r="A10265">
        <v>19644</v>
      </c>
      <c r="B10265">
        <v>0</v>
      </c>
    </row>
    <row r="10266" spans="1:2" x14ac:dyDescent="0.25">
      <c r="A10266">
        <v>19645</v>
      </c>
      <c r="B10266">
        <v>0</v>
      </c>
    </row>
    <row r="10267" spans="1:2" x14ac:dyDescent="0.25">
      <c r="A10267">
        <v>19646</v>
      </c>
      <c r="B10267">
        <v>0</v>
      </c>
    </row>
    <row r="10268" spans="1:2" x14ac:dyDescent="0.25">
      <c r="A10268">
        <v>19647</v>
      </c>
      <c r="B10268">
        <v>0</v>
      </c>
    </row>
    <row r="10269" spans="1:2" x14ac:dyDescent="0.25">
      <c r="A10269">
        <v>19648</v>
      </c>
      <c r="B10269">
        <v>0</v>
      </c>
    </row>
    <row r="10270" spans="1:2" x14ac:dyDescent="0.25">
      <c r="A10270">
        <v>19649</v>
      </c>
      <c r="B10270">
        <v>0</v>
      </c>
    </row>
    <row r="10271" spans="1:2" x14ac:dyDescent="0.25">
      <c r="A10271">
        <v>19650</v>
      </c>
      <c r="B10271">
        <v>0</v>
      </c>
    </row>
    <row r="10272" spans="1:2" x14ac:dyDescent="0.25">
      <c r="A10272">
        <v>19651</v>
      </c>
      <c r="B10272">
        <v>0</v>
      </c>
    </row>
    <row r="10273" spans="1:2" x14ac:dyDescent="0.25">
      <c r="A10273">
        <v>19652</v>
      </c>
      <c r="B10273">
        <v>0</v>
      </c>
    </row>
    <row r="10274" spans="1:2" x14ac:dyDescent="0.25">
      <c r="A10274">
        <v>19653</v>
      </c>
      <c r="B10274">
        <v>0</v>
      </c>
    </row>
    <row r="10275" spans="1:2" x14ac:dyDescent="0.25">
      <c r="A10275">
        <v>19654</v>
      </c>
      <c r="B10275">
        <v>0</v>
      </c>
    </row>
    <row r="10276" spans="1:2" x14ac:dyDescent="0.25">
      <c r="A10276">
        <v>19655</v>
      </c>
      <c r="B10276">
        <v>0</v>
      </c>
    </row>
    <row r="10277" spans="1:2" x14ac:dyDescent="0.25">
      <c r="A10277">
        <v>19658</v>
      </c>
      <c r="B10277">
        <v>0</v>
      </c>
    </row>
    <row r="10278" spans="1:2" x14ac:dyDescent="0.25">
      <c r="A10278">
        <v>19665</v>
      </c>
      <c r="B10278">
        <v>0</v>
      </c>
    </row>
    <row r="10279" spans="1:2" x14ac:dyDescent="0.25">
      <c r="A10279">
        <v>19666</v>
      </c>
      <c r="B10279">
        <v>0</v>
      </c>
    </row>
    <row r="10280" spans="1:2" x14ac:dyDescent="0.25">
      <c r="A10280">
        <v>19667</v>
      </c>
      <c r="B10280">
        <v>0</v>
      </c>
    </row>
    <row r="10281" spans="1:2" x14ac:dyDescent="0.25">
      <c r="A10281">
        <v>19668</v>
      </c>
      <c r="B10281">
        <v>0</v>
      </c>
    </row>
    <row r="10282" spans="1:2" x14ac:dyDescent="0.25">
      <c r="A10282">
        <v>19669</v>
      </c>
      <c r="B10282">
        <v>0</v>
      </c>
    </row>
    <row r="10283" spans="1:2" x14ac:dyDescent="0.25">
      <c r="A10283">
        <v>19689</v>
      </c>
      <c r="B10283">
        <v>0</v>
      </c>
    </row>
    <row r="10284" spans="1:2" x14ac:dyDescent="0.25">
      <c r="A10284">
        <v>19690</v>
      </c>
      <c r="B10284">
        <v>0</v>
      </c>
    </row>
    <row r="10285" spans="1:2" x14ac:dyDescent="0.25">
      <c r="A10285">
        <v>19691</v>
      </c>
      <c r="B10285">
        <v>0</v>
      </c>
    </row>
    <row r="10286" spans="1:2" x14ac:dyDescent="0.25">
      <c r="A10286">
        <v>19692</v>
      </c>
      <c r="B10286">
        <v>0</v>
      </c>
    </row>
    <row r="10287" spans="1:2" x14ac:dyDescent="0.25">
      <c r="A10287">
        <v>19693</v>
      </c>
      <c r="B10287">
        <v>0</v>
      </c>
    </row>
    <row r="10288" spans="1:2" x14ac:dyDescent="0.25">
      <c r="A10288">
        <v>19694</v>
      </c>
      <c r="B10288">
        <v>0</v>
      </c>
    </row>
    <row r="10289" spans="1:2" x14ac:dyDescent="0.25">
      <c r="A10289">
        <v>19695</v>
      </c>
      <c r="B10289">
        <v>0</v>
      </c>
    </row>
    <row r="10290" spans="1:2" x14ac:dyDescent="0.25">
      <c r="A10290">
        <v>19696</v>
      </c>
      <c r="B10290">
        <v>0</v>
      </c>
    </row>
    <row r="10291" spans="1:2" x14ac:dyDescent="0.25">
      <c r="A10291">
        <v>19697</v>
      </c>
      <c r="B10291">
        <v>0</v>
      </c>
    </row>
    <row r="10292" spans="1:2" x14ac:dyDescent="0.25">
      <c r="A10292">
        <v>19698</v>
      </c>
      <c r="B10292">
        <v>0</v>
      </c>
    </row>
    <row r="10293" spans="1:2" x14ac:dyDescent="0.25">
      <c r="A10293">
        <v>19699</v>
      </c>
      <c r="B10293">
        <v>0</v>
      </c>
    </row>
    <row r="10294" spans="1:2" x14ac:dyDescent="0.25">
      <c r="A10294">
        <v>19700</v>
      </c>
      <c r="B10294">
        <v>0</v>
      </c>
    </row>
    <row r="10295" spans="1:2" x14ac:dyDescent="0.25">
      <c r="A10295">
        <v>19701</v>
      </c>
      <c r="B10295">
        <v>0</v>
      </c>
    </row>
    <row r="10296" spans="1:2" x14ac:dyDescent="0.25">
      <c r="A10296">
        <v>19713</v>
      </c>
      <c r="B10296">
        <v>0</v>
      </c>
    </row>
    <row r="10297" spans="1:2" x14ac:dyDescent="0.25">
      <c r="A10297">
        <v>19714</v>
      </c>
      <c r="B10297">
        <v>0</v>
      </c>
    </row>
    <row r="10298" spans="1:2" x14ac:dyDescent="0.25">
      <c r="A10298">
        <v>19715</v>
      </c>
      <c r="B10298">
        <v>0</v>
      </c>
    </row>
    <row r="10299" spans="1:2" x14ac:dyDescent="0.25">
      <c r="A10299">
        <v>19716</v>
      </c>
      <c r="B10299">
        <v>0</v>
      </c>
    </row>
    <row r="10300" spans="1:2" x14ac:dyDescent="0.25">
      <c r="A10300">
        <v>19717</v>
      </c>
      <c r="B10300">
        <v>0</v>
      </c>
    </row>
    <row r="10301" spans="1:2" x14ac:dyDescent="0.25">
      <c r="A10301">
        <v>19718</v>
      </c>
      <c r="B10301">
        <v>0</v>
      </c>
    </row>
    <row r="10302" spans="1:2" x14ac:dyDescent="0.25">
      <c r="A10302">
        <v>19719</v>
      </c>
      <c r="B10302">
        <v>0</v>
      </c>
    </row>
    <row r="10303" spans="1:2" x14ac:dyDescent="0.25">
      <c r="A10303">
        <v>19720</v>
      </c>
      <c r="B10303">
        <v>0</v>
      </c>
    </row>
    <row r="10304" spans="1:2" x14ac:dyDescent="0.25">
      <c r="A10304">
        <v>19724</v>
      </c>
      <c r="B10304">
        <v>0</v>
      </c>
    </row>
    <row r="10305" spans="1:2" x14ac:dyDescent="0.25">
      <c r="A10305">
        <v>19725</v>
      </c>
      <c r="B10305">
        <v>0</v>
      </c>
    </row>
    <row r="10306" spans="1:2" x14ac:dyDescent="0.25">
      <c r="A10306">
        <v>19726</v>
      </c>
      <c r="B10306">
        <v>0</v>
      </c>
    </row>
    <row r="10307" spans="1:2" x14ac:dyDescent="0.25">
      <c r="A10307">
        <v>19727</v>
      </c>
      <c r="B10307">
        <v>0</v>
      </c>
    </row>
    <row r="10308" spans="1:2" x14ac:dyDescent="0.25">
      <c r="A10308">
        <v>19729</v>
      </c>
      <c r="B10308">
        <v>0</v>
      </c>
    </row>
    <row r="10309" spans="1:2" x14ac:dyDescent="0.25">
      <c r="A10309">
        <v>19733</v>
      </c>
      <c r="B10309">
        <v>0</v>
      </c>
    </row>
    <row r="10310" spans="1:2" x14ac:dyDescent="0.25">
      <c r="A10310">
        <v>19740</v>
      </c>
      <c r="B10310">
        <v>0</v>
      </c>
    </row>
    <row r="10311" spans="1:2" x14ac:dyDescent="0.25">
      <c r="A10311">
        <v>19741</v>
      </c>
      <c r="B10311">
        <v>0</v>
      </c>
    </row>
    <row r="10312" spans="1:2" x14ac:dyDescent="0.25">
      <c r="A10312">
        <v>19743</v>
      </c>
      <c r="B10312">
        <v>0</v>
      </c>
    </row>
    <row r="10313" spans="1:2" x14ac:dyDescent="0.25">
      <c r="A10313">
        <v>19744</v>
      </c>
      <c r="B10313">
        <v>0</v>
      </c>
    </row>
    <row r="10314" spans="1:2" x14ac:dyDescent="0.25">
      <c r="A10314">
        <v>19745</v>
      </c>
      <c r="B10314">
        <v>0</v>
      </c>
    </row>
    <row r="10315" spans="1:2" x14ac:dyDescent="0.25">
      <c r="A10315">
        <v>19746</v>
      </c>
      <c r="B10315">
        <v>0</v>
      </c>
    </row>
    <row r="10316" spans="1:2" x14ac:dyDescent="0.25">
      <c r="A10316">
        <v>19747</v>
      </c>
      <c r="B10316">
        <v>0</v>
      </c>
    </row>
    <row r="10317" spans="1:2" x14ac:dyDescent="0.25">
      <c r="A10317">
        <v>19748</v>
      </c>
      <c r="B10317">
        <v>0</v>
      </c>
    </row>
    <row r="10318" spans="1:2" x14ac:dyDescent="0.25">
      <c r="A10318">
        <v>19749</v>
      </c>
      <c r="B10318">
        <v>0</v>
      </c>
    </row>
    <row r="10319" spans="1:2" x14ac:dyDescent="0.25">
      <c r="A10319">
        <v>19750</v>
      </c>
      <c r="B10319">
        <v>0</v>
      </c>
    </row>
    <row r="10320" spans="1:2" x14ac:dyDescent="0.25">
      <c r="A10320">
        <v>19751</v>
      </c>
      <c r="B10320">
        <v>0</v>
      </c>
    </row>
    <row r="10321" spans="1:2" x14ac:dyDescent="0.25">
      <c r="A10321">
        <v>19773</v>
      </c>
      <c r="B10321">
        <v>0</v>
      </c>
    </row>
    <row r="10322" spans="1:2" x14ac:dyDescent="0.25">
      <c r="A10322">
        <v>19791</v>
      </c>
      <c r="B10322">
        <v>0</v>
      </c>
    </row>
    <row r="10323" spans="1:2" x14ac:dyDescent="0.25">
      <c r="A10323">
        <v>19792</v>
      </c>
      <c r="B10323">
        <v>0</v>
      </c>
    </row>
    <row r="10324" spans="1:2" x14ac:dyDescent="0.25">
      <c r="A10324">
        <v>19793</v>
      </c>
      <c r="B10324">
        <v>0</v>
      </c>
    </row>
    <row r="10325" spans="1:2" x14ac:dyDescent="0.25">
      <c r="A10325">
        <v>19795</v>
      </c>
      <c r="B10325">
        <v>0</v>
      </c>
    </row>
    <row r="10326" spans="1:2" x14ac:dyDescent="0.25">
      <c r="A10326">
        <v>19797</v>
      </c>
      <c r="B10326">
        <v>0</v>
      </c>
    </row>
    <row r="10327" spans="1:2" x14ac:dyDescent="0.25">
      <c r="A10327">
        <v>19799</v>
      </c>
      <c r="B10327">
        <v>0</v>
      </c>
    </row>
    <row r="10328" spans="1:2" x14ac:dyDescent="0.25">
      <c r="A10328">
        <v>19801</v>
      </c>
      <c r="B10328">
        <v>0</v>
      </c>
    </row>
    <row r="10329" spans="1:2" x14ac:dyDescent="0.25">
      <c r="A10329">
        <v>19802</v>
      </c>
      <c r="B10329">
        <v>0</v>
      </c>
    </row>
    <row r="10330" spans="1:2" x14ac:dyDescent="0.25">
      <c r="A10330">
        <v>19803</v>
      </c>
      <c r="B10330">
        <v>0</v>
      </c>
    </row>
    <row r="10331" spans="1:2" x14ac:dyDescent="0.25">
      <c r="A10331">
        <v>19804</v>
      </c>
      <c r="B10331">
        <v>0</v>
      </c>
    </row>
    <row r="10332" spans="1:2" x14ac:dyDescent="0.25">
      <c r="A10332">
        <v>19806</v>
      </c>
      <c r="B10332">
        <v>0</v>
      </c>
    </row>
    <row r="10333" spans="1:2" x14ac:dyDescent="0.25">
      <c r="A10333">
        <v>19808</v>
      </c>
      <c r="B10333">
        <v>0</v>
      </c>
    </row>
    <row r="10334" spans="1:2" x14ac:dyDescent="0.25">
      <c r="A10334">
        <v>19809</v>
      </c>
      <c r="B10334">
        <v>0</v>
      </c>
    </row>
    <row r="10335" spans="1:2" x14ac:dyDescent="0.25">
      <c r="A10335">
        <v>19811</v>
      </c>
      <c r="B10335">
        <v>0</v>
      </c>
    </row>
    <row r="10336" spans="1:2" x14ac:dyDescent="0.25">
      <c r="A10336">
        <v>19813</v>
      </c>
      <c r="B10336">
        <v>0</v>
      </c>
    </row>
    <row r="10337" spans="1:2" x14ac:dyDescent="0.25">
      <c r="A10337">
        <v>19814</v>
      </c>
      <c r="B10337">
        <v>0</v>
      </c>
    </row>
    <row r="10338" spans="1:2" x14ac:dyDescent="0.25">
      <c r="A10338">
        <v>19816</v>
      </c>
      <c r="B10338">
        <v>0</v>
      </c>
    </row>
    <row r="10339" spans="1:2" x14ac:dyDescent="0.25">
      <c r="A10339">
        <v>19819</v>
      </c>
      <c r="B10339">
        <v>0</v>
      </c>
    </row>
    <row r="10340" spans="1:2" x14ac:dyDescent="0.25">
      <c r="A10340">
        <v>19820</v>
      </c>
      <c r="B10340">
        <v>0</v>
      </c>
    </row>
    <row r="10341" spans="1:2" x14ac:dyDescent="0.25">
      <c r="A10341">
        <v>19822</v>
      </c>
      <c r="B10341">
        <v>0</v>
      </c>
    </row>
    <row r="10342" spans="1:2" x14ac:dyDescent="0.25">
      <c r="A10342">
        <v>19823</v>
      </c>
      <c r="B10342">
        <v>0</v>
      </c>
    </row>
    <row r="10343" spans="1:2" x14ac:dyDescent="0.25">
      <c r="A10343">
        <v>19824</v>
      </c>
      <c r="B10343">
        <v>0</v>
      </c>
    </row>
    <row r="10344" spans="1:2" x14ac:dyDescent="0.25">
      <c r="A10344">
        <v>19826</v>
      </c>
      <c r="B10344">
        <v>0</v>
      </c>
    </row>
    <row r="10345" spans="1:2" x14ac:dyDescent="0.25">
      <c r="A10345">
        <v>19828</v>
      </c>
      <c r="B10345">
        <v>0</v>
      </c>
    </row>
    <row r="10346" spans="1:2" x14ac:dyDescent="0.25">
      <c r="A10346">
        <v>19829</v>
      </c>
      <c r="B10346">
        <v>0</v>
      </c>
    </row>
    <row r="10347" spans="1:2" x14ac:dyDescent="0.25">
      <c r="A10347">
        <v>19831</v>
      </c>
      <c r="B10347">
        <v>0</v>
      </c>
    </row>
    <row r="10348" spans="1:2" x14ac:dyDescent="0.25">
      <c r="A10348">
        <v>19832</v>
      </c>
      <c r="B10348">
        <v>0</v>
      </c>
    </row>
    <row r="10349" spans="1:2" x14ac:dyDescent="0.25">
      <c r="A10349">
        <v>19833</v>
      </c>
      <c r="B10349">
        <v>0</v>
      </c>
    </row>
    <row r="10350" spans="1:2" x14ac:dyDescent="0.25">
      <c r="A10350">
        <v>19834</v>
      </c>
      <c r="B10350">
        <v>0</v>
      </c>
    </row>
    <row r="10351" spans="1:2" x14ac:dyDescent="0.25">
      <c r="A10351">
        <v>19835</v>
      </c>
      <c r="B10351">
        <v>0</v>
      </c>
    </row>
    <row r="10352" spans="1:2" x14ac:dyDescent="0.25">
      <c r="A10352">
        <v>19836</v>
      </c>
      <c r="B10352">
        <v>0</v>
      </c>
    </row>
    <row r="10353" spans="1:2" x14ac:dyDescent="0.25">
      <c r="A10353">
        <v>19837</v>
      </c>
      <c r="B10353">
        <v>0</v>
      </c>
    </row>
    <row r="10354" spans="1:2" x14ac:dyDescent="0.25">
      <c r="A10354">
        <v>19838</v>
      </c>
      <c r="B10354">
        <v>0</v>
      </c>
    </row>
    <row r="10355" spans="1:2" x14ac:dyDescent="0.25">
      <c r="A10355">
        <v>19839</v>
      </c>
      <c r="B10355">
        <v>0</v>
      </c>
    </row>
    <row r="10356" spans="1:2" x14ac:dyDescent="0.25">
      <c r="A10356">
        <v>19840</v>
      </c>
      <c r="B10356">
        <v>0</v>
      </c>
    </row>
    <row r="10357" spans="1:2" x14ac:dyDescent="0.25">
      <c r="A10357">
        <v>19841</v>
      </c>
      <c r="B10357">
        <v>0</v>
      </c>
    </row>
    <row r="10358" spans="1:2" x14ac:dyDescent="0.25">
      <c r="A10358">
        <v>19842</v>
      </c>
      <c r="B10358">
        <v>0</v>
      </c>
    </row>
    <row r="10359" spans="1:2" x14ac:dyDescent="0.25">
      <c r="A10359">
        <v>19843</v>
      </c>
      <c r="B10359">
        <v>0</v>
      </c>
    </row>
    <row r="10360" spans="1:2" x14ac:dyDescent="0.25">
      <c r="A10360">
        <v>19844</v>
      </c>
      <c r="B10360">
        <v>0</v>
      </c>
    </row>
    <row r="10361" spans="1:2" x14ac:dyDescent="0.25">
      <c r="A10361">
        <v>19845</v>
      </c>
      <c r="B10361">
        <v>0</v>
      </c>
    </row>
    <row r="10362" spans="1:2" x14ac:dyDescent="0.25">
      <c r="A10362">
        <v>19849</v>
      </c>
      <c r="B10362">
        <v>0</v>
      </c>
    </row>
    <row r="10363" spans="1:2" x14ac:dyDescent="0.25">
      <c r="A10363">
        <v>19851</v>
      </c>
      <c r="B10363">
        <v>0</v>
      </c>
    </row>
    <row r="10364" spans="1:2" x14ac:dyDescent="0.25">
      <c r="A10364">
        <v>19853</v>
      </c>
      <c r="B10364">
        <v>0</v>
      </c>
    </row>
    <row r="10365" spans="1:2" x14ac:dyDescent="0.25">
      <c r="A10365">
        <v>19856</v>
      </c>
      <c r="B10365">
        <v>0</v>
      </c>
    </row>
    <row r="10366" spans="1:2" x14ac:dyDescent="0.25">
      <c r="A10366">
        <v>19858</v>
      </c>
      <c r="B10366">
        <v>0</v>
      </c>
    </row>
    <row r="10367" spans="1:2" x14ac:dyDescent="0.25">
      <c r="A10367">
        <v>19860</v>
      </c>
      <c r="B10367">
        <v>0</v>
      </c>
    </row>
    <row r="10368" spans="1:2" x14ac:dyDescent="0.25">
      <c r="A10368">
        <v>19871</v>
      </c>
      <c r="B10368">
        <v>0</v>
      </c>
    </row>
    <row r="10369" spans="1:2" x14ac:dyDescent="0.25">
      <c r="A10369">
        <v>19872</v>
      </c>
      <c r="B10369">
        <v>0</v>
      </c>
    </row>
    <row r="10370" spans="1:2" x14ac:dyDescent="0.25">
      <c r="A10370">
        <v>19874</v>
      </c>
      <c r="B10370">
        <v>0</v>
      </c>
    </row>
    <row r="10371" spans="1:2" x14ac:dyDescent="0.25">
      <c r="A10371">
        <v>19876</v>
      </c>
      <c r="B10371">
        <v>0</v>
      </c>
    </row>
    <row r="10372" spans="1:2" x14ac:dyDescent="0.25">
      <c r="A10372">
        <v>19878</v>
      </c>
      <c r="B10372">
        <v>0</v>
      </c>
    </row>
    <row r="10373" spans="1:2" x14ac:dyDescent="0.25">
      <c r="A10373">
        <v>19880</v>
      </c>
      <c r="B10373">
        <v>0</v>
      </c>
    </row>
    <row r="10374" spans="1:2" x14ac:dyDescent="0.25">
      <c r="A10374">
        <v>19882</v>
      </c>
      <c r="B10374">
        <v>0</v>
      </c>
    </row>
    <row r="10375" spans="1:2" x14ac:dyDescent="0.25">
      <c r="A10375">
        <v>19884</v>
      </c>
      <c r="B10375">
        <v>0</v>
      </c>
    </row>
    <row r="10376" spans="1:2" x14ac:dyDescent="0.25">
      <c r="A10376">
        <v>19890</v>
      </c>
      <c r="B10376">
        <v>0</v>
      </c>
    </row>
    <row r="10377" spans="1:2" x14ac:dyDescent="0.25">
      <c r="A10377">
        <v>19891</v>
      </c>
      <c r="B10377">
        <v>0</v>
      </c>
    </row>
    <row r="10378" spans="1:2" x14ac:dyDescent="0.25">
      <c r="A10378">
        <v>19892</v>
      </c>
      <c r="B10378">
        <v>0</v>
      </c>
    </row>
    <row r="10379" spans="1:2" x14ac:dyDescent="0.25">
      <c r="A10379">
        <v>19893</v>
      </c>
      <c r="B10379">
        <v>0</v>
      </c>
    </row>
    <row r="10380" spans="1:2" x14ac:dyDescent="0.25">
      <c r="A10380">
        <v>19895</v>
      </c>
      <c r="B10380">
        <v>0</v>
      </c>
    </row>
    <row r="10381" spans="1:2" x14ac:dyDescent="0.25">
      <c r="A10381">
        <v>19938</v>
      </c>
      <c r="B10381">
        <v>0</v>
      </c>
    </row>
    <row r="10382" spans="1:2" x14ac:dyDescent="0.25">
      <c r="A10382">
        <v>19939</v>
      </c>
      <c r="B10382">
        <v>0</v>
      </c>
    </row>
    <row r="10383" spans="1:2" x14ac:dyDescent="0.25">
      <c r="A10383">
        <v>19940</v>
      </c>
      <c r="B10383">
        <v>0</v>
      </c>
    </row>
    <row r="10384" spans="1:2" x14ac:dyDescent="0.25">
      <c r="A10384">
        <v>19941</v>
      </c>
      <c r="B10384">
        <v>0</v>
      </c>
    </row>
    <row r="10385" spans="1:2" x14ac:dyDescent="0.25">
      <c r="A10385">
        <v>19942</v>
      </c>
      <c r="B10385">
        <v>0</v>
      </c>
    </row>
    <row r="10386" spans="1:2" x14ac:dyDescent="0.25">
      <c r="A10386">
        <v>19943</v>
      </c>
      <c r="B10386">
        <v>0</v>
      </c>
    </row>
    <row r="10387" spans="1:2" x14ac:dyDescent="0.25">
      <c r="A10387">
        <v>19944</v>
      </c>
      <c r="B10387">
        <v>0</v>
      </c>
    </row>
    <row r="10388" spans="1:2" x14ac:dyDescent="0.25">
      <c r="A10388">
        <v>19945</v>
      </c>
      <c r="B10388">
        <v>0</v>
      </c>
    </row>
    <row r="10389" spans="1:2" x14ac:dyDescent="0.25">
      <c r="A10389">
        <v>19946</v>
      </c>
      <c r="B10389">
        <v>0</v>
      </c>
    </row>
    <row r="10390" spans="1:2" x14ac:dyDescent="0.25">
      <c r="A10390">
        <v>19947</v>
      </c>
      <c r="B10390">
        <v>0</v>
      </c>
    </row>
    <row r="10391" spans="1:2" x14ac:dyDescent="0.25">
      <c r="A10391">
        <v>19948</v>
      </c>
      <c r="B10391">
        <v>0</v>
      </c>
    </row>
    <row r="10392" spans="1:2" x14ac:dyDescent="0.25">
      <c r="A10392">
        <v>19949</v>
      </c>
      <c r="B10392">
        <v>0</v>
      </c>
    </row>
    <row r="10393" spans="1:2" x14ac:dyDescent="0.25">
      <c r="A10393">
        <v>19950</v>
      </c>
      <c r="B10393">
        <v>0</v>
      </c>
    </row>
    <row r="10394" spans="1:2" x14ac:dyDescent="0.25">
      <c r="A10394">
        <v>19951</v>
      </c>
      <c r="B10394">
        <v>0</v>
      </c>
    </row>
    <row r="10395" spans="1:2" x14ac:dyDescent="0.25">
      <c r="A10395">
        <v>19953</v>
      </c>
      <c r="B10395">
        <v>0</v>
      </c>
    </row>
    <row r="10396" spans="1:2" x14ac:dyDescent="0.25">
      <c r="A10396">
        <v>19955</v>
      </c>
      <c r="B10396">
        <v>0</v>
      </c>
    </row>
    <row r="10397" spans="1:2" x14ac:dyDescent="0.25">
      <c r="A10397">
        <v>19957</v>
      </c>
      <c r="B10397">
        <v>0</v>
      </c>
    </row>
    <row r="10398" spans="1:2" x14ac:dyDescent="0.25">
      <c r="A10398">
        <v>19959</v>
      </c>
      <c r="B10398">
        <v>0</v>
      </c>
    </row>
    <row r="10399" spans="1:2" x14ac:dyDescent="0.25">
      <c r="A10399">
        <v>19962</v>
      </c>
      <c r="B10399">
        <v>0</v>
      </c>
    </row>
    <row r="10400" spans="1:2" x14ac:dyDescent="0.25">
      <c r="A10400">
        <v>19963</v>
      </c>
      <c r="B10400">
        <v>0</v>
      </c>
    </row>
    <row r="10401" spans="1:2" x14ac:dyDescent="0.25">
      <c r="A10401">
        <v>19964</v>
      </c>
      <c r="B10401">
        <v>0</v>
      </c>
    </row>
    <row r="10402" spans="1:2" x14ac:dyDescent="0.25">
      <c r="A10402">
        <v>19965</v>
      </c>
      <c r="B10402">
        <v>0</v>
      </c>
    </row>
    <row r="10403" spans="1:2" x14ac:dyDescent="0.25">
      <c r="A10403">
        <v>19997</v>
      </c>
      <c r="B10403">
        <v>0</v>
      </c>
    </row>
    <row r="10404" spans="1:2" x14ac:dyDescent="0.25">
      <c r="A10404">
        <v>19999</v>
      </c>
      <c r="B10404">
        <v>0</v>
      </c>
    </row>
    <row r="10405" spans="1:2" x14ac:dyDescent="0.25">
      <c r="A10405">
        <v>20001</v>
      </c>
      <c r="B10405">
        <v>0</v>
      </c>
    </row>
    <row r="10406" spans="1:2" x14ac:dyDescent="0.25">
      <c r="A10406">
        <v>20002</v>
      </c>
      <c r="B10406">
        <v>0</v>
      </c>
    </row>
    <row r="10407" spans="1:2" x14ac:dyDescent="0.25">
      <c r="A10407">
        <v>20003</v>
      </c>
      <c r="B10407">
        <v>0</v>
      </c>
    </row>
    <row r="10408" spans="1:2" x14ac:dyDescent="0.25">
      <c r="A10408">
        <v>20004</v>
      </c>
      <c r="B10408">
        <v>0</v>
      </c>
    </row>
    <row r="10409" spans="1:2" x14ac:dyDescent="0.25">
      <c r="A10409">
        <v>20005</v>
      </c>
      <c r="B10409">
        <v>0</v>
      </c>
    </row>
    <row r="10410" spans="1:2" x14ac:dyDescent="0.25">
      <c r="A10410">
        <v>20006</v>
      </c>
      <c r="B10410">
        <v>0</v>
      </c>
    </row>
    <row r="10411" spans="1:2" x14ac:dyDescent="0.25">
      <c r="A10411">
        <v>20007</v>
      </c>
      <c r="B10411">
        <v>0</v>
      </c>
    </row>
    <row r="10412" spans="1:2" x14ac:dyDescent="0.25">
      <c r="A10412">
        <v>20009</v>
      </c>
      <c r="B10412">
        <v>0</v>
      </c>
    </row>
    <row r="10413" spans="1:2" x14ac:dyDescent="0.25">
      <c r="A10413">
        <v>20011</v>
      </c>
      <c r="B10413">
        <v>0</v>
      </c>
    </row>
    <row r="10414" spans="1:2" x14ac:dyDescent="0.25">
      <c r="A10414">
        <v>20012</v>
      </c>
      <c r="B10414">
        <v>0</v>
      </c>
    </row>
    <row r="10415" spans="1:2" x14ac:dyDescent="0.25">
      <c r="A10415">
        <v>20013</v>
      </c>
      <c r="B10415">
        <v>0</v>
      </c>
    </row>
    <row r="10416" spans="1:2" x14ac:dyDescent="0.25">
      <c r="A10416">
        <v>20014</v>
      </c>
      <c r="B10416">
        <v>0</v>
      </c>
    </row>
    <row r="10417" spans="1:2" x14ac:dyDescent="0.25">
      <c r="A10417">
        <v>20015</v>
      </c>
      <c r="B10417">
        <v>0</v>
      </c>
    </row>
    <row r="10418" spans="1:2" x14ac:dyDescent="0.25">
      <c r="A10418">
        <v>20016</v>
      </c>
      <c r="B10418">
        <v>0</v>
      </c>
    </row>
    <row r="10419" spans="1:2" x14ac:dyDescent="0.25">
      <c r="A10419">
        <v>20017</v>
      </c>
      <c r="B10419">
        <v>0</v>
      </c>
    </row>
    <row r="10420" spans="1:2" x14ac:dyDescent="0.25">
      <c r="A10420">
        <v>20018</v>
      </c>
      <c r="B10420">
        <v>0</v>
      </c>
    </row>
    <row r="10421" spans="1:2" x14ac:dyDescent="0.25">
      <c r="A10421">
        <v>20019</v>
      </c>
      <c r="B10421">
        <v>0</v>
      </c>
    </row>
    <row r="10422" spans="1:2" x14ac:dyDescent="0.25">
      <c r="A10422">
        <v>20020</v>
      </c>
      <c r="B10422">
        <v>0</v>
      </c>
    </row>
    <row r="10423" spans="1:2" x14ac:dyDescent="0.25">
      <c r="A10423">
        <v>20021</v>
      </c>
      <c r="B10423">
        <v>0</v>
      </c>
    </row>
    <row r="10424" spans="1:2" x14ac:dyDescent="0.25">
      <c r="A10424">
        <v>20022</v>
      </c>
      <c r="B10424">
        <v>0</v>
      </c>
    </row>
    <row r="10425" spans="1:2" x14ac:dyDescent="0.25">
      <c r="A10425">
        <v>20023</v>
      </c>
      <c r="B10425">
        <v>0</v>
      </c>
    </row>
    <row r="10426" spans="1:2" x14ac:dyDescent="0.25">
      <c r="A10426">
        <v>20024</v>
      </c>
      <c r="B10426">
        <v>0</v>
      </c>
    </row>
    <row r="10427" spans="1:2" x14ac:dyDescent="0.25">
      <c r="A10427">
        <v>20025</v>
      </c>
      <c r="B10427">
        <v>0</v>
      </c>
    </row>
    <row r="10428" spans="1:2" x14ac:dyDescent="0.25">
      <c r="A10428">
        <v>20026</v>
      </c>
      <c r="B10428">
        <v>0</v>
      </c>
    </row>
    <row r="10429" spans="1:2" x14ac:dyDescent="0.25">
      <c r="A10429">
        <v>20027</v>
      </c>
      <c r="B10429">
        <v>0</v>
      </c>
    </row>
    <row r="10430" spans="1:2" x14ac:dyDescent="0.25">
      <c r="A10430">
        <v>20030</v>
      </c>
      <c r="B10430">
        <v>0</v>
      </c>
    </row>
    <row r="10431" spans="1:2" x14ac:dyDescent="0.25">
      <c r="A10431">
        <v>20031</v>
      </c>
      <c r="B10431">
        <v>0</v>
      </c>
    </row>
    <row r="10432" spans="1:2" x14ac:dyDescent="0.25">
      <c r="A10432">
        <v>20033</v>
      </c>
      <c r="B10432">
        <v>0</v>
      </c>
    </row>
    <row r="10433" spans="1:2" x14ac:dyDescent="0.25">
      <c r="A10433">
        <v>20034</v>
      </c>
      <c r="B10433">
        <v>0</v>
      </c>
    </row>
    <row r="10434" spans="1:2" x14ac:dyDescent="0.25">
      <c r="A10434">
        <v>20035</v>
      </c>
      <c r="B10434">
        <v>0</v>
      </c>
    </row>
    <row r="10435" spans="1:2" x14ac:dyDescent="0.25">
      <c r="A10435">
        <v>20036</v>
      </c>
      <c r="B10435">
        <v>0</v>
      </c>
    </row>
    <row r="10436" spans="1:2" x14ac:dyDescent="0.25">
      <c r="A10436">
        <v>20037</v>
      </c>
      <c r="B10436">
        <v>0</v>
      </c>
    </row>
    <row r="10437" spans="1:2" x14ac:dyDescent="0.25">
      <c r="A10437">
        <v>20038</v>
      </c>
      <c r="B10437">
        <v>0</v>
      </c>
    </row>
    <row r="10438" spans="1:2" x14ac:dyDescent="0.25">
      <c r="A10438">
        <v>20040</v>
      </c>
      <c r="B10438">
        <v>0</v>
      </c>
    </row>
    <row r="10439" spans="1:2" x14ac:dyDescent="0.25">
      <c r="A10439">
        <v>20059</v>
      </c>
      <c r="B10439">
        <v>0</v>
      </c>
    </row>
    <row r="10440" spans="1:2" x14ac:dyDescent="0.25">
      <c r="A10440">
        <v>20061</v>
      </c>
      <c r="B10440">
        <v>0</v>
      </c>
    </row>
    <row r="10441" spans="1:2" x14ac:dyDescent="0.25">
      <c r="A10441">
        <v>20063</v>
      </c>
      <c r="B10441">
        <v>0</v>
      </c>
    </row>
    <row r="10442" spans="1:2" x14ac:dyDescent="0.25">
      <c r="A10442">
        <v>20065</v>
      </c>
      <c r="B10442">
        <v>0</v>
      </c>
    </row>
    <row r="10443" spans="1:2" x14ac:dyDescent="0.25">
      <c r="A10443">
        <v>20066</v>
      </c>
      <c r="B10443">
        <v>0</v>
      </c>
    </row>
    <row r="10444" spans="1:2" x14ac:dyDescent="0.25">
      <c r="A10444">
        <v>20067</v>
      </c>
      <c r="B10444">
        <v>0</v>
      </c>
    </row>
    <row r="10445" spans="1:2" x14ac:dyDescent="0.25">
      <c r="A10445">
        <v>20069</v>
      </c>
      <c r="B10445">
        <v>0</v>
      </c>
    </row>
    <row r="10446" spans="1:2" x14ac:dyDescent="0.25">
      <c r="A10446">
        <v>20072</v>
      </c>
      <c r="B10446">
        <v>0</v>
      </c>
    </row>
    <row r="10447" spans="1:2" x14ac:dyDescent="0.25">
      <c r="A10447">
        <v>20090</v>
      </c>
      <c r="B10447">
        <v>0</v>
      </c>
    </row>
    <row r="10448" spans="1:2" x14ac:dyDescent="0.25">
      <c r="A10448">
        <v>20101</v>
      </c>
      <c r="B10448">
        <v>0</v>
      </c>
    </row>
    <row r="10449" spans="1:2" x14ac:dyDescent="0.25">
      <c r="A10449">
        <v>20102</v>
      </c>
      <c r="B10449">
        <v>0</v>
      </c>
    </row>
    <row r="10450" spans="1:2" x14ac:dyDescent="0.25">
      <c r="A10450">
        <v>20103</v>
      </c>
      <c r="B10450">
        <v>0</v>
      </c>
    </row>
    <row r="10451" spans="1:2" x14ac:dyDescent="0.25">
      <c r="A10451">
        <v>20104</v>
      </c>
      <c r="B10451">
        <v>0</v>
      </c>
    </row>
    <row r="10452" spans="1:2" x14ac:dyDescent="0.25">
      <c r="A10452">
        <v>20105</v>
      </c>
      <c r="B10452">
        <v>0</v>
      </c>
    </row>
    <row r="10453" spans="1:2" x14ac:dyDescent="0.25">
      <c r="A10453">
        <v>20111</v>
      </c>
      <c r="B10453">
        <v>0</v>
      </c>
    </row>
    <row r="10454" spans="1:2" x14ac:dyDescent="0.25">
      <c r="A10454">
        <v>20112</v>
      </c>
      <c r="B10454">
        <v>0</v>
      </c>
    </row>
    <row r="10455" spans="1:2" x14ac:dyDescent="0.25">
      <c r="A10455">
        <v>20113</v>
      </c>
      <c r="B10455">
        <v>0</v>
      </c>
    </row>
    <row r="10456" spans="1:2" x14ac:dyDescent="0.25">
      <c r="A10456">
        <v>20114</v>
      </c>
      <c r="B10456">
        <v>0</v>
      </c>
    </row>
    <row r="10457" spans="1:2" x14ac:dyDescent="0.25">
      <c r="A10457">
        <v>20117</v>
      </c>
      <c r="B10457">
        <v>0</v>
      </c>
    </row>
    <row r="10458" spans="1:2" x14ac:dyDescent="0.25">
      <c r="A10458">
        <v>20120</v>
      </c>
      <c r="B10458">
        <v>0</v>
      </c>
    </row>
    <row r="10459" spans="1:2" x14ac:dyDescent="0.25">
      <c r="A10459">
        <v>20121</v>
      </c>
      <c r="B10459">
        <v>0</v>
      </c>
    </row>
    <row r="10460" spans="1:2" x14ac:dyDescent="0.25">
      <c r="A10460">
        <v>20124</v>
      </c>
      <c r="B10460">
        <v>0</v>
      </c>
    </row>
    <row r="10461" spans="1:2" x14ac:dyDescent="0.25">
      <c r="A10461">
        <v>20126</v>
      </c>
      <c r="B10461">
        <v>0</v>
      </c>
    </row>
    <row r="10462" spans="1:2" x14ac:dyDescent="0.25">
      <c r="A10462">
        <v>20128</v>
      </c>
      <c r="B10462">
        <v>0</v>
      </c>
    </row>
    <row r="10463" spans="1:2" x14ac:dyDescent="0.25">
      <c r="A10463">
        <v>20130</v>
      </c>
      <c r="B10463">
        <v>0</v>
      </c>
    </row>
    <row r="10464" spans="1:2" x14ac:dyDescent="0.25">
      <c r="A10464">
        <v>20131</v>
      </c>
      <c r="B10464">
        <v>0</v>
      </c>
    </row>
    <row r="10465" spans="1:2" x14ac:dyDescent="0.25">
      <c r="A10465">
        <v>20140</v>
      </c>
      <c r="B10465">
        <v>0</v>
      </c>
    </row>
    <row r="10466" spans="1:2" x14ac:dyDescent="0.25">
      <c r="A10466">
        <v>20141</v>
      </c>
      <c r="B10466">
        <v>0</v>
      </c>
    </row>
    <row r="10467" spans="1:2" x14ac:dyDescent="0.25">
      <c r="A10467">
        <v>20142</v>
      </c>
      <c r="B10467">
        <v>0</v>
      </c>
    </row>
    <row r="10468" spans="1:2" x14ac:dyDescent="0.25">
      <c r="A10468">
        <v>20143</v>
      </c>
      <c r="B10468">
        <v>0</v>
      </c>
    </row>
    <row r="10469" spans="1:2" x14ac:dyDescent="0.25">
      <c r="A10469">
        <v>20146</v>
      </c>
      <c r="B10469">
        <v>0</v>
      </c>
    </row>
    <row r="10470" spans="1:2" x14ac:dyDescent="0.25">
      <c r="A10470">
        <v>20148</v>
      </c>
      <c r="B10470">
        <v>0</v>
      </c>
    </row>
    <row r="10471" spans="1:2" x14ac:dyDescent="0.25">
      <c r="A10471">
        <v>20150</v>
      </c>
      <c r="B10471">
        <v>0</v>
      </c>
    </row>
    <row r="10472" spans="1:2" x14ac:dyDescent="0.25">
      <c r="A10472">
        <v>20152</v>
      </c>
      <c r="B10472">
        <v>0</v>
      </c>
    </row>
    <row r="10473" spans="1:2" x14ac:dyDescent="0.25">
      <c r="A10473">
        <v>20155</v>
      </c>
      <c r="B10473">
        <v>0</v>
      </c>
    </row>
    <row r="10474" spans="1:2" x14ac:dyDescent="0.25">
      <c r="A10474">
        <v>20161</v>
      </c>
      <c r="B10474">
        <v>0</v>
      </c>
    </row>
    <row r="10475" spans="1:2" x14ac:dyDescent="0.25">
      <c r="A10475">
        <v>20162</v>
      </c>
      <c r="B10475">
        <v>0</v>
      </c>
    </row>
    <row r="10476" spans="1:2" x14ac:dyDescent="0.25">
      <c r="A10476">
        <v>20164</v>
      </c>
      <c r="B10476">
        <v>0</v>
      </c>
    </row>
    <row r="10477" spans="1:2" x14ac:dyDescent="0.25">
      <c r="A10477">
        <v>20166</v>
      </c>
      <c r="B10477">
        <v>0</v>
      </c>
    </row>
    <row r="10478" spans="1:2" x14ac:dyDescent="0.25">
      <c r="A10478">
        <v>20168</v>
      </c>
      <c r="B10478">
        <v>0</v>
      </c>
    </row>
    <row r="10479" spans="1:2" x14ac:dyDescent="0.25">
      <c r="A10479">
        <v>20172</v>
      </c>
      <c r="B10479">
        <v>0</v>
      </c>
    </row>
    <row r="10480" spans="1:2" x14ac:dyDescent="0.25">
      <c r="A10480">
        <v>20174</v>
      </c>
      <c r="B10480">
        <v>0</v>
      </c>
    </row>
    <row r="10481" spans="1:2" x14ac:dyDescent="0.25">
      <c r="A10481">
        <v>20176</v>
      </c>
      <c r="B10481">
        <v>0</v>
      </c>
    </row>
    <row r="10482" spans="1:2" x14ac:dyDescent="0.25">
      <c r="A10482">
        <v>20178</v>
      </c>
      <c r="B10482">
        <v>0</v>
      </c>
    </row>
    <row r="10483" spans="1:2" x14ac:dyDescent="0.25">
      <c r="A10483">
        <v>20180</v>
      </c>
      <c r="B10483">
        <v>0</v>
      </c>
    </row>
    <row r="10484" spans="1:2" x14ac:dyDescent="0.25">
      <c r="A10484">
        <v>20186</v>
      </c>
      <c r="B10484">
        <v>0</v>
      </c>
    </row>
    <row r="10485" spans="1:2" x14ac:dyDescent="0.25">
      <c r="A10485">
        <v>20187</v>
      </c>
      <c r="B10485">
        <v>0</v>
      </c>
    </row>
    <row r="10486" spans="1:2" x14ac:dyDescent="0.25">
      <c r="A10486">
        <v>20188</v>
      </c>
      <c r="B10486">
        <v>0</v>
      </c>
    </row>
    <row r="10487" spans="1:2" x14ac:dyDescent="0.25">
      <c r="A10487">
        <v>20189</v>
      </c>
      <c r="B10487">
        <v>0</v>
      </c>
    </row>
    <row r="10488" spans="1:2" x14ac:dyDescent="0.25">
      <c r="A10488">
        <v>20190</v>
      </c>
      <c r="B10488">
        <v>0</v>
      </c>
    </row>
    <row r="10489" spans="1:2" x14ac:dyDescent="0.25">
      <c r="A10489">
        <v>20191</v>
      </c>
      <c r="B10489">
        <v>0</v>
      </c>
    </row>
    <row r="10490" spans="1:2" x14ac:dyDescent="0.25">
      <c r="A10490">
        <v>20192</v>
      </c>
      <c r="B10490">
        <v>0</v>
      </c>
    </row>
    <row r="10491" spans="1:2" x14ac:dyDescent="0.25">
      <c r="A10491">
        <v>20193</v>
      </c>
      <c r="B10491">
        <v>0</v>
      </c>
    </row>
    <row r="10492" spans="1:2" x14ac:dyDescent="0.25">
      <c r="A10492">
        <v>20194</v>
      </c>
      <c r="B10492">
        <v>0</v>
      </c>
    </row>
    <row r="10493" spans="1:2" x14ac:dyDescent="0.25">
      <c r="A10493">
        <v>20195</v>
      </c>
      <c r="B10493">
        <v>0</v>
      </c>
    </row>
    <row r="10494" spans="1:2" x14ac:dyDescent="0.25">
      <c r="A10494">
        <v>20196</v>
      </c>
      <c r="B10494">
        <v>0</v>
      </c>
    </row>
    <row r="10495" spans="1:2" x14ac:dyDescent="0.25">
      <c r="A10495">
        <v>20198</v>
      </c>
      <c r="B10495">
        <v>0</v>
      </c>
    </row>
    <row r="10496" spans="1:2" x14ac:dyDescent="0.25">
      <c r="A10496">
        <v>20200</v>
      </c>
      <c r="B10496">
        <v>0</v>
      </c>
    </row>
    <row r="10497" spans="1:2" x14ac:dyDescent="0.25">
      <c r="A10497">
        <v>20202</v>
      </c>
      <c r="B10497">
        <v>0</v>
      </c>
    </row>
    <row r="10498" spans="1:2" x14ac:dyDescent="0.25">
      <c r="A10498">
        <v>20214</v>
      </c>
      <c r="B10498">
        <v>0</v>
      </c>
    </row>
    <row r="10499" spans="1:2" x14ac:dyDescent="0.25">
      <c r="A10499">
        <v>20217</v>
      </c>
      <c r="B10499">
        <v>0</v>
      </c>
    </row>
    <row r="10500" spans="1:2" x14ac:dyDescent="0.25">
      <c r="A10500">
        <v>20219</v>
      </c>
      <c r="B10500">
        <v>0</v>
      </c>
    </row>
    <row r="10501" spans="1:2" x14ac:dyDescent="0.25">
      <c r="A10501">
        <v>20222</v>
      </c>
      <c r="B10501">
        <v>0</v>
      </c>
    </row>
    <row r="10502" spans="1:2" x14ac:dyDescent="0.25">
      <c r="A10502">
        <v>20225</v>
      </c>
      <c r="B10502">
        <v>0</v>
      </c>
    </row>
    <row r="10503" spans="1:2" x14ac:dyDescent="0.25">
      <c r="A10503">
        <v>20228</v>
      </c>
      <c r="B10503">
        <v>0</v>
      </c>
    </row>
    <row r="10504" spans="1:2" x14ac:dyDescent="0.25">
      <c r="A10504">
        <v>20230</v>
      </c>
      <c r="B10504">
        <v>0</v>
      </c>
    </row>
    <row r="10505" spans="1:2" x14ac:dyDescent="0.25">
      <c r="A10505">
        <v>20232</v>
      </c>
      <c r="B10505">
        <v>0</v>
      </c>
    </row>
    <row r="10506" spans="1:2" x14ac:dyDescent="0.25">
      <c r="A10506">
        <v>20233</v>
      </c>
      <c r="B10506">
        <v>0</v>
      </c>
    </row>
    <row r="10507" spans="1:2" x14ac:dyDescent="0.25">
      <c r="A10507">
        <v>20238</v>
      </c>
      <c r="B10507">
        <v>0</v>
      </c>
    </row>
    <row r="10508" spans="1:2" x14ac:dyDescent="0.25">
      <c r="A10508">
        <v>20240</v>
      </c>
      <c r="B10508">
        <v>0</v>
      </c>
    </row>
    <row r="10509" spans="1:2" x14ac:dyDescent="0.25">
      <c r="A10509">
        <v>20242</v>
      </c>
      <c r="B10509">
        <v>0</v>
      </c>
    </row>
    <row r="10510" spans="1:2" x14ac:dyDescent="0.25">
      <c r="A10510">
        <v>20244</v>
      </c>
      <c r="B10510">
        <v>0</v>
      </c>
    </row>
    <row r="10511" spans="1:2" x14ac:dyDescent="0.25">
      <c r="A10511">
        <v>20248</v>
      </c>
      <c r="B10511">
        <v>0</v>
      </c>
    </row>
    <row r="10512" spans="1:2" x14ac:dyDescent="0.25">
      <c r="A10512">
        <v>20252</v>
      </c>
      <c r="B10512">
        <v>0</v>
      </c>
    </row>
    <row r="10513" spans="1:2" x14ac:dyDescent="0.25">
      <c r="A10513">
        <v>20254</v>
      </c>
      <c r="B10513">
        <v>0</v>
      </c>
    </row>
    <row r="10514" spans="1:2" x14ac:dyDescent="0.25">
      <c r="A10514">
        <v>20256</v>
      </c>
      <c r="B10514">
        <v>0</v>
      </c>
    </row>
    <row r="10515" spans="1:2" x14ac:dyDescent="0.25">
      <c r="A10515">
        <v>20259</v>
      </c>
      <c r="B10515">
        <v>0</v>
      </c>
    </row>
    <row r="10516" spans="1:2" x14ac:dyDescent="0.25">
      <c r="A10516">
        <v>20261</v>
      </c>
      <c r="B10516">
        <v>0</v>
      </c>
    </row>
    <row r="10517" spans="1:2" x14ac:dyDescent="0.25">
      <c r="A10517">
        <v>20276</v>
      </c>
      <c r="B10517">
        <v>0</v>
      </c>
    </row>
    <row r="10518" spans="1:2" x14ac:dyDescent="0.25">
      <c r="A10518">
        <v>20278</v>
      </c>
      <c r="B10518">
        <v>0</v>
      </c>
    </row>
    <row r="10519" spans="1:2" x14ac:dyDescent="0.25">
      <c r="A10519">
        <v>20279</v>
      </c>
      <c r="B10519">
        <v>0</v>
      </c>
    </row>
    <row r="10520" spans="1:2" x14ac:dyDescent="0.25">
      <c r="A10520">
        <v>20281</v>
      </c>
      <c r="B10520">
        <v>0</v>
      </c>
    </row>
    <row r="10521" spans="1:2" x14ac:dyDescent="0.25">
      <c r="A10521">
        <v>20282</v>
      </c>
      <c r="B10521">
        <v>0</v>
      </c>
    </row>
    <row r="10522" spans="1:2" x14ac:dyDescent="0.25">
      <c r="A10522">
        <v>20284</v>
      </c>
      <c r="B10522">
        <v>0</v>
      </c>
    </row>
    <row r="10523" spans="1:2" x14ac:dyDescent="0.25">
      <c r="A10523">
        <v>20286</v>
      </c>
      <c r="B10523">
        <v>0</v>
      </c>
    </row>
    <row r="10524" spans="1:2" x14ac:dyDescent="0.25">
      <c r="A10524">
        <v>20288</v>
      </c>
      <c r="B10524">
        <v>0</v>
      </c>
    </row>
    <row r="10525" spans="1:2" x14ac:dyDescent="0.25">
      <c r="A10525">
        <v>20289</v>
      </c>
      <c r="B10525">
        <v>0</v>
      </c>
    </row>
    <row r="10526" spans="1:2" x14ac:dyDescent="0.25">
      <c r="A10526">
        <v>20291</v>
      </c>
      <c r="B10526">
        <v>0</v>
      </c>
    </row>
    <row r="10527" spans="1:2" x14ac:dyDescent="0.25">
      <c r="A10527">
        <v>20293</v>
      </c>
      <c r="B10527">
        <v>0</v>
      </c>
    </row>
    <row r="10528" spans="1:2" x14ac:dyDescent="0.25">
      <c r="A10528">
        <v>20295</v>
      </c>
      <c r="B10528">
        <v>0</v>
      </c>
    </row>
    <row r="10529" spans="1:2" x14ac:dyDescent="0.25">
      <c r="A10529">
        <v>20298</v>
      </c>
      <c r="B10529">
        <v>0</v>
      </c>
    </row>
    <row r="10530" spans="1:2" x14ac:dyDescent="0.25">
      <c r="A10530">
        <v>20300</v>
      </c>
      <c r="B10530">
        <v>0</v>
      </c>
    </row>
    <row r="10531" spans="1:2" x14ac:dyDescent="0.25">
      <c r="A10531">
        <v>20301</v>
      </c>
      <c r="B10531">
        <v>0</v>
      </c>
    </row>
    <row r="10532" spans="1:2" x14ac:dyDescent="0.25">
      <c r="A10532">
        <v>20302</v>
      </c>
      <c r="B10532">
        <v>0</v>
      </c>
    </row>
    <row r="10533" spans="1:2" x14ac:dyDescent="0.25">
      <c r="A10533">
        <v>20309</v>
      </c>
      <c r="B10533">
        <v>0</v>
      </c>
    </row>
    <row r="10534" spans="1:2" x14ac:dyDescent="0.25">
      <c r="A10534">
        <v>20314</v>
      </c>
      <c r="B10534">
        <v>0</v>
      </c>
    </row>
    <row r="10535" spans="1:2" x14ac:dyDescent="0.25">
      <c r="A10535">
        <v>20315</v>
      </c>
      <c r="B10535">
        <v>0</v>
      </c>
    </row>
    <row r="10536" spans="1:2" x14ac:dyDescent="0.25">
      <c r="A10536">
        <v>20316</v>
      </c>
      <c r="B10536">
        <v>0</v>
      </c>
    </row>
    <row r="10537" spans="1:2" x14ac:dyDescent="0.25">
      <c r="A10537">
        <v>20317</v>
      </c>
      <c r="B10537">
        <v>0</v>
      </c>
    </row>
    <row r="10538" spans="1:2" x14ac:dyDescent="0.25">
      <c r="A10538">
        <v>20318</v>
      </c>
      <c r="B10538">
        <v>0</v>
      </c>
    </row>
    <row r="10539" spans="1:2" x14ac:dyDescent="0.25">
      <c r="A10539">
        <v>20328</v>
      </c>
      <c r="B10539">
        <v>0</v>
      </c>
    </row>
    <row r="10540" spans="1:2" x14ac:dyDescent="0.25">
      <c r="A10540">
        <v>20329</v>
      </c>
      <c r="B10540">
        <v>0</v>
      </c>
    </row>
    <row r="10541" spans="1:2" x14ac:dyDescent="0.25">
      <c r="A10541">
        <v>20330</v>
      </c>
      <c r="B10541">
        <v>0</v>
      </c>
    </row>
    <row r="10542" spans="1:2" x14ac:dyDescent="0.25">
      <c r="A10542">
        <v>20332</v>
      </c>
      <c r="B10542">
        <v>0</v>
      </c>
    </row>
    <row r="10543" spans="1:2" x14ac:dyDescent="0.25">
      <c r="A10543">
        <v>20334</v>
      </c>
      <c r="B10543">
        <v>0</v>
      </c>
    </row>
    <row r="10544" spans="1:2" x14ac:dyDescent="0.25">
      <c r="A10544">
        <v>20335</v>
      </c>
      <c r="B10544">
        <v>0</v>
      </c>
    </row>
    <row r="10545" spans="1:2" x14ac:dyDescent="0.25">
      <c r="A10545">
        <v>20336</v>
      </c>
      <c r="B10545">
        <v>0</v>
      </c>
    </row>
    <row r="10546" spans="1:2" x14ac:dyDescent="0.25">
      <c r="A10546">
        <v>20337</v>
      </c>
      <c r="B10546">
        <v>0</v>
      </c>
    </row>
    <row r="10547" spans="1:2" x14ac:dyDescent="0.25">
      <c r="A10547">
        <v>20338</v>
      </c>
      <c r="B10547">
        <v>0</v>
      </c>
    </row>
    <row r="10548" spans="1:2" x14ac:dyDescent="0.25">
      <c r="A10548">
        <v>20339</v>
      </c>
      <c r="B10548">
        <v>0</v>
      </c>
    </row>
    <row r="10549" spans="1:2" x14ac:dyDescent="0.25">
      <c r="A10549">
        <v>20340</v>
      </c>
      <c r="B10549">
        <v>0</v>
      </c>
    </row>
    <row r="10550" spans="1:2" x14ac:dyDescent="0.25">
      <c r="A10550">
        <v>20341</v>
      </c>
      <c r="B10550">
        <v>0</v>
      </c>
    </row>
    <row r="10551" spans="1:2" x14ac:dyDescent="0.25">
      <c r="A10551">
        <v>20343</v>
      </c>
      <c r="B10551">
        <v>0</v>
      </c>
    </row>
    <row r="10552" spans="1:2" x14ac:dyDescent="0.25">
      <c r="A10552">
        <v>20345</v>
      </c>
      <c r="B10552">
        <v>0</v>
      </c>
    </row>
    <row r="10553" spans="1:2" x14ac:dyDescent="0.25">
      <c r="A10553">
        <v>20349</v>
      </c>
      <c r="B10553">
        <v>0</v>
      </c>
    </row>
    <row r="10554" spans="1:2" x14ac:dyDescent="0.25">
      <c r="A10554">
        <v>20352</v>
      </c>
      <c r="B10554">
        <v>0</v>
      </c>
    </row>
    <row r="10555" spans="1:2" x14ac:dyDescent="0.25">
      <c r="A10555">
        <v>20354</v>
      </c>
      <c r="B10555">
        <v>0</v>
      </c>
    </row>
    <row r="10556" spans="1:2" x14ac:dyDescent="0.25">
      <c r="A10556">
        <v>20355</v>
      </c>
      <c r="B10556">
        <v>0</v>
      </c>
    </row>
    <row r="10557" spans="1:2" x14ac:dyDescent="0.25">
      <c r="A10557">
        <v>20360</v>
      </c>
      <c r="B10557">
        <v>0</v>
      </c>
    </row>
    <row r="10558" spans="1:2" x14ac:dyDescent="0.25">
      <c r="A10558">
        <v>20366</v>
      </c>
      <c r="B10558">
        <v>0</v>
      </c>
    </row>
    <row r="10559" spans="1:2" x14ac:dyDescent="0.25">
      <c r="A10559">
        <v>20367</v>
      </c>
      <c r="B10559">
        <v>0</v>
      </c>
    </row>
    <row r="10560" spans="1:2" x14ac:dyDescent="0.25">
      <c r="A10560">
        <v>20386</v>
      </c>
      <c r="B10560">
        <v>0</v>
      </c>
    </row>
    <row r="10561" spans="1:2" x14ac:dyDescent="0.25">
      <c r="A10561">
        <v>20387</v>
      </c>
      <c r="B10561">
        <v>0</v>
      </c>
    </row>
    <row r="10562" spans="1:2" x14ac:dyDescent="0.25">
      <c r="A10562">
        <v>20388</v>
      </c>
      <c r="B10562">
        <v>0</v>
      </c>
    </row>
    <row r="10563" spans="1:2" x14ac:dyDescent="0.25">
      <c r="A10563">
        <v>20389</v>
      </c>
      <c r="B10563">
        <v>0</v>
      </c>
    </row>
    <row r="10564" spans="1:2" x14ac:dyDescent="0.25">
      <c r="A10564">
        <v>20391</v>
      </c>
      <c r="B10564">
        <v>0</v>
      </c>
    </row>
    <row r="10565" spans="1:2" x14ac:dyDescent="0.25">
      <c r="A10565">
        <v>20393</v>
      </c>
      <c r="B10565">
        <v>0</v>
      </c>
    </row>
    <row r="10566" spans="1:2" x14ac:dyDescent="0.25">
      <c r="A10566">
        <v>20395</v>
      </c>
      <c r="B10566">
        <v>0</v>
      </c>
    </row>
    <row r="10567" spans="1:2" x14ac:dyDescent="0.25">
      <c r="A10567">
        <v>20398</v>
      </c>
      <c r="B10567">
        <v>0</v>
      </c>
    </row>
    <row r="10568" spans="1:2" x14ac:dyDescent="0.25">
      <c r="A10568">
        <v>20401</v>
      </c>
      <c r="B10568">
        <v>0</v>
      </c>
    </row>
    <row r="10569" spans="1:2" x14ac:dyDescent="0.25">
      <c r="A10569">
        <v>20470</v>
      </c>
      <c r="B10569">
        <v>0</v>
      </c>
    </row>
    <row r="10570" spans="1:2" x14ac:dyDescent="0.25">
      <c r="A10570">
        <v>20471</v>
      </c>
      <c r="B10570">
        <v>0</v>
      </c>
    </row>
    <row r="10571" spans="1:2" x14ac:dyDescent="0.25">
      <c r="A10571">
        <v>20472</v>
      </c>
      <c r="B10571">
        <v>0</v>
      </c>
    </row>
    <row r="10572" spans="1:2" x14ac:dyDescent="0.25">
      <c r="A10572">
        <v>20473</v>
      </c>
      <c r="B10572">
        <v>0</v>
      </c>
    </row>
    <row r="10573" spans="1:2" x14ac:dyDescent="0.25">
      <c r="A10573">
        <v>20474</v>
      </c>
      <c r="B10573">
        <v>0</v>
      </c>
    </row>
    <row r="10574" spans="1:2" x14ac:dyDescent="0.25">
      <c r="A10574">
        <v>20476</v>
      </c>
      <c r="B10574">
        <v>0</v>
      </c>
    </row>
    <row r="10575" spans="1:2" x14ac:dyDescent="0.25">
      <c r="A10575">
        <v>20478</v>
      </c>
      <c r="B10575">
        <v>0</v>
      </c>
    </row>
    <row r="10576" spans="1:2" x14ac:dyDescent="0.25">
      <c r="A10576">
        <v>20485</v>
      </c>
      <c r="B10576">
        <v>0</v>
      </c>
    </row>
    <row r="10577" spans="1:2" x14ac:dyDescent="0.25">
      <c r="A10577">
        <v>20486</v>
      </c>
      <c r="B10577">
        <v>0</v>
      </c>
    </row>
    <row r="10578" spans="1:2" x14ac:dyDescent="0.25">
      <c r="A10578">
        <v>20487</v>
      </c>
      <c r="B10578">
        <v>0</v>
      </c>
    </row>
    <row r="10579" spans="1:2" x14ac:dyDescent="0.25">
      <c r="A10579">
        <v>20488</v>
      </c>
      <c r="B10579">
        <v>0</v>
      </c>
    </row>
    <row r="10580" spans="1:2" x14ac:dyDescent="0.25">
      <c r="A10580">
        <v>20489</v>
      </c>
      <c r="B10580">
        <v>0</v>
      </c>
    </row>
    <row r="10581" spans="1:2" x14ac:dyDescent="0.25">
      <c r="A10581">
        <v>20491</v>
      </c>
      <c r="B10581">
        <v>0</v>
      </c>
    </row>
    <row r="10582" spans="1:2" x14ac:dyDescent="0.25">
      <c r="A10582">
        <v>20494</v>
      </c>
      <c r="B10582">
        <v>0</v>
      </c>
    </row>
    <row r="10583" spans="1:2" x14ac:dyDescent="0.25">
      <c r="A10583">
        <v>20495</v>
      </c>
      <c r="B10583">
        <v>0</v>
      </c>
    </row>
    <row r="10584" spans="1:2" x14ac:dyDescent="0.25">
      <c r="A10584">
        <v>20498</v>
      </c>
      <c r="B10584">
        <v>0</v>
      </c>
    </row>
    <row r="10585" spans="1:2" x14ac:dyDescent="0.25">
      <c r="A10585">
        <v>20507</v>
      </c>
      <c r="B10585">
        <v>0</v>
      </c>
    </row>
    <row r="10586" spans="1:2" x14ac:dyDescent="0.25">
      <c r="A10586">
        <v>20508</v>
      </c>
      <c r="B10586">
        <v>0</v>
      </c>
    </row>
    <row r="10587" spans="1:2" x14ac:dyDescent="0.25">
      <c r="A10587">
        <v>20509</v>
      </c>
      <c r="B10587">
        <v>0</v>
      </c>
    </row>
    <row r="10588" spans="1:2" x14ac:dyDescent="0.25">
      <c r="A10588">
        <v>20510</v>
      </c>
      <c r="B10588">
        <v>0</v>
      </c>
    </row>
    <row r="10589" spans="1:2" x14ac:dyDescent="0.25">
      <c r="A10589">
        <v>20511</v>
      </c>
      <c r="B10589">
        <v>0</v>
      </c>
    </row>
    <row r="10590" spans="1:2" x14ac:dyDescent="0.25">
      <c r="A10590">
        <v>20516</v>
      </c>
      <c r="B10590">
        <v>0</v>
      </c>
    </row>
    <row r="10591" spans="1:2" x14ac:dyDescent="0.25">
      <c r="A10591">
        <v>20517</v>
      </c>
      <c r="B10591">
        <v>0</v>
      </c>
    </row>
    <row r="10592" spans="1:2" x14ac:dyDescent="0.25">
      <c r="A10592">
        <v>20518</v>
      </c>
      <c r="B10592">
        <v>0</v>
      </c>
    </row>
    <row r="10593" spans="1:2" x14ac:dyDescent="0.25">
      <c r="A10593">
        <v>20519</v>
      </c>
      <c r="B10593">
        <v>0</v>
      </c>
    </row>
    <row r="10594" spans="1:2" x14ac:dyDescent="0.25">
      <c r="A10594">
        <v>20521</v>
      </c>
      <c r="B10594">
        <v>0</v>
      </c>
    </row>
    <row r="10595" spans="1:2" x14ac:dyDescent="0.25">
      <c r="A10595">
        <v>20524</v>
      </c>
      <c r="B10595">
        <v>0</v>
      </c>
    </row>
    <row r="10596" spans="1:2" x14ac:dyDescent="0.25">
      <c r="A10596">
        <v>20526</v>
      </c>
      <c r="B10596">
        <v>0</v>
      </c>
    </row>
    <row r="10597" spans="1:2" x14ac:dyDescent="0.25">
      <c r="A10597">
        <v>20528</v>
      </c>
      <c r="B10597">
        <v>0</v>
      </c>
    </row>
    <row r="10598" spans="1:2" x14ac:dyDescent="0.25">
      <c r="A10598">
        <v>20529</v>
      </c>
      <c r="B10598">
        <v>0</v>
      </c>
    </row>
    <row r="10599" spans="1:2" x14ac:dyDescent="0.25">
      <c r="A10599">
        <v>20530</v>
      </c>
      <c r="B10599">
        <v>0</v>
      </c>
    </row>
    <row r="10600" spans="1:2" x14ac:dyDescent="0.25">
      <c r="A10600">
        <v>20531</v>
      </c>
      <c r="B10600">
        <v>0</v>
      </c>
    </row>
    <row r="10601" spans="1:2" x14ac:dyDescent="0.25">
      <c r="A10601">
        <v>20532</v>
      </c>
      <c r="B10601">
        <v>0</v>
      </c>
    </row>
    <row r="10602" spans="1:2" x14ac:dyDescent="0.25">
      <c r="A10602">
        <v>20533</v>
      </c>
      <c r="B10602">
        <v>0</v>
      </c>
    </row>
    <row r="10603" spans="1:2" x14ac:dyDescent="0.25">
      <c r="A10603">
        <v>20535</v>
      </c>
      <c r="B10603">
        <v>0</v>
      </c>
    </row>
    <row r="10604" spans="1:2" x14ac:dyDescent="0.25">
      <c r="A10604">
        <v>20537</v>
      </c>
      <c r="B10604">
        <v>0</v>
      </c>
    </row>
    <row r="10605" spans="1:2" x14ac:dyDescent="0.25">
      <c r="A10605">
        <v>20538</v>
      </c>
      <c r="B10605">
        <v>0</v>
      </c>
    </row>
    <row r="10606" spans="1:2" x14ac:dyDescent="0.25">
      <c r="A10606">
        <v>20541</v>
      </c>
      <c r="B10606">
        <v>0</v>
      </c>
    </row>
    <row r="10607" spans="1:2" x14ac:dyDescent="0.25">
      <c r="A10607">
        <v>20544</v>
      </c>
      <c r="B10607">
        <v>0</v>
      </c>
    </row>
    <row r="10608" spans="1:2" x14ac:dyDescent="0.25">
      <c r="A10608">
        <v>20547</v>
      </c>
      <c r="B10608">
        <v>0</v>
      </c>
    </row>
    <row r="10609" spans="1:2" x14ac:dyDescent="0.25">
      <c r="A10609">
        <v>20549</v>
      </c>
      <c r="B10609">
        <v>0</v>
      </c>
    </row>
    <row r="10610" spans="1:2" x14ac:dyDescent="0.25">
      <c r="A10610">
        <v>20551</v>
      </c>
      <c r="B10610">
        <v>0</v>
      </c>
    </row>
    <row r="10611" spans="1:2" x14ac:dyDescent="0.25">
      <c r="A10611">
        <v>20553</v>
      </c>
      <c r="B10611">
        <v>0</v>
      </c>
    </row>
    <row r="10612" spans="1:2" x14ac:dyDescent="0.25">
      <c r="A10612">
        <v>20555</v>
      </c>
      <c r="B10612">
        <v>0</v>
      </c>
    </row>
    <row r="10613" spans="1:2" x14ac:dyDescent="0.25">
      <c r="A10613">
        <v>20556</v>
      </c>
      <c r="B10613">
        <v>0</v>
      </c>
    </row>
    <row r="10614" spans="1:2" x14ac:dyDescent="0.25">
      <c r="A10614">
        <v>20559</v>
      </c>
      <c r="B10614">
        <v>0</v>
      </c>
    </row>
    <row r="10615" spans="1:2" x14ac:dyDescent="0.25">
      <c r="A10615">
        <v>20561</v>
      </c>
      <c r="B10615">
        <v>0</v>
      </c>
    </row>
    <row r="10616" spans="1:2" x14ac:dyDescent="0.25">
      <c r="A10616">
        <v>20563</v>
      </c>
      <c r="B10616">
        <v>0</v>
      </c>
    </row>
    <row r="10617" spans="1:2" x14ac:dyDescent="0.25">
      <c r="A10617">
        <v>20565</v>
      </c>
      <c r="B10617">
        <v>0</v>
      </c>
    </row>
    <row r="10618" spans="1:2" x14ac:dyDescent="0.25">
      <c r="A10618">
        <v>20567</v>
      </c>
      <c r="B10618">
        <v>0</v>
      </c>
    </row>
    <row r="10619" spans="1:2" x14ac:dyDescent="0.25">
      <c r="A10619">
        <v>20569</v>
      </c>
      <c r="B10619">
        <v>0</v>
      </c>
    </row>
    <row r="10620" spans="1:2" x14ac:dyDescent="0.25">
      <c r="A10620">
        <v>20571</v>
      </c>
      <c r="B10620">
        <v>0</v>
      </c>
    </row>
    <row r="10621" spans="1:2" x14ac:dyDescent="0.25">
      <c r="A10621">
        <v>20572</v>
      </c>
      <c r="B10621">
        <v>0</v>
      </c>
    </row>
    <row r="10622" spans="1:2" x14ac:dyDescent="0.25">
      <c r="A10622">
        <v>20574</v>
      </c>
      <c r="B10622">
        <v>0</v>
      </c>
    </row>
    <row r="10623" spans="1:2" x14ac:dyDescent="0.25">
      <c r="A10623">
        <v>20579</v>
      </c>
      <c r="B10623">
        <v>0</v>
      </c>
    </row>
    <row r="10624" spans="1:2" x14ac:dyDescent="0.25">
      <c r="A10624">
        <v>20581</v>
      </c>
      <c r="B10624">
        <v>0</v>
      </c>
    </row>
    <row r="10625" spans="1:2" x14ac:dyDescent="0.25">
      <c r="A10625">
        <v>20585</v>
      </c>
      <c r="B10625">
        <v>0</v>
      </c>
    </row>
    <row r="10626" spans="1:2" x14ac:dyDescent="0.25">
      <c r="A10626">
        <v>20589</v>
      </c>
      <c r="B10626">
        <v>0</v>
      </c>
    </row>
    <row r="10627" spans="1:2" x14ac:dyDescent="0.25">
      <c r="A10627">
        <v>20592</v>
      </c>
      <c r="B10627">
        <v>0</v>
      </c>
    </row>
    <row r="10628" spans="1:2" x14ac:dyDescent="0.25">
      <c r="A10628">
        <v>20594</v>
      </c>
      <c r="B10628">
        <v>0</v>
      </c>
    </row>
    <row r="10629" spans="1:2" x14ac:dyDescent="0.25">
      <c r="A10629">
        <v>20597</v>
      </c>
      <c r="B10629">
        <v>0</v>
      </c>
    </row>
    <row r="10630" spans="1:2" x14ac:dyDescent="0.25">
      <c r="A10630">
        <v>20601</v>
      </c>
      <c r="B10630">
        <v>0</v>
      </c>
    </row>
    <row r="10631" spans="1:2" x14ac:dyDescent="0.25">
      <c r="A10631">
        <v>20603</v>
      </c>
      <c r="B10631">
        <v>0</v>
      </c>
    </row>
    <row r="10632" spans="1:2" x14ac:dyDescent="0.25">
      <c r="A10632">
        <v>20622</v>
      </c>
      <c r="B10632">
        <v>0</v>
      </c>
    </row>
    <row r="10633" spans="1:2" x14ac:dyDescent="0.25">
      <c r="A10633">
        <v>20626</v>
      </c>
      <c r="B10633">
        <v>0</v>
      </c>
    </row>
    <row r="10634" spans="1:2" x14ac:dyDescent="0.25">
      <c r="A10634">
        <v>20629</v>
      </c>
      <c r="B10634">
        <v>0</v>
      </c>
    </row>
    <row r="10635" spans="1:2" x14ac:dyDescent="0.25">
      <c r="A10635">
        <v>20631</v>
      </c>
      <c r="B10635">
        <v>0</v>
      </c>
    </row>
    <row r="10636" spans="1:2" x14ac:dyDescent="0.25">
      <c r="A10636">
        <v>20633</v>
      </c>
      <c r="B10636">
        <v>0</v>
      </c>
    </row>
    <row r="10637" spans="1:2" x14ac:dyDescent="0.25">
      <c r="A10637">
        <v>20635</v>
      </c>
      <c r="B10637">
        <v>0</v>
      </c>
    </row>
    <row r="10638" spans="1:2" x14ac:dyDescent="0.25">
      <c r="A10638">
        <v>20645</v>
      </c>
      <c r="B10638">
        <v>0</v>
      </c>
    </row>
    <row r="10639" spans="1:2" x14ac:dyDescent="0.25">
      <c r="A10639">
        <v>20647</v>
      </c>
      <c r="B10639">
        <v>0</v>
      </c>
    </row>
    <row r="10640" spans="1:2" x14ac:dyDescent="0.25">
      <c r="A10640">
        <v>20651</v>
      </c>
      <c r="B10640">
        <v>0</v>
      </c>
    </row>
    <row r="10641" spans="1:2" x14ac:dyDescent="0.25">
      <c r="A10641">
        <v>20653</v>
      </c>
      <c r="B10641">
        <v>0</v>
      </c>
    </row>
    <row r="10642" spans="1:2" x14ac:dyDescent="0.25">
      <c r="A10642">
        <v>20655</v>
      </c>
      <c r="B10642">
        <v>0</v>
      </c>
    </row>
    <row r="10643" spans="1:2" x14ac:dyDescent="0.25">
      <c r="A10643">
        <v>20661</v>
      </c>
      <c r="B10643">
        <v>0</v>
      </c>
    </row>
    <row r="10644" spans="1:2" x14ac:dyDescent="0.25">
      <c r="A10644">
        <v>20663</v>
      </c>
      <c r="B10644">
        <v>0</v>
      </c>
    </row>
    <row r="10645" spans="1:2" x14ac:dyDescent="0.25">
      <c r="A10645">
        <v>20693</v>
      </c>
      <c r="B10645">
        <v>0</v>
      </c>
    </row>
    <row r="10646" spans="1:2" x14ac:dyDescent="0.25">
      <c r="A10646">
        <v>20694</v>
      </c>
      <c r="B10646">
        <v>0</v>
      </c>
    </row>
    <row r="10647" spans="1:2" x14ac:dyDescent="0.25">
      <c r="A10647">
        <v>20695</v>
      </c>
      <c r="B10647">
        <v>0</v>
      </c>
    </row>
    <row r="10648" spans="1:2" x14ac:dyDescent="0.25">
      <c r="A10648">
        <v>20696</v>
      </c>
      <c r="B10648">
        <v>0</v>
      </c>
    </row>
    <row r="10649" spans="1:2" x14ac:dyDescent="0.25">
      <c r="A10649">
        <v>20697</v>
      </c>
      <c r="B10649">
        <v>0</v>
      </c>
    </row>
    <row r="10650" spans="1:2" x14ac:dyDescent="0.25">
      <c r="A10650">
        <v>20698</v>
      </c>
      <c r="B10650">
        <v>0</v>
      </c>
    </row>
    <row r="10651" spans="1:2" x14ac:dyDescent="0.25">
      <c r="A10651">
        <v>20700</v>
      </c>
      <c r="B10651">
        <v>0</v>
      </c>
    </row>
    <row r="10652" spans="1:2" x14ac:dyDescent="0.25">
      <c r="A10652">
        <v>20701</v>
      </c>
      <c r="B10652">
        <v>0</v>
      </c>
    </row>
    <row r="10653" spans="1:2" x14ac:dyDescent="0.25">
      <c r="A10653">
        <v>20702</v>
      </c>
      <c r="B10653">
        <v>0</v>
      </c>
    </row>
    <row r="10654" spans="1:2" x14ac:dyDescent="0.25">
      <c r="A10654">
        <v>20703</v>
      </c>
      <c r="B10654">
        <v>0</v>
      </c>
    </row>
    <row r="10655" spans="1:2" x14ac:dyDescent="0.25">
      <c r="A10655">
        <v>20704</v>
      </c>
      <c r="B10655">
        <v>0</v>
      </c>
    </row>
    <row r="10656" spans="1:2" x14ac:dyDescent="0.25">
      <c r="A10656">
        <v>20706</v>
      </c>
      <c r="B10656">
        <v>0</v>
      </c>
    </row>
    <row r="10657" spans="1:2" x14ac:dyDescent="0.25">
      <c r="A10657">
        <v>20708</v>
      </c>
      <c r="B10657">
        <v>0</v>
      </c>
    </row>
    <row r="10658" spans="1:2" x14ac:dyDescent="0.25">
      <c r="A10658">
        <v>20710</v>
      </c>
      <c r="B10658">
        <v>0</v>
      </c>
    </row>
    <row r="10659" spans="1:2" x14ac:dyDescent="0.25">
      <c r="A10659">
        <v>20712</v>
      </c>
      <c r="B10659">
        <v>0</v>
      </c>
    </row>
    <row r="10660" spans="1:2" x14ac:dyDescent="0.25">
      <c r="A10660">
        <v>20714</v>
      </c>
      <c r="B10660">
        <v>0</v>
      </c>
    </row>
    <row r="10661" spans="1:2" x14ac:dyDescent="0.25">
      <c r="A10661">
        <v>20717</v>
      </c>
      <c r="B10661">
        <v>0</v>
      </c>
    </row>
    <row r="10662" spans="1:2" x14ac:dyDescent="0.25">
      <c r="A10662">
        <v>20718</v>
      </c>
      <c r="B10662">
        <v>0</v>
      </c>
    </row>
    <row r="10663" spans="1:2" x14ac:dyDescent="0.25">
      <c r="A10663">
        <v>20719</v>
      </c>
      <c r="B10663">
        <v>0</v>
      </c>
    </row>
    <row r="10664" spans="1:2" x14ac:dyDescent="0.25">
      <c r="A10664">
        <v>20752</v>
      </c>
      <c r="B10664">
        <v>0</v>
      </c>
    </row>
    <row r="10665" spans="1:2" x14ac:dyDescent="0.25">
      <c r="A10665">
        <v>20753</v>
      </c>
      <c r="B10665">
        <v>0</v>
      </c>
    </row>
    <row r="10666" spans="1:2" x14ac:dyDescent="0.25">
      <c r="A10666">
        <v>20754</v>
      </c>
      <c r="B10666">
        <v>0</v>
      </c>
    </row>
    <row r="10667" spans="1:2" x14ac:dyDescent="0.25">
      <c r="A10667">
        <v>20755</v>
      </c>
      <c r="B10667">
        <v>0</v>
      </c>
    </row>
    <row r="10668" spans="1:2" x14ac:dyDescent="0.25">
      <c r="A10668">
        <v>20756</v>
      </c>
      <c r="B10668">
        <v>0</v>
      </c>
    </row>
    <row r="10669" spans="1:2" x14ac:dyDescent="0.25">
      <c r="A10669">
        <v>20757</v>
      </c>
      <c r="B10669">
        <v>0</v>
      </c>
    </row>
    <row r="10670" spans="1:2" x14ac:dyDescent="0.25">
      <c r="A10670">
        <v>20758</v>
      </c>
      <c r="B10670">
        <v>0</v>
      </c>
    </row>
    <row r="10671" spans="1:2" x14ac:dyDescent="0.25">
      <c r="A10671">
        <v>20759</v>
      </c>
      <c r="B10671">
        <v>0</v>
      </c>
    </row>
    <row r="10672" spans="1:2" x14ac:dyDescent="0.25">
      <c r="A10672">
        <v>20760</v>
      </c>
      <c r="B10672">
        <v>0</v>
      </c>
    </row>
    <row r="10673" spans="1:2" x14ac:dyDescent="0.25">
      <c r="A10673">
        <v>20761</v>
      </c>
      <c r="B10673">
        <v>0</v>
      </c>
    </row>
    <row r="10674" spans="1:2" x14ac:dyDescent="0.25">
      <c r="A10674">
        <v>20762</v>
      </c>
      <c r="B10674">
        <v>0</v>
      </c>
    </row>
    <row r="10675" spans="1:2" x14ac:dyDescent="0.25">
      <c r="A10675">
        <v>20763</v>
      </c>
      <c r="B10675">
        <v>0</v>
      </c>
    </row>
    <row r="10676" spans="1:2" x14ac:dyDescent="0.25">
      <c r="A10676">
        <v>20766</v>
      </c>
      <c r="B10676">
        <v>0</v>
      </c>
    </row>
    <row r="10677" spans="1:2" x14ac:dyDescent="0.25">
      <c r="A10677">
        <v>20797</v>
      </c>
      <c r="B10677">
        <v>0</v>
      </c>
    </row>
    <row r="10678" spans="1:2" x14ac:dyDescent="0.25">
      <c r="A10678">
        <v>20798</v>
      </c>
      <c r="B10678">
        <v>0</v>
      </c>
    </row>
    <row r="10679" spans="1:2" x14ac:dyDescent="0.25">
      <c r="A10679">
        <v>20799</v>
      </c>
      <c r="B10679">
        <v>0</v>
      </c>
    </row>
    <row r="10680" spans="1:2" x14ac:dyDescent="0.25">
      <c r="A10680">
        <v>20800</v>
      </c>
      <c r="B10680">
        <v>0</v>
      </c>
    </row>
    <row r="10681" spans="1:2" x14ac:dyDescent="0.25">
      <c r="A10681">
        <v>20801</v>
      </c>
      <c r="B10681">
        <v>0</v>
      </c>
    </row>
    <row r="10682" spans="1:2" x14ac:dyDescent="0.25">
      <c r="A10682">
        <v>20804</v>
      </c>
      <c r="B10682">
        <v>0</v>
      </c>
    </row>
    <row r="10683" spans="1:2" x14ac:dyDescent="0.25">
      <c r="A10683">
        <v>20805</v>
      </c>
      <c r="B10683">
        <v>0</v>
      </c>
    </row>
    <row r="10684" spans="1:2" x14ac:dyDescent="0.25">
      <c r="A10684">
        <v>20806</v>
      </c>
      <c r="B10684">
        <v>0</v>
      </c>
    </row>
    <row r="10685" spans="1:2" x14ac:dyDescent="0.25">
      <c r="A10685">
        <v>20807</v>
      </c>
      <c r="B10685">
        <v>0</v>
      </c>
    </row>
    <row r="10686" spans="1:2" x14ac:dyDescent="0.25">
      <c r="A10686">
        <v>20808</v>
      </c>
      <c r="B10686">
        <v>0</v>
      </c>
    </row>
    <row r="10687" spans="1:2" x14ac:dyDescent="0.25">
      <c r="A10687">
        <v>20809</v>
      </c>
      <c r="B10687">
        <v>0</v>
      </c>
    </row>
    <row r="10688" spans="1:2" x14ac:dyDescent="0.25">
      <c r="A10688">
        <v>20810</v>
      </c>
      <c r="B10688">
        <v>0</v>
      </c>
    </row>
    <row r="10689" spans="1:2" x14ac:dyDescent="0.25">
      <c r="A10689">
        <v>20812</v>
      </c>
      <c r="B10689">
        <v>0</v>
      </c>
    </row>
    <row r="10690" spans="1:2" x14ac:dyDescent="0.25">
      <c r="A10690">
        <v>20820</v>
      </c>
      <c r="B10690">
        <v>0</v>
      </c>
    </row>
    <row r="10691" spans="1:2" x14ac:dyDescent="0.25">
      <c r="A10691">
        <v>20821</v>
      </c>
      <c r="B10691">
        <v>0</v>
      </c>
    </row>
    <row r="10692" spans="1:2" x14ac:dyDescent="0.25">
      <c r="A10692">
        <v>20822</v>
      </c>
      <c r="B10692">
        <v>0</v>
      </c>
    </row>
    <row r="10693" spans="1:2" x14ac:dyDescent="0.25">
      <c r="A10693">
        <v>20824</v>
      </c>
      <c r="B10693">
        <v>0</v>
      </c>
    </row>
    <row r="10694" spans="1:2" x14ac:dyDescent="0.25">
      <c r="A10694">
        <v>20830</v>
      </c>
      <c r="B10694">
        <v>0</v>
      </c>
    </row>
    <row r="10695" spans="1:2" x14ac:dyDescent="0.25">
      <c r="A10695">
        <v>20832</v>
      </c>
      <c r="B10695">
        <v>0</v>
      </c>
    </row>
    <row r="10696" spans="1:2" x14ac:dyDescent="0.25">
      <c r="A10696">
        <v>20834</v>
      </c>
      <c r="B10696">
        <v>0</v>
      </c>
    </row>
    <row r="10697" spans="1:2" x14ac:dyDescent="0.25">
      <c r="A10697">
        <v>20837</v>
      </c>
      <c r="B10697">
        <v>0</v>
      </c>
    </row>
    <row r="10698" spans="1:2" x14ac:dyDescent="0.25">
      <c r="A10698">
        <v>20838</v>
      </c>
      <c r="B10698">
        <v>0</v>
      </c>
    </row>
    <row r="10699" spans="1:2" x14ac:dyDescent="0.25">
      <c r="A10699">
        <v>20839</v>
      </c>
      <c r="B10699">
        <v>0</v>
      </c>
    </row>
    <row r="10700" spans="1:2" x14ac:dyDescent="0.25">
      <c r="A10700">
        <v>20840</v>
      </c>
      <c r="B10700">
        <v>0</v>
      </c>
    </row>
    <row r="10701" spans="1:2" x14ac:dyDescent="0.25">
      <c r="A10701">
        <v>20841</v>
      </c>
      <c r="B10701">
        <v>0</v>
      </c>
    </row>
    <row r="10702" spans="1:2" x14ac:dyDescent="0.25">
      <c r="A10702">
        <v>20847</v>
      </c>
      <c r="B10702">
        <v>0</v>
      </c>
    </row>
    <row r="10703" spans="1:2" x14ac:dyDescent="0.25">
      <c r="A10703">
        <v>20849</v>
      </c>
      <c r="B10703">
        <v>0</v>
      </c>
    </row>
    <row r="10704" spans="1:2" x14ac:dyDescent="0.25">
      <c r="A10704">
        <v>20851</v>
      </c>
      <c r="B10704">
        <v>0</v>
      </c>
    </row>
    <row r="10705" spans="1:2" x14ac:dyDescent="0.25">
      <c r="A10705">
        <v>20853</v>
      </c>
      <c r="B10705">
        <v>0</v>
      </c>
    </row>
    <row r="10706" spans="1:2" x14ac:dyDescent="0.25">
      <c r="A10706">
        <v>20861</v>
      </c>
      <c r="B10706">
        <v>0</v>
      </c>
    </row>
    <row r="10707" spans="1:2" x14ac:dyDescent="0.25">
      <c r="A10707">
        <v>20863</v>
      </c>
      <c r="B10707">
        <v>0</v>
      </c>
    </row>
    <row r="10708" spans="1:2" x14ac:dyDescent="0.25">
      <c r="A10708">
        <v>20865</v>
      </c>
      <c r="B10708">
        <v>0</v>
      </c>
    </row>
    <row r="10709" spans="1:2" x14ac:dyDescent="0.25">
      <c r="A10709">
        <v>20867</v>
      </c>
      <c r="B10709">
        <v>0</v>
      </c>
    </row>
    <row r="10710" spans="1:2" x14ac:dyDescent="0.25">
      <c r="A10710">
        <v>20872</v>
      </c>
      <c r="B10710">
        <v>0</v>
      </c>
    </row>
    <row r="10711" spans="1:2" x14ac:dyDescent="0.25">
      <c r="A10711">
        <v>20873</v>
      </c>
      <c r="B10711">
        <v>0</v>
      </c>
    </row>
    <row r="10712" spans="1:2" x14ac:dyDescent="0.25">
      <c r="A10712">
        <v>20874</v>
      </c>
      <c r="B10712">
        <v>0</v>
      </c>
    </row>
    <row r="10713" spans="1:2" x14ac:dyDescent="0.25">
      <c r="A10713">
        <v>20875</v>
      </c>
      <c r="B10713">
        <v>0</v>
      </c>
    </row>
    <row r="10714" spans="1:2" x14ac:dyDescent="0.25">
      <c r="A10714">
        <v>20876</v>
      </c>
      <c r="B10714">
        <v>0</v>
      </c>
    </row>
    <row r="10715" spans="1:2" x14ac:dyDescent="0.25">
      <c r="A10715">
        <v>20877</v>
      </c>
      <c r="B10715">
        <v>0</v>
      </c>
    </row>
    <row r="10716" spans="1:2" x14ac:dyDescent="0.25">
      <c r="A10716">
        <v>20878</v>
      </c>
      <c r="B10716">
        <v>0</v>
      </c>
    </row>
    <row r="10717" spans="1:2" x14ac:dyDescent="0.25">
      <c r="A10717">
        <v>20879</v>
      </c>
      <c r="B10717">
        <v>0</v>
      </c>
    </row>
    <row r="10718" spans="1:2" x14ac:dyDescent="0.25">
      <c r="A10718">
        <v>20881</v>
      </c>
      <c r="B10718">
        <v>0</v>
      </c>
    </row>
    <row r="10719" spans="1:2" x14ac:dyDescent="0.25">
      <c r="A10719">
        <v>20883</v>
      </c>
      <c r="B10719">
        <v>0</v>
      </c>
    </row>
    <row r="10720" spans="1:2" x14ac:dyDescent="0.25">
      <c r="A10720">
        <v>20885</v>
      </c>
      <c r="B10720">
        <v>0</v>
      </c>
    </row>
    <row r="10721" spans="1:2" x14ac:dyDescent="0.25">
      <c r="A10721">
        <v>20887</v>
      </c>
      <c r="B10721">
        <v>0</v>
      </c>
    </row>
    <row r="10722" spans="1:2" x14ac:dyDescent="0.25">
      <c r="A10722">
        <v>20889</v>
      </c>
      <c r="B10722">
        <v>0</v>
      </c>
    </row>
    <row r="10723" spans="1:2" x14ac:dyDescent="0.25">
      <c r="A10723">
        <v>20891</v>
      </c>
      <c r="B10723">
        <v>0</v>
      </c>
    </row>
    <row r="10724" spans="1:2" x14ac:dyDescent="0.25">
      <c r="A10724">
        <v>20893</v>
      </c>
      <c r="B10724">
        <v>0</v>
      </c>
    </row>
    <row r="10725" spans="1:2" x14ac:dyDescent="0.25">
      <c r="A10725">
        <v>20895</v>
      </c>
      <c r="B10725">
        <v>0</v>
      </c>
    </row>
    <row r="10726" spans="1:2" x14ac:dyDescent="0.25">
      <c r="A10726">
        <v>20896</v>
      </c>
      <c r="B10726">
        <v>0</v>
      </c>
    </row>
    <row r="10727" spans="1:2" x14ac:dyDescent="0.25">
      <c r="A10727">
        <v>20898</v>
      </c>
      <c r="B10727">
        <v>0</v>
      </c>
    </row>
    <row r="10728" spans="1:2" x14ac:dyDescent="0.25">
      <c r="A10728">
        <v>20900</v>
      </c>
      <c r="B10728">
        <v>0</v>
      </c>
    </row>
    <row r="10729" spans="1:2" x14ac:dyDescent="0.25">
      <c r="A10729">
        <v>20902</v>
      </c>
      <c r="B10729">
        <v>0</v>
      </c>
    </row>
    <row r="10730" spans="1:2" x14ac:dyDescent="0.25">
      <c r="A10730">
        <v>20904</v>
      </c>
      <c r="B10730">
        <v>0</v>
      </c>
    </row>
    <row r="10731" spans="1:2" x14ac:dyDescent="0.25">
      <c r="A10731">
        <v>20905</v>
      </c>
      <c r="B10731">
        <v>0</v>
      </c>
    </row>
    <row r="10732" spans="1:2" x14ac:dyDescent="0.25">
      <c r="A10732">
        <v>20907</v>
      </c>
      <c r="B10732">
        <v>0</v>
      </c>
    </row>
    <row r="10733" spans="1:2" x14ac:dyDescent="0.25">
      <c r="A10733">
        <v>20908</v>
      </c>
      <c r="B10733">
        <v>0</v>
      </c>
    </row>
    <row r="10734" spans="1:2" x14ac:dyDescent="0.25">
      <c r="A10734">
        <v>20910</v>
      </c>
      <c r="B10734">
        <v>0</v>
      </c>
    </row>
    <row r="10735" spans="1:2" x14ac:dyDescent="0.25">
      <c r="A10735">
        <v>20913</v>
      </c>
      <c r="B10735">
        <v>0</v>
      </c>
    </row>
    <row r="10736" spans="1:2" x14ac:dyDescent="0.25">
      <c r="A10736">
        <v>20915</v>
      </c>
      <c r="B10736">
        <v>0</v>
      </c>
    </row>
    <row r="10737" spans="1:2" x14ac:dyDescent="0.25">
      <c r="A10737">
        <v>20917</v>
      </c>
      <c r="B10737">
        <v>0</v>
      </c>
    </row>
    <row r="10738" spans="1:2" x14ac:dyDescent="0.25">
      <c r="A10738">
        <v>20919</v>
      </c>
      <c r="B10738">
        <v>0</v>
      </c>
    </row>
    <row r="10739" spans="1:2" x14ac:dyDescent="0.25">
      <c r="A10739">
        <v>20924</v>
      </c>
      <c r="B10739">
        <v>0</v>
      </c>
    </row>
    <row r="10740" spans="1:2" x14ac:dyDescent="0.25">
      <c r="A10740">
        <v>20926</v>
      </c>
      <c r="B10740">
        <v>0</v>
      </c>
    </row>
    <row r="10741" spans="1:2" x14ac:dyDescent="0.25">
      <c r="A10741">
        <v>20927</v>
      </c>
      <c r="B10741">
        <v>0</v>
      </c>
    </row>
    <row r="10742" spans="1:2" x14ac:dyDescent="0.25">
      <c r="A10742">
        <v>20933</v>
      </c>
      <c r="B10742">
        <v>0</v>
      </c>
    </row>
    <row r="10743" spans="1:2" x14ac:dyDescent="0.25">
      <c r="A10743">
        <v>20941</v>
      </c>
      <c r="B10743">
        <v>0</v>
      </c>
    </row>
    <row r="10744" spans="1:2" x14ac:dyDescent="0.25">
      <c r="A10744">
        <v>20943</v>
      </c>
      <c r="B10744">
        <v>0</v>
      </c>
    </row>
    <row r="10745" spans="1:2" x14ac:dyDescent="0.25">
      <c r="A10745">
        <v>20953</v>
      </c>
      <c r="B10745">
        <v>0</v>
      </c>
    </row>
    <row r="10746" spans="1:2" x14ac:dyDescent="0.25">
      <c r="A10746">
        <v>20954</v>
      </c>
      <c r="B10746">
        <v>0</v>
      </c>
    </row>
    <row r="10747" spans="1:2" x14ac:dyDescent="0.25">
      <c r="A10747">
        <v>20955</v>
      </c>
      <c r="B10747">
        <v>0</v>
      </c>
    </row>
    <row r="10748" spans="1:2" x14ac:dyDescent="0.25">
      <c r="A10748">
        <v>20956</v>
      </c>
      <c r="B10748">
        <v>0</v>
      </c>
    </row>
    <row r="10749" spans="1:2" x14ac:dyDescent="0.25">
      <c r="A10749">
        <v>20957</v>
      </c>
      <c r="B10749">
        <v>0</v>
      </c>
    </row>
    <row r="10750" spans="1:2" x14ac:dyDescent="0.25">
      <c r="A10750">
        <v>20958</v>
      </c>
      <c r="B10750">
        <v>0</v>
      </c>
    </row>
    <row r="10751" spans="1:2" x14ac:dyDescent="0.25">
      <c r="A10751">
        <v>20959</v>
      </c>
      <c r="B10751">
        <v>0</v>
      </c>
    </row>
    <row r="10752" spans="1:2" x14ac:dyDescent="0.25">
      <c r="A10752">
        <v>20967</v>
      </c>
      <c r="B10752">
        <v>0</v>
      </c>
    </row>
    <row r="10753" spans="1:2" x14ac:dyDescent="0.25">
      <c r="A10753">
        <v>20977</v>
      </c>
      <c r="B10753">
        <v>0</v>
      </c>
    </row>
    <row r="10754" spans="1:2" x14ac:dyDescent="0.25">
      <c r="A10754">
        <v>20979</v>
      </c>
      <c r="B10754">
        <v>0</v>
      </c>
    </row>
    <row r="10755" spans="1:2" x14ac:dyDescent="0.25">
      <c r="A10755">
        <v>20980</v>
      </c>
      <c r="B10755">
        <v>0</v>
      </c>
    </row>
    <row r="10756" spans="1:2" x14ac:dyDescent="0.25">
      <c r="A10756">
        <v>20981</v>
      </c>
      <c r="B10756">
        <v>0</v>
      </c>
    </row>
    <row r="10757" spans="1:2" x14ac:dyDescent="0.25">
      <c r="A10757">
        <v>20982</v>
      </c>
      <c r="B10757">
        <v>0</v>
      </c>
    </row>
    <row r="10758" spans="1:2" x14ac:dyDescent="0.25">
      <c r="A10758">
        <v>20986</v>
      </c>
      <c r="B10758">
        <v>0</v>
      </c>
    </row>
    <row r="10759" spans="1:2" x14ac:dyDescent="0.25">
      <c r="A10759">
        <v>20987</v>
      </c>
      <c r="B10759">
        <v>0</v>
      </c>
    </row>
    <row r="10760" spans="1:2" x14ac:dyDescent="0.25">
      <c r="A10760">
        <v>20988</v>
      </c>
      <c r="B10760">
        <v>0</v>
      </c>
    </row>
    <row r="10761" spans="1:2" x14ac:dyDescent="0.25">
      <c r="A10761">
        <v>20989</v>
      </c>
      <c r="B10761">
        <v>0</v>
      </c>
    </row>
    <row r="10762" spans="1:2" x14ac:dyDescent="0.25">
      <c r="A10762">
        <v>20990</v>
      </c>
      <c r="B10762">
        <v>0</v>
      </c>
    </row>
    <row r="10763" spans="1:2" x14ac:dyDescent="0.25">
      <c r="A10763">
        <v>20991</v>
      </c>
      <c r="B10763">
        <v>0</v>
      </c>
    </row>
    <row r="10764" spans="1:2" x14ac:dyDescent="0.25">
      <c r="A10764">
        <v>20992</v>
      </c>
      <c r="B10764">
        <v>0</v>
      </c>
    </row>
    <row r="10765" spans="1:2" x14ac:dyDescent="0.25">
      <c r="A10765">
        <v>20993</v>
      </c>
      <c r="B10765">
        <v>0</v>
      </c>
    </row>
    <row r="10766" spans="1:2" x14ac:dyDescent="0.25">
      <c r="A10766">
        <v>20994</v>
      </c>
      <c r="B10766">
        <v>0</v>
      </c>
    </row>
    <row r="10767" spans="1:2" x14ac:dyDescent="0.25">
      <c r="A10767">
        <v>20995</v>
      </c>
      <c r="B10767">
        <v>0</v>
      </c>
    </row>
    <row r="10768" spans="1:2" x14ac:dyDescent="0.25">
      <c r="A10768">
        <v>20996</v>
      </c>
      <c r="B10768">
        <v>0</v>
      </c>
    </row>
    <row r="10769" spans="1:2" x14ac:dyDescent="0.25">
      <c r="A10769">
        <v>20997</v>
      </c>
      <c r="B10769">
        <v>0</v>
      </c>
    </row>
    <row r="10770" spans="1:2" x14ac:dyDescent="0.25">
      <c r="A10770">
        <v>20998</v>
      </c>
      <c r="B10770">
        <v>0</v>
      </c>
    </row>
    <row r="10771" spans="1:2" x14ac:dyDescent="0.25">
      <c r="A10771">
        <v>20999</v>
      </c>
      <c r="B10771">
        <v>0</v>
      </c>
    </row>
    <row r="10772" spans="1:2" x14ac:dyDescent="0.25">
      <c r="A10772">
        <v>21000</v>
      </c>
      <c r="B10772">
        <v>0</v>
      </c>
    </row>
    <row r="10773" spans="1:2" x14ac:dyDescent="0.25">
      <c r="A10773">
        <v>21001</v>
      </c>
      <c r="B10773">
        <v>0</v>
      </c>
    </row>
    <row r="10774" spans="1:2" x14ac:dyDescent="0.25">
      <c r="A10774">
        <v>21006</v>
      </c>
      <c r="B10774">
        <v>0</v>
      </c>
    </row>
    <row r="10775" spans="1:2" x14ac:dyDescent="0.25">
      <c r="A10775">
        <v>21007</v>
      </c>
      <c r="B10775">
        <v>0</v>
      </c>
    </row>
    <row r="10776" spans="1:2" x14ac:dyDescent="0.25">
      <c r="A10776">
        <v>21008</v>
      </c>
      <c r="B10776">
        <v>0</v>
      </c>
    </row>
    <row r="10777" spans="1:2" x14ac:dyDescent="0.25">
      <c r="A10777">
        <v>21009</v>
      </c>
      <c r="B10777">
        <v>0</v>
      </c>
    </row>
    <row r="10778" spans="1:2" x14ac:dyDescent="0.25">
      <c r="A10778">
        <v>21010</v>
      </c>
      <c r="B10778">
        <v>0</v>
      </c>
    </row>
    <row r="10779" spans="1:2" x14ac:dyDescent="0.25">
      <c r="A10779">
        <v>21011</v>
      </c>
      <c r="B10779">
        <v>0</v>
      </c>
    </row>
    <row r="10780" spans="1:2" x14ac:dyDescent="0.25">
      <c r="A10780">
        <v>21014</v>
      </c>
      <c r="B10780">
        <v>0</v>
      </c>
    </row>
    <row r="10781" spans="1:2" x14ac:dyDescent="0.25">
      <c r="A10781">
        <v>21015</v>
      </c>
      <c r="B10781">
        <v>0</v>
      </c>
    </row>
    <row r="10782" spans="1:2" x14ac:dyDescent="0.25">
      <c r="A10782">
        <v>21017</v>
      </c>
      <c r="B10782">
        <v>0</v>
      </c>
    </row>
    <row r="10783" spans="1:2" x14ac:dyDescent="0.25">
      <c r="A10783">
        <v>21019</v>
      </c>
      <c r="B10783">
        <v>0</v>
      </c>
    </row>
    <row r="10784" spans="1:2" x14ac:dyDescent="0.25">
      <c r="A10784">
        <v>21020</v>
      </c>
      <c r="B10784">
        <v>0</v>
      </c>
    </row>
    <row r="10785" spans="1:2" x14ac:dyDescent="0.25">
      <c r="A10785">
        <v>21021</v>
      </c>
      <c r="B10785">
        <v>0</v>
      </c>
    </row>
    <row r="10786" spans="1:2" x14ac:dyDescent="0.25">
      <c r="A10786">
        <v>21023</v>
      </c>
      <c r="B10786">
        <v>0</v>
      </c>
    </row>
    <row r="10787" spans="1:2" x14ac:dyDescent="0.25">
      <c r="A10787">
        <v>21025</v>
      </c>
      <c r="B10787">
        <v>0</v>
      </c>
    </row>
    <row r="10788" spans="1:2" x14ac:dyDescent="0.25">
      <c r="A10788">
        <v>21028</v>
      </c>
      <c r="B10788">
        <v>0</v>
      </c>
    </row>
    <row r="10789" spans="1:2" x14ac:dyDescent="0.25">
      <c r="A10789">
        <v>21031</v>
      </c>
      <c r="B10789">
        <v>0</v>
      </c>
    </row>
    <row r="10790" spans="1:2" x14ac:dyDescent="0.25">
      <c r="A10790">
        <v>21034</v>
      </c>
      <c r="B10790">
        <v>0</v>
      </c>
    </row>
    <row r="10791" spans="1:2" x14ac:dyDescent="0.25">
      <c r="A10791">
        <v>21036</v>
      </c>
      <c r="B10791">
        <v>0</v>
      </c>
    </row>
    <row r="10792" spans="1:2" x14ac:dyDescent="0.25">
      <c r="A10792">
        <v>21042</v>
      </c>
      <c r="B10792">
        <v>0</v>
      </c>
    </row>
    <row r="10793" spans="1:2" x14ac:dyDescent="0.25">
      <c r="A10793">
        <v>21057</v>
      </c>
      <c r="B10793">
        <v>0</v>
      </c>
    </row>
    <row r="10794" spans="1:2" x14ac:dyDescent="0.25">
      <c r="A10794">
        <v>21058</v>
      </c>
      <c r="B10794">
        <v>0</v>
      </c>
    </row>
    <row r="10795" spans="1:2" x14ac:dyDescent="0.25">
      <c r="A10795">
        <v>21059</v>
      </c>
      <c r="B10795">
        <v>0</v>
      </c>
    </row>
    <row r="10796" spans="1:2" x14ac:dyDescent="0.25">
      <c r="A10796">
        <v>21060</v>
      </c>
      <c r="B10796">
        <v>0</v>
      </c>
    </row>
    <row r="10797" spans="1:2" x14ac:dyDescent="0.25">
      <c r="A10797">
        <v>21061</v>
      </c>
      <c r="B10797">
        <v>0</v>
      </c>
    </row>
    <row r="10798" spans="1:2" x14ac:dyDescent="0.25">
      <c r="A10798">
        <v>21062</v>
      </c>
      <c r="B10798">
        <v>0</v>
      </c>
    </row>
    <row r="10799" spans="1:2" x14ac:dyDescent="0.25">
      <c r="A10799">
        <v>21063</v>
      </c>
      <c r="B10799">
        <v>0</v>
      </c>
    </row>
    <row r="10800" spans="1:2" x14ac:dyDescent="0.25">
      <c r="A10800">
        <v>21064</v>
      </c>
      <c r="B10800">
        <v>0</v>
      </c>
    </row>
    <row r="10801" spans="1:2" x14ac:dyDescent="0.25">
      <c r="A10801">
        <v>21065</v>
      </c>
      <c r="B10801">
        <v>0</v>
      </c>
    </row>
    <row r="10802" spans="1:2" x14ac:dyDescent="0.25">
      <c r="A10802">
        <v>21066</v>
      </c>
      <c r="B10802">
        <v>0</v>
      </c>
    </row>
    <row r="10803" spans="1:2" x14ac:dyDescent="0.25">
      <c r="A10803">
        <v>21067</v>
      </c>
      <c r="B10803">
        <v>0</v>
      </c>
    </row>
    <row r="10804" spans="1:2" x14ac:dyDescent="0.25">
      <c r="A10804">
        <v>21068</v>
      </c>
      <c r="B10804">
        <v>0</v>
      </c>
    </row>
    <row r="10805" spans="1:2" x14ac:dyDescent="0.25">
      <c r="A10805">
        <v>21069</v>
      </c>
      <c r="B10805">
        <v>0</v>
      </c>
    </row>
    <row r="10806" spans="1:2" x14ac:dyDescent="0.25">
      <c r="A10806">
        <v>21070</v>
      </c>
      <c r="B10806">
        <v>0</v>
      </c>
    </row>
    <row r="10807" spans="1:2" x14ac:dyDescent="0.25">
      <c r="A10807">
        <v>21071</v>
      </c>
      <c r="B10807">
        <v>0</v>
      </c>
    </row>
    <row r="10808" spans="1:2" x14ac:dyDescent="0.25">
      <c r="A10808">
        <v>21072</v>
      </c>
      <c r="B10808">
        <v>0</v>
      </c>
    </row>
    <row r="10809" spans="1:2" x14ac:dyDescent="0.25">
      <c r="A10809">
        <v>21073</v>
      </c>
      <c r="B10809">
        <v>0</v>
      </c>
    </row>
    <row r="10810" spans="1:2" x14ac:dyDescent="0.25">
      <c r="A10810">
        <v>21074</v>
      </c>
      <c r="B10810">
        <v>0</v>
      </c>
    </row>
    <row r="10811" spans="1:2" x14ac:dyDescent="0.25">
      <c r="A10811">
        <v>21075</v>
      </c>
      <c r="B10811">
        <v>0</v>
      </c>
    </row>
    <row r="10812" spans="1:2" x14ac:dyDescent="0.25">
      <c r="A10812">
        <v>21076</v>
      </c>
      <c r="B10812">
        <v>0</v>
      </c>
    </row>
    <row r="10813" spans="1:2" x14ac:dyDescent="0.25">
      <c r="A10813">
        <v>21077</v>
      </c>
      <c r="B10813">
        <v>0</v>
      </c>
    </row>
    <row r="10814" spans="1:2" x14ac:dyDescent="0.25">
      <c r="A10814">
        <v>21078</v>
      </c>
      <c r="B10814">
        <v>0</v>
      </c>
    </row>
    <row r="10815" spans="1:2" x14ac:dyDescent="0.25">
      <c r="A10815">
        <v>21079</v>
      </c>
      <c r="B10815">
        <v>0</v>
      </c>
    </row>
    <row r="10816" spans="1:2" x14ac:dyDescent="0.25">
      <c r="A10816">
        <v>21080</v>
      </c>
      <c r="B10816">
        <v>0</v>
      </c>
    </row>
    <row r="10817" spans="1:2" x14ac:dyDescent="0.25">
      <c r="A10817">
        <v>21081</v>
      </c>
      <c r="B10817">
        <v>0</v>
      </c>
    </row>
    <row r="10818" spans="1:2" x14ac:dyDescent="0.25">
      <c r="A10818">
        <v>21082</v>
      </c>
      <c r="B10818">
        <v>0</v>
      </c>
    </row>
    <row r="10819" spans="1:2" x14ac:dyDescent="0.25">
      <c r="A10819">
        <v>21083</v>
      </c>
      <c r="B10819">
        <v>0</v>
      </c>
    </row>
    <row r="10820" spans="1:2" x14ac:dyDescent="0.25">
      <c r="A10820">
        <v>21084</v>
      </c>
      <c r="B10820">
        <v>0</v>
      </c>
    </row>
    <row r="10821" spans="1:2" x14ac:dyDescent="0.25">
      <c r="A10821">
        <v>21086</v>
      </c>
      <c r="B10821">
        <v>0</v>
      </c>
    </row>
    <row r="10822" spans="1:2" x14ac:dyDescent="0.25">
      <c r="A10822">
        <v>21087</v>
      </c>
      <c r="B10822">
        <v>0</v>
      </c>
    </row>
    <row r="10823" spans="1:2" x14ac:dyDescent="0.25">
      <c r="A10823">
        <v>21088</v>
      </c>
      <c r="B10823">
        <v>0</v>
      </c>
    </row>
    <row r="10824" spans="1:2" x14ac:dyDescent="0.25">
      <c r="A10824">
        <v>21089</v>
      </c>
      <c r="B10824">
        <v>0</v>
      </c>
    </row>
    <row r="10825" spans="1:2" x14ac:dyDescent="0.25">
      <c r="A10825">
        <v>21096</v>
      </c>
      <c r="B10825">
        <v>0</v>
      </c>
    </row>
    <row r="10826" spans="1:2" x14ac:dyDescent="0.25">
      <c r="A10826">
        <v>21113</v>
      </c>
      <c r="B10826">
        <v>0</v>
      </c>
    </row>
    <row r="10827" spans="1:2" x14ac:dyDescent="0.25">
      <c r="A10827">
        <v>21116</v>
      </c>
      <c r="B10827">
        <v>0</v>
      </c>
    </row>
    <row r="10828" spans="1:2" x14ac:dyDescent="0.25">
      <c r="A10828">
        <v>21118</v>
      </c>
      <c r="B10828">
        <v>0</v>
      </c>
    </row>
    <row r="10829" spans="1:2" x14ac:dyDescent="0.25">
      <c r="A10829">
        <v>21119</v>
      </c>
      <c r="B10829">
        <v>0</v>
      </c>
    </row>
    <row r="10830" spans="1:2" x14ac:dyDescent="0.25">
      <c r="A10830">
        <v>21121</v>
      </c>
      <c r="B10830">
        <v>0</v>
      </c>
    </row>
    <row r="10831" spans="1:2" x14ac:dyDescent="0.25">
      <c r="A10831">
        <v>21123</v>
      </c>
      <c r="B10831">
        <v>0</v>
      </c>
    </row>
    <row r="10832" spans="1:2" x14ac:dyDescent="0.25">
      <c r="A10832">
        <v>21125</v>
      </c>
      <c r="B10832">
        <v>0</v>
      </c>
    </row>
    <row r="10833" spans="1:2" x14ac:dyDescent="0.25">
      <c r="A10833">
        <v>21127</v>
      </c>
      <c r="B10833">
        <v>0</v>
      </c>
    </row>
    <row r="10834" spans="1:2" x14ac:dyDescent="0.25">
      <c r="A10834">
        <v>21133</v>
      </c>
      <c r="B10834">
        <v>0</v>
      </c>
    </row>
    <row r="10835" spans="1:2" x14ac:dyDescent="0.25">
      <c r="A10835">
        <v>21135</v>
      </c>
      <c r="B10835">
        <v>0</v>
      </c>
    </row>
    <row r="10836" spans="1:2" x14ac:dyDescent="0.25">
      <c r="A10836">
        <v>21137</v>
      </c>
      <c r="B10836">
        <v>0</v>
      </c>
    </row>
    <row r="10837" spans="1:2" x14ac:dyDescent="0.25">
      <c r="A10837">
        <v>21139</v>
      </c>
      <c r="B10837">
        <v>0</v>
      </c>
    </row>
    <row r="10838" spans="1:2" x14ac:dyDescent="0.25">
      <c r="A10838">
        <v>21141</v>
      </c>
      <c r="B10838">
        <v>0</v>
      </c>
    </row>
    <row r="10839" spans="1:2" x14ac:dyDescent="0.25">
      <c r="A10839">
        <v>21143</v>
      </c>
      <c r="B10839">
        <v>0</v>
      </c>
    </row>
    <row r="10840" spans="1:2" x14ac:dyDescent="0.25">
      <c r="A10840">
        <v>21160</v>
      </c>
      <c r="B10840">
        <v>0</v>
      </c>
    </row>
    <row r="10841" spans="1:2" x14ac:dyDescent="0.25">
      <c r="A10841">
        <v>21161</v>
      </c>
      <c r="B10841">
        <v>0</v>
      </c>
    </row>
    <row r="10842" spans="1:2" x14ac:dyDescent="0.25">
      <c r="A10842">
        <v>21162</v>
      </c>
      <c r="B10842">
        <v>0</v>
      </c>
    </row>
    <row r="10843" spans="1:2" x14ac:dyDescent="0.25">
      <c r="A10843">
        <v>21167</v>
      </c>
      <c r="B10843">
        <v>0</v>
      </c>
    </row>
    <row r="10844" spans="1:2" x14ac:dyDescent="0.25">
      <c r="A10844">
        <v>21169</v>
      </c>
      <c r="B10844">
        <v>0</v>
      </c>
    </row>
    <row r="10845" spans="1:2" x14ac:dyDescent="0.25">
      <c r="A10845">
        <v>21171</v>
      </c>
      <c r="B10845">
        <v>0</v>
      </c>
    </row>
    <row r="10846" spans="1:2" x14ac:dyDescent="0.25">
      <c r="A10846">
        <v>21173</v>
      </c>
      <c r="B10846">
        <v>0</v>
      </c>
    </row>
    <row r="10847" spans="1:2" x14ac:dyDescent="0.25">
      <c r="A10847">
        <v>21180</v>
      </c>
      <c r="B10847">
        <v>0</v>
      </c>
    </row>
    <row r="10848" spans="1:2" x14ac:dyDescent="0.25">
      <c r="A10848">
        <v>21190</v>
      </c>
      <c r="B10848">
        <v>0</v>
      </c>
    </row>
    <row r="10849" spans="1:2" x14ac:dyDescent="0.25">
      <c r="A10849">
        <v>21191</v>
      </c>
      <c r="B10849">
        <v>0</v>
      </c>
    </row>
    <row r="10850" spans="1:2" x14ac:dyDescent="0.25">
      <c r="A10850">
        <v>21192</v>
      </c>
      <c r="B10850">
        <v>0</v>
      </c>
    </row>
    <row r="10851" spans="1:2" x14ac:dyDescent="0.25">
      <c r="A10851">
        <v>21193</v>
      </c>
      <c r="B10851">
        <v>0</v>
      </c>
    </row>
    <row r="10852" spans="1:2" x14ac:dyDescent="0.25">
      <c r="A10852">
        <v>21194</v>
      </c>
      <c r="B10852">
        <v>0</v>
      </c>
    </row>
    <row r="10853" spans="1:2" x14ac:dyDescent="0.25">
      <c r="A10853">
        <v>21195</v>
      </c>
      <c r="B10853">
        <v>0</v>
      </c>
    </row>
    <row r="10854" spans="1:2" x14ac:dyDescent="0.25">
      <c r="A10854">
        <v>21203</v>
      </c>
      <c r="B10854">
        <v>0</v>
      </c>
    </row>
    <row r="10855" spans="1:2" x14ac:dyDescent="0.25">
      <c r="A10855">
        <v>21205</v>
      </c>
      <c r="B10855">
        <v>0</v>
      </c>
    </row>
    <row r="10856" spans="1:2" x14ac:dyDescent="0.25">
      <c r="A10856">
        <v>21207</v>
      </c>
      <c r="B10856">
        <v>0</v>
      </c>
    </row>
    <row r="10857" spans="1:2" x14ac:dyDescent="0.25">
      <c r="A10857">
        <v>21209</v>
      </c>
      <c r="B10857">
        <v>0</v>
      </c>
    </row>
    <row r="10858" spans="1:2" x14ac:dyDescent="0.25">
      <c r="A10858">
        <v>21211</v>
      </c>
      <c r="B10858">
        <v>0</v>
      </c>
    </row>
    <row r="10859" spans="1:2" x14ac:dyDescent="0.25">
      <c r="A10859">
        <v>21213</v>
      </c>
      <c r="B10859">
        <v>0</v>
      </c>
    </row>
    <row r="10860" spans="1:2" x14ac:dyDescent="0.25">
      <c r="A10860">
        <v>21215</v>
      </c>
      <c r="B10860">
        <v>0</v>
      </c>
    </row>
    <row r="10861" spans="1:2" x14ac:dyDescent="0.25">
      <c r="A10861">
        <v>21225</v>
      </c>
      <c r="B10861">
        <v>0</v>
      </c>
    </row>
    <row r="10862" spans="1:2" x14ac:dyDescent="0.25">
      <c r="A10862">
        <v>21226</v>
      </c>
      <c r="B10862">
        <v>0</v>
      </c>
    </row>
    <row r="10863" spans="1:2" x14ac:dyDescent="0.25">
      <c r="A10863">
        <v>21228</v>
      </c>
      <c r="B10863">
        <v>0</v>
      </c>
    </row>
    <row r="10864" spans="1:2" x14ac:dyDescent="0.25">
      <c r="A10864">
        <v>21230</v>
      </c>
      <c r="B10864">
        <v>0</v>
      </c>
    </row>
    <row r="10865" spans="1:2" x14ac:dyDescent="0.25">
      <c r="A10865">
        <v>21232</v>
      </c>
      <c r="B10865">
        <v>0</v>
      </c>
    </row>
    <row r="10866" spans="1:2" x14ac:dyDescent="0.25">
      <c r="A10866">
        <v>21234</v>
      </c>
      <c r="B10866">
        <v>0</v>
      </c>
    </row>
    <row r="10867" spans="1:2" x14ac:dyDescent="0.25">
      <c r="A10867">
        <v>21236</v>
      </c>
      <c r="B10867">
        <v>0</v>
      </c>
    </row>
    <row r="10868" spans="1:2" x14ac:dyDescent="0.25">
      <c r="A10868">
        <v>21238</v>
      </c>
      <c r="B10868">
        <v>0</v>
      </c>
    </row>
    <row r="10869" spans="1:2" x14ac:dyDescent="0.25">
      <c r="A10869">
        <v>21240</v>
      </c>
      <c r="B10869">
        <v>0</v>
      </c>
    </row>
    <row r="10870" spans="1:2" x14ac:dyDescent="0.25">
      <c r="A10870">
        <v>21242</v>
      </c>
      <c r="B10870">
        <v>0</v>
      </c>
    </row>
    <row r="10871" spans="1:2" x14ac:dyDescent="0.25">
      <c r="A10871">
        <v>21244</v>
      </c>
      <c r="B10871">
        <v>0</v>
      </c>
    </row>
    <row r="10872" spans="1:2" x14ac:dyDescent="0.25">
      <c r="A10872">
        <v>21246</v>
      </c>
      <c r="B10872">
        <v>0</v>
      </c>
    </row>
    <row r="10873" spans="1:2" x14ac:dyDescent="0.25">
      <c r="A10873">
        <v>21249</v>
      </c>
      <c r="B10873">
        <v>0</v>
      </c>
    </row>
    <row r="10874" spans="1:2" x14ac:dyDescent="0.25">
      <c r="A10874">
        <v>21252</v>
      </c>
      <c r="B10874">
        <v>0</v>
      </c>
    </row>
    <row r="10875" spans="1:2" x14ac:dyDescent="0.25">
      <c r="A10875">
        <v>21255</v>
      </c>
      <c r="B10875">
        <v>0</v>
      </c>
    </row>
    <row r="10876" spans="1:2" x14ac:dyDescent="0.25">
      <c r="A10876">
        <v>21258</v>
      </c>
      <c r="B10876">
        <v>0</v>
      </c>
    </row>
    <row r="10877" spans="1:2" x14ac:dyDescent="0.25">
      <c r="A10877">
        <v>21261</v>
      </c>
      <c r="B10877">
        <v>0</v>
      </c>
    </row>
    <row r="10878" spans="1:2" x14ac:dyDescent="0.25">
      <c r="A10878">
        <v>21266</v>
      </c>
      <c r="B10878">
        <v>0</v>
      </c>
    </row>
    <row r="10879" spans="1:2" x14ac:dyDescent="0.25">
      <c r="A10879">
        <v>21267</v>
      </c>
      <c r="B10879">
        <v>0</v>
      </c>
    </row>
    <row r="10880" spans="1:2" x14ac:dyDescent="0.25">
      <c r="A10880">
        <v>21275</v>
      </c>
      <c r="B10880">
        <v>0</v>
      </c>
    </row>
    <row r="10881" spans="1:2" x14ac:dyDescent="0.25">
      <c r="A10881">
        <v>21279</v>
      </c>
      <c r="B10881">
        <v>0</v>
      </c>
    </row>
    <row r="10882" spans="1:2" x14ac:dyDescent="0.25">
      <c r="A10882">
        <v>21281</v>
      </c>
      <c r="B10882">
        <v>0</v>
      </c>
    </row>
    <row r="10883" spans="1:2" x14ac:dyDescent="0.25">
      <c r="A10883">
        <v>21283</v>
      </c>
      <c r="B10883">
        <v>0</v>
      </c>
    </row>
    <row r="10884" spans="1:2" x14ac:dyDescent="0.25">
      <c r="A10884">
        <v>21289</v>
      </c>
      <c r="B10884">
        <v>0</v>
      </c>
    </row>
    <row r="10885" spans="1:2" x14ac:dyDescent="0.25">
      <c r="A10885">
        <v>21290</v>
      </c>
      <c r="B10885">
        <v>0</v>
      </c>
    </row>
    <row r="10886" spans="1:2" x14ac:dyDescent="0.25">
      <c r="A10886">
        <v>21291</v>
      </c>
      <c r="B10886">
        <v>0</v>
      </c>
    </row>
    <row r="10887" spans="1:2" x14ac:dyDescent="0.25">
      <c r="A10887">
        <v>21292</v>
      </c>
      <c r="B10887">
        <v>0</v>
      </c>
    </row>
    <row r="10888" spans="1:2" x14ac:dyDescent="0.25">
      <c r="A10888">
        <v>21293</v>
      </c>
      <c r="B10888">
        <v>0</v>
      </c>
    </row>
    <row r="10889" spans="1:2" x14ac:dyDescent="0.25">
      <c r="A10889">
        <v>21294</v>
      </c>
      <c r="B10889">
        <v>0</v>
      </c>
    </row>
    <row r="10890" spans="1:2" x14ac:dyDescent="0.25">
      <c r="A10890">
        <v>21296</v>
      </c>
      <c r="B10890">
        <v>0</v>
      </c>
    </row>
    <row r="10891" spans="1:2" x14ac:dyDescent="0.25">
      <c r="A10891">
        <v>21298</v>
      </c>
      <c r="B10891">
        <v>0</v>
      </c>
    </row>
    <row r="10892" spans="1:2" x14ac:dyDescent="0.25">
      <c r="A10892">
        <v>21300</v>
      </c>
      <c r="B10892">
        <v>0</v>
      </c>
    </row>
    <row r="10893" spans="1:2" x14ac:dyDescent="0.25">
      <c r="A10893">
        <v>21302</v>
      </c>
      <c r="B10893">
        <v>0</v>
      </c>
    </row>
    <row r="10894" spans="1:2" x14ac:dyDescent="0.25">
      <c r="A10894">
        <v>21304</v>
      </c>
      <c r="B10894">
        <v>0</v>
      </c>
    </row>
    <row r="10895" spans="1:2" x14ac:dyDescent="0.25">
      <c r="A10895">
        <v>21305</v>
      </c>
      <c r="B10895">
        <v>0</v>
      </c>
    </row>
    <row r="10896" spans="1:2" x14ac:dyDescent="0.25">
      <c r="A10896">
        <v>21308</v>
      </c>
      <c r="B10896">
        <v>0</v>
      </c>
    </row>
    <row r="10897" spans="1:2" x14ac:dyDescent="0.25">
      <c r="A10897">
        <v>21309</v>
      </c>
      <c r="B10897">
        <v>0</v>
      </c>
    </row>
    <row r="10898" spans="1:2" x14ac:dyDescent="0.25">
      <c r="A10898">
        <v>21310</v>
      </c>
      <c r="B10898">
        <v>0</v>
      </c>
    </row>
    <row r="10899" spans="1:2" x14ac:dyDescent="0.25">
      <c r="A10899">
        <v>21311</v>
      </c>
      <c r="B10899">
        <v>0</v>
      </c>
    </row>
    <row r="10900" spans="1:2" x14ac:dyDescent="0.25">
      <c r="A10900">
        <v>21312</v>
      </c>
      <c r="B10900">
        <v>0</v>
      </c>
    </row>
    <row r="10901" spans="1:2" x14ac:dyDescent="0.25">
      <c r="A10901">
        <v>21313</v>
      </c>
      <c r="B10901">
        <v>0</v>
      </c>
    </row>
    <row r="10902" spans="1:2" x14ac:dyDescent="0.25">
      <c r="A10902">
        <v>21314</v>
      </c>
      <c r="B10902">
        <v>0</v>
      </c>
    </row>
    <row r="10903" spans="1:2" x14ac:dyDescent="0.25">
      <c r="A10903">
        <v>21315</v>
      </c>
      <c r="B10903">
        <v>0</v>
      </c>
    </row>
    <row r="10904" spans="1:2" x14ac:dyDescent="0.25">
      <c r="A10904">
        <v>21316</v>
      </c>
      <c r="B10904">
        <v>0</v>
      </c>
    </row>
    <row r="10905" spans="1:2" x14ac:dyDescent="0.25">
      <c r="A10905">
        <v>21317</v>
      </c>
      <c r="B10905">
        <v>0</v>
      </c>
    </row>
    <row r="10906" spans="1:2" x14ac:dyDescent="0.25">
      <c r="A10906">
        <v>21318</v>
      </c>
      <c r="B10906">
        <v>0</v>
      </c>
    </row>
    <row r="10907" spans="1:2" x14ac:dyDescent="0.25">
      <c r="A10907">
        <v>21319</v>
      </c>
      <c r="B10907">
        <v>0</v>
      </c>
    </row>
    <row r="10908" spans="1:2" x14ac:dyDescent="0.25">
      <c r="A10908">
        <v>21320</v>
      </c>
      <c r="B10908">
        <v>0</v>
      </c>
    </row>
    <row r="10909" spans="1:2" x14ac:dyDescent="0.25">
      <c r="A10909">
        <v>21321</v>
      </c>
      <c r="B10909">
        <v>0</v>
      </c>
    </row>
    <row r="10910" spans="1:2" x14ac:dyDescent="0.25">
      <c r="A10910">
        <v>21322</v>
      </c>
      <c r="B10910">
        <v>0</v>
      </c>
    </row>
    <row r="10911" spans="1:2" x14ac:dyDescent="0.25">
      <c r="A10911">
        <v>21323</v>
      </c>
      <c r="B10911">
        <v>0</v>
      </c>
    </row>
    <row r="10912" spans="1:2" x14ac:dyDescent="0.25">
      <c r="A10912">
        <v>21324</v>
      </c>
      <c r="B10912">
        <v>0</v>
      </c>
    </row>
    <row r="10913" spans="1:2" x14ac:dyDescent="0.25">
      <c r="A10913">
        <v>21325</v>
      </c>
      <c r="B10913">
        <v>0</v>
      </c>
    </row>
    <row r="10914" spans="1:2" x14ac:dyDescent="0.25">
      <c r="A10914">
        <v>21326</v>
      </c>
      <c r="B10914">
        <v>0</v>
      </c>
    </row>
    <row r="10915" spans="1:2" x14ac:dyDescent="0.25">
      <c r="A10915">
        <v>21327</v>
      </c>
      <c r="B10915">
        <v>0</v>
      </c>
    </row>
    <row r="10916" spans="1:2" x14ac:dyDescent="0.25">
      <c r="A10916">
        <v>21328</v>
      </c>
      <c r="B10916">
        <v>0</v>
      </c>
    </row>
    <row r="10917" spans="1:2" x14ac:dyDescent="0.25">
      <c r="A10917">
        <v>21329</v>
      </c>
      <c r="B10917">
        <v>0</v>
      </c>
    </row>
    <row r="10918" spans="1:2" x14ac:dyDescent="0.25">
      <c r="A10918">
        <v>21330</v>
      </c>
      <c r="B10918">
        <v>0</v>
      </c>
    </row>
    <row r="10919" spans="1:2" x14ac:dyDescent="0.25">
      <c r="A10919">
        <v>21331</v>
      </c>
      <c r="B10919">
        <v>0</v>
      </c>
    </row>
    <row r="10920" spans="1:2" x14ac:dyDescent="0.25">
      <c r="A10920">
        <v>21332</v>
      </c>
      <c r="B10920">
        <v>0</v>
      </c>
    </row>
    <row r="10921" spans="1:2" x14ac:dyDescent="0.25">
      <c r="A10921">
        <v>21334</v>
      </c>
      <c r="B10921">
        <v>0</v>
      </c>
    </row>
    <row r="10922" spans="1:2" x14ac:dyDescent="0.25">
      <c r="A10922">
        <v>21335</v>
      </c>
      <c r="B10922">
        <v>0</v>
      </c>
    </row>
    <row r="10923" spans="1:2" x14ac:dyDescent="0.25">
      <c r="A10923">
        <v>21336</v>
      </c>
      <c r="B10923">
        <v>0</v>
      </c>
    </row>
    <row r="10924" spans="1:2" x14ac:dyDescent="0.25">
      <c r="A10924">
        <v>21337</v>
      </c>
      <c r="B10924">
        <v>0</v>
      </c>
    </row>
    <row r="10925" spans="1:2" x14ac:dyDescent="0.25">
      <c r="A10925">
        <v>21348</v>
      </c>
      <c r="B10925">
        <v>0</v>
      </c>
    </row>
    <row r="10926" spans="1:2" x14ac:dyDescent="0.25">
      <c r="A10926">
        <v>21351</v>
      </c>
      <c r="B10926">
        <v>0</v>
      </c>
    </row>
    <row r="10927" spans="1:2" x14ac:dyDescent="0.25">
      <c r="A10927">
        <v>21354</v>
      </c>
      <c r="B10927">
        <v>0</v>
      </c>
    </row>
    <row r="10928" spans="1:2" x14ac:dyDescent="0.25">
      <c r="A10928">
        <v>21356</v>
      </c>
      <c r="B10928">
        <v>0</v>
      </c>
    </row>
    <row r="10929" spans="1:2" x14ac:dyDescent="0.25">
      <c r="A10929">
        <v>21357</v>
      </c>
      <c r="B10929">
        <v>0</v>
      </c>
    </row>
    <row r="10930" spans="1:2" x14ac:dyDescent="0.25">
      <c r="A10930">
        <v>21359</v>
      </c>
      <c r="B10930">
        <v>0</v>
      </c>
    </row>
    <row r="10931" spans="1:2" x14ac:dyDescent="0.25">
      <c r="A10931">
        <v>21361</v>
      </c>
      <c r="B10931">
        <v>0</v>
      </c>
    </row>
    <row r="10932" spans="1:2" x14ac:dyDescent="0.25">
      <c r="A10932">
        <v>21363</v>
      </c>
      <c r="B10932">
        <v>0</v>
      </c>
    </row>
    <row r="10933" spans="1:2" x14ac:dyDescent="0.25">
      <c r="A10933">
        <v>21365</v>
      </c>
      <c r="B10933">
        <v>0</v>
      </c>
    </row>
    <row r="10934" spans="1:2" x14ac:dyDescent="0.25">
      <c r="A10934">
        <v>21367</v>
      </c>
      <c r="B10934">
        <v>0</v>
      </c>
    </row>
    <row r="10935" spans="1:2" x14ac:dyDescent="0.25">
      <c r="A10935">
        <v>21369</v>
      </c>
      <c r="B10935">
        <v>0</v>
      </c>
    </row>
    <row r="10936" spans="1:2" x14ac:dyDescent="0.25">
      <c r="A10936">
        <v>21371</v>
      </c>
      <c r="B10936">
        <v>0</v>
      </c>
    </row>
    <row r="10937" spans="1:2" x14ac:dyDescent="0.25">
      <c r="A10937">
        <v>21373</v>
      </c>
      <c r="B10937">
        <v>0</v>
      </c>
    </row>
    <row r="10938" spans="1:2" x14ac:dyDescent="0.25">
      <c r="A10938">
        <v>21374</v>
      </c>
      <c r="B10938">
        <v>0</v>
      </c>
    </row>
    <row r="10939" spans="1:2" x14ac:dyDescent="0.25">
      <c r="A10939">
        <v>21375</v>
      </c>
      <c r="B10939">
        <v>0</v>
      </c>
    </row>
    <row r="10940" spans="1:2" x14ac:dyDescent="0.25">
      <c r="A10940">
        <v>21376</v>
      </c>
      <c r="B10940">
        <v>0</v>
      </c>
    </row>
    <row r="10941" spans="1:2" x14ac:dyDescent="0.25">
      <c r="A10941">
        <v>21378</v>
      </c>
      <c r="B10941">
        <v>0</v>
      </c>
    </row>
    <row r="10942" spans="1:2" x14ac:dyDescent="0.25">
      <c r="A10942">
        <v>21380</v>
      </c>
      <c r="B10942">
        <v>0</v>
      </c>
    </row>
    <row r="10943" spans="1:2" x14ac:dyDescent="0.25">
      <c r="A10943">
        <v>21381</v>
      </c>
      <c r="B10943">
        <v>0</v>
      </c>
    </row>
    <row r="10944" spans="1:2" x14ac:dyDescent="0.25">
      <c r="A10944">
        <v>21382</v>
      </c>
      <c r="B10944">
        <v>0</v>
      </c>
    </row>
    <row r="10945" spans="1:2" x14ac:dyDescent="0.25">
      <c r="A10945">
        <v>21383</v>
      </c>
      <c r="B10945">
        <v>0</v>
      </c>
    </row>
    <row r="10946" spans="1:2" x14ac:dyDescent="0.25">
      <c r="A10946">
        <v>21385</v>
      </c>
      <c r="B10946">
        <v>0</v>
      </c>
    </row>
    <row r="10947" spans="1:2" x14ac:dyDescent="0.25">
      <c r="A10947">
        <v>21386</v>
      </c>
      <c r="B10947">
        <v>0</v>
      </c>
    </row>
    <row r="10948" spans="1:2" x14ac:dyDescent="0.25">
      <c r="A10948">
        <v>21387</v>
      </c>
      <c r="B10948">
        <v>0</v>
      </c>
    </row>
    <row r="10949" spans="1:2" x14ac:dyDescent="0.25">
      <c r="A10949">
        <v>21389</v>
      </c>
      <c r="B10949">
        <v>0</v>
      </c>
    </row>
    <row r="10950" spans="1:2" x14ac:dyDescent="0.25">
      <c r="A10950">
        <v>21391</v>
      </c>
      <c r="B10950">
        <v>0</v>
      </c>
    </row>
    <row r="10951" spans="1:2" x14ac:dyDescent="0.25">
      <c r="A10951">
        <v>21393</v>
      </c>
      <c r="B10951">
        <v>0</v>
      </c>
    </row>
    <row r="10952" spans="1:2" x14ac:dyDescent="0.25">
      <c r="A10952">
        <v>21395</v>
      </c>
      <c r="B10952">
        <v>0</v>
      </c>
    </row>
    <row r="10953" spans="1:2" x14ac:dyDescent="0.25">
      <c r="A10953">
        <v>21397</v>
      </c>
      <c r="B10953">
        <v>0</v>
      </c>
    </row>
    <row r="10954" spans="1:2" x14ac:dyDescent="0.25">
      <c r="A10954">
        <v>21399</v>
      </c>
      <c r="B10954">
        <v>0</v>
      </c>
    </row>
    <row r="10955" spans="1:2" x14ac:dyDescent="0.25">
      <c r="A10955">
        <v>21401</v>
      </c>
      <c r="B10955">
        <v>0</v>
      </c>
    </row>
    <row r="10956" spans="1:2" x14ac:dyDescent="0.25">
      <c r="A10956">
        <v>21403</v>
      </c>
      <c r="B10956">
        <v>0</v>
      </c>
    </row>
    <row r="10957" spans="1:2" x14ac:dyDescent="0.25">
      <c r="A10957">
        <v>21406</v>
      </c>
      <c r="B10957">
        <v>0</v>
      </c>
    </row>
    <row r="10958" spans="1:2" x14ac:dyDescent="0.25">
      <c r="A10958">
        <v>21409</v>
      </c>
      <c r="B10958">
        <v>0</v>
      </c>
    </row>
    <row r="10959" spans="1:2" x14ac:dyDescent="0.25">
      <c r="A10959">
        <v>21420</v>
      </c>
      <c r="B10959">
        <v>0</v>
      </c>
    </row>
    <row r="10960" spans="1:2" x14ac:dyDescent="0.25">
      <c r="A10960">
        <v>21421</v>
      </c>
      <c r="B10960">
        <v>0</v>
      </c>
    </row>
    <row r="10961" spans="1:2" x14ac:dyDescent="0.25">
      <c r="A10961">
        <v>21422</v>
      </c>
      <c r="B10961">
        <v>0</v>
      </c>
    </row>
    <row r="10962" spans="1:2" x14ac:dyDescent="0.25">
      <c r="A10962">
        <v>21423</v>
      </c>
      <c r="B10962">
        <v>0</v>
      </c>
    </row>
    <row r="10963" spans="1:2" x14ac:dyDescent="0.25">
      <c r="A10963">
        <v>21424</v>
      </c>
      <c r="B10963">
        <v>0</v>
      </c>
    </row>
    <row r="10964" spans="1:2" x14ac:dyDescent="0.25">
      <c r="A10964">
        <v>21425</v>
      </c>
      <c r="B10964">
        <v>0</v>
      </c>
    </row>
    <row r="10965" spans="1:2" x14ac:dyDescent="0.25">
      <c r="A10965">
        <v>21426</v>
      </c>
      <c r="B10965">
        <v>0</v>
      </c>
    </row>
    <row r="10966" spans="1:2" x14ac:dyDescent="0.25">
      <c r="A10966">
        <v>21427</v>
      </c>
      <c r="B10966">
        <v>0</v>
      </c>
    </row>
    <row r="10967" spans="1:2" x14ac:dyDescent="0.25">
      <c r="A10967">
        <v>21428</v>
      </c>
      <c r="B10967">
        <v>0</v>
      </c>
    </row>
    <row r="10968" spans="1:2" x14ac:dyDescent="0.25">
      <c r="A10968">
        <v>21430</v>
      </c>
      <c r="B10968">
        <v>0</v>
      </c>
    </row>
    <row r="10969" spans="1:2" x14ac:dyDescent="0.25">
      <c r="A10969">
        <v>21432</v>
      </c>
      <c r="B10969">
        <v>0</v>
      </c>
    </row>
    <row r="10970" spans="1:2" x14ac:dyDescent="0.25">
      <c r="A10970">
        <v>21434</v>
      </c>
      <c r="B10970">
        <v>0</v>
      </c>
    </row>
    <row r="10971" spans="1:2" x14ac:dyDescent="0.25">
      <c r="A10971">
        <v>21439</v>
      </c>
      <c r="B10971">
        <v>0</v>
      </c>
    </row>
    <row r="10972" spans="1:2" x14ac:dyDescent="0.25">
      <c r="A10972">
        <v>21441</v>
      </c>
      <c r="B10972">
        <v>0</v>
      </c>
    </row>
    <row r="10973" spans="1:2" x14ac:dyDescent="0.25">
      <c r="A10973">
        <v>21443</v>
      </c>
      <c r="B10973">
        <v>0</v>
      </c>
    </row>
    <row r="10974" spans="1:2" x14ac:dyDescent="0.25">
      <c r="A10974">
        <v>21445</v>
      </c>
      <c r="B10974">
        <v>0</v>
      </c>
    </row>
    <row r="10975" spans="1:2" x14ac:dyDescent="0.25">
      <c r="A10975">
        <v>21447</v>
      </c>
      <c r="B10975">
        <v>0</v>
      </c>
    </row>
    <row r="10976" spans="1:2" x14ac:dyDescent="0.25">
      <c r="A10976">
        <v>21449</v>
      </c>
      <c r="B10976">
        <v>0</v>
      </c>
    </row>
    <row r="10977" spans="1:2" x14ac:dyDescent="0.25">
      <c r="A10977">
        <v>21451</v>
      </c>
      <c r="B10977">
        <v>0</v>
      </c>
    </row>
    <row r="10978" spans="1:2" x14ac:dyDescent="0.25">
      <c r="A10978">
        <v>21453</v>
      </c>
      <c r="B10978">
        <v>0</v>
      </c>
    </row>
    <row r="10979" spans="1:2" x14ac:dyDescent="0.25">
      <c r="A10979">
        <v>21455</v>
      </c>
      <c r="B10979">
        <v>0</v>
      </c>
    </row>
    <row r="10980" spans="1:2" x14ac:dyDescent="0.25">
      <c r="A10980">
        <v>21457</v>
      </c>
      <c r="B10980">
        <v>0</v>
      </c>
    </row>
    <row r="10981" spans="1:2" x14ac:dyDescent="0.25">
      <c r="A10981">
        <v>21458</v>
      </c>
      <c r="B10981">
        <v>0</v>
      </c>
    </row>
    <row r="10982" spans="1:2" x14ac:dyDescent="0.25">
      <c r="A10982">
        <v>21460</v>
      </c>
      <c r="B10982">
        <v>0</v>
      </c>
    </row>
    <row r="10983" spans="1:2" x14ac:dyDescent="0.25">
      <c r="A10983">
        <v>21464</v>
      </c>
      <c r="B10983">
        <v>0</v>
      </c>
    </row>
    <row r="10984" spans="1:2" x14ac:dyDescent="0.25">
      <c r="A10984">
        <v>21478</v>
      </c>
      <c r="B10984">
        <v>0</v>
      </c>
    </row>
    <row r="10985" spans="1:2" x14ac:dyDescent="0.25">
      <c r="A10985">
        <v>21479</v>
      </c>
      <c r="B10985">
        <v>0</v>
      </c>
    </row>
    <row r="10986" spans="1:2" x14ac:dyDescent="0.25">
      <c r="A10986">
        <v>21480</v>
      </c>
      <c r="B10986">
        <v>0</v>
      </c>
    </row>
    <row r="10987" spans="1:2" x14ac:dyDescent="0.25">
      <c r="A10987">
        <v>21481</v>
      </c>
      <c r="B10987">
        <v>0</v>
      </c>
    </row>
    <row r="10988" spans="1:2" x14ac:dyDescent="0.25">
      <c r="A10988">
        <v>21482</v>
      </c>
      <c r="B10988">
        <v>0</v>
      </c>
    </row>
    <row r="10989" spans="1:2" x14ac:dyDescent="0.25">
      <c r="A10989">
        <v>21483</v>
      </c>
      <c r="B10989">
        <v>0</v>
      </c>
    </row>
    <row r="10990" spans="1:2" x14ac:dyDescent="0.25">
      <c r="A10990">
        <v>21484</v>
      </c>
      <c r="B10990">
        <v>0</v>
      </c>
    </row>
    <row r="10991" spans="1:2" x14ac:dyDescent="0.25">
      <c r="A10991">
        <v>21488</v>
      </c>
      <c r="B10991">
        <v>0</v>
      </c>
    </row>
    <row r="10992" spans="1:2" x14ac:dyDescent="0.25">
      <c r="A10992">
        <v>21489</v>
      </c>
      <c r="B10992">
        <v>0</v>
      </c>
    </row>
    <row r="10993" spans="1:2" x14ac:dyDescent="0.25">
      <c r="A10993">
        <v>21498</v>
      </c>
      <c r="B10993">
        <v>0</v>
      </c>
    </row>
    <row r="10994" spans="1:2" x14ac:dyDescent="0.25">
      <c r="A10994">
        <v>21499</v>
      </c>
      <c r="B10994">
        <v>0</v>
      </c>
    </row>
    <row r="10995" spans="1:2" x14ac:dyDescent="0.25">
      <c r="A10995">
        <v>21501</v>
      </c>
      <c r="B10995">
        <v>0</v>
      </c>
    </row>
    <row r="10996" spans="1:2" x14ac:dyDescent="0.25">
      <c r="A10996">
        <v>21503</v>
      </c>
      <c r="B10996">
        <v>0</v>
      </c>
    </row>
    <row r="10997" spans="1:2" x14ac:dyDescent="0.25">
      <c r="A10997">
        <v>21508</v>
      </c>
      <c r="B10997">
        <v>0</v>
      </c>
    </row>
    <row r="10998" spans="1:2" x14ac:dyDescent="0.25">
      <c r="A10998">
        <v>21509</v>
      </c>
      <c r="B10998">
        <v>0</v>
      </c>
    </row>
    <row r="10999" spans="1:2" x14ac:dyDescent="0.25">
      <c r="A10999">
        <v>21510</v>
      </c>
      <c r="B10999">
        <v>0</v>
      </c>
    </row>
    <row r="11000" spans="1:2" x14ac:dyDescent="0.25">
      <c r="A11000">
        <v>21511</v>
      </c>
      <c r="B11000">
        <v>0</v>
      </c>
    </row>
    <row r="11001" spans="1:2" x14ac:dyDescent="0.25">
      <c r="A11001">
        <v>21512</v>
      </c>
      <c r="B11001">
        <v>0</v>
      </c>
    </row>
    <row r="11002" spans="1:2" x14ac:dyDescent="0.25">
      <c r="A11002">
        <v>21513</v>
      </c>
      <c r="B11002">
        <v>0</v>
      </c>
    </row>
    <row r="11003" spans="1:2" x14ac:dyDescent="0.25">
      <c r="A11003">
        <v>21514</v>
      </c>
      <c r="B11003">
        <v>0</v>
      </c>
    </row>
    <row r="11004" spans="1:2" x14ac:dyDescent="0.25">
      <c r="A11004">
        <v>21516</v>
      </c>
      <c r="B11004">
        <v>0</v>
      </c>
    </row>
    <row r="11005" spans="1:2" x14ac:dyDescent="0.25">
      <c r="A11005">
        <v>21517</v>
      </c>
      <c r="B11005">
        <v>0</v>
      </c>
    </row>
    <row r="11006" spans="1:2" x14ac:dyDescent="0.25">
      <c r="A11006">
        <v>21519</v>
      </c>
      <c r="B11006">
        <v>0</v>
      </c>
    </row>
    <row r="11007" spans="1:2" x14ac:dyDescent="0.25">
      <c r="A11007">
        <v>21520</v>
      </c>
      <c r="B11007">
        <v>0</v>
      </c>
    </row>
    <row r="11008" spans="1:2" x14ac:dyDescent="0.25">
      <c r="A11008">
        <v>21521</v>
      </c>
      <c r="B11008">
        <v>0</v>
      </c>
    </row>
    <row r="11009" spans="1:2" x14ac:dyDescent="0.25">
      <c r="A11009">
        <v>21522</v>
      </c>
      <c r="B11009">
        <v>0</v>
      </c>
    </row>
    <row r="11010" spans="1:2" x14ac:dyDescent="0.25">
      <c r="A11010">
        <v>21523</v>
      </c>
      <c r="B11010">
        <v>0</v>
      </c>
    </row>
    <row r="11011" spans="1:2" x14ac:dyDescent="0.25">
      <c r="A11011">
        <v>21524</v>
      </c>
      <c r="B11011">
        <v>0</v>
      </c>
    </row>
    <row r="11012" spans="1:2" x14ac:dyDescent="0.25">
      <c r="A11012">
        <v>21525</v>
      </c>
      <c r="B11012">
        <v>0</v>
      </c>
    </row>
    <row r="11013" spans="1:2" x14ac:dyDescent="0.25">
      <c r="A11013">
        <v>21526</v>
      </c>
      <c r="B11013">
        <v>0</v>
      </c>
    </row>
    <row r="11014" spans="1:2" x14ac:dyDescent="0.25">
      <c r="A11014">
        <v>21527</v>
      </c>
      <c r="B11014">
        <v>0</v>
      </c>
    </row>
    <row r="11015" spans="1:2" x14ac:dyDescent="0.25">
      <c r="A11015">
        <v>21528</v>
      </c>
      <c r="B11015">
        <v>0</v>
      </c>
    </row>
    <row r="11016" spans="1:2" x14ac:dyDescent="0.25">
      <c r="A11016">
        <v>21529</v>
      </c>
      <c r="B11016">
        <v>0</v>
      </c>
    </row>
    <row r="11017" spans="1:2" x14ac:dyDescent="0.25">
      <c r="A11017">
        <v>21530</v>
      </c>
      <c r="B11017">
        <v>0</v>
      </c>
    </row>
    <row r="11018" spans="1:2" x14ac:dyDescent="0.25">
      <c r="A11018">
        <v>21531</v>
      </c>
      <c r="B11018">
        <v>0</v>
      </c>
    </row>
    <row r="11019" spans="1:2" x14ac:dyDescent="0.25">
      <c r="A11019">
        <v>21532</v>
      </c>
      <c r="B11019">
        <v>0</v>
      </c>
    </row>
    <row r="11020" spans="1:2" x14ac:dyDescent="0.25">
      <c r="A11020">
        <v>21533</v>
      </c>
      <c r="B11020">
        <v>0</v>
      </c>
    </row>
    <row r="11021" spans="1:2" x14ac:dyDescent="0.25">
      <c r="A11021">
        <v>21534</v>
      </c>
      <c r="B11021">
        <v>0</v>
      </c>
    </row>
    <row r="11022" spans="1:2" x14ac:dyDescent="0.25">
      <c r="A11022">
        <v>21537</v>
      </c>
      <c r="B11022">
        <v>0</v>
      </c>
    </row>
    <row r="11023" spans="1:2" x14ac:dyDescent="0.25">
      <c r="A11023">
        <v>21538</v>
      </c>
      <c r="B11023">
        <v>0</v>
      </c>
    </row>
    <row r="11024" spans="1:2" x14ac:dyDescent="0.25">
      <c r="A11024">
        <v>21539</v>
      </c>
      <c r="B11024">
        <v>0</v>
      </c>
    </row>
    <row r="11025" spans="1:2" x14ac:dyDescent="0.25">
      <c r="A11025">
        <v>21540</v>
      </c>
      <c r="B11025">
        <v>0</v>
      </c>
    </row>
    <row r="11026" spans="1:2" x14ac:dyDescent="0.25">
      <c r="A11026">
        <v>21541</v>
      </c>
      <c r="B11026">
        <v>0</v>
      </c>
    </row>
    <row r="11027" spans="1:2" x14ac:dyDescent="0.25">
      <c r="A11027">
        <v>21542</v>
      </c>
      <c r="B11027">
        <v>0</v>
      </c>
    </row>
    <row r="11028" spans="1:2" x14ac:dyDescent="0.25">
      <c r="A11028">
        <v>21549</v>
      </c>
      <c r="B11028">
        <v>0</v>
      </c>
    </row>
    <row r="11029" spans="1:2" x14ac:dyDescent="0.25">
      <c r="A11029">
        <v>21550</v>
      </c>
      <c r="B11029">
        <v>0</v>
      </c>
    </row>
    <row r="11030" spans="1:2" x14ac:dyDescent="0.25">
      <c r="A11030">
        <v>21552</v>
      </c>
      <c r="B11030">
        <v>0</v>
      </c>
    </row>
    <row r="11031" spans="1:2" x14ac:dyDescent="0.25">
      <c r="A11031">
        <v>21554</v>
      </c>
      <c r="B11031">
        <v>0</v>
      </c>
    </row>
    <row r="11032" spans="1:2" x14ac:dyDescent="0.25">
      <c r="A11032">
        <v>21557</v>
      </c>
      <c r="B11032">
        <v>0</v>
      </c>
    </row>
    <row r="11033" spans="1:2" x14ac:dyDescent="0.25">
      <c r="A11033">
        <v>21558</v>
      </c>
      <c r="B11033">
        <v>0</v>
      </c>
    </row>
    <row r="11034" spans="1:2" x14ac:dyDescent="0.25">
      <c r="A11034">
        <v>21566</v>
      </c>
      <c r="B11034">
        <v>0</v>
      </c>
    </row>
    <row r="11035" spans="1:2" x14ac:dyDescent="0.25">
      <c r="A11035">
        <v>21568</v>
      </c>
      <c r="B11035">
        <v>0</v>
      </c>
    </row>
    <row r="11036" spans="1:2" x14ac:dyDescent="0.25">
      <c r="A11036">
        <v>21570</v>
      </c>
      <c r="B11036">
        <v>0</v>
      </c>
    </row>
    <row r="11037" spans="1:2" x14ac:dyDescent="0.25">
      <c r="A11037">
        <v>21572</v>
      </c>
      <c r="B11037">
        <v>0</v>
      </c>
    </row>
    <row r="11038" spans="1:2" x14ac:dyDescent="0.25">
      <c r="A11038">
        <v>21574</v>
      </c>
      <c r="B11038">
        <v>0</v>
      </c>
    </row>
    <row r="11039" spans="1:2" x14ac:dyDescent="0.25">
      <c r="A11039">
        <v>21576</v>
      </c>
      <c r="B11039">
        <v>0</v>
      </c>
    </row>
    <row r="11040" spans="1:2" x14ac:dyDescent="0.25">
      <c r="A11040">
        <v>21577</v>
      </c>
      <c r="B11040">
        <v>0</v>
      </c>
    </row>
    <row r="11041" spans="1:2" x14ac:dyDescent="0.25">
      <c r="A11041">
        <v>21580</v>
      </c>
      <c r="B11041">
        <v>0</v>
      </c>
    </row>
    <row r="11042" spans="1:2" x14ac:dyDescent="0.25">
      <c r="A11042">
        <v>21582</v>
      </c>
      <c r="B11042">
        <v>0</v>
      </c>
    </row>
    <row r="11043" spans="1:2" x14ac:dyDescent="0.25">
      <c r="A11043">
        <v>21584</v>
      </c>
      <c r="B11043">
        <v>0</v>
      </c>
    </row>
    <row r="11044" spans="1:2" x14ac:dyDescent="0.25">
      <c r="A11044">
        <v>21586</v>
      </c>
      <c r="B11044">
        <v>0</v>
      </c>
    </row>
    <row r="11045" spans="1:2" x14ac:dyDescent="0.25">
      <c r="A11045">
        <v>21590</v>
      </c>
      <c r="B11045">
        <v>0</v>
      </c>
    </row>
    <row r="11046" spans="1:2" x14ac:dyDescent="0.25">
      <c r="A11046">
        <v>21606</v>
      </c>
      <c r="B11046">
        <v>0</v>
      </c>
    </row>
    <row r="11047" spans="1:2" x14ac:dyDescent="0.25">
      <c r="A11047">
        <v>21607</v>
      </c>
      <c r="B11047">
        <v>0</v>
      </c>
    </row>
    <row r="11048" spans="1:2" x14ac:dyDescent="0.25">
      <c r="A11048">
        <v>21608</v>
      </c>
      <c r="B11048">
        <v>0</v>
      </c>
    </row>
    <row r="11049" spans="1:2" x14ac:dyDescent="0.25">
      <c r="A11049">
        <v>21609</v>
      </c>
      <c r="B11049">
        <v>0</v>
      </c>
    </row>
    <row r="11050" spans="1:2" x14ac:dyDescent="0.25">
      <c r="A11050">
        <v>21611</v>
      </c>
      <c r="B11050">
        <v>0</v>
      </c>
    </row>
    <row r="11051" spans="1:2" x14ac:dyDescent="0.25">
      <c r="A11051">
        <v>21613</v>
      </c>
      <c r="B11051">
        <v>0</v>
      </c>
    </row>
    <row r="11052" spans="1:2" x14ac:dyDescent="0.25">
      <c r="A11052">
        <v>21615</v>
      </c>
      <c r="B11052">
        <v>0</v>
      </c>
    </row>
    <row r="11053" spans="1:2" x14ac:dyDescent="0.25">
      <c r="A11053">
        <v>21617</v>
      </c>
      <c r="B11053">
        <v>0</v>
      </c>
    </row>
    <row r="11054" spans="1:2" x14ac:dyDescent="0.25">
      <c r="A11054">
        <v>21619</v>
      </c>
      <c r="B11054">
        <v>0</v>
      </c>
    </row>
    <row r="11055" spans="1:2" x14ac:dyDescent="0.25">
      <c r="A11055">
        <v>21621</v>
      </c>
      <c r="B11055">
        <v>0</v>
      </c>
    </row>
    <row r="11056" spans="1:2" x14ac:dyDescent="0.25">
      <c r="A11056">
        <v>21623</v>
      </c>
      <c r="B11056">
        <v>0</v>
      </c>
    </row>
    <row r="11057" spans="1:2" x14ac:dyDescent="0.25">
      <c r="A11057">
        <v>21625</v>
      </c>
      <c r="B11057">
        <v>0</v>
      </c>
    </row>
    <row r="11058" spans="1:2" x14ac:dyDescent="0.25">
      <c r="A11058">
        <v>21629</v>
      </c>
      <c r="B11058">
        <v>0</v>
      </c>
    </row>
    <row r="11059" spans="1:2" x14ac:dyDescent="0.25">
      <c r="A11059">
        <v>21632</v>
      </c>
      <c r="B11059">
        <v>0</v>
      </c>
    </row>
    <row r="11060" spans="1:2" x14ac:dyDescent="0.25">
      <c r="A11060">
        <v>21634</v>
      </c>
      <c r="B11060">
        <v>0</v>
      </c>
    </row>
    <row r="11061" spans="1:2" x14ac:dyDescent="0.25">
      <c r="A11061">
        <v>21636</v>
      </c>
      <c r="B11061">
        <v>0</v>
      </c>
    </row>
    <row r="11062" spans="1:2" x14ac:dyDescent="0.25">
      <c r="A11062">
        <v>21638</v>
      </c>
      <c r="B11062">
        <v>0</v>
      </c>
    </row>
    <row r="11063" spans="1:2" x14ac:dyDescent="0.25">
      <c r="A11063">
        <v>21640</v>
      </c>
      <c r="B11063">
        <v>0</v>
      </c>
    </row>
    <row r="11064" spans="1:2" x14ac:dyDescent="0.25">
      <c r="A11064">
        <v>21642</v>
      </c>
      <c r="B11064">
        <v>0</v>
      </c>
    </row>
    <row r="11065" spans="1:2" x14ac:dyDescent="0.25">
      <c r="A11065">
        <v>21644</v>
      </c>
      <c r="B11065">
        <v>0</v>
      </c>
    </row>
    <row r="11066" spans="1:2" x14ac:dyDescent="0.25">
      <c r="A11066">
        <v>21646</v>
      </c>
      <c r="B11066">
        <v>0</v>
      </c>
    </row>
    <row r="11067" spans="1:2" x14ac:dyDescent="0.25">
      <c r="A11067">
        <v>21648</v>
      </c>
      <c r="B11067">
        <v>0</v>
      </c>
    </row>
    <row r="11068" spans="1:2" x14ac:dyDescent="0.25">
      <c r="A11068">
        <v>21650</v>
      </c>
      <c r="B11068">
        <v>0</v>
      </c>
    </row>
    <row r="11069" spans="1:2" x14ac:dyDescent="0.25">
      <c r="A11069">
        <v>21652</v>
      </c>
      <c r="B11069">
        <v>0</v>
      </c>
    </row>
    <row r="11070" spans="1:2" x14ac:dyDescent="0.25">
      <c r="A11070">
        <v>21654</v>
      </c>
      <c r="B11070">
        <v>0</v>
      </c>
    </row>
    <row r="11071" spans="1:2" x14ac:dyDescent="0.25">
      <c r="A11071">
        <v>21656</v>
      </c>
      <c r="B11071">
        <v>0</v>
      </c>
    </row>
    <row r="11072" spans="1:2" x14ac:dyDescent="0.25">
      <c r="A11072">
        <v>21658</v>
      </c>
      <c r="B11072">
        <v>0</v>
      </c>
    </row>
    <row r="11073" spans="1:2" x14ac:dyDescent="0.25">
      <c r="A11073">
        <v>21660</v>
      </c>
      <c r="B11073">
        <v>0</v>
      </c>
    </row>
    <row r="11074" spans="1:2" x14ac:dyDescent="0.25">
      <c r="A11074">
        <v>21662</v>
      </c>
      <c r="B11074">
        <v>0</v>
      </c>
    </row>
    <row r="11075" spans="1:2" x14ac:dyDescent="0.25">
      <c r="A11075">
        <v>21664</v>
      </c>
      <c r="B11075">
        <v>0</v>
      </c>
    </row>
    <row r="11076" spans="1:2" x14ac:dyDescent="0.25">
      <c r="A11076">
        <v>21666</v>
      </c>
      <c r="B11076">
        <v>0</v>
      </c>
    </row>
    <row r="11077" spans="1:2" x14ac:dyDescent="0.25">
      <c r="A11077">
        <v>21668</v>
      </c>
      <c r="B11077">
        <v>0</v>
      </c>
    </row>
    <row r="11078" spans="1:2" x14ac:dyDescent="0.25">
      <c r="A11078">
        <v>21670</v>
      </c>
      <c r="B11078">
        <v>0</v>
      </c>
    </row>
    <row r="11079" spans="1:2" x14ac:dyDescent="0.25">
      <c r="A11079">
        <v>21672</v>
      </c>
      <c r="B11079">
        <v>0</v>
      </c>
    </row>
    <row r="11080" spans="1:2" x14ac:dyDescent="0.25">
      <c r="A11080">
        <v>21674</v>
      </c>
      <c r="B11080">
        <v>0</v>
      </c>
    </row>
    <row r="11081" spans="1:2" x14ac:dyDescent="0.25">
      <c r="A11081">
        <v>21676</v>
      </c>
      <c r="B11081">
        <v>0</v>
      </c>
    </row>
    <row r="11082" spans="1:2" x14ac:dyDescent="0.25">
      <c r="A11082">
        <v>21678</v>
      </c>
      <c r="B11082">
        <v>0</v>
      </c>
    </row>
    <row r="11083" spans="1:2" x14ac:dyDescent="0.25">
      <c r="A11083">
        <v>21679</v>
      </c>
      <c r="B11083">
        <v>0</v>
      </c>
    </row>
    <row r="11084" spans="1:2" x14ac:dyDescent="0.25">
      <c r="A11084">
        <v>21680</v>
      </c>
      <c r="B11084">
        <v>0</v>
      </c>
    </row>
    <row r="11085" spans="1:2" x14ac:dyDescent="0.25">
      <c r="A11085">
        <v>21681</v>
      </c>
      <c r="B11085">
        <v>0</v>
      </c>
    </row>
    <row r="11086" spans="1:2" x14ac:dyDescent="0.25">
      <c r="A11086">
        <v>21682</v>
      </c>
      <c r="B11086">
        <v>0</v>
      </c>
    </row>
    <row r="11087" spans="1:2" x14ac:dyDescent="0.25">
      <c r="A11087">
        <v>21683</v>
      </c>
      <c r="B11087">
        <v>0</v>
      </c>
    </row>
    <row r="11088" spans="1:2" x14ac:dyDescent="0.25">
      <c r="A11088">
        <v>21684</v>
      </c>
      <c r="B11088">
        <v>0</v>
      </c>
    </row>
    <row r="11089" spans="1:2" x14ac:dyDescent="0.25">
      <c r="A11089">
        <v>21685</v>
      </c>
      <c r="B11089">
        <v>0</v>
      </c>
    </row>
    <row r="11090" spans="1:2" x14ac:dyDescent="0.25">
      <c r="A11090">
        <v>21686</v>
      </c>
      <c r="B11090">
        <v>0</v>
      </c>
    </row>
    <row r="11091" spans="1:2" x14ac:dyDescent="0.25">
      <c r="A11091">
        <v>21687</v>
      </c>
      <c r="B11091">
        <v>0</v>
      </c>
    </row>
    <row r="11092" spans="1:2" x14ac:dyDescent="0.25">
      <c r="A11092">
        <v>21688</v>
      </c>
      <c r="B11092">
        <v>0</v>
      </c>
    </row>
    <row r="11093" spans="1:2" x14ac:dyDescent="0.25">
      <c r="A11093">
        <v>21689</v>
      </c>
      <c r="B11093">
        <v>0</v>
      </c>
    </row>
    <row r="11094" spans="1:2" x14ac:dyDescent="0.25">
      <c r="A11094">
        <v>21690</v>
      </c>
      <c r="B11094">
        <v>0</v>
      </c>
    </row>
    <row r="11095" spans="1:2" x14ac:dyDescent="0.25">
      <c r="A11095">
        <v>21691</v>
      </c>
      <c r="B11095">
        <v>0</v>
      </c>
    </row>
    <row r="11096" spans="1:2" x14ac:dyDescent="0.25">
      <c r="A11096">
        <v>21692</v>
      </c>
      <c r="B11096">
        <v>0</v>
      </c>
    </row>
    <row r="11097" spans="1:2" x14ac:dyDescent="0.25">
      <c r="A11097">
        <v>21693</v>
      </c>
      <c r="B11097">
        <v>0</v>
      </c>
    </row>
    <row r="11098" spans="1:2" x14ac:dyDescent="0.25">
      <c r="A11098">
        <v>21694</v>
      </c>
      <c r="B11098">
        <v>0</v>
      </c>
    </row>
    <row r="11099" spans="1:2" x14ac:dyDescent="0.25">
      <c r="A11099">
        <v>21695</v>
      </c>
      <c r="B11099">
        <v>0</v>
      </c>
    </row>
    <row r="11100" spans="1:2" x14ac:dyDescent="0.25">
      <c r="A11100">
        <v>21696</v>
      </c>
      <c r="B11100">
        <v>0</v>
      </c>
    </row>
    <row r="11101" spans="1:2" x14ac:dyDescent="0.25">
      <c r="A11101">
        <v>21697</v>
      </c>
      <c r="B11101">
        <v>0</v>
      </c>
    </row>
    <row r="11102" spans="1:2" x14ac:dyDescent="0.25">
      <c r="A11102">
        <v>21707</v>
      </c>
      <c r="B11102">
        <v>0</v>
      </c>
    </row>
    <row r="11103" spans="1:2" x14ac:dyDescent="0.25">
      <c r="A11103">
        <v>21708</v>
      </c>
      <c r="B11103">
        <v>0</v>
      </c>
    </row>
    <row r="11104" spans="1:2" x14ac:dyDescent="0.25">
      <c r="A11104">
        <v>21710</v>
      </c>
      <c r="B11104">
        <v>0</v>
      </c>
    </row>
    <row r="11105" spans="1:2" x14ac:dyDescent="0.25">
      <c r="A11105">
        <v>21712</v>
      </c>
      <c r="B11105">
        <v>0</v>
      </c>
    </row>
    <row r="11106" spans="1:2" x14ac:dyDescent="0.25">
      <c r="A11106">
        <v>21714</v>
      </c>
      <c r="B11106">
        <v>0</v>
      </c>
    </row>
    <row r="11107" spans="1:2" x14ac:dyDescent="0.25">
      <c r="A11107">
        <v>21716</v>
      </c>
      <c r="B11107">
        <v>0</v>
      </c>
    </row>
    <row r="11108" spans="1:2" x14ac:dyDescent="0.25">
      <c r="A11108">
        <v>21718</v>
      </c>
      <c r="B11108">
        <v>0</v>
      </c>
    </row>
    <row r="11109" spans="1:2" x14ac:dyDescent="0.25">
      <c r="A11109">
        <v>21720</v>
      </c>
      <c r="B11109">
        <v>0</v>
      </c>
    </row>
    <row r="11110" spans="1:2" x14ac:dyDescent="0.25">
      <c r="A11110">
        <v>21722</v>
      </c>
      <c r="B11110">
        <v>0</v>
      </c>
    </row>
    <row r="11111" spans="1:2" x14ac:dyDescent="0.25">
      <c r="A11111">
        <v>21724</v>
      </c>
      <c r="B11111">
        <v>0</v>
      </c>
    </row>
    <row r="11112" spans="1:2" x14ac:dyDescent="0.25">
      <c r="A11112">
        <v>21726</v>
      </c>
      <c r="B11112">
        <v>0</v>
      </c>
    </row>
    <row r="11113" spans="1:2" x14ac:dyDescent="0.25">
      <c r="A11113">
        <v>21728</v>
      </c>
      <c r="B11113">
        <v>0</v>
      </c>
    </row>
    <row r="11114" spans="1:2" x14ac:dyDescent="0.25">
      <c r="A11114">
        <v>21731</v>
      </c>
      <c r="B11114">
        <v>0</v>
      </c>
    </row>
    <row r="11115" spans="1:2" x14ac:dyDescent="0.25">
      <c r="A11115">
        <v>21733</v>
      </c>
      <c r="B11115">
        <v>0</v>
      </c>
    </row>
    <row r="11116" spans="1:2" x14ac:dyDescent="0.25">
      <c r="A11116">
        <v>21735</v>
      </c>
      <c r="B11116">
        <v>0</v>
      </c>
    </row>
    <row r="11117" spans="1:2" x14ac:dyDescent="0.25">
      <c r="A11117">
        <v>21737</v>
      </c>
      <c r="B11117">
        <v>0</v>
      </c>
    </row>
    <row r="11118" spans="1:2" x14ac:dyDescent="0.25">
      <c r="A11118">
        <v>21739</v>
      </c>
      <c r="B11118">
        <v>0</v>
      </c>
    </row>
    <row r="11119" spans="1:2" x14ac:dyDescent="0.25">
      <c r="A11119">
        <v>21741</v>
      </c>
      <c r="B11119">
        <v>0</v>
      </c>
    </row>
    <row r="11120" spans="1:2" x14ac:dyDescent="0.25">
      <c r="A11120">
        <v>21744</v>
      </c>
      <c r="B11120">
        <v>0</v>
      </c>
    </row>
    <row r="11121" spans="1:2" x14ac:dyDescent="0.25">
      <c r="A11121">
        <v>21751</v>
      </c>
      <c r="B11121">
        <v>0</v>
      </c>
    </row>
    <row r="11122" spans="1:2" x14ac:dyDescent="0.25">
      <c r="A11122">
        <v>21752</v>
      </c>
      <c r="B11122">
        <v>0</v>
      </c>
    </row>
    <row r="11123" spans="1:2" x14ac:dyDescent="0.25">
      <c r="A11123">
        <v>21753</v>
      </c>
      <c r="B11123">
        <v>0</v>
      </c>
    </row>
    <row r="11124" spans="1:2" x14ac:dyDescent="0.25">
      <c r="A11124">
        <v>21754</v>
      </c>
      <c r="B11124">
        <v>0</v>
      </c>
    </row>
    <row r="11125" spans="1:2" x14ac:dyDescent="0.25">
      <c r="A11125">
        <v>21757</v>
      </c>
      <c r="B11125">
        <v>0</v>
      </c>
    </row>
    <row r="11126" spans="1:2" x14ac:dyDescent="0.25">
      <c r="A11126">
        <v>21758</v>
      </c>
      <c r="B11126">
        <v>0</v>
      </c>
    </row>
    <row r="11127" spans="1:2" x14ac:dyDescent="0.25">
      <c r="A11127">
        <v>21759</v>
      </c>
      <c r="B11127">
        <v>0</v>
      </c>
    </row>
    <row r="11128" spans="1:2" x14ac:dyDescent="0.25">
      <c r="A11128">
        <v>21760</v>
      </c>
      <c r="B11128">
        <v>0</v>
      </c>
    </row>
    <row r="11129" spans="1:2" x14ac:dyDescent="0.25">
      <c r="A11129">
        <v>21762</v>
      </c>
      <c r="B11129">
        <v>0</v>
      </c>
    </row>
    <row r="11130" spans="1:2" x14ac:dyDescent="0.25">
      <c r="A11130">
        <v>21765</v>
      </c>
      <c r="B11130">
        <v>0</v>
      </c>
    </row>
    <row r="11131" spans="1:2" x14ac:dyDescent="0.25">
      <c r="A11131">
        <v>21767</v>
      </c>
      <c r="B11131">
        <v>0</v>
      </c>
    </row>
    <row r="11132" spans="1:2" x14ac:dyDescent="0.25">
      <c r="A11132">
        <v>21771</v>
      </c>
      <c r="B11132">
        <v>0</v>
      </c>
    </row>
    <row r="11133" spans="1:2" x14ac:dyDescent="0.25">
      <c r="A11133">
        <v>21774</v>
      </c>
      <c r="B11133">
        <v>0</v>
      </c>
    </row>
    <row r="11134" spans="1:2" x14ac:dyDescent="0.25">
      <c r="A11134">
        <v>21775</v>
      </c>
      <c r="B11134">
        <v>0</v>
      </c>
    </row>
    <row r="11135" spans="1:2" x14ac:dyDescent="0.25">
      <c r="A11135">
        <v>21776</v>
      </c>
      <c r="B11135">
        <v>0</v>
      </c>
    </row>
    <row r="11136" spans="1:2" x14ac:dyDescent="0.25">
      <c r="A11136">
        <v>21777</v>
      </c>
      <c r="B11136">
        <v>0</v>
      </c>
    </row>
    <row r="11137" spans="1:2" x14ac:dyDescent="0.25">
      <c r="A11137">
        <v>21778</v>
      </c>
      <c r="B11137">
        <v>0</v>
      </c>
    </row>
    <row r="11138" spans="1:2" x14ac:dyDescent="0.25">
      <c r="A11138">
        <v>21779</v>
      </c>
      <c r="B11138">
        <v>0</v>
      </c>
    </row>
    <row r="11139" spans="1:2" x14ac:dyDescent="0.25">
      <c r="A11139">
        <v>21781</v>
      </c>
      <c r="B11139">
        <v>0</v>
      </c>
    </row>
    <row r="11140" spans="1:2" x14ac:dyDescent="0.25">
      <c r="A11140">
        <v>21782</v>
      </c>
      <c r="B11140">
        <v>0</v>
      </c>
    </row>
    <row r="11141" spans="1:2" x14ac:dyDescent="0.25">
      <c r="A11141">
        <v>21783</v>
      </c>
      <c r="B11141">
        <v>0</v>
      </c>
    </row>
    <row r="11142" spans="1:2" x14ac:dyDescent="0.25">
      <c r="A11142">
        <v>21785</v>
      </c>
      <c r="B11142">
        <v>0</v>
      </c>
    </row>
    <row r="11143" spans="1:2" x14ac:dyDescent="0.25">
      <c r="A11143">
        <v>21786</v>
      </c>
      <c r="B11143">
        <v>0</v>
      </c>
    </row>
    <row r="11144" spans="1:2" x14ac:dyDescent="0.25">
      <c r="A11144">
        <v>21787</v>
      </c>
      <c r="B11144">
        <v>0</v>
      </c>
    </row>
    <row r="11145" spans="1:2" x14ac:dyDescent="0.25">
      <c r="A11145">
        <v>21788</v>
      </c>
      <c r="B11145">
        <v>0</v>
      </c>
    </row>
    <row r="11146" spans="1:2" x14ac:dyDescent="0.25">
      <c r="A11146">
        <v>21789</v>
      </c>
      <c r="B11146">
        <v>0</v>
      </c>
    </row>
    <row r="11147" spans="1:2" x14ac:dyDescent="0.25">
      <c r="A11147">
        <v>21790</v>
      </c>
      <c r="B11147">
        <v>0</v>
      </c>
    </row>
    <row r="11148" spans="1:2" x14ac:dyDescent="0.25">
      <c r="A11148">
        <v>21791</v>
      </c>
      <c r="B11148">
        <v>0</v>
      </c>
    </row>
    <row r="11149" spans="1:2" x14ac:dyDescent="0.25">
      <c r="A11149">
        <v>21792</v>
      </c>
      <c r="B11149">
        <v>0</v>
      </c>
    </row>
    <row r="11150" spans="1:2" x14ac:dyDescent="0.25">
      <c r="A11150">
        <v>21794</v>
      </c>
      <c r="B11150">
        <v>0</v>
      </c>
    </row>
    <row r="11151" spans="1:2" x14ac:dyDescent="0.25">
      <c r="A11151">
        <v>21795</v>
      </c>
      <c r="B11151">
        <v>0</v>
      </c>
    </row>
    <row r="11152" spans="1:2" x14ac:dyDescent="0.25">
      <c r="A11152">
        <v>21797</v>
      </c>
      <c r="B11152">
        <v>0</v>
      </c>
    </row>
    <row r="11153" spans="1:2" x14ac:dyDescent="0.25">
      <c r="A11153">
        <v>21798</v>
      </c>
      <c r="B11153">
        <v>0</v>
      </c>
    </row>
    <row r="11154" spans="1:2" x14ac:dyDescent="0.25">
      <c r="A11154">
        <v>21799</v>
      </c>
      <c r="B11154">
        <v>0</v>
      </c>
    </row>
    <row r="11155" spans="1:2" x14ac:dyDescent="0.25">
      <c r="A11155">
        <v>21807</v>
      </c>
      <c r="B11155">
        <v>0</v>
      </c>
    </row>
    <row r="11156" spans="1:2" x14ac:dyDescent="0.25">
      <c r="A11156">
        <v>21809</v>
      </c>
      <c r="B11156">
        <v>0</v>
      </c>
    </row>
    <row r="11157" spans="1:2" x14ac:dyDescent="0.25">
      <c r="A11157">
        <v>21821</v>
      </c>
      <c r="B11157">
        <v>0</v>
      </c>
    </row>
    <row r="11158" spans="1:2" x14ac:dyDescent="0.25">
      <c r="A11158">
        <v>21822</v>
      </c>
      <c r="B11158">
        <v>0</v>
      </c>
    </row>
    <row r="11159" spans="1:2" x14ac:dyDescent="0.25">
      <c r="A11159">
        <v>21823</v>
      </c>
      <c r="B11159">
        <v>0</v>
      </c>
    </row>
    <row r="11160" spans="1:2" x14ac:dyDescent="0.25">
      <c r="A11160">
        <v>21824</v>
      </c>
      <c r="B11160">
        <v>0</v>
      </c>
    </row>
    <row r="11161" spans="1:2" x14ac:dyDescent="0.25">
      <c r="A11161">
        <v>21825</v>
      </c>
      <c r="B11161">
        <v>0</v>
      </c>
    </row>
    <row r="11162" spans="1:2" x14ac:dyDescent="0.25">
      <c r="A11162">
        <v>21827</v>
      </c>
      <c r="B11162">
        <v>0</v>
      </c>
    </row>
    <row r="11163" spans="1:2" x14ac:dyDescent="0.25">
      <c r="A11163">
        <v>21829</v>
      </c>
      <c r="B11163">
        <v>0</v>
      </c>
    </row>
    <row r="11164" spans="1:2" x14ac:dyDescent="0.25">
      <c r="A11164">
        <v>21833</v>
      </c>
      <c r="B11164">
        <v>0</v>
      </c>
    </row>
    <row r="11165" spans="1:2" x14ac:dyDescent="0.25">
      <c r="A11165">
        <v>21835</v>
      </c>
      <c r="B11165">
        <v>0</v>
      </c>
    </row>
    <row r="11166" spans="1:2" x14ac:dyDescent="0.25">
      <c r="A11166">
        <v>21838</v>
      </c>
      <c r="B11166">
        <v>0</v>
      </c>
    </row>
    <row r="11167" spans="1:2" x14ac:dyDescent="0.25">
      <c r="A11167">
        <v>21839</v>
      </c>
      <c r="B11167">
        <v>0</v>
      </c>
    </row>
    <row r="11168" spans="1:2" x14ac:dyDescent="0.25">
      <c r="A11168">
        <v>21841</v>
      </c>
      <c r="B11168">
        <v>0</v>
      </c>
    </row>
    <row r="11169" spans="1:2" x14ac:dyDescent="0.25">
      <c r="A11169">
        <v>21843</v>
      </c>
      <c r="B11169">
        <v>0</v>
      </c>
    </row>
    <row r="11170" spans="1:2" x14ac:dyDescent="0.25">
      <c r="A11170">
        <v>21845</v>
      </c>
      <c r="B11170">
        <v>0</v>
      </c>
    </row>
    <row r="11171" spans="1:2" x14ac:dyDescent="0.25">
      <c r="A11171">
        <v>21847</v>
      </c>
      <c r="B11171">
        <v>0</v>
      </c>
    </row>
    <row r="11172" spans="1:2" x14ac:dyDescent="0.25">
      <c r="A11172">
        <v>21849</v>
      </c>
      <c r="B11172">
        <v>0</v>
      </c>
    </row>
    <row r="11173" spans="1:2" x14ac:dyDescent="0.25">
      <c r="A11173">
        <v>21851</v>
      </c>
      <c r="B11173">
        <v>0</v>
      </c>
    </row>
    <row r="11174" spans="1:2" x14ac:dyDescent="0.25">
      <c r="A11174">
        <v>21853</v>
      </c>
      <c r="B11174">
        <v>0</v>
      </c>
    </row>
    <row r="11175" spans="1:2" x14ac:dyDescent="0.25">
      <c r="A11175">
        <v>21856</v>
      </c>
      <c r="B11175">
        <v>0</v>
      </c>
    </row>
    <row r="11176" spans="1:2" x14ac:dyDescent="0.25">
      <c r="A11176">
        <v>21860</v>
      </c>
      <c r="B11176">
        <v>0</v>
      </c>
    </row>
    <row r="11177" spans="1:2" x14ac:dyDescent="0.25">
      <c r="A11177">
        <v>21868</v>
      </c>
      <c r="B11177">
        <v>0</v>
      </c>
    </row>
    <row r="11178" spans="1:2" x14ac:dyDescent="0.25">
      <c r="A11178">
        <v>21870</v>
      </c>
      <c r="B11178">
        <v>0</v>
      </c>
    </row>
    <row r="11179" spans="1:2" x14ac:dyDescent="0.25">
      <c r="A11179">
        <v>21873</v>
      </c>
      <c r="B11179">
        <v>0</v>
      </c>
    </row>
    <row r="11180" spans="1:2" x14ac:dyDescent="0.25">
      <c r="A11180">
        <v>21874</v>
      </c>
      <c r="B11180">
        <v>0</v>
      </c>
    </row>
    <row r="11181" spans="1:2" x14ac:dyDescent="0.25">
      <c r="A11181">
        <v>21878</v>
      </c>
      <c r="B11181">
        <v>0</v>
      </c>
    </row>
    <row r="11182" spans="1:2" x14ac:dyDescent="0.25">
      <c r="A11182">
        <v>21880</v>
      </c>
      <c r="B11182">
        <v>0</v>
      </c>
    </row>
    <row r="11183" spans="1:2" x14ac:dyDescent="0.25">
      <c r="A11183">
        <v>21882</v>
      </c>
      <c r="B11183">
        <v>0</v>
      </c>
    </row>
    <row r="11184" spans="1:2" x14ac:dyDescent="0.25">
      <c r="A11184">
        <v>21884</v>
      </c>
      <c r="B11184">
        <v>0</v>
      </c>
    </row>
    <row r="11185" spans="1:2" x14ac:dyDescent="0.25">
      <c r="A11185">
        <v>21885</v>
      </c>
      <c r="B11185">
        <v>0</v>
      </c>
    </row>
    <row r="11186" spans="1:2" x14ac:dyDescent="0.25">
      <c r="A11186">
        <v>21886</v>
      </c>
      <c r="B11186">
        <v>0</v>
      </c>
    </row>
    <row r="11187" spans="1:2" x14ac:dyDescent="0.25">
      <c r="A11187">
        <v>21887</v>
      </c>
      <c r="B11187">
        <v>0</v>
      </c>
    </row>
    <row r="11188" spans="1:2" x14ac:dyDescent="0.25">
      <c r="A11188">
        <v>21888</v>
      </c>
      <c r="B11188">
        <v>0</v>
      </c>
    </row>
    <row r="11189" spans="1:2" x14ac:dyDescent="0.25">
      <c r="A11189">
        <v>21890</v>
      </c>
      <c r="B11189">
        <v>0</v>
      </c>
    </row>
    <row r="11190" spans="1:2" x14ac:dyDescent="0.25">
      <c r="A11190">
        <v>21892</v>
      </c>
      <c r="B11190">
        <v>0</v>
      </c>
    </row>
    <row r="11191" spans="1:2" x14ac:dyDescent="0.25">
      <c r="A11191">
        <v>21894</v>
      </c>
      <c r="B11191">
        <v>0</v>
      </c>
    </row>
    <row r="11192" spans="1:2" x14ac:dyDescent="0.25">
      <c r="A11192">
        <v>21896</v>
      </c>
      <c r="B11192">
        <v>0</v>
      </c>
    </row>
    <row r="11193" spans="1:2" x14ac:dyDescent="0.25">
      <c r="A11193">
        <v>21898</v>
      </c>
      <c r="B11193">
        <v>0</v>
      </c>
    </row>
    <row r="11194" spans="1:2" x14ac:dyDescent="0.25">
      <c r="A11194">
        <v>21900</v>
      </c>
      <c r="B11194">
        <v>0</v>
      </c>
    </row>
    <row r="11195" spans="1:2" x14ac:dyDescent="0.25">
      <c r="A11195">
        <v>21901</v>
      </c>
      <c r="B11195">
        <v>0</v>
      </c>
    </row>
    <row r="11196" spans="1:2" x14ac:dyDescent="0.25">
      <c r="A11196">
        <v>21902</v>
      </c>
      <c r="B11196">
        <v>0</v>
      </c>
    </row>
    <row r="11197" spans="1:2" x14ac:dyDescent="0.25">
      <c r="A11197">
        <v>21903</v>
      </c>
      <c r="B11197">
        <v>0</v>
      </c>
    </row>
    <row r="11198" spans="1:2" x14ac:dyDescent="0.25">
      <c r="A11198">
        <v>21904</v>
      </c>
      <c r="B11198">
        <v>0</v>
      </c>
    </row>
    <row r="11199" spans="1:2" x14ac:dyDescent="0.25">
      <c r="A11199">
        <v>21907</v>
      </c>
      <c r="B11199">
        <v>0</v>
      </c>
    </row>
    <row r="11200" spans="1:2" x14ac:dyDescent="0.25">
      <c r="A11200">
        <v>21908</v>
      </c>
      <c r="B11200">
        <v>0</v>
      </c>
    </row>
    <row r="11201" spans="1:2" x14ac:dyDescent="0.25">
      <c r="A11201">
        <v>21910</v>
      </c>
      <c r="B11201">
        <v>0</v>
      </c>
    </row>
    <row r="11202" spans="1:2" x14ac:dyDescent="0.25">
      <c r="A11202">
        <v>21912</v>
      </c>
      <c r="B11202">
        <v>0</v>
      </c>
    </row>
    <row r="11203" spans="1:2" x14ac:dyDescent="0.25">
      <c r="A11203">
        <v>21916</v>
      </c>
      <c r="B11203">
        <v>0</v>
      </c>
    </row>
    <row r="11204" spans="1:2" x14ac:dyDescent="0.25">
      <c r="A11204">
        <v>21921</v>
      </c>
      <c r="B11204">
        <v>0</v>
      </c>
    </row>
    <row r="11205" spans="1:2" x14ac:dyDescent="0.25">
      <c r="A11205">
        <v>21922</v>
      </c>
      <c r="B11205">
        <v>0</v>
      </c>
    </row>
    <row r="11206" spans="1:2" x14ac:dyDescent="0.25">
      <c r="A11206">
        <v>21923</v>
      </c>
      <c r="B11206">
        <v>0</v>
      </c>
    </row>
    <row r="11207" spans="1:2" x14ac:dyDescent="0.25">
      <c r="A11207">
        <v>21924</v>
      </c>
      <c r="B11207">
        <v>0</v>
      </c>
    </row>
    <row r="11208" spans="1:2" x14ac:dyDescent="0.25">
      <c r="A11208">
        <v>21925</v>
      </c>
      <c r="B11208">
        <v>0</v>
      </c>
    </row>
    <row r="11209" spans="1:2" x14ac:dyDescent="0.25">
      <c r="A11209">
        <v>21927</v>
      </c>
      <c r="B11209">
        <v>0</v>
      </c>
    </row>
    <row r="11210" spans="1:2" x14ac:dyDescent="0.25">
      <c r="A11210">
        <v>21928</v>
      </c>
      <c r="B11210">
        <v>0</v>
      </c>
    </row>
    <row r="11211" spans="1:2" x14ac:dyDescent="0.25">
      <c r="A11211">
        <v>21930</v>
      </c>
      <c r="B11211">
        <v>0</v>
      </c>
    </row>
    <row r="11212" spans="1:2" x14ac:dyDescent="0.25">
      <c r="A11212">
        <v>21932</v>
      </c>
      <c r="B11212">
        <v>0</v>
      </c>
    </row>
    <row r="11213" spans="1:2" x14ac:dyDescent="0.25">
      <c r="A11213">
        <v>21934</v>
      </c>
      <c r="B11213">
        <v>0</v>
      </c>
    </row>
    <row r="11214" spans="1:2" x14ac:dyDescent="0.25">
      <c r="A11214">
        <v>21936</v>
      </c>
      <c r="B11214">
        <v>0</v>
      </c>
    </row>
    <row r="11215" spans="1:2" x14ac:dyDescent="0.25">
      <c r="A11215">
        <v>21941</v>
      </c>
      <c r="B11215">
        <v>0</v>
      </c>
    </row>
    <row r="11216" spans="1:2" x14ac:dyDescent="0.25">
      <c r="A11216">
        <v>21944</v>
      </c>
      <c r="B11216">
        <v>0</v>
      </c>
    </row>
    <row r="11217" spans="1:2" x14ac:dyDescent="0.25">
      <c r="A11217">
        <v>21945</v>
      </c>
      <c r="B11217">
        <v>0</v>
      </c>
    </row>
    <row r="11218" spans="1:2" x14ac:dyDescent="0.25">
      <c r="A11218">
        <v>21946</v>
      </c>
      <c r="B11218">
        <v>0</v>
      </c>
    </row>
    <row r="11219" spans="1:2" x14ac:dyDescent="0.25">
      <c r="A11219">
        <v>21949</v>
      </c>
      <c r="B11219">
        <v>0</v>
      </c>
    </row>
    <row r="11220" spans="1:2" x14ac:dyDescent="0.25">
      <c r="A11220">
        <v>21950</v>
      </c>
      <c r="B11220">
        <v>0</v>
      </c>
    </row>
    <row r="11221" spans="1:2" x14ac:dyDescent="0.25">
      <c r="A11221">
        <v>21952</v>
      </c>
      <c r="B11221">
        <v>0</v>
      </c>
    </row>
    <row r="11222" spans="1:2" x14ac:dyDescent="0.25">
      <c r="A11222">
        <v>21953</v>
      </c>
      <c r="B11222">
        <v>0</v>
      </c>
    </row>
    <row r="11223" spans="1:2" x14ac:dyDescent="0.25">
      <c r="A11223">
        <v>21954</v>
      </c>
      <c r="B11223">
        <v>0</v>
      </c>
    </row>
    <row r="11224" spans="1:2" x14ac:dyDescent="0.25">
      <c r="A11224">
        <v>21955</v>
      </c>
      <c r="B11224">
        <v>0</v>
      </c>
    </row>
    <row r="11225" spans="1:2" x14ac:dyDescent="0.25">
      <c r="A11225">
        <v>21956</v>
      </c>
      <c r="B11225">
        <v>0</v>
      </c>
    </row>
    <row r="11226" spans="1:2" x14ac:dyDescent="0.25">
      <c r="A11226">
        <v>21957</v>
      </c>
      <c r="B11226">
        <v>0</v>
      </c>
    </row>
    <row r="11227" spans="1:2" x14ac:dyDescent="0.25">
      <c r="A11227">
        <v>21958</v>
      </c>
      <c r="B11227">
        <v>0</v>
      </c>
    </row>
    <row r="11228" spans="1:2" x14ac:dyDescent="0.25">
      <c r="A11228">
        <v>21960</v>
      </c>
      <c r="B11228">
        <v>0</v>
      </c>
    </row>
    <row r="11229" spans="1:2" x14ac:dyDescent="0.25">
      <c r="A11229">
        <v>21962</v>
      </c>
      <c r="B11229">
        <v>0</v>
      </c>
    </row>
    <row r="11230" spans="1:2" x14ac:dyDescent="0.25">
      <c r="A11230">
        <v>21963</v>
      </c>
      <c r="B11230">
        <v>0</v>
      </c>
    </row>
    <row r="11231" spans="1:2" x14ac:dyDescent="0.25">
      <c r="A11231">
        <v>21966</v>
      </c>
      <c r="B11231">
        <v>0</v>
      </c>
    </row>
    <row r="11232" spans="1:2" x14ac:dyDescent="0.25">
      <c r="A11232">
        <v>21968</v>
      </c>
      <c r="B11232">
        <v>0</v>
      </c>
    </row>
    <row r="11233" spans="1:2" x14ac:dyDescent="0.25">
      <c r="A11233">
        <v>21970</v>
      </c>
      <c r="B11233">
        <v>0</v>
      </c>
    </row>
    <row r="11234" spans="1:2" x14ac:dyDescent="0.25">
      <c r="A11234">
        <v>21973</v>
      </c>
      <c r="B11234">
        <v>0</v>
      </c>
    </row>
    <row r="11235" spans="1:2" x14ac:dyDescent="0.25">
      <c r="A11235">
        <v>21974</v>
      </c>
      <c r="B11235">
        <v>0</v>
      </c>
    </row>
    <row r="11236" spans="1:2" x14ac:dyDescent="0.25">
      <c r="A11236">
        <v>21976</v>
      </c>
      <c r="B11236">
        <v>0</v>
      </c>
    </row>
    <row r="11237" spans="1:2" x14ac:dyDescent="0.25">
      <c r="A11237">
        <v>21979</v>
      </c>
      <c r="B11237">
        <v>0</v>
      </c>
    </row>
    <row r="11238" spans="1:2" x14ac:dyDescent="0.25">
      <c r="A11238">
        <v>21987</v>
      </c>
      <c r="B11238">
        <v>0</v>
      </c>
    </row>
    <row r="11239" spans="1:2" x14ac:dyDescent="0.25">
      <c r="A11239">
        <v>21993</v>
      </c>
      <c r="B11239">
        <v>0</v>
      </c>
    </row>
    <row r="11240" spans="1:2" x14ac:dyDescent="0.25">
      <c r="A11240">
        <v>21999</v>
      </c>
      <c r="B11240">
        <v>0</v>
      </c>
    </row>
    <row r="11241" spans="1:2" x14ac:dyDescent="0.25">
      <c r="A11241">
        <v>22000</v>
      </c>
      <c r="B11241">
        <v>0</v>
      </c>
    </row>
    <row r="11242" spans="1:2" x14ac:dyDescent="0.25">
      <c r="A11242">
        <v>22001</v>
      </c>
      <c r="B11242">
        <v>0</v>
      </c>
    </row>
    <row r="11243" spans="1:2" x14ac:dyDescent="0.25">
      <c r="A11243">
        <v>22003</v>
      </c>
      <c r="B11243">
        <v>0</v>
      </c>
    </row>
    <row r="11244" spans="1:2" x14ac:dyDescent="0.25">
      <c r="A11244">
        <v>22005</v>
      </c>
      <c r="B11244">
        <v>0</v>
      </c>
    </row>
    <row r="11245" spans="1:2" x14ac:dyDescent="0.25">
      <c r="A11245">
        <v>22007</v>
      </c>
      <c r="B11245">
        <v>0</v>
      </c>
    </row>
    <row r="11246" spans="1:2" x14ac:dyDescent="0.25">
      <c r="A11246">
        <v>22009</v>
      </c>
      <c r="B11246">
        <v>0</v>
      </c>
    </row>
    <row r="11247" spans="1:2" x14ac:dyDescent="0.25">
      <c r="A11247">
        <v>22011</v>
      </c>
      <c r="B11247">
        <v>0</v>
      </c>
    </row>
    <row r="11248" spans="1:2" x14ac:dyDescent="0.25">
      <c r="A11248">
        <v>22012</v>
      </c>
      <c r="B11248">
        <v>0</v>
      </c>
    </row>
    <row r="11249" spans="1:2" x14ac:dyDescent="0.25">
      <c r="A11249">
        <v>22014</v>
      </c>
      <c r="B11249">
        <v>0</v>
      </c>
    </row>
    <row r="11250" spans="1:2" x14ac:dyDescent="0.25">
      <c r="A11250">
        <v>22016</v>
      </c>
      <c r="B11250">
        <v>0</v>
      </c>
    </row>
    <row r="11251" spans="1:2" x14ac:dyDescent="0.25">
      <c r="A11251">
        <v>22018</v>
      </c>
      <c r="B11251">
        <v>0</v>
      </c>
    </row>
    <row r="11252" spans="1:2" x14ac:dyDescent="0.25">
      <c r="A11252">
        <v>22019</v>
      </c>
      <c r="B11252">
        <v>0</v>
      </c>
    </row>
    <row r="11253" spans="1:2" x14ac:dyDescent="0.25">
      <c r="A11253">
        <v>22020</v>
      </c>
      <c r="B11253">
        <v>0</v>
      </c>
    </row>
    <row r="11254" spans="1:2" x14ac:dyDescent="0.25">
      <c r="A11254">
        <v>22022</v>
      </c>
      <c r="B11254">
        <v>0</v>
      </c>
    </row>
    <row r="11255" spans="1:2" x14ac:dyDescent="0.25">
      <c r="A11255">
        <v>22023</v>
      </c>
      <c r="B11255">
        <v>0</v>
      </c>
    </row>
    <row r="11256" spans="1:2" x14ac:dyDescent="0.25">
      <c r="A11256">
        <v>22025</v>
      </c>
      <c r="B11256">
        <v>0</v>
      </c>
    </row>
    <row r="11257" spans="1:2" x14ac:dyDescent="0.25">
      <c r="A11257">
        <v>22027</v>
      </c>
      <c r="B11257">
        <v>0</v>
      </c>
    </row>
    <row r="11258" spans="1:2" x14ac:dyDescent="0.25">
      <c r="A11258">
        <v>22028</v>
      </c>
      <c r="B11258">
        <v>0</v>
      </c>
    </row>
    <row r="11259" spans="1:2" x14ac:dyDescent="0.25">
      <c r="A11259">
        <v>22029</v>
      </c>
      <c r="B11259">
        <v>0</v>
      </c>
    </row>
    <row r="11260" spans="1:2" x14ac:dyDescent="0.25">
      <c r="A11260">
        <v>22030</v>
      </c>
      <c r="B11260">
        <v>0</v>
      </c>
    </row>
    <row r="11261" spans="1:2" x14ac:dyDescent="0.25">
      <c r="A11261">
        <v>22032</v>
      </c>
      <c r="B11261">
        <v>0</v>
      </c>
    </row>
    <row r="11262" spans="1:2" x14ac:dyDescent="0.25">
      <c r="A11262">
        <v>22034</v>
      </c>
      <c r="B11262">
        <v>0</v>
      </c>
    </row>
    <row r="11263" spans="1:2" x14ac:dyDescent="0.25">
      <c r="A11263">
        <v>22035</v>
      </c>
      <c r="B11263">
        <v>0</v>
      </c>
    </row>
    <row r="11264" spans="1:2" x14ac:dyDescent="0.25">
      <c r="A11264">
        <v>22036</v>
      </c>
      <c r="B11264">
        <v>0</v>
      </c>
    </row>
    <row r="11265" spans="1:2" x14ac:dyDescent="0.25">
      <c r="A11265">
        <v>22037</v>
      </c>
      <c r="B11265">
        <v>0</v>
      </c>
    </row>
    <row r="11266" spans="1:2" x14ac:dyDescent="0.25">
      <c r="A11266">
        <v>22045</v>
      </c>
      <c r="B11266">
        <v>0</v>
      </c>
    </row>
    <row r="11267" spans="1:2" x14ac:dyDescent="0.25">
      <c r="A11267">
        <v>22048</v>
      </c>
      <c r="B11267">
        <v>0</v>
      </c>
    </row>
    <row r="11268" spans="1:2" x14ac:dyDescent="0.25">
      <c r="A11268">
        <v>22049</v>
      </c>
      <c r="B11268">
        <v>0</v>
      </c>
    </row>
    <row r="11269" spans="1:2" x14ac:dyDescent="0.25">
      <c r="A11269">
        <v>22050</v>
      </c>
      <c r="B11269">
        <v>0</v>
      </c>
    </row>
    <row r="11270" spans="1:2" x14ac:dyDescent="0.25">
      <c r="A11270">
        <v>22051</v>
      </c>
      <c r="B11270">
        <v>0</v>
      </c>
    </row>
    <row r="11271" spans="1:2" x14ac:dyDescent="0.25">
      <c r="A11271">
        <v>22055</v>
      </c>
      <c r="B11271">
        <v>0</v>
      </c>
    </row>
    <row r="11272" spans="1:2" x14ac:dyDescent="0.25">
      <c r="A11272">
        <v>22057</v>
      </c>
      <c r="B11272">
        <v>0</v>
      </c>
    </row>
    <row r="11273" spans="1:2" x14ac:dyDescent="0.25">
      <c r="A11273">
        <v>22058</v>
      </c>
      <c r="B11273">
        <v>0</v>
      </c>
    </row>
    <row r="11274" spans="1:2" x14ac:dyDescent="0.25">
      <c r="A11274">
        <v>22065</v>
      </c>
      <c r="B11274">
        <v>0</v>
      </c>
    </row>
    <row r="11275" spans="1:2" x14ac:dyDescent="0.25">
      <c r="A11275">
        <v>22067</v>
      </c>
      <c r="B11275">
        <v>0</v>
      </c>
    </row>
    <row r="11276" spans="1:2" x14ac:dyDescent="0.25">
      <c r="A11276">
        <v>22069</v>
      </c>
      <c r="B11276">
        <v>0</v>
      </c>
    </row>
    <row r="11277" spans="1:2" x14ac:dyDescent="0.25">
      <c r="A11277">
        <v>22072</v>
      </c>
      <c r="B11277">
        <v>0</v>
      </c>
    </row>
    <row r="11278" spans="1:2" x14ac:dyDescent="0.25">
      <c r="A11278">
        <v>22073</v>
      </c>
      <c r="B11278">
        <v>0</v>
      </c>
    </row>
    <row r="11279" spans="1:2" x14ac:dyDescent="0.25">
      <c r="A11279">
        <v>22074</v>
      </c>
      <c r="B11279">
        <v>0</v>
      </c>
    </row>
    <row r="11280" spans="1:2" x14ac:dyDescent="0.25">
      <c r="A11280">
        <v>22075</v>
      </c>
      <c r="B11280">
        <v>0</v>
      </c>
    </row>
    <row r="11281" spans="1:2" x14ac:dyDescent="0.25">
      <c r="A11281">
        <v>22076</v>
      </c>
      <c r="B11281">
        <v>0</v>
      </c>
    </row>
    <row r="11282" spans="1:2" x14ac:dyDescent="0.25">
      <c r="A11282">
        <v>22077</v>
      </c>
      <c r="B11282">
        <v>0</v>
      </c>
    </row>
    <row r="11283" spans="1:2" x14ac:dyDescent="0.25">
      <c r="A11283">
        <v>22085</v>
      </c>
      <c r="B11283">
        <v>0</v>
      </c>
    </row>
    <row r="11284" spans="1:2" x14ac:dyDescent="0.25">
      <c r="A11284">
        <v>22086</v>
      </c>
      <c r="B11284">
        <v>0</v>
      </c>
    </row>
    <row r="11285" spans="1:2" x14ac:dyDescent="0.25">
      <c r="A11285">
        <v>22087</v>
      </c>
      <c r="B11285">
        <v>0</v>
      </c>
    </row>
    <row r="11286" spans="1:2" x14ac:dyDescent="0.25">
      <c r="A11286">
        <v>22089</v>
      </c>
      <c r="B11286">
        <v>0</v>
      </c>
    </row>
    <row r="11287" spans="1:2" x14ac:dyDescent="0.25">
      <c r="A11287">
        <v>22091</v>
      </c>
      <c r="B11287">
        <v>0</v>
      </c>
    </row>
    <row r="11288" spans="1:2" x14ac:dyDescent="0.25">
      <c r="A11288">
        <v>22103</v>
      </c>
      <c r="B11288">
        <v>0</v>
      </c>
    </row>
    <row r="11289" spans="1:2" x14ac:dyDescent="0.25">
      <c r="A11289">
        <v>22104</v>
      </c>
      <c r="B11289">
        <v>0</v>
      </c>
    </row>
    <row r="11290" spans="1:2" x14ac:dyDescent="0.25">
      <c r="A11290">
        <v>22106</v>
      </c>
      <c r="B11290">
        <v>0</v>
      </c>
    </row>
    <row r="11291" spans="1:2" x14ac:dyDescent="0.25">
      <c r="A11291">
        <v>22108</v>
      </c>
      <c r="B11291">
        <v>0</v>
      </c>
    </row>
    <row r="11292" spans="1:2" x14ac:dyDescent="0.25">
      <c r="A11292">
        <v>22110</v>
      </c>
      <c r="B11292">
        <v>0</v>
      </c>
    </row>
    <row r="11293" spans="1:2" x14ac:dyDescent="0.25">
      <c r="A11293">
        <v>22112</v>
      </c>
      <c r="B11293">
        <v>0</v>
      </c>
    </row>
    <row r="11294" spans="1:2" x14ac:dyDescent="0.25">
      <c r="A11294">
        <v>22114</v>
      </c>
      <c r="B11294">
        <v>0</v>
      </c>
    </row>
    <row r="11295" spans="1:2" x14ac:dyDescent="0.25">
      <c r="A11295">
        <v>22116</v>
      </c>
      <c r="B11295">
        <v>0</v>
      </c>
    </row>
    <row r="11296" spans="1:2" x14ac:dyDescent="0.25">
      <c r="A11296">
        <v>22123</v>
      </c>
      <c r="B11296">
        <v>0</v>
      </c>
    </row>
    <row r="11297" spans="1:2" x14ac:dyDescent="0.25">
      <c r="A11297">
        <v>22125</v>
      </c>
      <c r="B11297">
        <v>0</v>
      </c>
    </row>
    <row r="11298" spans="1:2" x14ac:dyDescent="0.25">
      <c r="A11298">
        <v>22127</v>
      </c>
      <c r="B11298">
        <v>0</v>
      </c>
    </row>
    <row r="11299" spans="1:2" x14ac:dyDescent="0.25">
      <c r="A11299">
        <v>22128</v>
      </c>
      <c r="B11299">
        <v>0</v>
      </c>
    </row>
    <row r="11300" spans="1:2" x14ac:dyDescent="0.25">
      <c r="A11300">
        <v>22129</v>
      </c>
      <c r="B11300">
        <v>0</v>
      </c>
    </row>
    <row r="11301" spans="1:2" x14ac:dyDescent="0.25">
      <c r="A11301">
        <v>22130</v>
      </c>
      <c r="B11301">
        <v>0</v>
      </c>
    </row>
    <row r="11302" spans="1:2" x14ac:dyDescent="0.25">
      <c r="A11302">
        <v>22131</v>
      </c>
      <c r="B11302">
        <v>0</v>
      </c>
    </row>
    <row r="11303" spans="1:2" x14ac:dyDescent="0.25">
      <c r="A11303">
        <v>22132</v>
      </c>
      <c r="B11303">
        <v>0</v>
      </c>
    </row>
    <row r="11304" spans="1:2" x14ac:dyDescent="0.25">
      <c r="A11304">
        <v>22133</v>
      </c>
      <c r="B11304">
        <v>0</v>
      </c>
    </row>
    <row r="11305" spans="1:2" x14ac:dyDescent="0.25">
      <c r="A11305">
        <v>22134</v>
      </c>
      <c r="B11305">
        <v>0</v>
      </c>
    </row>
    <row r="11306" spans="1:2" x14ac:dyDescent="0.25">
      <c r="A11306">
        <v>22135</v>
      </c>
      <c r="B11306">
        <v>0</v>
      </c>
    </row>
    <row r="11307" spans="1:2" x14ac:dyDescent="0.25">
      <c r="A11307">
        <v>22136</v>
      </c>
      <c r="B11307">
        <v>0</v>
      </c>
    </row>
    <row r="11308" spans="1:2" x14ac:dyDescent="0.25">
      <c r="A11308">
        <v>22137</v>
      </c>
      <c r="B11308">
        <v>0</v>
      </c>
    </row>
    <row r="11309" spans="1:2" x14ac:dyDescent="0.25">
      <c r="A11309">
        <v>22138</v>
      </c>
      <c r="B11309">
        <v>0</v>
      </c>
    </row>
    <row r="11310" spans="1:2" x14ac:dyDescent="0.25">
      <c r="A11310">
        <v>22139</v>
      </c>
      <c r="B11310">
        <v>0</v>
      </c>
    </row>
    <row r="11311" spans="1:2" x14ac:dyDescent="0.25">
      <c r="A11311">
        <v>22140</v>
      </c>
      <c r="B11311">
        <v>0</v>
      </c>
    </row>
    <row r="11312" spans="1:2" x14ac:dyDescent="0.25">
      <c r="A11312">
        <v>22141</v>
      </c>
      <c r="B11312">
        <v>0</v>
      </c>
    </row>
    <row r="11313" spans="1:2" x14ac:dyDescent="0.25">
      <c r="A11313">
        <v>22142</v>
      </c>
      <c r="B11313">
        <v>0</v>
      </c>
    </row>
    <row r="11314" spans="1:2" x14ac:dyDescent="0.25">
      <c r="A11314">
        <v>22143</v>
      </c>
      <c r="B11314">
        <v>0</v>
      </c>
    </row>
    <row r="11315" spans="1:2" x14ac:dyDescent="0.25">
      <c r="A11315">
        <v>22144</v>
      </c>
      <c r="B11315">
        <v>0</v>
      </c>
    </row>
    <row r="11316" spans="1:2" x14ac:dyDescent="0.25">
      <c r="A11316">
        <v>22145</v>
      </c>
      <c r="B11316">
        <v>0</v>
      </c>
    </row>
    <row r="11317" spans="1:2" x14ac:dyDescent="0.25">
      <c r="A11317">
        <v>22146</v>
      </c>
      <c r="B11317">
        <v>0</v>
      </c>
    </row>
    <row r="11318" spans="1:2" x14ac:dyDescent="0.25">
      <c r="A11318">
        <v>22147</v>
      </c>
      <c r="B11318">
        <v>0</v>
      </c>
    </row>
    <row r="11319" spans="1:2" x14ac:dyDescent="0.25">
      <c r="A11319">
        <v>22148</v>
      </c>
      <c r="B11319">
        <v>0</v>
      </c>
    </row>
    <row r="11320" spans="1:2" x14ac:dyDescent="0.25">
      <c r="A11320">
        <v>22150</v>
      </c>
      <c r="B11320">
        <v>0</v>
      </c>
    </row>
    <row r="11321" spans="1:2" x14ac:dyDescent="0.25">
      <c r="A11321">
        <v>22153</v>
      </c>
      <c r="B11321">
        <v>0</v>
      </c>
    </row>
    <row r="11322" spans="1:2" x14ac:dyDescent="0.25">
      <c r="A11322">
        <v>22155</v>
      </c>
      <c r="B11322">
        <v>0</v>
      </c>
    </row>
    <row r="11323" spans="1:2" x14ac:dyDescent="0.25">
      <c r="A11323">
        <v>22157</v>
      </c>
      <c r="B11323">
        <v>0</v>
      </c>
    </row>
    <row r="11324" spans="1:2" x14ac:dyDescent="0.25">
      <c r="A11324">
        <v>22159</v>
      </c>
      <c r="B11324">
        <v>0</v>
      </c>
    </row>
    <row r="11325" spans="1:2" x14ac:dyDescent="0.25">
      <c r="A11325">
        <v>22161</v>
      </c>
      <c r="B11325">
        <v>0</v>
      </c>
    </row>
    <row r="11326" spans="1:2" x14ac:dyDescent="0.25">
      <c r="A11326">
        <v>22163</v>
      </c>
      <c r="B11326">
        <v>0</v>
      </c>
    </row>
    <row r="11327" spans="1:2" x14ac:dyDescent="0.25">
      <c r="A11327">
        <v>22165</v>
      </c>
      <c r="B11327">
        <v>0</v>
      </c>
    </row>
    <row r="11328" spans="1:2" x14ac:dyDescent="0.25">
      <c r="A11328">
        <v>22167</v>
      </c>
      <c r="B11328">
        <v>0</v>
      </c>
    </row>
    <row r="11329" spans="1:2" x14ac:dyDescent="0.25">
      <c r="A11329">
        <v>22169</v>
      </c>
      <c r="B11329">
        <v>0</v>
      </c>
    </row>
    <row r="11330" spans="1:2" x14ac:dyDescent="0.25">
      <c r="A11330">
        <v>22177</v>
      </c>
      <c r="B11330">
        <v>0</v>
      </c>
    </row>
    <row r="11331" spans="1:2" x14ac:dyDescent="0.25">
      <c r="A11331">
        <v>22180</v>
      </c>
      <c r="B11331">
        <v>0</v>
      </c>
    </row>
    <row r="11332" spans="1:2" x14ac:dyDescent="0.25">
      <c r="A11332">
        <v>22194</v>
      </c>
      <c r="B11332">
        <v>0</v>
      </c>
    </row>
    <row r="11333" spans="1:2" x14ac:dyDescent="0.25">
      <c r="A11333">
        <v>22195</v>
      </c>
      <c r="B11333">
        <v>0</v>
      </c>
    </row>
    <row r="11334" spans="1:2" x14ac:dyDescent="0.25">
      <c r="A11334">
        <v>22197</v>
      </c>
      <c r="B11334">
        <v>0</v>
      </c>
    </row>
    <row r="11335" spans="1:2" x14ac:dyDescent="0.25">
      <c r="A11335">
        <v>22198</v>
      </c>
      <c r="B11335">
        <v>0</v>
      </c>
    </row>
    <row r="11336" spans="1:2" x14ac:dyDescent="0.25">
      <c r="A11336">
        <v>22200</v>
      </c>
      <c r="B11336">
        <v>0</v>
      </c>
    </row>
    <row r="11337" spans="1:2" x14ac:dyDescent="0.25">
      <c r="A11337">
        <v>22202</v>
      </c>
      <c r="B11337">
        <v>0</v>
      </c>
    </row>
    <row r="11338" spans="1:2" x14ac:dyDescent="0.25">
      <c r="A11338">
        <v>22204</v>
      </c>
      <c r="B11338">
        <v>0</v>
      </c>
    </row>
    <row r="11339" spans="1:2" x14ac:dyDescent="0.25">
      <c r="A11339">
        <v>22206</v>
      </c>
      <c r="B11339">
        <v>0</v>
      </c>
    </row>
    <row r="11340" spans="1:2" x14ac:dyDescent="0.25">
      <c r="A11340">
        <v>22207</v>
      </c>
      <c r="B11340">
        <v>0</v>
      </c>
    </row>
    <row r="11341" spans="1:2" x14ac:dyDescent="0.25">
      <c r="A11341">
        <v>22209</v>
      </c>
      <c r="B11341">
        <v>0</v>
      </c>
    </row>
    <row r="11342" spans="1:2" x14ac:dyDescent="0.25">
      <c r="A11342">
        <v>22211</v>
      </c>
      <c r="B11342">
        <v>0</v>
      </c>
    </row>
    <row r="11343" spans="1:2" x14ac:dyDescent="0.25">
      <c r="A11343">
        <v>22213</v>
      </c>
      <c r="B11343">
        <v>0</v>
      </c>
    </row>
    <row r="11344" spans="1:2" x14ac:dyDescent="0.25">
      <c r="A11344">
        <v>22214</v>
      </c>
      <c r="B11344">
        <v>0</v>
      </c>
    </row>
    <row r="11345" spans="1:2" x14ac:dyDescent="0.25">
      <c r="A11345">
        <v>22215</v>
      </c>
      <c r="B11345">
        <v>0</v>
      </c>
    </row>
    <row r="11346" spans="1:2" x14ac:dyDescent="0.25">
      <c r="A11346">
        <v>22216</v>
      </c>
      <c r="B11346">
        <v>0</v>
      </c>
    </row>
    <row r="11347" spans="1:2" x14ac:dyDescent="0.25">
      <c r="A11347">
        <v>22217</v>
      </c>
      <c r="B11347">
        <v>0</v>
      </c>
    </row>
    <row r="11348" spans="1:2" x14ac:dyDescent="0.25">
      <c r="A11348">
        <v>22218</v>
      </c>
      <c r="B11348">
        <v>0</v>
      </c>
    </row>
    <row r="11349" spans="1:2" x14ac:dyDescent="0.25">
      <c r="A11349">
        <v>22220</v>
      </c>
      <c r="B11349">
        <v>0</v>
      </c>
    </row>
    <row r="11350" spans="1:2" x14ac:dyDescent="0.25">
      <c r="A11350">
        <v>22221</v>
      </c>
      <c r="B11350">
        <v>0</v>
      </c>
    </row>
    <row r="11351" spans="1:2" x14ac:dyDescent="0.25">
      <c r="A11351">
        <v>22222</v>
      </c>
      <c r="B11351">
        <v>0</v>
      </c>
    </row>
    <row r="11352" spans="1:2" x14ac:dyDescent="0.25">
      <c r="A11352">
        <v>22223</v>
      </c>
      <c r="B11352">
        <v>0</v>
      </c>
    </row>
    <row r="11353" spans="1:2" x14ac:dyDescent="0.25">
      <c r="A11353">
        <v>22224</v>
      </c>
      <c r="B11353">
        <v>0</v>
      </c>
    </row>
    <row r="11354" spans="1:2" x14ac:dyDescent="0.25">
      <c r="A11354">
        <v>22225</v>
      </c>
      <c r="B11354">
        <v>0</v>
      </c>
    </row>
    <row r="11355" spans="1:2" x14ac:dyDescent="0.25">
      <c r="A11355">
        <v>22227</v>
      </c>
      <c r="B11355">
        <v>0</v>
      </c>
    </row>
    <row r="11356" spans="1:2" x14ac:dyDescent="0.25">
      <c r="A11356">
        <v>22229</v>
      </c>
      <c r="B11356">
        <v>0</v>
      </c>
    </row>
    <row r="11357" spans="1:2" x14ac:dyDescent="0.25">
      <c r="A11357">
        <v>22231</v>
      </c>
      <c r="B11357">
        <v>0</v>
      </c>
    </row>
    <row r="11358" spans="1:2" x14ac:dyDescent="0.25">
      <c r="A11358">
        <v>22233</v>
      </c>
      <c r="B11358">
        <v>0</v>
      </c>
    </row>
    <row r="11359" spans="1:2" x14ac:dyDescent="0.25">
      <c r="A11359">
        <v>22235</v>
      </c>
      <c r="B11359">
        <v>0</v>
      </c>
    </row>
    <row r="11360" spans="1:2" x14ac:dyDescent="0.25">
      <c r="A11360">
        <v>22237</v>
      </c>
      <c r="B11360">
        <v>0</v>
      </c>
    </row>
    <row r="11361" spans="1:2" x14ac:dyDescent="0.25">
      <c r="A11361">
        <v>22239</v>
      </c>
      <c r="B11361">
        <v>0</v>
      </c>
    </row>
    <row r="11362" spans="1:2" x14ac:dyDescent="0.25">
      <c r="A11362">
        <v>22241</v>
      </c>
      <c r="B11362">
        <v>0</v>
      </c>
    </row>
    <row r="11363" spans="1:2" x14ac:dyDescent="0.25">
      <c r="A11363">
        <v>22243</v>
      </c>
      <c r="B11363">
        <v>0</v>
      </c>
    </row>
    <row r="11364" spans="1:2" x14ac:dyDescent="0.25">
      <c r="A11364">
        <v>22245</v>
      </c>
      <c r="B11364">
        <v>0</v>
      </c>
    </row>
    <row r="11365" spans="1:2" x14ac:dyDescent="0.25">
      <c r="A11365">
        <v>22247</v>
      </c>
      <c r="B11365">
        <v>0</v>
      </c>
    </row>
    <row r="11366" spans="1:2" x14ac:dyDescent="0.25">
      <c r="A11366">
        <v>22249</v>
      </c>
      <c r="B11366">
        <v>0</v>
      </c>
    </row>
    <row r="11367" spans="1:2" x14ac:dyDescent="0.25">
      <c r="A11367">
        <v>22251</v>
      </c>
      <c r="B11367">
        <v>0</v>
      </c>
    </row>
    <row r="11368" spans="1:2" x14ac:dyDescent="0.25">
      <c r="A11368">
        <v>22253</v>
      </c>
      <c r="B11368">
        <v>0</v>
      </c>
    </row>
    <row r="11369" spans="1:2" x14ac:dyDescent="0.25">
      <c r="A11369">
        <v>22255</v>
      </c>
      <c r="B11369">
        <v>0</v>
      </c>
    </row>
    <row r="11370" spans="1:2" x14ac:dyDescent="0.25">
      <c r="A11370">
        <v>22257</v>
      </c>
      <c r="B11370">
        <v>0</v>
      </c>
    </row>
    <row r="11371" spans="1:2" x14ac:dyDescent="0.25">
      <c r="A11371">
        <v>22259</v>
      </c>
      <c r="B11371">
        <v>0</v>
      </c>
    </row>
    <row r="11372" spans="1:2" x14ac:dyDescent="0.25">
      <c r="A11372">
        <v>22261</v>
      </c>
      <c r="B11372">
        <v>0</v>
      </c>
    </row>
    <row r="11373" spans="1:2" x14ac:dyDescent="0.25">
      <c r="A11373">
        <v>22262</v>
      </c>
      <c r="B11373">
        <v>0</v>
      </c>
    </row>
    <row r="11374" spans="1:2" x14ac:dyDescent="0.25">
      <c r="A11374">
        <v>22263</v>
      </c>
      <c r="B11374">
        <v>0</v>
      </c>
    </row>
    <row r="11375" spans="1:2" x14ac:dyDescent="0.25">
      <c r="A11375">
        <v>22265</v>
      </c>
      <c r="B11375">
        <v>0</v>
      </c>
    </row>
    <row r="11376" spans="1:2" x14ac:dyDescent="0.25">
      <c r="A11376">
        <v>22266</v>
      </c>
      <c r="B11376">
        <v>0</v>
      </c>
    </row>
    <row r="11377" spans="1:2" x14ac:dyDescent="0.25">
      <c r="A11377">
        <v>22268</v>
      </c>
      <c r="B11377">
        <v>0</v>
      </c>
    </row>
    <row r="11378" spans="1:2" x14ac:dyDescent="0.25">
      <c r="A11378">
        <v>22270</v>
      </c>
      <c r="B11378">
        <v>0</v>
      </c>
    </row>
    <row r="11379" spans="1:2" x14ac:dyDescent="0.25">
      <c r="A11379">
        <v>22272</v>
      </c>
      <c r="B11379">
        <v>0</v>
      </c>
    </row>
    <row r="11380" spans="1:2" x14ac:dyDescent="0.25">
      <c r="A11380">
        <v>22274</v>
      </c>
      <c r="B11380">
        <v>0</v>
      </c>
    </row>
    <row r="11381" spans="1:2" x14ac:dyDescent="0.25">
      <c r="A11381">
        <v>22276</v>
      </c>
      <c r="B11381">
        <v>0</v>
      </c>
    </row>
    <row r="11382" spans="1:2" x14ac:dyDescent="0.25">
      <c r="A11382">
        <v>22278</v>
      </c>
      <c r="B11382">
        <v>0</v>
      </c>
    </row>
    <row r="11383" spans="1:2" x14ac:dyDescent="0.25">
      <c r="A11383">
        <v>22279</v>
      </c>
      <c r="B11383">
        <v>0</v>
      </c>
    </row>
    <row r="11384" spans="1:2" x14ac:dyDescent="0.25">
      <c r="A11384">
        <v>22280</v>
      </c>
      <c r="B11384">
        <v>0</v>
      </c>
    </row>
    <row r="11385" spans="1:2" x14ac:dyDescent="0.25">
      <c r="A11385">
        <v>22281</v>
      </c>
      <c r="B11385">
        <v>0</v>
      </c>
    </row>
    <row r="11386" spans="1:2" x14ac:dyDescent="0.25">
      <c r="A11386">
        <v>22282</v>
      </c>
      <c r="B11386">
        <v>0</v>
      </c>
    </row>
    <row r="11387" spans="1:2" x14ac:dyDescent="0.25">
      <c r="A11387">
        <v>22283</v>
      </c>
      <c r="B11387">
        <v>0</v>
      </c>
    </row>
    <row r="11388" spans="1:2" x14ac:dyDescent="0.25">
      <c r="A11388">
        <v>22284</v>
      </c>
      <c r="B11388">
        <v>0</v>
      </c>
    </row>
    <row r="11389" spans="1:2" x14ac:dyDescent="0.25">
      <c r="A11389">
        <v>22285</v>
      </c>
      <c r="B11389">
        <v>0</v>
      </c>
    </row>
    <row r="11390" spans="1:2" x14ac:dyDescent="0.25">
      <c r="A11390">
        <v>22286</v>
      </c>
      <c r="B11390">
        <v>0</v>
      </c>
    </row>
    <row r="11391" spans="1:2" x14ac:dyDescent="0.25">
      <c r="A11391">
        <v>22288</v>
      </c>
      <c r="B11391">
        <v>0</v>
      </c>
    </row>
    <row r="11392" spans="1:2" x14ac:dyDescent="0.25">
      <c r="A11392">
        <v>22289</v>
      </c>
      <c r="B11392">
        <v>0</v>
      </c>
    </row>
    <row r="11393" spans="1:2" x14ac:dyDescent="0.25">
      <c r="A11393">
        <v>22290</v>
      </c>
      <c r="B11393">
        <v>0</v>
      </c>
    </row>
    <row r="11394" spans="1:2" x14ac:dyDescent="0.25">
      <c r="A11394">
        <v>22291</v>
      </c>
      <c r="B11394">
        <v>0</v>
      </c>
    </row>
    <row r="11395" spans="1:2" x14ac:dyDescent="0.25">
      <c r="A11395">
        <v>22292</v>
      </c>
      <c r="B11395">
        <v>0</v>
      </c>
    </row>
    <row r="11396" spans="1:2" x14ac:dyDescent="0.25">
      <c r="A11396">
        <v>22293</v>
      </c>
      <c r="B11396">
        <v>0</v>
      </c>
    </row>
    <row r="11397" spans="1:2" x14ac:dyDescent="0.25">
      <c r="A11397">
        <v>22294</v>
      </c>
      <c r="B11397">
        <v>0</v>
      </c>
    </row>
    <row r="11398" spans="1:2" x14ac:dyDescent="0.25">
      <c r="A11398">
        <v>22295</v>
      </c>
      <c r="B11398">
        <v>0</v>
      </c>
    </row>
    <row r="11399" spans="1:2" x14ac:dyDescent="0.25">
      <c r="A11399">
        <v>22296</v>
      </c>
      <c r="B11399">
        <v>0</v>
      </c>
    </row>
    <row r="11400" spans="1:2" x14ac:dyDescent="0.25">
      <c r="A11400">
        <v>22297</v>
      </c>
      <c r="B11400">
        <v>0</v>
      </c>
    </row>
    <row r="11401" spans="1:2" x14ac:dyDescent="0.25">
      <c r="A11401">
        <v>22299</v>
      </c>
      <c r="B11401">
        <v>0</v>
      </c>
    </row>
    <row r="11402" spans="1:2" x14ac:dyDescent="0.25">
      <c r="A11402">
        <v>22301</v>
      </c>
      <c r="B11402">
        <v>0</v>
      </c>
    </row>
    <row r="11403" spans="1:2" x14ac:dyDescent="0.25">
      <c r="A11403">
        <v>22302</v>
      </c>
      <c r="B11403">
        <v>0</v>
      </c>
    </row>
    <row r="11404" spans="1:2" x14ac:dyDescent="0.25">
      <c r="A11404">
        <v>22304</v>
      </c>
      <c r="B11404">
        <v>0</v>
      </c>
    </row>
    <row r="11405" spans="1:2" x14ac:dyDescent="0.25">
      <c r="A11405">
        <v>22306</v>
      </c>
      <c r="B11405">
        <v>0</v>
      </c>
    </row>
    <row r="11406" spans="1:2" x14ac:dyDescent="0.25">
      <c r="A11406">
        <v>22307</v>
      </c>
      <c r="B11406">
        <v>0</v>
      </c>
    </row>
    <row r="11407" spans="1:2" x14ac:dyDescent="0.25">
      <c r="A11407">
        <v>22308</v>
      </c>
      <c r="B11407">
        <v>0</v>
      </c>
    </row>
    <row r="11408" spans="1:2" x14ac:dyDescent="0.25">
      <c r="A11408">
        <v>22309</v>
      </c>
      <c r="B11408">
        <v>0</v>
      </c>
    </row>
    <row r="11409" spans="1:2" x14ac:dyDescent="0.25">
      <c r="A11409">
        <v>22310</v>
      </c>
      <c r="B11409">
        <v>0</v>
      </c>
    </row>
    <row r="11410" spans="1:2" x14ac:dyDescent="0.25">
      <c r="A11410">
        <v>22311</v>
      </c>
      <c r="B11410">
        <v>0</v>
      </c>
    </row>
    <row r="11411" spans="1:2" x14ac:dyDescent="0.25">
      <c r="A11411">
        <v>22313</v>
      </c>
      <c r="B11411">
        <v>0</v>
      </c>
    </row>
    <row r="11412" spans="1:2" x14ac:dyDescent="0.25">
      <c r="A11412">
        <v>22314</v>
      </c>
      <c r="B11412">
        <v>0</v>
      </c>
    </row>
    <row r="11413" spans="1:2" x14ac:dyDescent="0.25">
      <c r="A11413">
        <v>22315</v>
      </c>
      <c r="B11413">
        <v>0</v>
      </c>
    </row>
    <row r="11414" spans="1:2" x14ac:dyDescent="0.25">
      <c r="A11414">
        <v>22316</v>
      </c>
      <c r="B11414">
        <v>0</v>
      </c>
    </row>
    <row r="11415" spans="1:2" x14ac:dyDescent="0.25">
      <c r="A11415">
        <v>22317</v>
      </c>
      <c r="B11415">
        <v>0</v>
      </c>
    </row>
    <row r="11416" spans="1:2" x14ac:dyDescent="0.25">
      <c r="A11416">
        <v>22319</v>
      </c>
      <c r="B11416">
        <v>0</v>
      </c>
    </row>
    <row r="11417" spans="1:2" x14ac:dyDescent="0.25">
      <c r="A11417">
        <v>22321</v>
      </c>
      <c r="B11417">
        <v>0</v>
      </c>
    </row>
    <row r="11418" spans="1:2" x14ac:dyDescent="0.25">
      <c r="A11418">
        <v>22323</v>
      </c>
      <c r="B11418">
        <v>0</v>
      </c>
    </row>
    <row r="11419" spans="1:2" x14ac:dyDescent="0.25">
      <c r="A11419">
        <v>22324</v>
      </c>
      <c r="B11419">
        <v>0</v>
      </c>
    </row>
    <row r="11420" spans="1:2" x14ac:dyDescent="0.25">
      <c r="A11420">
        <v>22326</v>
      </c>
      <c r="B11420">
        <v>0</v>
      </c>
    </row>
    <row r="11421" spans="1:2" x14ac:dyDescent="0.25">
      <c r="A11421">
        <v>22328</v>
      </c>
      <c r="B11421">
        <v>0</v>
      </c>
    </row>
    <row r="11422" spans="1:2" x14ac:dyDescent="0.25">
      <c r="A11422">
        <v>22330</v>
      </c>
      <c r="B11422">
        <v>0</v>
      </c>
    </row>
    <row r="11423" spans="1:2" x14ac:dyDescent="0.25">
      <c r="A11423">
        <v>22332</v>
      </c>
      <c r="B11423">
        <v>0</v>
      </c>
    </row>
    <row r="11424" spans="1:2" x14ac:dyDescent="0.25">
      <c r="A11424">
        <v>22333</v>
      </c>
      <c r="B11424">
        <v>0</v>
      </c>
    </row>
    <row r="11425" spans="1:2" x14ac:dyDescent="0.25">
      <c r="A11425">
        <v>22335</v>
      </c>
      <c r="B11425">
        <v>0</v>
      </c>
    </row>
    <row r="11426" spans="1:2" x14ac:dyDescent="0.25">
      <c r="A11426">
        <v>22336</v>
      </c>
      <c r="B11426">
        <v>0</v>
      </c>
    </row>
    <row r="11427" spans="1:2" x14ac:dyDescent="0.25">
      <c r="A11427">
        <v>22337</v>
      </c>
      <c r="B11427">
        <v>0</v>
      </c>
    </row>
    <row r="11428" spans="1:2" x14ac:dyDescent="0.25">
      <c r="A11428">
        <v>22338</v>
      </c>
      <c r="B11428">
        <v>0</v>
      </c>
    </row>
    <row r="11429" spans="1:2" x14ac:dyDescent="0.25">
      <c r="A11429">
        <v>22339</v>
      </c>
      <c r="B11429">
        <v>0</v>
      </c>
    </row>
    <row r="11430" spans="1:2" x14ac:dyDescent="0.25">
      <c r="A11430">
        <v>22340</v>
      </c>
      <c r="B11430">
        <v>0</v>
      </c>
    </row>
    <row r="11431" spans="1:2" x14ac:dyDescent="0.25">
      <c r="A11431">
        <v>22341</v>
      </c>
      <c r="B11431">
        <v>0</v>
      </c>
    </row>
    <row r="11432" spans="1:2" x14ac:dyDescent="0.25">
      <c r="A11432">
        <v>22342</v>
      </c>
      <c r="B11432">
        <v>0</v>
      </c>
    </row>
    <row r="11433" spans="1:2" x14ac:dyDescent="0.25">
      <c r="A11433">
        <v>22343</v>
      </c>
      <c r="B11433">
        <v>0</v>
      </c>
    </row>
    <row r="11434" spans="1:2" x14ac:dyDescent="0.25">
      <c r="A11434">
        <v>22344</v>
      </c>
      <c r="B11434">
        <v>0</v>
      </c>
    </row>
    <row r="11435" spans="1:2" x14ac:dyDescent="0.25">
      <c r="A11435">
        <v>22345</v>
      </c>
      <c r="B11435">
        <v>0</v>
      </c>
    </row>
    <row r="11436" spans="1:2" x14ac:dyDescent="0.25">
      <c r="A11436">
        <v>22346</v>
      </c>
      <c r="B11436">
        <v>0</v>
      </c>
    </row>
    <row r="11437" spans="1:2" x14ac:dyDescent="0.25">
      <c r="A11437">
        <v>22347</v>
      </c>
      <c r="B11437">
        <v>0</v>
      </c>
    </row>
    <row r="11438" spans="1:2" x14ac:dyDescent="0.25">
      <c r="A11438">
        <v>22348</v>
      </c>
      <c r="B11438">
        <v>0</v>
      </c>
    </row>
    <row r="11439" spans="1:2" x14ac:dyDescent="0.25">
      <c r="A11439">
        <v>22349</v>
      </c>
      <c r="B11439">
        <v>0</v>
      </c>
    </row>
    <row r="11440" spans="1:2" x14ac:dyDescent="0.25">
      <c r="A11440">
        <v>22350</v>
      </c>
      <c r="B11440">
        <v>0</v>
      </c>
    </row>
    <row r="11441" spans="1:2" x14ac:dyDescent="0.25">
      <c r="A11441">
        <v>22352</v>
      </c>
      <c r="B11441">
        <v>0</v>
      </c>
    </row>
    <row r="11442" spans="1:2" x14ac:dyDescent="0.25">
      <c r="A11442">
        <v>22355</v>
      </c>
      <c r="B11442">
        <v>0</v>
      </c>
    </row>
    <row r="11443" spans="1:2" x14ac:dyDescent="0.25">
      <c r="A11443">
        <v>22356</v>
      </c>
      <c r="B11443">
        <v>0</v>
      </c>
    </row>
    <row r="11444" spans="1:2" x14ac:dyDescent="0.25">
      <c r="A11444">
        <v>22357</v>
      </c>
      <c r="B11444">
        <v>0</v>
      </c>
    </row>
    <row r="11445" spans="1:2" x14ac:dyDescent="0.25">
      <c r="A11445">
        <v>22360</v>
      </c>
      <c r="B11445">
        <v>0</v>
      </c>
    </row>
    <row r="11446" spans="1:2" x14ac:dyDescent="0.25">
      <c r="A11446">
        <v>22361</v>
      </c>
      <c r="B11446">
        <v>0</v>
      </c>
    </row>
    <row r="11447" spans="1:2" x14ac:dyDescent="0.25">
      <c r="A11447">
        <v>22362</v>
      </c>
      <c r="B11447">
        <v>0</v>
      </c>
    </row>
    <row r="11448" spans="1:2" x14ac:dyDescent="0.25">
      <c r="A11448">
        <v>22363</v>
      </c>
      <c r="B11448">
        <v>0</v>
      </c>
    </row>
    <row r="11449" spans="1:2" x14ac:dyDescent="0.25">
      <c r="A11449">
        <v>22364</v>
      </c>
      <c r="B11449">
        <v>0</v>
      </c>
    </row>
    <row r="11450" spans="1:2" x14ac:dyDescent="0.25">
      <c r="A11450">
        <v>22365</v>
      </c>
      <c r="B11450">
        <v>0</v>
      </c>
    </row>
    <row r="11451" spans="1:2" x14ac:dyDescent="0.25">
      <c r="A11451">
        <v>22366</v>
      </c>
      <c r="B11451">
        <v>0</v>
      </c>
    </row>
    <row r="11452" spans="1:2" x14ac:dyDescent="0.25">
      <c r="A11452">
        <v>22367</v>
      </c>
      <c r="B11452">
        <v>0</v>
      </c>
    </row>
    <row r="11453" spans="1:2" x14ac:dyDescent="0.25">
      <c r="A11453">
        <v>22368</v>
      </c>
      <c r="B11453">
        <v>0</v>
      </c>
    </row>
    <row r="11454" spans="1:2" x14ac:dyDescent="0.25">
      <c r="A11454">
        <v>22369</v>
      </c>
      <c r="B11454">
        <v>0</v>
      </c>
    </row>
    <row r="11455" spans="1:2" x14ac:dyDescent="0.25">
      <c r="A11455">
        <v>22379</v>
      </c>
      <c r="B11455">
        <v>0</v>
      </c>
    </row>
    <row r="11456" spans="1:2" x14ac:dyDescent="0.25">
      <c r="A11456">
        <v>22381</v>
      </c>
      <c r="B11456">
        <v>0</v>
      </c>
    </row>
    <row r="11457" spans="1:2" x14ac:dyDescent="0.25">
      <c r="A11457">
        <v>22382</v>
      </c>
      <c r="B11457">
        <v>0</v>
      </c>
    </row>
    <row r="11458" spans="1:2" x14ac:dyDescent="0.25">
      <c r="A11458">
        <v>22383</v>
      </c>
      <c r="B11458">
        <v>0</v>
      </c>
    </row>
    <row r="11459" spans="1:2" x14ac:dyDescent="0.25">
      <c r="A11459">
        <v>22384</v>
      </c>
      <c r="B11459">
        <v>0</v>
      </c>
    </row>
    <row r="11460" spans="1:2" x14ac:dyDescent="0.25">
      <c r="A11460">
        <v>22385</v>
      </c>
      <c r="B11460">
        <v>0</v>
      </c>
    </row>
    <row r="11461" spans="1:2" x14ac:dyDescent="0.25">
      <c r="A11461">
        <v>22386</v>
      </c>
      <c r="B11461">
        <v>0</v>
      </c>
    </row>
    <row r="11462" spans="1:2" x14ac:dyDescent="0.25">
      <c r="A11462">
        <v>22387</v>
      </c>
      <c r="B11462">
        <v>0</v>
      </c>
    </row>
    <row r="11463" spans="1:2" x14ac:dyDescent="0.25">
      <c r="A11463">
        <v>22388</v>
      </c>
      <c r="B11463">
        <v>0</v>
      </c>
    </row>
    <row r="11464" spans="1:2" x14ac:dyDescent="0.25">
      <c r="A11464">
        <v>22397</v>
      </c>
      <c r="B11464">
        <v>0</v>
      </c>
    </row>
    <row r="11465" spans="1:2" x14ac:dyDescent="0.25">
      <c r="A11465">
        <v>22405</v>
      </c>
      <c r="B11465">
        <v>0</v>
      </c>
    </row>
    <row r="11466" spans="1:2" x14ac:dyDescent="0.25">
      <c r="A11466">
        <v>22408</v>
      </c>
      <c r="B11466">
        <v>0</v>
      </c>
    </row>
    <row r="11467" spans="1:2" x14ac:dyDescent="0.25">
      <c r="A11467">
        <v>22409</v>
      </c>
      <c r="B11467">
        <v>0</v>
      </c>
    </row>
    <row r="11468" spans="1:2" x14ac:dyDescent="0.25">
      <c r="A11468">
        <v>22410</v>
      </c>
      <c r="B11468">
        <v>0</v>
      </c>
    </row>
    <row r="11469" spans="1:2" x14ac:dyDescent="0.25">
      <c r="A11469">
        <v>22411</v>
      </c>
      <c r="B11469">
        <v>0</v>
      </c>
    </row>
    <row r="11470" spans="1:2" x14ac:dyDescent="0.25">
      <c r="A11470">
        <v>22412</v>
      </c>
      <c r="B11470">
        <v>0</v>
      </c>
    </row>
    <row r="11471" spans="1:2" x14ac:dyDescent="0.25">
      <c r="A11471">
        <v>22413</v>
      </c>
      <c r="B11471">
        <v>0</v>
      </c>
    </row>
    <row r="11472" spans="1:2" x14ac:dyDescent="0.25">
      <c r="A11472">
        <v>22414</v>
      </c>
      <c r="B11472">
        <v>0</v>
      </c>
    </row>
    <row r="11473" spans="1:2" x14ac:dyDescent="0.25">
      <c r="A11473">
        <v>22415</v>
      </c>
      <c r="B11473">
        <v>0</v>
      </c>
    </row>
    <row r="11474" spans="1:2" x14ac:dyDescent="0.25">
      <c r="A11474">
        <v>22416</v>
      </c>
      <c r="B11474">
        <v>0</v>
      </c>
    </row>
    <row r="11475" spans="1:2" x14ac:dyDescent="0.25">
      <c r="A11475">
        <v>22427</v>
      </c>
      <c r="B11475">
        <v>0</v>
      </c>
    </row>
    <row r="11476" spans="1:2" x14ac:dyDescent="0.25">
      <c r="A11476">
        <v>22428</v>
      </c>
      <c r="B11476">
        <v>0</v>
      </c>
    </row>
    <row r="11477" spans="1:2" x14ac:dyDescent="0.25">
      <c r="A11477">
        <v>22429</v>
      </c>
      <c r="B11477">
        <v>0</v>
      </c>
    </row>
    <row r="11478" spans="1:2" x14ac:dyDescent="0.25">
      <c r="A11478">
        <v>22431</v>
      </c>
      <c r="B11478">
        <v>0</v>
      </c>
    </row>
    <row r="11479" spans="1:2" x14ac:dyDescent="0.25">
      <c r="A11479">
        <v>22433</v>
      </c>
      <c r="B11479">
        <v>0</v>
      </c>
    </row>
    <row r="11480" spans="1:2" x14ac:dyDescent="0.25">
      <c r="A11480">
        <v>22434</v>
      </c>
      <c r="B11480">
        <v>0</v>
      </c>
    </row>
    <row r="11481" spans="1:2" x14ac:dyDescent="0.25">
      <c r="A11481">
        <v>22438</v>
      </c>
      <c r="B11481">
        <v>0</v>
      </c>
    </row>
    <row r="11482" spans="1:2" x14ac:dyDescent="0.25">
      <c r="A11482">
        <v>22439</v>
      </c>
      <c r="B11482">
        <v>0</v>
      </c>
    </row>
    <row r="11483" spans="1:2" x14ac:dyDescent="0.25">
      <c r="A11483">
        <v>22440</v>
      </c>
      <c r="B11483">
        <v>0</v>
      </c>
    </row>
    <row r="11484" spans="1:2" x14ac:dyDescent="0.25">
      <c r="A11484">
        <v>22446</v>
      </c>
      <c r="B11484">
        <v>0</v>
      </c>
    </row>
    <row r="11485" spans="1:2" x14ac:dyDescent="0.25">
      <c r="A11485">
        <v>22448</v>
      </c>
      <c r="B11485">
        <v>0</v>
      </c>
    </row>
    <row r="11486" spans="1:2" x14ac:dyDescent="0.25">
      <c r="A11486">
        <v>22449</v>
      </c>
      <c r="B11486">
        <v>0</v>
      </c>
    </row>
    <row r="11487" spans="1:2" x14ac:dyDescent="0.25">
      <c r="A11487">
        <v>22451</v>
      </c>
      <c r="B11487">
        <v>0</v>
      </c>
    </row>
    <row r="11488" spans="1:2" x14ac:dyDescent="0.25">
      <c r="A11488">
        <v>22454</v>
      </c>
      <c r="B11488">
        <v>0</v>
      </c>
    </row>
    <row r="11489" spans="1:2" x14ac:dyDescent="0.25">
      <c r="A11489">
        <v>22455</v>
      </c>
      <c r="B11489">
        <v>0</v>
      </c>
    </row>
    <row r="11490" spans="1:2" x14ac:dyDescent="0.25">
      <c r="A11490">
        <v>22458</v>
      </c>
      <c r="B11490">
        <v>0</v>
      </c>
    </row>
    <row r="11491" spans="1:2" x14ac:dyDescent="0.25">
      <c r="A11491">
        <v>22459</v>
      </c>
      <c r="B11491">
        <v>0</v>
      </c>
    </row>
    <row r="11492" spans="1:2" x14ac:dyDescent="0.25">
      <c r="A11492">
        <v>22460</v>
      </c>
      <c r="B11492">
        <v>0</v>
      </c>
    </row>
    <row r="11493" spans="1:2" x14ac:dyDescent="0.25">
      <c r="A11493">
        <v>22461</v>
      </c>
      <c r="B11493">
        <v>0</v>
      </c>
    </row>
    <row r="11494" spans="1:2" x14ac:dyDescent="0.25">
      <c r="A11494">
        <v>22462</v>
      </c>
      <c r="B11494">
        <v>0</v>
      </c>
    </row>
    <row r="11495" spans="1:2" x14ac:dyDescent="0.25">
      <c r="A11495">
        <v>22463</v>
      </c>
      <c r="B11495">
        <v>0</v>
      </c>
    </row>
    <row r="11496" spans="1:2" x14ac:dyDescent="0.25">
      <c r="A11496">
        <v>22464</v>
      </c>
      <c r="B11496">
        <v>0</v>
      </c>
    </row>
    <row r="11497" spans="1:2" x14ac:dyDescent="0.25">
      <c r="A11497">
        <v>22465</v>
      </c>
      <c r="B11497">
        <v>0</v>
      </c>
    </row>
    <row r="11498" spans="1:2" x14ac:dyDescent="0.25">
      <c r="A11498">
        <v>22466</v>
      </c>
      <c r="B11498">
        <v>0</v>
      </c>
    </row>
    <row r="11499" spans="1:2" x14ac:dyDescent="0.25">
      <c r="A11499">
        <v>22467</v>
      </c>
      <c r="B11499">
        <v>0</v>
      </c>
    </row>
    <row r="11500" spans="1:2" x14ac:dyDescent="0.25">
      <c r="A11500">
        <v>22468</v>
      </c>
      <c r="B11500">
        <v>0</v>
      </c>
    </row>
    <row r="11501" spans="1:2" x14ac:dyDescent="0.25">
      <c r="A11501">
        <v>22469</v>
      </c>
      <c r="B11501">
        <v>0</v>
      </c>
    </row>
    <row r="11502" spans="1:2" x14ac:dyDescent="0.25">
      <c r="A11502">
        <v>22470</v>
      </c>
      <c r="B11502">
        <v>0</v>
      </c>
    </row>
    <row r="11503" spans="1:2" x14ac:dyDescent="0.25">
      <c r="A11503">
        <v>22471</v>
      </c>
      <c r="B11503">
        <v>0</v>
      </c>
    </row>
    <row r="11504" spans="1:2" x14ac:dyDescent="0.25">
      <c r="A11504">
        <v>22472</v>
      </c>
      <c r="B11504">
        <v>0</v>
      </c>
    </row>
    <row r="11505" spans="1:2" x14ac:dyDescent="0.25">
      <c r="A11505">
        <v>22474</v>
      </c>
      <c r="B11505">
        <v>0</v>
      </c>
    </row>
    <row r="11506" spans="1:2" x14ac:dyDescent="0.25">
      <c r="A11506">
        <v>22476</v>
      </c>
      <c r="B11506">
        <v>0</v>
      </c>
    </row>
    <row r="11507" spans="1:2" x14ac:dyDescent="0.25">
      <c r="A11507">
        <v>22477</v>
      </c>
      <c r="B11507">
        <v>0</v>
      </c>
    </row>
    <row r="11508" spans="1:2" x14ac:dyDescent="0.25">
      <c r="A11508">
        <v>22478</v>
      </c>
      <c r="B11508">
        <v>0</v>
      </c>
    </row>
    <row r="11509" spans="1:2" x14ac:dyDescent="0.25">
      <c r="A11509">
        <v>22480</v>
      </c>
      <c r="B11509">
        <v>0</v>
      </c>
    </row>
    <row r="11510" spans="1:2" x14ac:dyDescent="0.25">
      <c r="A11510">
        <v>22482</v>
      </c>
      <c r="B11510">
        <v>0</v>
      </c>
    </row>
    <row r="11511" spans="1:2" x14ac:dyDescent="0.25">
      <c r="A11511">
        <v>22483</v>
      </c>
      <c r="B11511">
        <v>0</v>
      </c>
    </row>
    <row r="11512" spans="1:2" x14ac:dyDescent="0.25">
      <c r="A11512">
        <v>22485</v>
      </c>
      <c r="B11512">
        <v>0</v>
      </c>
    </row>
    <row r="11513" spans="1:2" x14ac:dyDescent="0.25">
      <c r="A11513">
        <v>22487</v>
      </c>
      <c r="B11513">
        <v>0</v>
      </c>
    </row>
    <row r="11514" spans="1:2" x14ac:dyDescent="0.25">
      <c r="A11514">
        <v>22488</v>
      </c>
      <c r="B11514">
        <v>0</v>
      </c>
    </row>
    <row r="11515" spans="1:2" x14ac:dyDescent="0.25">
      <c r="A11515">
        <v>22489</v>
      </c>
      <c r="B11515">
        <v>0</v>
      </c>
    </row>
    <row r="11516" spans="1:2" x14ac:dyDescent="0.25">
      <c r="A11516">
        <v>22490</v>
      </c>
      <c r="B11516">
        <v>0</v>
      </c>
    </row>
    <row r="11517" spans="1:2" x14ac:dyDescent="0.25">
      <c r="A11517">
        <v>22493</v>
      </c>
      <c r="B11517">
        <v>0</v>
      </c>
    </row>
    <row r="11518" spans="1:2" x14ac:dyDescent="0.25">
      <c r="A11518">
        <v>22494</v>
      </c>
      <c r="B11518">
        <v>0</v>
      </c>
    </row>
    <row r="11519" spans="1:2" x14ac:dyDescent="0.25">
      <c r="A11519">
        <v>22495</v>
      </c>
      <c r="B11519">
        <v>0</v>
      </c>
    </row>
    <row r="11520" spans="1:2" x14ac:dyDescent="0.25">
      <c r="A11520">
        <v>22496</v>
      </c>
      <c r="B11520">
        <v>0</v>
      </c>
    </row>
    <row r="11521" spans="1:2" x14ac:dyDescent="0.25">
      <c r="A11521">
        <v>22497</v>
      </c>
      <c r="B11521">
        <v>0</v>
      </c>
    </row>
    <row r="11522" spans="1:2" x14ac:dyDescent="0.25">
      <c r="A11522">
        <v>22498</v>
      </c>
      <c r="B11522">
        <v>0</v>
      </c>
    </row>
    <row r="11523" spans="1:2" x14ac:dyDescent="0.25">
      <c r="A11523">
        <v>22499</v>
      </c>
      <c r="B11523">
        <v>0</v>
      </c>
    </row>
    <row r="11524" spans="1:2" x14ac:dyDescent="0.25">
      <c r="A11524">
        <v>22500</v>
      </c>
      <c r="B11524">
        <v>0</v>
      </c>
    </row>
    <row r="11525" spans="1:2" x14ac:dyDescent="0.25">
      <c r="A11525">
        <v>22501</v>
      </c>
      <c r="B11525">
        <v>0</v>
      </c>
    </row>
    <row r="11526" spans="1:2" x14ac:dyDescent="0.25">
      <c r="A11526">
        <v>22502</v>
      </c>
      <c r="B11526">
        <v>0</v>
      </c>
    </row>
    <row r="11527" spans="1:2" x14ac:dyDescent="0.25">
      <c r="A11527">
        <v>22503</v>
      </c>
      <c r="B11527">
        <v>0</v>
      </c>
    </row>
    <row r="11528" spans="1:2" x14ac:dyDescent="0.25">
      <c r="A11528">
        <v>22504</v>
      </c>
      <c r="B11528">
        <v>0</v>
      </c>
    </row>
    <row r="11529" spans="1:2" x14ac:dyDescent="0.25">
      <c r="A11529">
        <v>22505</v>
      </c>
      <c r="B11529">
        <v>0</v>
      </c>
    </row>
    <row r="11530" spans="1:2" x14ac:dyDescent="0.25">
      <c r="A11530">
        <v>22506</v>
      </c>
      <c r="B11530">
        <v>0</v>
      </c>
    </row>
    <row r="11531" spans="1:2" x14ac:dyDescent="0.25">
      <c r="A11531">
        <v>22507</v>
      </c>
      <c r="B11531">
        <v>0</v>
      </c>
    </row>
    <row r="11532" spans="1:2" x14ac:dyDescent="0.25">
      <c r="A11532">
        <v>22508</v>
      </c>
      <c r="B11532">
        <v>0</v>
      </c>
    </row>
    <row r="11533" spans="1:2" x14ac:dyDescent="0.25">
      <c r="A11533">
        <v>22509</v>
      </c>
      <c r="B11533">
        <v>0</v>
      </c>
    </row>
    <row r="11534" spans="1:2" x14ac:dyDescent="0.25">
      <c r="A11534">
        <v>22510</v>
      </c>
      <c r="B11534">
        <v>0</v>
      </c>
    </row>
    <row r="11535" spans="1:2" x14ac:dyDescent="0.25">
      <c r="A11535">
        <v>22511</v>
      </c>
      <c r="B11535">
        <v>0</v>
      </c>
    </row>
    <row r="11536" spans="1:2" x14ac:dyDescent="0.25">
      <c r="A11536">
        <v>22513</v>
      </c>
      <c r="B11536">
        <v>0</v>
      </c>
    </row>
    <row r="11537" spans="1:2" x14ac:dyDescent="0.25">
      <c r="A11537">
        <v>22514</v>
      </c>
      <c r="B11537">
        <v>0</v>
      </c>
    </row>
    <row r="11538" spans="1:2" x14ac:dyDescent="0.25">
      <c r="A11538">
        <v>22516</v>
      </c>
      <c r="B11538">
        <v>0</v>
      </c>
    </row>
    <row r="11539" spans="1:2" x14ac:dyDescent="0.25">
      <c r="A11539">
        <v>22533</v>
      </c>
      <c r="B11539">
        <v>0</v>
      </c>
    </row>
    <row r="11540" spans="1:2" x14ac:dyDescent="0.25">
      <c r="A11540">
        <v>22534</v>
      </c>
      <c r="B11540">
        <v>0</v>
      </c>
    </row>
    <row r="11541" spans="1:2" x14ac:dyDescent="0.25">
      <c r="A11541">
        <v>22535</v>
      </c>
      <c r="B11541">
        <v>0</v>
      </c>
    </row>
    <row r="11542" spans="1:2" x14ac:dyDescent="0.25">
      <c r="A11542">
        <v>22536</v>
      </c>
      <c r="B11542">
        <v>0</v>
      </c>
    </row>
    <row r="11543" spans="1:2" x14ac:dyDescent="0.25">
      <c r="A11543">
        <v>22539</v>
      </c>
      <c r="B11543">
        <v>0</v>
      </c>
    </row>
    <row r="11544" spans="1:2" x14ac:dyDescent="0.25">
      <c r="A11544">
        <v>22540</v>
      </c>
      <c r="B11544">
        <v>0</v>
      </c>
    </row>
    <row r="11545" spans="1:2" x14ac:dyDescent="0.25">
      <c r="A11545">
        <v>22542</v>
      </c>
      <c r="B11545">
        <v>0</v>
      </c>
    </row>
    <row r="11546" spans="1:2" x14ac:dyDescent="0.25">
      <c r="A11546">
        <v>22543</v>
      </c>
      <c r="B11546">
        <v>0</v>
      </c>
    </row>
    <row r="11547" spans="1:2" x14ac:dyDescent="0.25">
      <c r="A11547">
        <v>22545</v>
      </c>
      <c r="B11547">
        <v>0</v>
      </c>
    </row>
    <row r="11548" spans="1:2" x14ac:dyDescent="0.25">
      <c r="A11548">
        <v>22549</v>
      </c>
      <c r="B11548">
        <v>0</v>
      </c>
    </row>
    <row r="11549" spans="1:2" x14ac:dyDescent="0.25">
      <c r="A11549">
        <v>22550</v>
      </c>
      <c r="B11549">
        <v>0</v>
      </c>
    </row>
    <row r="11550" spans="1:2" x14ac:dyDescent="0.25">
      <c r="A11550">
        <v>22551</v>
      </c>
      <c r="B11550">
        <v>0</v>
      </c>
    </row>
    <row r="11551" spans="1:2" x14ac:dyDescent="0.25">
      <c r="A11551">
        <v>22554</v>
      </c>
      <c r="B11551">
        <v>0</v>
      </c>
    </row>
    <row r="11552" spans="1:2" x14ac:dyDescent="0.25">
      <c r="A11552">
        <v>22555</v>
      </c>
      <c r="B11552">
        <v>0</v>
      </c>
    </row>
    <row r="11553" spans="1:2" x14ac:dyDescent="0.25">
      <c r="A11553">
        <v>22556</v>
      </c>
      <c r="B11553">
        <v>0</v>
      </c>
    </row>
    <row r="11554" spans="1:2" x14ac:dyDescent="0.25">
      <c r="A11554">
        <v>22557</v>
      </c>
      <c r="B11554">
        <v>0</v>
      </c>
    </row>
    <row r="11555" spans="1:2" x14ac:dyDescent="0.25">
      <c r="A11555">
        <v>22560</v>
      </c>
      <c r="B11555">
        <v>0</v>
      </c>
    </row>
    <row r="11556" spans="1:2" x14ac:dyDescent="0.25">
      <c r="A11556">
        <v>22561</v>
      </c>
      <c r="B11556">
        <v>0</v>
      </c>
    </row>
    <row r="11557" spans="1:2" x14ac:dyDescent="0.25">
      <c r="A11557">
        <v>22562</v>
      </c>
      <c r="B11557">
        <v>0</v>
      </c>
    </row>
    <row r="11558" spans="1:2" x14ac:dyDescent="0.25">
      <c r="A11558">
        <v>22563</v>
      </c>
      <c r="B11558">
        <v>0</v>
      </c>
    </row>
    <row r="11559" spans="1:2" x14ac:dyDescent="0.25">
      <c r="A11559">
        <v>22564</v>
      </c>
      <c r="B11559">
        <v>0</v>
      </c>
    </row>
    <row r="11560" spans="1:2" x14ac:dyDescent="0.25">
      <c r="A11560">
        <v>22566</v>
      </c>
      <c r="B11560">
        <v>0</v>
      </c>
    </row>
    <row r="11561" spans="1:2" x14ac:dyDescent="0.25">
      <c r="A11561">
        <v>22568</v>
      </c>
      <c r="B11561">
        <v>0</v>
      </c>
    </row>
    <row r="11562" spans="1:2" x14ac:dyDescent="0.25">
      <c r="A11562">
        <v>22570</v>
      </c>
      <c r="B11562">
        <v>0</v>
      </c>
    </row>
    <row r="11563" spans="1:2" x14ac:dyDescent="0.25">
      <c r="A11563">
        <v>22571</v>
      </c>
      <c r="B11563">
        <v>0</v>
      </c>
    </row>
    <row r="11564" spans="1:2" x14ac:dyDescent="0.25">
      <c r="A11564">
        <v>22573</v>
      </c>
      <c r="B11564">
        <v>0</v>
      </c>
    </row>
    <row r="11565" spans="1:2" x14ac:dyDescent="0.25">
      <c r="A11565">
        <v>22594</v>
      </c>
      <c r="B11565">
        <v>0</v>
      </c>
    </row>
    <row r="11566" spans="1:2" x14ac:dyDescent="0.25">
      <c r="A11566">
        <v>22595</v>
      </c>
      <c r="B11566">
        <v>0</v>
      </c>
    </row>
    <row r="11567" spans="1:2" x14ac:dyDescent="0.25">
      <c r="A11567">
        <v>22596</v>
      </c>
      <c r="B11567">
        <v>0</v>
      </c>
    </row>
    <row r="11568" spans="1:2" x14ac:dyDescent="0.25">
      <c r="A11568">
        <v>22597</v>
      </c>
      <c r="B11568">
        <v>0</v>
      </c>
    </row>
    <row r="11569" spans="1:2" x14ac:dyDescent="0.25">
      <c r="A11569">
        <v>22598</v>
      </c>
      <c r="B11569">
        <v>0</v>
      </c>
    </row>
    <row r="11570" spans="1:2" x14ac:dyDescent="0.25">
      <c r="A11570">
        <v>22599</v>
      </c>
      <c r="B11570">
        <v>0</v>
      </c>
    </row>
    <row r="11571" spans="1:2" x14ac:dyDescent="0.25">
      <c r="A11571">
        <v>22601</v>
      </c>
      <c r="B11571">
        <v>0</v>
      </c>
    </row>
    <row r="11572" spans="1:2" x14ac:dyDescent="0.25">
      <c r="A11572">
        <v>22603</v>
      </c>
      <c r="B11572">
        <v>0</v>
      </c>
    </row>
    <row r="11573" spans="1:2" x14ac:dyDescent="0.25">
      <c r="A11573">
        <v>22604</v>
      </c>
      <c r="B11573">
        <v>0</v>
      </c>
    </row>
    <row r="11574" spans="1:2" x14ac:dyDescent="0.25">
      <c r="A11574">
        <v>22607</v>
      </c>
      <c r="B11574">
        <v>0</v>
      </c>
    </row>
    <row r="11575" spans="1:2" x14ac:dyDescent="0.25">
      <c r="A11575">
        <v>22608</v>
      </c>
      <c r="B11575">
        <v>0</v>
      </c>
    </row>
    <row r="11576" spans="1:2" x14ac:dyDescent="0.25">
      <c r="A11576">
        <v>22612</v>
      </c>
      <c r="B11576">
        <v>0</v>
      </c>
    </row>
    <row r="11577" spans="1:2" x14ac:dyDescent="0.25">
      <c r="A11577">
        <v>22613</v>
      </c>
      <c r="B11577">
        <v>0</v>
      </c>
    </row>
    <row r="11578" spans="1:2" x14ac:dyDescent="0.25">
      <c r="A11578">
        <v>22615</v>
      </c>
      <c r="B11578">
        <v>0</v>
      </c>
    </row>
    <row r="11579" spans="1:2" x14ac:dyDescent="0.25">
      <c r="A11579">
        <v>22616</v>
      </c>
      <c r="B11579">
        <v>0</v>
      </c>
    </row>
    <row r="11580" spans="1:2" x14ac:dyDescent="0.25">
      <c r="A11580">
        <v>22617</v>
      </c>
      <c r="B11580">
        <v>0</v>
      </c>
    </row>
    <row r="11581" spans="1:2" x14ac:dyDescent="0.25">
      <c r="A11581">
        <v>22618</v>
      </c>
      <c r="B11581">
        <v>0</v>
      </c>
    </row>
    <row r="11582" spans="1:2" x14ac:dyDescent="0.25">
      <c r="A11582">
        <v>22619</v>
      </c>
      <c r="B11582">
        <v>0</v>
      </c>
    </row>
    <row r="11583" spans="1:2" x14ac:dyDescent="0.25">
      <c r="A11583">
        <v>22621</v>
      </c>
      <c r="B11583">
        <v>0</v>
      </c>
    </row>
    <row r="11584" spans="1:2" x14ac:dyDescent="0.25">
      <c r="A11584">
        <v>22622</v>
      </c>
      <c r="B11584">
        <v>0</v>
      </c>
    </row>
    <row r="11585" spans="1:2" x14ac:dyDescent="0.25">
      <c r="A11585">
        <v>22623</v>
      </c>
      <c r="B11585">
        <v>0</v>
      </c>
    </row>
    <row r="11586" spans="1:2" x14ac:dyDescent="0.25">
      <c r="A11586">
        <v>22624</v>
      </c>
      <c r="B11586">
        <v>0</v>
      </c>
    </row>
    <row r="11587" spans="1:2" x14ac:dyDescent="0.25">
      <c r="A11587">
        <v>22626</v>
      </c>
      <c r="B11587">
        <v>0</v>
      </c>
    </row>
    <row r="11588" spans="1:2" x14ac:dyDescent="0.25">
      <c r="A11588">
        <v>22628</v>
      </c>
      <c r="B11588">
        <v>0</v>
      </c>
    </row>
    <row r="11589" spans="1:2" x14ac:dyDescent="0.25">
      <c r="A11589">
        <v>22630</v>
      </c>
      <c r="B11589">
        <v>0</v>
      </c>
    </row>
    <row r="11590" spans="1:2" x14ac:dyDescent="0.25">
      <c r="A11590">
        <v>22632</v>
      </c>
      <c r="B11590">
        <v>0</v>
      </c>
    </row>
    <row r="11591" spans="1:2" x14ac:dyDescent="0.25">
      <c r="A11591">
        <v>22634</v>
      </c>
      <c r="B11591">
        <v>0</v>
      </c>
    </row>
    <row r="11592" spans="1:2" x14ac:dyDescent="0.25">
      <c r="A11592">
        <v>22636</v>
      </c>
      <c r="B11592">
        <v>0</v>
      </c>
    </row>
    <row r="11593" spans="1:2" x14ac:dyDescent="0.25">
      <c r="A11593">
        <v>22638</v>
      </c>
      <c r="B11593">
        <v>0</v>
      </c>
    </row>
    <row r="11594" spans="1:2" x14ac:dyDescent="0.25">
      <c r="A11594">
        <v>22640</v>
      </c>
      <c r="B11594">
        <v>0</v>
      </c>
    </row>
    <row r="11595" spans="1:2" x14ac:dyDescent="0.25">
      <c r="A11595">
        <v>22641</v>
      </c>
      <c r="B11595">
        <v>0</v>
      </c>
    </row>
    <row r="11596" spans="1:2" x14ac:dyDescent="0.25">
      <c r="A11596">
        <v>22644</v>
      </c>
      <c r="B11596">
        <v>0</v>
      </c>
    </row>
    <row r="11597" spans="1:2" x14ac:dyDescent="0.25">
      <c r="A11597">
        <v>22646</v>
      </c>
      <c r="B11597">
        <v>0</v>
      </c>
    </row>
    <row r="11598" spans="1:2" x14ac:dyDescent="0.25">
      <c r="A11598">
        <v>22659</v>
      </c>
      <c r="B11598">
        <v>0</v>
      </c>
    </row>
    <row r="11599" spans="1:2" x14ac:dyDescent="0.25">
      <c r="A11599">
        <v>22661</v>
      </c>
      <c r="B11599">
        <v>0</v>
      </c>
    </row>
    <row r="11600" spans="1:2" x14ac:dyDescent="0.25">
      <c r="A11600">
        <v>22675</v>
      </c>
      <c r="B11600">
        <v>0</v>
      </c>
    </row>
    <row r="11601" spans="1:2" x14ac:dyDescent="0.25">
      <c r="A11601">
        <v>22678</v>
      </c>
      <c r="B11601">
        <v>0</v>
      </c>
    </row>
    <row r="11602" spans="1:2" x14ac:dyDescent="0.25">
      <c r="A11602">
        <v>22698</v>
      </c>
      <c r="B11602">
        <v>0</v>
      </c>
    </row>
    <row r="11603" spans="1:2" x14ac:dyDescent="0.25">
      <c r="A11603">
        <v>22699</v>
      </c>
      <c r="B11603">
        <v>0</v>
      </c>
    </row>
    <row r="11604" spans="1:2" x14ac:dyDescent="0.25">
      <c r="A11604">
        <v>22716</v>
      </c>
      <c r="B11604">
        <v>0</v>
      </c>
    </row>
    <row r="11605" spans="1:2" x14ac:dyDescent="0.25">
      <c r="A11605">
        <v>22717</v>
      </c>
      <c r="B11605">
        <v>0</v>
      </c>
    </row>
    <row r="11606" spans="1:2" x14ac:dyDescent="0.25">
      <c r="A11606">
        <v>22718</v>
      </c>
      <c r="B11606">
        <v>0</v>
      </c>
    </row>
    <row r="11607" spans="1:2" x14ac:dyDescent="0.25">
      <c r="A11607">
        <v>22719</v>
      </c>
      <c r="B11607">
        <v>0</v>
      </c>
    </row>
    <row r="11608" spans="1:2" x14ac:dyDescent="0.25">
      <c r="A11608">
        <v>22720</v>
      </c>
      <c r="B11608">
        <v>0</v>
      </c>
    </row>
    <row r="11609" spans="1:2" x14ac:dyDescent="0.25">
      <c r="A11609">
        <v>22721</v>
      </c>
      <c r="B11609">
        <v>0</v>
      </c>
    </row>
    <row r="11610" spans="1:2" x14ac:dyDescent="0.25">
      <c r="A11610">
        <v>22722</v>
      </c>
      <c r="B11610">
        <v>0</v>
      </c>
    </row>
    <row r="11611" spans="1:2" x14ac:dyDescent="0.25">
      <c r="A11611">
        <v>22723</v>
      </c>
      <c r="B11611">
        <v>0</v>
      </c>
    </row>
    <row r="11612" spans="1:2" x14ac:dyDescent="0.25">
      <c r="A11612">
        <v>22724</v>
      </c>
      <c r="B11612">
        <v>0</v>
      </c>
    </row>
    <row r="11613" spans="1:2" x14ac:dyDescent="0.25">
      <c r="A11613">
        <v>22725</v>
      </c>
      <c r="B11613">
        <v>0</v>
      </c>
    </row>
    <row r="11614" spans="1:2" x14ac:dyDescent="0.25">
      <c r="A11614">
        <v>22726</v>
      </c>
      <c r="B11614">
        <v>0</v>
      </c>
    </row>
    <row r="11615" spans="1:2" x14ac:dyDescent="0.25">
      <c r="A11615">
        <v>22727</v>
      </c>
      <c r="B11615">
        <v>0</v>
      </c>
    </row>
    <row r="11616" spans="1:2" x14ac:dyDescent="0.25">
      <c r="A11616">
        <v>22728</v>
      </c>
      <c r="B11616">
        <v>0</v>
      </c>
    </row>
    <row r="11617" spans="1:2" x14ac:dyDescent="0.25">
      <c r="A11617">
        <v>22729</v>
      </c>
      <c r="B11617">
        <v>0</v>
      </c>
    </row>
    <row r="11618" spans="1:2" x14ac:dyDescent="0.25">
      <c r="A11618">
        <v>22730</v>
      </c>
      <c r="B11618">
        <v>0</v>
      </c>
    </row>
    <row r="11619" spans="1:2" x14ac:dyDescent="0.25">
      <c r="A11619">
        <v>22732</v>
      </c>
      <c r="B11619">
        <v>0</v>
      </c>
    </row>
    <row r="11620" spans="1:2" x14ac:dyDescent="0.25">
      <c r="A11620">
        <v>22733</v>
      </c>
      <c r="B11620">
        <v>0</v>
      </c>
    </row>
    <row r="11621" spans="1:2" x14ac:dyDescent="0.25">
      <c r="A11621">
        <v>22734</v>
      </c>
      <c r="B11621">
        <v>0</v>
      </c>
    </row>
    <row r="11622" spans="1:2" x14ac:dyDescent="0.25">
      <c r="A11622">
        <v>22736</v>
      </c>
      <c r="B11622">
        <v>0</v>
      </c>
    </row>
    <row r="11623" spans="1:2" x14ac:dyDescent="0.25">
      <c r="A11623">
        <v>22738</v>
      </c>
      <c r="B11623">
        <v>0</v>
      </c>
    </row>
    <row r="11624" spans="1:2" x14ac:dyDescent="0.25">
      <c r="A11624">
        <v>22740</v>
      </c>
      <c r="B11624">
        <v>0</v>
      </c>
    </row>
    <row r="11625" spans="1:2" x14ac:dyDescent="0.25">
      <c r="A11625">
        <v>22742</v>
      </c>
      <c r="B11625">
        <v>0</v>
      </c>
    </row>
    <row r="11626" spans="1:2" x14ac:dyDescent="0.25">
      <c r="A11626">
        <v>22743</v>
      </c>
      <c r="B11626">
        <v>0</v>
      </c>
    </row>
    <row r="11627" spans="1:2" x14ac:dyDescent="0.25">
      <c r="A11627">
        <v>22744</v>
      </c>
      <c r="B11627">
        <v>0</v>
      </c>
    </row>
    <row r="11628" spans="1:2" x14ac:dyDescent="0.25">
      <c r="A11628">
        <v>22745</v>
      </c>
      <c r="B11628">
        <v>0</v>
      </c>
    </row>
    <row r="11629" spans="1:2" x14ac:dyDescent="0.25">
      <c r="A11629">
        <v>22747</v>
      </c>
      <c r="B11629">
        <v>0</v>
      </c>
    </row>
    <row r="11630" spans="1:2" x14ac:dyDescent="0.25">
      <c r="A11630">
        <v>22749</v>
      </c>
      <c r="B11630">
        <v>0</v>
      </c>
    </row>
    <row r="11631" spans="1:2" x14ac:dyDescent="0.25">
      <c r="A11631">
        <v>22751</v>
      </c>
      <c r="B11631">
        <v>0</v>
      </c>
    </row>
    <row r="11632" spans="1:2" x14ac:dyDescent="0.25">
      <c r="A11632">
        <v>22753</v>
      </c>
      <c r="B11632">
        <v>0</v>
      </c>
    </row>
    <row r="11633" spans="1:2" x14ac:dyDescent="0.25">
      <c r="A11633">
        <v>22755</v>
      </c>
      <c r="B11633">
        <v>0</v>
      </c>
    </row>
    <row r="11634" spans="1:2" x14ac:dyDescent="0.25">
      <c r="A11634">
        <v>22757</v>
      </c>
      <c r="B11634">
        <v>0</v>
      </c>
    </row>
    <row r="11635" spans="1:2" x14ac:dyDescent="0.25">
      <c r="A11635">
        <v>22759</v>
      </c>
      <c r="B11635">
        <v>0</v>
      </c>
    </row>
    <row r="11636" spans="1:2" x14ac:dyDescent="0.25">
      <c r="A11636">
        <v>22761</v>
      </c>
      <c r="B11636">
        <v>0</v>
      </c>
    </row>
    <row r="11637" spans="1:2" x14ac:dyDescent="0.25">
      <c r="A11637">
        <v>22763</v>
      </c>
      <c r="B11637">
        <v>0</v>
      </c>
    </row>
    <row r="11638" spans="1:2" x14ac:dyDescent="0.25">
      <c r="A11638">
        <v>22765</v>
      </c>
      <c r="B11638">
        <v>0</v>
      </c>
    </row>
    <row r="11639" spans="1:2" x14ac:dyDescent="0.25">
      <c r="A11639">
        <v>22767</v>
      </c>
      <c r="B11639">
        <v>0</v>
      </c>
    </row>
    <row r="11640" spans="1:2" x14ac:dyDescent="0.25">
      <c r="A11640">
        <v>22769</v>
      </c>
      <c r="B11640">
        <v>0</v>
      </c>
    </row>
    <row r="11641" spans="1:2" x14ac:dyDescent="0.25">
      <c r="A11641">
        <v>22771</v>
      </c>
      <c r="B11641">
        <v>0</v>
      </c>
    </row>
    <row r="11642" spans="1:2" x14ac:dyDescent="0.25">
      <c r="A11642">
        <v>22773</v>
      </c>
      <c r="B11642">
        <v>0</v>
      </c>
    </row>
    <row r="11643" spans="1:2" x14ac:dyDescent="0.25">
      <c r="A11643">
        <v>22775</v>
      </c>
      <c r="B11643">
        <v>0</v>
      </c>
    </row>
    <row r="11644" spans="1:2" x14ac:dyDescent="0.25">
      <c r="A11644">
        <v>22777</v>
      </c>
      <c r="B11644">
        <v>0</v>
      </c>
    </row>
    <row r="11645" spans="1:2" x14ac:dyDescent="0.25">
      <c r="A11645">
        <v>22779</v>
      </c>
      <c r="B11645">
        <v>0</v>
      </c>
    </row>
    <row r="11646" spans="1:2" x14ac:dyDescent="0.25">
      <c r="A11646">
        <v>22781</v>
      </c>
      <c r="B11646">
        <v>0</v>
      </c>
    </row>
    <row r="11647" spans="1:2" x14ac:dyDescent="0.25">
      <c r="A11647">
        <v>22783</v>
      </c>
      <c r="B11647">
        <v>0</v>
      </c>
    </row>
    <row r="11648" spans="1:2" x14ac:dyDescent="0.25">
      <c r="A11648">
        <v>22785</v>
      </c>
      <c r="B11648">
        <v>0</v>
      </c>
    </row>
    <row r="11649" spans="1:2" x14ac:dyDescent="0.25">
      <c r="A11649">
        <v>22787</v>
      </c>
      <c r="B11649">
        <v>0</v>
      </c>
    </row>
    <row r="11650" spans="1:2" x14ac:dyDescent="0.25">
      <c r="A11650">
        <v>22789</v>
      </c>
      <c r="B11650">
        <v>0</v>
      </c>
    </row>
    <row r="11651" spans="1:2" x14ac:dyDescent="0.25">
      <c r="A11651">
        <v>22791</v>
      </c>
      <c r="B11651">
        <v>0</v>
      </c>
    </row>
    <row r="11652" spans="1:2" x14ac:dyDescent="0.25">
      <c r="A11652">
        <v>22793</v>
      </c>
      <c r="B11652">
        <v>0</v>
      </c>
    </row>
    <row r="11653" spans="1:2" x14ac:dyDescent="0.25">
      <c r="A11653">
        <v>22795</v>
      </c>
      <c r="B11653">
        <v>0</v>
      </c>
    </row>
    <row r="11654" spans="1:2" x14ac:dyDescent="0.25">
      <c r="A11654">
        <v>22797</v>
      </c>
      <c r="B11654">
        <v>0</v>
      </c>
    </row>
    <row r="11655" spans="1:2" x14ac:dyDescent="0.25">
      <c r="A11655">
        <v>22799</v>
      </c>
      <c r="B11655">
        <v>0</v>
      </c>
    </row>
    <row r="11656" spans="1:2" x14ac:dyDescent="0.25">
      <c r="A11656">
        <v>22801</v>
      </c>
      <c r="B11656">
        <v>0</v>
      </c>
    </row>
    <row r="11657" spans="1:2" x14ac:dyDescent="0.25">
      <c r="A11657">
        <v>22803</v>
      </c>
      <c r="B11657">
        <v>0</v>
      </c>
    </row>
    <row r="11658" spans="1:2" x14ac:dyDescent="0.25">
      <c r="A11658">
        <v>22805</v>
      </c>
      <c r="B11658">
        <v>0</v>
      </c>
    </row>
    <row r="11659" spans="1:2" x14ac:dyDescent="0.25">
      <c r="A11659">
        <v>22807</v>
      </c>
      <c r="B11659">
        <v>0</v>
      </c>
    </row>
    <row r="11660" spans="1:2" x14ac:dyDescent="0.25">
      <c r="A11660">
        <v>22809</v>
      </c>
      <c r="B11660">
        <v>0</v>
      </c>
    </row>
    <row r="11661" spans="1:2" x14ac:dyDescent="0.25">
      <c r="A11661">
        <v>22811</v>
      </c>
      <c r="B11661">
        <v>0</v>
      </c>
    </row>
    <row r="11662" spans="1:2" x14ac:dyDescent="0.25">
      <c r="A11662">
        <v>22813</v>
      </c>
      <c r="B11662">
        <v>0</v>
      </c>
    </row>
    <row r="11663" spans="1:2" x14ac:dyDescent="0.25">
      <c r="A11663">
        <v>22815</v>
      </c>
      <c r="B11663">
        <v>0</v>
      </c>
    </row>
    <row r="11664" spans="1:2" x14ac:dyDescent="0.25">
      <c r="A11664">
        <v>22817</v>
      </c>
      <c r="B11664">
        <v>0</v>
      </c>
    </row>
    <row r="11665" spans="1:2" x14ac:dyDescent="0.25">
      <c r="A11665">
        <v>22819</v>
      </c>
      <c r="B11665">
        <v>0</v>
      </c>
    </row>
    <row r="11666" spans="1:2" x14ac:dyDescent="0.25">
      <c r="A11666">
        <v>22821</v>
      </c>
      <c r="B11666">
        <v>0</v>
      </c>
    </row>
    <row r="11667" spans="1:2" x14ac:dyDescent="0.25">
      <c r="A11667">
        <v>22823</v>
      </c>
      <c r="B11667">
        <v>0</v>
      </c>
    </row>
    <row r="11668" spans="1:2" x14ac:dyDescent="0.25">
      <c r="A11668">
        <v>22826</v>
      </c>
      <c r="B11668">
        <v>0</v>
      </c>
    </row>
    <row r="11669" spans="1:2" x14ac:dyDescent="0.25">
      <c r="A11669">
        <v>22827</v>
      </c>
      <c r="B11669">
        <v>0</v>
      </c>
    </row>
    <row r="11670" spans="1:2" x14ac:dyDescent="0.25">
      <c r="A11670">
        <v>22829</v>
      </c>
      <c r="B11670">
        <v>0</v>
      </c>
    </row>
    <row r="11671" spans="1:2" x14ac:dyDescent="0.25">
      <c r="A11671">
        <v>22830</v>
      </c>
      <c r="B11671">
        <v>0</v>
      </c>
    </row>
    <row r="11672" spans="1:2" x14ac:dyDescent="0.25">
      <c r="A11672">
        <v>22832</v>
      </c>
      <c r="B11672">
        <v>0</v>
      </c>
    </row>
    <row r="11673" spans="1:2" x14ac:dyDescent="0.25">
      <c r="A11673">
        <v>22833</v>
      </c>
      <c r="B11673">
        <v>0</v>
      </c>
    </row>
    <row r="11674" spans="1:2" x14ac:dyDescent="0.25">
      <c r="A11674">
        <v>22835</v>
      </c>
      <c r="B11674">
        <v>0</v>
      </c>
    </row>
    <row r="11675" spans="1:2" x14ac:dyDescent="0.25">
      <c r="A11675">
        <v>22836</v>
      </c>
      <c r="B11675">
        <v>0</v>
      </c>
    </row>
    <row r="11676" spans="1:2" x14ac:dyDescent="0.25">
      <c r="A11676">
        <v>22837</v>
      </c>
      <c r="B11676">
        <v>0</v>
      </c>
    </row>
    <row r="11677" spans="1:2" x14ac:dyDescent="0.25">
      <c r="A11677">
        <v>22838</v>
      </c>
      <c r="B11677">
        <v>0</v>
      </c>
    </row>
    <row r="11678" spans="1:2" x14ac:dyDescent="0.25">
      <c r="A11678">
        <v>22839</v>
      </c>
      <c r="B11678">
        <v>0</v>
      </c>
    </row>
    <row r="11679" spans="1:2" x14ac:dyDescent="0.25">
      <c r="A11679">
        <v>22840</v>
      </c>
      <c r="B11679">
        <v>0</v>
      </c>
    </row>
    <row r="11680" spans="1:2" x14ac:dyDescent="0.25">
      <c r="A11680">
        <v>22841</v>
      </c>
      <c r="B11680">
        <v>0</v>
      </c>
    </row>
    <row r="11681" spans="1:2" x14ac:dyDescent="0.25">
      <c r="A11681">
        <v>22842</v>
      </c>
      <c r="B11681">
        <v>0</v>
      </c>
    </row>
    <row r="11682" spans="1:2" x14ac:dyDescent="0.25">
      <c r="A11682">
        <v>22843</v>
      </c>
      <c r="B11682">
        <v>0</v>
      </c>
    </row>
    <row r="11683" spans="1:2" x14ac:dyDescent="0.25">
      <c r="A11683">
        <v>22844</v>
      </c>
      <c r="B11683">
        <v>0</v>
      </c>
    </row>
    <row r="11684" spans="1:2" x14ac:dyDescent="0.25">
      <c r="A11684">
        <v>22846</v>
      </c>
      <c r="B11684">
        <v>0</v>
      </c>
    </row>
    <row r="11685" spans="1:2" x14ac:dyDescent="0.25">
      <c r="A11685">
        <v>22848</v>
      </c>
      <c r="B11685">
        <v>0</v>
      </c>
    </row>
    <row r="11686" spans="1:2" x14ac:dyDescent="0.25">
      <c r="A11686">
        <v>22850</v>
      </c>
      <c r="B11686">
        <v>0</v>
      </c>
    </row>
    <row r="11687" spans="1:2" x14ac:dyDescent="0.25">
      <c r="A11687">
        <v>22852</v>
      </c>
      <c r="B11687">
        <v>0</v>
      </c>
    </row>
    <row r="11688" spans="1:2" x14ac:dyDescent="0.25">
      <c r="A11688">
        <v>22854</v>
      </c>
      <c r="B11688">
        <v>0</v>
      </c>
    </row>
    <row r="11689" spans="1:2" x14ac:dyDescent="0.25">
      <c r="A11689">
        <v>22856</v>
      </c>
      <c r="B11689">
        <v>0</v>
      </c>
    </row>
    <row r="11690" spans="1:2" x14ac:dyDescent="0.25">
      <c r="A11690">
        <v>22859</v>
      </c>
      <c r="B11690">
        <v>0</v>
      </c>
    </row>
    <row r="11691" spans="1:2" x14ac:dyDescent="0.25">
      <c r="A11691">
        <v>22860</v>
      </c>
      <c r="B11691">
        <v>0</v>
      </c>
    </row>
    <row r="11692" spans="1:2" x14ac:dyDescent="0.25">
      <c r="A11692">
        <v>22862</v>
      </c>
      <c r="B11692">
        <v>0</v>
      </c>
    </row>
    <row r="11693" spans="1:2" x14ac:dyDescent="0.25">
      <c r="A11693">
        <v>22865</v>
      </c>
      <c r="B11693">
        <v>0</v>
      </c>
    </row>
    <row r="11694" spans="1:2" x14ac:dyDescent="0.25">
      <c r="A11694">
        <v>22867</v>
      </c>
      <c r="B11694">
        <v>0</v>
      </c>
    </row>
    <row r="11695" spans="1:2" x14ac:dyDescent="0.25">
      <c r="A11695">
        <v>22869</v>
      </c>
      <c r="B11695">
        <v>0</v>
      </c>
    </row>
    <row r="11696" spans="1:2" x14ac:dyDescent="0.25">
      <c r="A11696">
        <v>22871</v>
      </c>
      <c r="B11696">
        <v>0</v>
      </c>
    </row>
    <row r="11697" spans="1:2" x14ac:dyDescent="0.25">
      <c r="A11697">
        <v>22873</v>
      </c>
      <c r="B11697">
        <v>0</v>
      </c>
    </row>
    <row r="11698" spans="1:2" x14ac:dyDescent="0.25">
      <c r="A11698">
        <v>22874</v>
      </c>
      <c r="B11698">
        <v>0</v>
      </c>
    </row>
    <row r="11699" spans="1:2" x14ac:dyDescent="0.25">
      <c r="A11699">
        <v>22876</v>
      </c>
      <c r="B11699">
        <v>0</v>
      </c>
    </row>
    <row r="11700" spans="1:2" x14ac:dyDescent="0.25">
      <c r="A11700">
        <v>22878</v>
      </c>
      <c r="B11700">
        <v>0</v>
      </c>
    </row>
    <row r="11701" spans="1:2" x14ac:dyDescent="0.25">
      <c r="A11701">
        <v>22880</v>
      </c>
      <c r="B11701">
        <v>0</v>
      </c>
    </row>
    <row r="11702" spans="1:2" x14ac:dyDescent="0.25">
      <c r="A11702">
        <v>22882</v>
      </c>
      <c r="B11702">
        <v>0</v>
      </c>
    </row>
    <row r="11703" spans="1:2" x14ac:dyDescent="0.25">
      <c r="A11703">
        <v>22884</v>
      </c>
      <c r="B11703">
        <v>0</v>
      </c>
    </row>
    <row r="11704" spans="1:2" x14ac:dyDescent="0.25">
      <c r="A11704">
        <v>22886</v>
      </c>
      <c r="B11704">
        <v>0</v>
      </c>
    </row>
    <row r="11705" spans="1:2" x14ac:dyDescent="0.25">
      <c r="A11705">
        <v>22888</v>
      </c>
      <c r="B11705">
        <v>0</v>
      </c>
    </row>
    <row r="11706" spans="1:2" x14ac:dyDescent="0.25">
      <c r="A11706">
        <v>22890</v>
      </c>
      <c r="B11706">
        <v>0</v>
      </c>
    </row>
    <row r="11707" spans="1:2" x14ac:dyDescent="0.25">
      <c r="A11707">
        <v>22892</v>
      </c>
      <c r="B11707">
        <v>0</v>
      </c>
    </row>
    <row r="11708" spans="1:2" x14ac:dyDescent="0.25">
      <c r="A11708">
        <v>22894</v>
      </c>
      <c r="B11708">
        <v>0</v>
      </c>
    </row>
    <row r="11709" spans="1:2" x14ac:dyDescent="0.25">
      <c r="A11709">
        <v>22896</v>
      </c>
      <c r="B11709">
        <v>0</v>
      </c>
    </row>
    <row r="11710" spans="1:2" x14ac:dyDescent="0.25">
      <c r="A11710">
        <v>22898</v>
      </c>
      <c r="B11710">
        <v>0</v>
      </c>
    </row>
    <row r="11711" spans="1:2" x14ac:dyDescent="0.25">
      <c r="A11711">
        <v>22900</v>
      </c>
      <c r="B11711">
        <v>0</v>
      </c>
    </row>
    <row r="11712" spans="1:2" x14ac:dyDescent="0.25">
      <c r="A11712">
        <v>22902</v>
      </c>
      <c r="B11712">
        <v>0</v>
      </c>
    </row>
    <row r="11713" spans="1:2" x14ac:dyDescent="0.25">
      <c r="A11713">
        <v>22903</v>
      </c>
      <c r="B11713">
        <v>0</v>
      </c>
    </row>
    <row r="11714" spans="1:2" x14ac:dyDescent="0.25">
      <c r="A11714">
        <v>22905</v>
      </c>
      <c r="B11714">
        <v>0</v>
      </c>
    </row>
    <row r="11715" spans="1:2" x14ac:dyDescent="0.25">
      <c r="A11715">
        <v>22908</v>
      </c>
      <c r="B11715">
        <v>0</v>
      </c>
    </row>
    <row r="11716" spans="1:2" x14ac:dyDescent="0.25">
      <c r="A11716">
        <v>22910</v>
      </c>
      <c r="B11716">
        <v>0</v>
      </c>
    </row>
    <row r="11717" spans="1:2" x14ac:dyDescent="0.25">
      <c r="A11717">
        <v>22912</v>
      </c>
      <c r="B11717">
        <v>0</v>
      </c>
    </row>
    <row r="11718" spans="1:2" x14ac:dyDescent="0.25">
      <c r="A11718">
        <v>22913</v>
      </c>
      <c r="B11718">
        <v>0</v>
      </c>
    </row>
    <row r="11719" spans="1:2" x14ac:dyDescent="0.25">
      <c r="A11719">
        <v>22915</v>
      </c>
      <c r="B11719">
        <v>0</v>
      </c>
    </row>
    <row r="11720" spans="1:2" x14ac:dyDescent="0.25">
      <c r="A11720">
        <v>22917</v>
      </c>
      <c r="B11720">
        <v>0</v>
      </c>
    </row>
    <row r="11721" spans="1:2" x14ac:dyDescent="0.25">
      <c r="A11721">
        <v>22919</v>
      </c>
      <c r="B11721">
        <v>0</v>
      </c>
    </row>
    <row r="11722" spans="1:2" x14ac:dyDescent="0.25">
      <c r="A11722">
        <v>22921</v>
      </c>
      <c r="B11722">
        <v>0</v>
      </c>
    </row>
    <row r="11723" spans="1:2" x14ac:dyDescent="0.25">
      <c r="A11723">
        <v>22923</v>
      </c>
      <c r="B11723">
        <v>0</v>
      </c>
    </row>
    <row r="11724" spans="1:2" x14ac:dyDescent="0.25">
      <c r="A11724">
        <v>22925</v>
      </c>
      <c r="B11724">
        <v>0</v>
      </c>
    </row>
    <row r="11725" spans="1:2" x14ac:dyDescent="0.25">
      <c r="A11725">
        <v>22926</v>
      </c>
      <c r="B11725">
        <v>0</v>
      </c>
    </row>
    <row r="11726" spans="1:2" x14ac:dyDescent="0.25">
      <c r="A11726">
        <v>22971</v>
      </c>
      <c r="B11726">
        <v>0</v>
      </c>
    </row>
    <row r="11727" spans="1:2" x14ac:dyDescent="0.25">
      <c r="A11727">
        <v>22973</v>
      </c>
      <c r="B11727">
        <v>0</v>
      </c>
    </row>
    <row r="11728" spans="1:2" x14ac:dyDescent="0.25">
      <c r="A11728">
        <v>22975</v>
      </c>
      <c r="B11728">
        <v>0</v>
      </c>
    </row>
    <row r="11729" spans="1:2" x14ac:dyDescent="0.25">
      <c r="A11729">
        <v>22977</v>
      </c>
      <c r="B11729">
        <v>0</v>
      </c>
    </row>
    <row r="11730" spans="1:2" x14ac:dyDescent="0.25">
      <c r="A11730">
        <v>22988</v>
      </c>
      <c r="B11730">
        <v>0</v>
      </c>
    </row>
    <row r="11731" spans="1:2" x14ac:dyDescent="0.25">
      <c r="A11731">
        <v>22990</v>
      </c>
      <c r="B11731">
        <v>0</v>
      </c>
    </row>
    <row r="11732" spans="1:2" x14ac:dyDescent="0.25">
      <c r="A11732">
        <v>22992</v>
      </c>
      <c r="B11732">
        <v>0</v>
      </c>
    </row>
    <row r="11733" spans="1:2" x14ac:dyDescent="0.25">
      <c r="A11733">
        <v>22994</v>
      </c>
      <c r="B11733">
        <v>0</v>
      </c>
    </row>
    <row r="11734" spans="1:2" x14ac:dyDescent="0.25">
      <c r="A11734">
        <v>22996</v>
      </c>
      <c r="B11734">
        <v>0</v>
      </c>
    </row>
    <row r="11735" spans="1:2" x14ac:dyDescent="0.25">
      <c r="A11735">
        <v>22998</v>
      </c>
      <c r="B11735">
        <v>0</v>
      </c>
    </row>
    <row r="11736" spans="1:2" x14ac:dyDescent="0.25">
      <c r="A11736">
        <v>23000</v>
      </c>
      <c r="B11736">
        <v>0</v>
      </c>
    </row>
    <row r="11737" spans="1:2" x14ac:dyDescent="0.25">
      <c r="A11737">
        <v>23002</v>
      </c>
      <c r="B11737">
        <v>0</v>
      </c>
    </row>
    <row r="11738" spans="1:2" x14ac:dyDescent="0.25">
      <c r="A11738">
        <v>23004</v>
      </c>
      <c r="B11738">
        <v>0</v>
      </c>
    </row>
    <row r="11739" spans="1:2" x14ac:dyDescent="0.25">
      <c r="A11739">
        <v>23006</v>
      </c>
      <c r="B11739">
        <v>0</v>
      </c>
    </row>
    <row r="11740" spans="1:2" x14ac:dyDescent="0.25">
      <c r="A11740">
        <v>23007</v>
      </c>
      <c r="B11740">
        <v>0</v>
      </c>
    </row>
    <row r="11741" spans="1:2" x14ac:dyDescent="0.25">
      <c r="A11741">
        <v>23009</v>
      </c>
      <c r="B11741">
        <v>0</v>
      </c>
    </row>
    <row r="11742" spans="1:2" x14ac:dyDescent="0.25">
      <c r="A11742">
        <v>23011</v>
      </c>
      <c r="B11742">
        <v>0</v>
      </c>
    </row>
    <row r="11743" spans="1:2" x14ac:dyDescent="0.25">
      <c r="A11743">
        <v>23014</v>
      </c>
      <c r="B11743">
        <v>0</v>
      </c>
    </row>
    <row r="11744" spans="1:2" x14ac:dyDescent="0.25">
      <c r="A11744">
        <v>23015</v>
      </c>
      <c r="B11744">
        <v>0</v>
      </c>
    </row>
    <row r="11745" spans="1:2" x14ac:dyDescent="0.25">
      <c r="A11745">
        <v>23017</v>
      </c>
      <c r="B11745">
        <v>0</v>
      </c>
    </row>
    <row r="11746" spans="1:2" x14ac:dyDescent="0.25">
      <c r="A11746">
        <v>23019</v>
      </c>
      <c r="B11746">
        <v>0</v>
      </c>
    </row>
    <row r="11747" spans="1:2" x14ac:dyDescent="0.25">
      <c r="A11747">
        <v>23020</v>
      </c>
      <c r="B11747">
        <v>0</v>
      </c>
    </row>
    <row r="11748" spans="1:2" x14ac:dyDescent="0.25">
      <c r="A11748">
        <v>23021</v>
      </c>
      <c r="B11748">
        <v>0</v>
      </c>
    </row>
    <row r="11749" spans="1:2" x14ac:dyDescent="0.25">
      <c r="A11749">
        <v>23023</v>
      </c>
      <c r="B11749">
        <v>0</v>
      </c>
    </row>
    <row r="11750" spans="1:2" x14ac:dyDescent="0.25">
      <c r="A11750">
        <v>23024</v>
      </c>
      <c r="B11750">
        <v>0</v>
      </c>
    </row>
    <row r="11751" spans="1:2" x14ac:dyDescent="0.25">
      <c r="A11751">
        <v>23025</v>
      </c>
      <c r="B11751">
        <v>0</v>
      </c>
    </row>
    <row r="11752" spans="1:2" x14ac:dyDescent="0.25">
      <c r="A11752">
        <v>23027</v>
      </c>
      <c r="B11752">
        <v>0</v>
      </c>
    </row>
    <row r="11753" spans="1:2" x14ac:dyDescent="0.25">
      <c r="A11753">
        <v>23028</v>
      </c>
      <c r="B11753">
        <v>0</v>
      </c>
    </row>
    <row r="11754" spans="1:2" x14ac:dyDescent="0.25">
      <c r="A11754">
        <v>23029</v>
      </c>
      <c r="B11754">
        <v>0</v>
      </c>
    </row>
    <row r="11755" spans="1:2" x14ac:dyDescent="0.25">
      <c r="A11755">
        <v>23030</v>
      </c>
      <c r="B11755">
        <v>0</v>
      </c>
    </row>
    <row r="11756" spans="1:2" x14ac:dyDescent="0.25">
      <c r="A11756">
        <v>23031</v>
      </c>
      <c r="B11756">
        <v>0</v>
      </c>
    </row>
    <row r="11757" spans="1:2" x14ac:dyDescent="0.25">
      <c r="A11757">
        <v>23032</v>
      </c>
      <c r="B11757">
        <v>0</v>
      </c>
    </row>
    <row r="11758" spans="1:2" x14ac:dyDescent="0.25">
      <c r="A11758">
        <v>23033</v>
      </c>
      <c r="B11758">
        <v>0</v>
      </c>
    </row>
    <row r="11759" spans="1:2" x14ac:dyDescent="0.25">
      <c r="A11759">
        <v>23034</v>
      </c>
      <c r="B11759">
        <v>0</v>
      </c>
    </row>
    <row r="11760" spans="1:2" x14ac:dyDescent="0.25">
      <c r="A11760">
        <v>23035</v>
      </c>
      <c r="B11760">
        <v>0</v>
      </c>
    </row>
    <row r="11761" spans="1:2" x14ac:dyDescent="0.25">
      <c r="A11761">
        <v>23036</v>
      </c>
      <c r="B11761">
        <v>0</v>
      </c>
    </row>
    <row r="11762" spans="1:2" x14ac:dyDescent="0.25">
      <c r="A11762">
        <v>23037</v>
      </c>
      <c r="B11762">
        <v>0</v>
      </c>
    </row>
    <row r="11763" spans="1:2" x14ac:dyDescent="0.25">
      <c r="A11763">
        <v>23038</v>
      </c>
      <c r="B11763">
        <v>0</v>
      </c>
    </row>
    <row r="11764" spans="1:2" x14ac:dyDescent="0.25">
      <c r="A11764">
        <v>23039</v>
      </c>
      <c r="B11764">
        <v>0</v>
      </c>
    </row>
    <row r="11765" spans="1:2" x14ac:dyDescent="0.25">
      <c r="A11765">
        <v>23040</v>
      </c>
      <c r="B11765">
        <v>0</v>
      </c>
    </row>
    <row r="11766" spans="1:2" x14ac:dyDescent="0.25">
      <c r="A11766">
        <v>23041</v>
      </c>
      <c r="B11766">
        <v>0</v>
      </c>
    </row>
    <row r="11767" spans="1:2" x14ac:dyDescent="0.25">
      <c r="A11767">
        <v>23042</v>
      </c>
      <c r="B11767">
        <v>0</v>
      </c>
    </row>
    <row r="11768" spans="1:2" x14ac:dyDescent="0.25">
      <c r="A11768">
        <v>23043</v>
      </c>
      <c r="B11768">
        <v>0</v>
      </c>
    </row>
    <row r="11769" spans="1:2" x14ac:dyDescent="0.25">
      <c r="A11769">
        <v>23044</v>
      </c>
      <c r="B11769">
        <v>0</v>
      </c>
    </row>
    <row r="11770" spans="1:2" x14ac:dyDescent="0.25">
      <c r="A11770">
        <v>23045</v>
      </c>
      <c r="B11770">
        <v>0</v>
      </c>
    </row>
    <row r="11771" spans="1:2" x14ac:dyDescent="0.25">
      <c r="A11771">
        <v>23046</v>
      </c>
      <c r="B11771">
        <v>0</v>
      </c>
    </row>
    <row r="11772" spans="1:2" x14ac:dyDescent="0.25">
      <c r="A11772">
        <v>23047</v>
      </c>
      <c r="B11772">
        <v>0</v>
      </c>
    </row>
    <row r="11773" spans="1:2" x14ac:dyDescent="0.25">
      <c r="A11773">
        <v>23048</v>
      </c>
      <c r="B11773">
        <v>0</v>
      </c>
    </row>
    <row r="11774" spans="1:2" x14ac:dyDescent="0.25">
      <c r="A11774">
        <v>23049</v>
      </c>
      <c r="B11774">
        <v>0</v>
      </c>
    </row>
    <row r="11775" spans="1:2" x14ac:dyDescent="0.25">
      <c r="A11775">
        <v>23050</v>
      </c>
      <c r="B11775">
        <v>0</v>
      </c>
    </row>
    <row r="11776" spans="1:2" x14ac:dyDescent="0.25">
      <c r="A11776">
        <v>23051</v>
      </c>
      <c r="B11776">
        <v>0</v>
      </c>
    </row>
    <row r="11777" spans="1:2" x14ac:dyDescent="0.25">
      <c r="A11777">
        <v>23052</v>
      </c>
      <c r="B11777">
        <v>0</v>
      </c>
    </row>
    <row r="11778" spans="1:2" x14ac:dyDescent="0.25">
      <c r="A11778">
        <v>23053</v>
      </c>
      <c r="B11778">
        <v>0</v>
      </c>
    </row>
    <row r="11779" spans="1:2" x14ac:dyDescent="0.25">
      <c r="A11779">
        <v>23055</v>
      </c>
      <c r="B11779">
        <v>0</v>
      </c>
    </row>
    <row r="11780" spans="1:2" x14ac:dyDescent="0.25">
      <c r="A11780">
        <v>23058</v>
      </c>
      <c r="B11780">
        <v>0</v>
      </c>
    </row>
    <row r="11781" spans="1:2" x14ac:dyDescent="0.25">
      <c r="A11781">
        <v>23060</v>
      </c>
      <c r="B11781">
        <v>0</v>
      </c>
    </row>
    <row r="11782" spans="1:2" x14ac:dyDescent="0.25">
      <c r="A11782">
        <v>23062</v>
      </c>
      <c r="B11782">
        <v>0</v>
      </c>
    </row>
    <row r="11783" spans="1:2" x14ac:dyDescent="0.25">
      <c r="A11783">
        <v>23064</v>
      </c>
      <c r="B11783">
        <v>0</v>
      </c>
    </row>
    <row r="11784" spans="1:2" x14ac:dyDescent="0.25">
      <c r="A11784">
        <v>23066</v>
      </c>
      <c r="B11784">
        <v>0</v>
      </c>
    </row>
    <row r="11785" spans="1:2" x14ac:dyDescent="0.25">
      <c r="A11785">
        <v>23068</v>
      </c>
      <c r="B11785">
        <v>0</v>
      </c>
    </row>
    <row r="11786" spans="1:2" x14ac:dyDescent="0.25">
      <c r="A11786">
        <v>23070</v>
      </c>
      <c r="B11786">
        <v>0</v>
      </c>
    </row>
    <row r="11787" spans="1:2" x14ac:dyDescent="0.25">
      <c r="A11787">
        <v>23072</v>
      </c>
      <c r="B11787">
        <v>0</v>
      </c>
    </row>
    <row r="11788" spans="1:2" x14ac:dyDescent="0.25">
      <c r="A11788">
        <v>23073</v>
      </c>
      <c r="B11788">
        <v>0</v>
      </c>
    </row>
    <row r="11789" spans="1:2" x14ac:dyDescent="0.25">
      <c r="A11789">
        <v>23076</v>
      </c>
      <c r="B11789">
        <v>0</v>
      </c>
    </row>
    <row r="11790" spans="1:2" x14ac:dyDescent="0.25">
      <c r="A11790">
        <v>23078</v>
      </c>
      <c r="B11790">
        <v>0</v>
      </c>
    </row>
    <row r="11791" spans="1:2" x14ac:dyDescent="0.25">
      <c r="A11791">
        <v>23081</v>
      </c>
      <c r="B11791">
        <v>0</v>
      </c>
    </row>
    <row r="11792" spans="1:2" x14ac:dyDescent="0.25">
      <c r="A11792">
        <v>23083</v>
      </c>
      <c r="B11792">
        <v>0</v>
      </c>
    </row>
    <row r="11793" spans="1:2" x14ac:dyDescent="0.25">
      <c r="A11793">
        <v>23085</v>
      </c>
      <c r="B11793">
        <v>0</v>
      </c>
    </row>
    <row r="11794" spans="1:2" x14ac:dyDescent="0.25">
      <c r="A11794">
        <v>23087</v>
      </c>
      <c r="B11794">
        <v>0</v>
      </c>
    </row>
    <row r="11795" spans="1:2" x14ac:dyDescent="0.25">
      <c r="A11795">
        <v>23089</v>
      </c>
      <c r="B11795">
        <v>0</v>
      </c>
    </row>
    <row r="11796" spans="1:2" x14ac:dyDescent="0.25">
      <c r="A11796">
        <v>23091</v>
      </c>
      <c r="B11796">
        <v>0</v>
      </c>
    </row>
    <row r="11797" spans="1:2" x14ac:dyDescent="0.25">
      <c r="A11797">
        <v>23093</v>
      </c>
      <c r="B11797">
        <v>0</v>
      </c>
    </row>
    <row r="11798" spans="1:2" x14ac:dyDescent="0.25">
      <c r="A11798">
        <v>23095</v>
      </c>
      <c r="B11798">
        <v>0</v>
      </c>
    </row>
    <row r="11799" spans="1:2" x14ac:dyDescent="0.25">
      <c r="A11799">
        <v>23097</v>
      </c>
      <c r="B11799">
        <v>0</v>
      </c>
    </row>
    <row r="11800" spans="1:2" x14ac:dyDescent="0.25">
      <c r="A11800">
        <v>23099</v>
      </c>
      <c r="B11800">
        <v>0</v>
      </c>
    </row>
    <row r="11801" spans="1:2" x14ac:dyDescent="0.25">
      <c r="A11801">
        <v>23101</v>
      </c>
      <c r="B11801">
        <v>0</v>
      </c>
    </row>
    <row r="11802" spans="1:2" x14ac:dyDescent="0.25">
      <c r="A11802">
        <v>23103</v>
      </c>
      <c r="B11802">
        <v>0</v>
      </c>
    </row>
    <row r="11803" spans="1:2" x14ac:dyDescent="0.25">
      <c r="A11803">
        <v>23106</v>
      </c>
      <c r="B11803">
        <v>0</v>
      </c>
    </row>
    <row r="11804" spans="1:2" x14ac:dyDescent="0.25">
      <c r="A11804">
        <v>23108</v>
      </c>
      <c r="B11804">
        <v>0</v>
      </c>
    </row>
    <row r="11805" spans="1:2" x14ac:dyDescent="0.25">
      <c r="A11805">
        <v>23110</v>
      </c>
      <c r="B11805">
        <v>0</v>
      </c>
    </row>
    <row r="11806" spans="1:2" x14ac:dyDescent="0.25">
      <c r="A11806">
        <v>23112</v>
      </c>
      <c r="B11806">
        <v>0</v>
      </c>
    </row>
    <row r="11807" spans="1:2" x14ac:dyDescent="0.25">
      <c r="A11807">
        <v>23114</v>
      </c>
      <c r="B11807">
        <v>0</v>
      </c>
    </row>
    <row r="11808" spans="1:2" x14ac:dyDescent="0.25">
      <c r="A11808">
        <v>23116</v>
      </c>
      <c r="B11808">
        <v>0</v>
      </c>
    </row>
    <row r="11809" spans="1:2" x14ac:dyDescent="0.25">
      <c r="A11809">
        <v>23118</v>
      </c>
      <c r="B11809">
        <v>0</v>
      </c>
    </row>
    <row r="11810" spans="1:2" x14ac:dyDescent="0.25">
      <c r="A11810">
        <v>23120</v>
      </c>
      <c r="B11810">
        <v>0</v>
      </c>
    </row>
    <row r="11811" spans="1:2" x14ac:dyDescent="0.25">
      <c r="A11811">
        <v>23122</v>
      </c>
      <c r="B11811">
        <v>0</v>
      </c>
    </row>
    <row r="11812" spans="1:2" x14ac:dyDescent="0.25">
      <c r="A11812">
        <v>23131</v>
      </c>
      <c r="B11812">
        <v>0</v>
      </c>
    </row>
    <row r="11813" spans="1:2" x14ac:dyDescent="0.25">
      <c r="A11813">
        <v>23133</v>
      </c>
      <c r="B11813">
        <v>0</v>
      </c>
    </row>
    <row r="11814" spans="1:2" x14ac:dyDescent="0.25">
      <c r="A11814">
        <v>23135</v>
      </c>
      <c r="B11814">
        <v>0</v>
      </c>
    </row>
    <row r="11815" spans="1:2" x14ac:dyDescent="0.25">
      <c r="A11815">
        <v>23137</v>
      </c>
      <c r="B11815">
        <v>0</v>
      </c>
    </row>
    <row r="11816" spans="1:2" x14ac:dyDescent="0.25">
      <c r="A11816">
        <v>23138</v>
      </c>
      <c r="B11816">
        <v>0</v>
      </c>
    </row>
    <row r="11817" spans="1:2" x14ac:dyDescent="0.25">
      <c r="A11817">
        <v>23139</v>
      </c>
      <c r="B11817">
        <v>0</v>
      </c>
    </row>
    <row r="11818" spans="1:2" x14ac:dyDescent="0.25">
      <c r="A11818">
        <v>23140</v>
      </c>
      <c r="B11818">
        <v>0</v>
      </c>
    </row>
    <row r="11819" spans="1:2" x14ac:dyDescent="0.25">
      <c r="A11819">
        <v>23141</v>
      </c>
      <c r="B11819">
        <v>0</v>
      </c>
    </row>
    <row r="11820" spans="1:2" x14ac:dyDescent="0.25">
      <c r="A11820">
        <v>23142</v>
      </c>
      <c r="B11820">
        <v>0</v>
      </c>
    </row>
    <row r="11821" spans="1:2" x14ac:dyDescent="0.25">
      <c r="A11821">
        <v>23143</v>
      </c>
      <c r="B11821">
        <v>0</v>
      </c>
    </row>
    <row r="11822" spans="1:2" x14ac:dyDescent="0.25">
      <c r="A11822">
        <v>23145</v>
      </c>
      <c r="B11822">
        <v>0</v>
      </c>
    </row>
    <row r="11823" spans="1:2" x14ac:dyDescent="0.25">
      <c r="A11823">
        <v>23147</v>
      </c>
      <c r="B11823">
        <v>0</v>
      </c>
    </row>
    <row r="11824" spans="1:2" x14ac:dyDescent="0.25">
      <c r="A11824">
        <v>23149</v>
      </c>
      <c r="B11824">
        <v>0</v>
      </c>
    </row>
    <row r="11825" spans="1:2" x14ac:dyDescent="0.25">
      <c r="A11825">
        <v>23150</v>
      </c>
      <c r="B11825">
        <v>0</v>
      </c>
    </row>
    <row r="11826" spans="1:2" x14ac:dyDescent="0.25">
      <c r="A11826">
        <v>23151</v>
      </c>
      <c r="B11826">
        <v>0</v>
      </c>
    </row>
    <row r="11827" spans="1:2" x14ac:dyDescent="0.25">
      <c r="A11827">
        <v>23152</v>
      </c>
      <c r="B11827">
        <v>0</v>
      </c>
    </row>
    <row r="11828" spans="1:2" x14ac:dyDescent="0.25">
      <c r="A11828">
        <v>23153</v>
      </c>
      <c r="B11828">
        <v>0</v>
      </c>
    </row>
    <row r="11829" spans="1:2" x14ac:dyDescent="0.25">
      <c r="A11829">
        <v>23154</v>
      </c>
      <c r="B11829">
        <v>0</v>
      </c>
    </row>
    <row r="11830" spans="1:2" x14ac:dyDescent="0.25">
      <c r="A11830">
        <v>23155</v>
      </c>
      <c r="B11830">
        <v>0</v>
      </c>
    </row>
    <row r="11831" spans="1:2" x14ac:dyDescent="0.25">
      <c r="A11831">
        <v>23156</v>
      </c>
      <c r="B11831">
        <v>0</v>
      </c>
    </row>
    <row r="11832" spans="1:2" x14ac:dyDescent="0.25">
      <c r="A11832">
        <v>23157</v>
      </c>
      <c r="B11832">
        <v>0</v>
      </c>
    </row>
    <row r="11833" spans="1:2" x14ac:dyDescent="0.25">
      <c r="A11833">
        <v>23158</v>
      </c>
      <c r="B11833">
        <v>0</v>
      </c>
    </row>
    <row r="11834" spans="1:2" x14ac:dyDescent="0.25">
      <c r="A11834">
        <v>23159</v>
      </c>
      <c r="B11834">
        <v>0</v>
      </c>
    </row>
    <row r="11835" spans="1:2" x14ac:dyDescent="0.25">
      <c r="A11835">
        <v>23160</v>
      </c>
      <c r="B11835">
        <v>0</v>
      </c>
    </row>
    <row r="11836" spans="1:2" x14ac:dyDescent="0.25">
      <c r="A11836">
        <v>23161</v>
      </c>
      <c r="B11836">
        <v>0</v>
      </c>
    </row>
    <row r="11837" spans="1:2" x14ac:dyDescent="0.25">
      <c r="A11837">
        <v>23163</v>
      </c>
      <c r="B11837">
        <v>0</v>
      </c>
    </row>
    <row r="11838" spans="1:2" x14ac:dyDescent="0.25">
      <c r="A11838">
        <v>23166</v>
      </c>
      <c r="B11838">
        <v>0</v>
      </c>
    </row>
    <row r="11839" spans="1:2" x14ac:dyDescent="0.25">
      <c r="A11839">
        <v>23167</v>
      </c>
      <c r="B11839">
        <v>0</v>
      </c>
    </row>
    <row r="11840" spans="1:2" x14ac:dyDescent="0.25">
      <c r="A11840">
        <v>23168</v>
      </c>
      <c r="B11840">
        <v>0</v>
      </c>
    </row>
    <row r="11841" spans="1:2" x14ac:dyDescent="0.25">
      <c r="A11841">
        <v>23176</v>
      </c>
      <c r="B11841">
        <v>0</v>
      </c>
    </row>
    <row r="11842" spans="1:2" x14ac:dyDescent="0.25">
      <c r="A11842">
        <v>23178</v>
      </c>
      <c r="B11842">
        <v>0</v>
      </c>
    </row>
    <row r="11843" spans="1:2" x14ac:dyDescent="0.25">
      <c r="A11843">
        <v>23180</v>
      </c>
      <c r="B11843">
        <v>0</v>
      </c>
    </row>
    <row r="11844" spans="1:2" x14ac:dyDescent="0.25">
      <c r="A11844">
        <v>23182</v>
      </c>
      <c r="B11844">
        <v>0</v>
      </c>
    </row>
    <row r="11845" spans="1:2" x14ac:dyDescent="0.25">
      <c r="A11845">
        <v>23184</v>
      </c>
      <c r="B11845">
        <v>0</v>
      </c>
    </row>
    <row r="11846" spans="1:2" x14ac:dyDescent="0.25">
      <c r="A11846">
        <v>23185</v>
      </c>
      <c r="B11846">
        <v>0</v>
      </c>
    </row>
    <row r="11847" spans="1:2" x14ac:dyDescent="0.25">
      <c r="A11847">
        <v>23186</v>
      </c>
      <c r="B11847">
        <v>0</v>
      </c>
    </row>
    <row r="11848" spans="1:2" x14ac:dyDescent="0.25">
      <c r="A11848">
        <v>23188</v>
      </c>
      <c r="B11848">
        <v>0</v>
      </c>
    </row>
    <row r="11849" spans="1:2" x14ac:dyDescent="0.25">
      <c r="A11849">
        <v>23190</v>
      </c>
      <c r="B11849">
        <v>0</v>
      </c>
    </row>
    <row r="11850" spans="1:2" x14ac:dyDescent="0.25">
      <c r="A11850">
        <v>23192</v>
      </c>
      <c r="B11850">
        <v>0</v>
      </c>
    </row>
    <row r="11851" spans="1:2" x14ac:dyDescent="0.25">
      <c r="A11851">
        <v>23193</v>
      </c>
      <c r="B11851">
        <v>0</v>
      </c>
    </row>
    <row r="11852" spans="1:2" x14ac:dyDescent="0.25">
      <c r="A11852">
        <v>23194</v>
      </c>
      <c r="B11852">
        <v>0</v>
      </c>
    </row>
    <row r="11853" spans="1:2" x14ac:dyDescent="0.25">
      <c r="A11853">
        <v>23196</v>
      </c>
      <c r="B11853">
        <v>0</v>
      </c>
    </row>
    <row r="11854" spans="1:2" x14ac:dyDescent="0.25">
      <c r="A11854">
        <v>23198</v>
      </c>
      <c r="B11854">
        <v>0</v>
      </c>
    </row>
    <row r="11855" spans="1:2" x14ac:dyDescent="0.25">
      <c r="A11855">
        <v>23200</v>
      </c>
      <c r="B11855">
        <v>0</v>
      </c>
    </row>
    <row r="11856" spans="1:2" x14ac:dyDescent="0.25">
      <c r="A11856">
        <v>23202</v>
      </c>
      <c r="B11856">
        <v>0</v>
      </c>
    </row>
    <row r="11857" spans="1:2" x14ac:dyDescent="0.25">
      <c r="A11857">
        <v>23203</v>
      </c>
      <c r="B11857">
        <v>0</v>
      </c>
    </row>
    <row r="11858" spans="1:2" x14ac:dyDescent="0.25">
      <c r="A11858">
        <v>23208</v>
      </c>
      <c r="B11858">
        <v>0</v>
      </c>
    </row>
    <row r="11859" spans="1:2" x14ac:dyDescent="0.25">
      <c r="A11859">
        <v>23212</v>
      </c>
      <c r="B11859">
        <v>0</v>
      </c>
    </row>
    <row r="11860" spans="1:2" x14ac:dyDescent="0.25">
      <c r="A11860">
        <v>23214</v>
      </c>
      <c r="B11860">
        <v>0</v>
      </c>
    </row>
    <row r="11861" spans="1:2" x14ac:dyDescent="0.25">
      <c r="A11861">
        <v>23216</v>
      </c>
      <c r="B11861">
        <v>0</v>
      </c>
    </row>
    <row r="11862" spans="1:2" x14ac:dyDescent="0.25">
      <c r="A11862">
        <v>23218</v>
      </c>
      <c r="B11862">
        <v>0</v>
      </c>
    </row>
    <row r="11863" spans="1:2" x14ac:dyDescent="0.25">
      <c r="A11863">
        <v>23220</v>
      </c>
      <c r="B11863">
        <v>0</v>
      </c>
    </row>
    <row r="11864" spans="1:2" x14ac:dyDescent="0.25">
      <c r="A11864">
        <v>23222</v>
      </c>
      <c r="B11864">
        <v>0</v>
      </c>
    </row>
    <row r="11865" spans="1:2" x14ac:dyDescent="0.25">
      <c r="A11865">
        <v>23224</v>
      </c>
      <c r="B11865">
        <v>0</v>
      </c>
    </row>
    <row r="11866" spans="1:2" x14ac:dyDescent="0.25">
      <c r="A11866">
        <v>23226</v>
      </c>
      <c r="B11866">
        <v>0</v>
      </c>
    </row>
    <row r="11867" spans="1:2" x14ac:dyDescent="0.25">
      <c r="A11867">
        <v>23228</v>
      </c>
      <c r="B11867">
        <v>0</v>
      </c>
    </row>
    <row r="11868" spans="1:2" x14ac:dyDescent="0.25">
      <c r="A11868">
        <v>23230</v>
      </c>
      <c r="B11868">
        <v>0</v>
      </c>
    </row>
    <row r="11869" spans="1:2" x14ac:dyDescent="0.25">
      <c r="A11869">
        <v>23232</v>
      </c>
      <c r="B11869">
        <v>0</v>
      </c>
    </row>
    <row r="11870" spans="1:2" x14ac:dyDescent="0.25">
      <c r="A11870">
        <v>23233</v>
      </c>
      <c r="B11870">
        <v>0</v>
      </c>
    </row>
    <row r="11871" spans="1:2" x14ac:dyDescent="0.25">
      <c r="A11871">
        <v>23235</v>
      </c>
      <c r="B11871">
        <v>0</v>
      </c>
    </row>
    <row r="11872" spans="1:2" x14ac:dyDescent="0.25">
      <c r="A11872">
        <v>23237</v>
      </c>
      <c r="B11872">
        <v>0</v>
      </c>
    </row>
    <row r="11873" spans="1:2" x14ac:dyDescent="0.25">
      <c r="A11873">
        <v>23239</v>
      </c>
      <c r="B11873">
        <v>0</v>
      </c>
    </row>
    <row r="11874" spans="1:2" x14ac:dyDescent="0.25">
      <c r="A11874">
        <v>23242</v>
      </c>
      <c r="B11874">
        <v>0</v>
      </c>
    </row>
    <row r="11875" spans="1:2" x14ac:dyDescent="0.25">
      <c r="A11875">
        <v>23244</v>
      </c>
      <c r="B11875">
        <v>0</v>
      </c>
    </row>
    <row r="11876" spans="1:2" x14ac:dyDescent="0.25">
      <c r="A11876">
        <v>23246</v>
      </c>
      <c r="B11876">
        <v>0</v>
      </c>
    </row>
    <row r="11877" spans="1:2" x14ac:dyDescent="0.25">
      <c r="A11877">
        <v>23248</v>
      </c>
      <c r="B11877">
        <v>0</v>
      </c>
    </row>
    <row r="11878" spans="1:2" x14ac:dyDescent="0.25">
      <c r="A11878">
        <v>23250</v>
      </c>
      <c r="B11878">
        <v>0</v>
      </c>
    </row>
    <row r="11879" spans="1:2" x14ac:dyDescent="0.25">
      <c r="A11879">
        <v>23252</v>
      </c>
      <c r="B11879">
        <v>0</v>
      </c>
    </row>
    <row r="11880" spans="1:2" x14ac:dyDescent="0.25">
      <c r="A11880">
        <v>23254</v>
      </c>
      <c r="B11880">
        <v>0</v>
      </c>
    </row>
    <row r="11881" spans="1:2" x14ac:dyDescent="0.25">
      <c r="A11881">
        <v>23256</v>
      </c>
      <c r="B11881">
        <v>0</v>
      </c>
    </row>
    <row r="11882" spans="1:2" x14ac:dyDescent="0.25">
      <c r="A11882">
        <v>23258</v>
      </c>
      <c r="B11882">
        <v>0</v>
      </c>
    </row>
    <row r="11883" spans="1:2" x14ac:dyDescent="0.25">
      <c r="A11883">
        <v>23260</v>
      </c>
      <c r="B11883">
        <v>0</v>
      </c>
    </row>
    <row r="11884" spans="1:2" x14ac:dyDescent="0.25">
      <c r="A11884">
        <v>23263</v>
      </c>
      <c r="B11884">
        <v>0</v>
      </c>
    </row>
    <row r="11885" spans="1:2" x14ac:dyDescent="0.25">
      <c r="A11885">
        <v>23265</v>
      </c>
      <c r="B11885">
        <v>0</v>
      </c>
    </row>
    <row r="11886" spans="1:2" x14ac:dyDescent="0.25">
      <c r="A11886">
        <v>23267</v>
      </c>
      <c r="B11886">
        <v>0</v>
      </c>
    </row>
    <row r="11887" spans="1:2" x14ac:dyDescent="0.25">
      <c r="A11887">
        <v>23269</v>
      </c>
      <c r="B11887">
        <v>0</v>
      </c>
    </row>
    <row r="11888" spans="1:2" x14ac:dyDescent="0.25">
      <c r="A11888">
        <v>23271</v>
      </c>
      <c r="B11888">
        <v>0</v>
      </c>
    </row>
    <row r="11889" spans="1:2" x14ac:dyDescent="0.25">
      <c r="A11889">
        <v>23273</v>
      </c>
      <c r="B11889">
        <v>0</v>
      </c>
    </row>
    <row r="11890" spans="1:2" x14ac:dyDescent="0.25">
      <c r="A11890">
        <v>23275</v>
      </c>
      <c r="B11890">
        <v>0</v>
      </c>
    </row>
    <row r="11891" spans="1:2" x14ac:dyDescent="0.25">
      <c r="A11891">
        <v>23277</v>
      </c>
      <c r="B11891">
        <v>0</v>
      </c>
    </row>
    <row r="11892" spans="1:2" x14ac:dyDescent="0.25">
      <c r="A11892">
        <v>23279</v>
      </c>
      <c r="B11892">
        <v>0</v>
      </c>
    </row>
    <row r="11893" spans="1:2" x14ac:dyDescent="0.25">
      <c r="A11893">
        <v>23281</v>
      </c>
      <c r="B11893">
        <v>0</v>
      </c>
    </row>
    <row r="11894" spans="1:2" x14ac:dyDescent="0.25">
      <c r="A11894">
        <v>23282</v>
      </c>
      <c r="B11894">
        <v>0</v>
      </c>
    </row>
    <row r="11895" spans="1:2" x14ac:dyDescent="0.25">
      <c r="A11895">
        <v>23284</v>
      </c>
      <c r="B11895">
        <v>0</v>
      </c>
    </row>
    <row r="11896" spans="1:2" x14ac:dyDescent="0.25">
      <c r="A11896">
        <v>23286</v>
      </c>
      <c r="B11896">
        <v>0</v>
      </c>
    </row>
    <row r="11897" spans="1:2" x14ac:dyDescent="0.25">
      <c r="A11897">
        <v>23287</v>
      </c>
      <c r="B11897">
        <v>0</v>
      </c>
    </row>
    <row r="11898" spans="1:2" x14ac:dyDescent="0.25">
      <c r="A11898">
        <v>23288</v>
      </c>
      <c r="B11898">
        <v>0</v>
      </c>
    </row>
    <row r="11899" spans="1:2" x14ac:dyDescent="0.25">
      <c r="A11899">
        <v>23289</v>
      </c>
      <c r="B11899">
        <v>0</v>
      </c>
    </row>
    <row r="11900" spans="1:2" x14ac:dyDescent="0.25">
      <c r="A11900">
        <v>23290</v>
      </c>
      <c r="B11900">
        <v>0</v>
      </c>
    </row>
    <row r="11901" spans="1:2" x14ac:dyDescent="0.25">
      <c r="A11901">
        <v>23291</v>
      </c>
      <c r="B11901">
        <v>0</v>
      </c>
    </row>
    <row r="11902" spans="1:2" x14ac:dyDescent="0.25">
      <c r="A11902">
        <v>23292</v>
      </c>
      <c r="B11902">
        <v>0</v>
      </c>
    </row>
    <row r="11903" spans="1:2" x14ac:dyDescent="0.25">
      <c r="A11903">
        <v>23293</v>
      </c>
      <c r="B11903">
        <v>0</v>
      </c>
    </row>
    <row r="11904" spans="1:2" x14ac:dyDescent="0.25">
      <c r="A11904">
        <v>23294</v>
      </c>
      <c r="B11904">
        <v>0</v>
      </c>
    </row>
    <row r="11905" spans="1:2" x14ac:dyDescent="0.25">
      <c r="A11905">
        <v>23295</v>
      </c>
      <c r="B11905">
        <v>0</v>
      </c>
    </row>
    <row r="11906" spans="1:2" x14ac:dyDescent="0.25">
      <c r="A11906">
        <v>23296</v>
      </c>
      <c r="B11906">
        <v>0</v>
      </c>
    </row>
    <row r="11907" spans="1:2" x14ac:dyDescent="0.25">
      <c r="A11907">
        <v>23297</v>
      </c>
      <c r="B11907">
        <v>0</v>
      </c>
    </row>
    <row r="11908" spans="1:2" x14ac:dyDescent="0.25">
      <c r="A11908">
        <v>23299</v>
      </c>
      <c r="B11908">
        <v>0</v>
      </c>
    </row>
    <row r="11909" spans="1:2" x14ac:dyDescent="0.25">
      <c r="A11909">
        <v>23302</v>
      </c>
      <c r="B11909">
        <v>0</v>
      </c>
    </row>
    <row r="11910" spans="1:2" x14ac:dyDescent="0.25">
      <c r="A11910">
        <v>23304</v>
      </c>
      <c r="B11910">
        <v>0</v>
      </c>
    </row>
    <row r="11911" spans="1:2" x14ac:dyDescent="0.25">
      <c r="A11911">
        <v>23306</v>
      </c>
      <c r="B11911">
        <v>0</v>
      </c>
    </row>
    <row r="11912" spans="1:2" x14ac:dyDescent="0.25">
      <c r="A11912">
        <v>23308</v>
      </c>
      <c r="B11912">
        <v>0</v>
      </c>
    </row>
    <row r="11913" spans="1:2" x14ac:dyDescent="0.25">
      <c r="A11913">
        <v>23309</v>
      </c>
      <c r="B11913">
        <v>0</v>
      </c>
    </row>
    <row r="11914" spans="1:2" x14ac:dyDescent="0.25">
      <c r="A11914">
        <v>23311</v>
      </c>
      <c r="B11914">
        <v>0</v>
      </c>
    </row>
    <row r="11915" spans="1:2" x14ac:dyDescent="0.25">
      <c r="A11915">
        <v>23313</v>
      </c>
      <c r="B11915">
        <v>0</v>
      </c>
    </row>
    <row r="11916" spans="1:2" x14ac:dyDescent="0.25">
      <c r="A11916">
        <v>23315</v>
      </c>
      <c r="B11916">
        <v>0</v>
      </c>
    </row>
    <row r="11917" spans="1:2" x14ac:dyDescent="0.25">
      <c r="A11917">
        <v>23320</v>
      </c>
      <c r="B11917">
        <v>0</v>
      </c>
    </row>
    <row r="11918" spans="1:2" x14ac:dyDescent="0.25">
      <c r="A11918">
        <v>23321</v>
      </c>
      <c r="B11918">
        <v>0</v>
      </c>
    </row>
    <row r="11919" spans="1:2" x14ac:dyDescent="0.25">
      <c r="A11919">
        <v>23322</v>
      </c>
      <c r="B11919">
        <v>0</v>
      </c>
    </row>
    <row r="11920" spans="1:2" x14ac:dyDescent="0.25">
      <c r="A11920">
        <v>23323</v>
      </c>
      <c r="B11920">
        <v>0</v>
      </c>
    </row>
    <row r="11921" spans="1:2" x14ac:dyDescent="0.25">
      <c r="A11921">
        <v>23325</v>
      </c>
      <c r="B11921">
        <v>0</v>
      </c>
    </row>
    <row r="11922" spans="1:2" x14ac:dyDescent="0.25">
      <c r="A11922">
        <v>23326</v>
      </c>
      <c r="B11922">
        <v>0</v>
      </c>
    </row>
    <row r="11923" spans="1:2" x14ac:dyDescent="0.25">
      <c r="A11923">
        <v>23328</v>
      </c>
      <c r="B11923">
        <v>0</v>
      </c>
    </row>
    <row r="11924" spans="1:2" x14ac:dyDescent="0.25">
      <c r="A11924">
        <v>23330</v>
      </c>
      <c r="B11924">
        <v>0</v>
      </c>
    </row>
    <row r="11925" spans="1:2" x14ac:dyDescent="0.25">
      <c r="A11925">
        <v>23334</v>
      </c>
      <c r="B11925">
        <v>0</v>
      </c>
    </row>
    <row r="11926" spans="1:2" x14ac:dyDescent="0.25">
      <c r="A11926">
        <v>23336</v>
      </c>
      <c r="B11926">
        <v>0</v>
      </c>
    </row>
    <row r="11927" spans="1:2" x14ac:dyDescent="0.25">
      <c r="A11927">
        <v>23340</v>
      </c>
      <c r="B11927">
        <v>0</v>
      </c>
    </row>
    <row r="11928" spans="1:2" x14ac:dyDescent="0.25">
      <c r="A11928">
        <v>23344</v>
      </c>
      <c r="B11928">
        <v>0</v>
      </c>
    </row>
    <row r="11929" spans="1:2" x14ac:dyDescent="0.25">
      <c r="A11929">
        <v>23352</v>
      </c>
      <c r="B11929">
        <v>0</v>
      </c>
    </row>
    <row r="11930" spans="1:2" x14ac:dyDescent="0.25">
      <c r="A11930">
        <v>23353</v>
      </c>
      <c r="B11930">
        <v>0</v>
      </c>
    </row>
    <row r="11931" spans="1:2" x14ac:dyDescent="0.25">
      <c r="A11931">
        <v>23361</v>
      </c>
      <c r="B11931">
        <v>0</v>
      </c>
    </row>
    <row r="11932" spans="1:2" x14ac:dyDescent="0.25">
      <c r="A11932">
        <v>23362</v>
      </c>
      <c r="B11932">
        <v>0</v>
      </c>
    </row>
    <row r="11933" spans="1:2" x14ac:dyDescent="0.25">
      <c r="A11933">
        <v>23363</v>
      </c>
      <c r="B11933">
        <v>0</v>
      </c>
    </row>
    <row r="11934" spans="1:2" x14ac:dyDescent="0.25">
      <c r="A11934">
        <v>23364</v>
      </c>
      <c r="B11934">
        <v>0</v>
      </c>
    </row>
    <row r="11935" spans="1:2" x14ac:dyDescent="0.25">
      <c r="A11935">
        <v>23365</v>
      </c>
      <c r="B11935">
        <v>0</v>
      </c>
    </row>
    <row r="11936" spans="1:2" x14ac:dyDescent="0.25">
      <c r="A11936">
        <v>23366</v>
      </c>
      <c r="B11936">
        <v>0</v>
      </c>
    </row>
    <row r="11937" spans="1:2" x14ac:dyDescent="0.25">
      <c r="A11937">
        <v>23367</v>
      </c>
      <c r="B11937">
        <v>0</v>
      </c>
    </row>
    <row r="11938" spans="1:2" x14ac:dyDescent="0.25">
      <c r="A11938">
        <v>23368</v>
      </c>
      <c r="B11938">
        <v>0</v>
      </c>
    </row>
    <row r="11939" spans="1:2" x14ac:dyDescent="0.25">
      <c r="A11939">
        <v>23370</v>
      </c>
      <c r="B11939">
        <v>0</v>
      </c>
    </row>
    <row r="11940" spans="1:2" x14ac:dyDescent="0.25">
      <c r="A11940">
        <v>23372</v>
      </c>
      <c r="B11940">
        <v>0</v>
      </c>
    </row>
    <row r="11941" spans="1:2" x14ac:dyDescent="0.25">
      <c r="A11941">
        <v>23374</v>
      </c>
      <c r="B11941">
        <v>0</v>
      </c>
    </row>
    <row r="11942" spans="1:2" x14ac:dyDescent="0.25">
      <c r="A11942">
        <v>23376</v>
      </c>
      <c r="B11942">
        <v>0</v>
      </c>
    </row>
    <row r="11943" spans="1:2" x14ac:dyDescent="0.25">
      <c r="A11943">
        <v>23378</v>
      </c>
      <c r="B11943">
        <v>0</v>
      </c>
    </row>
    <row r="11944" spans="1:2" x14ac:dyDescent="0.25">
      <c r="A11944">
        <v>23380</v>
      </c>
      <c r="B11944">
        <v>0</v>
      </c>
    </row>
    <row r="11945" spans="1:2" x14ac:dyDescent="0.25">
      <c r="A11945">
        <v>23382</v>
      </c>
      <c r="B11945">
        <v>0</v>
      </c>
    </row>
    <row r="11946" spans="1:2" x14ac:dyDescent="0.25">
      <c r="A11946">
        <v>23386</v>
      </c>
      <c r="B11946">
        <v>0</v>
      </c>
    </row>
    <row r="11947" spans="1:2" x14ac:dyDescent="0.25">
      <c r="A11947">
        <v>23388</v>
      </c>
      <c r="B11947">
        <v>0</v>
      </c>
    </row>
    <row r="11948" spans="1:2" x14ac:dyDescent="0.25">
      <c r="A11948">
        <v>23390</v>
      </c>
      <c r="B11948">
        <v>0</v>
      </c>
    </row>
    <row r="11949" spans="1:2" x14ac:dyDescent="0.25">
      <c r="A11949">
        <v>23392</v>
      </c>
      <c r="B11949">
        <v>0</v>
      </c>
    </row>
    <row r="11950" spans="1:2" x14ac:dyDescent="0.25">
      <c r="A11950">
        <v>23394</v>
      </c>
      <c r="B11950">
        <v>0</v>
      </c>
    </row>
    <row r="11951" spans="1:2" x14ac:dyDescent="0.25">
      <c r="A11951">
        <v>23396</v>
      </c>
      <c r="B11951">
        <v>0</v>
      </c>
    </row>
    <row r="11952" spans="1:2" x14ac:dyDescent="0.25">
      <c r="A11952">
        <v>23398</v>
      </c>
      <c r="B11952">
        <v>0</v>
      </c>
    </row>
    <row r="11953" spans="1:2" x14ac:dyDescent="0.25">
      <c r="A11953">
        <v>23400</v>
      </c>
      <c r="B11953">
        <v>0</v>
      </c>
    </row>
    <row r="11954" spans="1:2" x14ac:dyDescent="0.25">
      <c r="A11954">
        <v>23402</v>
      </c>
      <c r="B11954">
        <v>0</v>
      </c>
    </row>
    <row r="11955" spans="1:2" x14ac:dyDescent="0.25">
      <c r="A11955">
        <v>23404</v>
      </c>
      <c r="B11955">
        <v>0</v>
      </c>
    </row>
    <row r="11956" spans="1:2" x14ac:dyDescent="0.25">
      <c r="A11956">
        <v>23406</v>
      </c>
      <c r="B11956">
        <v>0</v>
      </c>
    </row>
    <row r="11957" spans="1:2" x14ac:dyDescent="0.25">
      <c r="A11957">
        <v>23407</v>
      </c>
      <c r="B11957">
        <v>0</v>
      </c>
    </row>
    <row r="11958" spans="1:2" x14ac:dyDescent="0.25">
      <c r="A11958">
        <v>23410</v>
      </c>
      <c r="B11958">
        <v>0</v>
      </c>
    </row>
    <row r="11959" spans="1:2" x14ac:dyDescent="0.25">
      <c r="A11959">
        <v>23413</v>
      </c>
      <c r="B11959">
        <v>0</v>
      </c>
    </row>
    <row r="11960" spans="1:2" x14ac:dyDescent="0.25">
      <c r="A11960">
        <v>23415</v>
      </c>
      <c r="B11960">
        <v>0</v>
      </c>
    </row>
    <row r="11961" spans="1:2" x14ac:dyDescent="0.25">
      <c r="A11961">
        <v>23417</v>
      </c>
      <c r="B11961">
        <v>0</v>
      </c>
    </row>
    <row r="11962" spans="1:2" x14ac:dyDescent="0.25">
      <c r="A11962">
        <v>23419</v>
      </c>
      <c r="B11962">
        <v>0</v>
      </c>
    </row>
    <row r="11963" spans="1:2" x14ac:dyDescent="0.25">
      <c r="A11963">
        <v>23421</v>
      </c>
      <c r="B11963">
        <v>0</v>
      </c>
    </row>
    <row r="11964" spans="1:2" x14ac:dyDescent="0.25">
      <c r="A11964">
        <v>23422</v>
      </c>
      <c r="B11964">
        <v>0</v>
      </c>
    </row>
    <row r="11965" spans="1:2" x14ac:dyDescent="0.25">
      <c r="A11965">
        <v>23424</v>
      </c>
      <c r="B11965">
        <v>0</v>
      </c>
    </row>
    <row r="11966" spans="1:2" x14ac:dyDescent="0.25">
      <c r="A11966">
        <v>23429</v>
      </c>
      <c r="B11966">
        <v>0</v>
      </c>
    </row>
    <row r="11967" spans="1:2" x14ac:dyDescent="0.25">
      <c r="A11967">
        <v>23431</v>
      </c>
      <c r="B11967">
        <v>0</v>
      </c>
    </row>
    <row r="11968" spans="1:2" x14ac:dyDescent="0.25">
      <c r="A11968">
        <v>23433</v>
      </c>
      <c r="B11968">
        <v>0</v>
      </c>
    </row>
    <row r="11969" spans="1:2" x14ac:dyDescent="0.25">
      <c r="A11969">
        <v>23435</v>
      </c>
      <c r="B11969">
        <v>0</v>
      </c>
    </row>
    <row r="11970" spans="1:2" x14ac:dyDescent="0.25">
      <c r="A11970">
        <v>23437</v>
      </c>
      <c r="B11970">
        <v>0</v>
      </c>
    </row>
    <row r="11971" spans="1:2" x14ac:dyDescent="0.25">
      <c r="A11971">
        <v>23439</v>
      </c>
      <c r="B11971">
        <v>0</v>
      </c>
    </row>
    <row r="11972" spans="1:2" x14ac:dyDescent="0.25">
      <c r="A11972">
        <v>23440</v>
      </c>
      <c r="B11972">
        <v>0</v>
      </c>
    </row>
    <row r="11973" spans="1:2" x14ac:dyDescent="0.25">
      <c r="A11973">
        <v>23441</v>
      </c>
      <c r="B11973">
        <v>0</v>
      </c>
    </row>
    <row r="11974" spans="1:2" x14ac:dyDescent="0.25">
      <c r="A11974">
        <v>23442</v>
      </c>
      <c r="B11974">
        <v>0</v>
      </c>
    </row>
    <row r="11975" spans="1:2" x14ac:dyDescent="0.25">
      <c r="A11975">
        <v>23443</v>
      </c>
      <c r="B11975">
        <v>0</v>
      </c>
    </row>
    <row r="11976" spans="1:2" x14ac:dyDescent="0.25">
      <c r="A11976">
        <v>23444</v>
      </c>
      <c r="B11976">
        <v>0</v>
      </c>
    </row>
    <row r="11977" spans="1:2" x14ac:dyDescent="0.25">
      <c r="A11977">
        <v>23445</v>
      </c>
      <c r="B11977">
        <v>0</v>
      </c>
    </row>
    <row r="11978" spans="1:2" x14ac:dyDescent="0.25">
      <c r="A11978">
        <v>23448</v>
      </c>
      <c r="B11978">
        <v>0</v>
      </c>
    </row>
    <row r="11979" spans="1:2" x14ac:dyDescent="0.25">
      <c r="A11979">
        <v>23449</v>
      </c>
      <c r="B11979">
        <v>0</v>
      </c>
    </row>
    <row r="11980" spans="1:2" x14ac:dyDescent="0.25">
      <c r="A11980">
        <v>23450</v>
      </c>
      <c r="B11980">
        <v>0</v>
      </c>
    </row>
    <row r="11981" spans="1:2" x14ac:dyDescent="0.25">
      <c r="A11981">
        <v>23451</v>
      </c>
      <c r="B11981">
        <v>0</v>
      </c>
    </row>
    <row r="11982" spans="1:2" x14ac:dyDescent="0.25">
      <c r="A11982">
        <v>23453</v>
      </c>
      <c r="B11982">
        <v>0</v>
      </c>
    </row>
    <row r="11983" spans="1:2" x14ac:dyDescent="0.25">
      <c r="A11983">
        <v>23455</v>
      </c>
      <c r="B11983">
        <v>0</v>
      </c>
    </row>
    <row r="11984" spans="1:2" x14ac:dyDescent="0.25">
      <c r="A11984">
        <v>23463</v>
      </c>
      <c r="B11984">
        <v>0</v>
      </c>
    </row>
    <row r="11985" spans="1:2" x14ac:dyDescent="0.25">
      <c r="A11985">
        <v>23474</v>
      </c>
      <c r="B11985">
        <v>0</v>
      </c>
    </row>
    <row r="11986" spans="1:2" x14ac:dyDescent="0.25">
      <c r="A11986">
        <v>23479</v>
      </c>
      <c r="B11986">
        <v>0</v>
      </c>
    </row>
    <row r="11987" spans="1:2" x14ac:dyDescent="0.25">
      <c r="A11987">
        <v>23483</v>
      </c>
      <c r="B11987">
        <v>0</v>
      </c>
    </row>
    <row r="11988" spans="1:2" x14ac:dyDescent="0.25">
      <c r="A11988">
        <v>23485</v>
      </c>
      <c r="B11988">
        <v>0</v>
      </c>
    </row>
    <row r="11989" spans="1:2" x14ac:dyDescent="0.25">
      <c r="A11989">
        <v>23487</v>
      </c>
      <c r="B11989">
        <v>0</v>
      </c>
    </row>
    <row r="11990" spans="1:2" x14ac:dyDescent="0.25">
      <c r="A11990">
        <v>23490</v>
      </c>
      <c r="B11990">
        <v>0</v>
      </c>
    </row>
    <row r="11991" spans="1:2" x14ac:dyDescent="0.25">
      <c r="A11991">
        <v>23493</v>
      </c>
      <c r="B11991">
        <v>0</v>
      </c>
    </row>
    <row r="11992" spans="1:2" x14ac:dyDescent="0.25">
      <c r="A11992">
        <v>23497</v>
      </c>
      <c r="B11992">
        <v>0</v>
      </c>
    </row>
    <row r="11993" spans="1:2" x14ac:dyDescent="0.25">
      <c r="A11993">
        <v>23498</v>
      </c>
      <c r="B11993">
        <v>0</v>
      </c>
    </row>
    <row r="11994" spans="1:2" x14ac:dyDescent="0.25">
      <c r="A11994">
        <v>23500</v>
      </c>
      <c r="B11994">
        <v>0</v>
      </c>
    </row>
    <row r="11995" spans="1:2" x14ac:dyDescent="0.25">
      <c r="A11995">
        <v>23501</v>
      </c>
      <c r="B11995">
        <v>0</v>
      </c>
    </row>
    <row r="11996" spans="1:2" x14ac:dyDescent="0.25">
      <c r="A11996">
        <v>23502</v>
      </c>
      <c r="B11996">
        <v>0</v>
      </c>
    </row>
    <row r="11997" spans="1:2" x14ac:dyDescent="0.25">
      <c r="A11997">
        <v>23504</v>
      </c>
      <c r="B11997">
        <v>0</v>
      </c>
    </row>
    <row r="11998" spans="1:2" x14ac:dyDescent="0.25">
      <c r="A11998">
        <v>23506</v>
      </c>
      <c r="B11998">
        <v>0</v>
      </c>
    </row>
    <row r="11999" spans="1:2" x14ac:dyDescent="0.25">
      <c r="A11999">
        <v>23508</v>
      </c>
      <c r="B11999">
        <v>0</v>
      </c>
    </row>
    <row r="12000" spans="1:2" x14ac:dyDescent="0.25">
      <c r="A12000">
        <v>23510</v>
      </c>
      <c r="B12000">
        <v>0</v>
      </c>
    </row>
    <row r="12001" spans="1:2" x14ac:dyDescent="0.25">
      <c r="A12001">
        <v>23513</v>
      </c>
      <c r="B12001">
        <v>0</v>
      </c>
    </row>
    <row r="12002" spans="1:2" x14ac:dyDescent="0.25">
      <c r="A12002">
        <v>23515</v>
      </c>
      <c r="B12002">
        <v>0</v>
      </c>
    </row>
    <row r="12003" spans="1:2" x14ac:dyDescent="0.25">
      <c r="A12003">
        <v>23516</v>
      </c>
      <c r="B12003">
        <v>0</v>
      </c>
    </row>
    <row r="12004" spans="1:2" x14ac:dyDescent="0.25">
      <c r="A12004">
        <v>23518</v>
      </c>
      <c r="B12004">
        <v>0</v>
      </c>
    </row>
    <row r="12005" spans="1:2" x14ac:dyDescent="0.25">
      <c r="A12005">
        <v>23519</v>
      </c>
      <c r="B12005">
        <v>0</v>
      </c>
    </row>
    <row r="12006" spans="1:2" x14ac:dyDescent="0.25">
      <c r="A12006">
        <v>23520</v>
      </c>
      <c r="B12006">
        <v>0</v>
      </c>
    </row>
    <row r="12007" spans="1:2" x14ac:dyDescent="0.25">
      <c r="A12007">
        <v>23521</v>
      </c>
      <c r="B12007">
        <v>0</v>
      </c>
    </row>
    <row r="12008" spans="1:2" x14ac:dyDescent="0.25">
      <c r="A12008">
        <v>23523</v>
      </c>
      <c r="B12008">
        <v>0</v>
      </c>
    </row>
    <row r="12009" spans="1:2" x14ac:dyDescent="0.25">
      <c r="A12009">
        <v>23526</v>
      </c>
      <c r="B12009">
        <v>0</v>
      </c>
    </row>
    <row r="12010" spans="1:2" x14ac:dyDescent="0.25">
      <c r="A12010">
        <v>23527</v>
      </c>
      <c r="B12010">
        <v>0</v>
      </c>
    </row>
    <row r="12011" spans="1:2" x14ac:dyDescent="0.25">
      <c r="A12011">
        <v>23528</v>
      </c>
      <c r="B12011">
        <v>0</v>
      </c>
    </row>
    <row r="12012" spans="1:2" x14ac:dyDescent="0.25">
      <c r="A12012">
        <v>23529</v>
      </c>
      <c r="B12012">
        <v>0</v>
      </c>
    </row>
    <row r="12013" spans="1:2" x14ac:dyDescent="0.25">
      <c r="A12013">
        <v>23530</v>
      </c>
      <c r="B12013">
        <v>0</v>
      </c>
    </row>
    <row r="12014" spans="1:2" x14ac:dyDescent="0.25">
      <c r="A12014">
        <v>23531</v>
      </c>
      <c r="B12014">
        <v>0</v>
      </c>
    </row>
    <row r="12015" spans="1:2" x14ac:dyDescent="0.25">
      <c r="A12015">
        <v>23532</v>
      </c>
      <c r="B12015">
        <v>0</v>
      </c>
    </row>
    <row r="12016" spans="1:2" x14ac:dyDescent="0.25">
      <c r="A12016">
        <v>23533</v>
      </c>
      <c r="B12016">
        <v>0</v>
      </c>
    </row>
    <row r="12017" spans="1:2" x14ac:dyDescent="0.25">
      <c r="A12017">
        <v>23534</v>
      </c>
      <c r="B12017">
        <v>0</v>
      </c>
    </row>
    <row r="12018" spans="1:2" x14ac:dyDescent="0.25">
      <c r="A12018">
        <v>23535</v>
      </c>
      <c r="B12018">
        <v>0</v>
      </c>
    </row>
    <row r="12019" spans="1:2" x14ac:dyDescent="0.25">
      <c r="A12019">
        <v>23536</v>
      </c>
      <c r="B12019">
        <v>0</v>
      </c>
    </row>
    <row r="12020" spans="1:2" x14ac:dyDescent="0.25">
      <c r="A12020">
        <v>23541</v>
      </c>
      <c r="B12020">
        <v>0</v>
      </c>
    </row>
    <row r="12021" spans="1:2" x14ac:dyDescent="0.25">
      <c r="A12021">
        <v>23542</v>
      </c>
      <c r="B12021">
        <v>0</v>
      </c>
    </row>
    <row r="12022" spans="1:2" x14ac:dyDescent="0.25">
      <c r="A12022">
        <v>23543</v>
      </c>
      <c r="B12022">
        <v>0</v>
      </c>
    </row>
    <row r="12023" spans="1:2" x14ac:dyDescent="0.25">
      <c r="A12023">
        <v>23544</v>
      </c>
      <c r="B12023">
        <v>0</v>
      </c>
    </row>
    <row r="12024" spans="1:2" x14ac:dyDescent="0.25">
      <c r="A12024">
        <v>23546</v>
      </c>
      <c r="B12024">
        <v>0</v>
      </c>
    </row>
    <row r="12025" spans="1:2" x14ac:dyDescent="0.25">
      <c r="A12025">
        <v>23548</v>
      </c>
      <c r="B12025">
        <v>0</v>
      </c>
    </row>
    <row r="12026" spans="1:2" x14ac:dyDescent="0.25">
      <c r="A12026">
        <v>23550</v>
      </c>
      <c r="B12026">
        <v>0</v>
      </c>
    </row>
    <row r="12027" spans="1:2" x14ac:dyDescent="0.25">
      <c r="A12027">
        <v>23552</v>
      </c>
      <c r="B12027">
        <v>0</v>
      </c>
    </row>
    <row r="12028" spans="1:2" x14ac:dyDescent="0.25">
      <c r="A12028">
        <v>23554</v>
      </c>
      <c r="B12028">
        <v>0</v>
      </c>
    </row>
    <row r="12029" spans="1:2" x14ac:dyDescent="0.25">
      <c r="A12029">
        <v>23556</v>
      </c>
      <c r="B12029">
        <v>0</v>
      </c>
    </row>
    <row r="12030" spans="1:2" x14ac:dyDescent="0.25">
      <c r="A12030">
        <v>23558</v>
      </c>
      <c r="B12030">
        <v>0</v>
      </c>
    </row>
    <row r="12031" spans="1:2" x14ac:dyDescent="0.25">
      <c r="A12031">
        <v>23560</v>
      </c>
      <c r="B12031">
        <v>0</v>
      </c>
    </row>
    <row r="12032" spans="1:2" x14ac:dyDescent="0.25">
      <c r="A12032">
        <v>23562</v>
      </c>
      <c r="B12032">
        <v>0</v>
      </c>
    </row>
    <row r="12033" spans="1:2" x14ac:dyDescent="0.25">
      <c r="A12033">
        <v>23564</v>
      </c>
      <c r="B12033">
        <v>0</v>
      </c>
    </row>
    <row r="12034" spans="1:2" x14ac:dyDescent="0.25">
      <c r="A12034">
        <v>23566</v>
      </c>
      <c r="B12034">
        <v>0</v>
      </c>
    </row>
    <row r="12035" spans="1:2" x14ac:dyDescent="0.25">
      <c r="A12035">
        <v>23568</v>
      </c>
      <c r="B12035">
        <v>0</v>
      </c>
    </row>
    <row r="12036" spans="1:2" x14ac:dyDescent="0.25">
      <c r="A12036">
        <v>23570</v>
      </c>
      <c r="B12036">
        <v>0</v>
      </c>
    </row>
    <row r="12037" spans="1:2" x14ac:dyDescent="0.25">
      <c r="A12037">
        <v>23572</v>
      </c>
      <c r="B12037">
        <v>0</v>
      </c>
    </row>
    <row r="12038" spans="1:2" x14ac:dyDescent="0.25">
      <c r="A12038">
        <v>23578</v>
      </c>
      <c r="B12038">
        <v>0</v>
      </c>
    </row>
    <row r="12039" spans="1:2" x14ac:dyDescent="0.25">
      <c r="A12039">
        <v>23580</v>
      </c>
      <c r="B12039">
        <v>0</v>
      </c>
    </row>
    <row r="12040" spans="1:2" x14ac:dyDescent="0.25">
      <c r="A12040">
        <v>23582</v>
      </c>
      <c r="B12040">
        <v>0</v>
      </c>
    </row>
    <row r="12041" spans="1:2" x14ac:dyDescent="0.25">
      <c r="A12041">
        <v>23584</v>
      </c>
      <c r="B12041">
        <v>0</v>
      </c>
    </row>
    <row r="12042" spans="1:2" x14ac:dyDescent="0.25">
      <c r="A12042">
        <v>23586</v>
      </c>
      <c r="B12042">
        <v>0</v>
      </c>
    </row>
    <row r="12043" spans="1:2" x14ac:dyDescent="0.25">
      <c r="A12043">
        <v>23588</v>
      </c>
      <c r="B12043">
        <v>0</v>
      </c>
    </row>
    <row r="12044" spans="1:2" x14ac:dyDescent="0.25">
      <c r="A12044">
        <v>23590</v>
      </c>
      <c r="B12044">
        <v>0</v>
      </c>
    </row>
    <row r="12045" spans="1:2" x14ac:dyDescent="0.25">
      <c r="A12045">
        <v>23592</v>
      </c>
      <c r="B12045">
        <v>0</v>
      </c>
    </row>
    <row r="12046" spans="1:2" x14ac:dyDescent="0.25">
      <c r="A12046">
        <v>23594</v>
      </c>
      <c r="B12046">
        <v>0</v>
      </c>
    </row>
    <row r="12047" spans="1:2" x14ac:dyDescent="0.25">
      <c r="A12047">
        <v>23596</v>
      </c>
      <c r="B12047">
        <v>0</v>
      </c>
    </row>
    <row r="12048" spans="1:2" x14ac:dyDescent="0.25">
      <c r="A12048">
        <v>23598</v>
      </c>
      <c r="B12048">
        <v>0</v>
      </c>
    </row>
    <row r="12049" spans="1:2" x14ac:dyDescent="0.25">
      <c r="A12049">
        <v>23600</v>
      </c>
      <c r="B12049">
        <v>0</v>
      </c>
    </row>
    <row r="12050" spans="1:2" x14ac:dyDescent="0.25">
      <c r="A12050">
        <v>23602</v>
      </c>
      <c r="B12050">
        <v>0</v>
      </c>
    </row>
    <row r="12051" spans="1:2" x14ac:dyDescent="0.25">
      <c r="A12051">
        <v>23604</v>
      </c>
      <c r="B12051">
        <v>0</v>
      </c>
    </row>
    <row r="12052" spans="1:2" x14ac:dyDescent="0.25">
      <c r="A12052">
        <v>23606</v>
      </c>
      <c r="B12052">
        <v>0</v>
      </c>
    </row>
    <row r="12053" spans="1:2" x14ac:dyDescent="0.25">
      <c r="A12053">
        <v>23608</v>
      </c>
      <c r="B12053">
        <v>0</v>
      </c>
    </row>
    <row r="12054" spans="1:2" x14ac:dyDescent="0.25">
      <c r="A12054">
        <v>23610</v>
      </c>
      <c r="B12054">
        <v>0</v>
      </c>
    </row>
    <row r="12055" spans="1:2" x14ac:dyDescent="0.25">
      <c r="A12055">
        <v>23612</v>
      </c>
      <c r="B12055">
        <v>0</v>
      </c>
    </row>
    <row r="12056" spans="1:2" x14ac:dyDescent="0.25">
      <c r="A12056">
        <v>23614</v>
      </c>
      <c r="B12056">
        <v>0</v>
      </c>
    </row>
    <row r="12057" spans="1:2" x14ac:dyDescent="0.25">
      <c r="A12057">
        <v>23616</v>
      </c>
      <c r="B12057">
        <v>0</v>
      </c>
    </row>
    <row r="12058" spans="1:2" x14ac:dyDescent="0.25">
      <c r="A12058">
        <v>23623</v>
      </c>
      <c r="B12058">
        <v>0</v>
      </c>
    </row>
    <row r="12059" spans="1:2" x14ac:dyDescent="0.25">
      <c r="A12059">
        <v>23624</v>
      </c>
      <c r="B12059">
        <v>0</v>
      </c>
    </row>
    <row r="12060" spans="1:2" x14ac:dyDescent="0.25">
      <c r="A12060">
        <v>23626</v>
      </c>
      <c r="B12060">
        <v>0</v>
      </c>
    </row>
    <row r="12061" spans="1:2" x14ac:dyDescent="0.25">
      <c r="A12061">
        <v>23628</v>
      </c>
      <c r="B12061">
        <v>0</v>
      </c>
    </row>
    <row r="12062" spans="1:2" x14ac:dyDescent="0.25">
      <c r="A12062">
        <v>23630</v>
      </c>
      <c r="B12062">
        <v>0</v>
      </c>
    </row>
    <row r="12063" spans="1:2" x14ac:dyDescent="0.25">
      <c r="A12063">
        <v>23631</v>
      </c>
      <c r="B12063">
        <v>0</v>
      </c>
    </row>
    <row r="12064" spans="1:2" x14ac:dyDescent="0.25">
      <c r="A12064">
        <v>23632</v>
      </c>
      <c r="B12064">
        <v>0</v>
      </c>
    </row>
    <row r="12065" spans="1:2" x14ac:dyDescent="0.25">
      <c r="A12065">
        <v>23633</v>
      </c>
      <c r="B12065">
        <v>0</v>
      </c>
    </row>
    <row r="12066" spans="1:2" x14ac:dyDescent="0.25">
      <c r="A12066">
        <v>23634</v>
      </c>
      <c r="B12066">
        <v>0</v>
      </c>
    </row>
    <row r="12067" spans="1:2" x14ac:dyDescent="0.25">
      <c r="A12067">
        <v>23635</v>
      </c>
      <c r="B12067">
        <v>0</v>
      </c>
    </row>
    <row r="12068" spans="1:2" x14ac:dyDescent="0.25">
      <c r="A12068">
        <v>23636</v>
      </c>
      <c r="B12068">
        <v>0</v>
      </c>
    </row>
    <row r="12069" spans="1:2" x14ac:dyDescent="0.25">
      <c r="A12069">
        <v>23637</v>
      </c>
      <c r="B12069">
        <v>0</v>
      </c>
    </row>
    <row r="12070" spans="1:2" x14ac:dyDescent="0.25">
      <c r="A12070">
        <v>23638</v>
      </c>
      <c r="B12070">
        <v>0</v>
      </c>
    </row>
    <row r="12071" spans="1:2" x14ac:dyDescent="0.25">
      <c r="A12071">
        <v>23639</v>
      </c>
      <c r="B12071">
        <v>0</v>
      </c>
    </row>
    <row r="12072" spans="1:2" x14ac:dyDescent="0.25">
      <c r="A12072">
        <v>23640</v>
      </c>
      <c r="B12072">
        <v>0</v>
      </c>
    </row>
    <row r="12073" spans="1:2" x14ac:dyDescent="0.25">
      <c r="A12073">
        <v>23641</v>
      </c>
      <c r="B12073">
        <v>0</v>
      </c>
    </row>
    <row r="12074" spans="1:2" x14ac:dyDescent="0.25">
      <c r="A12074">
        <v>23651</v>
      </c>
      <c r="B12074">
        <v>0</v>
      </c>
    </row>
    <row r="12075" spans="1:2" x14ac:dyDescent="0.25">
      <c r="A12075">
        <v>23653</v>
      </c>
      <c r="B12075">
        <v>0</v>
      </c>
    </row>
    <row r="12076" spans="1:2" x14ac:dyDescent="0.25">
      <c r="A12076">
        <v>23655</v>
      </c>
      <c r="B12076">
        <v>0</v>
      </c>
    </row>
    <row r="12077" spans="1:2" x14ac:dyDescent="0.25">
      <c r="A12077">
        <v>23657</v>
      </c>
      <c r="B12077">
        <v>0</v>
      </c>
    </row>
    <row r="12078" spans="1:2" x14ac:dyDescent="0.25">
      <c r="A12078">
        <v>23660</v>
      </c>
      <c r="B12078">
        <v>0</v>
      </c>
    </row>
    <row r="12079" spans="1:2" x14ac:dyDescent="0.25">
      <c r="A12079">
        <v>23661</v>
      </c>
      <c r="B12079">
        <v>0</v>
      </c>
    </row>
    <row r="12080" spans="1:2" x14ac:dyDescent="0.25">
      <c r="A12080">
        <v>23663</v>
      </c>
      <c r="B12080">
        <v>0</v>
      </c>
    </row>
    <row r="12081" spans="1:2" x14ac:dyDescent="0.25">
      <c r="A12081">
        <v>23665</v>
      </c>
      <c r="B12081">
        <v>0</v>
      </c>
    </row>
    <row r="12082" spans="1:2" x14ac:dyDescent="0.25">
      <c r="A12082">
        <v>23668</v>
      </c>
      <c r="B12082">
        <v>0</v>
      </c>
    </row>
    <row r="12083" spans="1:2" x14ac:dyDescent="0.25">
      <c r="A12083">
        <v>23670</v>
      </c>
      <c r="B12083">
        <v>0</v>
      </c>
    </row>
    <row r="12084" spans="1:2" x14ac:dyDescent="0.25">
      <c r="A12084">
        <v>23671</v>
      </c>
      <c r="B12084">
        <v>0</v>
      </c>
    </row>
    <row r="12085" spans="1:2" x14ac:dyDescent="0.25">
      <c r="A12085">
        <v>23672</v>
      </c>
      <c r="B12085">
        <v>0</v>
      </c>
    </row>
    <row r="12086" spans="1:2" x14ac:dyDescent="0.25">
      <c r="A12086">
        <v>23673</v>
      </c>
      <c r="B12086">
        <v>0</v>
      </c>
    </row>
    <row r="12087" spans="1:2" x14ac:dyDescent="0.25">
      <c r="A12087">
        <v>23674</v>
      </c>
      <c r="B12087">
        <v>0</v>
      </c>
    </row>
    <row r="12088" spans="1:2" x14ac:dyDescent="0.25">
      <c r="A12088">
        <v>23722</v>
      </c>
      <c r="B12088">
        <v>0</v>
      </c>
    </row>
    <row r="12089" spans="1:2" x14ac:dyDescent="0.25">
      <c r="A12089">
        <v>23724</v>
      </c>
      <c r="B12089">
        <v>0</v>
      </c>
    </row>
    <row r="12090" spans="1:2" x14ac:dyDescent="0.25">
      <c r="A12090">
        <v>23726</v>
      </c>
      <c r="B12090">
        <v>0</v>
      </c>
    </row>
    <row r="12091" spans="1:2" x14ac:dyDescent="0.25">
      <c r="A12091">
        <v>23731</v>
      </c>
      <c r="B12091">
        <v>0</v>
      </c>
    </row>
    <row r="12092" spans="1:2" x14ac:dyDescent="0.25">
      <c r="A12092">
        <v>23732</v>
      </c>
      <c r="B12092">
        <v>0</v>
      </c>
    </row>
    <row r="12093" spans="1:2" x14ac:dyDescent="0.25">
      <c r="A12093">
        <v>23733</v>
      </c>
      <c r="B12093">
        <v>0</v>
      </c>
    </row>
    <row r="12094" spans="1:2" x14ac:dyDescent="0.25">
      <c r="A12094">
        <v>23734</v>
      </c>
      <c r="B12094">
        <v>0</v>
      </c>
    </row>
    <row r="12095" spans="1:2" x14ac:dyDescent="0.25">
      <c r="A12095">
        <v>23735</v>
      </c>
      <c r="B12095">
        <v>0</v>
      </c>
    </row>
    <row r="12096" spans="1:2" x14ac:dyDescent="0.25">
      <c r="A12096">
        <v>23794</v>
      </c>
      <c r="B12096">
        <v>0</v>
      </c>
    </row>
    <row r="12097" spans="1:2" x14ac:dyDescent="0.25">
      <c r="A12097">
        <v>23807</v>
      </c>
      <c r="B12097">
        <v>0</v>
      </c>
    </row>
    <row r="12098" spans="1:2" x14ac:dyDescent="0.25">
      <c r="A12098">
        <v>23810</v>
      </c>
      <c r="B12098">
        <v>0</v>
      </c>
    </row>
    <row r="12099" spans="1:2" x14ac:dyDescent="0.25">
      <c r="A12099">
        <v>23811</v>
      </c>
      <c r="B12099">
        <v>0</v>
      </c>
    </row>
    <row r="12100" spans="1:2" x14ac:dyDescent="0.25">
      <c r="A12100">
        <v>23812</v>
      </c>
      <c r="B12100">
        <v>0</v>
      </c>
    </row>
    <row r="12101" spans="1:2" x14ac:dyDescent="0.25">
      <c r="A12101">
        <v>23813</v>
      </c>
      <c r="B12101">
        <v>0</v>
      </c>
    </row>
    <row r="12102" spans="1:2" x14ac:dyDescent="0.25">
      <c r="A12102">
        <v>23814</v>
      </c>
      <c r="B12102">
        <v>0</v>
      </c>
    </row>
    <row r="12103" spans="1:2" x14ac:dyDescent="0.25">
      <c r="A12103">
        <v>23815</v>
      </c>
      <c r="B12103">
        <v>0</v>
      </c>
    </row>
    <row r="12104" spans="1:2" x14ac:dyDescent="0.25">
      <c r="A12104">
        <v>23816</v>
      </c>
      <c r="B12104">
        <v>0</v>
      </c>
    </row>
    <row r="12105" spans="1:2" x14ac:dyDescent="0.25">
      <c r="A12105">
        <v>23817</v>
      </c>
      <c r="B12105">
        <v>0</v>
      </c>
    </row>
    <row r="12106" spans="1:2" x14ac:dyDescent="0.25">
      <c r="A12106">
        <v>23820</v>
      </c>
      <c r="B12106">
        <v>0</v>
      </c>
    </row>
    <row r="12107" spans="1:2" x14ac:dyDescent="0.25">
      <c r="A12107">
        <v>23822</v>
      </c>
      <c r="B12107">
        <v>0</v>
      </c>
    </row>
    <row r="12108" spans="1:2" x14ac:dyDescent="0.25">
      <c r="A12108">
        <v>23824</v>
      </c>
      <c r="B12108">
        <v>0</v>
      </c>
    </row>
    <row r="12109" spans="1:2" x14ac:dyDescent="0.25">
      <c r="A12109">
        <v>23826</v>
      </c>
      <c r="B12109">
        <v>0</v>
      </c>
    </row>
    <row r="12110" spans="1:2" x14ac:dyDescent="0.25">
      <c r="A12110">
        <v>23828</v>
      </c>
      <c r="B12110">
        <v>0</v>
      </c>
    </row>
    <row r="12111" spans="1:2" x14ac:dyDescent="0.25">
      <c r="A12111">
        <v>23829</v>
      </c>
      <c r="B12111">
        <v>0</v>
      </c>
    </row>
    <row r="12112" spans="1:2" x14ac:dyDescent="0.25">
      <c r="A12112">
        <v>23830</v>
      </c>
      <c r="B12112">
        <v>0</v>
      </c>
    </row>
    <row r="12113" spans="1:2" x14ac:dyDescent="0.25">
      <c r="A12113">
        <v>23997</v>
      </c>
      <c r="B12113">
        <v>0</v>
      </c>
    </row>
    <row r="12114" spans="1:2" x14ac:dyDescent="0.25">
      <c r="A12114">
        <v>23999</v>
      </c>
      <c r="B12114">
        <v>0</v>
      </c>
    </row>
    <row r="12115" spans="1:2" x14ac:dyDescent="0.25">
      <c r="A12115">
        <v>24001</v>
      </c>
      <c r="B12115">
        <v>0</v>
      </c>
    </row>
    <row r="12116" spans="1:2" x14ac:dyDescent="0.25">
      <c r="A12116">
        <v>24003</v>
      </c>
      <c r="B12116">
        <v>0</v>
      </c>
    </row>
    <row r="12117" spans="1:2" x14ac:dyDescent="0.25">
      <c r="A12117">
        <v>24005</v>
      </c>
      <c r="B12117">
        <v>0</v>
      </c>
    </row>
    <row r="12118" spans="1:2" x14ac:dyDescent="0.25">
      <c r="A12118">
        <v>24006</v>
      </c>
      <c r="B12118">
        <v>0</v>
      </c>
    </row>
    <row r="12119" spans="1:2" x14ac:dyDescent="0.25">
      <c r="A12119">
        <v>24007</v>
      </c>
      <c r="B12119">
        <v>0</v>
      </c>
    </row>
    <row r="12120" spans="1:2" x14ac:dyDescent="0.25">
      <c r="A12120">
        <v>24010</v>
      </c>
      <c r="B12120">
        <v>0</v>
      </c>
    </row>
    <row r="12121" spans="1:2" x14ac:dyDescent="0.25">
      <c r="A12121">
        <v>24012</v>
      </c>
      <c r="B12121">
        <v>0</v>
      </c>
    </row>
    <row r="12122" spans="1:2" x14ac:dyDescent="0.25">
      <c r="A12122">
        <v>24014</v>
      </c>
      <c r="B12122">
        <v>0</v>
      </c>
    </row>
    <row r="12123" spans="1:2" x14ac:dyDescent="0.25">
      <c r="A12123">
        <v>24017</v>
      </c>
      <c r="B12123">
        <v>0</v>
      </c>
    </row>
    <row r="12124" spans="1:2" x14ac:dyDescent="0.25">
      <c r="A12124">
        <v>24018</v>
      </c>
      <c r="B12124">
        <v>0</v>
      </c>
    </row>
    <row r="12125" spans="1:2" x14ac:dyDescent="0.25">
      <c r="A12125">
        <v>24020</v>
      </c>
      <c r="B12125">
        <v>0</v>
      </c>
    </row>
    <row r="12126" spans="1:2" x14ac:dyDescent="0.25">
      <c r="A12126">
        <v>24021</v>
      </c>
      <c r="B12126">
        <v>0</v>
      </c>
    </row>
    <row r="12127" spans="1:2" x14ac:dyDescent="0.25">
      <c r="A12127">
        <v>24023</v>
      </c>
      <c r="B12127">
        <v>0</v>
      </c>
    </row>
    <row r="12128" spans="1:2" x14ac:dyDescent="0.25">
      <c r="A12128">
        <v>24025</v>
      </c>
      <c r="B12128">
        <v>0</v>
      </c>
    </row>
    <row r="12129" spans="1:2" x14ac:dyDescent="0.25">
      <c r="A12129">
        <v>24026</v>
      </c>
      <c r="B12129">
        <v>0</v>
      </c>
    </row>
    <row r="12130" spans="1:2" x14ac:dyDescent="0.25">
      <c r="A12130">
        <v>24028</v>
      </c>
      <c r="B12130">
        <v>0</v>
      </c>
    </row>
    <row r="12131" spans="1:2" x14ac:dyDescent="0.25">
      <c r="A12131">
        <v>24030</v>
      </c>
      <c r="B12131">
        <v>0</v>
      </c>
    </row>
    <row r="12132" spans="1:2" x14ac:dyDescent="0.25">
      <c r="A12132">
        <v>24031</v>
      </c>
      <c r="B12132">
        <v>0</v>
      </c>
    </row>
    <row r="12133" spans="1:2" x14ac:dyDescent="0.25">
      <c r="A12133">
        <v>24032</v>
      </c>
      <c r="B12133">
        <v>0</v>
      </c>
    </row>
    <row r="12134" spans="1:2" x14ac:dyDescent="0.25">
      <c r="A12134">
        <v>24034</v>
      </c>
      <c r="B12134">
        <v>0</v>
      </c>
    </row>
    <row r="12135" spans="1:2" x14ac:dyDescent="0.25">
      <c r="A12135">
        <v>24036</v>
      </c>
      <c r="B12135">
        <v>0</v>
      </c>
    </row>
    <row r="12136" spans="1:2" x14ac:dyDescent="0.25">
      <c r="A12136">
        <v>24038</v>
      </c>
      <c r="B12136">
        <v>0</v>
      </c>
    </row>
    <row r="12137" spans="1:2" x14ac:dyDescent="0.25">
      <c r="A12137">
        <v>24040</v>
      </c>
      <c r="B12137">
        <v>0</v>
      </c>
    </row>
    <row r="12138" spans="1:2" x14ac:dyDescent="0.25">
      <c r="A12138">
        <v>24042</v>
      </c>
      <c r="B12138">
        <v>0</v>
      </c>
    </row>
    <row r="12139" spans="1:2" x14ac:dyDescent="0.25">
      <c r="A12139">
        <v>24044</v>
      </c>
      <c r="B12139">
        <v>0</v>
      </c>
    </row>
    <row r="12140" spans="1:2" x14ac:dyDescent="0.25">
      <c r="A12140">
        <v>24046</v>
      </c>
      <c r="B12140">
        <v>0</v>
      </c>
    </row>
    <row r="12141" spans="1:2" x14ac:dyDescent="0.25">
      <c r="A12141">
        <v>24048</v>
      </c>
      <c r="B12141">
        <v>0</v>
      </c>
    </row>
    <row r="12142" spans="1:2" x14ac:dyDescent="0.25">
      <c r="A12142">
        <v>24050</v>
      </c>
      <c r="B12142">
        <v>0</v>
      </c>
    </row>
    <row r="12143" spans="1:2" x14ac:dyDescent="0.25">
      <c r="A12143">
        <v>24051</v>
      </c>
      <c r="B12143">
        <v>0</v>
      </c>
    </row>
    <row r="12144" spans="1:2" x14ac:dyDescent="0.25">
      <c r="A12144">
        <v>24052</v>
      </c>
      <c r="B12144">
        <v>0</v>
      </c>
    </row>
    <row r="12145" spans="1:2" x14ac:dyDescent="0.25">
      <c r="A12145">
        <v>24053</v>
      </c>
      <c r="B12145">
        <v>0</v>
      </c>
    </row>
    <row r="12146" spans="1:2" x14ac:dyDescent="0.25">
      <c r="A12146">
        <v>24055</v>
      </c>
      <c r="B12146">
        <v>0</v>
      </c>
    </row>
    <row r="12147" spans="1:2" x14ac:dyDescent="0.25">
      <c r="A12147">
        <v>24057</v>
      </c>
      <c r="B12147">
        <v>0</v>
      </c>
    </row>
    <row r="12148" spans="1:2" x14ac:dyDescent="0.25">
      <c r="A12148">
        <v>24059</v>
      </c>
      <c r="B12148">
        <v>0</v>
      </c>
    </row>
    <row r="12149" spans="1:2" x14ac:dyDescent="0.25">
      <c r="A12149">
        <v>24061</v>
      </c>
      <c r="B12149">
        <v>0</v>
      </c>
    </row>
    <row r="12150" spans="1:2" x14ac:dyDescent="0.25">
      <c r="A12150">
        <v>24064</v>
      </c>
      <c r="B12150">
        <v>0</v>
      </c>
    </row>
    <row r="12151" spans="1:2" x14ac:dyDescent="0.25">
      <c r="A12151">
        <v>24069</v>
      </c>
      <c r="B12151">
        <v>0</v>
      </c>
    </row>
    <row r="12152" spans="1:2" x14ac:dyDescent="0.25">
      <c r="A12152">
        <v>24070</v>
      </c>
      <c r="B12152">
        <v>0</v>
      </c>
    </row>
    <row r="12153" spans="1:2" x14ac:dyDescent="0.25">
      <c r="A12153">
        <v>24071</v>
      </c>
      <c r="B12153">
        <v>0</v>
      </c>
    </row>
    <row r="12154" spans="1:2" x14ac:dyDescent="0.25">
      <c r="A12154">
        <v>24073</v>
      </c>
      <c r="B12154">
        <v>0</v>
      </c>
    </row>
    <row r="12155" spans="1:2" x14ac:dyDescent="0.25">
      <c r="A12155">
        <v>24078</v>
      </c>
      <c r="B12155">
        <v>0</v>
      </c>
    </row>
    <row r="12156" spans="1:2" x14ac:dyDescent="0.25">
      <c r="A12156">
        <v>24080</v>
      </c>
      <c r="B12156">
        <v>0</v>
      </c>
    </row>
    <row r="12157" spans="1:2" x14ac:dyDescent="0.25">
      <c r="A12157">
        <v>24082</v>
      </c>
      <c r="B12157">
        <v>0</v>
      </c>
    </row>
    <row r="12158" spans="1:2" x14ac:dyDescent="0.25">
      <c r="A12158">
        <v>24084</v>
      </c>
      <c r="B12158">
        <v>0</v>
      </c>
    </row>
    <row r="12159" spans="1:2" x14ac:dyDescent="0.25">
      <c r="A12159">
        <v>24085</v>
      </c>
      <c r="B12159">
        <v>0</v>
      </c>
    </row>
    <row r="12160" spans="1:2" x14ac:dyDescent="0.25">
      <c r="A12160">
        <v>24089</v>
      </c>
      <c r="B12160">
        <v>0</v>
      </c>
    </row>
    <row r="12161" spans="1:2" x14ac:dyDescent="0.25">
      <c r="A12161">
        <v>24090</v>
      </c>
      <c r="B12161">
        <v>0</v>
      </c>
    </row>
    <row r="12162" spans="1:2" x14ac:dyDescent="0.25">
      <c r="A12162">
        <v>24092</v>
      </c>
      <c r="B12162">
        <v>0</v>
      </c>
    </row>
    <row r="12163" spans="1:2" x14ac:dyDescent="0.25">
      <c r="A12163">
        <v>24094</v>
      </c>
      <c r="B12163">
        <v>0</v>
      </c>
    </row>
    <row r="12164" spans="1:2" x14ac:dyDescent="0.25">
      <c r="A12164">
        <v>24096</v>
      </c>
      <c r="B12164">
        <v>0</v>
      </c>
    </row>
    <row r="12165" spans="1:2" x14ac:dyDescent="0.25">
      <c r="A12165">
        <v>24097</v>
      </c>
      <c r="B12165">
        <v>0</v>
      </c>
    </row>
    <row r="12166" spans="1:2" x14ac:dyDescent="0.25">
      <c r="A12166">
        <v>24099</v>
      </c>
      <c r="B12166">
        <v>0</v>
      </c>
    </row>
    <row r="12167" spans="1:2" x14ac:dyDescent="0.25">
      <c r="A12167">
        <v>24102</v>
      </c>
      <c r="B12167">
        <v>0</v>
      </c>
    </row>
    <row r="12168" spans="1:2" x14ac:dyDescent="0.25">
      <c r="A12168">
        <v>24104</v>
      </c>
      <c r="B12168">
        <v>0</v>
      </c>
    </row>
    <row r="12169" spans="1:2" x14ac:dyDescent="0.25">
      <c r="A12169">
        <v>24106</v>
      </c>
      <c r="B12169">
        <v>0</v>
      </c>
    </row>
    <row r="12170" spans="1:2" x14ac:dyDescent="0.25">
      <c r="A12170">
        <v>24109</v>
      </c>
      <c r="B12170">
        <v>0</v>
      </c>
    </row>
    <row r="12171" spans="1:2" x14ac:dyDescent="0.25">
      <c r="A12171">
        <v>24110</v>
      </c>
      <c r="B12171">
        <v>0</v>
      </c>
    </row>
    <row r="12172" spans="1:2" x14ac:dyDescent="0.25">
      <c r="A12172">
        <v>24111</v>
      </c>
      <c r="B12172">
        <v>0</v>
      </c>
    </row>
    <row r="12173" spans="1:2" x14ac:dyDescent="0.25">
      <c r="A12173">
        <v>24112</v>
      </c>
      <c r="B12173">
        <v>0</v>
      </c>
    </row>
    <row r="12174" spans="1:2" x14ac:dyDescent="0.25">
      <c r="A12174">
        <v>24113</v>
      </c>
      <c r="B12174">
        <v>0</v>
      </c>
    </row>
    <row r="12175" spans="1:2" x14ac:dyDescent="0.25">
      <c r="A12175">
        <v>24116</v>
      </c>
      <c r="B12175">
        <v>0</v>
      </c>
    </row>
    <row r="12176" spans="1:2" x14ac:dyDescent="0.25">
      <c r="A12176">
        <v>24117</v>
      </c>
      <c r="B12176">
        <v>0</v>
      </c>
    </row>
    <row r="12177" spans="1:2" x14ac:dyDescent="0.25">
      <c r="A12177">
        <v>24119</v>
      </c>
      <c r="B12177">
        <v>0</v>
      </c>
    </row>
    <row r="12178" spans="1:2" x14ac:dyDescent="0.25">
      <c r="A12178">
        <v>24121</v>
      </c>
      <c r="B12178">
        <v>0</v>
      </c>
    </row>
    <row r="12179" spans="1:2" x14ac:dyDescent="0.25">
      <c r="A12179">
        <v>24122</v>
      </c>
      <c r="B12179">
        <v>0</v>
      </c>
    </row>
    <row r="12180" spans="1:2" x14ac:dyDescent="0.25">
      <c r="A12180">
        <v>24123</v>
      </c>
      <c r="B12180">
        <v>0</v>
      </c>
    </row>
    <row r="12181" spans="1:2" x14ac:dyDescent="0.25">
      <c r="A12181">
        <v>24125</v>
      </c>
      <c r="B12181">
        <v>0</v>
      </c>
    </row>
    <row r="12182" spans="1:2" x14ac:dyDescent="0.25">
      <c r="A12182">
        <v>24132</v>
      </c>
      <c r="B12182">
        <v>0</v>
      </c>
    </row>
    <row r="12183" spans="1:2" x14ac:dyDescent="0.25">
      <c r="A12183">
        <v>24134</v>
      </c>
      <c r="B12183">
        <v>0</v>
      </c>
    </row>
    <row r="12184" spans="1:2" x14ac:dyDescent="0.25">
      <c r="A12184">
        <v>24139</v>
      </c>
      <c r="B12184">
        <v>0</v>
      </c>
    </row>
    <row r="12185" spans="1:2" x14ac:dyDescent="0.25">
      <c r="A12185">
        <v>24140</v>
      </c>
      <c r="B12185">
        <v>0</v>
      </c>
    </row>
    <row r="12186" spans="1:2" x14ac:dyDescent="0.25">
      <c r="A12186">
        <v>24141</v>
      </c>
      <c r="B12186">
        <v>0</v>
      </c>
    </row>
    <row r="12187" spans="1:2" x14ac:dyDescent="0.25">
      <c r="A12187">
        <v>24142</v>
      </c>
      <c r="B12187">
        <v>0</v>
      </c>
    </row>
    <row r="12188" spans="1:2" x14ac:dyDescent="0.25">
      <c r="A12188">
        <v>24145</v>
      </c>
      <c r="B12188">
        <v>0</v>
      </c>
    </row>
    <row r="12189" spans="1:2" x14ac:dyDescent="0.25">
      <c r="A12189">
        <v>24146</v>
      </c>
      <c r="B12189">
        <v>0</v>
      </c>
    </row>
    <row r="12190" spans="1:2" x14ac:dyDescent="0.25">
      <c r="A12190">
        <v>24148</v>
      </c>
      <c r="B12190">
        <v>0</v>
      </c>
    </row>
    <row r="12191" spans="1:2" x14ac:dyDescent="0.25">
      <c r="A12191">
        <v>24150</v>
      </c>
      <c r="B12191">
        <v>0</v>
      </c>
    </row>
    <row r="12192" spans="1:2" x14ac:dyDescent="0.25">
      <c r="A12192">
        <v>24152</v>
      </c>
      <c r="B12192">
        <v>0</v>
      </c>
    </row>
    <row r="12193" spans="1:2" x14ac:dyDescent="0.25">
      <c r="A12193">
        <v>24158</v>
      </c>
      <c r="B12193">
        <v>0</v>
      </c>
    </row>
    <row r="12194" spans="1:2" x14ac:dyDescent="0.25">
      <c r="A12194">
        <v>24160</v>
      </c>
      <c r="B12194">
        <v>0</v>
      </c>
    </row>
    <row r="12195" spans="1:2" x14ac:dyDescent="0.25">
      <c r="A12195">
        <v>24161</v>
      </c>
      <c r="B12195">
        <v>0</v>
      </c>
    </row>
    <row r="12196" spans="1:2" x14ac:dyDescent="0.25">
      <c r="A12196">
        <v>24163</v>
      </c>
      <c r="B12196">
        <v>0</v>
      </c>
    </row>
    <row r="12197" spans="1:2" x14ac:dyDescent="0.25">
      <c r="A12197">
        <v>24165</v>
      </c>
      <c r="B12197">
        <v>0</v>
      </c>
    </row>
    <row r="12198" spans="1:2" x14ac:dyDescent="0.25">
      <c r="A12198">
        <v>24167</v>
      </c>
      <c r="B12198">
        <v>0</v>
      </c>
    </row>
    <row r="12199" spans="1:2" x14ac:dyDescent="0.25">
      <c r="A12199">
        <v>24168</v>
      </c>
      <c r="B12199">
        <v>0</v>
      </c>
    </row>
    <row r="12200" spans="1:2" x14ac:dyDescent="0.25">
      <c r="A12200">
        <v>24170</v>
      </c>
      <c r="B12200">
        <v>0</v>
      </c>
    </row>
    <row r="12201" spans="1:2" x14ac:dyDescent="0.25">
      <c r="A12201">
        <v>24172</v>
      </c>
      <c r="B12201">
        <v>0</v>
      </c>
    </row>
    <row r="12202" spans="1:2" x14ac:dyDescent="0.25">
      <c r="A12202">
        <v>24174</v>
      </c>
      <c r="B12202">
        <v>0</v>
      </c>
    </row>
    <row r="12203" spans="1:2" x14ac:dyDescent="0.25">
      <c r="A12203">
        <v>24176</v>
      </c>
      <c r="B12203">
        <v>0</v>
      </c>
    </row>
    <row r="12204" spans="1:2" x14ac:dyDescent="0.25">
      <c r="A12204">
        <v>24178</v>
      </c>
      <c r="B12204">
        <v>0</v>
      </c>
    </row>
    <row r="12205" spans="1:2" x14ac:dyDescent="0.25">
      <c r="A12205">
        <v>24180</v>
      </c>
      <c r="B12205">
        <v>0</v>
      </c>
    </row>
    <row r="12206" spans="1:2" x14ac:dyDescent="0.25">
      <c r="A12206">
        <v>24182</v>
      </c>
      <c r="B12206">
        <v>0</v>
      </c>
    </row>
    <row r="12207" spans="1:2" x14ac:dyDescent="0.25">
      <c r="A12207">
        <v>24184</v>
      </c>
      <c r="B12207">
        <v>0</v>
      </c>
    </row>
    <row r="12208" spans="1:2" x14ac:dyDescent="0.25">
      <c r="A12208">
        <v>24186</v>
      </c>
      <c r="B12208">
        <v>0</v>
      </c>
    </row>
    <row r="12209" spans="1:2" x14ac:dyDescent="0.25">
      <c r="A12209">
        <v>24188</v>
      </c>
      <c r="B12209">
        <v>0</v>
      </c>
    </row>
    <row r="12210" spans="1:2" x14ac:dyDescent="0.25">
      <c r="A12210">
        <v>24190</v>
      </c>
      <c r="B12210">
        <v>0</v>
      </c>
    </row>
    <row r="12211" spans="1:2" x14ac:dyDescent="0.25">
      <c r="A12211">
        <v>24192</v>
      </c>
      <c r="B12211">
        <v>0</v>
      </c>
    </row>
    <row r="12212" spans="1:2" x14ac:dyDescent="0.25">
      <c r="A12212">
        <v>24194</v>
      </c>
      <c r="B12212">
        <v>0</v>
      </c>
    </row>
    <row r="12213" spans="1:2" x14ac:dyDescent="0.25">
      <c r="A12213">
        <v>24196</v>
      </c>
      <c r="B12213">
        <v>0</v>
      </c>
    </row>
    <row r="12214" spans="1:2" x14ac:dyDescent="0.25">
      <c r="A12214">
        <v>24198</v>
      </c>
      <c r="B12214">
        <v>0</v>
      </c>
    </row>
    <row r="12215" spans="1:2" x14ac:dyDescent="0.25">
      <c r="A12215">
        <v>24200</v>
      </c>
      <c r="B12215">
        <v>0</v>
      </c>
    </row>
    <row r="12216" spans="1:2" x14ac:dyDescent="0.25">
      <c r="A12216">
        <v>24202</v>
      </c>
      <c r="B12216">
        <v>0</v>
      </c>
    </row>
    <row r="12217" spans="1:2" x14ac:dyDescent="0.25">
      <c r="A12217">
        <v>24204</v>
      </c>
      <c r="B12217">
        <v>0</v>
      </c>
    </row>
    <row r="12218" spans="1:2" x14ac:dyDescent="0.25">
      <c r="A12218">
        <v>24206</v>
      </c>
      <c r="B12218">
        <v>0</v>
      </c>
    </row>
    <row r="12219" spans="1:2" x14ac:dyDescent="0.25">
      <c r="A12219">
        <v>24207</v>
      </c>
      <c r="B12219">
        <v>0</v>
      </c>
    </row>
    <row r="12220" spans="1:2" x14ac:dyDescent="0.25">
      <c r="A12220">
        <v>24208</v>
      </c>
      <c r="B12220">
        <v>0</v>
      </c>
    </row>
    <row r="12221" spans="1:2" x14ac:dyDescent="0.25">
      <c r="A12221">
        <v>24210</v>
      </c>
      <c r="B12221">
        <v>0</v>
      </c>
    </row>
    <row r="12222" spans="1:2" x14ac:dyDescent="0.25">
      <c r="A12222">
        <v>24211</v>
      </c>
      <c r="B12222">
        <v>0</v>
      </c>
    </row>
    <row r="12223" spans="1:2" x14ac:dyDescent="0.25">
      <c r="A12223">
        <v>24213</v>
      </c>
      <c r="B12223">
        <v>0</v>
      </c>
    </row>
    <row r="12224" spans="1:2" x14ac:dyDescent="0.25">
      <c r="A12224">
        <v>24214</v>
      </c>
      <c r="B12224">
        <v>0</v>
      </c>
    </row>
    <row r="12225" spans="1:2" x14ac:dyDescent="0.25">
      <c r="A12225">
        <v>24215</v>
      </c>
      <c r="B12225">
        <v>0</v>
      </c>
    </row>
    <row r="12226" spans="1:2" x14ac:dyDescent="0.25">
      <c r="A12226">
        <v>24216</v>
      </c>
      <c r="B12226">
        <v>0</v>
      </c>
    </row>
    <row r="12227" spans="1:2" x14ac:dyDescent="0.25">
      <c r="A12227">
        <v>24218</v>
      </c>
      <c r="B12227">
        <v>0</v>
      </c>
    </row>
    <row r="12228" spans="1:2" x14ac:dyDescent="0.25">
      <c r="A12228">
        <v>24220</v>
      </c>
      <c r="B12228">
        <v>0</v>
      </c>
    </row>
    <row r="12229" spans="1:2" x14ac:dyDescent="0.25">
      <c r="A12229">
        <v>24222</v>
      </c>
      <c r="B12229">
        <v>0</v>
      </c>
    </row>
    <row r="12230" spans="1:2" x14ac:dyDescent="0.25">
      <c r="A12230">
        <v>24223</v>
      </c>
      <c r="B12230">
        <v>0</v>
      </c>
    </row>
    <row r="12231" spans="1:2" x14ac:dyDescent="0.25">
      <c r="A12231">
        <v>24224</v>
      </c>
      <c r="B12231">
        <v>0</v>
      </c>
    </row>
    <row r="12232" spans="1:2" x14ac:dyDescent="0.25">
      <c r="A12232">
        <v>24225</v>
      </c>
      <c r="B12232">
        <v>0</v>
      </c>
    </row>
    <row r="12233" spans="1:2" x14ac:dyDescent="0.25">
      <c r="A12233">
        <v>24226</v>
      </c>
      <c r="B12233">
        <v>0</v>
      </c>
    </row>
    <row r="12234" spans="1:2" x14ac:dyDescent="0.25">
      <c r="A12234">
        <v>24227</v>
      </c>
      <c r="B12234">
        <v>0</v>
      </c>
    </row>
    <row r="12235" spans="1:2" x14ac:dyDescent="0.25">
      <c r="A12235">
        <v>24228</v>
      </c>
      <c r="B12235">
        <v>0</v>
      </c>
    </row>
    <row r="12236" spans="1:2" x14ac:dyDescent="0.25">
      <c r="A12236">
        <v>24229</v>
      </c>
      <c r="B12236">
        <v>0</v>
      </c>
    </row>
    <row r="12237" spans="1:2" x14ac:dyDescent="0.25">
      <c r="A12237">
        <v>24230</v>
      </c>
      <c r="B12237">
        <v>0</v>
      </c>
    </row>
    <row r="12238" spans="1:2" x14ac:dyDescent="0.25">
      <c r="A12238">
        <v>24232</v>
      </c>
      <c r="B12238">
        <v>0</v>
      </c>
    </row>
    <row r="12239" spans="1:2" x14ac:dyDescent="0.25">
      <c r="A12239">
        <v>24238</v>
      </c>
      <c r="B12239">
        <v>0</v>
      </c>
    </row>
    <row r="12240" spans="1:2" x14ac:dyDescent="0.25">
      <c r="A12240">
        <v>24242</v>
      </c>
      <c r="B12240">
        <v>0</v>
      </c>
    </row>
    <row r="12241" spans="1:2" x14ac:dyDescent="0.25">
      <c r="A12241">
        <v>24244</v>
      </c>
      <c r="B12241">
        <v>0</v>
      </c>
    </row>
    <row r="12242" spans="1:2" x14ac:dyDescent="0.25">
      <c r="A12242">
        <v>24246</v>
      </c>
      <c r="B12242">
        <v>0</v>
      </c>
    </row>
    <row r="12243" spans="1:2" x14ac:dyDescent="0.25">
      <c r="A12243">
        <v>24248</v>
      </c>
      <c r="B12243">
        <v>0</v>
      </c>
    </row>
    <row r="12244" spans="1:2" x14ac:dyDescent="0.25">
      <c r="A12244">
        <v>24250</v>
      </c>
      <c r="B12244">
        <v>0</v>
      </c>
    </row>
    <row r="12245" spans="1:2" x14ac:dyDescent="0.25">
      <c r="A12245">
        <v>24252</v>
      </c>
      <c r="B12245">
        <v>0</v>
      </c>
    </row>
    <row r="12246" spans="1:2" x14ac:dyDescent="0.25">
      <c r="A12246">
        <v>24254</v>
      </c>
      <c r="B12246">
        <v>0</v>
      </c>
    </row>
    <row r="12247" spans="1:2" x14ac:dyDescent="0.25">
      <c r="A12247">
        <v>24256</v>
      </c>
      <c r="B12247">
        <v>0</v>
      </c>
    </row>
    <row r="12248" spans="1:2" x14ac:dyDescent="0.25">
      <c r="A12248">
        <v>24258</v>
      </c>
      <c r="B12248">
        <v>0</v>
      </c>
    </row>
    <row r="12249" spans="1:2" x14ac:dyDescent="0.25">
      <c r="A12249">
        <v>24259</v>
      </c>
      <c r="B12249">
        <v>0</v>
      </c>
    </row>
    <row r="12250" spans="1:2" x14ac:dyDescent="0.25">
      <c r="A12250">
        <v>24261</v>
      </c>
      <c r="B12250">
        <v>0</v>
      </c>
    </row>
    <row r="12251" spans="1:2" x14ac:dyDescent="0.25">
      <c r="A12251">
        <v>24262</v>
      </c>
      <c r="B12251">
        <v>0</v>
      </c>
    </row>
    <row r="12252" spans="1:2" x14ac:dyDescent="0.25">
      <c r="A12252">
        <v>24263</v>
      </c>
      <c r="B12252">
        <v>0</v>
      </c>
    </row>
    <row r="12253" spans="1:2" x14ac:dyDescent="0.25">
      <c r="A12253">
        <v>24264</v>
      </c>
      <c r="B12253">
        <v>0</v>
      </c>
    </row>
    <row r="12254" spans="1:2" x14ac:dyDescent="0.25">
      <c r="A12254">
        <v>24265</v>
      </c>
      <c r="B12254">
        <v>0</v>
      </c>
    </row>
    <row r="12255" spans="1:2" x14ac:dyDescent="0.25">
      <c r="A12255">
        <v>24266</v>
      </c>
      <c r="B12255">
        <v>0</v>
      </c>
    </row>
    <row r="12256" spans="1:2" x14ac:dyDescent="0.25">
      <c r="A12256">
        <v>24267</v>
      </c>
      <c r="B12256">
        <v>0</v>
      </c>
    </row>
    <row r="12257" spans="1:2" x14ac:dyDescent="0.25">
      <c r="A12257">
        <v>24270</v>
      </c>
      <c r="B12257">
        <v>0</v>
      </c>
    </row>
    <row r="12258" spans="1:2" x14ac:dyDescent="0.25">
      <c r="A12258">
        <v>24271</v>
      </c>
      <c r="B12258">
        <v>0</v>
      </c>
    </row>
    <row r="12259" spans="1:2" x14ac:dyDescent="0.25">
      <c r="A12259">
        <v>24273</v>
      </c>
      <c r="B12259">
        <v>0</v>
      </c>
    </row>
    <row r="12260" spans="1:2" x14ac:dyDescent="0.25">
      <c r="A12260">
        <v>24274</v>
      </c>
      <c r="B12260">
        <v>0</v>
      </c>
    </row>
    <row r="12261" spans="1:2" x14ac:dyDescent="0.25">
      <c r="A12261">
        <v>24275</v>
      </c>
      <c r="B12261">
        <v>0</v>
      </c>
    </row>
    <row r="12262" spans="1:2" x14ac:dyDescent="0.25">
      <c r="A12262">
        <v>24277</v>
      </c>
      <c r="B12262">
        <v>0</v>
      </c>
    </row>
    <row r="12263" spans="1:2" x14ac:dyDescent="0.25">
      <c r="A12263">
        <v>24283</v>
      </c>
      <c r="B12263">
        <v>0</v>
      </c>
    </row>
    <row r="12264" spans="1:2" x14ac:dyDescent="0.25">
      <c r="A12264">
        <v>24285</v>
      </c>
      <c r="B12264">
        <v>0</v>
      </c>
    </row>
    <row r="12265" spans="1:2" x14ac:dyDescent="0.25">
      <c r="A12265">
        <v>24287</v>
      </c>
      <c r="B12265">
        <v>0</v>
      </c>
    </row>
    <row r="12266" spans="1:2" x14ac:dyDescent="0.25">
      <c r="A12266">
        <v>24289</v>
      </c>
      <c r="B12266">
        <v>0</v>
      </c>
    </row>
    <row r="12267" spans="1:2" x14ac:dyDescent="0.25">
      <c r="A12267">
        <v>24290</v>
      </c>
      <c r="B12267">
        <v>0</v>
      </c>
    </row>
    <row r="12268" spans="1:2" x14ac:dyDescent="0.25">
      <c r="A12268">
        <v>24292</v>
      </c>
      <c r="B12268">
        <v>0</v>
      </c>
    </row>
    <row r="12269" spans="1:2" x14ac:dyDescent="0.25">
      <c r="A12269">
        <v>24294</v>
      </c>
      <c r="B12269">
        <v>0</v>
      </c>
    </row>
    <row r="12270" spans="1:2" x14ac:dyDescent="0.25">
      <c r="A12270">
        <v>24295</v>
      </c>
      <c r="B12270">
        <v>0</v>
      </c>
    </row>
    <row r="12271" spans="1:2" x14ac:dyDescent="0.25">
      <c r="A12271">
        <v>24297</v>
      </c>
      <c r="B12271">
        <v>0</v>
      </c>
    </row>
    <row r="12272" spans="1:2" x14ac:dyDescent="0.25">
      <c r="A12272">
        <v>24299</v>
      </c>
      <c r="B12272">
        <v>0</v>
      </c>
    </row>
    <row r="12273" spans="1:2" x14ac:dyDescent="0.25">
      <c r="A12273">
        <v>24301</v>
      </c>
      <c r="B12273">
        <v>0</v>
      </c>
    </row>
    <row r="12274" spans="1:2" x14ac:dyDescent="0.25">
      <c r="A12274">
        <v>24302</v>
      </c>
      <c r="B12274">
        <v>0</v>
      </c>
    </row>
    <row r="12275" spans="1:2" x14ac:dyDescent="0.25">
      <c r="A12275">
        <v>24304</v>
      </c>
      <c r="B12275">
        <v>0</v>
      </c>
    </row>
    <row r="12276" spans="1:2" x14ac:dyDescent="0.25">
      <c r="A12276">
        <v>24306</v>
      </c>
      <c r="B12276">
        <v>0</v>
      </c>
    </row>
    <row r="12277" spans="1:2" x14ac:dyDescent="0.25">
      <c r="A12277">
        <v>24308</v>
      </c>
      <c r="B12277">
        <v>0</v>
      </c>
    </row>
    <row r="12278" spans="1:2" x14ac:dyDescent="0.25">
      <c r="A12278">
        <v>24310</v>
      </c>
      <c r="B12278">
        <v>0</v>
      </c>
    </row>
    <row r="12279" spans="1:2" x14ac:dyDescent="0.25">
      <c r="A12279">
        <v>24312</v>
      </c>
      <c r="B12279">
        <v>0</v>
      </c>
    </row>
    <row r="12280" spans="1:2" x14ac:dyDescent="0.25">
      <c r="A12280">
        <v>24314</v>
      </c>
      <c r="B12280">
        <v>0</v>
      </c>
    </row>
    <row r="12281" spans="1:2" x14ac:dyDescent="0.25">
      <c r="A12281">
        <v>24316</v>
      </c>
      <c r="B12281">
        <v>0</v>
      </c>
    </row>
    <row r="12282" spans="1:2" x14ac:dyDescent="0.25">
      <c r="A12282">
        <v>24318</v>
      </c>
      <c r="B12282">
        <v>0</v>
      </c>
    </row>
    <row r="12283" spans="1:2" x14ac:dyDescent="0.25">
      <c r="A12283">
        <v>24320</v>
      </c>
      <c r="B12283">
        <v>0</v>
      </c>
    </row>
    <row r="12284" spans="1:2" x14ac:dyDescent="0.25">
      <c r="A12284">
        <v>24322</v>
      </c>
      <c r="B12284">
        <v>0</v>
      </c>
    </row>
    <row r="12285" spans="1:2" x14ac:dyDescent="0.25">
      <c r="A12285">
        <v>24324</v>
      </c>
      <c r="B12285">
        <v>0</v>
      </c>
    </row>
    <row r="12286" spans="1:2" x14ac:dyDescent="0.25">
      <c r="A12286">
        <v>24326</v>
      </c>
      <c r="B12286">
        <v>0</v>
      </c>
    </row>
    <row r="12287" spans="1:2" x14ac:dyDescent="0.25">
      <c r="A12287">
        <v>24327</v>
      </c>
      <c r="B12287">
        <v>0</v>
      </c>
    </row>
    <row r="12288" spans="1:2" x14ac:dyDescent="0.25">
      <c r="A12288">
        <v>24328</v>
      </c>
      <c r="B12288">
        <v>0</v>
      </c>
    </row>
    <row r="12289" spans="1:2" x14ac:dyDescent="0.25">
      <c r="A12289">
        <v>24329</v>
      </c>
      <c r="B12289">
        <v>0</v>
      </c>
    </row>
    <row r="12290" spans="1:2" x14ac:dyDescent="0.25">
      <c r="A12290">
        <v>24330</v>
      </c>
      <c r="B12290">
        <v>0</v>
      </c>
    </row>
    <row r="12291" spans="1:2" x14ac:dyDescent="0.25">
      <c r="A12291">
        <v>24331</v>
      </c>
      <c r="B12291">
        <v>0</v>
      </c>
    </row>
    <row r="12292" spans="1:2" x14ac:dyDescent="0.25">
      <c r="A12292">
        <v>24332</v>
      </c>
      <c r="B12292">
        <v>0</v>
      </c>
    </row>
    <row r="12293" spans="1:2" x14ac:dyDescent="0.25">
      <c r="A12293">
        <v>24333</v>
      </c>
      <c r="B12293">
        <v>0</v>
      </c>
    </row>
    <row r="12294" spans="1:2" x14ac:dyDescent="0.25">
      <c r="A12294">
        <v>24334</v>
      </c>
      <c r="B12294">
        <v>0</v>
      </c>
    </row>
    <row r="12295" spans="1:2" x14ac:dyDescent="0.25">
      <c r="A12295">
        <v>24335</v>
      </c>
      <c r="B12295">
        <v>0</v>
      </c>
    </row>
    <row r="12296" spans="1:2" x14ac:dyDescent="0.25">
      <c r="A12296">
        <v>24336</v>
      </c>
      <c r="B12296">
        <v>0</v>
      </c>
    </row>
    <row r="12297" spans="1:2" x14ac:dyDescent="0.25">
      <c r="A12297">
        <v>24337</v>
      </c>
      <c r="B12297">
        <v>0</v>
      </c>
    </row>
    <row r="12298" spans="1:2" x14ac:dyDescent="0.25">
      <c r="A12298">
        <v>24338</v>
      </c>
      <c r="B12298">
        <v>0</v>
      </c>
    </row>
    <row r="12299" spans="1:2" x14ac:dyDescent="0.25">
      <c r="A12299">
        <v>24339</v>
      </c>
      <c r="B12299">
        <v>0</v>
      </c>
    </row>
    <row r="12300" spans="1:2" x14ac:dyDescent="0.25">
      <c r="A12300">
        <v>24340</v>
      </c>
      <c r="B12300">
        <v>0</v>
      </c>
    </row>
    <row r="12301" spans="1:2" x14ac:dyDescent="0.25">
      <c r="A12301">
        <v>24341</v>
      </c>
      <c r="B12301">
        <v>0</v>
      </c>
    </row>
    <row r="12302" spans="1:2" x14ac:dyDescent="0.25">
      <c r="A12302">
        <v>24342</v>
      </c>
      <c r="B12302">
        <v>0</v>
      </c>
    </row>
    <row r="12303" spans="1:2" x14ac:dyDescent="0.25">
      <c r="A12303">
        <v>24343</v>
      </c>
      <c r="B12303">
        <v>0</v>
      </c>
    </row>
    <row r="12304" spans="1:2" x14ac:dyDescent="0.25">
      <c r="A12304">
        <v>24344</v>
      </c>
      <c r="B12304">
        <v>0</v>
      </c>
    </row>
    <row r="12305" spans="1:2" x14ac:dyDescent="0.25">
      <c r="A12305">
        <v>24346</v>
      </c>
      <c r="B12305">
        <v>0</v>
      </c>
    </row>
    <row r="12306" spans="1:2" x14ac:dyDescent="0.25">
      <c r="A12306">
        <v>24348</v>
      </c>
      <c r="B12306">
        <v>0</v>
      </c>
    </row>
    <row r="12307" spans="1:2" x14ac:dyDescent="0.25">
      <c r="A12307">
        <v>24350</v>
      </c>
      <c r="B12307">
        <v>0</v>
      </c>
    </row>
    <row r="12308" spans="1:2" x14ac:dyDescent="0.25">
      <c r="A12308">
        <v>24353</v>
      </c>
      <c r="B12308">
        <v>0</v>
      </c>
    </row>
    <row r="12309" spans="1:2" x14ac:dyDescent="0.25">
      <c r="A12309">
        <v>24355</v>
      </c>
      <c r="B12309">
        <v>0</v>
      </c>
    </row>
    <row r="12310" spans="1:2" x14ac:dyDescent="0.25">
      <c r="A12310">
        <v>24357</v>
      </c>
      <c r="B12310">
        <v>0</v>
      </c>
    </row>
    <row r="12311" spans="1:2" x14ac:dyDescent="0.25">
      <c r="A12311">
        <v>24359</v>
      </c>
      <c r="B12311">
        <v>0</v>
      </c>
    </row>
    <row r="12312" spans="1:2" x14ac:dyDescent="0.25">
      <c r="A12312">
        <v>24360</v>
      </c>
      <c r="B12312">
        <v>0</v>
      </c>
    </row>
    <row r="12313" spans="1:2" x14ac:dyDescent="0.25">
      <c r="A12313">
        <v>24362</v>
      </c>
      <c r="B12313">
        <v>0</v>
      </c>
    </row>
    <row r="12314" spans="1:2" x14ac:dyDescent="0.25">
      <c r="A12314">
        <v>24364</v>
      </c>
      <c r="B12314">
        <v>0</v>
      </c>
    </row>
    <row r="12315" spans="1:2" x14ac:dyDescent="0.25">
      <c r="A12315">
        <v>24366</v>
      </c>
      <c r="B12315">
        <v>0</v>
      </c>
    </row>
    <row r="12316" spans="1:2" x14ac:dyDescent="0.25">
      <c r="A12316">
        <v>24367</v>
      </c>
      <c r="B12316">
        <v>0</v>
      </c>
    </row>
    <row r="12317" spans="1:2" x14ac:dyDescent="0.25">
      <c r="A12317">
        <v>24371</v>
      </c>
      <c r="B12317">
        <v>0</v>
      </c>
    </row>
    <row r="12318" spans="1:2" x14ac:dyDescent="0.25">
      <c r="A12318">
        <v>24373</v>
      </c>
      <c r="B12318">
        <v>0</v>
      </c>
    </row>
    <row r="12319" spans="1:2" x14ac:dyDescent="0.25">
      <c r="A12319">
        <v>24374</v>
      </c>
      <c r="B12319">
        <v>0</v>
      </c>
    </row>
    <row r="12320" spans="1:2" x14ac:dyDescent="0.25">
      <c r="A12320">
        <v>24376</v>
      </c>
      <c r="B12320">
        <v>0</v>
      </c>
    </row>
    <row r="12321" spans="1:2" x14ac:dyDescent="0.25">
      <c r="A12321">
        <v>24377</v>
      </c>
      <c r="B12321">
        <v>0</v>
      </c>
    </row>
    <row r="12322" spans="1:2" x14ac:dyDescent="0.25">
      <c r="A12322">
        <v>24378</v>
      </c>
      <c r="B12322">
        <v>0</v>
      </c>
    </row>
    <row r="12323" spans="1:2" x14ac:dyDescent="0.25">
      <c r="A12323">
        <v>24379</v>
      </c>
      <c r="B12323">
        <v>0</v>
      </c>
    </row>
    <row r="12324" spans="1:2" x14ac:dyDescent="0.25">
      <c r="A12324">
        <v>24380</v>
      </c>
      <c r="B12324">
        <v>0</v>
      </c>
    </row>
    <row r="12325" spans="1:2" x14ac:dyDescent="0.25">
      <c r="A12325">
        <v>24382</v>
      </c>
      <c r="B12325">
        <v>0</v>
      </c>
    </row>
    <row r="12326" spans="1:2" x14ac:dyDescent="0.25">
      <c r="A12326">
        <v>24384</v>
      </c>
      <c r="B12326">
        <v>0</v>
      </c>
    </row>
    <row r="12327" spans="1:2" x14ac:dyDescent="0.25">
      <c r="A12327">
        <v>24386</v>
      </c>
      <c r="B12327">
        <v>0</v>
      </c>
    </row>
    <row r="12328" spans="1:2" x14ac:dyDescent="0.25">
      <c r="A12328">
        <v>24387</v>
      </c>
      <c r="B12328">
        <v>0</v>
      </c>
    </row>
    <row r="12329" spans="1:2" x14ac:dyDescent="0.25">
      <c r="A12329">
        <v>24389</v>
      </c>
      <c r="B12329">
        <v>0</v>
      </c>
    </row>
    <row r="12330" spans="1:2" x14ac:dyDescent="0.25">
      <c r="A12330">
        <v>24391</v>
      </c>
      <c r="B12330">
        <v>0</v>
      </c>
    </row>
    <row r="12331" spans="1:2" x14ac:dyDescent="0.25">
      <c r="A12331">
        <v>24392</v>
      </c>
      <c r="B12331">
        <v>0</v>
      </c>
    </row>
    <row r="12332" spans="1:2" x14ac:dyDescent="0.25">
      <c r="A12332">
        <v>24393</v>
      </c>
      <c r="B12332">
        <v>0</v>
      </c>
    </row>
    <row r="12333" spans="1:2" x14ac:dyDescent="0.25">
      <c r="A12333">
        <v>24395</v>
      </c>
      <c r="B12333">
        <v>0</v>
      </c>
    </row>
    <row r="12334" spans="1:2" x14ac:dyDescent="0.25">
      <c r="A12334">
        <v>24396</v>
      </c>
      <c r="B12334">
        <v>0</v>
      </c>
    </row>
    <row r="12335" spans="1:2" x14ac:dyDescent="0.25">
      <c r="A12335">
        <v>24397</v>
      </c>
      <c r="B12335">
        <v>0</v>
      </c>
    </row>
    <row r="12336" spans="1:2" x14ac:dyDescent="0.25">
      <c r="A12336">
        <v>24398</v>
      </c>
      <c r="B12336">
        <v>0</v>
      </c>
    </row>
    <row r="12337" spans="1:2" x14ac:dyDescent="0.25">
      <c r="A12337">
        <v>24399</v>
      </c>
      <c r="B12337">
        <v>0</v>
      </c>
    </row>
    <row r="12338" spans="1:2" x14ac:dyDescent="0.25">
      <c r="A12338">
        <v>24401</v>
      </c>
      <c r="B12338">
        <v>0</v>
      </c>
    </row>
    <row r="12339" spans="1:2" x14ac:dyDescent="0.25">
      <c r="A12339">
        <v>24403</v>
      </c>
      <c r="B12339">
        <v>0</v>
      </c>
    </row>
    <row r="12340" spans="1:2" x14ac:dyDescent="0.25">
      <c r="A12340">
        <v>24405</v>
      </c>
      <c r="B12340">
        <v>0</v>
      </c>
    </row>
    <row r="12341" spans="1:2" x14ac:dyDescent="0.25">
      <c r="A12341">
        <v>24407</v>
      </c>
      <c r="B12341">
        <v>0</v>
      </c>
    </row>
    <row r="12342" spans="1:2" x14ac:dyDescent="0.25">
      <c r="A12342">
        <v>24408</v>
      </c>
      <c r="B12342">
        <v>0</v>
      </c>
    </row>
    <row r="12343" spans="1:2" x14ac:dyDescent="0.25">
      <c r="A12343">
        <v>24409</v>
      </c>
      <c r="B12343">
        <v>0</v>
      </c>
    </row>
    <row r="12344" spans="1:2" x14ac:dyDescent="0.25">
      <c r="A12344">
        <v>24410</v>
      </c>
      <c r="B12344">
        <v>0</v>
      </c>
    </row>
    <row r="12345" spans="1:2" x14ac:dyDescent="0.25">
      <c r="A12345">
        <v>24411</v>
      </c>
      <c r="B12345">
        <v>0</v>
      </c>
    </row>
    <row r="12346" spans="1:2" x14ac:dyDescent="0.25">
      <c r="A12346">
        <v>24412</v>
      </c>
      <c r="B12346">
        <v>0</v>
      </c>
    </row>
    <row r="12347" spans="1:2" x14ac:dyDescent="0.25">
      <c r="A12347">
        <v>24413</v>
      </c>
      <c r="B12347">
        <v>0</v>
      </c>
    </row>
    <row r="12348" spans="1:2" x14ac:dyDescent="0.25">
      <c r="A12348">
        <v>24415</v>
      </c>
      <c r="B12348">
        <v>0</v>
      </c>
    </row>
    <row r="12349" spans="1:2" x14ac:dyDescent="0.25">
      <c r="A12349">
        <v>24417</v>
      </c>
      <c r="B12349">
        <v>0</v>
      </c>
    </row>
    <row r="12350" spans="1:2" x14ac:dyDescent="0.25">
      <c r="A12350">
        <v>24419</v>
      </c>
      <c r="B12350">
        <v>0</v>
      </c>
    </row>
    <row r="12351" spans="1:2" x14ac:dyDescent="0.25">
      <c r="A12351">
        <v>24421</v>
      </c>
      <c r="B12351">
        <v>0</v>
      </c>
    </row>
    <row r="12352" spans="1:2" x14ac:dyDescent="0.25">
      <c r="A12352">
        <v>24423</v>
      </c>
      <c r="B12352">
        <v>0</v>
      </c>
    </row>
    <row r="12353" spans="1:2" x14ac:dyDescent="0.25">
      <c r="A12353">
        <v>24425</v>
      </c>
      <c r="B12353">
        <v>0</v>
      </c>
    </row>
    <row r="12354" spans="1:2" x14ac:dyDescent="0.25">
      <c r="A12354">
        <v>24426</v>
      </c>
      <c r="B12354">
        <v>0</v>
      </c>
    </row>
    <row r="12355" spans="1:2" x14ac:dyDescent="0.25">
      <c r="A12355">
        <v>24427</v>
      </c>
      <c r="B12355">
        <v>0</v>
      </c>
    </row>
    <row r="12356" spans="1:2" x14ac:dyDescent="0.25">
      <c r="A12356">
        <v>24428</v>
      </c>
      <c r="B12356">
        <v>0</v>
      </c>
    </row>
    <row r="12357" spans="1:2" x14ac:dyDescent="0.25">
      <c r="A12357">
        <v>24430</v>
      </c>
      <c r="B12357">
        <v>0</v>
      </c>
    </row>
    <row r="12358" spans="1:2" x14ac:dyDescent="0.25">
      <c r="A12358">
        <v>24432</v>
      </c>
      <c r="B12358">
        <v>0</v>
      </c>
    </row>
    <row r="12359" spans="1:2" x14ac:dyDescent="0.25">
      <c r="A12359">
        <v>24434</v>
      </c>
      <c r="B12359">
        <v>0</v>
      </c>
    </row>
    <row r="12360" spans="1:2" x14ac:dyDescent="0.25">
      <c r="A12360">
        <v>24436</v>
      </c>
      <c r="B12360">
        <v>0</v>
      </c>
    </row>
    <row r="12361" spans="1:2" x14ac:dyDescent="0.25">
      <c r="A12361">
        <v>24438</v>
      </c>
      <c r="B12361">
        <v>0</v>
      </c>
    </row>
    <row r="12362" spans="1:2" x14ac:dyDescent="0.25">
      <c r="A12362">
        <v>24440</v>
      </c>
      <c r="B12362">
        <v>0</v>
      </c>
    </row>
    <row r="12363" spans="1:2" x14ac:dyDescent="0.25">
      <c r="A12363">
        <v>24442</v>
      </c>
      <c r="B12363">
        <v>0</v>
      </c>
    </row>
    <row r="12364" spans="1:2" x14ac:dyDescent="0.25">
      <c r="A12364">
        <v>24444</v>
      </c>
      <c r="B12364">
        <v>0</v>
      </c>
    </row>
    <row r="12365" spans="1:2" x14ac:dyDescent="0.25">
      <c r="A12365">
        <v>24446</v>
      </c>
      <c r="B12365">
        <v>0</v>
      </c>
    </row>
    <row r="12366" spans="1:2" x14ac:dyDescent="0.25">
      <c r="A12366">
        <v>24449</v>
      </c>
      <c r="B12366">
        <v>0</v>
      </c>
    </row>
    <row r="12367" spans="1:2" x14ac:dyDescent="0.25">
      <c r="A12367">
        <v>24451</v>
      </c>
      <c r="B12367">
        <v>0</v>
      </c>
    </row>
    <row r="12368" spans="1:2" x14ac:dyDescent="0.25">
      <c r="A12368">
        <v>24452</v>
      </c>
      <c r="B12368">
        <v>0</v>
      </c>
    </row>
    <row r="12369" spans="1:2" x14ac:dyDescent="0.25">
      <c r="A12369">
        <v>24454</v>
      </c>
      <c r="B12369">
        <v>0</v>
      </c>
    </row>
    <row r="12370" spans="1:2" x14ac:dyDescent="0.25">
      <c r="A12370">
        <v>24456</v>
      </c>
      <c r="B12370">
        <v>0</v>
      </c>
    </row>
    <row r="12371" spans="1:2" x14ac:dyDescent="0.25">
      <c r="A12371">
        <v>24458</v>
      </c>
      <c r="B12371">
        <v>0</v>
      </c>
    </row>
    <row r="12372" spans="1:2" x14ac:dyDescent="0.25">
      <c r="A12372">
        <v>24460</v>
      </c>
      <c r="B12372">
        <v>0</v>
      </c>
    </row>
    <row r="12373" spans="1:2" x14ac:dyDescent="0.25">
      <c r="A12373">
        <v>24461</v>
      </c>
      <c r="B12373">
        <v>0</v>
      </c>
    </row>
    <row r="12374" spans="1:2" x14ac:dyDescent="0.25">
      <c r="A12374">
        <v>24462</v>
      </c>
      <c r="B12374">
        <v>0</v>
      </c>
    </row>
    <row r="12375" spans="1:2" x14ac:dyDescent="0.25">
      <c r="A12375">
        <v>24464</v>
      </c>
      <c r="B12375">
        <v>0</v>
      </c>
    </row>
    <row r="12376" spans="1:2" x14ac:dyDescent="0.25">
      <c r="A12376">
        <v>24466</v>
      </c>
      <c r="B12376">
        <v>0</v>
      </c>
    </row>
    <row r="12377" spans="1:2" x14ac:dyDescent="0.25">
      <c r="A12377">
        <v>24468</v>
      </c>
      <c r="B12377">
        <v>0</v>
      </c>
    </row>
    <row r="12378" spans="1:2" x14ac:dyDescent="0.25">
      <c r="A12378">
        <v>24470</v>
      </c>
      <c r="B12378">
        <v>0</v>
      </c>
    </row>
    <row r="12379" spans="1:2" x14ac:dyDescent="0.25">
      <c r="A12379">
        <v>24472</v>
      </c>
      <c r="B12379">
        <v>0</v>
      </c>
    </row>
    <row r="12380" spans="1:2" x14ac:dyDescent="0.25">
      <c r="A12380">
        <v>24474</v>
      </c>
      <c r="B12380">
        <v>0</v>
      </c>
    </row>
    <row r="12381" spans="1:2" x14ac:dyDescent="0.25">
      <c r="A12381">
        <v>24476</v>
      </c>
      <c r="B12381">
        <v>0</v>
      </c>
    </row>
    <row r="12382" spans="1:2" x14ac:dyDescent="0.25">
      <c r="A12382">
        <v>24479</v>
      </c>
      <c r="B12382">
        <v>0</v>
      </c>
    </row>
    <row r="12383" spans="1:2" x14ac:dyDescent="0.25">
      <c r="A12383">
        <v>24481</v>
      </c>
      <c r="B12383">
        <v>0</v>
      </c>
    </row>
    <row r="12384" spans="1:2" x14ac:dyDescent="0.25">
      <c r="A12384">
        <v>24483</v>
      </c>
      <c r="B12384">
        <v>0</v>
      </c>
    </row>
    <row r="12385" spans="1:2" x14ac:dyDescent="0.25">
      <c r="A12385">
        <v>24485</v>
      </c>
      <c r="B12385">
        <v>0</v>
      </c>
    </row>
    <row r="12386" spans="1:2" x14ac:dyDescent="0.25">
      <c r="A12386">
        <v>24486</v>
      </c>
      <c r="B12386">
        <v>0</v>
      </c>
    </row>
    <row r="12387" spans="1:2" x14ac:dyDescent="0.25">
      <c r="A12387">
        <v>24488</v>
      </c>
      <c r="B12387">
        <v>0</v>
      </c>
    </row>
    <row r="12388" spans="1:2" x14ac:dyDescent="0.25">
      <c r="A12388">
        <v>24489</v>
      </c>
      <c r="B12388">
        <v>0</v>
      </c>
    </row>
    <row r="12389" spans="1:2" x14ac:dyDescent="0.25">
      <c r="A12389">
        <v>24490</v>
      </c>
      <c r="B12389">
        <v>0</v>
      </c>
    </row>
    <row r="12390" spans="1:2" x14ac:dyDescent="0.25">
      <c r="A12390">
        <v>24491</v>
      </c>
      <c r="B12390">
        <v>0</v>
      </c>
    </row>
    <row r="12391" spans="1:2" x14ac:dyDescent="0.25">
      <c r="A12391">
        <v>24492</v>
      </c>
      <c r="B12391">
        <v>0</v>
      </c>
    </row>
    <row r="12392" spans="1:2" x14ac:dyDescent="0.25">
      <c r="A12392">
        <v>24494</v>
      </c>
      <c r="B12392">
        <v>0</v>
      </c>
    </row>
    <row r="12393" spans="1:2" x14ac:dyDescent="0.25">
      <c r="A12393">
        <v>24496</v>
      </c>
      <c r="B12393">
        <v>0</v>
      </c>
    </row>
    <row r="12394" spans="1:2" x14ac:dyDescent="0.25">
      <c r="A12394">
        <v>24497</v>
      </c>
      <c r="B12394">
        <v>0</v>
      </c>
    </row>
    <row r="12395" spans="1:2" x14ac:dyDescent="0.25">
      <c r="A12395">
        <v>24498</v>
      </c>
      <c r="B12395">
        <v>0</v>
      </c>
    </row>
    <row r="12396" spans="1:2" x14ac:dyDescent="0.25">
      <c r="A12396">
        <v>24501</v>
      </c>
      <c r="B12396">
        <v>0</v>
      </c>
    </row>
    <row r="12397" spans="1:2" x14ac:dyDescent="0.25">
      <c r="A12397">
        <v>24502</v>
      </c>
      <c r="B12397">
        <v>0</v>
      </c>
    </row>
    <row r="12398" spans="1:2" x14ac:dyDescent="0.25">
      <c r="A12398">
        <v>24505</v>
      </c>
      <c r="B12398">
        <v>0</v>
      </c>
    </row>
    <row r="12399" spans="1:2" x14ac:dyDescent="0.25">
      <c r="A12399">
        <v>24507</v>
      </c>
      <c r="B12399">
        <v>0</v>
      </c>
    </row>
    <row r="12400" spans="1:2" x14ac:dyDescent="0.25">
      <c r="A12400">
        <v>24508</v>
      </c>
      <c r="B12400">
        <v>0</v>
      </c>
    </row>
    <row r="12401" spans="1:2" x14ac:dyDescent="0.25">
      <c r="A12401">
        <v>24510</v>
      </c>
      <c r="B12401">
        <v>0</v>
      </c>
    </row>
    <row r="12402" spans="1:2" x14ac:dyDescent="0.25">
      <c r="A12402">
        <v>24512</v>
      </c>
      <c r="B12402">
        <v>0</v>
      </c>
    </row>
    <row r="12403" spans="1:2" x14ac:dyDescent="0.25">
      <c r="A12403">
        <v>24514</v>
      </c>
      <c r="B12403">
        <v>0</v>
      </c>
    </row>
    <row r="12404" spans="1:2" x14ac:dyDescent="0.25">
      <c r="A12404">
        <v>24515</v>
      </c>
      <c r="B12404">
        <v>0</v>
      </c>
    </row>
    <row r="12405" spans="1:2" x14ac:dyDescent="0.25">
      <c r="A12405">
        <v>24516</v>
      </c>
      <c r="B12405">
        <v>0</v>
      </c>
    </row>
    <row r="12406" spans="1:2" x14ac:dyDescent="0.25">
      <c r="A12406">
        <v>24518</v>
      </c>
      <c r="B12406">
        <v>0</v>
      </c>
    </row>
    <row r="12407" spans="1:2" x14ac:dyDescent="0.25">
      <c r="A12407">
        <v>24520</v>
      </c>
      <c r="B12407">
        <v>0</v>
      </c>
    </row>
    <row r="12408" spans="1:2" x14ac:dyDescent="0.25">
      <c r="A12408">
        <v>24522</v>
      </c>
      <c r="B12408">
        <v>0</v>
      </c>
    </row>
    <row r="12409" spans="1:2" x14ac:dyDescent="0.25">
      <c r="A12409">
        <v>24524</v>
      </c>
      <c r="B12409">
        <v>0</v>
      </c>
    </row>
    <row r="12410" spans="1:2" x14ac:dyDescent="0.25">
      <c r="A12410">
        <v>24526</v>
      </c>
      <c r="B12410">
        <v>0</v>
      </c>
    </row>
    <row r="12411" spans="1:2" x14ac:dyDescent="0.25">
      <c r="A12411">
        <v>24528</v>
      </c>
      <c r="B12411">
        <v>0</v>
      </c>
    </row>
    <row r="12412" spans="1:2" x14ac:dyDescent="0.25">
      <c r="A12412">
        <v>24530</v>
      </c>
      <c r="B12412">
        <v>0</v>
      </c>
    </row>
    <row r="12413" spans="1:2" x14ac:dyDescent="0.25">
      <c r="A12413">
        <v>24534</v>
      </c>
      <c r="B12413">
        <v>0</v>
      </c>
    </row>
    <row r="12414" spans="1:2" x14ac:dyDescent="0.25">
      <c r="A12414">
        <v>24536</v>
      </c>
      <c r="B12414">
        <v>0</v>
      </c>
    </row>
    <row r="12415" spans="1:2" x14ac:dyDescent="0.25">
      <c r="A12415">
        <v>24538</v>
      </c>
      <c r="B12415">
        <v>0</v>
      </c>
    </row>
    <row r="12416" spans="1:2" x14ac:dyDescent="0.25">
      <c r="A12416">
        <v>24540</v>
      </c>
      <c r="B12416">
        <v>0</v>
      </c>
    </row>
    <row r="12417" spans="1:2" x14ac:dyDescent="0.25">
      <c r="A12417">
        <v>24543</v>
      </c>
      <c r="B12417">
        <v>0</v>
      </c>
    </row>
    <row r="12418" spans="1:2" x14ac:dyDescent="0.25">
      <c r="A12418">
        <v>24544</v>
      </c>
      <c r="B12418">
        <v>0</v>
      </c>
    </row>
    <row r="12419" spans="1:2" x14ac:dyDescent="0.25">
      <c r="A12419">
        <v>24548</v>
      </c>
      <c r="B12419">
        <v>0</v>
      </c>
    </row>
    <row r="12420" spans="1:2" x14ac:dyDescent="0.25">
      <c r="A12420">
        <v>24550</v>
      </c>
      <c r="B12420">
        <v>0</v>
      </c>
    </row>
    <row r="12421" spans="1:2" x14ac:dyDescent="0.25">
      <c r="A12421">
        <v>24552</v>
      </c>
      <c r="B12421">
        <v>0</v>
      </c>
    </row>
    <row r="12422" spans="1:2" x14ac:dyDescent="0.25">
      <c r="A12422">
        <v>24555</v>
      </c>
      <c r="B12422">
        <v>0</v>
      </c>
    </row>
    <row r="12423" spans="1:2" x14ac:dyDescent="0.25">
      <c r="A12423">
        <v>24556</v>
      </c>
      <c r="B12423">
        <v>0</v>
      </c>
    </row>
    <row r="12424" spans="1:2" x14ac:dyDescent="0.25">
      <c r="A12424">
        <v>24558</v>
      </c>
      <c r="B12424">
        <v>0</v>
      </c>
    </row>
    <row r="12425" spans="1:2" x14ac:dyDescent="0.25">
      <c r="A12425">
        <v>24560</v>
      </c>
      <c r="B12425">
        <v>0</v>
      </c>
    </row>
    <row r="12426" spans="1:2" x14ac:dyDescent="0.25">
      <c r="A12426">
        <v>24563</v>
      </c>
      <c r="B12426">
        <v>0</v>
      </c>
    </row>
    <row r="12427" spans="1:2" x14ac:dyDescent="0.25">
      <c r="A12427">
        <v>24565</v>
      </c>
      <c r="B12427">
        <v>0</v>
      </c>
    </row>
    <row r="12428" spans="1:2" x14ac:dyDescent="0.25">
      <c r="A12428">
        <v>24566</v>
      </c>
      <c r="B12428">
        <v>0</v>
      </c>
    </row>
    <row r="12429" spans="1:2" x14ac:dyDescent="0.25">
      <c r="A12429">
        <v>24568</v>
      </c>
      <c r="B12429">
        <v>0</v>
      </c>
    </row>
    <row r="12430" spans="1:2" x14ac:dyDescent="0.25">
      <c r="A12430">
        <v>24570</v>
      </c>
      <c r="B12430">
        <v>0</v>
      </c>
    </row>
    <row r="12431" spans="1:2" x14ac:dyDescent="0.25">
      <c r="A12431">
        <v>24571</v>
      </c>
      <c r="B12431">
        <v>0</v>
      </c>
    </row>
    <row r="12432" spans="1:2" x14ac:dyDescent="0.25">
      <c r="A12432">
        <v>24572</v>
      </c>
      <c r="B12432">
        <v>0</v>
      </c>
    </row>
    <row r="12433" spans="1:2" x14ac:dyDescent="0.25">
      <c r="A12433">
        <v>24573</v>
      </c>
      <c r="B12433">
        <v>0</v>
      </c>
    </row>
    <row r="12434" spans="1:2" x14ac:dyDescent="0.25">
      <c r="A12434">
        <v>24574</v>
      </c>
      <c r="B12434">
        <v>0</v>
      </c>
    </row>
    <row r="12435" spans="1:2" x14ac:dyDescent="0.25">
      <c r="A12435">
        <v>24576</v>
      </c>
      <c r="B12435">
        <v>0</v>
      </c>
    </row>
    <row r="12436" spans="1:2" x14ac:dyDescent="0.25">
      <c r="A12436">
        <v>24577</v>
      </c>
      <c r="B12436">
        <v>0</v>
      </c>
    </row>
    <row r="12437" spans="1:2" x14ac:dyDescent="0.25">
      <c r="A12437">
        <v>24578</v>
      </c>
      <c r="B12437">
        <v>0</v>
      </c>
    </row>
    <row r="12438" spans="1:2" x14ac:dyDescent="0.25">
      <c r="A12438">
        <v>24579</v>
      </c>
      <c r="B12438">
        <v>0</v>
      </c>
    </row>
    <row r="12439" spans="1:2" x14ac:dyDescent="0.25">
      <c r="A12439">
        <v>24580</v>
      </c>
      <c r="B12439">
        <v>0</v>
      </c>
    </row>
    <row r="12440" spans="1:2" x14ac:dyDescent="0.25">
      <c r="A12440">
        <v>24581</v>
      </c>
      <c r="B12440">
        <v>0</v>
      </c>
    </row>
    <row r="12441" spans="1:2" x14ac:dyDescent="0.25">
      <c r="A12441">
        <v>24582</v>
      </c>
      <c r="B12441">
        <v>0</v>
      </c>
    </row>
    <row r="12442" spans="1:2" x14ac:dyDescent="0.25">
      <c r="A12442">
        <v>24583</v>
      </c>
      <c r="B12442">
        <v>0</v>
      </c>
    </row>
    <row r="12443" spans="1:2" x14ac:dyDescent="0.25">
      <c r="A12443">
        <v>24584</v>
      </c>
      <c r="B12443">
        <v>0</v>
      </c>
    </row>
    <row r="12444" spans="1:2" x14ac:dyDescent="0.25">
      <c r="A12444">
        <v>24585</v>
      </c>
      <c r="B12444">
        <v>0</v>
      </c>
    </row>
    <row r="12445" spans="1:2" x14ac:dyDescent="0.25">
      <c r="A12445">
        <v>24587</v>
      </c>
      <c r="B12445">
        <v>0</v>
      </c>
    </row>
    <row r="12446" spans="1:2" x14ac:dyDescent="0.25">
      <c r="A12446">
        <v>24588</v>
      </c>
      <c r="B12446">
        <v>0</v>
      </c>
    </row>
    <row r="12447" spans="1:2" x14ac:dyDescent="0.25">
      <c r="A12447">
        <v>24589</v>
      </c>
      <c r="B12447">
        <v>0</v>
      </c>
    </row>
    <row r="12448" spans="1:2" x14ac:dyDescent="0.25">
      <c r="A12448">
        <v>24590</v>
      </c>
      <c r="B12448">
        <v>0</v>
      </c>
    </row>
    <row r="12449" spans="1:2" x14ac:dyDescent="0.25">
      <c r="A12449">
        <v>24592</v>
      </c>
      <c r="B12449">
        <v>0</v>
      </c>
    </row>
    <row r="12450" spans="1:2" x14ac:dyDescent="0.25">
      <c r="A12450">
        <v>24593</v>
      </c>
      <c r="B12450">
        <v>0</v>
      </c>
    </row>
    <row r="12451" spans="1:2" x14ac:dyDescent="0.25">
      <c r="A12451">
        <v>24595</v>
      </c>
      <c r="B12451">
        <v>0</v>
      </c>
    </row>
    <row r="12452" spans="1:2" x14ac:dyDescent="0.25">
      <c r="A12452">
        <v>24597</v>
      </c>
      <c r="B12452">
        <v>0</v>
      </c>
    </row>
    <row r="12453" spans="1:2" x14ac:dyDescent="0.25">
      <c r="A12453">
        <v>24599</v>
      </c>
      <c r="B12453">
        <v>0</v>
      </c>
    </row>
    <row r="12454" spans="1:2" x14ac:dyDescent="0.25">
      <c r="A12454">
        <v>24603</v>
      </c>
      <c r="B12454">
        <v>0</v>
      </c>
    </row>
    <row r="12455" spans="1:2" x14ac:dyDescent="0.25">
      <c r="A12455">
        <v>24604</v>
      </c>
      <c r="B12455">
        <v>0</v>
      </c>
    </row>
    <row r="12456" spans="1:2" x14ac:dyDescent="0.25">
      <c r="A12456">
        <v>24605</v>
      </c>
      <c r="B12456">
        <v>0</v>
      </c>
    </row>
    <row r="12457" spans="1:2" x14ac:dyDescent="0.25">
      <c r="A12457">
        <v>24608</v>
      </c>
      <c r="B12457">
        <v>0</v>
      </c>
    </row>
    <row r="12458" spans="1:2" x14ac:dyDescent="0.25">
      <c r="A12458">
        <v>24609</v>
      </c>
      <c r="B12458">
        <v>0</v>
      </c>
    </row>
    <row r="12459" spans="1:2" x14ac:dyDescent="0.25">
      <c r="A12459">
        <v>24611</v>
      </c>
      <c r="B12459">
        <v>0</v>
      </c>
    </row>
    <row r="12460" spans="1:2" x14ac:dyDescent="0.25">
      <c r="A12460">
        <v>24613</v>
      </c>
      <c r="B12460">
        <v>0</v>
      </c>
    </row>
    <row r="12461" spans="1:2" x14ac:dyDescent="0.25">
      <c r="A12461">
        <v>24615</v>
      </c>
      <c r="B12461">
        <v>0</v>
      </c>
    </row>
    <row r="12462" spans="1:2" x14ac:dyDescent="0.25">
      <c r="A12462">
        <v>24617</v>
      </c>
      <c r="B12462">
        <v>0</v>
      </c>
    </row>
    <row r="12463" spans="1:2" x14ac:dyDescent="0.25">
      <c r="A12463">
        <v>24619</v>
      </c>
      <c r="B12463">
        <v>0</v>
      </c>
    </row>
    <row r="12464" spans="1:2" x14ac:dyDescent="0.25">
      <c r="A12464">
        <v>24621</v>
      </c>
      <c r="B12464">
        <v>0</v>
      </c>
    </row>
    <row r="12465" spans="1:2" x14ac:dyDescent="0.25">
      <c r="A12465">
        <v>24623</v>
      </c>
      <c r="B12465">
        <v>0</v>
      </c>
    </row>
    <row r="12466" spans="1:2" x14ac:dyDescent="0.25">
      <c r="A12466">
        <v>24625</v>
      </c>
      <c r="B12466">
        <v>0</v>
      </c>
    </row>
    <row r="12467" spans="1:2" x14ac:dyDescent="0.25">
      <c r="A12467">
        <v>24627</v>
      </c>
      <c r="B12467">
        <v>0</v>
      </c>
    </row>
    <row r="12468" spans="1:2" x14ac:dyDescent="0.25">
      <c r="A12468">
        <v>24629</v>
      </c>
      <c r="B12468">
        <v>0</v>
      </c>
    </row>
    <row r="12469" spans="1:2" x14ac:dyDescent="0.25">
      <c r="A12469">
        <v>24631</v>
      </c>
      <c r="B12469">
        <v>0</v>
      </c>
    </row>
    <row r="12470" spans="1:2" x14ac:dyDescent="0.25">
      <c r="A12470">
        <v>24632</v>
      </c>
      <c r="B12470">
        <v>0</v>
      </c>
    </row>
    <row r="12471" spans="1:2" x14ac:dyDescent="0.25">
      <c r="A12471">
        <v>24634</v>
      </c>
      <c r="B12471">
        <v>0</v>
      </c>
    </row>
    <row r="12472" spans="1:2" x14ac:dyDescent="0.25">
      <c r="A12472">
        <v>24636</v>
      </c>
      <c r="B12472">
        <v>0</v>
      </c>
    </row>
    <row r="12473" spans="1:2" x14ac:dyDescent="0.25">
      <c r="A12473">
        <v>24638</v>
      </c>
      <c r="B12473">
        <v>0</v>
      </c>
    </row>
    <row r="12474" spans="1:2" x14ac:dyDescent="0.25">
      <c r="A12474">
        <v>24639</v>
      </c>
      <c r="B12474">
        <v>0</v>
      </c>
    </row>
    <row r="12475" spans="1:2" x14ac:dyDescent="0.25">
      <c r="A12475">
        <v>24641</v>
      </c>
      <c r="B12475">
        <v>0</v>
      </c>
    </row>
    <row r="12476" spans="1:2" x14ac:dyDescent="0.25">
      <c r="A12476">
        <v>24643</v>
      </c>
      <c r="B12476">
        <v>0</v>
      </c>
    </row>
    <row r="12477" spans="1:2" x14ac:dyDescent="0.25">
      <c r="A12477">
        <v>24645</v>
      </c>
      <c r="B12477">
        <v>0</v>
      </c>
    </row>
    <row r="12478" spans="1:2" x14ac:dyDescent="0.25">
      <c r="A12478">
        <v>24648</v>
      </c>
      <c r="B12478">
        <v>0</v>
      </c>
    </row>
    <row r="12479" spans="1:2" x14ac:dyDescent="0.25">
      <c r="A12479">
        <v>24649</v>
      </c>
      <c r="B12479">
        <v>0</v>
      </c>
    </row>
    <row r="12480" spans="1:2" x14ac:dyDescent="0.25">
      <c r="A12480">
        <v>24652</v>
      </c>
      <c r="B12480">
        <v>0</v>
      </c>
    </row>
    <row r="12481" spans="1:2" x14ac:dyDescent="0.25">
      <c r="A12481">
        <v>24654</v>
      </c>
      <c r="B12481">
        <v>0</v>
      </c>
    </row>
    <row r="12482" spans="1:2" x14ac:dyDescent="0.25">
      <c r="A12482">
        <v>24656</v>
      </c>
      <c r="B12482">
        <v>0</v>
      </c>
    </row>
    <row r="12483" spans="1:2" x14ac:dyDescent="0.25">
      <c r="A12483">
        <v>24657</v>
      </c>
      <c r="B12483">
        <v>0</v>
      </c>
    </row>
    <row r="12484" spans="1:2" x14ac:dyDescent="0.25">
      <c r="A12484">
        <v>24659</v>
      </c>
      <c r="B12484">
        <v>0</v>
      </c>
    </row>
    <row r="12485" spans="1:2" x14ac:dyDescent="0.25">
      <c r="A12485">
        <v>24661</v>
      </c>
      <c r="B12485">
        <v>0</v>
      </c>
    </row>
    <row r="12486" spans="1:2" x14ac:dyDescent="0.25">
      <c r="A12486">
        <v>24663</v>
      </c>
      <c r="B12486">
        <v>0</v>
      </c>
    </row>
    <row r="12487" spans="1:2" x14ac:dyDescent="0.25">
      <c r="A12487">
        <v>24665</v>
      </c>
      <c r="B12487">
        <v>0</v>
      </c>
    </row>
    <row r="12488" spans="1:2" x14ac:dyDescent="0.25">
      <c r="A12488">
        <v>24674</v>
      </c>
      <c r="B12488">
        <v>0</v>
      </c>
    </row>
    <row r="12489" spans="1:2" x14ac:dyDescent="0.25">
      <c r="A12489">
        <v>24676</v>
      </c>
      <c r="B12489">
        <v>0</v>
      </c>
    </row>
    <row r="12490" spans="1:2" x14ac:dyDescent="0.25">
      <c r="A12490">
        <v>24678</v>
      </c>
      <c r="B12490">
        <v>0</v>
      </c>
    </row>
    <row r="12491" spans="1:2" x14ac:dyDescent="0.25">
      <c r="A12491">
        <v>24680</v>
      </c>
      <c r="B12491">
        <v>0</v>
      </c>
    </row>
    <row r="12492" spans="1:2" x14ac:dyDescent="0.25">
      <c r="A12492">
        <v>24682</v>
      </c>
      <c r="B12492">
        <v>0</v>
      </c>
    </row>
    <row r="12493" spans="1:2" x14ac:dyDescent="0.25">
      <c r="A12493">
        <v>24684</v>
      </c>
      <c r="B12493">
        <v>0</v>
      </c>
    </row>
    <row r="12494" spans="1:2" x14ac:dyDescent="0.25">
      <c r="A12494">
        <v>24686</v>
      </c>
      <c r="B12494">
        <v>0</v>
      </c>
    </row>
    <row r="12495" spans="1:2" x14ac:dyDescent="0.25">
      <c r="A12495">
        <v>24687</v>
      </c>
      <c r="B12495">
        <v>0</v>
      </c>
    </row>
    <row r="12496" spans="1:2" x14ac:dyDescent="0.25">
      <c r="A12496">
        <v>24688</v>
      </c>
      <c r="B12496">
        <v>0</v>
      </c>
    </row>
    <row r="12497" spans="1:2" x14ac:dyDescent="0.25">
      <c r="A12497">
        <v>24689</v>
      </c>
      <c r="B12497">
        <v>0</v>
      </c>
    </row>
    <row r="12498" spans="1:2" x14ac:dyDescent="0.25">
      <c r="A12498">
        <v>24690</v>
      </c>
      <c r="B12498">
        <v>0</v>
      </c>
    </row>
    <row r="12499" spans="1:2" x14ac:dyDescent="0.25">
      <c r="A12499">
        <v>24691</v>
      </c>
      <c r="B12499">
        <v>0</v>
      </c>
    </row>
    <row r="12500" spans="1:2" x14ac:dyDescent="0.25">
      <c r="A12500">
        <v>24693</v>
      </c>
      <c r="B12500">
        <v>0</v>
      </c>
    </row>
    <row r="12501" spans="1:2" x14ac:dyDescent="0.25">
      <c r="A12501">
        <v>24695</v>
      </c>
      <c r="B12501">
        <v>0</v>
      </c>
    </row>
    <row r="12502" spans="1:2" x14ac:dyDescent="0.25">
      <c r="A12502">
        <v>24697</v>
      </c>
      <c r="B12502">
        <v>0</v>
      </c>
    </row>
    <row r="12503" spans="1:2" x14ac:dyDescent="0.25">
      <c r="A12503">
        <v>24699</v>
      </c>
      <c r="B12503">
        <v>0</v>
      </c>
    </row>
    <row r="12504" spans="1:2" x14ac:dyDescent="0.25">
      <c r="A12504">
        <v>24701</v>
      </c>
      <c r="B12504">
        <v>0</v>
      </c>
    </row>
    <row r="12505" spans="1:2" x14ac:dyDescent="0.25">
      <c r="A12505">
        <v>24703</v>
      </c>
      <c r="B12505">
        <v>0</v>
      </c>
    </row>
    <row r="12506" spans="1:2" x14ac:dyDescent="0.25">
      <c r="A12506">
        <v>24705</v>
      </c>
      <c r="B12506">
        <v>0</v>
      </c>
    </row>
    <row r="12507" spans="1:2" x14ac:dyDescent="0.25">
      <c r="A12507">
        <v>24707</v>
      </c>
      <c r="B12507">
        <v>0</v>
      </c>
    </row>
    <row r="12508" spans="1:2" x14ac:dyDescent="0.25">
      <c r="A12508">
        <v>24710</v>
      </c>
      <c r="B12508">
        <v>0</v>
      </c>
    </row>
    <row r="12509" spans="1:2" x14ac:dyDescent="0.25">
      <c r="A12509">
        <v>24712</v>
      </c>
      <c r="B12509">
        <v>0</v>
      </c>
    </row>
    <row r="12510" spans="1:2" x14ac:dyDescent="0.25">
      <c r="A12510">
        <v>24713</v>
      </c>
      <c r="B12510">
        <v>0</v>
      </c>
    </row>
    <row r="12511" spans="1:2" x14ac:dyDescent="0.25">
      <c r="A12511">
        <v>24716</v>
      </c>
      <c r="B12511">
        <v>0</v>
      </c>
    </row>
    <row r="12512" spans="1:2" x14ac:dyDescent="0.25">
      <c r="A12512">
        <v>24717</v>
      </c>
      <c r="B12512">
        <v>0</v>
      </c>
    </row>
    <row r="12513" spans="1:2" x14ac:dyDescent="0.25">
      <c r="A12513">
        <v>24719</v>
      </c>
      <c r="B12513">
        <v>0</v>
      </c>
    </row>
    <row r="12514" spans="1:2" x14ac:dyDescent="0.25">
      <c r="A12514">
        <v>24721</v>
      </c>
      <c r="B12514">
        <v>0</v>
      </c>
    </row>
    <row r="12515" spans="1:2" x14ac:dyDescent="0.25">
      <c r="A12515">
        <v>24723</v>
      </c>
      <c r="B12515">
        <v>0</v>
      </c>
    </row>
    <row r="12516" spans="1:2" x14ac:dyDescent="0.25">
      <c r="A12516">
        <v>24724</v>
      </c>
      <c r="B12516">
        <v>0</v>
      </c>
    </row>
    <row r="12517" spans="1:2" x14ac:dyDescent="0.25">
      <c r="A12517">
        <v>24725</v>
      </c>
      <c r="B12517">
        <v>0</v>
      </c>
    </row>
    <row r="12518" spans="1:2" x14ac:dyDescent="0.25">
      <c r="A12518">
        <v>24726</v>
      </c>
      <c r="B12518">
        <v>0</v>
      </c>
    </row>
    <row r="12519" spans="1:2" x14ac:dyDescent="0.25">
      <c r="A12519">
        <v>24727</v>
      </c>
      <c r="B12519">
        <v>0</v>
      </c>
    </row>
    <row r="12520" spans="1:2" x14ac:dyDescent="0.25">
      <c r="A12520">
        <v>24728</v>
      </c>
      <c r="B12520">
        <v>0</v>
      </c>
    </row>
    <row r="12521" spans="1:2" x14ac:dyDescent="0.25">
      <c r="A12521">
        <v>24729</v>
      </c>
      <c r="B12521">
        <v>0</v>
      </c>
    </row>
    <row r="12522" spans="1:2" x14ac:dyDescent="0.25">
      <c r="A12522">
        <v>24730</v>
      </c>
      <c r="B12522">
        <v>0</v>
      </c>
    </row>
    <row r="12523" spans="1:2" x14ac:dyDescent="0.25">
      <c r="A12523">
        <v>24732</v>
      </c>
      <c r="B12523">
        <v>0</v>
      </c>
    </row>
    <row r="12524" spans="1:2" x14ac:dyDescent="0.25">
      <c r="A12524">
        <v>24734</v>
      </c>
      <c r="B12524">
        <v>0</v>
      </c>
    </row>
    <row r="12525" spans="1:2" x14ac:dyDescent="0.25">
      <c r="A12525">
        <v>24736</v>
      </c>
      <c r="B12525">
        <v>0</v>
      </c>
    </row>
    <row r="12526" spans="1:2" x14ac:dyDescent="0.25">
      <c r="A12526">
        <v>24738</v>
      </c>
      <c r="B12526">
        <v>0</v>
      </c>
    </row>
    <row r="12527" spans="1:2" x14ac:dyDescent="0.25">
      <c r="A12527">
        <v>24741</v>
      </c>
      <c r="B12527">
        <v>0</v>
      </c>
    </row>
    <row r="12528" spans="1:2" x14ac:dyDescent="0.25">
      <c r="A12528">
        <v>24742</v>
      </c>
      <c r="B12528">
        <v>0</v>
      </c>
    </row>
    <row r="12529" spans="1:2" x14ac:dyDescent="0.25">
      <c r="A12529">
        <v>24744</v>
      </c>
      <c r="B12529">
        <v>0</v>
      </c>
    </row>
    <row r="12530" spans="1:2" x14ac:dyDescent="0.25">
      <c r="A12530">
        <v>24745</v>
      </c>
      <c r="B12530">
        <v>0</v>
      </c>
    </row>
    <row r="12531" spans="1:2" x14ac:dyDescent="0.25">
      <c r="A12531">
        <v>24747</v>
      </c>
      <c r="B12531">
        <v>0</v>
      </c>
    </row>
    <row r="12532" spans="1:2" x14ac:dyDescent="0.25">
      <c r="A12532">
        <v>24749</v>
      </c>
      <c r="B12532">
        <v>0</v>
      </c>
    </row>
    <row r="12533" spans="1:2" x14ac:dyDescent="0.25">
      <c r="A12533">
        <v>24751</v>
      </c>
      <c r="B12533">
        <v>0</v>
      </c>
    </row>
    <row r="12534" spans="1:2" x14ac:dyDescent="0.25">
      <c r="A12534">
        <v>24753</v>
      </c>
      <c r="B12534">
        <v>0</v>
      </c>
    </row>
    <row r="12535" spans="1:2" x14ac:dyDescent="0.25">
      <c r="A12535">
        <v>24755</v>
      </c>
      <c r="B12535">
        <v>0</v>
      </c>
    </row>
    <row r="12536" spans="1:2" x14ac:dyDescent="0.25">
      <c r="A12536">
        <v>24757</v>
      </c>
      <c r="B12536">
        <v>0</v>
      </c>
    </row>
    <row r="12537" spans="1:2" x14ac:dyDescent="0.25">
      <c r="A12537">
        <v>24759</v>
      </c>
      <c r="B12537">
        <v>0</v>
      </c>
    </row>
    <row r="12538" spans="1:2" x14ac:dyDescent="0.25">
      <c r="A12538">
        <v>24761</v>
      </c>
      <c r="B12538">
        <v>0</v>
      </c>
    </row>
    <row r="12539" spans="1:2" x14ac:dyDescent="0.25">
      <c r="A12539">
        <v>24763</v>
      </c>
      <c r="B12539">
        <v>0</v>
      </c>
    </row>
    <row r="12540" spans="1:2" x14ac:dyDescent="0.25">
      <c r="A12540">
        <v>24765</v>
      </c>
      <c r="B12540">
        <v>0</v>
      </c>
    </row>
    <row r="12541" spans="1:2" x14ac:dyDescent="0.25">
      <c r="A12541">
        <v>24767</v>
      </c>
      <c r="B12541">
        <v>0</v>
      </c>
    </row>
    <row r="12542" spans="1:2" x14ac:dyDescent="0.25">
      <c r="A12542">
        <v>24769</v>
      </c>
      <c r="B12542">
        <v>0</v>
      </c>
    </row>
    <row r="12543" spans="1:2" x14ac:dyDescent="0.25">
      <c r="A12543">
        <v>24771</v>
      </c>
      <c r="B12543">
        <v>0</v>
      </c>
    </row>
    <row r="12544" spans="1:2" x14ac:dyDescent="0.25">
      <c r="A12544">
        <v>24773</v>
      </c>
      <c r="B12544">
        <v>0</v>
      </c>
    </row>
    <row r="12545" spans="1:2" x14ac:dyDescent="0.25">
      <c r="A12545">
        <v>24806</v>
      </c>
      <c r="B12545">
        <v>0</v>
      </c>
    </row>
    <row r="12546" spans="1:2" x14ac:dyDescent="0.25">
      <c r="A12546">
        <v>24808</v>
      </c>
      <c r="B12546">
        <v>0</v>
      </c>
    </row>
    <row r="12547" spans="1:2" x14ac:dyDescent="0.25">
      <c r="A12547">
        <v>24810</v>
      </c>
      <c r="B12547">
        <v>0</v>
      </c>
    </row>
    <row r="12548" spans="1:2" x14ac:dyDescent="0.25">
      <c r="A12548">
        <v>24812</v>
      </c>
      <c r="B12548">
        <v>0</v>
      </c>
    </row>
    <row r="12549" spans="1:2" x14ac:dyDescent="0.25">
      <c r="A12549">
        <v>24815</v>
      </c>
      <c r="B12549">
        <v>0</v>
      </c>
    </row>
    <row r="12550" spans="1:2" x14ac:dyDescent="0.25">
      <c r="A12550">
        <v>24816</v>
      </c>
      <c r="B12550">
        <v>0</v>
      </c>
    </row>
    <row r="12551" spans="1:2" x14ac:dyDescent="0.25">
      <c r="A12551">
        <v>24818</v>
      </c>
      <c r="B12551">
        <v>0</v>
      </c>
    </row>
    <row r="12552" spans="1:2" x14ac:dyDescent="0.25">
      <c r="A12552">
        <v>24819</v>
      </c>
      <c r="B12552">
        <v>0</v>
      </c>
    </row>
    <row r="12553" spans="1:2" x14ac:dyDescent="0.25">
      <c r="A12553">
        <v>24821</v>
      </c>
      <c r="B12553">
        <v>0</v>
      </c>
    </row>
    <row r="12554" spans="1:2" x14ac:dyDescent="0.25">
      <c r="A12554">
        <v>24823</v>
      </c>
      <c r="B12554">
        <v>0</v>
      </c>
    </row>
    <row r="12555" spans="1:2" x14ac:dyDescent="0.25">
      <c r="A12555">
        <v>24825</v>
      </c>
      <c r="B12555">
        <v>0</v>
      </c>
    </row>
    <row r="12556" spans="1:2" x14ac:dyDescent="0.25">
      <c r="A12556">
        <v>24827</v>
      </c>
      <c r="B12556">
        <v>0</v>
      </c>
    </row>
    <row r="12557" spans="1:2" x14ac:dyDescent="0.25">
      <c r="A12557">
        <v>24829</v>
      </c>
      <c r="B12557">
        <v>0</v>
      </c>
    </row>
    <row r="12558" spans="1:2" x14ac:dyDescent="0.25">
      <c r="A12558">
        <v>24832</v>
      </c>
      <c r="B12558">
        <v>0</v>
      </c>
    </row>
    <row r="12559" spans="1:2" x14ac:dyDescent="0.25">
      <c r="A12559">
        <v>24834</v>
      </c>
      <c r="B12559">
        <v>0</v>
      </c>
    </row>
    <row r="12560" spans="1:2" x14ac:dyDescent="0.25">
      <c r="A12560">
        <v>24837</v>
      </c>
      <c r="B12560">
        <v>0</v>
      </c>
    </row>
    <row r="12561" spans="1:2" x14ac:dyDescent="0.25">
      <c r="A12561">
        <v>24838</v>
      </c>
      <c r="B12561">
        <v>0</v>
      </c>
    </row>
    <row r="12562" spans="1:2" x14ac:dyDescent="0.25">
      <c r="A12562">
        <v>24896</v>
      </c>
      <c r="B12562">
        <v>0</v>
      </c>
    </row>
    <row r="12563" spans="1:2" x14ac:dyDescent="0.25">
      <c r="A12563">
        <v>24897</v>
      </c>
      <c r="B12563">
        <v>0</v>
      </c>
    </row>
    <row r="12564" spans="1:2" x14ac:dyDescent="0.25">
      <c r="A12564">
        <v>24898</v>
      </c>
      <c r="B12564">
        <v>0</v>
      </c>
    </row>
    <row r="12565" spans="1:2" x14ac:dyDescent="0.25">
      <c r="A12565">
        <v>24899</v>
      </c>
      <c r="B12565">
        <v>0</v>
      </c>
    </row>
    <row r="12566" spans="1:2" x14ac:dyDescent="0.25">
      <c r="A12566">
        <v>24900</v>
      </c>
      <c r="B12566">
        <v>0</v>
      </c>
    </row>
    <row r="12567" spans="1:2" x14ac:dyDescent="0.25">
      <c r="A12567">
        <v>24903</v>
      </c>
      <c r="B12567">
        <v>0</v>
      </c>
    </row>
    <row r="12568" spans="1:2" x14ac:dyDescent="0.25">
      <c r="A12568">
        <v>24904</v>
      </c>
      <c r="B12568">
        <v>0</v>
      </c>
    </row>
    <row r="12569" spans="1:2" x14ac:dyDescent="0.25">
      <c r="A12569">
        <v>24906</v>
      </c>
      <c r="B12569">
        <v>0</v>
      </c>
    </row>
    <row r="12570" spans="1:2" x14ac:dyDescent="0.25">
      <c r="A12570">
        <v>24908</v>
      </c>
      <c r="B12570">
        <v>0</v>
      </c>
    </row>
    <row r="12571" spans="1:2" x14ac:dyDescent="0.25">
      <c r="A12571">
        <v>24912</v>
      </c>
      <c r="B12571">
        <v>0</v>
      </c>
    </row>
    <row r="12572" spans="1:2" x14ac:dyDescent="0.25">
      <c r="A12572">
        <v>24913</v>
      </c>
      <c r="B12572">
        <v>0</v>
      </c>
    </row>
    <row r="12573" spans="1:2" x14ac:dyDescent="0.25">
      <c r="A12573">
        <v>24916</v>
      </c>
      <c r="B12573">
        <v>0</v>
      </c>
    </row>
    <row r="12574" spans="1:2" x14ac:dyDescent="0.25">
      <c r="A12574">
        <v>24917</v>
      </c>
      <c r="B12574">
        <v>0</v>
      </c>
    </row>
    <row r="12575" spans="1:2" x14ac:dyDescent="0.25">
      <c r="A12575">
        <v>24919</v>
      </c>
      <c r="B12575">
        <v>0</v>
      </c>
    </row>
    <row r="12576" spans="1:2" x14ac:dyDescent="0.25">
      <c r="A12576">
        <v>24920</v>
      </c>
      <c r="B12576">
        <v>0</v>
      </c>
    </row>
    <row r="12577" spans="1:2" x14ac:dyDescent="0.25">
      <c r="A12577">
        <v>24921</v>
      </c>
      <c r="B12577">
        <v>0</v>
      </c>
    </row>
    <row r="12578" spans="1:2" x14ac:dyDescent="0.25">
      <c r="A12578">
        <v>24923</v>
      </c>
      <c r="B12578">
        <v>0</v>
      </c>
    </row>
    <row r="12579" spans="1:2" x14ac:dyDescent="0.25">
      <c r="A12579">
        <v>24925</v>
      </c>
      <c r="B12579">
        <v>0</v>
      </c>
    </row>
    <row r="12580" spans="1:2" x14ac:dyDescent="0.25">
      <c r="A12580">
        <v>24926</v>
      </c>
      <c r="B12580">
        <v>0</v>
      </c>
    </row>
    <row r="12581" spans="1:2" x14ac:dyDescent="0.25">
      <c r="A12581">
        <v>24927</v>
      </c>
      <c r="B12581">
        <v>0</v>
      </c>
    </row>
    <row r="12582" spans="1:2" x14ac:dyDescent="0.25">
      <c r="A12582">
        <v>24929</v>
      </c>
      <c r="B12582">
        <v>0</v>
      </c>
    </row>
    <row r="12583" spans="1:2" x14ac:dyDescent="0.25">
      <c r="A12583">
        <v>24931</v>
      </c>
      <c r="B12583">
        <v>0</v>
      </c>
    </row>
    <row r="12584" spans="1:2" x14ac:dyDescent="0.25">
      <c r="A12584">
        <v>24933</v>
      </c>
      <c r="B12584">
        <v>0</v>
      </c>
    </row>
    <row r="12585" spans="1:2" x14ac:dyDescent="0.25">
      <c r="A12585">
        <v>24935</v>
      </c>
      <c r="B12585">
        <v>0</v>
      </c>
    </row>
    <row r="12586" spans="1:2" x14ac:dyDescent="0.25">
      <c r="A12586">
        <v>24938</v>
      </c>
      <c r="B12586">
        <v>0</v>
      </c>
    </row>
    <row r="12587" spans="1:2" x14ac:dyDescent="0.25">
      <c r="A12587">
        <v>24940</v>
      </c>
      <c r="B12587">
        <v>0</v>
      </c>
    </row>
    <row r="12588" spans="1:2" x14ac:dyDescent="0.25">
      <c r="A12588">
        <v>24941</v>
      </c>
      <c r="B12588">
        <v>0</v>
      </c>
    </row>
    <row r="12589" spans="1:2" x14ac:dyDescent="0.25">
      <c r="A12589">
        <v>24943</v>
      </c>
      <c r="B12589">
        <v>0</v>
      </c>
    </row>
    <row r="12590" spans="1:2" x14ac:dyDescent="0.25">
      <c r="A12590">
        <v>24944</v>
      </c>
      <c r="B12590">
        <v>0</v>
      </c>
    </row>
    <row r="12591" spans="1:2" x14ac:dyDescent="0.25">
      <c r="A12591">
        <v>24946</v>
      </c>
      <c r="B12591">
        <v>0</v>
      </c>
    </row>
    <row r="12592" spans="1:2" x14ac:dyDescent="0.25">
      <c r="A12592">
        <v>24947</v>
      </c>
      <c r="B12592">
        <v>0</v>
      </c>
    </row>
    <row r="12593" spans="1:2" x14ac:dyDescent="0.25">
      <c r="A12593">
        <v>24948</v>
      </c>
      <c r="B12593">
        <v>0</v>
      </c>
    </row>
    <row r="12594" spans="1:2" x14ac:dyDescent="0.25">
      <c r="A12594">
        <v>24949</v>
      </c>
      <c r="B12594">
        <v>0</v>
      </c>
    </row>
    <row r="12595" spans="1:2" x14ac:dyDescent="0.25">
      <c r="A12595">
        <v>24950</v>
      </c>
      <c r="B12595">
        <v>0</v>
      </c>
    </row>
    <row r="12596" spans="1:2" x14ac:dyDescent="0.25">
      <c r="A12596">
        <v>24951</v>
      </c>
      <c r="B12596">
        <v>0</v>
      </c>
    </row>
    <row r="12597" spans="1:2" x14ac:dyDescent="0.25">
      <c r="A12597">
        <v>24955</v>
      </c>
      <c r="B12597">
        <v>0</v>
      </c>
    </row>
    <row r="12598" spans="1:2" x14ac:dyDescent="0.25">
      <c r="A12598">
        <v>24957</v>
      </c>
      <c r="B12598">
        <v>0</v>
      </c>
    </row>
    <row r="12599" spans="1:2" x14ac:dyDescent="0.25">
      <c r="A12599">
        <v>24958</v>
      </c>
      <c r="B12599">
        <v>0</v>
      </c>
    </row>
    <row r="12600" spans="1:2" x14ac:dyDescent="0.25">
      <c r="A12600">
        <v>24959</v>
      </c>
      <c r="B12600">
        <v>0</v>
      </c>
    </row>
    <row r="12601" spans="1:2" x14ac:dyDescent="0.25">
      <c r="A12601">
        <v>24960</v>
      </c>
      <c r="B12601">
        <v>0</v>
      </c>
    </row>
    <row r="12602" spans="1:2" x14ac:dyDescent="0.25">
      <c r="A12602">
        <v>24961</v>
      </c>
      <c r="B12602">
        <v>0</v>
      </c>
    </row>
    <row r="12603" spans="1:2" x14ac:dyDescent="0.25">
      <c r="A12603">
        <v>24962</v>
      </c>
      <c r="B12603">
        <v>0</v>
      </c>
    </row>
    <row r="12604" spans="1:2" x14ac:dyDescent="0.25">
      <c r="A12604">
        <v>24964</v>
      </c>
      <c r="B12604">
        <v>0</v>
      </c>
    </row>
    <row r="12605" spans="1:2" x14ac:dyDescent="0.25">
      <c r="A12605">
        <v>24965</v>
      </c>
      <c r="B12605">
        <v>0</v>
      </c>
    </row>
    <row r="12606" spans="1:2" x14ac:dyDescent="0.25">
      <c r="A12606">
        <v>24967</v>
      </c>
      <c r="B12606">
        <v>0</v>
      </c>
    </row>
    <row r="12607" spans="1:2" x14ac:dyDescent="0.25">
      <c r="A12607">
        <v>24969</v>
      </c>
      <c r="B12607">
        <v>0</v>
      </c>
    </row>
    <row r="12608" spans="1:2" x14ac:dyDescent="0.25">
      <c r="A12608">
        <v>24971</v>
      </c>
      <c r="B12608">
        <v>0</v>
      </c>
    </row>
    <row r="12609" spans="1:2" x14ac:dyDescent="0.25">
      <c r="A12609">
        <v>24972</v>
      </c>
      <c r="B12609">
        <v>0</v>
      </c>
    </row>
    <row r="12610" spans="1:2" x14ac:dyDescent="0.25">
      <c r="A12610">
        <v>24974</v>
      </c>
      <c r="B12610">
        <v>0</v>
      </c>
    </row>
    <row r="12611" spans="1:2" x14ac:dyDescent="0.25">
      <c r="A12611">
        <v>24976</v>
      </c>
      <c r="B12611">
        <v>0</v>
      </c>
    </row>
    <row r="12612" spans="1:2" x14ac:dyDescent="0.25">
      <c r="A12612">
        <v>24978</v>
      </c>
      <c r="B12612">
        <v>0</v>
      </c>
    </row>
    <row r="12613" spans="1:2" x14ac:dyDescent="0.25">
      <c r="A12613">
        <v>24979</v>
      </c>
      <c r="B12613">
        <v>0</v>
      </c>
    </row>
    <row r="12614" spans="1:2" x14ac:dyDescent="0.25">
      <c r="A12614">
        <v>24980</v>
      </c>
      <c r="B12614">
        <v>0</v>
      </c>
    </row>
    <row r="12615" spans="1:2" x14ac:dyDescent="0.25">
      <c r="A12615">
        <v>24981</v>
      </c>
      <c r="B12615">
        <v>0</v>
      </c>
    </row>
    <row r="12616" spans="1:2" x14ac:dyDescent="0.25">
      <c r="A12616">
        <v>24982</v>
      </c>
      <c r="B12616">
        <v>0</v>
      </c>
    </row>
    <row r="12617" spans="1:2" x14ac:dyDescent="0.25">
      <c r="A12617">
        <v>24983</v>
      </c>
      <c r="B12617">
        <v>0</v>
      </c>
    </row>
    <row r="12618" spans="1:2" x14ac:dyDescent="0.25">
      <c r="A12618">
        <v>24984</v>
      </c>
      <c r="B12618">
        <v>0</v>
      </c>
    </row>
    <row r="12619" spans="1:2" x14ac:dyDescent="0.25">
      <c r="A12619">
        <v>24985</v>
      </c>
      <c r="B12619">
        <v>0</v>
      </c>
    </row>
    <row r="12620" spans="1:2" x14ac:dyDescent="0.25">
      <c r="A12620">
        <v>24986</v>
      </c>
      <c r="B12620">
        <v>0</v>
      </c>
    </row>
    <row r="12621" spans="1:2" x14ac:dyDescent="0.25">
      <c r="A12621">
        <v>24987</v>
      </c>
      <c r="B12621">
        <v>0</v>
      </c>
    </row>
    <row r="12622" spans="1:2" x14ac:dyDescent="0.25">
      <c r="A12622">
        <v>24988</v>
      </c>
      <c r="B12622">
        <v>0</v>
      </c>
    </row>
    <row r="12623" spans="1:2" x14ac:dyDescent="0.25">
      <c r="A12623">
        <v>24989</v>
      </c>
      <c r="B12623">
        <v>0</v>
      </c>
    </row>
    <row r="12624" spans="1:2" x14ac:dyDescent="0.25">
      <c r="A12624">
        <v>24990</v>
      </c>
      <c r="B12624">
        <v>0</v>
      </c>
    </row>
    <row r="12625" spans="1:2" x14ac:dyDescent="0.25">
      <c r="A12625">
        <v>24992</v>
      </c>
      <c r="B12625">
        <v>0</v>
      </c>
    </row>
    <row r="12626" spans="1:2" x14ac:dyDescent="0.25">
      <c r="A12626">
        <v>24993</v>
      </c>
      <c r="B12626">
        <v>0</v>
      </c>
    </row>
    <row r="12627" spans="1:2" x14ac:dyDescent="0.25">
      <c r="A12627">
        <v>24994</v>
      </c>
      <c r="B12627">
        <v>0</v>
      </c>
    </row>
    <row r="12628" spans="1:2" x14ac:dyDescent="0.25">
      <c r="A12628">
        <v>24995</v>
      </c>
      <c r="B12628">
        <v>0</v>
      </c>
    </row>
    <row r="12629" spans="1:2" x14ac:dyDescent="0.25">
      <c r="A12629">
        <v>24996</v>
      </c>
      <c r="B12629">
        <v>0</v>
      </c>
    </row>
    <row r="12630" spans="1:2" x14ac:dyDescent="0.25">
      <c r="A12630">
        <v>24997</v>
      </c>
      <c r="B12630">
        <v>0</v>
      </c>
    </row>
    <row r="12631" spans="1:2" x14ac:dyDescent="0.25">
      <c r="A12631">
        <v>24998</v>
      </c>
      <c r="B12631">
        <v>0</v>
      </c>
    </row>
    <row r="12632" spans="1:2" x14ac:dyDescent="0.25">
      <c r="A12632">
        <v>24999</v>
      </c>
      <c r="B12632">
        <v>0</v>
      </c>
    </row>
    <row r="12633" spans="1:2" x14ac:dyDescent="0.25">
      <c r="A12633">
        <v>25000</v>
      </c>
      <c r="B12633">
        <v>0</v>
      </c>
    </row>
    <row r="12634" spans="1:2" x14ac:dyDescent="0.25">
      <c r="A12634">
        <v>25001</v>
      </c>
      <c r="B12634">
        <v>0</v>
      </c>
    </row>
    <row r="12635" spans="1:2" x14ac:dyDescent="0.25">
      <c r="A12635">
        <v>25002</v>
      </c>
      <c r="B12635">
        <v>0</v>
      </c>
    </row>
    <row r="12636" spans="1:2" x14ac:dyDescent="0.25">
      <c r="A12636">
        <v>25003</v>
      </c>
      <c r="B12636">
        <v>0</v>
      </c>
    </row>
    <row r="12637" spans="1:2" x14ac:dyDescent="0.25">
      <c r="A12637">
        <v>25004</v>
      </c>
      <c r="B12637">
        <v>0</v>
      </c>
    </row>
    <row r="12638" spans="1:2" x14ac:dyDescent="0.25">
      <c r="A12638">
        <v>25005</v>
      </c>
      <c r="B12638">
        <v>0</v>
      </c>
    </row>
    <row r="12639" spans="1:2" x14ac:dyDescent="0.25">
      <c r="A12639">
        <v>25006</v>
      </c>
      <c r="B12639">
        <v>0</v>
      </c>
    </row>
    <row r="12640" spans="1:2" x14ac:dyDescent="0.25">
      <c r="A12640">
        <v>25007</v>
      </c>
      <c r="B12640">
        <v>0</v>
      </c>
    </row>
    <row r="12641" spans="1:2" x14ac:dyDescent="0.25">
      <c r="A12641">
        <v>25008</v>
      </c>
      <c r="B12641">
        <v>0</v>
      </c>
    </row>
    <row r="12642" spans="1:2" x14ac:dyDescent="0.25">
      <c r="A12642">
        <v>25009</v>
      </c>
      <c r="B12642">
        <v>0</v>
      </c>
    </row>
    <row r="12643" spans="1:2" x14ac:dyDescent="0.25">
      <c r="A12643">
        <v>25013</v>
      </c>
      <c r="B12643">
        <v>0</v>
      </c>
    </row>
    <row r="12644" spans="1:2" x14ac:dyDescent="0.25">
      <c r="A12644">
        <v>25015</v>
      </c>
      <c r="B12644">
        <v>0</v>
      </c>
    </row>
    <row r="12645" spans="1:2" x14ac:dyDescent="0.25">
      <c r="A12645">
        <v>25017</v>
      </c>
      <c r="B12645">
        <v>0</v>
      </c>
    </row>
    <row r="12646" spans="1:2" x14ac:dyDescent="0.25">
      <c r="A12646">
        <v>25018</v>
      </c>
      <c r="B12646">
        <v>0</v>
      </c>
    </row>
    <row r="12647" spans="1:2" x14ac:dyDescent="0.25">
      <c r="A12647">
        <v>25020</v>
      </c>
      <c r="B12647">
        <v>0</v>
      </c>
    </row>
    <row r="12648" spans="1:2" x14ac:dyDescent="0.25">
      <c r="A12648">
        <v>25022</v>
      </c>
      <c r="B12648">
        <v>0</v>
      </c>
    </row>
    <row r="12649" spans="1:2" x14ac:dyDescent="0.25">
      <c r="A12649">
        <v>25024</v>
      </c>
      <c r="B12649">
        <v>0</v>
      </c>
    </row>
    <row r="12650" spans="1:2" x14ac:dyDescent="0.25">
      <c r="A12650">
        <v>25026</v>
      </c>
      <c r="B12650">
        <v>0</v>
      </c>
    </row>
    <row r="12651" spans="1:2" x14ac:dyDescent="0.25">
      <c r="A12651">
        <v>25028</v>
      </c>
      <c r="B12651">
        <v>0</v>
      </c>
    </row>
    <row r="12652" spans="1:2" x14ac:dyDescent="0.25">
      <c r="A12652">
        <v>25029</v>
      </c>
      <c r="B12652">
        <v>0</v>
      </c>
    </row>
    <row r="12653" spans="1:2" x14ac:dyDescent="0.25">
      <c r="A12653">
        <v>25031</v>
      </c>
      <c r="B12653">
        <v>0</v>
      </c>
    </row>
    <row r="12654" spans="1:2" x14ac:dyDescent="0.25">
      <c r="A12654">
        <v>25033</v>
      </c>
      <c r="B12654">
        <v>0</v>
      </c>
    </row>
    <row r="12655" spans="1:2" x14ac:dyDescent="0.25">
      <c r="A12655">
        <v>25037</v>
      </c>
      <c r="B12655">
        <v>0</v>
      </c>
    </row>
    <row r="12656" spans="1:2" x14ac:dyDescent="0.25">
      <c r="A12656">
        <v>25038</v>
      </c>
      <c r="B12656">
        <v>0</v>
      </c>
    </row>
    <row r="12657" spans="1:2" x14ac:dyDescent="0.25">
      <c r="A12657">
        <v>25040</v>
      </c>
      <c r="B12657">
        <v>0</v>
      </c>
    </row>
    <row r="12658" spans="1:2" x14ac:dyDescent="0.25">
      <c r="A12658">
        <v>25041</v>
      </c>
      <c r="B12658">
        <v>0</v>
      </c>
    </row>
    <row r="12659" spans="1:2" x14ac:dyDescent="0.25">
      <c r="A12659">
        <v>25042</v>
      </c>
      <c r="B12659">
        <v>0</v>
      </c>
    </row>
    <row r="12660" spans="1:2" x14ac:dyDescent="0.25">
      <c r="A12660">
        <v>25044</v>
      </c>
      <c r="B12660">
        <v>0</v>
      </c>
    </row>
    <row r="12661" spans="1:2" x14ac:dyDescent="0.25">
      <c r="A12661">
        <v>25046</v>
      </c>
      <c r="B12661">
        <v>0</v>
      </c>
    </row>
    <row r="12662" spans="1:2" x14ac:dyDescent="0.25">
      <c r="A12662">
        <v>25047</v>
      </c>
      <c r="B12662">
        <v>0</v>
      </c>
    </row>
    <row r="12663" spans="1:2" x14ac:dyDescent="0.25">
      <c r="A12663">
        <v>25049</v>
      </c>
      <c r="B12663">
        <v>0</v>
      </c>
    </row>
    <row r="12664" spans="1:2" x14ac:dyDescent="0.25">
      <c r="A12664">
        <v>25050</v>
      </c>
      <c r="B12664">
        <v>0</v>
      </c>
    </row>
    <row r="12665" spans="1:2" x14ac:dyDescent="0.25">
      <c r="A12665">
        <v>25051</v>
      </c>
      <c r="B12665">
        <v>0</v>
      </c>
    </row>
    <row r="12666" spans="1:2" x14ac:dyDescent="0.25">
      <c r="A12666">
        <v>25052</v>
      </c>
      <c r="B12666">
        <v>0</v>
      </c>
    </row>
    <row r="12667" spans="1:2" x14ac:dyDescent="0.25">
      <c r="A12667">
        <v>25053</v>
      </c>
      <c r="B12667">
        <v>0</v>
      </c>
    </row>
    <row r="12668" spans="1:2" x14ac:dyDescent="0.25">
      <c r="A12668">
        <v>25055</v>
      </c>
      <c r="B12668">
        <v>0</v>
      </c>
    </row>
    <row r="12669" spans="1:2" x14ac:dyDescent="0.25">
      <c r="A12669">
        <v>25057</v>
      </c>
      <c r="B12669">
        <v>0</v>
      </c>
    </row>
    <row r="12670" spans="1:2" x14ac:dyDescent="0.25">
      <c r="A12670">
        <v>25059</v>
      </c>
      <c r="B12670">
        <v>0</v>
      </c>
    </row>
    <row r="12671" spans="1:2" x14ac:dyDescent="0.25">
      <c r="A12671">
        <v>25062</v>
      </c>
      <c r="B12671">
        <v>0</v>
      </c>
    </row>
    <row r="12672" spans="1:2" x14ac:dyDescent="0.25">
      <c r="A12672">
        <v>25063</v>
      </c>
      <c r="B12672">
        <v>0</v>
      </c>
    </row>
    <row r="12673" spans="1:2" x14ac:dyDescent="0.25">
      <c r="A12673">
        <v>25065</v>
      </c>
      <c r="B12673">
        <v>0</v>
      </c>
    </row>
    <row r="12674" spans="1:2" x14ac:dyDescent="0.25">
      <c r="A12674">
        <v>25067</v>
      </c>
      <c r="B12674">
        <v>0</v>
      </c>
    </row>
    <row r="12675" spans="1:2" x14ac:dyDescent="0.25">
      <c r="A12675">
        <v>25069</v>
      </c>
      <c r="B12675">
        <v>0</v>
      </c>
    </row>
    <row r="12676" spans="1:2" x14ac:dyDescent="0.25">
      <c r="A12676">
        <v>25071</v>
      </c>
      <c r="B12676">
        <v>0</v>
      </c>
    </row>
    <row r="12677" spans="1:2" x14ac:dyDescent="0.25">
      <c r="A12677">
        <v>25072</v>
      </c>
      <c r="B12677">
        <v>0</v>
      </c>
    </row>
    <row r="12678" spans="1:2" x14ac:dyDescent="0.25">
      <c r="A12678">
        <v>25073</v>
      </c>
      <c r="B12678">
        <v>0</v>
      </c>
    </row>
    <row r="12679" spans="1:2" x14ac:dyDescent="0.25">
      <c r="A12679">
        <v>25075</v>
      </c>
      <c r="B12679">
        <v>0</v>
      </c>
    </row>
    <row r="12680" spans="1:2" x14ac:dyDescent="0.25">
      <c r="A12680">
        <v>25076</v>
      </c>
      <c r="B12680">
        <v>0</v>
      </c>
    </row>
    <row r="12681" spans="1:2" x14ac:dyDescent="0.25">
      <c r="A12681">
        <v>25078</v>
      </c>
      <c r="B12681">
        <v>0</v>
      </c>
    </row>
    <row r="12682" spans="1:2" x14ac:dyDescent="0.25">
      <c r="A12682">
        <v>25080</v>
      </c>
      <c r="B12682">
        <v>0</v>
      </c>
    </row>
    <row r="12683" spans="1:2" x14ac:dyDescent="0.25">
      <c r="A12683">
        <v>25082</v>
      </c>
      <c r="B12683">
        <v>0</v>
      </c>
    </row>
    <row r="12684" spans="1:2" x14ac:dyDescent="0.25">
      <c r="A12684">
        <v>25084</v>
      </c>
      <c r="B12684">
        <v>0</v>
      </c>
    </row>
    <row r="12685" spans="1:2" x14ac:dyDescent="0.25">
      <c r="A12685">
        <v>25086</v>
      </c>
      <c r="B12685">
        <v>0</v>
      </c>
    </row>
    <row r="12686" spans="1:2" x14ac:dyDescent="0.25">
      <c r="A12686">
        <v>25088</v>
      </c>
      <c r="B12686">
        <v>0</v>
      </c>
    </row>
    <row r="12687" spans="1:2" x14ac:dyDescent="0.25">
      <c r="A12687">
        <v>25090</v>
      </c>
      <c r="B12687">
        <v>0</v>
      </c>
    </row>
    <row r="12688" spans="1:2" x14ac:dyDescent="0.25">
      <c r="A12688">
        <v>25092</v>
      </c>
      <c r="B12688">
        <v>0</v>
      </c>
    </row>
    <row r="12689" spans="1:2" x14ac:dyDescent="0.25">
      <c r="A12689">
        <v>25094</v>
      </c>
      <c r="B12689">
        <v>0</v>
      </c>
    </row>
    <row r="12690" spans="1:2" x14ac:dyDescent="0.25">
      <c r="A12690">
        <v>25096</v>
      </c>
      <c r="B12690">
        <v>0</v>
      </c>
    </row>
    <row r="12691" spans="1:2" x14ac:dyDescent="0.25">
      <c r="A12691">
        <v>25098</v>
      </c>
      <c r="B12691">
        <v>0</v>
      </c>
    </row>
    <row r="12692" spans="1:2" x14ac:dyDescent="0.25">
      <c r="A12692">
        <v>25100</v>
      </c>
      <c r="B12692">
        <v>0</v>
      </c>
    </row>
    <row r="12693" spans="1:2" x14ac:dyDescent="0.25">
      <c r="A12693">
        <v>25103</v>
      </c>
      <c r="B12693">
        <v>0</v>
      </c>
    </row>
    <row r="12694" spans="1:2" x14ac:dyDescent="0.25">
      <c r="A12694">
        <v>25105</v>
      </c>
      <c r="B12694">
        <v>0</v>
      </c>
    </row>
    <row r="12695" spans="1:2" x14ac:dyDescent="0.25">
      <c r="A12695">
        <v>25107</v>
      </c>
      <c r="B12695">
        <v>0</v>
      </c>
    </row>
    <row r="12696" spans="1:2" x14ac:dyDescent="0.25">
      <c r="A12696">
        <v>25110</v>
      </c>
      <c r="B12696">
        <v>0</v>
      </c>
    </row>
    <row r="12697" spans="1:2" x14ac:dyDescent="0.25">
      <c r="A12697">
        <v>25111</v>
      </c>
      <c r="B12697">
        <v>0</v>
      </c>
    </row>
    <row r="12698" spans="1:2" x14ac:dyDescent="0.25">
      <c r="A12698">
        <v>25112</v>
      </c>
      <c r="B12698">
        <v>0</v>
      </c>
    </row>
    <row r="12699" spans="1:2" x14ac:dyDescent="0.25">
      <c r="A12699">
        <v>25115</v>
      </c>
      <c r="B12699">
        <v>0</v>
      </c>
    </row>
    <row r="12700" spans="1:2" x14ac:dyDescent="0.25">
      <c r="A12700">
        <v>25117</v>
      </c>
      <c r="B12700">
        <v>0</v>
      </c>
    </row>
    <row r="12701" spans="1:2" x14ac:dyDescent="0.25">
      <c r="A12701">
        <v>25118</v>
      </c>
      <c r="B12701">
        <v>0</v>
      </c>
    </row>
    <row r="12702" spans="1:2" x14ac:dyDescent="0.25">
      <c r="A12702">
        <v>25120</v>
      </c>
      <c r="B12702">
        <v>0</v>
      </c>
    </row>
    <row r="12703" spans="1:2" x14ac:dyDescent="0.25">
      <c r="A12703">
        <v>25123</v>
      </c>
      <c r="B12703">
        <v>0</v>
      </c>
    </row>
    <row r="12704" spans="1:2" x14ac:dyDescent="0.25">
      <c r="A12704">
        <v>25124</v>
      </c>
      <c r="B12704">
        <v>0</v>
      </c>
    </row>
    <row r="12705" spans="1:2" x14ac:dyDescent="0.25">
      <c r="A12705">
        <v>25126</v>
      </c>
      <c r="B12705">
        <v>0</v>
      </c>
    </row>
    <row r="12706" spans="1:2" x14ac:dyDescent="0.25">
      <c r="A12706">
        <v>25128</v>
      </c>
      <c r="B12706">
        <v>0</v>
      </c>
    </row>
    <row r="12707" spans="1:2" x14ac:dyDescent="0.25">
      <c r="A12707">
        <v>25130</v>
      </c>
      <c r="B12707">
        <v>0</v>
      </c>
    </row>
    <row r="12708" spans="1:2" x14ac:dyDescent="0.25">
      <c r="A12708">
        <v>25132</v>
      </c>
      <c r="B12708">
        <v>0</v>
      </c>
    </row>
    <row r="12709" spans="1:2" x14ac:dyDescent="0.25">
      <c r="A12709">
        <v>25135</v>
      </c>
      <c r="B12709">
        <v>0</v>
      </c>
    </row>
    <row r="12710" spans="1:2" x14ac:dyDescent="0.25">
      <c r="A12710">
        <v>25136</v>
      </c>
      <c r="B12710">
        <v>0</v>
      </c>
    </row>
    <row r="12711" spans="1:2" x14ac:dyDescent="0.25">
      <c r="A12711">
        <v>25137</v>
      </c>
      <c r="B12711">
        <v>0</v>
      </c>
    </row>
    <row r="12712" spans="1:2" x14ac:dyDescent="0.25">
      <c r="A12712">
        <v>25138</v>
      </c>
      <c r="B12712">
        <v>0</v>
      </c>
    </row>
    <row r="12713" spans="1:2" x14ac:dyDescent="0.25">
      <c r="A12713">
        <v>25139</v>
      </c>
      <c r="B12713">
        <v>0</v>
      </c>
    </row>
    <row r="12714" spans="1:2" x14ac:dyDescent="0.25">
      <c r="A12714">
        <v>25140</v>
      </c>
      <c r="B12714">
        <v>0</v>
      </c>
    </row>
    <row r="12715" spans="1:2" x14ac:dyDescent="0.25">
      <c r="A12715">
        <v>25141</v>
      </c>
      <c r="B12715">
        <v>0</v>
      </c>
    </row>
    <row r="12716" spans="1:2" x14ac:dyDescent="0.25">
      <c r="A12716">
        <v>25142</v>
      </c>
      <c r="B12716">
        <v>0</v>
      </c>
    </row>
    <row r="12717" spans="1:2" x14ac:dyDescent="0.25">
      <c r="A12717">
        <v>25143</v>
      </c>
      <c r="B12717">
        <v>0</v>
      </c>
    </row>
    <row r="12718" spans="1:2" x14ac:dyDescent="0.25">
      <c r="A12718">
        <v>25145</v>
      </c>
      <c r="B12718">
        <v>0</v>
      </c>
    </row>
    <row r="12719" spans="1:2" x14ac:dyDescent="0.25">
      <c r="A12719">
        <v>25146</v>
      </c>
      <c r="B12719">
        <v>0</v>
      </c>
    </row>
    <row r="12720" spans="1:2" x14ac:dyDescent="0.25">
      <c r="A12720">
        <v>25149</v>
      </c>
      <c r="B12720">
        <v>0</v>
      </c>
    </row>
    <row r="12721" spans="1:2" x14ac:dyDescent="0.25">
      <c r="A12721">
        <v>25150</v>
      </c>
      <c r="B12721">
        <v>0</v>
      </c>
    </row>
    <row r="12722" spans="1:2" x14ac:dyDescent="0.25">
      <c r="A12722">
        <v>25151</v>
      </c>
      <c r="B12722">
        <v>0</v>
      </c>
    </row>
    <row r="12723" spans="1:2" x14ac:dyDescent="0.25">
      <c r="A12723">
        <v>25152</v>
      </c>
      <c r="B12723">
        <v>0</v>
      </c>
    </row>
    <row r="12724" spans="1:2" x14ac:dyDescent="0.25">
      <c r="A12724">
        <v>25153</v>
      </c>
      <c r="B12724">
        <v>0</v>
      </c>
    </row>
    <row r="12725" spans="1:2" x14ac:dyDescent="0.25">
      <c r="A12725">
        <v>25155</v>
      </c>
      <c r="B12725">
        <v>0</v>
      </c>
    </row>
    <row r="12726" spans="1:2" x14ac:dyDescent="0.25">
      <c r="A12726">
        <v>25156</v>
      </c>
      <c r="B12726">
        <v>0</v>
      </c>
    </row>
    <row r="12727" spans="1:2" x14ac:dyDescent="0.25">
      <c r="A12727">
        <v>25157</v>
      </c>
      <c r="B12727">
        <v>0</v>
      </c>
    </row>
    <row r="12728" spans="1:2" x14ac:dyDescent="0.25">
      <c r="A12728">
        <v>25159</v>
      </c>
      <c r="B12728">
        <v>0</v>
      </c>
    </row>
    <row r="12729" spans="1:2" x14ac:dyDescent="0.25">
      <c r="A12729">
        <v>25160</v>
      </c>
      <c r="B12729">
        <v>0</v>
      </c>
    </row>
    <row r="12730" spans="1:2" x14ac:dyDescent="0.25">
      <c r="A12730">
        <v>25161</v>
      </c>
      <c r="B12730">
        <v>0</v>
      </c>
    </row>
    <row r="12731" spans="1:2" x14ac:dyDescent="0.25">
      <c r="A12731">
        <v>25162</v>
      </c>
      <c r="B12731">
        <v>0</v>
      </c>
    </row>
    <row r="12732" spans="1:2" x14ac:dyDescent="0.25">
      <c r="A12732">
        <v>25164</v>
      </c>
      <c r="B12732">
        <v>0</v>
      </c>
    </row>
    <row r="12733" spans="1:2" x14ac:dyDescent="0.25">
      <c r="A12733">
        <v>25166</v>
      </c>
      <c r="B12733">
        <v>0</v>
      </c>
    </row>
    <row r="12734" spans="1:2" x14ac:dyDescent="0.25">
      <c r="A12734">
        <v>25168</v>
      </c>
      <c r="B12734">
        <v>0</v>
      </c>
    </row>
    <row r="12735" spans="1:2" x14ac:dyDescent="0.25">
      <c r="A12735">
        <v>25169</v>
      </c>
      <c r="B12735">
        <v>0</v>
      </c>
    </row>
    <row r="12736" spans="1:2" x14ac:dyDescent="0.25">
      <c r="A12736">
        <v>25170</v>
      </c>
      <c r="B12736">
        <v>0</v>
      </c>
    </row>
    <row r="12737" spans="1:2" x14ac:dyDescent="0.25">
      <c r="A12737">
        <v>25171</v>
      </c>
      <c r="B12737">
        <v>0</v>
      </c>
    </row>
    <row r="12738" spans="1:2" x14ac:dyDescent="0.25">
      <c r="A12738">
        <v>25172</v>
      </c>
      <c r="B12738">
        <v>0</v>
      </c>
    </row>
    <row r="12739" spans="1:2" x14ac:dyDescent="0.25">
      <c r="A12739">
        <v>25174</v>
      </c>
      <c r="B12739">
        <v>0</v>
      </c>
    </row>
    <row r="12740" spans="1:2" x14ac:dyDescent="0.25">
      <c r="A12740">
        <v>25176</v>
      </c>
      <c r="B12740">
        <v>0</v>
      </c>
    </row>
    <row r="12741" spans="1:2" x14ac:dyDescent="0.25">
      <c r="A12741">
        <v>25178</v>
      </c>
      <c r="B12741">
        <v>0</v>
      </c>
    </row>
    <row r="12742" spans="1:2" x14ac:dyDescent="0.25">
      <c r="A12742">
        <v>25180</v>
      </c>
      <c r="B12742">
        <v>0</v>
      </c>
    </row>
    <row r="12743" spans="1:2" x14ac:dyDescent="0.25">
      <c r="A12743">
        <v>25182</v>
      </c>
      <c r="B12743">
        <v>0</v>
      </c>
    </row>
    <row r="12744" spans="1:2" x14ac:dyDescent="0.25">
      <c r="A12744">
        <v>25183</v>
      </c>
      <c r="B12744">
        <v>0</v>
      </c>
    </row>
    <row r="12745" spans="1:2" x14ac:dyDescent="0.25">
      <c r="A12745">
        <v>25186</v>
      </c>
      <c r="B12745">
        <v>0</v>
      </c>
    </row>
    <row r="12746" spans="1:2" x14ac:dyDescent="0.25">
      <c r="A12746">
        <v>25188</v>
      </c>
      <c r="B12746">
        <v>0</v>
      </c>
    </row>
    <row r="12747" spans="1:2" x14ac:dyDescent="0.25">
      <c r="A12747">
        <v>25189</v>
      </c>
      <c r="B12747">
        <v>0</v>
      </c>
    </row>
    <row r="12748" spans="1:2" x14ac:dyDescent="0.25">
      <c r="A12748">
        <v>25192</v>
      </c>
      <c r="B12748">
        <v>0</v>
      </c>
    </row>
    <row r="12749" spans="1:2" x14ac:dyDescent="0.25">
      <c r="A12749">
        <v>25193</v>
      </c>
      <c r="B12749">
        <v>0</v>
      </c>
    </row>
    <row r="12750" spans="1:2" x14ac:dyDescent="0.25">
      <c r="A12750">
        <v>25194</v>
      </c>
      <c r="B12750">
        <v>0</v>
      </c>
    </row>
    <row r="12751" spans="1:2" x14ac:dyDescent="0.25">
      <c r="A12751">
        <v>25195</v>
      </c>
      <c r="B12751">
        <v>0</v>
      </c>
    </row>
    <row r="12752" spans="1:2" x14ac:dyDescent="0.25">
      <c r="A12752">
        <v>25196</v>
      </c>
      <c r="B12752">
        <v>0</v>
      </c>
    </row>
    <row r="12753" spans="1:2" x14ac:dyDescent="0.25">
      <c r="A12753">
        <v>25198</v>
      </c>
      <c r="B12753">
        <v>0</v>
      </c>
    </row>
    <row r="12754" spans="1:2" x14ac:dyDescent="0.25">
      <c r="A12754">
        <v>25200</v>
      </c>
      <c r="B12754">
        <v>0</v>
      </c>
    </row>
    <row r="12755" spans="1:2" x14ac:dyDescent="0.25">
      <c r="A12755">
        <v>25204</v>
      </c>
      <c r="B12755">
        <v>0</v>
      </c>
    </row>
    <row r="12756" spans="1:2" x14ac:dyDescent="0.25">
      <c r="A12756">
        <v>25205</v>
      </c>
      <c r="B12756">
        <v>0</v>
      </c>
    </row>
    <row r="12757" spans="1:2" x14ac:dyDescent="0.25">
      <c r="A12757">
        <v>25207</v>
      </c>
      <c r="B12757">
        <v>0</v>
      </c>
    </row>
    <row r="12758" spans="1:2" x14ac:dyDescent="0.25">
      <c r="A12758">
        <v>25208</v>
      </c>
      <c r="B12758">
        <v>0</v>
      </c>
    </row>
    <row r="12759" spans="1:2" x14ac:dyDescent="0.25">
      <c r="A12759">
        <v>25209</v>
      </c>
      <c r="B12759">
        <v>0</v>
      </c>
    </row>
    <row r="12760" spans="1:2" x14ac:dyDescent="0.25">
      <c r="A12760">
        <v>25211</v>
      </c>
      <c r="B12760">
        <v>0</v>
      </c>
    </row>
    <row r="12761" spans="1:2" x14ac:dyDescent="0.25">
      <c r="A12761">
        <v>25213</v>
      </c>
      <c r="B12761">
        <v>0</v>
      </c>
    </row>
    <row r="12762" spans="1:2" x14ac:dyDescent="0.25">
      <c r="A12762">
        <v>25215</v>
      </c>
      <c r="B12762">
        <v>0</v>
      </c>
    </row>
    <row r="12763" spans="1:2" x14ac:dyDescent="0.25">
      <c r="A12763">
        <v>25217</v>
      </c>
      <c r="B12763">
        <v>0</v>
      </c>
    </row>
    <row r="12764" spans="1:2" x14ac:dyDescent="0.25">
      <c r="A12764">
        <v>25218</v>
      </c>
      <c r="B12764">
        <v>0</v>
      </c>
    </row>
    <row r="12765" spans="1:2" x14ac:dyDescent="0.25">
      <c r="A12765">
        <v>25220</v>
      </c>
      <c r="B12765">
        <v>0</v>
      </c>
    </row>
    <row r="12766" spans="1:2" x14ac:dyDescent="0.25">
      <c r="A12766">
        <v>25222</v>
      </c>
      <c r="B12766">
        <v>0</v>
      </c>
    </row>
    <row r="12767" spans="1:2" x14ac:dyDescent="0.25">
      <c r="A12767">
        <v>25223</v>
      </c>
      <c r="B12767">
        <v>0</v>
      </c>
    </row>
    <row r="12768" spans="1:2" x14ac:dyDescent="0.25">
      <c r="A12768">
        <v>25225</v>
      </c>
      <c r="B12768">
        <v>0</v>
      </c>
    </row>
    <row r="12769" spans="1:2" x14ac:dyDescent="0.25">
      <c r="A12769">
        <v>25227</v>
      </c>
      <c r="B12769">
        <v>0</v>
      </c>
    </row>
    <row r="12770" spans="1:2" x14ac:dyDescent="0.25">
      <c r="A12770">
        <v>25229</v>
      </c>
      <c r="B12770">
        <v>0</v>
      </c>
    </row>
    <row r="12771" spans="1:2" x14ac:dyDescent="0.25">
      <c r="A12771">
        <v>25231</v>
      </c>
      <c r="B12771">
        <v>0</v>
      </c>
    </row>
    <row r="12772" spans="1:2" x14ac:dyDescent="0.25">
      <c r="A12772">
        <v>25234</v>
      </c>
      <c r="B12772">
        <v>0</v>
      </c>
    </row>
    <row r="12773" spans="1:2" x14ac:dyDescent="0.25">
      <c r="A12773">
        <v>25235</v>
      </c>
      <c r="B12773">
        <v>0</v>
      </c>
    </row>
    <row r="12774" spans="1:2" x14ac:dyDescent="0.25">
      <c r="A12774">
        <v>25237</v>
      </c>
      <c r="B12774">
        <v>0</v>
      </c>
    </row>
    <row r="12775" spans="1:2" x14ac:dyDescent="0.25">
      <c r="A12775">
        <v>25239</v>
      </c>
      <c r="B12775">
        <v>0</v>
      </c>
    </row>
    <row r="12776" spans="1:2" x14ac:dyDescent="0.25">
      <c r="A12776">
        <v>25242</v>
      </c>
      <c r="B12776">
        <v>0</v>
      </c>
    </row>
    <row r="12777" spans="1:2" x14ac:dyDescent="0.25">
      <c r="A12777">
        <v>25243</v>
      </c>
      <c r="B12777">
        <v>0</v>
      </c>
    </row>
    <row r="12778" spans="1:2" x14ac:dyDescent="0.25">
      <c r="A12778">
        <v>25246</v>
      </c>
      <c r="B12778">
        <v>0</v>
      </c>
    </row>
    <row r="12779" spans="1:2" x14ac:dyDescent="0.25">
      <c r="A12779">
        <v>25247</v>
      </c>
      <c r="B12779">
        <v>0</v>
      </c>
    </row>
    <row r="12780" spans="1:2" x14ac:dyDescent="0.25">
      <c r="A12780">
        <v>25250</v>
      </c>
      <c r="B12780">
        <v>0</v>
      </c>
    </row>
    <row r="12781" spans="1:2" x14ac:dyDescent="0.25">
      <c r="A12781">
        <v>25251</v>
      </c>
      <c r="B12781">
        <v>0</v>
      </c>
    </row>
    <row r="12782" spans="1:2" x14ac:dyDescent="0.25">
      <c r="A12782">
        <v>25253</v>
      </c>
      <c r="B12782">
        <v>0</v>
      </c>
    </row>
    <row r="12783" spans="1:2" x14ac:dyDescent="0.25">
      <c r="A12783">
        <v>25254</v>
      </c>
      <c r="B12783">
        <v>0</v>
      </c>
    </row>
    <row r="12784" spans="1:2" x14ac:dyDescent="0.25">
      <c r="A12784">
        <v>25256</v>
      </c>
      <c r="B12784">
        <v>0</v>
      </c>
    </row>
    <row r="12785" spans="1:2" x14ac:dyDescent="0.25">
      <c r="A12785">
        <v>25257</v>
      </c>
      <c r="B12785">
        <v>0</v>
      </c>
    </row>
    <row r="12786" spans="1:2" x14ac:dyDescent="0.25">
      <c r="A12786">
        <v>25259</v>
      </c>
      <c r="B12786">
        <v>0</v>
      </c>
    </row>
    <row r="12787" spans="1:2" x14ac:dyDescent="0.25">
      <c r="A12787">
        <v>25261</v>
      </c>
      <c r="B12787">
        <v>0</v>
      </c>
    </row>
    <row r="12788" spans="1:2" x14ac:dyDescent="0.25">
      <c r="A12788">
        <v>25263</v>
      </c>
      <c r="B12788">
        <v>0</v>
      </c>
    </row>
    <row r="12789" spans="1:2" x14ac:dyDescent="0.25">
      <c r="A12789">
        <v>25265</v>
      </c>
      <c r="B12789">
        <v>0</v>
      </c>
    </row>
    <row r="12790" spans="1:2" x14ac:dyDescent="0.25">
      <c r="A12790">
        <v>25267</v>
      </c>
      <c r="B12790">
        <v>0</v>
      </c>
    </row>
    <row r="12791" spans="1:2" x14ac:dyDescent="0.25">
      <c r="A12791">
        <v>25268</v>
      </c>
      <c r="B12791">
        <v>0</v>
      </c>
    </row>
    <row r="12792" spans="1:2" x14ac:dyDescent="0.25">
      <c r="A12792">
        <v>25269</v>
      </c>
      <c r="B12792">
        <v>0</v>
      </c>
    </row>
    <row r="12793" spans="1:2" x14ac:dyDescent="0.25">
      <c r="A12793">
        <v>25270</v>
      </c>
      <c r="B12793">
        <v>0</v>
      </c>
    </row>
    <row r="12794" spans="1:2" x14ac:dyDescent="0.25">
      <c r="A12794">
        <v>25272</v>
      </c>
      <c r="B12794">
        <v>0</v>
      </c>
    </row>
    <row r="12795" spans="1:2" x14ac:dyDescent="0.25">
      <c r="A12795">
        <v>25273</v>
      </c>
      <c r="B12795">
        <v>0</v>
      </c>
    </row>
    <row r="12796" spans="1:2" x14ac:dyDescent="0.25">
      <c r="A12796">
        <v>25274</v>
      </c>
      <c r="B12796">
        <v>0</v>
      </c>
    </row>
    <row r="12797" spans="1:2" x14ac:dyDescent="0.25">
      <c r="A12797">
        <v>25275</v>
      </c>
      <c r="B12797">
        <v>0</v>
      </c>
    </row>
    <row r="12798" spans="1:2" x14ac:dyDescent="0.25">
      <c r="A12798">
        <v>25276</v>
      </c>
      <c r="B12798">
        <v>0</v>
      </c>
    </row>
    <row r="12799" spans="1:2" x14ac:dyDescent="0.25">
      <c r="A12799">
        <v>25277</v>
      </c>
      <c r="B12799">
        <v>0</v>
      </c>
    </row>
    <row r="12800" spans="1:2" x14ac:dyDescent="0.25">
      <c r="A12800">
        <v>25278</v>
      </c>
      <c r="B12800">
        <v>0</v>
      </c>
    </row>
    <row r="12801" spans="1:2" x14ac:dyDescent="0.25">
      <c r="A12801">
        <v>25279</v>
      </c>
      <c r="B12801">
        <v>0</v>
      </c>
    </row>
    <row r="12802" spans="1:2" x14ac:dyDescent="0.25">
      <c r="A12802">
        <v>25280</v>
      </c>
      <c r="B12802">
        <v>0</v>
      </c>
    </row>
    <row r="12803" spans="1:2" x14ac:dyDescent="0.25">
      <c r="A12803">
        <v>25282</v>
      </c>
      <c r="B12803">
        <v>0</v>
      </c>
    </row>
    <row r="12804" spans="1:2" x14ac:dyDescent="0.25">
      <c r="A12804">
        <v>25286</v>
      </c>
      <c r="B12804">
        <v>0</v>
      </c>
    </row>
    <row r="12805" spans="1:2" x14ac:dyDescent="0.25">
      <c r="A12805">
        <v>25287</v>
      </c>
      <c r="B12805">
        <v>0</v>
      </c>
    </row>
    <row r="12806" spans="1:2" x14ac:dyDescent="0.25">
      <c r="A12806">
        <v>25288</v>
      </c>
      <c r="B12806">
        <v>0</v>
      </c>
    </row>
    <row r="12807" spans="1:2" x14ac:dyDescent="0.25">
      <c r="A12807">
        <v>25292</v>
      </c>
      <c r="B12807">
        <v>0</v>
      </c>
    </row>
    <row r="12808" spans="1:2" x14ac:dyDescent="0.25">
      <c r="A12808">
        <v>25293</v>
      </c>
      <c r="B12808">
        <v>0</v>
      </c>
    </row>
    <row r="12809" spans="1:2" x14ac:dyDescent="0.25">
      <c r="A12809">
        <v>25294</v>
      </c>
      <c r="B12809">
        <v>0</v>
      </c>
    </row>
    <row r="12810" spans="1:2" x14ac:dyDescent="0.25">
      <c r="A12810">
        <v>25296</v>
      </c>
      <c r="B12810">
        <v>0</v>
      </c>
    </row>
    <row r="12811" spans="1:2" x14ac:dyDescent="0.25">
      <c r="A12811">
        <v>25298</v>
      </c>
      <c r="B12811">
        <v>0</v>
      </c>
    </row>
    <row r="12812" spans="1:2" x14ac:dyDescent="0.25">
      <c r="A12812">
        <v>25299</v>
      </c>
      <c r="B12812">
        <v>0</v>
      </c>
    </row>
    <row r="12813" spans="1:2" x14ac:dyDescent="0.25">
      <c r="A12813">
        <v>25300</v>
      </c>
      <c r="B12813">
        <v>0</v>
      </c>
    </row>
    <row r="12814" spans="1:2" x14ac:dyDescent="0.25">
      <c r="A12814">
        <v>25302</v>
      </c>
      <c r="B12814">
        <v>0</v>
      </c>
    </row>
    <row r="12815" spans="1:2" x14ac:dyDescent="0.25">
      <c r="A12815">
        <v>25303</v>
      </c>
      <c r="B12815">
        <v>0</v>
      </c>
    </row>
    <row r="12816" spans="1:2" x14ac:dyDescent="0.25">
      <c r="A12816">
        <v>25305</v>
      </c>
      <c r="B12816">
        <v>0</v>
      </c>
    </row>
    <row r="12817" spans="1:2" x14ac:dyDescent="0.25">
      <c r="A12817">
        <v>25307</v>
      </c>
      <c r="B12817">
        <v>0</v>
      </c>
    </row>
    <row r="12818" spans="1:2" x14ac:dyDescent="0.25">
      <c r="A12818">
        <v>25308</v>
      </c>
      <c r="B12818">
        <v>0</v>
      </c>
    </row>
    <row r="12819" spans="1:2" x14ac:dyDescent="0.25">
      <c r="A12819">
        <v>25309</v>
      </c>
      <c r="B12819">
        <v>0</v>
      </c>
    </row>
    <row r="12820" spans="1:2" x14ac:dyDescent="0.25">
      <c r="A12820">
        <v>25311</v>
      </c>
      <c r="B12820">
        <v>0</v>
      </c>
    </row>
    <row r="12821" spans="1:2" x14ac:dyDescent="0.25">
      <c r="A12821">
        <v>25313</v>
      </c>
      <c r="B12821">
        <v>0</v>
      </c>
    </row>
    <row r="12822" spans="1:2" x14ac:dyDescent="0.25">
      <c r="A12822">
        <v>25314</v>
      </c>
      <c r="B12822">
        <v>0</v>
      </c>
    </row>
    <row r="12823" spans="1:2" x14ac:dyDescent="0.25">
      <c r="A12823">
        <v>25316</v>
      </c>
      <c r="B12823">
        <v>0</v>
      </c>
    </row>
    <row r="12824" spans="1:2" x14ac:dyDescent="0.25">
      <c r="A12824">
        <v>25318</v>
      </c>
      <c r="B12824">
        <v>0</v>
      </c>
    </row>
    <row r="12825" spans="1:2" x14ac:dyDescent="0.25">
      <c r="A12825">
        <v>25319</v>
      </c>
      <c r="B12825">
        <v>0</v>
      </c>
    </row>
    <row r="12826" spans="1:2" x14ac:dyDescent="0.25">
      <c r="A12826">
        <v>25320</v>
      </c>
      <c r="B12826">
        <v>0</v>
      </c>
    </row>
    <row r="12827" spans="1:2" x14ac:dyDescent="0.25">
      <c r="A12827">
        <v>25323</v>
      </c>
      <c r="B12827">
        <v>0</v>
      </c>
    </row>
    <row r="12828" spans="1:2" x14ac:dyDescent="0.25">
      <c r="A12828">
        <v>25324</v>
      </c>
      <c r="B12828">
        <v>0</v>
      </c>
    </row>
    <row r="12829" spans="1:2" x14ac:dyDescent="0.25">
      <c r="A12829">
        <v>25326</v>
      </c>
      <c r="B12829">
        <v>0</v>
      </c>
    </row>
    <row r="12830" spans="1:2" x14ac:dyDescent="0.25">
      <c r="A12830">
        <v>25328</v>
      </c>
      <c r="B12830">
        <v>0</v>
      </c>
    </row>
    <row r="12831" spans="1:2" x14ac:dyDescent="0.25">
      <c r="A12831">
        <v>25329</v>
      </c>
      <c r="B12831">
        <v>0</v>
      </c>
    </row>
    <row r="12832" spans="1:2" x14ac:dyDescent="0.25">
      <c r="A12832">
        <v>25331</v>
      </c>
      <c r="B12832">
        <v>0</v>
      </c>
    </row>
    <row r="12833" spans="1:2" x14ac:dyDescent="0.25">
      <c r="A12833">
        <v>25332</v>
      </c>
      <c r="B12833">
        <v>0</v>
      </c>
    </row>
    <row r="12834" spans="1:2" x14ac:dyDescent="0.25">
      <c r="A12834">
        <v>25333</v>
      </c>
      <c r="B12834">
        <v>0</v>
      </c>
    </row>
    <row r="12835" spans="1:2" x14ac:dyDescent="0.25">
      <c r="A12835">
        <v>25335</v>
      </c>
      <c r="B12835">
        <v>0</v>
      </c>
    </row>
    <row r="12836" spans="1:2" x14ac:dyDescent="0.25">
      <c r="A12836">
        <v>25337</v>
      </c>
      <c r="B12836">
        <v>0</v>
      </c>
    </row>
    <row r="12837" spans="1:2" x14ac:dyDescent="0.25">
      <c r="A12837">
        <v>25338</v>
      </c>
      <c r="B12837">
        <v>0</v>
      </c>
    </row>
    <row r="12838" spans="1:2" x14ac:dyDescent="0.25">
      <c r="A12838">
        <v>25340</v>
      </c>
      <c r="B12838">
        <v>0</v>
      </c>
    </row>
    <row r="12839" spans="1:2" x14ac:dyDescent="0.25">
      <c r="A12839">
        <v>25341</v>
      </c>
      <c r="B12839">
        <v>0</v>
      </c>
    </row>
    <row r="12840" spans="1:2" x14ac:dyDescent="0.25">
      <c r="A12840">
        <v>25342</v>
      </c>
      <c r="B12840">
        <v>0</v>
      </c>
    </row>
    <row r="12841" spans="1:2" x14ac:dyDescent="0.25">
      <c r="A12841">
        <v>25343</v>
      </c>
      <c r="B12841">
        <v>0</v>
      </c>
    </row>
    <row r="12842" spans="1:2" x14ac:dyDescent="0.25">
      <c r="A12842">
        <v>25345</v>
      </c>
      <c r="B12842">
        <v>0</v>
      </c>
    </row>
    <row r="12843" spans="1:2" x14ac:dyDescent="0.25">
      <c r="A12843">
        <v>25346</v>
      </c>
      <c r="B12843">
        <v>0</v>
      </c>
    </row>
    <row r="12844" spans="1:2" x14ac:dyDescent="0.25">
      <c r="A12844">
        <v>25347</v>
      </c>
      <c r="B12844">
        <v>0</v>
      </c>
    </row>
    <row r="12845" spans="1:2" x14ac:dyDescent="0.25">
      <c r="A12845">
        <v>25350</v>
      </c>
      <c r="B12845">
        <v>0</v>
      </c>
    </row>
    <row r="12846" spans="1:2" x14ac:dyDescent="0.25">
      <c r="A12846">
        <v>25352</v>
      </c>
      <c r="B12846">
        <v>0</v>
      </c>
    </row>
    <row r="12847" spans="1:2" x14ac:dyDescent="0.25">
      <c r="A12847">
        <v>25354</v>
      </c>
      <c r="B12847">
        <v>0</v>
      </c>
    </row>
    <row r="12848" spans="1:2" x14ac:dyDescent="0.25">
      <c r="A12848">
        <v>25356</v>
      </c>
      <c r="B12848">
        <v>0</v>
      </c>
    </row>
    <row r="12849" spans="1:2" x14ac:dyDescent="0.25">
      <c r="A12849">
        <v>25357</v>
      </c>
      <c r="B12849">
        <v>0</v>
      </c>
    </row>
    <row r="12850" spans="1:2" x14ac:dyDescent="0.25">
      <c r="A12850">
        <v>25358</v>
      </c>
      <c r="B12850">
        <v>0</v>
      </c>
    </row>
    <row r="12851" spans="1:2" x14ac:dyDescent="0.25">
      <c r="A12851">
        <v>25360</v>
      </c>
      <c r="B12851">
        <v>0</v>
      </c>
    </row>
    <row r="12852" spans="1:2" x14ac:dyDescent="0.25">
      <c r="A12852">
        <v>25361</v>
      </c>
      <c r="B12852">
        <v>0</v>
      </c>
    </row>
    <row r="12853" spans="1:2" x14ac:dyDescent="0.25">
      <c r="A12853">
        <v>25363</v>
      </c>
      <c r="B12853">
        <v>0</v>
      </c>
    </row>
    <row r="12854" spans="1:2" x14ac:dyDescent="0.25">
      <c r="A12854">
        <v>25365</v>
      </c>
      <c r="B12854">
        <v>0</v>
      </c>
    </row>
    <row r="12855" spans="1:2" x14ac:dyDescent="0.25">
      <c r="A12855">
        <v>25367</v>
      </c>
      <c r="B12855">
        <v>0</v>
      </c>
    </row>
    <row r="12856" spans="1:2" x14ac:dyDescent="0.25">
      <c r="A12856">
        <v>25369</v>
      </c>
      <c r="B12856">
        <v>0</v>
      </c>
    </row>
    <row r="12857" spans="1:2" x14ac:dyDescent="0.25">
      <c r="A12857">
        <v>25371</v>
      </c>
      <c r="B12857">
        <v>0</v>
      </c>
    </row>
    <row r="12858" spans="1:2" x14ac:dyDescent="0.25">
      <c r="A12858">
        <v>25373</v>
      </c>
      <c r="B12858">
        <v>0</v>
      </c>
    </row>
    <row r="12859" spans="1:2" x14ac:dyDescent="0.25">
      <c r="A12859">
        <v>25375</v>
      </c>
      <c r="B12859">
        <v>0</v>
      </c>
    </row>
    <row r="12860" spans="1:2" x14ac:dyDescent="0.25">
      <c r="A12860">
        <v>25377</v>
      </c>
      <c r="B12860">
        <v>0</v>
      </c>
    </row>
    <row r="12861" spans="1:2" x14ac:dyDescent="0.25">
      <c r="A12861">
        <v>25380</v>
      </c>
      <c r="B12861">
        <v>0</v>
      </c>
    </row>
    <row r="12862" spans="1:2" x14ac:dyDescent="0.25">
      <c r="A12862">
        <v>25381</v>
      </c>
      <c r="B12862">
        <v>0</v>
      </c>
    </row>
    <row r="12863" spans="1:2" x14ac:dyDescent="0.25">
      <c r="A12863">
        <v>25383</v>
      </c>
      <c r="B12863">
        <v>0</v>
      </c>
    </row>
    <row r="12864" spans="1:2" x14ac:dyDescent="0.25">
      <c r="A12864">
        <v>25385</v>
      </c>
      <c r="B12864">
        <v>0</v>
      </c>
    </row>
    <row r="12865" spans="1:2" x14ac:dyDescent="0.25">
      <c r="A12865">
        <v>25387</v>
      </c>
      <c r="B12865">
        <v>0</v>
      </c>
    </row>
    <row r="12866" spans="1:2" x14ac:dyDescent="0.25">
      <c r="A12866">
        <v>25389</v>
      </c>
      <c r="B12866">
        <v>0</v>
      </c>
    </row>
    <row r="12867" spans="1:2" x14ac:dyDescent="0.25">
      <c r="A12867">
        <v>25392</v>
      </c>
      <c r="B12867">
        <v>0</v>
      </c>
    </row>
    <row r="12868" spans="1:2" x14ac:dyDescent="0.25">
      <c r="A12868">
        <v>25395</v>
      </c>
      <c r="B12868">
        <v>0</v>
      </c>
    </row>
    <row r="12869" spans="1:2" x14ac:dyDescent="0.25">
      <c r="A12869">
        <v>25400</v>
      </c>
      <c r="B12869">
        <v>0</v>
      </c>
    </row>
    <row r="12870" spans="1:2" x14ac:dyDescent="0.25">
      <c r="A12870">
        <v>25401</v>
      </c>
      <c r="B12870">
        <v>0</v>
      </c>
    </row>
    <row r="12871" spans="1:2" x14ac:dyDescent="0.25">
      <c r="A12871">
        <v>25402</v>
      </c>
      <c r="B12871">
        <v>0</v>
      </c>
    </row>
    <row r="12872" spans="1:2" x14ac:dyDescent="0.25">
      <c r="A12872">
        <v>25403</v>
      </c>
      <c r="B12872">
        <v>0</v>
      </c>
    </row>
    <row r="12873" spans="1:2" x14ac:dyDescent="0.25">
      <c r="A12873">
        <v>25404</v>
      </c>
      <c r="B12873">
        <v>0</v>
      </c>
    </row>
    <row r="12874" spans="1:2" x14ac:dyDescent="0.25">
      <c r="A12874">
        <v>25406</v>
      </c>
      <c r="B12874">
        <v>0</v>
      </c>
    </row>
    <row r="12875" spans="1:2" x14ac:dyDescent="0.25">
      <c r="A12875">
        <v>25408</v>
      </c>
      <c r="B12875">
        <v>0</v>
      </c>
    </row>
    <row r="12876" spans="1:2" x14ac:dyDescent="0.25">
      <c r="A12876">
        <v>25410</v>
      </c>
      <c r="B12876">
        <v>0</v>
      </c>
    </row>
    <row r="12877" spans="1:2" x14ac:dyDescent="0.25">
      <c r="A12877">
        <v>25412</v>
      </c>
      <c r="B12877">
        <v>0</v>
      </c>
    </row>
    <row r="12878" spans="1:2" x14ac:dyDescent="0.25">
      <c r="A12878">
        <v>25414</v>
      </c>
      <c r="B12878">
        <v>0</v>
      </c>
    </row>
    <row r="12879" spans="1:2" x14ac:dyDescent="0.25">
      <c r="A12879">
        <v>25415</v>
      </c>
      <c r="B12879">
        <v>0</v>
      </c>
    </row>
    <row r="12880" spans="1:2" x14ac:dyDescent="0.25">
      <c r="A12880">
        <v>25416</v>
      </c>
      <c r="B12880">
        <v>0</v>
      </c>
    </row>
    <row r="12881" spans="1:2" x14ac:dyDescent="0.25">
      <c r="A12881">
        <v>25418</v>
      </c>
      <c r="B12881">
        <v>0</v>
      </c>
    </row>
    <row r="12882" spans="1:2" x14ac:dyDescent="0.25">
      <c r="A12882">
        <v>25419</v>
      </c>
      <c r="B12882">
        <v>0</v>
      </c>
    </row>
    <row r="12883" spans="1:2" x14ac:dyDescent="0.25">
      <c r="A12883">
        <v>25420</v>
      </c>
      <c r="B12883">
        <v>0</v>
      </c>
    </row>
    <row r="12884" spans="1:2" x14ac:dyDescent="0.25">
      <c r="A12884">
        <v>25421</v>
      </c>
      <c r="B12884">
        <v>0</v>
      </c>
    </row>
    <row r="12885" spans="1:2" x14ac:dyDescent="0.25">
      <c r="A12885">
        <v>25422</v>
      </c>
      <c r="B12885">
        <v>0</v>
      </c>
    </row>
    <row r="12886" spans="1:2" x14ac:dyDescent="0.25">
      <c r="A12886">
        <v>25424</v>
      </c>
      <c r="B12886">
        <v>0</v>
      </c>
    </row>
    <row r="12887" spans="1:2" x14ac:dyDescent="0.25">
      <c r="A12887">
        <v>25425</v>
      </c>
      <c r="B12887">
        <v>0</v>
      </c>
    </row>
    <row r="12888" spans="1:2" x14ac:dyDescent="0.25">
      <c r="A12888">
        <v>25426</v>
      </c>
      <c r="B12888">
        <v>0</v>
      </c>
    </row>
    <row r="12889" spans="1:2" x14ac:dyDescent="0.25">
      <c r="A12889">
        <v>25427</v>
      </c>
      <c r="B12889">
        <v>0</v>
      </c>
    </row>
    <row r="12890" spans="1:2" x14ac:dyDescent="0.25">
      <c r="A12890">
        <v>25428</v>
      </c>
      <c r="B12890">
        <v>0</v>
      </c>
    </row>
    <row r="12891" spans="1:2" x14ac:dyDescent="0.25">
      <c r="A12891">
        <v>25429</v>
      </c>
      <c r="B12891">
        <v>0</v>
      </c>
    </row>
    <row r="12892" spans="1:2" x14ac:dyDescent="0.25">
      <c r="A12892">
        <v>25430</v>
      </c>
      <c r="B12892">
        <v>0</v>
      </c>
    </row>
    <row r="12893" spans="1:2" x14ac:dyDescent="0.25">
      <c r="A12893">
        <v>25431</v>
      </c>
      <c r="B12893">
        <v>0</v>
      </c>
    </row>
    <row r="12894" spans="1:2" x14ac:dyDescent="0.25">
      <c r="A12894">
        <v>25432</v>
      </c>
      <c r="B12894">
        <v>0</v>
      </c>
    </row>
    <row r="12895" spans="1:2" x14ac:dyDescent="0.25">
      <c r="A12895">
        <v>25433</v>
      </c>
      <c r="B12895">
        <v>0</v>
      </c>
    </row>
    <row r="12896" spans="1:2" x14ac:dyDescent="0.25">
      <c r="A12896">
        <v>25434</v>
      </c>
      <c r="B12896">
        <v>0</v>
      </c>
    </row>
    <row r="12897" spans="1:2" x14ac:dyDescent="0.25">
      <c r="A12897">
        <v>25437</v>
      </c>
      <c r="B12897">
        <v>0</v>
      </c>
    </row>
    <row r="12898" spans="1:2" x14ac:dyDescent="0.25">
      <c r="A12898">
        <v>25438</v>
      </c>
      <c r="B12898">
        <v>0</v>
      </c>
    </row>
    <row r="12899" spans="1:2" x14ac:dyDescent="0.25">
      <c r="A12899">
        <v>25440</v>
      </c>
      <c r="B12899">
        <v>0</v>
      </c>
    </row>
    <row r="12900" spans="1:2" x14ac:dyDescent="0.25">
      <c r="A12900">
        <v>25442</v>
      </c>
      <c r="B12900">
        <v>0</v>
      </c>
    </row>
    <row r="12901" spans="1:2" x14ac:dyDescent="0.25">
      <c r="A12901">
        <v>25444</v>
      </c>
      <c r="B12901">
        <v>0</v>
      </c>
    </row>
    <row r="12902" spans="1:2" x14ac:dyDescent="0.25">
      <c r="A12902">
        <v>25446</v>
      </c>
      <c r="B12902">
        <v>0</v>
      </c>
    </row>
    <row r="12903" spans="1:2" x14ac:dyDescent="0.25">
      <c r="A12903">
        <v>25449</v>
      </c>
      <c r="B12903">
        <v>0</v>
      </c>
    </row>
    <row r="12904" spans="1:2" x14ac:dyDescent="0.25">
      <c r="A12904">
        <v>25450</v>
      </c>
      <c r="B12904">
        <v>0</v>
      </c>
    </row>
    <row r="12905" spans="1:2" x14ac:dyDescent="0.25">
      <c r="A12905">
        <v>25451</v>
      </c>
      <c r="B12905">
        <v>0</v>
      </c>
    </row>
    <row r="12906" spans="1:2" x14ac:dyDescent="0.25">
      <c r="A12906">
        <v>25454</v>
      </c>
      <c r="B12906">
        <v>0</v>
      </c>
    </row>
    <row r="12907" spans="1:2" x14ac:dyDescent="0.25">
      <c r="A12907">
        <v>25455</v>
      </c>
      <c r="B12907">
        <v>0</v>
      </c>
    </row>
    <row r="12908" spans="1:2" x14ac:dyDescent="0.25">
      <c r="A12908">
        <v>25456</v>
      </c>
      <c r="B12908">
        <v>0</v>
      </c>
    </row>
    <row r="12909" spans="1:2" x14ac:dyDescent="0.25">
      <c r="A12909">
        <v>25459</v>
      </c>
      <c r="B12909">
        <v>0</v>
      </c>
    </row>
    <row r="12910" spans="1:2" x14ac:dyDescent="0.25">
      <c r="A12910">
        <v>25460</v>
      </c>
      <c r="B12910">
        <v>0</v>
      </c>
    </row>
    <row r="12911" spans="1:2" x14ac:dyDescent="0.25">
      <c r="A12911">
        <v>25461</v>
      </c>
      <c r="B12911">
        <v>0</v>
      </c>
    </row>
    <row r="12912" spans="1:2" x14ac:dyDescent="0.25">
      <c r="A12912">
        <v>25462</v>
      </c>
      <c r="B12912">
        <v>0</v>
      </c>
    </row>
    <row r="12913" spans="1:2" x14ac:dyDescent="0.25">
      <c r="A12913">
        <v>25463</v>
      </c>
      <c r="B12913">
        <v>0</v>
      </c>
    </row>
    <row r="12914" spans="1:2" x14ac:dyDescent="0.25">
      <c r="A12914">
        <v>25465</v>
      </c>
      <c r="B12914">
        <v>0</v>
      </c>
    </row>
    <row r="12915" spans="1:2" x14ac:dyDescent="0.25">
      <c r="A12915">
        <v>25468</v>
      </c>
      <c r="B12915">
        <v>0</v>
      </c>
    </row>
    <row r="12916" spans="1:2" x14ac:dyDescent="0.25">
      <c r="A12916">
        <v>25470</v>
      </c>
      <c r="B12916">
        <v>0</v>
      </c>
    </row>
    <row r="12917" spans="1:2" x14ac:dyDescent="0.25">
      <c r="A12917">
        <v>25472</v>
      </c>
      <c r="B12917">
        <v>0</v>
      </c>
    </row>
    <row r="12918" spans="1:2" x14ac:dyDescent="0.25">
      <c r="A12918">
        <v>25474</v>
      </c>
      <c r="B12918">
        <v>0</v>
      </c>
    </row>
    <row r="12919" spans="1:2" x14ac:dyDescent="0.25">
      <c r="A12919">
        <v>25476</v>
      </c>
      <c r="B12919">
        <v>0</v>
      </c>
    </row>
    <row r="12920" spans="1:2" x14ac:dyDescent="0.25">
      <c r="A12920">
        <v>25486</v>
      </c>
      <c r="B12920">
        <v>0</v>
      </c>
    </row>
    <row r="12921" spans="1:2" x14ac:dyDescent="0.25">
      <c r="A12921">
        <v>25487</v>
      </c>
      <c r="B12921">
        <v>0</v>
      </c>
    </row>
    <row r="12922" spans="1:2" x14ac:dyDescent="0.25">
      <c r="A12922">
        <v>25489</v>
      </c>
      <c r="B12922">
        <v>0</v>
      </c>
    </row>
    <row r="12923" spans="1:2" x14ac:dyDescent="0.25">
      <c r="A12923">
        <v>25492</v>
      </c>
      <c r="B12923">
        <v>0</v>
      </c>
    </row>
    <row r="12924" spans="1:2" x14ac:dyDescent="0.25">
      <c r="A12924">
        <v>25494</v>
      </c>
      <c r="B12924">
        <v>0</v>
      </c>
    </row>
    <row r="12925" spans="1:2" x14ac:dyDescent="0.25">
      <c r="A12925">
        <v>25501</v>
      </c>
      <c r="B12925">
        <v>0</v>
      </c>
    </row>
    <row r="12926" spans="1:2" x14ac:dyDescent="0.25">
      <c r="A12926">
        <v>25502</v>
      </c>
      <c r="B12926">
        <v>0</v>
      </c>
    </row>
    <row r="12927" spans="1:2" x14ac:dyDescent="0.25">
      <c r="A12927">
        <v>25505</v>
      </c>
      <c r="B12927">
        <v>0</v>
      </c>
    </row>
    <row r="12928" spans="1:2" x14ac:dyDescent="0.25">
      <c r="A12928">
        <v>25507</v>
      </c>
      <c r="B12928">
        <v>0</v>
      </c>
    </row>
    <row r="12929" spans="1:2" x14ac:dyDescent="0.25">
      <c r="A12929">
        <v>25508</v>
      </c>
      <c r="B12929">
        <v>0</v>
      </c>
    </row>
    <row r="12930" spans="1:2" x14ac:dyDescent="0.25">
      <c r="A12930">
        <v>25510</v>
      </c>
      <c r="B12930">
        <v>0</v>
      </c>
    </row>
    <row r="12931" spans="1:2" x14ac:dyDescent="0.25">
      <c r="A12931">
        <v>25513</v>
      </c>
      <c r="B12931">
        <v>0</v>
      </c>
    </row>
    <row r="12932" spans="1:2" x14ac:dyDescent="0.25">
      <c r="A12932">
        <v>25514</v>
      </c>
      <c r="B12932">
        <v>0</v>
      </c>
    </row>
    <row r="12933" spans="1:2" x14ac:dyDescent="0.25">
      <c r="A12933">
        <v>25516</v>
      </c>
      <c r="B12933">
        <v>0</v>
      </c>
    </row>
    <row r="12934" spans="1:2" x14ac:dyDescent="0.25">
      <c r="A12934">
        <v>25518</v>
      </c>
      <c r="B12934">
        <v>0</v>
      </c>
    </row>
    <row r="12935" spans="1:2" x14ac:dyDescent="0.25">
      <c r="A12935">
        <v>25520</v>
      </c>
      <c r="B12935">
        <v>0</v>
      </c>
    </row>
    <row r="12936" spans="1:2" x14ac:dyDescent="0.25">
      <c r="A12936">
        <v>25522</v>
      </c>
      <c r="B12936">
        <v>0</v>
      </c>
    </row>
    <row r="12937" spans="1:2" x14ac:dyDescent="0.25">
      <c r="A12937">
        <v>25524</v>
      </c>
      <c r="B12937">
        <v>0</v>
      </c>
    </row>
    <row r="12938" spans="1:2" x14ac:dyDescent="0.25">
      <c r="A12938">
        <v>25526</v>
      </c>
      <c r="B12938">
        <v>0</v>
      </c>
    </row>
    <row r="12939" spans="1:2" x14ac:dyDescent="0.25">
      <c r="A12939">
        <v>25528</v>
      </c>
      <c r="B12939">
        <v>0</v>
      </c>
    </row>
    <row r="12940" spans="1:2" x14ac:dyDescent="0.25">
      <c r="A12940">
        <v>25530</v>
      </c>
      <c r="B12940">
        <v>0</v>
      </c>
    </row>
    <row r="12941" spans="1:2" x14ac:dyDescent="0.25">
      <c r="A12941">
        <v>25532</v>
      </c>
      <c r="B12941">
        <v>0</v>
      </c>
    </row>
    <row r="12942" spans="1:2" x14ac:dyDescent="0.25">
      <c r="A12942">
        <v>25534</v>
      </c>
      <c r="B12942">
        <v>0</v>
      </c>
    </row>
    <row r="12943" spans="1:2" x14ac:dyDescent="0.25">
      <c r="A12943">
        <v>25536</v>
      </c>
      <c r="B12943">
        <v>0</v>
      </c>
    </row>
    <row r="12944" spans="1:2" x14ac:dyDescent="0.25">
      <c r="A12944">
        <v>25538</v>
      </c>
      <c r="B12944">
        <v>0</v>
      </c>
    </row>
    <row r="12945" spans="1:2" x14ac:dyDescent="0.25">
      <c r="A12945">
        <v>25540</v>
      </c>
      <c r="B12945">
        <v>0</v>
      </c>
    </row>
    <row r="12946" spans="1:2" x14ac:dyDescent="0.25">
      <c r="A12946">
        <v>25542</v>
      </c>
      <c r="B12946">
        <v>0</v>
      </c>
    </row>
    <row r="12947" spans="1:2" x14ac:dyDescent="0.25">
      <c r="A12947">
        <v>25544</v>
      </c>
      <c r="B12947">
        <v>0</v>
      </c>
    </row>
    <row r="12948" spans="1:2" x14ac:dyDescent="0.25">
      <c r="A12948">
        <v>25546</v>
      </c>
      <c r="B12948">
        <v>0</v>
      </c>
    </row>
    <row r="12949" spans="1:2" x14ac:dyDescent="0.25">
      <c r="A12949">
        <v>25547</v>
      </c>
      <c r="B12949">
        <v>0</v>
      </c>
    </row>
    <row r="12950" spans="1:2" x14ac:dyDescent="0.25">
      <c r="A12950">
        <v>25549</v>
      </c>
      <c r="B12950">
        <v>0</v>
      </c>
    </row>
    <row r="12951" spans="1:2" x14ac:dyDescent="0.25">
      <c r="A12951">
        <v>25551</v>
      </c>
      <c r="B12951">
        <v>0</v>
      </c>
    </row>
    <row r="12952" spans="1:2" x14ac:dyDescent="0.25">
      <c r="A12952">
        <v>25554</v>
      </c>
      <c r="B12952">
        <v>0</v>
      </c>
    </row>
    <row r="12953" spans="1:2" x14ac:dyDescent="0.25">
      <c r="A12953">
        <v>25556</v>
      </c>
      <c r="B12953">
        <v>0</v>
      </c>
    </row>
    <row r="12954" spans="1:2" x14ac:dyDescent="0.25">
      <c r="A12954">
        <v>25557</v>
      </c>
      <c r="B12954">
        <v>0</v>
      </c>
    </row>
    <row r="12955" spans="1:2" x14ac:dyDescent="0.25">
      <c r="A12955">
        <v>25559</v>
      </c>
      <c r="B12955">
        <v>0</v>
      </c>
    </row>
    <row r="12956" spans="1:2" x14ac:dyDescent="0.25">
      <c r="A12956">
        <v>25561</v>
      </c>
      <c r="B12956">
        <v>0</v>
      </c>
    </row>
    <row r="12957" spans="1:2" x14ac:dyDescent="0.25">
      <c r="A12957">
        <v>25563</v>
      </c>
      <c r="B12957">
        <v>0</v>
      </c>
    </row>
    <row r="12958" spans="1:2" x14ac:dyDescent="0.25">
      <c r="A12958">
        <v>25565</v>
      </c>
      <c r="B12958">
        <v>0</v>
      </c>
    </row>
    <row r="12959" spans="1:2" x14ac:dyDescent="0.25">
      <c r="A12959">
        <v>25567</v>
      </c>
      <c r="B12959">
        <v>0</v>
      </c>
    </row>
    <row r="12960" spans="1:2" x14ac:dyDescent="0.25">
      <c r="A12960">
        <v>25569</v>
      </c>
      <c r="B12960">
        <v>0</v>
      </c>
    </row>
    <row r="12961" spans="1:2" x14ac:dyDescent="0.25">
      <c r="A12961">
        <v>25571</v>
      </c>
      <c r="B12961">
        <v>0</v>
      </c>
    </row>
    <row r="12962" spans="1:2" x14ac:dyDescent="0.25">
      <c r="A12962">
        <v>25573</v>
      </c>
      <c r="B12962">
        <v>0</v>
      </c>
    </row>
    <row r="12963" spans="1:2" x14ac:dyDescent="0.25">
      <c r="A12963">
        <v>25575</v>
      </c>
      <c r="B12963">
        <v>0</v>
      </c>
    </row>
    <row r="12964" spans="1:2" x14ac:dyDescent="0.25">
      <c r="A12964">
        <v>25577</v>
      </c>
      <c r="B12964">
        <v>0</v>
      </c>
    </row>
    <row r="12965" spans="1:2" x14ac:dyDescent="0.25">
      <c r="A12965">
        <v>25580</v>
      </c>
      <c r="B12965">
        <v>0</v>
      </c>
    </row>
    <row r="12966" spans="1:2" x14ac:dyDescent="0.25">
      <c r="A12966">
        <v>25582</v>
      </c>
      <c r="B12966">
        <v>0</v>
      </c>
    </row>
    <row r="12967" spans="1:2" x14ac:dyDescent="0.25">
      <c r="A12967">
        <v>25583</v>
      </c>
      <c r="B12967">
        <v>0</v>
      </c>
    </row>
    <row r="12968" spans="1:2" x14ac:dyDescent="0.25">
      <c r="A12968">
        <v>25585</v>
      </c>
      <c r="B12968">
        <v>0</v>
      </c>
    </row>
    <row r="12969" spans="1:2" x14ac:dyDescent="0.25">
      <c r="A12969">
        <v>25587</v>
      </c>
      <c r="B12969">
        <v>0</v>
      </c>
    </row>
    <row r="12970" spans="1:2" x14ac:dyDescent="0.25">
      <c r="A12970">
        <v>25589</v>
      </c>
      <c r="B12970">
        <v>0</v>
      </c>
    </row>
    <row r="12971" spans="1:2" x14ac:dyDescent="0.25">
      <c r="A12971">
        <v>25591</v>
      </c>
      <c r="B12971">
        <v>0</v>
      </c>
    </row>
    <row r="12972" spans="1:2" x14ac:dyDescent="0.25">
      <c r="A12972">
        <v>25593</v>
      </c>
      <c r="B12972">
        <v>0</v>
      </c>
    </row>
    <row r="12973" spans="1:2" x14ac:dyDescent="0.25">
      <c r="A12973">
        <v>25595</v>
      </c>
      <c r="B12973">
        <v>0</v>
      </c>
    </row>
    <row r="12974" spans="1:2" x14ac:dyDescent="0.25">
      <c r="A12974">
        <v>25596</v>
      </c>
      <c r="B12974">
        <v>0</v>
      </c>
    </row>
    <row r="12975" spans="1:2" x14ac:dyDescent="0.25">
      <c r="A12975">
        <v>25598</v>
      </c>
      <c r="B12975">
        <v>0</v>
      </c>
    </row>
    <row r="12976" spans="1:2" x14ac:dyDescent="0.25">
      <c r="A12976">
        <v>25600</v>
      </c>
      <c r="B12976">
        <v>0</v>
      </c>
    </row>
    <row r="12977" spans="1:2" x14ac:dyDescent="0.25">
      <c r="A12977">
        <v>25601</v>
      </c>
      <c r="B12977">
        <v>0</v>
      </c>
    </row>
    <row r="12978" spans="1:2" x14ac:dyDescent="0.25">
      <c r="A12978">
        <v>25602</v>
      </c>
      <c r="B12978">
        <v>0</v>
      </c>
    </row>
    <row r="12979" spans="1:2" x14ac:dyDescent="0.25">
      <c r="A12979">
        <v>25603</v>
      </c>
      <c r="B12979">
        <v>0</v>
      </c>
    </row>
    <row r="12980" spans="1:2" x14ac:dyDescent="0.25">
      <c r="A12980">
        <v>25604</v>
      </c>
      <c r="B12980">
        <v>0</v>
      </c>
    </row>
    <row r="12981" spans="1:2" x14ac:dyDescent="0.25">
      <c r="A12981">
        <v>25605</v>
      </c>
      <c r="B12981">
        <v>0</v>
      </c>
    </row>
    <row r="12982" spans="1:2" x14ac:dyDescent="0.25">
      <c r="A12982">
        <v>25606</v>
      </c>
      <c r="B12982">
        <v>0</v>
      </c>
    </row>
    <row r="12983" spans="1:2" x14ac:dyDescent="0.25">
      <c r="A12983">
        <v>25607</v>
      </c>
      <c r="B12983">
        <v>0</v>
      </c>
    </row>
    <row r="12984" spans="1:2" x14ac:dyDescent="0.25">
      <c r="A12984">
        <v>25608</v>
      </c>
      <c r="B12984">
        <v>0</v>
      </c>
    </row>
    <row r="12985" spans="1:2" x14ac:dyDescent="0.25">
      <c r="A12985">
        <v>25609</v>
      </c>
      <c r="B12985">
        <v>0</v>
      </c>
    </row>
    <row r="12986" spans="1:2" x14ac:dyDescent="0.25">
      <c r="A12986">
        <v>25610</v>
      </c>
      <c r="B12986">
        <v>0</v>
      </c>
    </row>
    <row r="12987" spans="1:2" x14ac:dyDescent="0.25">
      <c r="A12987">
        <v>25611</v>
      </c>
      <c r="B12987">
        <v>0</v>
      </c>
    </row>
    <row r="12988" spans="1:2" x14ac:dyDescent="0.25">
      <c r="A12988">
        <v>25612</v>
      </c>
      <c r="B12988">
        <v>0</v>
      </c>
    </row>
    <row r="12989" spans="1:2" x14ac:dyDescent="0.25">
      <c r="A12989">
        <v>25613</v>
      </c>
      <c r="B12989">
        <v>0</v>
      </c>
    </row>
    <row r="12990" spans="1:2" x14ac:dyDescent="0.25">
      <c r="A12990">
        <v>25614</v>
      </c>
      <c r="B12990">
        <v>0</v>
      </c>
    </row>
    <row r="12991" spans="1:2" x14ac:dyDescent="0.25">
      <c r="A12991">
        <v>25615</v>
      </c>
      <c r="B12991">
        <v>0</v>
      </c>
    </row>
    <row r="12992" spans="1:2" x14ac:dyDescent="0.25">
      <c r="A12992">
        <v>25616</v>
      </c>
      <c r="B12992">
        <v>0</v>
      </c>
    </row>
    <row r="12993" spans="1:2" x14ac:dyDescent="0.25">
      <c r="A12993">
        <v>25618</v>
      </c>
      <c r="B12993">
        <v>0</v>
      </c>
    </row>
    <row r="12994" spans="1:2" x14ac:dyDescent="0.25">
      <c r="A12994">
        <v>25619</v>
      </c>
      <c r="B12994">
        <v>0</v>
      </c>
    </row>
    <row r="12995" spans="1:2" x14ac:dyDescent="0.25">
      <c r="A12995">
        <v>25620</v>
      </c>
      <c r="B12995">
        <v>0</v>
      </c>
    </row>
    <row r="12996" spans="1:2" x14ac:dyDescent="0.25">
      <c r="A12996">
        <v>25621</v>
      </c>
      <c r="B12996">
        <v>0</v>
      </c>
    </row>
    <row r="12997" spans="1:2" x14ac:dyDescent="0.25">
      <c r="A12997">
        <v>25622</v>
      </c>
      <c r="B12997">
        <v>0</v>
      </c>
    </row>
    <row r="12998" spans="1:2" x14ac:dyDescent="0.25">
      <c r="A12998">
        <v>25623</v>
      </c>
      <c r="B12998">
        <v>0</v>
      </c>
    </row>
    <row r="12999" spans="1:2" x14ac:dyDescent="0.25">
      <c r="A12999">
        <v>25624</v>
      </c>
      <c r="B12999">
        <v>0</v>
      </c>
    </row>
    <row r="13000" spans="1:2" x14ac:dyDescent="0.25">
      <c r="A13000">
        <v>25625</v>
      </c>
      <c r="B13000">
        <v>0</v>
      </c>
    </row>
    <row r="13001" spans="1:2" x14ac:dyDescent="0.25">
      <c r="A13001">
        <v>25626</v>
      </c>
      <c r="B13001">
        <v>0</v>
      </c>
    </row>
    <row r="13002" spans="1:2" x14ac:dyDescent="0.25">
      <c r="A13002">
        <v>25627</v>
      </c>
      <c r="B13002">
        <v>0</v>
      </c>
    </row>
    <row r="13003" spans="1:2" x14ac:dyDescent="0.25">
      <c r="A13003">
        <v>25628</v>
      </c>
      <c r="B13003">
        <v>0</v>
      </c>
    </row>
    <row r="13004" spans="1:2" x14ac:dyDescent="0.25">
      <c r="A13004">
        <v>25629</v>
      </c>
      <c r="B13004">
        <v>0</v>
      </c>
    </row>
    <row r="13005" spans="1:2" x14ac:dyDescent="0.25">
      <c r="A13005">
        <v>25630</v>
      </c>
      <c r="B13005">
        <v>0</v>
      </c>
    </row>
    <row r="13006" spans="1:2" x14ac:dyDescent="0.25">
      <c r="A13006">
        <v>25631</v>
      </c>
      <c r="B13006">
        <v>0</v>
      </c>
    </row>
    <row r="13007" spans="1:2" x14ac:dyDescent="0.25">
      <c r="A13007">
        <v>25632</v>
      </c>
      <c r="B13007">
        <v>0</v>
      </c>
    </row>
    <row r="13008" spans="1:2" x14ac:dyDescent="0.25">
      <c r="A13008">
        <v>25633</v>
      </c>
      <c r="B13008">
        <v>0</v>
      </c>
    </row>
    <row r="13009" spans="1:2" x14ac:dyDescent="0.25">
      <c r="A13009">
        <v>25635</v>
      </c>
      <c r="B13009">
        <v>0</v>
      </c>
    </row>
    <row r="13010" spans="1:2" x14ac:dyDescent="0.25">
      <c r="A13010">
        <v>25636</v>
      </c>
      <c r="B13010">
        <v>0</v>
      </c>
    </row>
    <row r="13011" spans="1:2" x14ac:dyDescent="0.25">
      <c r="A13011">
        <v>25637</v>
      </c>
      <c r="B13011">
        <v>0</v>
      </c>
    </row>
    <row r="13012" spans="1:2" x14ac:dyDescent="0.25">
      <c r="A13012">
        <v>25653</v>
      </c>
      <c r="B13012">
        <v>0</v>
      </c>
    </row>
    <row r="13013" spans="1:2" x14ac:dyDescent="0.25">
      <c r="A13013">
        <v>25654</v>
      </c>
      <c r="B13013">
        <v>0</v>
      </c>
    </row>
    <row r="13014" spans="1:2" x14ac:dyDescent="0.25">
      <c r="A13014">
        <v>25656</v>
      </c>
      <c r="B13014">
        <v>0</v>
      </c>
    </row>
    <row r="13015" spans="1:2" x14ac:dyDescent="0.25">
      <c r="A13015">
        <v>25657</v>
      </c>
      <c r="B13015">
        <v>0</v>
      </c>
    </row>
    <row r="13016" spans="1:2" x14ac:dyDescent="0.25">
      <c r="A13016">
        <v>25658</v>
      </c>
      <c r="B13016">
        <v>0</v>
      </c>
    </row>
    <row r="13017" spans="1:2" x14ac:dyDescent="0.25">
      <c r="A13017">
        <v>25659</v>
      </c>
      <c r="B13017">
        <v>0</v>
      </c>
    </row>
    <row r="13018" spans="1:2" x14ac:dyDescent="0.25">
      <c r="A13018">
        <v>25660</v>
      </c>
      <c r="B13018">
        <v>0</v>
      </c>
    </row>
    <row r="13019" spans="1:2" x14ac:dyDescent="0.25">
      <c r="A13019">
        <v>25662</v>
      </c>
      <c r="B13019">
        <v>0</v>
      </c>
    </row>
    <row r="13020" spans="1:2" x14ac:dyDescent="0.25">
      <c r="A13020">
        <v>25664</v>
      </c>
      <c r="B13020">
        <v>0</v>
      </c>
    </row>
    <row r="13021" spans="1:2" x14ac:dyDescent="0.25">
      <c r="A13021">
        <v>25666</v>
      </c>
      <c r="B13021">
        <v>0</v>
      </c>
    </row>
    <row r="13022" spans="1:2" x14ac:dyDescent="0.25">
      <c r="A13022">
        <v>25668</v>
      </c>
      <c r="B13022">
        <v>0</v>
      </c>
    </row>
    <row r="13023" spans="1:2" x14ac:dyDescent="0.25">
      <c r="A13023">
        <v>25670</v>
      </c>
      <c r="B13023">
        <v>0</v>
      </c>
    </row>
    <row r="13024" spans="1:2" x14ac:dyDescent="0.25">
      <c r="A13024">
        <v>25673</v>
      </c>
      <c r="B13024">
        <v>0</v>
      </c>
    </row>
    <row r="13025" spans="1:2" x14ac:dyDescent="0.25">
      <c r="A13025">
        <v>25674</v>
      </c>
      <c r="B13025">
        <v>0</v>
      </c>
    </row>
    <row r="13026" spans="1:2" x14ac:dyDescent="0.25">
      <c r="A13026">
        <v>25677</v>
      </c>
      <c r="B13026">
        <v>0</v>
      </c>
    </row>
    <row r="13027" spans="1:2" x14ac:dyDescent="0.25">
      <c r="A13027">
        <v>25678</v>
      </c>
      <c r="B13027">
        <v>0</v>
      </c>
    </row>
    <row r="13028" spans="1:2" x14ac:dyDescent="0.25">
      <c r="A13028">
        <v>25681</v>
      </c>
      <c r="B13028">
        <v>0</v>
      </c>
    </row>
    <row r="13029" spans="1:2" x14ac:dyDescent="0.25">
      <c r="A13029">
        <v>25682</v>
      </c>
      <c r="B13029">
        <v>0</v>
      </c>
    </row>
    <row r="13030" spans="1:2" x14ac:dyDescent="0.25">
      <c r="A13030">
        <v>25684</v>
      </c>
      <c r="B13030">
        <v>0</v>
      </c>
    </row>
    <row r="13031" spans="1:2" x14ac:dyDescent="0.25">
      <c r="A13031">
        <v>25686</v>
      </c>
      <c r="B13031">
        <v>0</v>
      </c>
    </row>
    <row r="13032" spans="1:2" x14ac:dyDescent="0.25">
      <c r="A13032">
        <v>25688</v>
      </c>
      <c r="B13032">
        <v>0</v>
      </c>
    </row>
    <row r="13033" spans="1:2" x14ac:dyDescent="0.25">
      <c r="A13033">
        <v>25690</v>
      </c>
      <c r="B13033">
        <v>0</v>
      </c>
    </row>
    <row r="13034" spans="1:2" x14ac:dyDescent="0.25">
      <c r="A13034">
        <v>25692</v>
      </c>
      <c r="B13034">
        <v>0</v>
      </c>
    </row>
    <row r="13035" spans="1:2" x14ac:dyDescent="0.25">
      <c r="A13035">
        <v>25694</v>
      </c>
      <c r="B13035">
        <v>0</v>
      </c>
    </row>
    <row r="13036" spans="1:2" x14ac:dyDescent="0.25">
      <c r="A13036">
        <v>25696</v>
      </c>
      <c r="B13036">
        <v>0</v>
      </c>
    </row>
    <row r="13037" spans="1:2" x14ac:dyDescent="0.25">
      <c r="A13037">
        <v>25699</v>
      </c>
      <c r="B13037">
        <v>0</v>
      </c>
    </row>
    <row r="13038" spans="1:2" x14ac:dyDescent="0.25">
      <c r="A13038">
        <v>25700</v>
      </c>
      <c r="B13038">
        <v>0</v>
      </c>
    </row>
    <row r="13039" spans="1:2" x14ac:dyDescent="0.25">
      <c r="A13039">
        <v>25702</v>
      </c>
      <c r="B13039">
        <v>0</v>
      </c>
    </row>
    <row r="13040" spans="1:2" x14ac:dyDescent="0.25">
      <c r="A13040">
        <v>25704</v>
      </c>
      <c r="B13040">
        <v>0</v>
      </c>
    </row>
    <row r="13041" spans="1:2" x14ac:dyDescent="0.25">
      <c r="A13041">
        <v>25706</v>
      </c>
      <c r="B13041">
        <v>0</v>
      </c>
    </row>
    <row r="13042" spans="1:2" x14ac:dyDescent="0.25">
      <c r="A13042">
        <v>25708</v>
      </c>
      <c r="B13042">
        <v>0</v>
      </c>
    </row>
    <row r="13043" spans="1:2" x14ac:dyDescent="0.25">
      <c r="A13043">
        <v>25710</v>
      </c>
      <c r="B13043">
        <v>0</v>
      </c>
    </row>
    <row r="13044" spans="1:2" x14ac:dyDescent="0.25">
      <c r="A13044">
        <v>25712</v>
      </c>
      <c r="B13044">
        <v>0</v>
      </c>
    </row>
    <row r="13045" spans="1:2" x14ac:dyDescent="0.25">
      <c r="A13045">
        <v>25714</v>
      </c>
      <c r="B13045">
        <v>0</v>
      </c>
    </row>
    <row r="13046" spans="1:2" x14ac:dyDescent="0.25">
      <c r="A13046">
        <v>25716</v>
      </c>
      <c r="B13046">
        <v>0</v>
      </c>
    </row>
    <row r="13047" spans="1:2" x14ac:dyDescent="0.25">
      <c r="A13047">
        <v>25718</v>
      </c>
      <c r="B13047">
        <v>0</v>
      </c>
    </row>
    <row r="13048" spans="1:2" x14ac:dyDescent="0.25">
      <c r="A13048">
        <v>25720</v>
      </c>
      <c r="B13048">
        <v>0</v>
      </c>
    </row>
    <row r="13049" spans="1:2" x14ac:dyDescent="0.25">
      <c r="A13049">
        <v>25723</v>
      </c>
      <c r="B13049">
        <v>0</v>
      </c>
    </row>
    <row r="13050" spans="1:2" x14ac:dyDescent="0.25">
      <c r="A13050">
        <v>25724</v>
      </c>
      <c r="B13050">
        <v>0</v>
      </c>
    </row>
    <row r="13051" spans="1:2" x14ac:dyDescent="0.25">
      <c r="A13051">
        <v>25727</v>
      </c>
      <c r="B13051">
        <v>0</v>
      </c>
    </row>
    <row r="13052" spans="1:2" x14ac:dyDescent="0.25">
      <c r="A13052">
        <v>25728</v>
      </c>
      <c r="B13052">
        <v>0</v>
      </c>
    </row>
    <row r="13053" spans="1:2" x14ac:dyDescent="0.25">
      <c r="A13053">
        <v>25730</v>
      </c>
      <c r="B13053">
        <v>0</v>
      </c>
    </row>
    <row r="13054" spans="1:2" x14ac:dyDescent="0.25">
      <c r="A13054">
        <v>25732</v>
      </c>
      <c r="B13054">
        <v>0</v>
      </c>
    </row>
    <row r="13055" spans="1:2" x14ac:dyDescent="0.25">
      <c r="A13055">
        <v>25734</v>
      </c>
      <c r="B13055">
        <v>0</v>
      </c>
    </row>
    <row r="13056" spans="1:2" x14ac:dyDescent="0.25">
      <c r="A13056">
        <v>25736</v>
      </c>
      <c r="B13056">
        <v>0</v>
      </c>
    </row>
    <row r="13057" spans="1:2" x14ac:dyDescent="0.25">
      <c r="A13057">
        <v>25738</v>
      </c>
      <c r="B13057">
        <v>0</v>
      </c>
    </row>
    <row r="13058" spans="1:2" x14ac:dyDescent="0.25">
      <c r="A13058">
        <v>25740</v>
      </c>
      <c r="B13058">
        <v>0</v>
      </c>
    </row>
    <row r="13059" spans="1:2" x14ac:dyDescent="0.25">
      <c r="A13059">
        <v>25742</v>
      </c>
      <c r="B13059">
        <v>0</v>
      </c>
    </row>
    <row r="13060" spans="1:2" x14ac:dyDescent="0.25">
      <c r="A13060">
        <v>25744</v>
      </c>
      <c r="B13060">
        <v>0</v>
      </c>
    </row>
    <row r="13061" spans="1:2" x14ac:dyDescent="0.25">
      <c r="A13061">
        <v>25746</v>
      </c>
      <c r="B13061">
        <v>0</v>
      </c>
    </row>
    <row r="13062" spans="1:2" x14ac:dyDescent="0.25">
      <c r="A13062">
        <v>25748</v>
      </c>
      <c r="B13062">
        <v>0</v>
      </c>
    </row>
    <row r="13063" spans="1:2" x14ac:dyDescent="0.25">
      <c r="A13063">
        <v>25750</v>
      </c>
      <c r="B13063">
        <v>0</v>
      </c>
    </row>
    <row r="13064" spans="1:2" x14ac:dyDescent="0.25">
      <c r="A13064">
        <v>25752</v>
      </c>
      <c r="B13064">
        <v>0</v>
      </c>
    </row>
    <row r="13065" spans="1:2" x14ac:dyDescent="0.25">
      <c r="A13065">
        <v>25754</v>
      </c>
      <c r="B13065">
        <v>0</v>
      </c>
    </row>
    <row r="13066" spans="1:2" x14ac:dyDescent="0.25">
      <c r="A13066">
        <v>25756</v>
      </c>
      <c r="B13066">
        <v>0</v>
      </c>
    </row>
    <row r="13067" spans="1:2" x14ac:dyDescent="0.25">
      <c r="A13067">
        <v>25758</v>
      </c>
      <c r="B13067">
        <v>0</v>
      </c>
    </row>
    <row r="13068" spans="1:2" x14ac:dyDescent="0.25">
      <c r="A13068">
        <v>25760</v>
      </c>
      <c r="B13068">
        <v>0</v>
      </c>
    </row>
    <row r="13069" spans="1:2" x14ac:dyDescent="0.25">
      <c r="A13069">
        <v>25762</v>
      </c>
      <c r="B13069">
        <v>0</v>
      </c>
    </row>
    <row r="13070" spans="1:2" x14ac:dyDescent="0.25">
      <c r="A13070">
        <v>25764</v>
      </c>
      <c r="B13070">
        <v>0</v>
      </c>
    </row>
    <row r="13071" spans="1:2" x14ac:dyDescent="0.25">
      <c r="A13071">
        <v>25766</v>
      </c>
      <c r="B13071">
        <v>0</v>
      </c>
    </row>
    <row r="13072" spans="1:2" x14ac:dyDescent="0.25">
      <c r="A13072">
        <v>25767</v>
      </c>
      <c r="B13072">
        <v>0</v>
      </c>
    </row>
    <row r="13073" spans="1:2" x14ac:dyDescent="0.25">
      <c r="A13073">
        <v>25770</v>
      </c>
      <c r="B13073">
        <v>0</v>
      </c>
    </row>
    <row r="13074" spans="1:2" x14ac:dyDescent="0.25">
      <c r="A13074">
        <v>25772</v>
      </c>
      <c r="B13074">
        <v>0</v>
      </c>
    </row>
    <row r="13075" spans="1:2" x14ac:dyDescent="0.25">
      <c r="A13075">
        <v>25775</v>
      </c>
      <c r="B13075">
        <v>0</v>
      </c>
    </row>
    <row r="13076" spans="1:2" x14ac:dyDescent="0.25">
      <c r="A13076">
        <v>25776</v>
      </c>
      <c r="B13076">
        <v>0</v>
      </c>
    </row>
    <row r="13077" spans="1:2" x14ac:dyDescent="0.25">
      <c r="A13077">
        <v>25778</v>
      </c>
      <c r="B13077">
        <v>0</v>
      </c>
    </row>
    <row r="13078" spans="1:2" x14ac:dyDescent="0.25">
      <c r="A13078">
        <v>25780</v>
      </c>
      <c r="B13078">
        <v>0</v>
      </c>
    </row>
    <row r="13079" spans="1:2" x14ac:dyDescent="0.25">
      <c r="A13079">
        <v>25782</v>
      </c>
      <c r="B13079">
        <v>0</v>
      </c>
    </row>
    <row r="13080" spans="1:2" x14ac:dyDescent="0.25">
      <c r="A13080">
        <v>25784</v>
      </c>
      <c r="B13080">
        <v>0</v>
      </c>
    </row>
    <row r="13081" spans="1:2" x14ac:dyDescent="0.25">
      <c r="A13081">
        <v>25786</v>
      </c>
      <c r="B13081">
        <v>0</v>
      </c>
    </row>
    <row r="13082" spans="1:2" x14ac:dyDescent="0.25">
      <c r="A13082">
        <v>25788</v>
      </c>
      <c r="B13082">
        <v>0</v>
      </c>
    </row>
    <row r="13083" spans="1:2" x14ac:dyDescent="0.25">
      <c r="A13083">
        <v>25790</v>
      </c>
      <c r="B13083">
        <v>0</v>
      </c>
    </row>
    <row r="13084" spans="1:2" x14ac:dyDescent="0.25">
      <c r="A13084">
        <v>25792</v>
      </c>
      <c r="B13084">
        <v>0</v>
      </c>
    </row>
    <row r="13085" spans="1:2" x14ac:dyDescent="0.25">
      <c r="A13085">
        <v>25794</v>
      </c>
      <c r="B13085">
        <v>0</v>
      </c>
    </row>
    <row r="13086" spans="1:2" x14ac:dyDescent="0.25">
      <c r="A13086">
        <v>25796</v>
      </c>
      <c r="B13086">
        <v>0</v>
      </c>
    </row>
    <row r="13087" spans="1:2" x14ac:dyDescent="0.25">
      <c r="A13087">
        <v>25798</v>
      </c>
      <c r="B13087">
        <v>0</v>
      </c>
    </row>
    <row r="13088" spans="1:2" x14ac:dyDescent="0.25">
      <c r="A13088">
        <v>25800</v>
      </c>
      <c r="B13088">
        <v>0</v>
      </c>
    </row>
    <row r="13089" spans="1:2" x14ac:dyDescent="0.25">
      <c r="A13089">
        <v>25802</v>
      </c>
      <c r="B13089">
        <v>0</v>
      </c>
    </row>
    <row r="13090" spans="1:2" x14ac:dyDescent="0.25">
      <c r="A13090">
        <v>25803</v>
      </c>
      <c r="B13090">
        <v>0</v>
      </c>
    </row>
    <row r="13091" spans="1:2" x14ac:dyDescent="0.25">
      <c r="A13091">
        <v>25804</v>
      </c>
      <c r="B13091">
        <v>0</v>
      </c>
    </row>
    <row r="13092" spans="1:2" x14ac:dyDescent="0.25">
      <c r="A13092">
        <v>25805</v>
      </c>
      <c r="B13092">
        <v>0</v>
      </c>
    </row>
    <row r="13093" spans="1:2" x14ac:dyDescent="0.25">
      <c r="A13093">
        <v>25806</v>
      </c>
      <c r="B13093">
        <v>0</v>
      </c>
    </row>
    <row r="13094" spans="1:2" x14ac:dyDescent="0.25">
      <c r="A13094">
        <v>25807</v>
      </c>
      <c r="B13094">
        <v>0</v>
      </c>
    </row>
    <row r="13095" spans="1:2" x14ac:dyDescent="0.25">
      <c r="A13095">
        <v>25809</v>
      </c>
      <c r="B13095">
        <v>0</v>
      </c>
    </row>
    <row r="13096" spans="1:2" x14ac:dyDescent="0.25">
      <c r="A13096">
        <v>25810</v>
      </c>
      <c r="B13096">
        <v>0</v>
      </c>
    </row>
    <row r="13097" spans="1:2" x14ac:dyDescent="0.25">
      <c r="A13097">
        <v>25811</v>
      </c>
      <c r="B13097">
        <v>0</v>
      </c>
    </row>
    <row r="13098" spans="1:2" x14ac:dyDescent="0.25">
      <c r="A13098">
        <v>25813</v>
      </c>
      <c r="B13098">
        <v>0</v>
      </c>
    </row>
    <row r="13099" spans="1:2" x14ac:dyDescent="0.25">
      <c r="A13099">
        <v>25814</v>
      </c>
      <c r="B13099">
        <v>0</v>
      </c>
    </row>
    <row r="13100" spans="1:2" x14ac:dyDescent="0.25">
      <c r="A13100">
        <v>25816</v>
      </c>
      <c r="B13100">
        <v>0</v>
      </c>
    </row>
    <row r="13101" spans="1:2" x14ac:dyDescent="0.25">
      <c r="A13101">
        <v>25818</v>
      </c>
      <c r="B13101">
        <v>0</v>
      </c>
    </row>
    <row r="13102" spans="1:2" x14ac:dyDescent="0.25">
      <c r="A13102">
        <v>25820</v>
      </c>
      <c r="B13102">
        <v>0</v>
      </c>
    </row>
    <row r="13103" spans="1:2" x14ac:dyDescent="0.25">
      <c r="A13103">
        <v>25822</v>
      </c>
      <c r="B13103">
        <v>0</v>
      </c>
    </row>
    <row r="13104" spans="1:2" x14ac:dyDescent="0.25">
      <c r="A13104">
        <v>25824</v>
      </c>
      <c r="B13104">
        <v>0</v>
      </c>
    </row>
    <row r="13105" spans="1:2" x14ac:dyDescent="0.25">
      <c r="A13105">
        <v>25826</v>
      </c>
      <c r="B13105">
        <v>0</v>
      </c>
    </row>
    <row r="13106" spans="1:2" x14ac:dyDescent="0.25">
      <c r="A13106">
        <v>25828</v>
      </c>
      <c r="B13106">
        <v>0</v>
      </c>
    </row>
    <row r="13107" spans="1:2" x14ac:dyDescent="0.25">
      <c r="A13107">
        <v>25830</v>
      </c>
      <c r="B13107">
        <v>0</v>
      </c>
    </row>
    <row r="13108" spans="1:2" x14ac:dyDescent="0.25">
      <c r="A13108">
        <v>25832</v>
      </c>
      <c r="B13108">
        <v>0</v>
      </c>
    </row>
    <row r="13109" spans="1:2" x14ac:dyDescent="0.25">
      <c r="A13109">
        <v>25833</v>
      </c>
      <c r="B13109">
        <v>0</v>
      </c>
    </row>
    <row r="13110" spans="1:2" x14ac:dyDescent="0.25">
      <c r="A13110">
        <v>25835</v>
      </c>
      <c r="B13110">
        <v>0</v>
      </c>
    </row>
    <row r="13111" spans="1:2" x14ac:dyDescent="0.25">
      <c r="A13111">
        <v>25837</v>
      </c>
      <c r="B13111">
        <v>0</v>
      </c>
    </row>
    <row r="13112" spans="1:2" x14ac:dyDescent="0.25">
      <c r="A13112">
        <v>25839</v>
      </c>
      <c r="B13112">
        <v>0</v>
      </c>
    </row>
    <row r="13113" spans="1:2" x14ac:dyDescent="0.25">
      <c r="A13113">
        <v>25841</v>
      </c>
      <c r="B13113">
        <v>0</v>
      </c>
    </row>
    <row r="13114" spans="1:2" x14ac:dyDescent="0.25">
      <c r="A13114">
        <v>25843</v>
      </c>
      <c r="B13114">
        <v>0</v>
      </c>
    </row>
    <row r="13115" spans="1:2" x14ac:dyDescent="0.25">
      <c r="A13115">
        <v>25845</v>
      </c>
      <c r="B13115">
        <v>0</v>
      </c>
    </row>
    <row r="13116" spans="1:2" x14ac:dyDescent="0.25">
      <c r="A13116">
        <v>25847</v>
      </c>
      <c r="B13116">
        <v>0</v>
      </c>
    </row>
    <row r="13117" spans="1:2" x14ac:dyDescent="0.25">
      <c r="A13117">
        <v>25849</v>
      </c>
      <c r="B13117">
        <v>0</v>
      </c>
    </row>
    <row r="13118" spans="1:2" x14ac:dyDescent="0.25">
      <c r="A13118">
        <v>25851</v>
      </c>
      <c r="B13118">
        <v>0</v>
      </c>
    </row>
    <row r="13119" spans="1:2" x14ac:dyDescent="0.25">
      <c r="A13119">
        <v>25853</v>
      </c>
      <c r="B13119">
        <v>0</v>
      </c>
    </row>
    <row r="13120" spans="1:2" x14ac:dyDescent="0.25">
      <c r="A13120">
        <v>25856</v>
      </c>
      <c r="B13120">
        <v>0</v>
      </c>
    </row>
    <row r="13121" spans="1:2" x14ac:dyDescent="0.25">
      <c r="A13121">
        <v>25859</v>
      </c>
      <c r="B13121">
        <v>0</v>
      </c>
    </row>
    <row r="13122" spans="1:2" x14ac:dyDescent="0.25">
      <c r="A13122">
        <v>25861</v>
      </c>
      <c r="B13122">
        <v>0</v>
      </c>
    </row>
    <row r="13123" spans="1:2" x14ac:dyDescent="0.25">
      <c r="A13123">
        <v>25862</v>
      </c>
      <c r="B13123">
        <v>0</v>
      </c>
    </row>
    <row r="13124" spans="1:2" x14ac:dyDescent="0.25">
      <c r="A13124">
        <v>25864</v>
      </c>
      <c r="B13124">
        <v>0</v>
      </c>
    </row>
    <row r="13125" spans="1:2" x14ac:dyDescent="0.25">
      <c r="A13125">
        <v>25867</v>
      </c>
      <c r="B13125">
        <v>0</v>
      </c>
    </row>
    <row r="13126" spans="1:2" x14ac:dyDescent="0.25">
      <c r="A13126">
        <v>25868</v>
      </c>
      <c r="B13126">
        <v>0</v>
      </c>
    </row>
    <row r="13127" spans="1:2" x14ac:dyDescent="0.25">
      <c r="A13127">
        <v>25870</v>
      </c>
      <c r="B13127">
        <v>0</v>
      </c>
    </row>
    <row r="13128" spans="1:2" x14ac:dyDescent="0.25">
      <c r="A13128">
        <v>25872</v>
      </c>
      <c r="B13128">
        <v>0</v>
      </c>
    </row>
    <row r="13129" spans="1:2" x14ac:dyDescent="0.25">
      <c r="A13129">
        <v>25874</v>
      </c>
      <c r="B13129">
        <v>0</v>
      </c>
    </row>
    <row r="13130" spans="1:2" x14ac:dyDescent="0.25">
      <c r="A13130">
        <v>25877</v>
      </c>
      <c r="B13130">
        <v>0</v>
      </c>
    </row>
    <row r="13131" spans="1:2" x14ac:dyDescent="0.25">
      <c r="A13131">
        <v>25878</v>
      </c>
      <c r="B13131">
        <v>0</v>
      </c>
    </row>
    <row r="13132" spans="1:2" x14ac:dyDescent="0.25">
      <c r="A13132">
        <v>25881</v>
      </c>
      <c r="B13132">
        <v>0</v>
      </c>
    </row>
    <row r="13133" spans="1:2" x14ac:dyDescent="0.25">
      <c r="A13133">
        <v>25882</v>
      </c>
      <c r="B13133">
        <v>0</v>
      </c>
    </row>
    <row r="13134" spans="1:2" x14ac:dyDescent="0.25">
      <c r="A13134">
        <v>25885</v>
      </c>
      <c r="B13134">
        <v>0</v>
      </c>
    </row>
    <row r="13135" spans="1:2" x14ac:dyDescent="0.25">
      <c r="A13135">
        <v>25887</v>
      </c>
      <c r="B13135">
        <v>0</v>
      </c>
    </row>
    <row r="13136" spans="1:2" x14ac:dyDescent="0.25">
      <c r="A13136">
        <v>25888</v>
      </c>
      <c r="B13136">
        <v>0</v>
      </c>
    </row>
    <row r="13137" spans="1:2" x14ac:dyDescent="0.25">
      <c r="A13137">
        <v>25890</v>
      </c>
      <c r="B13137">
        <v>0</v>
      </c>
    </row>
    <row r="13138" spans="1:2" x14ac:dyDescent="0.25">
      <c r="A13138">
        <v>25892</v>
      </c>
      <c r="B13138">
        <v>0</v>
      </c>
    </row>
    <row r="13139" spans="1:2" x14ac:dyDescent="0.25">
      <c r="A13139">
        <v>25894</v>
      </c>
      <c r="B13139">
        <v>0</v>
      </c>
    </row>
    <row r="13140" spans="1:2" x14ac:dyDescent="0.25">
      <c r="A13140">
        <v>25896</v>
      </c>
      <c r="B13140">
        <v>0</v>
      </c>
    </row>
    <row r="13141" spans="1:2" x14ac:dyDescent="0.25">
      <c r="A13141">
        <v>25899</v>
      </c>
      <c r="B13141">
        <v>0</v>
      </c>
    </row>
    <row r="13142" spans="1:2" x14ac:dyDescent="0.25">
      <c r="A13142">
        <v>25901</v>
      </c>
      <c r="B13142">
        <v>0</v>
      </c>
    </row>
    <row r="13143" spans="1:2" x14ac:dyDescent="0.25">
      <c r="A13143">
        <v>25902</v>
      </c>
      <c r="B13143">
        <v>0</v>
      </c>
    </row>
    <row r="13144" spans="1:2" x14ac:dyDescent="0.25">
      <c r="A13144">
        <v>25904</v>
      </c>
      <c r="B13144">
        <v>0</v>
      </c>
    </row>
    <row r="13145" spans="1:2" x14ac:dyDescent="0.25">
      <c r="A13145">
        <v>25906</v>
      </c>
      <c r="B13145">
        <v>0</v>
      </c>
    </row>
    <row r="13146" spans="1:2" x14ac:dyDescent="0.25">
      <c r="A13146">
        <v>25908</v>
      </c>
      <c r="B13146">
        <v>0</v>
      </c>
    </row>
    <row r="13147" spans="1:2" x14ac:dyDescent="0.25">
      <c r="A13147">
        <v>25910</v>
      </c>
      <c r="B13147">
        <v>0</v>
      </c>
    </row>
    <row r="13148" spans="1:2" x14ac:dyDescent="0.25">
      <c r="A13148">
        <v>25912</v>
      </c>
      <c r="B13148">
        <v>0</v>
      </c>
    </row>
    <row r="13149" spans="1:2" x14ac:dyDescent="0.25">
      <c r="A13149">
        <v>25914</v>
      </c>
      <c r="B13149">
        <v>0</v>
      </c>
    </row>
    <row r="13150" spans="1:2" x14ac:dyDescent="0.25">
      <c r="A13150">
        <v>25916</v>
      </c>
      <c r="B13150">
        <v>0</v>
      </c>
    </row>
    <row r="13151" spans="1:2" x14ac:dyDescent="0.25">
      <c r="A13151">
        <v>25918</v>
      </c>
      <c r="B13151">
        <v>0</v>
      </c>
    </row>
    <row r="13152" spans="1:2" x14ac:dyDescent="0.25">
      <c r="A13152">
        <v>25920</v>
      </c>
      <c r="B13152">
        <v>0</v>
      </c>
    </row>
    <row r="13153" spans="1:2" x14ac:dyDescent="0.25">
      <c r="A13153">
        <v>25922</v>
      </c>
      <c r="B13153">
        <v>0</v>
      </c>
    </row>
    <row r="13154" spans="1:2" x14ac:dyDescent="0.25">
      <c r="A13154">
        <v>25924</v>
      </c>
      <c r="B13154">
        <v>0</v>
      </c>
    </row>
    <row r="13155" spans="1:2" x14ac:dyDescent="0.25">
      <c r="A13155">
        <v>25926</v>
      </c>
      <c r="B13155">
        <v>0</v>
      </c>
    </row>
    <row r="13156" spans="1:2" x14ac:dyDescent="0.25">
      <c r="A13156">
        <v>25927</v>
      </c>
      <c r="B13156">
        <v>0</v>
      </c>
    </row>
    <row r="13157" spans="1:2" x14ac:dyDescent="0.25">
      <c r="A13157">
        <v>25928</v>
      </c>
      <c r="B13157">
        <v>0</v>
      </c>
    </row>
    <row r="13158" spans="1:2" x14ac:dyDescent="0.25">
      <c r="A13158">
        <v>25929</v>
      </c>
      <c r="B13158">
        <v>0</v>
      </c>
    </row>
    <row r="13159" spans="1:2" x14ac:dyDescent="0.25">
      <c r="A13159">
        <v>25930</v>
      </c>
      <c r="B13159">
        <v>0</v>
      </c>
    </row>
    <row r="13160" spans="1:2" x14ac:dyDescent="0.25">
      <c r="A13160">
        <v>25931</v>
      </c>
      <c r="B13160">
        <v>0</v>
      </c>
    </row>
    <row r="13161" spans="1:2" x14ac:dyDescent="0.25">
      <c r="A13161">
        <v>25932</v>
      </c>
      <c r="B13161">
        <v>0</v>
      </c>
    </row>
    <row r="13162" spans="1:2" x14ac:dyDescent="0.25">
      <c r="A13162">
        <v>25933</v>
      </c>
      <c r="B13162">
        <v>0</v>
      </c>
    </row>
    <row r="13163" spans="1:2" x14ac:dyDescent="0.25">
      <c r="A13163">
        <v>25934</v>
      </c>
      <c r="B13163">
        <v>0</v>
      </c>
    </row>
    <row r="13164" spans="1:2" x14ac:dyDescent="0.25">
      <c r="A13164">
        <v>25935</v>
      </c>
      <c r="B13164">
        <v>0</v>
      </c>
    </row>
    <row r="13165" spans="1:2" x14ac:dyDescent="0.25">
      <c r="A13165">
        <v>25936</v>
      </c>
      <c r="B13165">
        <v>0</v>
      </c>
    </row>
    <row r="13166" spans="1:2" x14ac:dyDescent="0.25">
      <c r="A13166">
        <v>25937</v>
      </c>
      <c r="B13166">
        <v>0</v>
      </c>
    </row>
    <row r="13167" spans="1:2" x14ac:dyDescent="0.25">
      <c r="A13167">
        <v>25938</v>
      </c>
      <c r="B13167">
        <v>0</v>
      </c>
    </row>
    <row r="13168" spans="1:2" x14ac:dyDescent="0.25">
      <c r="A13168">
        <v>25939</v>
      </c>
      <c r="B13168">
        <v>0</v>
      </c>
    </row>
    <row r="13169" spans="1:2" x14ac:dyDescent="0.25">
      <c r="A13169">
        <v>25940</v>
      </c>
      <c r="B13169">
        <v>0</v>
      </c>
    </row>
    <row r="13170" spans="1:2" x14ac:dyDescent="0.25">
      <c r="A13170">
        <v>25942</v>
      </c>
      <c r="B13170">
        <v>0</v>
      </c>
    </row>
    <row r="13171" spans="1:2" x14ac:dyDescent="0.25">
      <c r="A13171">
        <v>25944</v>
      </c>
      <c r="B13171">
        <v>0</v>
      </c>
    </row>
    <row r="13172" spans="1:2" x14ac:dyDescent="0.25">
      <c r="A13172">
        <v>25946</v>
      </c>
      <c r="B13172">
        <v>0</v>
      </c>
    </row>
    <row r="13173" spans="1:2" x14ac:dyDescent="0.25">
      <c r="A13173">
        <v>25948</v>
      </c>
      <c r="B13173">
        <v>0</v>
      </c>
    </row>
    <row r="13174" spans="1:2" x14ac:dyDescent="0.25">
      <c r="A13174">
        <v>25949</v>
      </c>
      <c r="B13174">
        <v>0</v>
      </c>
    </row>
    <row r="13175" spans="1:2" x14ac:dyDescent="0.25">
      <c r="A13175">
        <v>25952</v>
      </c>
      <c r="B13175">
        <v>0</v>
      </c>
    </row>
    <row r="13176" spans="1:2" x14ac:dyDescent="0.25">
      <c r="A13176">
        <v>25953</v>
      </c>
      <c r="B13176">
        <v>0</v>
      </c>
    </row>
    <row r="13177" spans="1:2" x14ac:dyDescent="0.25">
      <c r="A13177">
        <v>25954</v>
      </c>
      <c r="B13177">
        <v>0</v>
      </c>
    </row>
    <row r="13178" spans="1:2" x14ac:dyDescent="0.25">
      <c r="A13178">
        <v>25957</v>
      </c>
      <c r="B13178">
        <v>0</v>
      </c>
    </row>
    <row r="13179" spans="1:2" x14ac:dyDescent="0.25">
      <c r="A13179">
        <v>25958</v>
      </c>
      <c r="B13179">
        <v>0</v>
      </c>
    </row>
    <row r="13180" spans="1:2" x14ac:dyDescent="0.25">
      <c r="A13180">
        <v>25961</v>
      </c>
      <c r="B13180">
        <v>0</v>
      </c>
    </row>
    <row r="13181" spans="1:2" x14ac:dyDescent="0.25">
      <c r="A13181">
        <v>25962</v>
      </c>
      <c r="B13181">
        <v>0</v>
      </c>
    </row>
    <row r="13182" spans="1:2" x14ac:dyDescent="0.25">
      <c r="A13182">
        <v>25964</v>
      </c>
      <c r="B13182">
        <v>0</v>
      </c>
    </row>
    <row r="13183" spans="1:2" x14ac:dyDescent="0.25">
      <c r="A13183">
        <v>25967</v>
      </c>
      <c r="B13183">
        <v>0</v>
      </c>
    </row>
    <row r="13184" spans="1:2" x14ac:dyDescent="0.25">
      <c r="A13184">
        <v>25968</v>
      </c>
      <c r="B13184">
        <v>0</v>
      </c>
    </row>
    <row r="13185" spans="1:2" x14ac:dyDescent="0.25">
      <c r="A13185">
        <v>25969</v>
      </c>
      <c r="B13185">
        <v>0</v>
      </c>
    </row>
    <row r="13186" spans="1:2" x14ac:dyDescent="0.25">
      <c r="A13186">
        <v>25970</v>
      </c>
      <c r="B13186">
        <v>0</v>
      </c>
    </row>
    <row r="13187" spans="1:2" x14ac:dyDescent="0.25">
      <c r="A13187">
        <v>25971</v>
      </c>
      <c r="B13187">
        <v>0</v>
      </c>
    </row>
    <row r="13188" spans="1:2" x14ac:dyDescent="0.25">
      <c r="A13188">
        <v>25972</v>
      </c>
      <c r="B13188">
        <v>0</v>
      </c>
    </row>
    <row r="13189" spans="1:2" x14ac:dyDescent="0.25">
      <c r="A13189">
        <v>25974</v>
      </c>
      <c r="B13189">
        <v>0</v>
      </c>
    </row>
    <row r="13190" spans="1:2" x14ac:dyDescent="0.25">
      <c r="A13190">
        <v>25976</v>
      </c>
      <c r="B13190">
        <v>0</v>
      </c>
    </row>
    <row r="13191" spans="1:2" x14ac:dyDescent="0.25">
      <c r="A13191">
        <v>25978</v>
      </c>
      <c r="B13191">
        <v>0</v>
      </c>
    </row>
    <row r="13192" spans="1:2" x14ac:dyDescent="0.25">
      <c r="A13192">
        <v>25979</v>
      </c>
      <c r="B13192">
        <v>0</v>
      </c>
    </row>
    <row r="13193" spans="1:2" x14ac:dyDescent="0.25">
      <c r="A13193">
        <v>25983</v>
      </c>
      <c r="B13193">
        <v>0</v>
      </c>
    </row>
    <row r="13194" spans="1:2" x14ac:dyDescent="0.25">
      <c r="A13194">
        <v>25985</v>
      </c>
      <c r="B13194">
        <v>0</v>
      </c>
    </row>
    <row r="13195" spans="1:2" x14ac:dyDescent="0.25">
      <c r="A13195">
        <v>25986</v>
      </c>
      <c r="B13195">
        <v>0</v>
      </c>
    </row>
    <row r="13196" spans="1:2" x14ac:dyDescent="0.25">
      <c r="A13196">
        <v>25987</v>
      </c>
      <c r="B13196">
        <v>0</v>
      </c>
    </row>
    <row r="13197" spans="1:2" x14ac:dyDescent="0.25">
      <c r="A13197">
        <v>25989</v>
      </c>
      <c r="B13197">
        <v>0</v>
      </c>
    </row>
    <row r="13198" spans="1:2" x14ac:dyDescent="0.25">
      <c r="A13198">
        <v>25991</v>
      </c>
      <c r="B13198">
        <v>0</v>
      </c>
    </row>
    <row r="13199" spans="1:2" x14ac:dyDescent="0.25">
      <c r="A13199">
        <v>25995</v>
      </c>
      <c r="B13199">
        <v>0</v>
      </c>
    </row>
    <row r="13200" spans="1:2" x14ac:dyDescent="0.25">
      <c r="A13200">
        <v>25998</v>
      </c>
      <c r="B13200">
        <v>0</v>
      </c>
    </row>
    <row r="13201" spans="1:2" x14ac:dyDescent="0.25">
      <c r="A13201">
        <v>25999</v>
      </c>
      <c r="B13201">
        <v>0</v>
      </c>
    </row>
    <row r="13202" spans="1:2" x14ac:dyDescent="0.25">
      <c r="A13202">
        <v>26016</v>
      </c>
      <c r="B13202">
        <v>0</v>
      </c>
    </row>
    <row r="13203" spans="1:2" x14ac:dyDescent="0.25">
      <c r="A13203">
        <v>26017</v>
      </c>
      <c r="B13203">
        <v>0</v>
      </c>
    </row>
    <row r="13204" spans="1:2" x14ac:dyDescent="0.25">
      <c r="A13204">
        <v>26018</v>
      </c>
      <c r="B13204">
        <v>0</v>
      </c>
    </row>
    <row r="13205" spans="1:2" x14ac:dyDescent="0.25">
      <c r="A13205">
        <v>26019</v>
      </c>
      <c r="B13205">
        <v>0</v>
      </c>
    </row>
    <row r="13206" spans="1:2" x14ac:dyDescent="0.25">
      <c r="A13206">
        <v>26020</v>
      </c>
      <c r="B13206">
        <v>0</v>
      </c>
    </row>
    <row r="13207" spans="1:2" x14ac:dyDescent="0.25">
      <c r="A13207">
        <v>26021</v>
      </c>
      <c r="B13207">
        <v>0</v>
      </c>
    </row>
    <row r="13208" spans="1:2" x14ac:dyDescent="0.25">
      <c r="A13208">
        <v>26022</v>
      </c>
      <c r="B13208">
        <v>0</v>
      </c>
    </row>
    <row r="13209" spans="1:2" x14ac:dyDescent="0.25">
      <c r="A13209">
        <v>26023</v>
      </c>
      <c r="B13209">
        <v>0</v>
      </c>
    </row>
    <row r="13210" spans="1:2" x14ac:dyDescent="0.25">
      <c r="A13210">
        <v>26024</v>
      </c>
      <c r="B13210">
        <v>0</v>
      </c>
    </row>
    <row r="13211" spans="1:2" x14ac:dyDescent="0.25">
      <c r="A13211">
        <v>26025</v>
      </c>
      <c r="B13211">
        <v>0</v>
      </c>
    </row>
    <row r="13212" spans="1:2" x14ac:dyDescent="0.25">
      <c r="A13212">
        <v>26026</v>
      </c>
      <c r="B13212">
        <v>0</v>
      </c>
    </row>
    <row r="13213" spans="1:2" x14ac:dyDescent="0.25">
      <c r="A13213">
        <v>26027</v>
      </c>
      <c r="B13213">
        <v>0</v>
      </c>
    </row>
    <row r="13214" spans="1:2" x14ac:dyDescent="0.25">
      <c r="A13214">
        <v>26028</v>
      </c>
      <c r="B13214">
        <v>0</v>
      </c>
    </row>
    <row r="13215" spans="1:2" x14ac:dyDescent="0.25">
      <c r="A13215">
        <v>26029</v>
      </c>
      <c r="B13215">
        <v>0</v>
      </c>
    </row>
    <row r="13216" spans="1:2" x14ac:dyDescent="0.25">
      <c r="A13216">
        <v>26030</v>
      </c>
      <c r="B13216">
        <v>0</v>
      </c>
    </row>
    <row r="13217" spans="1:2" x14ac:dyDescent="0.25">
      <c r="A13217">
        <v>26031</v>
      </c>
      <c r="B13217">
        <v>0</v>
      </c>
    </row>
    <row r="13218" spans="1:2" x14ac:dyDescent="0.25">
      <c r="A13218">
        <v>26032</v>
      </c>
      <c r="B13218">
        <v>0</v>
      </c>
    </row>
    <row r="13219" spans="1:2" x14ac:dyDescent="0.25">
      <c r="A13219">
        <v>26033</v>
      </c>
      <c r="B13219">
        <v>0</v>
      </c>
    </row>
    <row r="13220" spans="1:2" x14ac:dyDescent="0.25">
      <c r="A13220">
        <v>26034</v>
      </c>
      <c r="B13220">
        <v>0</v>
      </c>
    </row>
    <row r="13221" spans="1:2" x14ac:dyDescent="0.25">
      <c r="A13221">
        <v>26035</v>
      </c>
      <c r="B13221">
        <v>0</v>
      </c>
    </row>
    <row r="13222" spans="1:2" x14ac:dyDescent="0.25">
      <c r="A13222">
        <v>26036</v>
      </c>
      <c r="B13222">
        <v>0</v>
      </c>
    </row>
    <row r="13223" spans="1:2" x14ac:dyDescent="0.25">
      <c r="A13223">
        <v>26037</v>
      </c>
      <c r="B13223">
        <v>0</v>
      </c>
    </row>
    <row r="13224" spans="1:2" x14ac:dyDescent="0.25">
      <c r="A13224">
        <v>26038</v>
      </c>
      <c r="B13224">
        <v>0</v>
      </c>
    </row>
    <row r="13225" spans="1:2" x14ac:dyDescent="0.25">
      <c r="A13225">
        <v>26039</v>
      </c>
      <c r="B13225">
        <v>0</v>
      </c>
    </row>
    <row r="13226" spans="1:2" x14ac:dyDescent="0.25">
      <c r="A13226">
        <v>26040</v>
      </c>
      <c r="B13226">
        <v>0</v>
      </c>
    </row>
    <row r="13227" spans="1:2" x14ac:dyDescent="0.25">
      <c r="A13227">
        <v>26041</v>
      </c>
      <c r="B13227">
        <v>0</v>
      </c>
    </row>
    <row r="13228" spans="1:2" x14ac:dyDescent="0.25">
      <c r="A13228">
        <v>26042</v>
      </c>
      <c r="B13228">
        <v>0</v>
      </c>
    </row>
    <row r="13229" spans="1:2" x14ac:dyDescent="0.25">
      <c r="A13229">
        <v>26043</v>
      </c>
      <c r="B13229">
        <v>0</v>
      </c>
    </row>
    <row r="13230" spans="1:2" x14ac:dyDescent="0.25">
      <c r="A13230">
        <v>26044</v>
      </c>
      <c r="B13230">
        <v>0</v>
      </c>
    </row>
    <row r="13231" spans="1:2" x14ac:dyDescent="0.25">
      <c r="A13231">
        <v>26045</v>
      </c>
      <c r="B13231">
        <v>0</v>
      </c>
    </row>
    <row r="13232" spans="1:2" x14ac:dyDescent="0.25">
      <c r="A13232">
        <v>26046</v>
      </c>
      <c r="B13232">
        <v>0</v>
      </c>
    </row>
    <row r="13233" spans="1:2" x14ac:dyDescent="0.25">
      <c r="A13233">
        <v>26047</v>
      </c>
      <c r="B13233">
        <v>0</v>
      </c>
    </row>
    <row r="13234" spans="1:2" x14ac:dyDescent="0.25">
      <c r="A13234">
        <v>26048</v>
      </c>
      <c r="B13234">
        <v>0</v>
      </c>
    </row>
    <row r="13235" spans="1:2" x14ac:dyDescent="0.25">
      <c r="A13235">
        <v>26050</v>
      </c>
      <c r="B13235">
        <v>0</v>
      </c>
    </row>
    <row r="13236" spans="1:2" x14ac:dyDescent="0.25">
      <c r="A13236">
        <v>26052</v>
      </c>
      <c r="B13236">
        <v>0</v>
      </c>
    </row>
    <row r="13237" spans="1:2" x14ac:dyDescent="0.25">
      <c r="A13237">
        <v>26054</v>
      </c>
      <c r="B13237">
        <v>0</v>
      </c>
    </row>
    <row r="13238" spans="1:2" x14ac:dyDescent="0.25">
      <c r="A13238">
        <v>26061</v>
      </c>
      <c r="B13238">
        <v>0</v>
      </c>
    </row>
    <row r="13239" spans="1:2" x14ac:dyDescent="0.25">
      <c r="A13239">
        <v>26063</v>
      </c>
      <c r="B13239">
        <v>0</v>
      </c>
    </row>
    <row r="13240" spans="1:2" x14ac:dyDescent="0.25">
      <c r="A13240">
        <v>26065</v>
      </c>
      <c r="B13240">
        <v>0</v>
      </c>
    </row>
    <row r="13241" spans="1:2" x14ac:dyDescent="0.25">
      <c r="A13241">
        <v>26066</v>
      </c>
      <c r="B13241">
        <v>0</v>
      </c>
    </row>
    <row r="13242" spans="1:2" x14ac:dyDescent="0.25">
      <c r="A13242">
        <v>26067</v>
      </c>
      <c r="B13242">
        <v>0</v>
      </c>
    </row>
    <row r="13243" spans="1:2" x14ac:dyDescent="0.25">
      <c r="A13243">
        <v>26068</v>
      </c>
      <c r="B13243">
        <v>0</v>
      </c>
    </row>
    <row r="13244" spans="1:2" x14ac:dyDescent="0.25">
      <c r="A13244">
        <v>26069</v>
      </c>
      <c r="B13244">
        <v>0</v>
      </c>
    </row>
    <row r="13245" spans="1:2" x14ac:dyDescent="0.25">
      <c r="A13245">
        <v>26070</v>
      </c>
      <c r="B13245">
        <v>0</v>
      </c>
    </row>
    <row r="13246" spans="1:2" x14ac:dyDescent="0.25">
      <c r="A13246">
        <v>26072</v>
      </c>
      <c r="B13246">
        <v>0</v>
      </c>
    </row>
    <row r="13247" spans="1:2" x14ac:dyDescent="0.25">
      <c r="A13247">
        <v>26074</v>
      </c>
      <c r="B13247">
        <v>0</v>
      </c>
    </row>
    <row r="13248" spans="1:2" x14ac:dyDescent="0.25">
      <c r="A13248">
        <v>26085</v>
      </c>
      <c r="B13248">
        <v>0</v>
      </c>
    </row>
    <row r="13249" spans="1:2" x14ac:dyDescent="0.25">
      <c r="A13249">
        <v>26097</v>
      </c>
      <c r="B13249">
        <v>0</v>
      </c>
    </row>
    <row r="13250" spans="1:2" x14ac:dyDescent="0.25">
      <c r="A13250">
        <v>26099</v>
      </c>
      <c r="B13250">
        <v>0</v>
      </c>
    </row>
    <row r="13251" spans="1:2" x14ac:dyDescent="0.25">
      <c r="A13251">
        <v>26103</v>
      </c>
      <c r="B13251">
        <v>0</v>
      </c>
    </row>
    <row r="13252" spans="1:2" x14ac:dyDescent="0.25">
      <c r="A13252">
        <v>26104</v>
      </c>
      <c r="B13252">
        <v>0</v>
      </c>
    </row>
    <row r="13253" spans="1:2" x14ac:dyDescent="0.25">
      <c r="A13253">
        <v>26106</v>
      </c>
      <c r="B13253">
        <v>0</v>
      </c>
    </row>
    <row r="13254" spans="1:2" x14ac:dyDescent="0.25">
      <c r="A13254">
        <v>26108</v>
      </c>
      <c r="B13254">
        <v>0</v>
      </c>
    </row>
    <row r="13255" spans="1:2" x14ac:dyDescent="0.25">
      <c r="A13255">
        <v>26110</v>
      </c>
      <c r="B13255">
        <v>0</v>
      </c>
    </row>
    <row r="13256" spans="1:2" x14ac:dyDescent="0.25">
      <c r="A13256">
        <v>26112</v>
      </c>
      <c r="B13256">
        <v>0</v>
      </c>
    </row>
    <row r="13257" spans="1:2" x14ac:dyDescent="0.25">
      <c r="A13257">
        <v>26114</v>
      </c>
      <c r="B13257">
        <v>0</v>
      </c>
    </row>
    <row r="13258" spans="1:2" x14ac:dyDescent="0.25">
      <c r="A13258">
        <v>26116</v>
      </c>
      <c r="B13258">
        <v>0</v>
      </c>
    </row>
    <row r="13259" spans="1:2" x14ac:dyDescent="0.25">
      <c r="A13259">
        <v>26118</v>
      </c>
      <c r="B13259">
        <v>0</v>
      </c>
    </row>
    <row r="13260" spans="1:2" x14ac:dyDescent="0.25">
      <c r="A13260">
        <v>26120</v>
      </c>
      <c r="B13260">
        <v>0</v>
      </c>
    </row>
    <row r="13261" spans="1:2" x14ac:dyDescent="0.25">
      <c r="A13261">
        <v>26121</v>
      </c>
      <c r="B13261">
        <v>0</v>
      </c>
    </row>
    <row r="13262" spans="1:2" x14ac:dyDescent="0.25">
      <c r="A13262">
        <v>26122</v>
      </c>
      <c r="B13262">
        <v>0</v>
      </c>
    </row>
    <row r="13263" spans="1:2" x14ac:dyDescent="0.25">
      <c r="A13263">
        <v>26123</v>
      </c>
      <c r="B13263">
        <v>0</v>
      </c>
    </row>
    <row r="13264" spans="1:2" x14ac:dyDescent="0.25">
      <c r="A13264">
        <v>26125</v>
      </c>
      <c r="B13264">
        <v>0</v>
      </c>
    </row>
    <row r="13265" spans="1:2" x14ac:dyDescent="0.25">
      <c r="A13265">
        <v>26128</v>
      </c>
      <c r="B13265">
        <v>0</v>
      </c>
    </row>
    <row r="13266" spans="1:2" x14ac:dyDescent="0.25">
      <c r="A13266">
        <v>26130</v>
      </c>
      <c r="B13266">
        <v>0</v>
      </c>
    </row>
    <row r="13267" spans="1:2" x14ac:dyDescent="0.25">
      <c r="A13267">
        <v>26132</v>
      </c>
      <c r="B13267">
        <v>0</v>
      </c>
    </row>
    <row r="13268" spans="1:2" x14ac:dyDescent="0.25">
      <c r="A13268">
        <v>26133</v>
      </c>
      <c r="B13268">
        <v>0</v>
      </c>
    </row>
    <row r="13269" spans="1:2" x14ac:dyDescent="0.25">
      <c r="A13269">
        <v>26135</v>
      </c>
      <c r="B13269">
        <v>0</v>
      </c>
    </row>
    <row r="13270" spans="1:2" x14ac:dyDescent="0.25">
      <c r="A13270">
        <v>26137</v>
      </c>
      <c r="B13270">
        <v>0</v>
      </c>
    </row>
    <row r="13271" spans="1:2" x14ac:dyDescent="0.25">
      <c r="A13271">
        <v>26139</v>
      </c>
      <c r="B13271">
        <v>0</v>
      </c>
    </row>
    <row r="13272" spans="1:2" x14ac:dyDescent="0.25">
      <c r="A13272">
        <v>26140</v>
      </c>
      <c r="B13272">
        <v>0</v>
      </c>
    </row>
    <row r="13273" spans="1:2" x14ac:dyDescent="0.25">
      <c r="A13273">
        <v>26141</v>
      </c>
      <c r="B13273">
        <v>0</v>
      </c>
    </row>
    <row r="13274" spans="1:2" x14ac:dyDescent="0.25">
      <c r="A13274">
        <v>26142</v>
      </c>
      <c r="B13274">
        <v>0</v>
      </c>
    </row>
    <row r="13275" spans="1:2" x14ac:dyDescent="0.25">
      <c r="A13275">
        <v>26144</v>
      </c>
      <c r="B13275">
        <v>0</v>
      </c>
    </row>
    <row r="13276" spans="1:2" x14ac:dyDescent="0.25">
      <c r="A13276">
        <v>26146</v>
      </c>
      <c r="B13276">
        <v>0</v>
      </c>
    </row>
    <row r="13277" spans="1:2" x14ac:dyDescent="0.25">
      <c r="A13277">
        <v>26148</v>
      </c>
      <c r="B13277">
        <v>0</v>
      </c>
    </row>
    <row r="13278" spans="1:2" x14ac:dyDescent="0.25">
      <c r="A13278">
        <v>26150</v>
      </c>
      <c r="B13278">
        <v>0</v>
      </c>
    </row>
    <row r="13279" spans="1:2" x14ac:dyDescent="0.25">
      <c r="A13279">
        <v>26152</v>
      </c>
      <c r="B13279">
        <v>0</v>
      </c>
    </row>
    <row r="13280" spans="1:2" x14ac:dyDescent="0.25">
      <c r="A13280">
        <v>26154</v>
      </c>
      <c r="B13280">
        <v>0</v>
      </c>
    </row>
    <row r="13281" spans="1:2" x14ac:dyDescent="0.25">
      <c r="A13281">
        <v>26156</v>
      </c>
      <c r="B13281">
        <v>0</v>
      </c>
    </row>
    <row r="13282" spans="1:2" x14ac:dyDescent="0.25">
      <c r="A13282">
        <v>26158</v>
      </c>
      <c r="B13282">
        <v>0</v>
      </c>
    </row>
    <row r="13283" spans="1:2" x14ac:dyDescent="0.25">
      <c r="A13283">
        <v>26161</v>
      </c>
      <c r="B13283">
        <v>0</v>
      </c>
    </row>
    <row r="13284" spans="1:2" x14ac:dyDescent="0.25">
      <c r="A13284">
        <v>26162</v>
      </c>
      <c r="B13284">
        <v>0</v>
      </c>
    </row>
    <row r="13285" spans="1:2" x14ac:dyDescent="0.25">
      <c r="A13285">
        <v>26164</v>
      </c>
      <c r="B13285">
        <v>0</v>
      </c>
    </row>
    <row r="13286" spans="1:2" x14ac:dyDescent="0.25">
      <c r="A13286">
        <v>26166</v>
      </c>
      <c r="B13286">
        <v>0</v>
      </c>
    </row>
    <row r="13287" spans="1:2" x14ac:dyDescent="0.25">
      <c r="A13287">
        <v>26168</v>
      </c>
      <c r="B13287">
        <v>0</v>
      </c>
    </row>
    <row r="13288" spans="1:2" x14ac:dyDescent="0.25">
      <c r="A13288">
        <v>26170</v>
      </c>
      <c r="B13288">
        <v>0</v>
      </c>
    </row>
    <row r="13289" spans="1:2" x14ac:dyDescent="0.25">
      <c r="A13289">
        <v>26172</v>
      </c>
      <c r="B13289">
        <v>0</v>
      </c>
    </row>
    <row r="13290" spans="1:2" x14ac:dyDescent="0.25">
      <c r="A13290">
        <v>26174</v>
      </c>
      <c r="B13290">
        <v>0</v>
      </c>
    </row>
    <row r="13291" spans="1:2" x14ac:dyDescent="0.25">
      <c r="A13291">
        <v>26176</v>
      </c>
      <c r="B13291">
        <v>0</v>
      </c>
    </row>
    <row r="13292" spans="1:2" x14ac:dyDescent="0.25">
      <c r="A13292">
        <v>26178</v>
      </c>
      <c r="B13292">
        <v>0</v>
      </c>
    </row>
    <row r="13293" spans="1:2" x14ac:dyDescent="0.25">
      <c r="A13293">
        <v>26180</v>
      </c>
      <c r="B13293">
        <v>0</v>
      </c>
    </row>
    <row r="13294" spans="1:2" x14ac:dyDescent="0.25">
      <c r="A13294">
        <v>26182</v>
      </c>
      <c r="B13294">
        <v>0</v>
      </c>
    </row>
    <row r="13295" spans="1:2" x14ac:dyDescent="0.25">
      <c r="A13295">
        <v>26184</v>
      </c>
      <c r="B13295">
        <v>0</v>
      </c>
    </row>
    <row r="13296" spans="1:2" x14ac:dyDescent="0.25">
      <c r="A13296">
        <v>26186</v>
      </c>
      <c r="B13296">
        <v>0</v>
      </c>
    </row>
    <row r="13297" spans="1:2" x14ac:dyDescent="0.25">
      <c r="A13297">
        <v>26188</v>
      </c>
      <c r="B13297">
        <v>0</v>
      </c>
    </row>
    <row r="13298" spans="1:2" x14ac:dyDescent="0.25">
      <c r="A13298">
        <v>26189</v>
      </c>
      <c r="B13298">
        <v>0</v>
      </c>
    </row>
    <row r="13299" spans="1:2" x14ac:dyDescent="0.25">
      <c r="A13299">
        <v>26191</v>
      </c>
      <c r="B13299">
        <v>0</v>
      </c>
    </row>
    <row r="13300" spans="1:2" x14ac:dyDescent="0.25">
      <c r="A13300">
        <v>26192</v>
      </c>
      <c r="B13300">
        <v>0</v>
      </c>
    </row>
    <row r="13301" spans="1:2" x14ac:dyDescent="0.25">
      <c r="A13301">
        <v>26193</v>
      </c>
      <c r="B13301">
        <v>0</v>
      </c>
    </row>
    <row r="13302" spans="1:2" x14ac:dyDescent="0.25">
      <c r="A13302">
        <v>26194</v>
      </c>
      <c r="B13302">
        <v>0</v>
      </c>
    </row>
    <row r="13303" spans="1:2" x14ac:dyDescent="0.25">
      <c r="A13303">
        <v>26196</v>
      </c>
      <c r="B13303">
        <v>0</v>
      </c>
    </row>
    <row r="13304" spans="1:2" x14ac:dyDescent="0.25">
      <c r="A13304">
        <v>26197</v>
      </c>
      <c r="B13304">
        <v>0</v>
      </c>
    </row>
    <row r="13305" spans="1:2" x14ac:dyDescent="0.25">
      <c r="A13305">
        <v>26201</v>
      </c>
      <c r="B13305">
        <v>0</v>
      </c>
    </row>
    <row r="13306" spans="1:2" x14ac:dyDescent="0.25">
      <c r="A13306">
        <v>26202</v>
      </c>
      <c r="B13306">
        <v>0</v>
      </c>
    </row>
    <row r="13307" spans="1:2" x14ac:dyDescent="0.25">
      <c r="A13307">
        <v>26204</v>
      </c>
      <c r="B13307">
        <v>0</v>
      </c>
    </row>
    <row r="13308" spans="1:2" x14ac:dyDescent="0.25">
      <c r="A13308">
        <v>26211</v>
      </c>
      <c r="B13308">
        <v>0</v>
      </c>
    </row>
    <row r="13309" spans="1:2" x14ac:dyDescent="0.25">
      <c r="A13309">
        <v>26212</v>
      </c>
      <c r="B13309">
        <v>0</v>
      </c>
    </row>
    <row r="13310" spans="1:2" x14ac:dyDescent="0.25">
      <c r="A13310">
        <v>26214</v>
      </c>
      <c r="B13310">
        <v>0</v>
      </c>
    </row>
    <row r="13311" spans="1:2" x14ac:dyDescent="0.25">
      <c r="A13311">
        <v>26217</v>
      </c>
      <c r="B13311">
        <v>0</v>
      </c>
    </row>
    <row r="13312" spans="1:2" x14ac:dyDescent="0.25">
      <c r="A13312">
        <v>26219</v>
      </c>
      <c r="B13312">
        <v>0</v>
      </c>
    </row>
    <row r="13313" spans="1:2" x14ac:dyDescent="0.25">
      <c r="A13313">
        <v>26221</v>
      </c>
      <c r="B13313">
        <v>0</v>
      </c>
    </row>
    <row r="13314" spans="1:2" x14ac:dyDescent="0.25">
      <c r="A13314">
        <v>26223</v>
      </c>
      <c r="B13314">
        <v>0</v>
      </c>
    </row>
    <row r="13315" spans="1:2" x14ac:dyDescent="0.25">
      <c r="A13315">
        <v>26225</v>
      </c>
      <c r="B13315">
        <v>0</v>
      </c>
    </row>
    <row r="13316" spans="1:2" x14ac:dyDescent="0.25">
      <c r="A13316">
        <v>26227</v>
      </c>
      <c r="B13316">
        <v>0</v>
      </c>
    </row>
    <row r="13317" spans="1:2" x14ac:dyDescent="0.25">
      <c r="A13317">
        <v>26229</v>
      </c>
      <c r="B13317">
        <v>0</v>
      </c>
    </row>
    <row r="13318" spans="1:2" x14ac:dyDescent="0.25">
      <c r="A13318">
        <v>26231</v>
      </c>
      <c r="B13318">
        <v>0</v>
      </c>
    </row>
    <row r="13319" spans="1:2" x14ac:dyDescent="0.25">
      <c r="A13319">
        <v>26232</v>
      </c>
      <c r="B13319">
        <v>0</v>
      </c>
    </row>
    <row r="13320" spans="1:2" x14ac:dyDescent="0.25">
      <c r="A13320">
        <v>26236</v>
      </c>
      <c r="B13320">
        <v>0</v>
      </c>
    </row>
    <row r="13321" spans="1:2" x14ac:dyDescent="0.25">
      <c r="A13321">
        <v>26237</v>
      </c>
      <c r="B13321">
        <v>0</v>
      </c>
    </row>
    <row r="13322" spans="1:2" x14ac:dyDescent="0.25">
      <c r="A13322">
        <v>26239</v>
      </c>
      <c r="B13322">
        <v>0</v>
      </c>
    </row>
    <row r="13323" spans="1:2" x14ac:dyDescent="0.25">
      <c r="A13323">
        <v>26241</v>
      </c>
      <c r="B13323">
        <v>0</v>
      </c>
    </row>
    <row r="13324" spans="1:2" x14ac:dyDescent="0.25">
      <c r="A13324">
        <v>26243</v>
      </c>
      <c r="B13324">
        <v>0</v>
      </c>
    </row>
    <row r="13325" spans="1:2" x14ac:dyDescent="0.25">
      <c r="A13325">
        <v>26245</v>
      </c>
      <c r="B13325">
        <v>0</v>
      </c>
    </row>
    <row r="13326" spans="1:2" x14ac:dyDescent="0.25">
      <c r="A13326">
        <v>26247</v>
      </c>
      <c r="B13326">
        <v>0</v>
      </c>
    </row>
    <row r="13327" spans="1:2" x14ac:dyDescent="0.25">
      <c r="A13327">
        <v>26248</v>
      </c>
      <c r="B13327">
        <v>0</v>
      </c>
    </row>
    <row r="13328" spans="1:2" x14ac:dyDescent="0.25">
      <c r="A13328">
        <v>26250</v>
      </c>
      <c r="B13328">
        <v>0</v>
      </c>
    </row>
    <row r="13329" spans="1:2" x14ac:dyDescent="0.25">
      <c r="A13329">
        <v>26252</v>
      </c>
      <c r="B13329">
        <v>0</v>
      </c>
    </row>
    <row r="13330" spans="1:2" x14ac:dyDescent="0.25">
      <c r="A13330">
        <v>26253</v>
      </c>
      <c r="B13330">
        <v>0</v>
      </c>
    </row>
    <row r="13331" spans="1:2" x14ac:dyDescent="0.25">
      <c r="A13331">
        <v>26255</v>
      </c>
      <c r="B13331">
        <v>0</v>
      </c>
    </row>
    <row r="13332" spans="1:2" x14ac:dyDescent="0.25">
      <c r="A13332">
        <v>26258</v>
      </c>
      <c r="B13332">
        <v>0</v>
      </c>
    </row>
    <row r="13333" spans="1:2" x14ac:dyDescent="0.25">
      <c r="A13333">
        <v>26259</v>
      </c>
      <c r="B13333">
        <v>0</v>
      </c>
    </row>
    <row r="13334" spans="1:2" x14ac:dyDescent="0.25">
      <c r="A13334">
        <v>26262</v>
      </c>
      <c r="B13334">
        <v>0</v>
      </c>
    </row>
    <row r="13335" spans="1:2" x14ac:dyDescent="0.25">
      <c r="A13335">
        <v>26266</v>
      </c>
      <c r="B13335">
        <v>0</v>
      </c>
    </row>
    <row r="13336" spans="1:2" x14ac:dyDescent="0.25">
      <c r="A13336">
        <v>26274</v>
      </c>
      <c r="B13336">
        <v>0</v>
      </c>
    </row>
    <row r="13337" spans="1:2" x14ac:dyDescent="0.25">
      <c r="A13337">
        <v>26277</v>
      </c>
      <c r="B13337">
        <v>0</v>
      </c>
    </row>
    <row r="13338" spans="1:2" x14ac:dyDescent="0.25">
      <c r="A13338">
        <v>26278</v>
      </c>
      <c r="B13338">
        <v>0</v>
      </c>
    </row>
    <row r="13339" spans="1:2" x14ac:dyDescent="0.25">
      <c r="A13339">
        <v>26279</v>
      </c>
      <c r="B13339">
        <v>0</v>
      </c>
    </row>
    <row r="13340" spans="1:2" x14ac:dyDescent="0.25">
      <c r="A13340">
        <v>26282</v>
      </c>
      <c r="B13340">
        <v>0</v>
      </c>
    </row>
    <row r="13341" spans="1:2" x14ac:dyDescent="0.25">
      <c r="A13341">
        <v>26283</v>
      </c>
      <c r="B13341">
        <v>0</v>
      </c>
    </row>
    <row r="13342" spans="1:2" x14ac:dyDescent="0.25">
      <c r="A13342">
        <v>26285</v>
      </c>
      <c r="B13342">
        <v>0</v>
      </c>
    </row>
    <row r="13343" spans="1:2" x14ac:dyDescent="0.25">
      <c r="A13343">
        <v>26287</v>
      </c>
      <c r="B13343">
        <v>0</v>
      </c>
    </row>
    <row r="13344" spans="1:2" x14ac:dyDescent="0.25">
      <c r="A13344">
        <v>26292</v>
      </c>
      <c r="B13344">
        <v>0</v>
      </c>
    </row>
    <row r="13345" spans="1:2" x14ac:dyDescent="0.25">
      <c r="A13345">
        <v>26300</v>
      </c>
      <c r="B13345">
        <v>0</v>
      </c>
    </row>
    <row r="13346" spans="1:2" x14ac:dyDescent="0.25">
      <c r="A13346">
        <v>26302</v>
      </c>
      <c r="B13346">
        <v>0</v>
      </c>
    </row>
    <row r="13347" spans="1:2" x14ac:dyDescent="0.25">
      <c r="A13347">
        <v>26304</v>
      </c>
      <c r="B13347">
        <v>0</v>
      </c>
    </row>
    <row r="13348" spans="1:2" x14ac:dyDescent="0.25">
      <c r="A13348">
        <v>26306</v>
      </c>
      <c r="B13348">
        <v>0</v>
      </c>
    </row>
    <row r="13349" spans="1:2" x14ac:dyDescent="0.25">
      <c r="A13349">
        <v>26308</v>
      </c>
      <c r="B13349">
        <v>0</v>
      </c>
    </row>
    <row r="13350" spans="1:2" x14ac:dyDescent="0.25">
      <c r="A13350">
        <v>26310</v>
      </c>
      <c r="B13350">
        <v>0</v>
      </c>
    </row>
    <row r="13351" spans="1:2" x14ac:dyDescent="0.25">
      <c r="A13351">
        <v>26342</v>
      </c>
      <c r="B13351">
        <v>0</v>
      </c>
    </row>
    <row r="13352" spans="1:2" x14ac:dyDescent="0.25">
      <c r="A13352">
        <v>26344</v>
      </c>
      <c r="B13352">
        <v>0</v>
      </c>
    </row>
    <row r="13353" spans="1:2" x14ac:dyDescent="0.25">
      <c r="A13353">
        <v>26346</v>
      </c>
      <c r="B13353">
        <v>0</v>
      </c>
    </row>
    <row r="13354" spans="1:2" x14ac:dyDescent="0.25">
      <c r="A13354">
        <v>26348</v>
      </c>
      <c r="B13354">
        <v>0</v>
      </c>
    </row>
    <row r="13355" spans="1:2" x14ac:dyDescent="0.25">
      <c r="A13355">
        <v>26350</v>
      </c>
      <c r="B13355">
        <v>0</v>
      </c>
    </row>
    <row r="13356" spans="1:2" x14ac:dyDescent="0.25">
      <c r="A13356">
        <v>26352</v>
      </c>
      <c r="B13356">
        <v>0</v>
      </c>
    </row>
    <row r="13357" spans="1:2" x14ac:dyDescent="0.25">
      <c r="A13357">
        <v>26354</v>
      </c>
      <c r="B13357">
        <v>0</v>
      </c>
    </row>
    <row r="13358" spans="1:2" x14ac:dyDescent="0.25">
      <c r="A13358">
        <v>26356</v>
      </c>
      <c r="B13358">
        <v>0</v>
      </c>
    </row>
    <row r="13359" spans="1:2" x14ac:dyDescent="0.25">
      <c r="A13359">
        <v>26358</v>
      </c>
      <c r="B13359">
        <v>0</v>
      </c>
    </row>
    <row r="13360" spans="1:2" x14ac:dyDescent="0.25">
      <c r="A13360">
        <v>26360</v>
      </c>
      <c r="B13360">
        <v>0</v>
      </c>
    </row>
    <row r="13361" spans="1:2" x14ac:dyDescent="0.25">
      <c r="A13361">
        <v>26361</v>
      </c>
      <c r="B13361">
        <v>0</v>
      </c>
    </row>
    <row r="13362" spans="1:2" x14ac:dyDescent="0.25">
      <c r="A13362">
        <v>26363</v>
      </c>
      <c r="B13362">
        <v>0</v>
      </c>
    </row>
    <row r="13363" spans="1:2" x14ac:dyDescent="0.25">
      <c r="A13363">
        <v>26365</v>
      </c>
      <c r="B13363">
        <v>0</v>
      </c>
    </row>
    <row r="13364" spans="1:2" x14ac:dyDescent="0.25">
      <c r="A13364">
        <v>26367</v>
      </c>
      <c r="B13364">
        <v>0</v>
      </c>
    </row>
    <row r="13365" spans="1:2" x14ac:dyDescent="0.25">
      <c r="A13365">
        <v>26369</v>
      </c>
      <c r="B13365">
        <v>0</v>
      </c>
    </row>
    <row r="13366" spans="1:2" x14ac:dyDescent="0.25">
      <c r="A13366">
        <v>26371</v>
      </c>
      <c r="B13366">
        <v>0</v>
      </c>
    </row>
    <row r="13367" spans="1:2" x14ac:dyDescent="0.25">
      <c r="A13367">
        <v>26374</v>
      </c>
      <c r="B13367">
        <v>0</v>
      </c>
    </row>
    <row r="13368" spans="1:2" x14ac:dyDescent="0.25">
      <c r="A13368">
        <v>26376</v>
      </c>
      <c r="B13368">
        <v>0</v>
      </c>
    </row>
    <row r="13369" spans="1:2" x14ac:dyDescent="0.25">
      <c r="A13369">
        <v>26377</v>
      </c>
      <c r="B13369">
        <v>0</v>
      </c>
    </row>
    <row r="13370" spans="1:2" x14ac:dyDescent="0.25">
      <c r="A13370">
        <v>26378</v>
      </c>
      <c r="B13370">
        <v>0</v>
      </c>
    </row>
    <row r="13371" spans="1:2" x14ac:dyDescent="0.25">
      <c r="A13371">
        <v>26380</v>
      </c>
      <c r="B13371">
        <v>0</v>
      </c>
    </row>
    <row r="13372" spans="1:2" x14ac:dyDescent="0.25">
      <c r="A13372">
        <v>26382</v>
      </c>
      <c r="B13372">
        <v>0</v>
      </c>
    </row>
    <row r="13373" spans="1:2" x14ac:dyDescent="0.25">
      <c r="A13373">
        <v>26383</v>
      </c>
      <c r="B13373">
        <v>0</v>
      </c>
    </row>
    <row r="13374" spans="1:2" x14ac:dyDescent="0.25">
      <c r="A13374">
        <v>26385</v>
      </c>
      <c r="B13374">
        <v>0</v>
      </c>
    </row>
    <row r="13375" spans="1:2" x14ac:dyDescent="0.25">
      <c r="A13375">
        <v>26386</v>
      </c>
      <c r="B13375">
        <v>0</v>
      </c>
    </row>
    <row r="13376" spans="1:2" x14ac:dyDescent="0.25">
      <c r="A13376">
        <v>26389</v>
      </c>
      <c r="B13376">
        <v>0</v>
      </c>
    </row>
    <row r="13377" spans="1:2" x14ac:dyDescent="0.25">
      <c r="A13377">
        <v>26390</v>
      </c>
      <c r="B13377">
        <v>0</v>
      </c>
    </row>
    <row r="13378" spans="1:2" x14ac:dyDescent="0.25">
      <c r="A13378">
        <v>26391</v>
      </c>
      <c r="B13378">
        <v>0</v>
      </c>
    </row>
    <row r="13379" spans="1:2" x14ac:dyDescent="0.25">
      <c r="A13379">
        <v>26393</v>
      </c>
      <c r="B13379">
        <v>0</v>
      </c>
    </row>
    <row r="13380" spans="1:2" x14ac:dyDescent="0.25">
      <c r="A13380">
        <v>26394</v>
      </c>
      <c r="B13380">
        <v>0</v>
      </c>
    </row>
    <row r="13381" spans="1:2" x14ac:dyDescent="0.25">
      <c r="A13381">
        <v>26396</v>
      </c>
      <c r="B13381">
        <v>0</v>
      </c>
    </row>
    <row r="13382" spans="1:2" x14ac:dyDescent="0.25">
      <c r="A13382">
        <v>26397</v>
      </c>
      <c r="B13382">
        <v>0</v>
      </c>
    </row>
    <row r="13383" spans="1:2" x14ac:dyDescent="0.25">
      <c r="A13383">
        <v>26398</v>
      </c>
      <c r="B13383">
        <v>0</v>
      </c>
    </row>
    <row r="13384" spans="1:2" x14ac:dyDescent="0.25">
      <c r="A13384">
        <v>26399</v>
      </c>
      <c r="B13384">
        <v>0</v>
      </c>
    </row>
    <row r="13385" spans="1:2" x14ac:dyDescent="0.25">
      <c r="A13385">
        <v>26401</v>
      </c>
      <c r="B13385">
        <v>0</v>
      </c>
    </row>
    <row r="13386" spans="1:2" x14ac:dyDescent="0.25">
      <c r="A13386">
        <v>26403</v>
      </c>
      <c r="B13386">
        <v>0</v>
      </c>
    </row>
    <row r="13387" spans="1:2" x14ac:dyDescent="0.25">
      <c r="A13387">
        <v>26405</v>
      </c>
      <c r="B13387">
        <v>0</v>
      </c>
    </row>
    <row r="13388" spans="1:2" x14ac:dyDescent="0.25">
      <c r="A13388">
        <v>26407</v>
      </c>
      <c r="B13388">
        <v>0</v>
      </c>
    </row>
    <row r="13389" spans="1:2" x14ac:dyDescent="0.25">
      <c r="A13389">
        <v>26409</v>
      </c>
      <c r="B13389">
        <v>0</v>
      </c>
    </row>
    <row r="13390" spans="1:2" x14ac:dyDescent="0.25">
      <c r="A13390">
        <v>26411</v>
      </c>
      <c r="B13390">
        <v>0</v>
      </c>
    </row>
    <row r="13391" spans="1:2" x14ac:dyDescent="0.25">
      <c r="A13391">
        <v>26412</v>
      </c>
      <c r="B13391">
        <v>0</v>
      </c>
    </row>
    <row r="13392" spans="1:2" x14ac:dyDescent="0.25">
      <c r="A13392">
        <v>26413</v>
      </c>
      <c r="B13392">
        <v>0</v>
      </c>
    </row>
    <row r="13393" spans="1:2" x14ac:dyDescent="0.25">
      <c r="A13393">
        <v>26414</v>
      </c>
      <c r="B13393">
        <v>0</v>
      </c>
    </row>
    <row r="13394" spans="1:2" x14ac:dyDescent="0.25">
      <c r="A13394">
        <v>26415</v>
      </c>
      <c r="B13394">
        <v>0</v>
      </c>
    </row>
    <row r="13395" spans="1:2" x14ac:dyDescent="0.25">
      <c r="A13395">
        <v>26416</v>
      </c>
      <c r="B13395">
        <v>0</v>
      </c>
    </row>
    <row r="13396" spans="1:2" x14ac:dyDescent="0.25">
      <c r="A13396">
        <v>26417</v>
      </c>
      <c r="B13396">
        <v>0</v>
      </c>
    </row>
    <row r="13397" spans="1:2" x14ac:dyDescent="0.25">
      <c r="A13397">
        <v>26418</v>
      </c>
      <c r="B13397">
        <v>0</v>
      </c>
    </row>
    <row r="13398" spans="1:2" x14ac:dyDescent="0.25">
      <c r="A13398">
        <v>26419</v>
      </c>
      <c r="B13398">
        <v>0</v>
      </c>
    </row>
    <row r="13399" spans="1:2" x14ac:dyDescent="0.25">
      <c r="A13399">
        <v>26420</v>
      </c>
      <c r="B13399">
        <v>0</v>
      </c>
    </row>
    <row r="13400" spans="1:2" x14ac:dyDescent="0.25">
      <c r="A13400">
        <v>26421</v>
      </c>
      <c r="B13400">
        <v>0</v>
      </c>
    </row>
    <row r="13401" spans="1:2" x14ac:dyDescent="0.25">
      <c r="A13401">
        <v>26423</v>
      </c>
      <c r="B13401">
        <v>0</v>
      </c>
    </row>
    <row r="13402" spans="1:2" x14ac:dyDescent="0.25">
      <c r="A13402">
        <v>26424</v>
      </c>
      <c r="B13402">
        <v>0</v>
      </c>
    </row>
    <row r="13403" spans="1:2" x14ac:dyDescent="0.25">
      <c r="A13403">
        <v>26426</v>
      </c>
      <c r="B13403">
        <v>0</v>
      </c>
    </row>
    <row r="13404" spans="1:2" x14ac:dyDescent="0.25">
      <c r="A13404">
        <v>26428</v>
      </c>
      <c r="B13404">
        <v>0</v>
      </c>
    </row>
    <row r="13405" spans="1:2" x14ac:dyDescent="0.25">
      <c r="A13405">
        <v>26430</v>
      </c>
      <c r="B13405">
        <v>0</v>
      </c>
    </row>
    <row r="13406" spans="1:2" x14ac:dyDescent="0.25">
      <c r="A13406">
        <v>26432</v>
      </c>
      <c r="B13406">
        <v>0</v>
      </c>
    </row>
    <row r="13407" spans="1:2" x14ac:dyDescent="0.25">
      <c r="A13407">
        <v>26433</v>
      </c>
      <c r="B13407">
        <v>0</v>
      </c>
    </row>
    <row r="13408" spans="1:2" x14ac:dyDescent="0.25">
      <c r="A13408">
        <v>26435</v>
      </c>
      <c r="B13408">
        <v>0</v>
      </c>
    </row>
    <row r="13409" spans="1:2" x14ac:dyDescent="0.25">
      <c r="A13409">
        <v>26436</v>
      </c>
      <c r="B13409">
        <v>0</v>
      </c>
    </row>
    <row r="13410" spans="1:2" x14ac:dyDescent="0.25">
      <c r="A13410">
        <v>26440</v>
      </c>
      <c r="B13410">
        <v>0</v>
      </c>
    </row>
    <row r="13411" spans="1:2" x14ac:dyDescent="0.25">
      <c r="A13411">
        <v>26441</v>
      </c>
      <c r="B13411">
        <v>0</v>
      </c>
    </row>
    <row r="13412" spans="1:2" x14ac:dyDescent="0.25">
      <c r="A13412">
        <v>26442</v>
      </c>
      <c r="B13412">
        <v>0</v>
      </c>
    </row>
    <row r="13413" spans="1:2" x14ac:dyDescent="0.25">
      <c r="A13413">
        <v>26444</v>
      </c>
      <c r="B13413">
        <v>0</v>
      </c>
    </row>
    <row r="13414" spans="1:2" x14ac:dyDescent="0.25">
      <c r="A13414">
        <v>26446</v>
      </c>
      <c r="B13414">
        <v>0</v>
      </c>
    </row>
    <row r="13415" spans="1:2" x14ac:dyDescent="0.25">
      <c r="A13415">
        <v>26448</v>
      </c>
      <c r="B13415">
        <v>0</v>
      </c>
    </row>
    <row r="13416" spans="1:2" x14ac:dyDescent="0.25">
      <c r="A13416">
        <v>26450</v>
      </c>
      <c r="B13416">
        <v>0</v>
      </c>
    </row>
    <row r="13417" spans="1:2" x14ac:dyDescent="0.25">
      <c r="A13417">
        <v>26452</v>
      </c>
      <c r="B13417">
        <v>0</v>
      </c>
    </row>
    <row r="13418" spans="1:2" x14ac:dyDescent="0.25">
      <c r="A13418">
        <v>26455</v>
      </c>
      <c r="B13418">
        <v>0</v>
      </c>
    </row>
    <row r="13419" spans="1:2" x14ac:dyDescent="0.25">
      <c r="A13419">
        <v>26457</v>
      </c>
      <c r="B13419">
        <v>0</v>
      </c>
    </row>
    <row r="13420" spans="1:2" x14ac:dyDescent="0.25">
      <c r="A13420">
        <v>26459</v>
      </c>
      <c r="B13420">
        <v>0</v>
      </c>
    </row>
    <row r="13421" spans="1:2" x14ac:dyDescent="0.25">
      <c r="A13421">
        <v>26460</v>
      </c>
      <c r="B13421">
        <v>0</v>
      </c>
    </row>
    <row r="13422" spans="1:2" x14ac:dyDescent="0.25">
      <c r="A13422">
        <v>26461</v>
      </c>
      <c r="B13422">
        <v>0</v>
      </c>
    </row>
    <row r="13423" spans="1:2" x14ac:dyDescent="0.25">
      <c r="A13423">
        <v>26462</v>
      </c>
      <c r="B13423">
        <v>0</v>
      </c>
    </row>
    <row r="13424" spans="1:2" x14ac:dyDescent="0.25">
      <c r="A13424">
        <v>26463</v>
      </c>
      <c r="B13424">
        <v>0</v>
      </c>
    </row>
    <row r="13425" spans="1:2" x14ac:dyDescent="0.25">
      <c r="A13425">
        <v>26464</v>
      </c>
      <c r="B13425">
        <v>0</v>
      </c>
    </row>
    <row r="13426" spans="1:2" x14ac:dyDescent="0.25">
      <c r="A13426">
        <v>26465</v>
      </c>
      <c r="B13426">
        <v>0</v>
      </c>
    </row>
    <row r="13427" spans="1:2" x14ac:dyDescent="0.25">
      <c r="A13427">
        <v>26466</v>
      </c>
      <c r="B13427">
        <v>0</v>
      </c>
    </row>
    <row r="13428" spans="1:2" x14ac:dyDescent="0.25">
      <c r="A13428">
        <v>26467</v>
      </c>
      <c r="B13428">
        <v>0</v>
      </c>
    </row>
    <row r="13429" spans="1:2" x14ac:dyDescent="0.25">
      <c r="A13429">
        <v>26468</v>
      </c>
      <c r="B13429">
        <v>0</v>
      </c>
    </row>
    <row r="13430" spans="1:2" x14ac:dyDescent="0.25">
      <c r="A13430">
        <v>26469</v>
      </c>
      <c r="B13430">
        <v>0</v>
      </c>
    </row>
    <row r="13431" spans="1:2" x14ac:dyDescent="0.25">
      <c r="A13431">
        <v>26471</v>
      </c>
      <c r="B13431">
        <v>0</v>
      </c>
    </row>
    <row r="13432" spans="1:2" x14ac:dyDescent="0.25">
      <c r="A13432">
        <v>26472</v>
      </c>
      <c r="B13432">
        <v>0</v>
      </c>
    </row>
    <row r="13433" spans="1:2" x14ac:dyDescent="0.25">
      <c r="A13433">
        <v>26474</v>
      </c>
      <c r="B13433">
        <v>0</v>
      </c>
    </row>
    <row r="13434" spans="1:2" x14ac:dyDescent="0.25">
      <c r="A13434">
        <v>26476</v>
      </c>
      <c r="B13434">
        <v>0</v>
      </c>
    </row>
    <row r="13435" spans="1:2" x14ac:dyDescent="0.25">
      <c r="A13435">
        <v>26478</v>
      </c>
      <c r="B13435">
        <v>0</v>
      </c>
    </row>
    <row r="13436" spans="1:2" x14ac:dyDescent="0.25">
      <c r="A13436">
        <v>26479</v>
      </c>
      <c r="B13436">
        <v>0</v>
      </c>
    </row>
    <row r="13437" spans="1:2" x14ac:dyDescent="0.25">
      <c r="A13437">
        <v>26483</v>
      </c>
      <c r="B13437">
        <v>0</v>
      </c>
    </row>
    <row r="13438" spans="1:2" x14ac:dyDescent="0.25">
      <c r="A13438">
        <v>26484</v>
      </c>
      <c r="B13438">
        <v>0</v>
      </c>
    </row>
    <row r="13439" spans="1:2" x14ac:dyDescent="0.25">
      <c r="A13439">
        <v>26485</v>
      </c>
      <c r="B13439">
        <v>0</v>
      </c>
    </row>
    <row r="13440" spans="1:2" x14ac:dyDescent="0.25">
      <c r="A13440">
        <v>26486</v>
      </c>
      <c r="B13440">
        <v>0</v>
      </c>
    </row>
    <row r="13441" spans="1:2" x14ac:dyDescent="0.25">
      <c r="A13441">
        <v>26487</v>
      </c>
      <c r="B13441">
        <v>0</v>
      </c>
    </row>
    <row r="13442" spans="1:2" x14ac:dyDescent="0.25">
      <c r="A13442">
        <v>26488</v>
      </c>
      <c r="B13442">
        <v>0</v>
      </c>
    </row>
    <row r="13443" spans="1:2" x14ac:dyDescent="0.25">
      <c r="A13443">
        <v>26489</v>
      </c>
      <c r="B13443">
        <v>0</v>
      </c>
    </row>
    <row r="13444" spans="1:2" x14ac:dyDescent="0.25">
      <c r="A13444">
        <v>26490</v>
      </c>
      <c r="B13444">
        <v>0</v>
      </c>
    </row>
    <row r="13445" spans="1:2" x14ac:dyDescent="0.25">
      <c r="A13445">
        <v>26491</v>
      </c>
      <c r="B13445">
        <v>0</v>
      </c>
    </row>
    <row r="13446" spans="1:2" x14ac:dyDescent="0.25">
      <c r="A13446">
        <v>26492</v>
      </c>
      <c r="B13446">
        <v>0</v>
      </c>
    </row>
    <row r="13447" spans="1:2" x14ac:dyDescent="0.25">
      <c r="A13447">
        <v>26493</v>
      </c>
      <c r="B13447">
        <v>0</v>
      </c>
    </row>
    <row r="13448" spans="1:2" x14ac:dyDescent="0.25">
      <c r="A13448">
        <v>26494</v>
      </c>
      <c r="B13448">
        <v>0</v>
      </c>
    </row>
    <row r="13449" spans="1:2" x14ac:dyDescent="0.25">
      <c r="A13449">
        <v>26495</v>
      </c>
      <c r="B13449">
        <v>0</v>
      </c>
    </row>
    <row r="13450" spans="1:2" x14ac:dyDescent="0.25">
      <c r="A13450">
        <v>26496</v>
      </c>
      <c r="B13450">
        <v>0</v>
      </c>
    </row>
    <row r="13451" spans="1:2" x14ac:dyDescent="0.25">
      <c r="A13451">
        <v>26497</v>
      </c>
      <c r="B13451">
        <v>0</v>
      </c>
    </row>
    <row r="13452" spans="1:2" x14ac:dyDescent="0.25">
      <c r="A13452">
        <v>26498</v>
      </c>
      <c r="B13452">
        <v>0</v>
      </c>
    </row>
    <row r="13453" spans="1:2" x14ac:dyDescent="0.25">
      <c r="A13453">
        <v>26499</v>
      </c>
      <c r="B13453">
        <v>0</v>
      </c>
    </row>
    <row r="13454" spans="1:2" x14ac:dyDescent="0.25">
      <c r="A13454">
        <v>26500</v>
      </c>
      <c r="B13454">
        <v>0</v>
      </c>
    </row>
    <row r="13455" spans="1:2" x14ac:dyDescent="0.25">
      <c r="A13455">
        <v>26501</v>
      </c>
      <c r="B13455">
        <v>0</v>
      </c>
    </row>
    <row r="13456" spans="1:2" x14ac:dyDescent="0.25">
      <c r="A13456">
        <v>26503</v>
      </c>
      <c r="B13456">
        <v>0</v>
      </c>
    </row>
    <row r="13457" spans="1:2" x14ac:dyDescent="0.25">
      <c r="A13457">
        <v>26504</v>
      </c>
      <c r="B13457">
        <v>0</v>
      </c>
    </row>
    <row r="13458" spans="1:2" x14ac:dyDescent="0.25">
      <c r="A13458">
        <v>26505</v>
      </c>
      <c r="B13458">
        <v>0</v>
      </c>
    </row>
    <row r="13459" spans="1:2" x14ac:dyDescent="0.25">
      <c r="A13459">
        <v>26506</v>
      </c>
      <c r="B13459">
        <v>0</v>
      </c>
    </row>
    <row r="13460" spans="1:2" x14ac:dyDescent="0.25">
      <c r="A13460">
        <v>26507</v>
      </c>
      <c r="B13460">
        <v>0</v>
      </c>
    </row>
    <row r="13461" spans="1:2" x14ac:dyDescent="0.25">
      <c r="A13461">
        <v>26508</v>
      </c>
      <c r="B13461">
        <v>0</v>
      </c>
    </row>
    <row r="13462" spans="1:2" x14ac:dyDescent="0.25">
      <c r="A13462">
        <v>26510</v>
      </c>
      <c r="B13462">
        <v>0</v>
      </c>
    </row>
    <row r="13463" spans="1:2" x14ac:dyDescent="0.25">
      <c r="A13463">
        <v>26512</v>
      </c>
      <c r="B13463">
        <v>0</v>
      </c>
    </row>
    <row r="13464" spans="1:2" x14ac:dyDescent="0.25">
      <c r="A13464">
        <v>26513</v>
      </c>
      <c r="B13464">
        <v>0</v>
      </c>
    </row>
    <row r="13465" spans="1:2" x14ac:dyDescent="0.25">
      <c r="A13465">
        <v>26514</v>
      </c>
      <c r="B13465">
        <v>0</v>
      </c>
    </row>
    <row r="13466" spans="1:2" x14ac:dyDescent="0.25">
      <c r="A13466">
        <v>26515</v>
      </c>
      <c r="B13466">
        <v>0</v>
      </c>
    </row>
    <row r="13467" spans="1:2" x14ac:dyDescent="0.25">
      <c r="A13467">
        <v>26516</v>
      </c>
      <c r="B13467">
        <v>0</v>
      </c>
    </row>
    <row r="13468" spans="1:2" x14ac:dyDescent="0.25">
      <c r="A13468">
        <v>26517</v>
      </c>
      <c r="B13468">
        <v>0</v>
      </c>
    </row>
    <row r="13469" spans="1:2" x14ac:dyDescent="0.25">
      <c r="A13469">
        <v>26518</v>
      </c>
      <c r="B13469">
        <v>0</v>
      </c>
    </row>
    <row r="13470" spans="1:2" x14ac:dyDescent="0.25">
      <c r="A13470">
        <v>26519</v>
      </c>
      <c r="B13470">
        <v>0</v>
      </c>
    </row>
    <row r="13471" spans="1:2" x14ac:dyDescent="0.25">
      <c r="A13471">
        <v>26520</v>
      </c>
      <c r="B13471">
        <v>0</v>
      </c>
    </row>
    <row r="13472" spans="1:2" x14ac:dyDescent="0.25">
      <c r="A13472">
        <v>26521</v>
      </c>
      <c r="B13472">
        <v>0</v>
      </c>
    </row>
    <row r="13473" spans="1:2" x14ac:dyDescent="0.25">
      <c r="A13473">
        <v>26522</v>
      </c>
      <c r="B13473">
        <v>0</v>
      </c>
    </row>
    <row r="13474" spans="1:2" x14ac:dyDescent="0.25">
      <c r="A13474">
        <v>26523</v>
      </c>
      <c r="B13474">
        <v>0</v>
      </c>
    </row>
    <row r="13475" spans="1:2" x14ac:dyDescent="0.25">
      <c r="A13475">
        <v>26524</v>
      </c>
      <c r="B13475">
        <v>0</v>
      </c>
    </row>
    <row r="13476" spans="1:2" x14ac:dyDescent="0.25">
      <c r="A13476">
        <v>26525</v>
      </c>
      <c r="B13476">
        <v>0</v>
      </c>
    </row>
    <row r="13477" spans="1:2" x14ac:dyDescent="0.25">
      <c r="A13477">
        <v>26526</v>
      </c>
      <c r="B13477">
        <v>0</v>
      </c>
    </row>
    <row r="13478" spans="1:2" x14ac:dyDescent="0.25">
      <c r="A13478">
        <v>26527</v>
      </c>
      <c r="B13478">
        <v>0</v>
      </c>
    </row>
    <row r="13479" spans="1:2" x14ac:dyDescent="0.25">
      <c r="A13479">
        <v>26528</v>
      </c>
      <c r="B13479">
        <v>0</v>
      </c>
    </row>
    <row r="13480" spans="1:2" x14ac:dyDescent="0.25">
      <c r="A13480">
        <v>26529</v>
      </c>
      <c r="B13480">
        <v>0</v>
      </c>
    </row>
    <row r="13481" spans="1:2" x14ac:dyDescent="0.25">
      <c r="A13481">
        <v>26530</v>
      </c>
      <c r="B13481">
        <v>0</v>
      </c>
    </row>
    <row r="13482" spans="1:2" x14ac:dyDescent="0.25">
      <c r="A13482">
        <v>26531</v>
      </c>
      <c r="B13482">
        <v>0</v>
      </c>
    </row>
    <row r="13483" spans="1:2" x14ac:dyDescent="0.25">
      <c r="A13483">
        <v>26532</v>
      </c>
      <c r="B13483">
        <v>0</v>
      </c>
    </row>
    <row r="13484" spans="1:2" x14ac:dyDescent="0.25">
      <c r="A13484">
        <v>26533</v>
      </c>
      <c r="B13484">
        <v>0</v>
      </c>
    </row>
    <row r="13485" spans="1:2" x14ac:dyDescent="0.25">
      <c r="A13485">
        <v>26534</v>
      </c>
      <c r="B13485">
        <v>0</v>
      </c>
    </row>
    <row r="13486" spans="1:2" x14ac:dyDescent="0.25">
      <c r="A13486">
        <v>26535</v>
      </c>
      <c r="B13486">
        <v>0</v>
      </c>
    </row>
    <row r="13487" spans="1:2" x14ac:dyDescent="0.25">
      <c r="A13487">
        <v>26536</v>
      </c>
      <c r="B13487">
        <v>0</v>
      </c>
    </row>
    <row r="13488" spans="1:2" x14ac:dyDescent="0.25">
      <c r="A13488">
        <v>26537</v>
      </c>
      <c r="B13488">
        <v>0</v>
      </c>
    </row>
    <row r="13489" spans="1:2" x14ac:dyDescent="0.25">
      <c r="A13489">
        <v>26539</v>
      </c>
      <c r="B13489">
        <v>0</v>
      </c>
    </row>
    <row r="13490" spans="1:2" x14ac:dyDescent="0.25">
      <c r="A13490">
        <v>26540</v>
      </c>
      <c r="B13490">
        <v>0</v>
      </c>
    </row>
    <row r="13491" spans="1:2" x14ac:dyDescent="0.25">
      <c r="A13491">
        <v>26541</v>
      </c>
      <c r="B13491">
        <v>0</v>
      </c>
    </row>
    <row r="13492" spans="1:2" x14ac:dyDescent="0.25">
      <c r="A13492">
        <v>26542</v>
      </c>
      <c r="B13492">
        <v>0</v>
      </c>
    </row>
    <row r="13493" spans="1:2" x14ac:dyDescent="0.25">
      <c r="A13493">
        <v>26543</v>
      </c>
      <c r="B13493">
        <v>0</v>
      </c>
    </row>
    <row r="13494" spans="1:2" x14ac:dyDescent="0.25">
      <c r="A13494">
        <v>26544</v>
      </c>
      <c r="B13494">
        <v>0</v>
      </c>
    </row>
    <row r="13495" spans="1:2" x14ac:dyDescent="0.25">
      <c r="A13495">
        <v>26546</v>
      </c>
      <c r="B13495">
        <v>0</v>
      </c>
    </row>
    <row r="13496" spans="1:2" x14ac:dyDescent="0.25">
      <c r="A13496">
        <v>26548</v>
      </c>
      <c r="B13496">
        <v>0</v>
      </c>
    </row>
    <row r="13497" spans="1:2" x14ac:dyDescent="0.25">
      <c r="A13497">
        <v>26549</v>
      </c>
      <c r="B13497">
        <v>0</v>
      </c>
    </row>
    <row r="13498" spans="1:2" x14ac:dyDescent="0.25">
      <c r="A13498">
        <v>26550</v>
      </c>
      <c r="B13498">
        <v>0</v>
      </c>
    </row>
    <row r="13499" spans="1:2" x14ac:dyDescent="0.25">
      <c r="A13499">
        <v>26551</v>
      </c>
      <c r="B13499">
        <v>0</v>
      </c>
    </row>
    <row r="13500" spans="1:2" x14ac:dyDescent="0.25">
      <c r="A13500">
        <v>26552</v>
      </c>
      <c r="B13500">
        <v>0</v>
      </c>
    </row>
    <row r="13501" spans="1:2" x14ac:dyDescent="0.25">
      <c r="A13501">
        <v>26553</v>
      </c>
      <c r="B13501">
        <v>0</v>
      </c>
    </row>
    <row r="13502" spans="1:2" x14ac:dyDescent="0.25">
      <c r="A13502">
        <v>26554</v>
      </c>
      <c r="B13502">
        <v>0</v>
      </c>
    </row>
    <row r="13503" spans="1:2" x14ac:dyDescent="0.25">
      <c r="A13503">
        <v>26555</v>
      </c>
      <c r="B13503">
        <v>0</v>
      </c>
    </row>
    <row r="13504" spans="1:2" x14ac:dyDescent="0.25">
      <c r="A13504">
        <v>26556</v>
      </c>
      <c r="B13504">
        <v>0</v>
      </c>
    </row>
    <row r="13505" spans="1:2" x14ac:dyDescent="0.25">
      <c r="A13505">
        <v>26557</v>
      </c>
      <c r="B13505">
        <v>0</v>
      </c>
    </row>
    <row r="13506" spans="1:2" x14ac:dyDescent="0.25">
      <c r="A13506">
        <v>26558</v>
      </c>
      <c r="B13506">
        <v>0</v>
      </c>
    </row>
    <row r="13507" spans="1:2" x14ac:dyDescent="0.25">
      <c r="A13507">
        <v>26559</v>
      </c>
      <c r="B13507">
        <v>0</v>
      </c>
    </row>
    <row r="13508" spans="1:2" x14ac:dyDescent="0.25">
      <c r="A13508">
        <v>26560</v>
      </c>
      <c r="B13508">
        <v>0</v>
      </c>
    </row>
    <row r="13509" spans="1:2" x14ac:dyDescent="0.25">
      <c r="A13509">
        <v>26561</v>
      </c>
      <c r="B13509">
        <v>0</v>
      </c>
    </row>
    <row r="13510" spans="1:2" x14ac:dyDescent="0.25">
      <c r="A13510">
        <v>26562</v>
      </c>
      <c r="B13510">
        <v>0</v>
      </c>
    </row>
    <row r="13511" spans="1:2" x14ac:dyDescent="0.25">
      <c r="A13511">
        <v>26563</v>
      </c>
      <c r="B13511">
        <v>0</v>
      </c>
    </row>
    <row r="13512" spans="1:2" x14ac:dyDescent="0.25">
      <c r="A13512">
        <v>26564</v>
      </c>
      <c r="B13512">
        <v>0</v>
      </c>
    </row>
    <row r="13513" spans="1:2" x14ac:dyDescent="0.25">
      <c r="A13513">
        <v>26565</v>
      </c>
      <c r="B13513">
        <v>0</v>
      </c>
    </row>
    <row r="13514" spans="1:2" x14ac:dyDescent="0.25">
      <c r="A13514">
        <v>26566</v>
      </c>
      <c r="B13514">
        <v>0</v>
      </c>
    </row>
    <row r="13515" spans="1:2" x14ac:dyDescent="0.25">
      <c r="A13515">
        <v>26567</v>
      </c>
      <c r="B13515">
        <v>0</v>
      </c>
    </row>
    <row r="13516" spans="1:2" x14ac:dyDescent="0.25">
      <c r="A13516">
        <v>26568</v>
      </c>
      <c r="B13516">
        <v>0</v>
      </c>
    </row>
    <row r="13517" spans="1:2" x14ac:dyDescent="0.25">
      <c r="A13517">
        <v>26570</v>
      </c>
      <c r="B13517">
        <v>0</v>
      </c>
    </row>
    <row r="13518" spans="1:2" x14ac:dyDescent="0.25">
      <c r="A13518">
        <v>26571</v>
      </c>
      <c r="B13518">
        <v>0</v>
      </c>
    </row>
    <row r="13519" spans="1:2" x14ac:dyDescent="0.25">
      <c r="A13519">
        <v>26573</v>
      </c>
      <c r="B13519">
        <v>0</v>
      </c>
    </row>
    <row r="13520" spans="1:2" x14ac:dyDescent="0.25">
      <c r="A13520">
        <v>26574</v>
      </c>
      <c r="B13520">
        <v>0</v>
      </c>
    </row>
    <row r="13521" spans="1:2" x14ac:dyDescent="0.25">
      <c r="A13521">
        <v>26575</v>
      </c>
      <c r="B13521">
        <v>0</v>
      </c>
    </row>
    <row r="13522" spans="1:2" x14ac:dyDescent="0.25">
      <c r="A13522">
        <v>26576</v>
      </c>
      <c r="B13522">
        <v>0</v>
      </c>
    </row>
    <row r="13523" spans="1:2" x14ac:dyDescent="0.25">
      <c r="A13523">
        <v>26577</v>
      </c>
      <c r="B13523">
        <v>0</v>
      </c>
    </row>
    <row r="13524" spans="1:2" x14ac:dyDescent="0.25">
      <c r="A13524">
        <v>26578</v>
      </c>
      <c r="B13524">
        <v>0</v>
      </c>
    </row>
    <row r="13525" spans="1:2" x14ac:dyDescent="0.25">
      <c r="A13525">
        <v>26579</v>
      </c>
      <c r="B13525">
        <v>0</v>
      </c>
    </row>
    <row r="13526" spans="1:2" x14ac:dyDescent="0.25">
      <c r="A13526">
        <v>26580</v>
      </c>
      <c r="B13526">
        <v>0</v>
      </c>
    </row>
    <row r="13527" spans="1:2" x14ac:dyDescent="0.25">
      <c r="A13527">
        <v>26582</v>
      </c>
      <c r="B13527">
        <v>0</v>
      </c>
    </row>
    <row r="13528" spans="1:2" x14ac:dyDescent="0.25">
      <c r="A13528">
        <v>26583</v>
      </c>
      <c r="B13528">
        <v>0</v>
      </c>
    </row>
    <row r="13529" spans="1:2" x14ac:dyDescent="0.25">
      <c r="A13529">
        <v>26584</v>
      </c>
      <c r="B13529">
        <v>0</v>
      </c>
    </row>
    <row r="13530" spans="1:2" x14ac:dyDescent="0.25">
      <c r="A13530">
        <v>26585</v>
      </c>
      <c r="B13530">
        <v>0</v>
      </c>
    </row>
    <row r="13531" spans="1:2" x14ac:dyDescent="0.25">
      <c r="A13531">
        <v>26586</v>
      </c>
      <c r="B13531">
        <v>0</v>
      </c>
    </row>
    <row r="13532" spans="1:2" x14ac:dyDescent="0.25">
      <c r="A13532">
        <v>26588</v>
      </c>
      <c r="B13532">
        <v>0</v>
      </c>
    </row>
    <row r="13533" spans="1:2" x14ac:dyDescent="0.25">
      <c r="A13533">
        <v>26589</v>
      </c>
      <c r="B13533">
        <v>0</v>
      </c>
    </row>
    <row r="13534" spans="1:2" x14ac:dyDescent="0.25">
      <c r="A13534">
        <v>26590</v>
      </c>
      <c r="B13534">
        <v>0</v>
      </c>
    </row>
    <row r="13535" spans="1:2" x14ac:dyDescent="0.25">
      <c r="A13535">
        <v>26591</v>
      </c>
      <c r="B13535">
        <v>0</v>
      </c>
    </row>
    <row r="13536" spans="1:2" x14ac:dyDescent="0.25">
      <c r="A13536">
        <v>26594</v>
      </c>
      <c r="B13536">
        <v>0</v>
      </c>
    </row>
    <row r="13537" spans="1:2" x14ac:dyDescent="0.25">
      <c r="A13537">
        <v>26596</v>
      </c>
      <c r="B13537">
        <v>0</v>
      </c>
    </row>
    <row r="13538" spans="1:2" x14ac:dyDescent="0.25">
      <c r="A13538">
        <v>26598</v>
      </c>
      <c r="B13538">
        <v>0</v>
      </c>
    </row>
    <row r="13539" spans="1:2" x14ac:dyDescent="0.25">
      <c r="A13539">
        <v>26599</v>
      </c>
      <c r="B13539">
        <v>0</v>
      </c>
    </row>
    <row r="13540" spans="1:2" x14ac:dyDescent="0.25">
      <c r="A13540">
        <v>26603</v>
      </c>
      <c r="B13540">
        <v>0</v>
      </c>
    </row>
    <row r="13541" spans="1:2" x14ac:dyDescent="0.25">
      <c r="A13541">
        <v>26605</v>
      </c>
      <c r="B13541">
        <v>0</v>
      </c>
    </row>
    <row r="13542" spans="1:2" x14ac:dyDescent="0.25">
      <c r="A13542">
        <v>26607</v>
      </c>
      <c r="B13542">
        <v>0</v>
      </c>
    </row>
    <row r="13543" spans="1:2" x14ac:dyDescent="0.25">
      <c r="A13543">
        <v>26608</v>
      </c>
      <c r="B13543">
        <v>0</v>
      </c>
    </row>
    <row r="13544" spans="1:2" x14ac:dyDescent="0.25">
      <c r="A13544">
        <v>26624</v>
      </c>
      <c r="B13544">
        <v>0</v>
      </c>
    </row>
    <row r="13545" spans="1:2" x14ac:dyDescent="0.25">
      <c r="A13545">
        <v>26626</v>
      </c>
      <c r="B13545">
        <v>0</v>
      </c>
    </row>
    <row r="13546" spans="1:2" x14ac:dyDescent="0.25">
      <c r="A13546">
        <v>26627</v>
      </c>
      <c r="B13546">
        <v>0</v>
      </c>
    </row>
    <row r="13547" spans="1:2" x14ac:dyDescent="0.25">
      <c r="A13547">
        <v>26629</v>
      </c>
      <c r="B13547">
        <v>0</v>
      </c>
    </row>
    <row r="13548" spans="1:2" x14ac:dyDescent="0.25">
      <c r="A13548">
        <v>26630</v>
      </c>
      <c r="B13548">
        <v>0</v>
      </c>
    </row>
    <row r="13549" spans="1:2" x14ac:dyDescent="0.25">
      <c r="A13549">
        <v>26632</v>
      </c>
      <c r="B13549">
        <v>0</v>
      </c>
    </row>
    <row r="13550" spans="1:2" x14ac:dyDescent="0.25">
      <c r="A13550">
        <v>26633</v>
      </c>
      <c r="B13550">
        <v>0</v>
      </c>
    </row>
    <row r="13551" spans="1:2" x14ac:dyDescent="0.25">
      <c r="A13551">
        <v>26635</v>
      </c>
      <c r="B13551">
        <v>0</v>
      </c>
    </row>
    <row r="13552" spans="1:2" x14ac:dyDescent="0.25">
      <c r="A13552">
        <v>26636</v>
      </c>
      <c r="B13552">
        <v>0</v>
      </c>
    </row>
    <row r="13553" spans="1:2" x14ac:dyDescent="0.25">
      <c r="A13553">
        <v>26637</v>
      </c>
      <c r="B13553">
        <v>0</v>
      </c>
    </row>
    <row r="13554" spans="1:2" x14ac:dyDescent="0.25">
      <c r="A13554">
        <v>26638</v>
      </c>
      <c r="B13554">
        <v>0</v>
      </c>
    </row>
    <row r="13555" spans="1:2" x14ac:dyDescent="0.25">
      <c r="A13555">
        <v>26640</v>
      </c>
      <c r="B13555">
        <v>0</v>
      </c>
    </row>
    <row r="13556" spans="1:2" x14ac:dyDescent="0.25">
      <c r="A13556">
        <v>26641</v>
      </c>
      <c r="B13556">
        <v>0</v>
      </c>
    </row>
    <row r="13557" spans="1:2" x14ac:dyDescent="0.25">
      <c r="A13557">
        <v>26642</v>
      </c>
      <c r="B13557">
        <v>0</v>
      </c>
    </row>
    <row r="13558" spans="1:2" x14ac:dyDescent="0.25">
      <c r="A13558">
        <v>26643</v>
      </c>
      <c r="B13558">
        <v>0</v>
      </c>
    </row>
    <row r="13559" spans="1:2" x14ac:dyDescent="0.25">
      <c r="A13559">
        <v>26645</v>
      </c>
      <c r="B13559">
        <v>0</v>
      </c>
    </row>
    <row r="13560" spans="1:2" x14ac:dyDescent="0.25">
      <c r="A13560">
        <v>26647</v>
      </c>
      <c r="B13560">
        <v>0</v>
      </c>
    </row>
    <row r="13561" spans="1:2" x14ac:dyDescent="0.25">
      <c r="A13561">
        <v>26648</v>
      </c>
      <c r="B13561">
        <v>0</v>
      </c>
    </row>
    <row r="13562" spans="1:2" x14ac:dyDescent="0.25">
      <c r="A13562">
        <v>26650</v>
      </c>
      <c r="B13562">
        <v>0</v>
      </c>
    </row>
    <row r="13563" spans="1:2" x14ac:dyDescent="0.25">
      <c r="A13563">
        <v>26652</v>
      </c>
      <c r="B13563">
        <v>0</v>
      </c>
    </row>
    <row r="13564" spans="1:2" x14ac:dyDescent="0.25">
      <c r="A13564">
        <v>26654</v>
      </c>
      <c r="B13564">
        <v>0</v>
      </c>
    </row>
    <row r="13565" spans="1:2" x14ac:dyDescent="0.25">
      <c r="A13565">
        <v>26655</v>
      </c>
      <c r="B13565">
        <v>0</v>
      </c>
    </row>
    <row r="13566" spans="1:2" x14ac:dyDescent="0.25">
      <c r="A13566">
        <v>26656</v>
      </c>
      <c r="B13566">
        <v>0</v>
      </c>
    </row>
    <row r="13567" spans="1:2" x14ac:dyDescent="0.25">
      <c r="A13567">
        <v>26658</v>
      </c>
      <c r="B13567">
        <v>0</v>
      </c>
    </row>
    <row r="13568" spans="1:2" x14ac:dyDescent="0.25">
      <c r="A13568">
        <v>26660</v>
      </c>
      <c r="B13568">
        <v>0</v>
      </c>
    </row>
    <row r="13569" spans="1:2" x14ac:dyDescent="0.25">
      <c r="A13569">
        <v>26662</v>
      </c>
      <c r="B13569">
        <v>0</v>
      </c>
    </row>
    <row r="13570" spans="1:2" x14ac:dyDescent="0.25">
      <c r="A13570">
        <v>26664</v>
      </c>
      <c r="B13570">
        <v>0</v>
      </c>
    </row>
    <row r="13571" spans="1:2" x14ac:dyDescent="0.25">
      <c r="A13571">
        <v>26666</v>
      </c>
      <c r="B13571">
        <v>0</v>
      </c>
    </row>
    <row r="13572" spans="1:2" x14ac:dyDescent="0.25">
      <c r="A13572">
        <v>26668</v>
      </c>
      <c r="B13572">
        <v>0</v>
      </c>
    </row>
    <row r="13573" spans="1:2" x14ac:dyDescent="0.25">
      <c r="A13573">
        <v>26670</v>
      </c>
      <c r="B13573">
        <v>0</v>
      </c>
    </row>
    <row r="13574" spans="1:2" x14ac:dyDescent="0.25">
      <c r="A13574">
        <v>26672</v>
      </c>
      <c r="B13574">
        <v>0</v>
      </c>
    </row>
    <row r="13575" spans="1:2" x14ac:dyDescent="0.25">
      <c r="A13575">
        <v>26673</v>
      </c>
      <c r="B13575">
        <v>0</v>
      </c>
    </row>
    <row r="13576" spans="1:2" x14ac:dyDescent="0.25">
      <c r="A13576">
        <v>26674</v>
      </c>
      <c r="B13576">
        <v>0</v>
      </c>
    </row>
    <row r="13577" spans="1:2" x14ac:dyDescent="0.25">
      <c r="A13577">
        <v>26676</v>
      </c>
      <c r="B13577">
        <v>0</v>
      </c>
    </row>
    <row r="13578" spans="1:2" x14ac:dyDescent="0.25">
      <c r="A13578">
        <v>26678</v>
      </c>
      <c r="B13578">
        <v>0</v>
      </c>
    </row>
    <row r="13579" spans="1:2" x14ac:dyDescent="0.25">
      <c r="A13579">
        <v>26680</v>
      </c>
      <c r="B13579">
        <v>0</v>
      </c>
    </row>
    <row r="13580" spans="1:2" x14ac:dyDescent="0.25">
      <c r="A13580">
        <v>26682</v>
      </c>
      <c r="B13580">
        <v>0</v>
      </c>
    </row>
    <row r="13581" spans="1:2" x14ac:dyDescent="0.25">
      <c r="A13581">
        <v>26683</v>
      </c>
      <c r="B13581">
        <v>0</v>
      </c>
    </row>
    <row r="13582" spans="1:2" x14ac:dyDescent="0.25">
      <c r="A13582">
        <v>26685</v>
      </c>
      <c r="B13582">
        <v>0</v>
      </c>
    </row>
    <row r="13583" spans="1:2" x14ac:dyDescent="0.25">
      <c r="A13583">
        <v>26687</v>
      </c>
      <c r="B13583">
        <v>0</v>
      </c>
    </row>
    <row r="13584" spans="1:2" x14ac:dyDescent="0.25">
      <c r="A13584">
        <v>26689</v>
      </c>
      <c r="B13584">
        <v>0</v>
      </c>
    </row>
    <row r="13585" spans="1:2" x14ac:dyDescent="0.25">
      <c r="A13585">
        <v>26692</v>
      </c>
      <c r="B13585">
        <v>0</v>
      </c>
    </row>
    <row r="13586" spans="1:2" x14ac:dyDescent="0.25">
      <c r="A13586">
        <v>26694</v>
      </c>
      <c r="B13586">
        <v>0</v>
      </c>
    </row>
    <row r="13587" spans="1:2" x14ac:dyDescent="0.25">
      <c r="A13587">
        <v>26695</v>
      </c>
      <c r="B13587">
        <v>0</v>
      </c>
    </row>
    <row r="13588" spans="1:2" x14ac:dyDescent="0.25">
      <c r="A13588">
        <v>26697</v>
      </c>
      <c r="B13588">
        <v>0</v>
      </c>
    </row>
    <row r="13589" spans="1:2" x14ac:dyDescent="0.25">
      <c r="A13589">
        <v>26699</v>
      </c>
      <c r="B13589">
        <v>0</v>
      </c>
    </row>
    <row r="13590" spans="1:2" x14ac:dyDescent="0.25">
      <c r="A13590">
        <v>26701</v>
      </c>
      <c r="B13590">
        <v>0</v>
      </c>
    </row>
    <row r="13591" spans="1:2" x14ac:dyDescent="0.25">
      <c r="A13591">
        <v>26703</v>
      </c>
      <c r="B13591">
        <v>0</v>
      </c>
    </row>
    <row r="13592" spans="1:2" x14ac:dyDescent="0.25">
      <c r="A13592">
        <v>26705</v>
      </c>
      <c r="B13592">
        <v>0</v>
      </c>
    </row>
    <row r="13593" spans="1:2" x14ac:dyDescent="0.25">
      <c r="A13593">
        <v>26707</v>
      </c>
      <c r="B13593">
        <v>0</v>
      </c>
    </row>
    <row r="13594" spans="1:2" x14ac:dyDescent="0.25">
      <c r="A13594">
        <v>26710</v>
      </c>
      <c r="B13594">
        <v>0</v>
      </c>
    </row>
    <row r="13595" spans="1:2" x14ac:dyDescent="0.25">
      <c r="A13595">
        <v>26711</v>
      </c>
      <c r="B13595">
        <v>0</v>
      </c>
    </row>
    <row r="13596" spans="1:2" x14ac:dyDescent="0.25">
      <c r="A13596">
        <v>26713</v>
      </c>
      <c r="B13596">
        <v>0</v>
      </c>
    </row>
    <row r="13597" spans="1:2" x14ac:dyDescent="0.25">
      <c r="A13597">
        <v>26715</v>
      </c>
      <c r="B13597">
        <v>0</v>
      </c>
    </row>
    <row r="13598" spans="1:2" x14ac:dyDescent="0.25">
      <c r="A13598">
        <v>26717</v>
      </c>
      <c r="B13598">
        <v>0</v>
      </c>
    </row>
    <row r="13599" spans="1:2" x14ac:dyDescent="0.25">
      <c r="A13599">
        <v>26719</v>
      </c>
      <c r="B13599">
        <v>0</v>
      </c>
    </row>
    <row r="13600" spans="1:2" x14ac:dyDescent="0.25">
      <c r="A13600">
        <v>26721</v>
      </c>
      <c r="B13600">
        <v>0</v>
      </c>
    </row>
    <row r="13601" spans="1:2" x14ac:dyDescent="0.25">
      <c r="A13601">
        <v>26722</v>
      </c>
      <c r="B13601">
        <v>0</v>
      </c>
    </row>
    <row r="13602" spans="1:2" x14ac:dyDescent="0.25">
      <c r="A13602">
        <v>26724</v>
      </c>
      <c r="B13602">
        <v>0</v>
      </c>
    </row>
    <row r="13603" spans="1:2" x14ac:dyDescent="0.25">
      <c r="A13603">
        <v>26725</v>
      </c>
      <c r="B13603">
        <v>0</v>
      </c>
    </row>
    <row r="13604" spans="1:2" x14ac:dyDescent="0.25">
      <c r="A13604">
        <v>26727</v>
      </c>
      <c r="B13604">
        <v>0</v>
      </c>
    </row>
    <row r="13605" spans="1:2" x14ac:dyDescent="0.25">
      <c r="A13605">
        <v>26729</v>
      </c>
      <c r="B13605">
        <v>0</v>
      </c>
    </row>
    <row r="13606" spans="1:2" x14ac:dyDescent="0.25">
      <c r="A13606">
        <v>26731</v>
      </c>
      <c r="B13606">
        <v>0</v>
      </c>
    </row>
    <row r="13607" spans="1:2" x14ac:dyDescent="0.25">
      <c r="A13607">
        <v>26733</v>
      </c>
      <c r="B13607">
        <v>0</v>
      </c>
    </row>
    <row r="13608" spans="1:2" x14ac:dyDescent="0.25">
      <c r="A13608">
        <v>26734</v>
      </c>
      <c r="B13608">
        <v>0</v>
      </c>
    </row>
    <row r="13609" spans="1:2" x14ac:dyDescent="0.25">
      <c r="A13609">
        <v>26736</v>
      </c>
      <c r="B13609">
        <v>0</v>
      </c>
    </row>
    <row r="13610" spans="1:2" x14ac:dyDescent="0.25">
      <c r="A13610">
        <v>26738</v>
      </c>
      <c r="B13610">
        <v>0</v>
      </c>
    </row>
    <row r="13611" spans="1:2" x14ac:dyDescent="0.25">
      <c r="A13611">
        <v>26740</v>
      </c>
      <c r="B13611">
        <v>0</v>
      </c>
    </row>
    <row r="13612" spans="1:2" x14ac:dyDescent="0.25">
      <c r="A13612">
        <v>26742</v>
      </c>
      <c r="B13612">
        <v>0</v>
      </c>
    </row>
    <row r="13613" spans="1:2" x14ac:dyDescent="0.25">
      <c r="A13613">
        <v>26743</v>
      </c>
      <c r="B13613">
        <v>0</v>
      </c>
    </row>
    <row r="13614" spans="1:2" x14ac:dyDescent="0.25">
      <c r="A13614">
        <v>26745</v>
      </c>
      <c r="B13614">
        <v>0</v>
      </c>
    </row>
    <row r="13615" spans="1:2" x14ac:dyDescent="0.25">
      <c r="A13615">
        <v>26747</v>
      </c>
      <c r="B13615">
        <v>0</v>
      </c>
    </row>
    <row r="13616" spans="1:2" x14ac:dyDescent="0.25">
      <c r="A13616">
        <v>26749</v>
      </c>
      <c r="B13616">
        <v>0</v>
      </c>
    </row>
    <row r="13617" spans="1:2" x14ac:dyDescent="0.25">
      <c r="A13617">
        <v>26751</v>
      </c>
      <c r="B13617">
        <v>0</v>
      </c>
    </row>
    <row r="13618" spans="1:2" x14ac:dyDescent="0.25">
      <c r="A13618">
        <v>26753</v>
      </c>
      <c r="B13618">
        <v>0</v>
      </c>
    </row>
    <row r="13619" spans="1:2" x14ac:dyDescent="0.25">
      <c r="A13619">
        <v>26754</v>
      </c>
      <c r="B13619">
        <v>0</v>
      </c>
    </row>
    <row r="13620" spans="1:2" x14ac:dyDescent="0.25">
      <c r="A13620">
        <v>26756</v>
      </c>
      <c r="B13620">
        <v>0</v>
      </c>
    </row>
    <row r="13621" spans="1:2" x14ac:dyDescent="0.25">
      <c r="A13621">
        <v>26757</v>
      </c>
      <c r="B13621">
        <v>0</v>
      </c>
    </row>
    <row r="13622" spans="1:2" x14ac:dyDescent="0.25">
      <c r="A13622">
        <v>26758</v>
      </c>
      <c r="B13622">
        <v>0</v>
      </c>
    </row>
    <row r="13623" spans="1:2" x14ac:dyDescent="0.25">
      <c r="A13623">
        <v>26759</v>
      </c>
      <c r="B13623">
        <v>0</v>
      </c>
    </row>
    <row r="13624" spans="1:2" x14ac:dyDescent="0.25">
      <c r="A13624">
        <v>26760</v>
      </c>
      <c r="B13624">
        <v>0</v>
      </c>
    </row>
    <row r="13625" spans="1:2" x14ac:dyDescent="0.25">
      <c r="A13625">
        <v>26762</v>
      </c>
      <c r="B13625">
        <v>0</v>
      </c>
    </row>
    <row r="13626" spans="1:2" x14ac:dyDescent="0.25">
      <c r="A13626">
        <v>26764</v>
      </c>
      <c r="B13626">
        <v>0</v>
      </c>
    </row>
    <row r="13627" spans="1:2" x14ac:dyDescent="0.25">
      <c r="A13627">
        <v>26766</v>
      </c>
      <c r="B13627">
        <v>0</v>
      </c>
    </row>
    <row r="13628" spans="1:2" x14ac:dyDescent="0.25">
      <c r="A13628">
        <v>26767</v>
      </c>
      <c r="B13628">
        <v>0</v>
      </c>
    </row>
    <row r="13629" spans="1:2" x14ac:dyDescent="0.25">
      <c r="A13629">
        <v>26769</v>
      </c>
      <c r="B13629">
        <v>0</v>
      </c>
    </row>
    <row r="13630" spans="1:2" x14ac:dyDescent="0.25">
      <c r="A13630">
        <v>26771</v>
      </c>
      <c r="B13630">
        <v>0</v>
      </c>
    </row>
    <row r="13631" spans="1:2" x14ac:dyDescent="0.25">
      <c r="A13631">
        <v>26772</v>
      </c>
      <c r="B13631">
        <v>0</v>
      </c>
    </row>
    <row r="13632" spans="1:2" x14ac:dyDescent="0.25">
      <c r="A13632">
        <v>26774</v>
      </c>
      <c r="B13632">
        <v>0</v>
      </c>
    </row>
    <row r="13633" spans="1:2" x14ac:dyDescent="0.25">
      <c r="A13633">
        <v>26776</v>
      </c>
      <c r="B13633">
        <v>0</v>
      </c>
    </row>
    <row r="13634" spans="1:2" x14ac:dyDescent="0.25">
      <c r="A13634">
        <v>26778</v>
      </c>
      <c r="B13634">
        <v>0</v>
      </c>
    </row>
    <row r="13635" spans="1:2" x14ac:dyDescent="0.25">
      <c r="A13635">
        <v>26780</v>
      </c>
      <c r="B13635">
        <v>0</v>
      </c>
    </row>
    <row r="13636" spans="1:2" x14ac:dyDescent="0.25">
      <c r="A13636">
        <v>26782</v>
      </c>
      <c r="B13636">
        <v>0</v>
      </c>
    </row>
    <row r="13637" spans="1:2" x14ac:dyDescent="0.25">
      <c r="A13637">
        <v>26784</v>
      </c>
      <c r="B13637">
        <v>0</v>
      </c>
    </row>
    <row r="13638" spans="1:2" x14ac:dyDescent="0.25">
      <c r="A13638">
        <v>26786</v>
      </c>
      <c r="B13638">
        <v>0</v>
      </c>
    </row>
    <row r="13639" spans="1:2" x14ac:dyDescent="0.25">
      <c r="A13639">
        <v>26788</v>
      </c>
      <c r="B13639">
        <v>0</v>
      </c>
    </row>
    <row r="13640" spans="1:2" x14ac:dyDescent="0.25">
      <c r="A13640">
        <v>26790</v>
      </c>
      <c r="B13640">
        <v>0</v>
      </c>
    </row>
    <row r="13641" spans="1:2" x14ac:dyDescent="0.25">
      <c r="A13641">
        <v>26792</v>
      </c>
      <c r="B13641">
        <v>0</v>
      </c>
    </row>
    <row r="13642" spans="1:2" x14ac:dyDescent="0.25">
      <c r="A13642">
        <v>26794</v>
      </c>
      <c r="B13642">
        <v>0</v>
      </c>
    </row>
    <row r="13643" spans="1:2" x14ac:dyDescent="0.25">
      <c r="A13643">
        <v>26796</v>
      </c>
      <c r="B13643">
        <v>0</v>
      </c>
    </row>
    <row r="13644" spans="1:2" x14ac:dyDescent="0.25">
      <c r="A13644">
        <v>26798</v>
      </c>
      <c r="B13644">
        <v>0</v>
      </c>
    </row>
    <row r="13645" spans="1:2" x14ac:dyDescent="0.25">
      <c r="A13645">
        <v>26800</v>
      </c>
      <c r="B13645">
        <v>0</v>
      </c>
    </row>
    <row r="13646" spans="1:2" x14ac:dyDescent="0.25">
      <c r="A13646">
        <v>26802</v>
      </c>
      <c r="B13646">
        <v>0</v>
      </c>
    </row>
    <row r="13647" spans="1:2" x14ac:dyDescent="0.25">
      <c r="A13647">
        <v>26804</v>
      </c>
      <c r="B13647">
        <v>0</v>
      </c>
    </row>
    <row r="13648" spans="1:2" x14ac:dyDescent="0.25">
      <c r="A13648">
        <v>26806</v>
      </c>
      <c r="B13648">
        <v>0</v>
      </c>
    </row>
    <row r="13649" spans="1:2" x14ac:dyDescent="0.25">
      <c r="A13649">
        <v>26808</v>
      </c>
      <c r="B13649">
        <v>0</v>
      </c>
    </row>
    <row r="13650" spans="1:2" x14ac:dyDescent="0.25">
      <c r="A13650">
        <v>26809</v>
      </c>
      <c r="B13650">
        <v>0</v>
      </c>
    </row>
    <row r="13651" spans="1:2" x14ac:dyDescent="0.25">
      <c r="A13651">
        <v>26811</v>
      </c>
      <c r="B13651">
        <v>0</v>
      </c>
    </row>
    <row r="13652" spans="1:2" x14ac:dyDescent="0.25">
      <c r="A13652">
        <v>26813</v>
      </c>
      <c r="B13652">
        <v>0</v>
      </c>
    </row>
    <row r="13653" spans="1:2" x14ac:dyDescent="0.25">
      <c r="A13653">
        <v>26815</v>
      </c>
      <c r="B13653">
        <v>0</v>
      </c>
    </row>
    <row r="13654" spans="1:2" x14ac:dyDescent="0.25">
      <c r="A13654">
        <v>26816</v>
      </c>
      <c r="B13654">
        <v>0</v>
      </c>
    </row>
    <row r="13655" spans="1:2" x14ac:dyDescent="0.25">
      <c r="A13655">
        <v>26818</v>
      </c>
      <c r="B13655">
        <v>0</v>
      </c>
    </row>
    <row r="13656" spans="1:2" x14ac:dyDescent="0.25">
      <c r="A13656">
        <v>26820</v>
      </c>
      <c r="B13656">
        <v>0</v>
      </c>
    </row>
    <row r="13657" spans="1:2" x14ac:dyDescent="0.25">
      <c r="A13657">
        <v>26831</v>
      </c>
      <c r="B13657">
        <v>0</v>
      </c>
    </row>
    <row r="13658" spans="1:2" x14ac:dyDescent="0.25">
      <c r="A13658">
        <v>26832</v>
      </c>
      <c r="B13658">
        <v>0</v>
      </c>
    </row>
    <row r="13659" spans="1:2" x14ac:dyDescent="0.25">
      <c r="A13659">
        <v>26836</v>
      </c>
      <c r="B13659">
        <v>0</v>
      </c>
    </row>
    <row r="13660" spans="1:2" x14ac:dyDescent="0.25">
      <c r="A13660">
        <v>26838</v>
      </c>
      <c r="B13660">
        <v>0</v>
      </c>
    </row>
    <row r="13661" spans="1:2" x14ac:dyDescent="0.25">
      <c r="A13661">
        <v>26840</v>
      </c>
      <c r="B13661">
        <v>0</v>
      </c>
    </row>
    <row r="13662" spans="1:2" x14ac:dyDescent="0.25">
      <c r="A13662">
        <v>26842</v>
      </c>
      <c r="B13662">
        <v>0</v>
      </c>
    </row>
    <row r="13663" spans="1:2" x14ac:dyDescent="0.25">
      <c r="A13663">
        <v>26843</v>
      </c>
      <c r="B13663">
        <v>0</v>
      </c>
    </row>
    <row r="13664" spans="1:2" x14ac:dyDescent="0.25">
      <c r="A13664">
        <v>26844</v>
      </c>
      <c r="B13664">
        <v>0</v>
      </c>
    </row>
    <row r="13665" spans="1:2" x14ac:dyDescent="0.25">
      <c r="A13665">
        <v>26846</v>
      </c>
      <c r="B13665">
        <v>0</v>
      </c>
    </row>
    <row r="13666" spans="1:2" x14ac:dyDescent="0.25">
      <c r="A13666">
        <v>26848</v>
      </c>
      <c r="B13666">
        <v>0</v>
      </c>
    </row>
    <row r="13667" spans="1:2" x14ac:dyDescent="0.25">
      <c r="A13667">
        <v>26850</v>
      </c>
      <c r="B13667">
        <v>0</v>
      </c>
    </row>
    <row r="13668" spans="1:2" x14ac:dyDescent="0.25">
      <c r="A13668">
        <v>26852</v>
      </c>
      <c r="B13668">
        <v>0</v>
      </c>
    </row>
    <row r="13669" spans="1:2" x14ac:dyDescent="0.25">
      <c r="A13669">
        <v>26853</v>
      </c>
      <c r="B13669">
        <v>0</v>
      </c>
    </row>
    <row r="13670" spans="1:2" x14ac:dyDescent="0.25">
      <c r="A13670">
        <v>26854</v>
      </c>
      <c r="B13670">
        <v>0</v>
      </c>
    </row>
    <row r="13671" spans="1:2" x14ac:dyDescent="0.25">
      <c r="A13671">
        <v>26856</v>
      </c>
      <c r="B13671">
        <v>0</v>
      </c>
    </row>
    <row r="13672" spans="1:2" x14ac:dyDescent="0.25">
      <c r="A13672">
        <v>26858</v>
      </c>
      <c r="B13672">
        <v>0</v>
      </c>
    </row>
    <row r="13673" spans="1:2" x14ac:dyDescent="0.25">
      <c r="A13673">
        <v>26860</v>
      </c>
      <c r="B13673">
        <v>0</v>
      </c>
    </row>
    <row r="13674" spans="1:2" x14ac:dyDescent="0.25">
      <c r="A13674">
        <v>26862</v>
      </c>
      <c r="B13674">
        <v>0</v>
      </c>
    </row>
    <row r="13675" spans="1:2" x14ac:dyDescent="0.25">
      <c r="A13675">
        <v>26864</v>
      </c>
      <c r="B13675">
        <v>0</v>
      </c>
    </row>
    <row r="13676" spans="1:2" x14ac:dyDescent="0.25">
      <c r="A13676">
        <v>26866</v>
      </c>
      <c r="B13676">
        <v>0</v>
      </c>
    </row>
    <row r="13677" spans="1:2" x14ac:dyDescent="0.25">
      <c r="A13677">
        <v>26868</v>
      </c>
      <c r="B13677">
        <v>0</v>
      </c>
    </row>
    <row r="13678" spans="1:2" x14ac:dyDescent="0.25">
      <c r="A13678">
        <v>26869</v>
      </c>
      <c r="B13678">
        <v>0</v>
      </c>
    </row>
    <row r="13679" spans="1:2" x14ac:dyDescent="0.25">
      <c r="A13679">
        <v>26870</v>
      </c>
      <c r="B13679">
        <v>0</v>
      </c>
    </row>
    <row r="13680" spans="1:2" x14ac:dyDescent="0.25">
      <c r="A13680">
        <v>26871</v>
      </c>
      <c r="B13680">
        <v>0</v>
      </c>
    </row>
    <row r="13681" spans="1:2" x14ac:dyDescent="0.25">
      <c r="A13681">
        <v>26873</v>
      </c>
      <c r="B13681">
        <v>0</v>
      </c>
    </row>
    <row r="13682" spans="1:2" x14ac:dyDescent="0.25">
      <c r="A13682">
        <v>26876</v>
      </c>
      <c r="B13682">
        <v>0</v>
      </c>
    </row>
    <row r="13683" spans="1:2" x14ac:dyDescent="0.25">
      <c r="A13683">
        <v>26877</v>
      </c>
      <c r="B13683">
        <v>0</v>
      </c>
    </row>
    <row r="13684" spans="1:2" x14ac:dyDescent="0.25">
      <c r="A13684">
        <v>26878</v>
      </c>
      <c r="B13684">
        <v>0</v>
      </c>
    </row>
    <row r="13685" spans="1:2" x14ac:dyDescent="0.25">
      <c r="A13685">
        <v>26881</v>
      </c>
      <c r="B13685">
        <v>0</v>
      </c>
    </row>
    <row r="13686" spans="1:2" x14ac:dyDescent="0.25">
      <c r="A13686">
        <v>26883</v>
      </c>
      <c r="B13686">
        <v>0</v>
      </c>
    </row>
    <row r="13687" spans="1:2" x14ac:dyDescent="0.25">
      <c r="A13687">
        <v>26885</v>
      </c>
      <c r="B13687">
        <v>0</v>
      </c>
    </row>
    <row r="13688" spans="1:2" x14ac:dyDescent="0.25">
      <c r="A13688">
        <v>26887</v>
      </c>
      <c r="B13688">
        <v>0</v>
      </c>
    </row>
    <row r="13689" spans="1:2" x14ac:dyDescent="0.25">
      <c r="A13689">
        <v>26889</v>
      </c>
      <c r="B13689">
        <v>0</v>
      </c>
    </row>
    <row r="13690" spans="1:2" x14ac:dyDescent="0.25">
      <c r="A13690">
        <v>26891</v>
      </c>
      <c r="B13690">
        <v>0</v>
      </c>
    </row>
    <row r="13691" spans="1:2" x14ac:dyDescent="0.25">
      <c r="A13691">
        <v>26892</v>
      </c>
      <c r="B13691">
        <v>0</v>
      </c>
    </row>
    <row r="13692" spans="1:2" x14ac:dyDescent="0.25">
      <c r="A13692">
        <v>26895</v>
      </c>
      <c r="B13692">
        <v>0</v>
      </c>
    </row>
    <row r="13693" spans="1:2" x14ac:dyDescent="0.25">
      <c r="A13693">
        <v>26896</v>
      </c>
      <c r="B13693">
        <v>0</v>
      </c>
    </row>
    <row r="13694" spans="1:2" x14ac:dyDescent="0.25">
      <c r="A13694">
        <v>26898</v>
      </c>
      <c r="B13694">
        <v>0</v>
      </c>
    </row>
    <row r="13695" spans="1:2" x14ac:dyDescent="0.25">
      <c r="A13695">
        <v>26901</v>
      </c>
      <c r="B13695">
        <v>0</v>
      </c>
    </row>
    <row r="13696" spans="1:2" x14ac:dyDescent="0.25">
      <c r="A13696">
        <v>26902</v>
      </c>
      <c r="B13696">
        <v>0</v>
      </c>
    </row>
    <row r="13697" spans="1:2" x14ac:dyDescent="0.25">
      <c r="A13697">
        <v>26904</v>
      </c>
      <c r="B13697">
        <v>0</v>
      </c>
    </row>
    <row r="13698" spans="1:2" x14ac:dyDescent="0.25">
      <c r="A13698">
        <v>26906</v>
      </c>
      <c r="B13698">
        <v>0</v>
      </c>
    </row>
    <row r="13699" spans="1:2" x14ac:dyDescent="0.25">
      <c r="A13699">
        <v>26908</v>
      </c>
      <c r="B13699">
        <v>0</v>
      </c>
    </row>
    <row r="13700" spans="1:2" x14ac:dyDescent="0.25">
      <c r="A13700">
        <v>26912</v>
      </c>
      <c r="B13700">
        <v>0</v>
      </c>
    </row>
    <row r="13701" spans="1:2" x14ac:dyDescent="0.25">
      <c r="A13701">
        <v>26915</v>
      </c>
      <c r="B13701">
        <v>0</v>
      </c>
    </row>
    <row r="13702" spans="1:2" x14ac:dyDescent="0.25">
      <c r="A13702">
        <v>26917</v>
      </c>
      <c r="B13702">
        <v>0</v>
      </c>
    </row>
    <row r="13703" spans="1:2" x14ac:dyDescent="0.25">
      <c r="A13703">
        <v>26918</v>
      </c>
      <c r="B13703">
        <v>0</v>
      </c>
    </row>
    <row r="13704" spans="1:2" x14ac:dyDescent="0.25">
      <c r="A13704">
        <v>26919</v>
      </c>
      <c r="B13704">
        <v>0</v>
      </c>
    </row>
    <row r="13705" spans="1:2" x14ac:dyDescent="0.25">
      <c r="A13705">
        <v>26920</v>
      </c>
      <c r="B13705">
        <v>0</v>
      </c>
    </row>
    <row r="13706" spans="1:2" x14ac:dyDescent="0.25">
      <c r="A13706">
        <v>26925</v>
      </c>
      <c r="B13706">
        <v>0</v>
      </c>
    </row>
    <row r="13707" spans="1:2" x14ac:dyDescent="0.25">
      <c r="A13707">
        <v>26926</v>
      </c>
      <c r="B13707">
        <v>0</v>
      </c>
    </row>
    <row r="13708" spans="1:2" x14ac:dyDescent="0.25">
      <c r="A13708">
        <v>26927</v>
      </c>
      <c r="B13708">
        <v>0</v>
      </c>
    </row>
    <row r="13709" spans="1:2" x14ac:dyDescent="0.25">
      <c r="A13709">
        <v>26928</v>
      </c>
      <c r="B13709">
        <v>0</v>
      </c>
    </row>
    <row r="13710" spans="1:2" x14ac:dyDescent="0.25">
      <c r="A13710">
        <v>26929</v>
      </c>
      <c r="B13710">
        <v>0</v>
      </c>
    </row>
    <row r="13711" spans="1:2" x14ac:dyDescent="0.25">
      <c r="A13711">
        <v>26931</v>
      </c>
      <c r="B13711">
        <v>0</v>
      </c>
    </row>
    <row r="13712" spans="1:2" x14ac:dyDescent="0.25">
      <c r="A13712">
        <v>26932</v>
      </c>
      <c r="B13712">
        <v>0</v>
      </c>
    </row>
    <row r="13713" spans="1:2" x14ac:dyDescent="0.25">
      <c r="A13713">
        <v>26933</v>
      </c>
      <c r="B13713">
        <v>0</v>
      </c>
    </row>
    <row r="13714" spans="1:2" x14ac:dyDescent="0.25">
      <c r="A13714">
        <v>26935</v>
      </c>
      <c r="B13714">
        <v>0</v>
      </c>
    </row>
    <row r="13715" spans="1:2" x14ac:dyDescent="0.25">
      <c r="A13715">
        <v>26936</v>
      </c>
      <c r="B13715">
        <v>0</v>
      </c>
    </row>
    <row r="13716" spans="1:2" x14ac:dyDescent="0.25">
      <c r="A13716">
        <v>26937</v>
      </c>
      <c r="B13716">
        <v>0</v>
      </c>
    </row>
    <row r="13717" spans="1:2" x14ac:dyDescent="0.25">
      <c r="A13717">
        <v>26940</v>
      </c>
      <c r="B13717">
        <v>0</v>
      </c>
    </row>
    <row r="13718" spans="1:2" x14ac:dyDescent="0.25">
      <c r="A13718">
        <v>26941</v>
      </c>
      <c r="B13718">
        <v>0</v>
      </c>
    </row>
    <row r="13719" spans="1:2" x14ac:dyDescent="0.25">
      <c r="A13719">
        <v>26944</v>
      </c>
      <c r="B13719">
        <v>0</v>
      </c>
    </row>
    <row r="13720" spans="1:2" x14ac:dyDescent="0.25">
      <c r="A13720">
        <v>26947</v>
      </c>
      <c r="B13720">
        <v>0</v>
      </c>
    </row>
    <row r="13721" spans="1:2" x14ac:dyDescent="0.25">
      <c r="A13721">
        <v>26950</v>
      </c>
      <c r="B13721">
        <v>0</v>
      </c>
    </row>
    <row r="13722" spans="1:2" x14ac:dyDescent="0.25">
      <c r="A13722">
        <v>26952</v>
      </c>
      <c r="B13722">
        <v>0</v>
      </c>
    </row>
    <row r="13723" spans="1:2" x14ac:dyDescent="0.25">
      <c r="A13723">
        <v>26956</v>
      </c>
      <c r="B13723">
        <v>0</v>
      </c>
    </row>
    <row r="13724" spans="1:2" x14ac:dyDescent="0.25">
      <c r="A13724">
        <v>26960</v>
      </c>
      <c r="B13724">
        <v>0</v>
      </c>
    </row>
    <row r="13725" spans="1:2" x14ac:dyDescent="0.25">
      <c r="A13725">
        <v>26962</v>
      </c>
      <c r="B13725">
        <v>0</v>
      </c>
    </row>
    <row r="13726" spans="1:2" x14ac:dyDescent="0.25">
      <c r="A13726">
        <v>26964</v>
      </c>
      <c r="B13726">
        <v>0</v>
      </c>
    </row>
    <row r="13727" spans="1:2" x14ac:dyDescent="0.25">
      <c r="A13727">
        <v>26983</v>
      </c>
      <c r="B13727">
        <v>0</v>
      </c>
    </row>
    <row r="13728" spans="1:2" x14ac:dyDescent="0.25">
      <c r="A13728">
        <v>26991</v>
      </c>
      <c r="B13728">
        <v>0</v>
      </c>
    </row>
    <row r="13729" spans="1:2" x14ac:dyDescent="0.25">
      <c r="A13729">
        <v>26992</v>
      </c>
      <c r="B13729">
        <v>0</v>
      </c>
    </row>
    <row r="13730" spans="1:2" x14ac:dyDescent="0.25">
      <c r="A13730">
        <v>26993</v>
      </c>
      <c r="B13730">
        <v>0</v>
      </c>
    </row>
    <row r="13731" spans="1:2" x14ac:dyDescent="0.25">
      <c r="A13731">
        <v>26994</v>
      </c>
      <c r="B13731">
        <v>0</v>
      </c>
    </row>
    <row r="13732" spans="1:2" x14ac:dyDescent="0.25">
      <c r="A13732">
        <v>26995</v>
      </c>
      <c r="B13732">
        <v>0</v>
      </c>
    </row>
    <row r="13733" spans="1:2" x14ac:dyDescent="0.25">
      <c r="A13733">
        <v>26996</v>
      </c>
      <c r="B13733">
        <v>0</v>
      </c>
    </row>
    <row r="13734" spans="1:2" x14ac:dyDescent="0.25">
      <c r="A13734">
        <v>26998</v>
      </c>
      <c r="B13734">
        <v>0</v>
      </c>
    </row>
    <row r="13735" spans="1:2" x14ac:dyDescent="0.25">
      <c r="A13735">
        <v>27000</v>
      </c>
      <c r="B13735">
        <v>0</v>
      </c>
    </row>
    <row r="13736" spans="1:2" x14ac:dyDescent="0.25">
      <c r="A13736">
        <v>27001</v>
      </c>
      <c r="B13736">
        <v>0</v>
      </c>
    </row>
    <row r="13737" spans="1:2" x14ac:dyDescent="0.25">
      <c r="A13737">
        <v>27003</v>
      </c>
      <c r="B13737">
        <v>0</v>
      </c>
    </row>
    <row r="13738" spans="1:2" x14ac:dyDescent="0.25">
      <c r="A13738">
        <v>27005</v>
      </c>
      <c r="B13738">
        <v>0</v>
      </c>
    </row>
    <row r="13739" spans="1:2" x14ac:dyDescent="0.25">
      <c r="A13739">
        <v>27007</v>
      </c>
      <c r="B13739">
        <v>0</v>
      </c>
    </row>
    <row r="13740" spans="1:2" x14ac:dyDescent="0.25">
      <c r="A13740">
        <v>27009</v>
      </c>
      <c r="B13740">
        <v>0</v>
      </c>
    </row>
    <row r="13741" spans="1:2" x14ac:dyDescent="0.25">
      <c r="A13741">
        <v>27011</v>
      </c>
      <c r="B13741">
        <v>0</v>
      </c>
    </row>
    <row r="13742" spans="1:2" x14ac:dyDescent="0.25">
      <c r="A13742">
        <v>27013</v>
      </c>
      <c r="B13742">
        <v>0</v>
      </c>
    </row>
    <row r="13743" spans="1:2" x14ac:dyDescent="0.25">
      <c r="A13743">
        <v>27015</v>
      </c>
      <c r="B13743">
        <v>0</v>
      </c>
    </row>
    <row r="13744" spans="1:2" x14ac:dyDescent="0.25">
      <c r="A13744">
        <v>27017</v>
      </c>
      <c r="B13744">
        <v>0</v>
      </c>
    </row>
    <row r="13745" spans="1:2" x14ac:dyDescent="0.25">
      <c r="A13745">
        <v>27019</v>
      </c>
      <c r="B13745">
        <v>0</v>
      </c>
    </row>
    <row r="13746" spans="1:2" x14ac:dyDescent="0.25">
      <c r="A13746">
        <v>27022</v>
      </c>
      <c r="B13746">
        <v>0</v>
      </c>
    </row>
    <row r="13747" spans="1:2" x14ac:dyDescent="0.25">
      <c r="A13747">
        <v>27023</v>
      </c>
      <c r="B13747">
        <v>0</v>
      </c>
    </row>
    <row r="13748" spans="1:2" x14ac:dyDescent="0.25">
      <c r="A13748">
        <v>27024</v>
      </c>
      <c r="B13748">
        <v>0</v>
      </c>
    </row>
    <row r="13749" spans="1:2" x14ac:dyDescent="0.25">
      <c r="A13749">
        <v>27025</v>
      </c>
      <c r="B13749">
        <v>0</v>
      </c>
    </row>
    <row r="13750" spans="1:2" x14ac:dyDescent="0.25">
      <c r="A13750">
        <v>27027</v>
      </c>
      <c r="B13750">
        <v>0</v>
      </c>
    </row>
    <row r="13751" spans="1:2" x14ac:dyDescent="0.25">
      <c r="A13751">
        <v>27029</v>
      </c>
      <c r="B13751">
        <v>0</v>
      </c>
    </row>
    <row r="13752" spans="1:2" x14ac:dyDescent="0.25">
      <c r="A13752">
        <v>27031</v>
      </c>
      <c r="B13752">
        <v>0</v>
      </c>
    </row>
    <row r="13753" spans="1:2" x14ac:dyDescent="0.25">
      <c r="A13753">
        <v>27033</v>
      </c>
      <c r="B13753">
        <v>0</v>
      </c>
    </row>
    <row r="13754" spans="1:2" x14ac:dyDescent="0.25">
      <c r="A13754">
        <v>27035</v>
      </c>
      <c r="B13754">
        <v>0</v>
      </c>
    </row>
    <row r="13755" spans="1:2" x14ac:dyDescent="0.25">
      <c r="A13755">
        <v>27037</v>
      </c>
      <c r="B13755">
        <v>0</v>
      </c>
    </row>
    <row r="13756" spans="1:2" x14ac:dyDescent="0.25">
      <c r="A13756">
        <v>27038</v>
      </c>
      <c r="B13756">
        <v>0</v>
      </c>
    </row>
    <row r="13757" spans="1:2" x14ac:dyDescent="0.25">
      <c r="A13757">
        <v>27041</v>
      </c>
      <c r="B13757">
        <v>0</v>
      </c>
    </row>
    <row r="13758" spans="1:2" x14ac:dyDescent="0.25">
      <c r="A13758">
        <v>27043</v>
      </c>
      <c r="B13758">
        <v>0</v>
      </c>
    </row>
    <row r="13759" spans="1:2" x14ac:dyDescent="0.25">
      <c r="A13759">
        <v>27045</v>
      </c>
      <c r="B13759">
        <v>0</v>
      </c>
    </row>
    <row r="13760" spans="1:2" x14ac:dyDescent="0.25">
      <c r="A13760">
        <v>27046</v>
      </c>
      <c r="B13760">
        <v>0</v>
      </c>
    </row>
    <row r="13761" spans="1:2" x14ac:dyDescent="0.25">
      <c r="A13761">
        <v>27050</v>
      </c>
      <c r="B13761">
        <v>0</v>
      </c>
    </row>
    <row r="13762" spans="1:2" x14ac:dyDescent="0.25">
      <c r="A13762">
        <v>27051</v>
      </c>
      <c r="B13762">
        <v>0</v>
      </c>
    </row>
    <row r="13763" spans="1:2" x14ac:dyDescent="0.25">
      <c r="A13763">
        <v>27053</v>
      </c>
      <c r="B13763">
        <v>0</v>
      </c>
    </row>
    <row r="13764" spans="1:2" x14ac:dyDescent="0.25">
      <c r="A13764">
        <v>27056</v>
      </c>
      <c r="B13764">
        <v>0</v>
      </c>
    </row>
    <row r="13765" spans="1:2" x14ac:dyDescent="0.25">
      <c r="A13765">
        <v>27058</v>
      </c>
      <c r="B13765">
        <v>0</v>
      </c>
    </row>
    <row r="13766" spans="1:2" x14ac:dyDescent="0.25">
      <c r="A13766">
        <v>27060</v>
      </c>
      <c r="B13766">
        <v>0</v>
      </c>
    </row>
    <row r="13767" spans="1:2" x14ac:dyDescent="0.25">
      <c r="A13767">
        <v>27061</v>
      </c>
      <c r="B13767">
        <v>0</v>
      </c>
    </row>
    <row r="13768" spans="1:2" x14ac:dyDescent="0.25">
      <c r="A13768">
        <v>27062</v>
      </c>
      <c r="B13768">
        <v>0</v>
      </c>
    </row>
    <row r="13769" spans="1:2" x14ac:dyDescent="0.25">
      <c r="A13769">
        <v>27063</v>
      </c>
      <c r="B13769">
        <v>0</v>
      </c>
    </row>
    <row r="13770" spans="1:2" x14ac:dyDescent="0.25">
      <c r="A13770">
        <v>27064</v>
      </c>
      <c r="B13770">
        <v>0</v>
      </c>
    </row>
    <row r="13771" spans="1:2" x14ac:dyDescent="0.25">
      <c r="A13771">
        <v>27065</v>
      </c>
      <c r="B13771">
        <v>0</v>
      </c>
    </row>
    <row r="13772" spans="1:2" x14ac:dyDescent="0.25">
      <c r="A13772">
        <v>27067</v>
      </c>
      <c r="B13772">
        <v>0</v>
      </c>
    </row>
    <row r="13773" spans="1:2" x14ac:dyDescent="0.25">
      <c r="A13773">
        <v>27068</v>
      </c>
      <c r="B13773">
        <v>0</v>
      </c>
    </row>
    <row r="13774" spans="1:2" x14ac:dyDescent="0.25">
      <c r="A13774">
        <v>27069</v>
      </c>
      <c r="B13774">
        <v>0</v>
      </c>
    </row>
    <row r="13775" spans="1:2" x14ac:dyDescent="0.25">
      <c r="A13775">
        <v>27070</v>
      </c>
      <c r="B13775">
        <v>0</v>
      </c>
    </row>
    <row r="13776" spans="1:2" x14ac:dyDescent="0.25">
      <c r="A13776">
        <v>27072</v>
      </c>
      <c r="B13776">
        <v>0</v>
      </c>
    </row>
    <row r="13777" spans="1:2" x14ac:dyDescent="0.25">
      <c r="A13777">
        <v>27075</v>
      </c>
      <c r="B13777">
        <v>0</v>
      </c>
    </row>
    <row r="13778" spans="1:2" x14ac:dyDescent="0.25">
      <c r="A13778">
        <v>27078</v>
      </c>
      <c r="B13778">
        <v>0</v>
      </c>
    </row>
    <row r="13779" spans="1:2" x14ac:dyDescent="0.25">
      <c r="A13779">
        <v>27108</v>
      </c>
      <c r="B13779">
        <v>0</v>
      </c>
    </row>
    <row r="13780" spans="1:2" x14ac:dyDescent="0.25">
      <c r="A13780">
        <v>27116</v>
      </c>
      <c r="B13780">
        <v>0</v>
      </c>
    </row>
    <row r="13781" spans="1:2" x14ac:dyDescent="0.25">
      <c r="A13781">
        <v>27119</v>
      </c>
      <c r="B13781">
        <v>0</v>
      </c>
    </row>
    <row r="13782" spans="1:2" x14ac:dyDescent="0.25">
      <c r="A13782">
        <v>27121</v>
      </c>
      <c r="B13782">
        <v>0</v>
      </c>
    </row>
    <row r="13783" spans="1:2" x14ac:dyDescent="0.25">
      <c r="A13783">
        <v>27123</v>
      </c>
      <c r="B13783">
        <v>0</v>
      </c>
    </row>
    <row r="13784" spans="1:2" x14ac:dyDescent="0.25">
      <c r="A13784">
        <v>27126</v>
      </c>
      <c r="B13784">
        <v>0</v>
      </c>
    </row>
    <row r="13785" spans="1:2" x14ac:dyDescent="0.25">
      <c r="A13785">
        <v>27127</v>
      </c>
      <c r="B13785">
        <v>0</v>
      </c>
    </row>
    <row r="13786" spans="1:2" x14ac:dyDescent="0.25">
      <c r="A13786">
        <v>27129</v>
      </c>
      <c r="B13786">
        <v>0</v>
      </c>
    </row>
    <row r="13787" spans="1:2" x14ac:dyDescent="0.25">
      <c r="A13787">
        <v>27130</v>
      </c>
      <c r="B13787">
        <v>0</v>
      </c>
    </row>
    <row r="13788" spans="1:2" x14ac:dyDescent="0.25">
      <c r="A13788">
        <v>27131</v>
      </c>
      <c r="B13788">
        <v>0</v>
      </c>
    </row>
    <row r="13789" spans="1:2" x14ac:dyDescent="0.25">
      <c r="A13789">
        <v>27132</v>
      </c>
      <c r="B13789">
        <v>0</v>
      </c>
    </row>
    <row r="13790" spans="1:2" x14ac:dyDescent="0.25">
      <c r="A13790">
        <v>27133</v>
      </c>
      <c r="B13790">
        <v>0</v>
      </c>
    </row>
    <row r="13791" spans="1:2" x14ac:dyDescent="0.25">
      <c r="A13791">
        <v>27135</v>
      </c>
      <c r="B13791">
        <v>0</v>
      </c>
    </row>
    <row r="13792" spans="1:2" x14ac:dyDescent="0.25">
      <c r="A13792">
        <v>27136</v>
      </c>
      <c r="B13792">
        <v>0</v>
      </c>
    </row>
    <row r="13793" spans="1:2" x14ac:dyDescent="0.25">
      <c r="A13793">
        <v>27138</v>
      </c>
      <c r="B13793">
        <v>0</v>
      </c>
    </row>
    <row r="13794" spans="1:2" x14ac:dyDescent="0.25">
      <c r="A13794">
        <v>27139</v>
      </c>
      <c r="B13794">
        <v>0</v>
      </c>
    </row>
    <row r="13795" spans="1:2" x14ac:dyDescent="0.25">
      <c r="A13795">
        <v>27140</v>
      </c>
      <c r="B13795">
        <v>0</v>
      </c>
    </row>
    <row r="13796" spans="1:2" x14ac:dyDescent="0.25">
      <c r="A13796">
        <v>27141</v>
      </c>
      <c r="B13796">
        <v>0</v>
      </c>
    </row>
    <row r="13797" spans="1:2" x14ac:dyDescent="0.25">
      <c r="A13797">
        <v>27142</v>
      </c>
      <c r="B13797">
        <v>0</v>
      </c>
    </row>
    <row r="13798" spans="1:2" x14ac:dyDescent="0.25">
      <c r="A13798">
        <v>27143</v>
      </c>
      <c r="B13798">
        <v>0</v>
      </c>
    </row>
    <row r="13799" spans="1:2" x14ac:dyDescent="0.25">
      <c r="A13799">
        <v>27144</v>
      </c>
      <c r="B13799">
        <v>0</v>
      </c>
    </row>
    <row r="13800" spans="1:2" x14ac:dyDescent="0.25">
      <c r="A13800">
        <v>27145</v>
      </c>
      <c r="B13800">
        <v>0</v>
      </c>
    </row>
    <row r="13801" spans="1:2" x14ac:dyDescent="0.25">
      <c r="A13801">
        <v>27146</v>
      </c>
      <c r="B13801">
        <v>0</v>
      </c>
    </row>
    <row r="13802" spans="1:2" x14ac:dyDescent="0.25">
      <c r="A13802">
        <v>27147</v>
      </c>
      <c r="B13802">
        <v>0</v>
      </c>
    </row>
    <row r="13803" spans="1:2" x14ac:dyDescent="0.25">
      <c r="A13803">
        <v>27148</v>
      </c>
      <c r="B13803">
        <v>0</v>
      </c>
    </row>
    <row r="13804" spans="1:2" x14ac:dyDescent="0.25">
      <c r="A13804">
        <v>27149</v>
      </c>
      <c r="B13804">
        <v>0</v>
      </c>
    </row>
    <row r="13805" spans="1:2" x14ac:dyDescent="0.25">
      <c r="A13805">
        <v>27150</v>
      </c>
      <c r="B13805">
        <v>0</v>
      </c>
    </row>
    <row r="13806" spans="1:2" x14ac:dyDescent="0.25">
      <c r="A13806">
        <v>27151</v>
      </c>
      <c r="B13806">
        <v>0</v>
      </c>
    </row>
    <row r="13807" spans="1:2" x14ac:dyDescent="0.25">
      <c r="A13807">
        <v>27152</v>
      </c>
      <c r="B13807">
        <v>0</v>
      </c>
    </row>
    <row r="13808" spans="1:2" x14ac:dyDescent="0.25">
      <c r="A13808">
        <v>27153</v>
      </c>
      <c r="B13808">
        <v>0</v>
      </c>
    </row>
    <row r="13809" spans="1:2" x14ac:dyDescent="0.25">
      <c r="A13809">
        <v>27154</v>
      </c>
      <c r="B13809">
        <v>0</v>
      </c>
    </row>
    <row r="13810" spans="1:2" x14ac:dyDescent="0.25">
      <c r="A13810">
        <v>27155</v>
      </c>
      <c r="B13810">
        <v>0</v>
      </c>
    </row>
    <row r="13811" spans="1:2" x14ac:dyDescent="0.25">
      <c r="A13811">
        <v>27156</v>
      </c>
      <c r="B13811">
        <v>0</v>
      </c>
    </row>
    <row r="13812" spans="1:2" x14ac:dyDescent="0.25">
      <c r="A13812">
        <v>27157</v>
      </c>
      <c r="B13812">
        <v>0</v>
      </c>
    </row>
    <row r="13813" spans="1:2" x14ac:dyDescent="0.25">
      <c r="A13813">
        <v>27158</v>
      </c>
      <c r="B13813">
        <v>0</v>
      </c>
    </row>
    <row r="13814" spans="1:2" x14ac:dyDescent="0.25">
      <c r="A13814">
        <v>27159</v>
      </c>
      <c r="B13814">
        <v>0</v>
      </c>
    </row>
    <row r="13815" spans="1:2" x14ac:dyDescent="0.25">
      <c r="A13815">
        <v>27160</v>
      </c>
      <c r="B13815">
        <v>0</v>
      </c>
    </row>
    <row r="13816" spans="1:2" x14ac:dyDescent="0.25">
      <c r="A13816">
        <v>27161</v>
      </c>
      <c r="B13816">
        <v>0</v>
      </c>
    </row>
    <row r="13817" spans="1:2" x14ac:dyDescent="0.25">
      <c r="A13817">
        <v>27162</v>
      </c>
      <c r="B13817">
        <v>0</v>
      </c>
    </row>
    <row r="13818" spans="1:2" x14ac:dyDescent="0.25">
      <c r="A13818">
        <v>27163</v>
      </c>
      <c r="B13818">
        <v>0</v>
      </c>
    </row>
    <row r="13819" spans="1:2" x14ac:dyDescent="0.25">
      <c r="A13819">
        <v>27164</v>
      </c>
      <c r="B13819">
        <v>0</v>
      </c>
    </row>
    <row r="13820" spans="1:2" x14ac:dyDescent="0.25">
      <c r="A13820">
        <v>27165</v>
      </c>
      <c r="B13820">
        <v>0</v>
      </c>
    </row>
    <row r="13821" spans="1:2" x14ac:dyDescent="0.25">
      <c r="A13821">
        <v>27166</v>
      </c>
      <c r="B13821">
        <v>0</v>
      </c>
    </row>
    <row r="13822" spans="1:2" x14ac:dyDescent="0.25">
      <c r="A13822">
        <v>27167</v>
      </c>
      <c r="B13822">
        <v>0</v>
      </c>
    </row>
    <row r="13823" spans="1:2" x14ac:dyDescent="0.25">
      <c r="A13823">
        <v>27168</v>
      </c>
      <c r="B13823">
        <v>0</v>
      </c>
    </row>
    <row r="13824" spans="1:2" x14ac:dyDescent="0.25">
      <c r="A13824">
        <v>27169</v>
      </c>
      <c r="B13824">
        <v>0</v>
      </c>
    </row>
    <row r="13825" spans="1:2" x14ac:dyDescent="0.25">
      <c r="A13825">
        <v>27170</v>
      </c>
      <c r="B13825">
        <v>0</v>
      </c>
    </row>
    <row r="13826" spans="1:2" x14ac:dyDescent="0.25">
      <c r="A13826">
        <v>27171</v>
      </c>
      <c r="B13826">
        <v>0</v>
      </c>
    </row>
    <row r="13827" spans="1:2" x14ac:dyDescent="0.25">
      <c r="A13827">
        <v>27172</v>
      </c>
      <c r="B13827">
        <v>0</v>
      </c>
    </row>
    <row r="13828" spans="1:2" x14ac:dyDescent="0.25">
      <c r="A13828">
        <v>27175</v>
      </c>
      <c r="B13828">
        <v>0</v>
      </c>
    </row>
    <row r="13829" spans="1:2" x14ac:dyDescent="0.25">
      <c r="A13829">
        <v>27177</v>
      </c>
      <c r="B13829">
        <v>0</v>
      </c>
    </row>
    <row r="13830" spans="1:2" x14ac:dyDescent="0.25">
      <c r="A13830">
        <v>27179</v>
      </c>
      <c r="B13830">
        <v>0</v>
      </c>
    </row>
    <row r="13831" spans="1:2" x14ac:dyDescent="0.25">
      <c r="A13831">
        <v>27180</v>
      </c>
      <c r="B13831">
        <v>0</v>
      </c>
    </row>
    <row r="13832" spans="1:2" x14ac:dyDescent="0.25">
      <c r="A13832">
        <v>27181</v>
      </c>
      <c r="B13832">
        <v>0</v>
      </c>
    </row>
    <row r="13833" spans="1:2" x14ac:dyDescent="0.25">
      <c r="A13833">
        <v>27182</v>
      </c>
      <c r="B13833">
        <v>0</v>
      </c>
    </row>
    <row r="13834" spans="1:2" x14ac:dyDescent="0.25">
      <c r="A13834">
        <v>27183</v>
      </c>
      <c r="B13834">
        <v>0</v>
      </c>
    </row>
    <row r="13835" spans="1:2" x14ac:dyDescent="0.25">
      <c r="A13835">
        <v>27184</v>
      </c>
      <c r="B13835">
        <v>0</v>
      </c>
    </row>
    <row r="13836" spans="1:2" x14ac:dyDescent="0.25">
      <c r="A13836">
        <v>27185</v>
      </c>
      <c r="B13836">
        <v>0</v>
      </c>
    </row>
    <row r="13837" spans="1:2" x14ac:dyDescent="0.25">
      <c r="A13837">
        <v>27186</v>
      </c>
      <c r="B13837">
        <v>0</v>
      </c>
    </row>
    <row r="13838" spans="1:2" x14ac:dyDescent="0.25">
      <c r="A13838">
        <v>27187</v>
      </c>
      <c r="B13838">
        <v>0</v>
      </c>
    </row>
    <row r="13839" spans="1:2" x14ac:dyDescent="0.25">
      <c r="A13839">
        <v>27189</v>
      </c>
      <c r="B13839">
        <v>0</v>
      </c>
    </row>
    <row r="13840" spans="1:2" x14ac:dyDescent="0.25">
      <c r="A13840">
        <v>27190</v>
      </c>
      <c r="B13840">
        <v>0</v>
      </c>
    </row>
    <row r="13841" spans="1:2" x14ac:dyDescent="0.25">
      <c r="A13841">
        <v>27191</v>
      </c>
      <c r="B13841">
        <v>0</v>
      </c>
    </row>
    <row r="13842" spans="1:2" x14ac:dyDescent="0.25">
      <c r="A13842">
        <v>27192</v>
      </c>
      <c r="B13842">
        <v>0</v>
      </c>
    </row>
    <row r="13843" spans="1:2" x14ac:dyDescent="0.25">
      <c r="A13843">
        <v>27194</v>
      </c>
      <c r="B13843">
        <v>0</v>
      </c>
    </row>
    <row r="13844" spans="1:2" x14ac:dyDescent="0.25">
      <c r="A13844">
        <v>27195</v>
      </c>
      <c r="B13844">
        <v>0</v>
      </c>
    </row>
    <row r="13845" spans="1:2" x14ac:dyDescent="0.25">
      <c r="A13845">
        <v>27197</v>
      </c>
      <c r="B13845">
        <v>0</v>
      </c>
    </row>
    <row r="13846" spans="1:2" x14ac:dyDescent="0.25">
      <c r="A13846">
        <v>27199</v>
      </c>
      <c r="B13846">
        <v>0</v>
      </c>
    </row>
    <row r="13847" spans="1:2" x14ac:dyDescent="0.25">
      <c r="A13847">
        <v>27202</v>
      </c>
      <c r="B13847">
        <v>0</v>
      </c>
    </row>
    <row r="13848" spans="1:2" x14ac:dyDescent="0.25">
      <c r="A13848">
        <v>27203</v>
      </c>
      <c r="B13848">
        <v>0</v>
      </c>
    </row>
    <row r="13849" spans="1:2" x14ac:dyDescent="0.25">
      <c r="A13849">
        <v>27206</v>
      </c>
      <c r="B13849">
        <v>0</v>
      </c>
    </row>
    <row r="13850" spans="1:2" x14ac:dyDescent="0.25">
      <c r="A13850">
        <v>27208</v>
      </c>
      <c r="B13850">
        <v>0</v>
      </c>
    </row>
    <row r="13851" spans="1:2" x14ac:dyDescent="0.25">
      <c r="A13851">
        <v>27210</v>
      </c>
      <c r="B13851">
        <v>0</v>
      </c>
    </row>
    <row r="13852" spans="1:2" x14ac:dyDescent="0.25">
      <c r="A13852">
        <v>27212</v>
      </c>
      <c r="B13852">
        <v>0</v>
      </c>
    </row>
    <row r="13853" spans="1:2" x14ac:dyDescent="0.25">
      <c r="A13853">
        <v>27214</v>
      </c>
      <c r="B13853">
        <v>0</v>
      </c>
    </row>
    <row r="13854" spans="1:2" x14ac:dyDescent="0.25">
      <c r="A13854">
        <v>27216</v>
      </c>
      <c r="B13854">
        <v>0</v>
      </c>
    </row>
    <row r="13855" spans="1:2" x14ac:dyDescent="0.25">
      <c r="A13855">
        <v>27217</v>
      </c>
      <c r="B13855">
        <v>0</v>
      </c>
    </row>
    <row r="13856" spans="1:2" x14ac:dyDescent="0.25">
      <c r="A13856">
        <v>27218</v>
      </c>
      <c r="B13856">
        <v>0</v>
      </c>
    </row>
    <row r="13857" spans="1:2" x14ac:dyDescent="0.25">
      <c r="A13857">
        <v>27220</v>
      </c>
      <c r="B13857">
        <v>0</v>
      </c>
    </row>
    <row r="13858" spans="1:2" x14ac:dyDescent="0.25">
      <c r="A13858">
        <v>27222</v>
      </c>
      <c r="B13858">
        <v>0</v>
      </c>
    </row>
    <row r="13859" spans="1:2" x14ac:dyDescent="0.25">
      <c r="A13859">
        <v>27224</v>
      </c>
      <c r="B13859">
        <v>0</v>
      </c>
    </row>
    <row r="13860" spans="1:2" x14ac:dyDescent="0.25">
      <c r="A13860">
        <v>27226</v>
      </c>
      <c r="B13860">
        <v>0</v>
      </c>
    </row>
    <row r="13861" spans="1:2" x14ac:dyDescent="0.25">
      <c r="A13861">
        <v>27228</v>
      </c>
      <c r="B13861">
        <v>0</v>
      </c>
    </row>
    <row r="13862" spans="1:2" x14ac:dyDescent="0.25">
      <c r="A13862">
        <v>27230</v>
      </c>
      <c r="B13862">
        <v>0</v>
      </c>
    </row>
    <row r="13863" spans="1:2" x14ac:dyDescent="0.25">
      <c r="A13863">
        <v>27234</v>
      </c>
      <c r="B13863">
        <v>0</v>
      </c>
    </row>
    <row r="13864" spans="1:2" x14ac:dyDescent="0.25">
      <c r="A13864">
        <v>27235</v>
      </c>
      <c r="B13864">
        <v>0</v>
      </c>
    </row>
    <row r="13865" spans="1:2" x14ac:dyDescent="0.25">
      <c r="A13865">
        <v>27237</v>
      </c>
      <c r="B13865">
        <v>0</v>
      </c>
    </row>
    <row r="13866" spans="1:2" x14ac:dyDescent="0.25">
      <c r="A13866">
        <v>27239</v>
      </c>
      <c r="B13866">
        <v>0</v>
      </c>
    </row>
    <row r="13867" spans="1:2" x14ac:dyDescent="0.25">
      <c r="A13867">
        <v>27244</v>
      </c>
      <c r="B13867">
        <v>0</v>
      </c>
    </row>
    <row r="13868" spans="1:2" x14ac:dyDescent="0.25">
      <c r="A13868">
        <v>27245</v>
      </c>
      <c r="B13868">
        <v>0</v>
      </c>
    </row>
    <row r="13869" spans="1:2" x14ac:dyDescent="0.25">
      <c r="A13869">
        <v>27246</v>
      </c>
      <c r="B13869">
        <v>0</v>
      </c>
    </row>
    <row r="13870" spans="1:2" x14ac:dyDescent="0.25">
      <c r="A13870">
        <v>27247</v>
      </c>
      <c r="B13870">
        <v>0</v>
      </c>
    </row>
    <row r="13871" spans="1:2" x14ac:dyDescent="0.25">
      <c r="A13871">
        <v>27248</v>
      </c>
      <c r="B13871">
        <v>0</v>
      </c>
    </row>
    <row r="13872" spans="1:2" x14ac:dyDescent="0.25">
      <c r="A13872">
        <v>27250</v>
      </c>
      <c r="B13872">
        <v>0</v>
      </c>
    </row>
    <row r="13873" spans="1:2" x14ac:dyDescent="0.25">
      <c r="A13873">
        <v>27251</v>
      </c>
      <c r="B13873">
        <v>0</v>
      </c>
    </row>
    <row r="13874" spans="1:2" x14ac:dyDescent="0.25">
      <c r="A13874">
        <v>27254</v>
      </c>
      <c r="B13874">
        <v>0</v>
      </c>
    </row>
    <row r="13875" spans="1:2" x14ac:dyDescent="0.25">
      <c r="A13875">
        <v>27256</v>
      </c>
      <c r="B13875">
        <v>0</v>
      </c>
    </row>
    <row r="13876" spans="1:2" x14ac:dyDescent="0.25">
      <c r="A13876">
        <v>27257</v>
      </c>
      <c r="B13876">
        <v>0</v>
      </c>
    </row>
    <row r="13877" spans="1:2" x14ac:dyDescent="0.25">
      <c r="A13877">
        <v>27259</v>
      </c>
      <c r="B13877">
        <v>0</v>
      </c>
    </row>
    <row r="13878" spans="1:2" x14ac:dyDescent="0.25">
      <c r="A13878">
        <v>27261</v>
      </c>
      <c r="B13878">
        <v>0</v>
      </c>
    </row>
    <row r="13879" spans="1:2" x14ac:dyDescent="0.25">
      <c r="A13879">
        <v>27262</v>
      </c>
      <c r="B13879">
        <v>0</v>
      </c>
    </row>
    <row r="13880" spans="1:2" x14ac:dyDescent="0.25">
      <c r="A13880">
        <v>27263</v>
      </c>
      <c r="B13880">
        <v>0</v>
      </c>
    </row>
    <row r="13881" spans="1:2" x14ac:dyDescent="0.25">
      <c r="A13881">
        <v>27264</v>
      </c>
      <c r="B13881">
        <v>0</v>
      </c>
    </row>
    <row r="13882" spans="1:2" x14ac:dyDescent="0.25">
      <c r="A13882">
        <v>27267</v>
      </c>
      <c r="B13882">
        <v>0</v>
      </c>
    </row>
    <row r="13883" spans="1:2" x14ac:dyDescent="0.25">
      <c r="A13883">
        <v>27268</v>
      </c>
      <c r="B13883">
        <v>0</v>
      </c>
    </row>
    <row r="13884" spans="1:2" x14ac:dyDescent="0.25">
      <c r="A13884">
        <v>27270</v>
      </c>
      <c r="B13884">
        <v>0</v>
      </c>
    </row>
    <row r="13885" spans="1:2" x14ac:dyDescent="0.25">
      <c r="A13885">
        <v>27272</v>
      </c>
      <c r="B13885">
        <v>0</v>
      </c>
    </row>
    <row r="13886" spans="1:2" x14ac:dyDescent="0.25">
      <c r="A13886">
        <v>27274</v>
      </c>
      <c r="B13886">
        <v>0</v>
      </c>
    </row>
    <row r="13887" spans="1:2" x14ac:dyDescent="0.25">
      <c r="A13887">
        <v>27276</v>
      </c>
      <c r="B13887">
        <v>0</v>
      </c>
    </row>
    <row r="13888" spans="1:2" x14ac:dyDescent="0.25">
      <c r="A13888">
        <v>27277</v>
      </c>
      <c r="B13888">
        <v>0</v>
      </c>
    </row>
    <row r="13889" spans="1:2" x14ac:dyDescent="0.25">
      <c r="A13889">
        <v>27278</v>
      </c>
      <c r="B13889">
        <v>0</v>
      </c>
    </row>
    <row r="13890" spans="1:2" x14ac:dyDescent="0.25">
      <c r="A13890">
        <v>27280</v>
      </c>
      <c r="B13890">
        <v>0</v>
      </c>
    </row>
    <row r="13891" spans="1:2" x14ac:dyDescent="0.25">
      <c r="A13891">
        <v>27282</v>
      </c>
      <c r="B13891">
        <v>0</v>
      </c>
    </row>
    <row r="13892" spans="1:2" x14ac:dyDescent="0.25">
      <c r="A13892">
        <v>27284</v>
      </c>
      <c r="B13892">
        <v>0</v>
      </c>
    </row>
    <row r="13893" spans="1:2" x14ac:dyDescent="0.25">
      <c r="A13893">
        <v>27287</v>
      </c>
      <c r="B13893">
        <v>0</v>
      </c>
    </row>
    <row r="13894" spans="1:2" x14ac:dyDescent="0.25">
      <c r="A13894">
        <v>27288</v>
      </c>
      <c r="B13894">
        <v>0</v>
      </c>
    </row>
    <row r="13895" spans="1:2" x14ac:dyDescent="0.25">
      <c r="A13895">
        <v>27290</v>
      </c>
      <c r="B13895">
        <v>0</v>
      </c>
    </row>
    <row r="13896" spans="1:2" x14ac:dyDescent="0.25">
      <c r="A13896">
        <v>27292</v>
      </c>
      <c r="B13896">
        <v>0</v>
      </c>
    </row>
    <row r="13897" spans="1:2" x14ac:dyDescent="0.25">
      <c r="A13897">
        <v>27293</v>
      </c>
      <c r="B13897">
        <v>0</v>
      </c>
    </row>
    <row r="13898" spans="1:2" x14ac:dyDescent="0.25">
      <c r="A13898">
        <v>27294</v>
      </c>
      <c r="B13898">
        <v>0</v>
      </c>
    </row>
    <row r="13899" spans="1:2" x14ac:dyDescent="0.25">
      <c r="A13899">
        <v>27296</v>
      </c>
      <c r="B13899">
        <v>0</v>
      </c>
    </row>
    <row r="13900" spans="1:2" x14ac:dyDescent="0.25">
      <c r="A13900">
        <v>27298</v>
      </c>
      <c r="B13900">
        <v>0</v>
      </c>
    </row>
    <row r="13901" spans="1:2" x14ac:dyDescent="0.25">
      <c r="A13901">
        <v>27300</v>
      </c>
      <c r="B13901">
        <v>0</v>
      </c>
    </row>
    <row r="13902" spans="1:2" x14ac:dyDescent="0.25">
      <c r="A13902">
        <v>27302</v>
      </c>
      <c r="B13902">
        <v>0</v>
      </c>
    </row>
    <row r="13903" spans="1:2" x14ac:dyDescent="0.25">
      <c r="A13903">
        <v>27304</v>
      </c>
      <c r="B13903">
        <v>0</v>
      </c>
    </row>
    <row r="13904" spans="1:2" x14ac:dyDescent="0.25">
      <c r="A13904">
        <v>27306</v>
      </c>
      <c r="B13904">
        <v>0</v>
      </c>
    </row>
    <row r="13905" spans="1:2" x14ac:dyDescent="0.25">
      <c r="A13905">
        <v>27308</v>
      </c>
      <c r="B13905">
        <v>0</v>
      </c>
    </row>
    <row r="13906" spans="1:2" x14ac:dyDescent="0.25">
      <c r="A13906">
        <v>27309</v>
      </c>
      <c r="B13906">
        <v>0</v>
      </c>
    </row>
    <row r="13907" spans="1:2" x14ac:dyDescent="0.25">
      <c r="A13907">
        <v>27311</v>
      </c>
      <c r="B13907">
        <v>0</v>
      </c>
    </row>
    <row r="13908" spans="1:2" x14ac:dyDescent="0.25">
      <c r="A13908">
        <v>27313</v>
      </c>
      <c r="B13908">
        <v>0</v>
      </c>
    </row>
    <row r="13909" spans="1:2" x14ac:dyDescent="0.25">
      <c r="A13909">
        <v>27315</v>
      </c>
      <c r="B13909">
        <v>0</v>
      </c>
    </row>
    <row r="13910" spans="1:2" x14ac:dyDescent="0.25">
      <c r="A13910">
        <v>27318</v>
      </c>
      <c r="B13910">
        <v>0</v>
      </c>
    </row>
    <row r="13911" spans="1:2" x14ac:dyDescent="0.25">
      <c r="A13911">
        <v>27320</v>
      </c>
      <c r="B13911">
        <v>0</v>
      </c>
    </row>
    <row r="13912" spans="1:2" x14ac:dyDescent="0.25">
      <c r="A13912">
        <v>27322</v>
      </c>
      <c r="B13912">
        <v>0</v>
      </c>
    </row>
    <row r="13913" spans="1:2" x14ac:dyDescent="0.25">
      <c r="A13913">
        <v>27325</v>
      </c>
      <c r="B13913">
        <v>0</v>
      </c>
    </row>
    <row r="13914" spans="1:2" x14ac:dyDescent="0.25">
      <c r="A13914">
        <v>27327</v>
      </c>
      <c r="B13914">
        <v>0</v>
      </c>
    </row>
    <row r="13915" spans="1:2" x14ac:dyDescent="0.25">
      <c r="A13915">
        <v>27329</v>
      </c>
      <c r="B13915">
        <v>0</v>
      </c>
    </row>
    <row r="13916" spans="1:2" x14ac:dyDescent="0.25">
      <c r="A13916">
        <v>27334</v>
      </c>
      <c r="B13916">
        <v>0</v>
      </c>
    </row>
    <row r="13917" spans="1:2" x14ac:dyDescent="0.25">
      <c r="A13917">
        <v>27336</v>
      </c>
      <c r="B13917">
        <v>0</v>
      </c>
    </row>
    <row r="13918" spans="1:2" x14ac:dyDescent="0.25">
      <c r="A13918">
        <v>27338</v>
      </c>
      <c r="B13918">
        <v>0</v>
      </c>
    </row>
    <row r="13919" spans="1:2" x14ac:dyDescent="0.25">
      <c r="A13919">
        <v>27339</v>
      </c>
      <c r="B13919">
        <v>0</v>
      </c>
    </row>
    <row r="13920" spans="1:2" x14ac:dyDescent="0.25">
      <c r="A13920">
        <v>27341</v>
      </c>
      <c r="B13920">
        <v>0</v>
      </c>
    </row>
    <row r="13921" spans="1:2" x14ac:dyDescent="0.25">
      <c r="A13921">
        <v>27343</v>
      </c>
      <c r="B13921">
        <v>0</v>
      </c>
    </row>
    <row r="13922" spans="1:2" x14ac:dyDescent="0.25">
      <c r="A13922">
        <v>27344</v>
      </c>
      <c r="B13922">
        <v>0</v>
      </c>
    </row>
    <row r="13923" spans="1:2" x14ac:dyDescent="0.25">
      <c r="A13923">
        <v>27345</v>
      </c>
      <c r="B13923">
        <v>0</v>
      </c>
    </row>
    <row r="13924" spans="1:2" x14ac:dyDescent="0.25">
      <c r="A13924">
        <v>27346</v>
      </c>
      <c r="B13924">
        <v>0</v>
      </c>
    </row>
    <row r="13925" spans="1:2" x14ac:dyDescent="0.25">
      <c r="A13925">
        <v>27347</v>
      </c>
      <c r="B13925">
        <v>0</v>
      </c>
    </row>
    <row r="13926" spans="1:2" x14ac:dyDescent="0.25">
      <c r="A13926">
        <v>27349</v>
      </c>
      <c r="B13926">
        <v>0</v>
      </c>
    </row>
    <row r="13927" spans="1:2" x14ac:dyDescent="0.25">
      <c r="A13927">
        <v>27351</v>
      </c>
      <c r="B13927">
        <v>0</v>
      </c>
    </row>
    <row r="13928" spans="1:2" x14ac:dyDescent="0.25">
      <c r="A13928">
        <v>27352</v>
      </c>
      <c r="B13928">
        <v>0</v>
      </c>
    </row>
    <row r="13929" spans="1:2" x14ac:dyDescent="0.25">
      <c r="A13929">
        <v>27353</v>
      </c>
      <c r="B13929">
        <v>0</v>
      </c>
    </row>
    <row r="13930" spans="1:2" x14ac:dyDescent="0.25">
      <c r="A13930">
        <v>27355</v>
      </c>
      <c r="B13930">
        <v>0</v>
      </c>
    </row>
    <row r="13931" spans="1:2" x14ac:dyDescent="0.25">
      <c r="A13931">
        <v>27357</v>
      </c>
      <c r="B13931">
        <v>0</v>
      </c>
    </row>
    <row r="13932" spans="1:2" x14ac:dyDescent="0.25">
      <c r="A13932">
        <v>27359</v>
      </c>
      <c r="B13932">
        <v>0</v>
      </c>
    </row>
    <row r="13933" spans="1:2" x14ac:dyDescent="0.25">
      <c r="A13933">
        <v>27361</v>
      </c>
      <c r="B13933">
        <v>0</v>
      </c>
    </row>
    <row r="13934" spans="1:2" x14ac:dyDescent="0.25">
      <c r="A13934">
        <v>27363</v>
      </c>
      <c r="B13934">
        <v>0</v>
      </c>
    </row>
    <row r="13935" spans="1:2" x14ac:dyDescent="0.25">
      <c r="A13935">
        <v>27364</v>
      </c>
      <c r="B13935">
        <v>0</v>
      </c>
    </row>
    <row r="13936" spans="1:2" x14ac:dyDescent="0.25">
      <c r="A13936">
        <v>27365</v>
      </c>
      <c r="B13936">
        <v>0</v>
      </c>
    </row>
    <row r="13937" spans="1:2" x14ac:dyDescent="0.25">
      <c r="A13937">
        <v>27366</v>
      </c>
      <c r="B13937">
        <v>0</v>
      </c>
    </row>
    <row r="13938" spans="1:2" x14ac:dyDescent="0.25">
      <c r="A13938">
        <v>27367</v>
      </c>
      <c r="B13938">
        <v>0</v>
      </c>
    </row>
    <row r="13939" spans="1:2" x14ac:dyDescent="0.25">
      <c r="A13939">
        <v>27368</v>
      </c>
      <c r="B13939">
        <v>0</v>
      </c>
    </row>
    <row r="13940" spans="1:2" x14ac:dyDescent="0.25">
      <c r="A13940">
        <v>27369</v>
      </c>
      <c r="B13940">
        <v>0</v>
      </c>
    </row>
    <row r="13941" spans="1:2" x14ac:dyDescent="0.25">
      <c r="A13941">
        <v>27371</v>
      </c>
      <c r="B13941">
        <v>0</v>
      </c>
    </row>
    <row r="13942" spans="1:2" x14ac:dyDescent="0.25">
      <c r="A13942">
        <v>27372</v>
      </c>
      <c r="B13942">
        <v>0</v>
      </c>
    </row>
    <row r="13943" spans="1:2" x14ac:dyDescent="0.25">
      <c r="A13943">
        <v>27374</v>
      </c>
      <c r="B13943">
        <v>0</v>
      </c>
    </row>
    <row r="13944" spans="1:2" x14ac:dyDescent="0.25">
      <c r="A13944">
        <v>27375</v>
      </c>
      <c r="B13944">
        <v>0</v>
      </c>
    </row>
    <row r="13945" spans="1:2" x14ac:dyDescent="0.25">
      <c r="A13945">
        <v>27377</v>
      </c>
      <c r="B13945">
        <v>0</v>
      </c>
    </row>
    <row r="13946" spans="1:2" x14ac:dyDescent="0.25">
      <c r="A13946">
        <v>27379</v>
      </c>
      <c r="B13946">
        <v>0</v>
      </c>
    </row>
    <row r="13947" spans="1:2" x14ac:dyDescent="0.25">
      <c r="A13947">
        <v>27380</v>
      </c>
      <c r="B13947">
        <v>0</v>
      </c>
    </row>
    <row r="13948" spans="1:2" x14ac:dyDescent="0.25">
      <c r="A13948">
        <v>27382</v>
      </c>
      <c r="B13948">
        <v>0</v>
      </c>
    </row>
    <row r="13949" spans="1:2" x14ac:dyDescent="0.25">
      <c r="A13949">
        <v>27384</v>
      </c>
      <c r="B13949">
        <v>0</v>
      </c>
    </row>
    <row r="13950" spans="1:2" x14ac:dyDescent="0.25">
      <c r="A13950">
        <v>27386</v>
      </c>
      <c r="B13950">
        <v>0</v>
      </c>
    </row>
    <row r="13951" spans="1:2" x14ac:dyDescent="0.25">
      <c r="A13951">
        <v>27388</v>
      </c>
      <c r="B13951">
        <v>0</v>
      </c>
    </row>
    <row r="13952" spans="1:2" x14ac:dyDescent="0.25">
      <c r="A13952">
        <v>27390</v>
      </c>
      <c r="B13952">
        <v>0</v>
      </c>
    </row>
    <row r="13953" spans="1:2" x14ac:dyDescent="0.25">
      <c r="A13953">
        <v>27392</v>
      </c>
      <c r="B13953">
        <v>0</v>
      </c>
    </row>
    <row r="13954" spans="1:2" x14ac:dyDescent="0.25">
      <c r="A13954">
        <v>27393</v>
      </c>
      <c r="B13954">
        <v>0</v>
      </c>
    </row>
    <row r="13955" spans="1:2" x14ac:dyDescent="0.25">
      <c r="A13955">
        <v>27394</v>
      </c>
      <c r="B13955">
        <v>0</v>
      </c>
    </row>
    <row r="13956" spans="1:2" x14ac:dyDescent="0.25">
      <c r="A13956">
        <v>27396</v>
      </c>
      <c r="B13956">
        <v>0</v>
      </c>
    </row>
    <row r="13957" spans="1:2" x14ac:dyDescent="0.25">
      <c r="A13957">
        <v>27398</v>
      </c>
      <c r="B13957">
        <v>0</v>
      </c>
    </row>
    <row r="13958" spans="1:2" x14ac:dyDescent="0.25">
      <c r="A13958">
        <v>27400</v>
      </c>
      <c r="B13958">
        <v>0</v>
      </c>
    </row>
    <row r="13959" spans="1:2" x14ac:dyDescent="0.25">
      <c r="A13959">
        <v>27402</v>
      </c>
      <c r="B13959">
        <v>0</v>
      </c>
    </row>
    <row r="13960" spans="1:2" x14ac:dyDescent="0.25">
      <c r="A13960">
        <v>27403</v>
      </c>
      <c r="B13960">
        <v>0</v>
      </c>
    </row>
    <row r="13961" spans="1:2" x14ac:dyDescent="0.25">
      <c r="A13961">
        <v>27404</v>
      </c>
      <c r="B13961">
        <v>0</v>
      </c>
    </row>
    <row r="13962" spans="1:2" x14ac:dyDescent="0.25">
      <c r="A13962">
        <v>27406</v>
      </c>
      <c r="B13962">
        <v>0</v>
      </c>
    </row>
    <row r="13963" spans="1:2" x14ac:dyDescent="0.25">
      <c r="A13963">
        <v>27407</v>
      </c>
      <c r="B13963">
        <v>0</v>
      </c>
    </row>
    <row r="13964" spans="1:2" x14ac:dyDescent="0.25">
      <c r="A13964">
        <v>27408</v>
      </c>
      <c r="B13964">
        <v>0</v>
      </c>
    </row>
    <row r="13965" spans="1:2" x14ac:dyDescent="0.25">
      <c r="A13965">
        <v>27410</v>
      </c>
      <c r="B13965">
        <v>0</v>
      </c>
    </row>
    <row r="13966" spans="1:2" x14ac:dyDescent="0.25">
      <c r="A13966">
        <v>27412</v>
      </c>
      <c r="B13966">
        <v>0</v>
      </c>
    </row>
    <row r="13967" spans="1:2" x14ac:dyDescent="0.25">
      <c r="A13967">
        <v>27414</v>
      </c>
      <c r="B13967">
        <v>0</v>
      </c>
    </row>
    <row r="13968" spans="1:2" x14ac:dyDescent="0.25">
      <c r="A13968">
        <v>27416</v>
      </c>
      <c r="B13968">
        <v>0</v>
      </c>
    </row>
    <row r="13969" spans="1:2" x14ac:dyDescent="0.25">
      <c r="A13969">
        <v>27418</v>
      </c>
      <c r="B13969">
        <v>0</v>
      </c>
    </row>
    <row r="13970" spans="1:2" x14ac:dyDescent="0.25">
      <c r="A13970">
        <v>27420</v>
      </c>
      <c r="B13970">
        <v>0</v>
      </c>
    </row>
    <row r="13971" spans="1:2" x14ac:dyDescent="0.25">
      <c r="A13971">
        <v>27423</v>
      </c>
      <c r="B13971">
        <v>0</v>
      </c>
    </row>
    <row r="13972" spans="1:2" x14ac:dyDescent="0.25">
      <c r="A13972">
        <v>27424</v>
      </c>
      <c r="B13972">
        <v>0</v>
      </c>
    </row>
    <row r="13973" spans="1:2" x14ac:dyDescent="0.25">
      <c r="A13973">
        <v>27426</v>
      </c>
      <c r="B13973">
        <v>0</v>
      </c>
    </row>
    <row r="13974" spans="1:2" x14ac:dyDescent="0.25">
      <c r="A13974">
        <v>27428</v>
      </c>
      <c r="B13974">
        <v>0</v>
      </c>
    </row>
    <row r="13975" spans="1:2" x14ac:dyDescent="0.25">
      <c r="A13975">
        <v>27430</v>
      </c>
      <c r="B13975">
        <v>0</v>
      </c>
    </row>
    <row r="13976" spans="1:2" x14ac:dyDescent="0.25">
      <c r="A13976">
        <v>27432</v>
      </c>
      <c r="B13976">
        <v>0</v>
      </c>
    </row>
    <row r="13977" spans="1:2" x14ac:dyDescent="0.25">
      <c r="A13977">
        <v>27435</v>
      </c>
      <c r="B13977">
        <v>0</v>
      </c>
    </row>
    <row r="13978" spans="1:2" x14ac:dyDescent="0.25">
      <c r="A13978">
        <v>27447</v>
      </c>
      <c r="B13978">
        <v>0</v>
      </c>
    </row>
    <row r="13979" spans="1:2" x14ac:dyDescent="0.25">
      <c r="A13979">
        <v>27459</v>
      </c>
      <c r="B13979">
        <v>0</v>
      </c>
    </row>
    <row r="13980" spans="1:2" x14ac:dyDescent="0.25">
      <c r="A13980">
        <v>27460</v>
      </c>
      <c r="B13980">
        <v>0</v>
      </c>
    </row>
    <row r="13981" spans="1:2" x14ac:dyDescent="0.25">
      <c r="A13981">
        <v>27461</v>
      </c>
      <c r="B13981">
        <v>0</v>
      </c>
    </row>
    <row r="13982" spans="1:2" x14ac:dyDescent="0.25">
      <c r="A13982">
        <v>27462</v>
      </c>
      <c r="B13982">
        <v>0</v>
      </c>
    </row>
    <row r="13983" spans="1:2" x14ac:dyDescent="0.25">
      <c r="A13983">
        <v>27501</v>
      </c>
      <c r="B13983">
        <v>0</v>
      </c>
    </row>
    <row r="13984" spans="1:2" x14ac:dyDescent="0.25">
      <c r="A13984">
        <v>27502</v>
      </c>
      <c r="B13984">
        <v>0</v>
      </c>
    </row>
    <row r="13985" spans="1:2" x14ac:dyDescent="0.25">
      <c r="A13985">
        <v>27503</v>
      </c>
      <c r="B13985">
        <v>0</v>
      </c>
    </row>
    <row r="13986" spans="1:2" x14ac:dyDescent="0.25">
      <c r="A13986">
        <v>27505</v>
      </c>
      <c r="B13986">
        <v>0</v>
      </c>
    </row>
    <row r="13987" spans="1:2" x14ac:dyDescent="0.25">
      <c r="A13987">
        <v>27507</v>
      </c>
      <c r="B13987">
        <v>0</v>
      </c>
    </row>
    <row r="13988" spans="1:2" x14ac:dyDescent="0.25">
      <c r="A13988">
        <v>27508</v>
      </c>
      <c r="B13988">
        <v>0</v>
      </c>
    </row>
    <row r="13989" spans="1:2" x14ac:dyDescent="0.25">
      <c r="A13989">
        <v>27510</v>
      </c>
      <c r="B13989">
        <v>0</v>
      </c>
    </row>
    <row r="13990" spans="1:2" x14ac:dyDescent="0.25">
      <c r="A13990">
        <v>27512</v>
      </c>
      <c r="B13990">
        <v>0</v>
      </c>
    </row>
    <row r="13991" spans="1:2" x14ac:dyDescent="0.25">
      <c r="A13991">
        <v>27514</v>
      </c>
      <c r="B13991">
        <v>0</v>
      </c>
    </row>
    <row r="13992" spans="1:2" x14ac:dyDescent="0.25">
      <c r="A13992">
        <v>27516</v>
      </c>
      <c r="B13992">
        <v>0</v>
      </c>
    </row>
    <row r="13993" spans="1:2" x14ac:dyDescent="0.25">
      <c r="A13993">
        <v>27517</v>
      </c>
      <c r="B13993">
        <v>0</v>
      </c>
    </row>
    <row r="13994" spans="1:2" x14ac:dyDescent="0.25">
      <c r="A13994">
        <v>27519</v>
      </c>
      <c r="B13994">
        <v>0</v>
      </c>
    </row>
    <row r="13995" spans="1:2" x14ac:dyDescent="0.25">
      <c r="A13995">
        <v>27520</v>
      </c>
      <c r="B13995">
        <v>0</v>
      </c>
    </row>
    <row r="13996" spans="1:2" x14ac:dyDescent="0.25">
      <c r="A13996">
        <v>27522</v>
      </c>
      <c r="B13996">
        <v>0</v>
      </c>
    </row>
    <row r="13997" spans="1:2" x14ac:dyDescent="0.25">
      <c r="A13997">
        <v>27523</v>
      </c>
      <c r="B13997">
        <v>0</v>
      </c>
    </row>
    <row r="13998" spans="1:2" x14ac:dyDescent="0.25">
      <c r="A13998">
        <v>27524</v>
      </c>
      <c r="B13998">
        <v>0</v>
      </c>
    </row>
    <row r="13999" spans="1:2" x14ac:dyDescent="0.25">
      <c r="A13999">
        <v>27525</v>
      </c>
      <c r="B13999">
        <v>0</v>
      </c>
    </row>
    <row r="14000" spans="1:2" x14ac:dyDescent="0.25">
      <c r="A14000">
        <v>27526</v>
      </c>
      <c r="B14000">
        <v>0</v>
      </c>
    </row>
    <row r="14001" spans="1:2" x14ac:dyDescent="0.25">
      <c r="A14001">
        <v>27527</v>
      </c>
      <c r="B14001">
        <v>0</v>
      </c>
    </row>
    <row r="14002" spans="1:2" x14ac:dyDescent="0.25">
      <c r="A14002">
        <v>27528</v>
      </c>
      <c r="B14002">
        <v>0</v>
      </c>
    </row>
    <row r="14003" spans="1:2" x14ac:dyDescent="0.25">
      <c r="A14003">
        <v>27529</v>
      </c>
      <c r="B14003">
        <v>0</v>
      </c>
    </row>
    <row r="14004" spans="1:2" x14ac:dyDescent="0.25">
      <c r="A14004">
        <v>27530</v>
      </c>
      <c r="B14004">
        <v>0</v>
      </c>
    </row>
    <row r="14005" spans="1:2" x14ac:dyDescent="0.25">
      <c r="A14005">
        <v>27531</v>
      </c>
      <c r="B14005">
        <v>0</v>
      </c>
    </row>
    <row r="14006" spans="1:2" x14ac:dyDescent="0.25">
      <c r="A14006">
        <v>27532</v>
      </c>
      <c r="B14006">
        <v>0</v>
      </c>
    </row>
    <row r="14007" spans="1:2" x14ac:dyDescent="0.25">
      <c r="A14007">
        <v>27533</v>
      </c>
      <c r="B14007">
        <v>0</v>
      </c>
    </row>
    <row r="14008" spans="1:2" x14ac:dyDescent="0.25">
      <c r="A14008">
        <v>27534</v>
      </c>
      <c r="B14008">
        <v>0</v>
      </c>
    </row>
    <row r="14009" spans="1:2" x14ac:dyDescent="0.25">
      <c r="A14009">
        <v>27535</v>
      </c>
      <c r="B14009">
        <v>0</v>
      </c>
    </row>
    <row r="14010" spans="1:2" x14ac:dyDescent="0.25">
      <c r="A14010">
        <v>27536</v>
      </c>
      <c r="B14010">
        <v>0</v>
      </c>
    </row>
    <row r="14011" spans="1:2" x14ac:dyDescent="0.25">
      <c r="A14011">
        <v>27537</v>
      </c>
      <c r="B14011">
        <v>0</v>
      </c>
    </row>
    <row r="14012" spans="1:2" x14ac:dyDescent="0.25">
      <c r="A14012">
        <v>27538</v>
      </c>
      <c r="B14012">
        <v>0</v>
      </c>
    </row>
    <row r="14013" spans="1:2" x14ac:dyDescent="0.25">
      <c r="A14013">
        <v>27539</v>
      </c>
      <c r="B14013">
        <v>0</v>
      </c>
    </row>
    <row r="14014" spans="1:2" x14ac:dyDescent="0.25">
      <c r="A14014">
        <v>27540</v>
      </c>
      <c r="B14014">
        <v>0</v>
      </c>
    </row>
    <row r="14015" spans="1:2" x14ac:dyDescent="0.25">
      <c r="A14015">
        <v>27541</v>
      </c>
      <c r="B14015">
        <v>0</v>
      </c>
    </row>
    <row r="14016" spans="1:2" x14ac:dyDescent="0.25">
      <c r="A14016">
        <v>27542</v>
      </c>
      <c r="B14016">
        <v>0</v>
      </c>
    </row>
    <row r="14017" spans="1:2" x14ac:dyDescent="0.25">
      <c r="A14017">
        <v>27543</v>
      </c>
      <c r="B14017">
        <v>0</v>
      </c>
    </row>
    <row r="14018" spans="1:2" x14ac:dyDescent="0.25">
      <c r="A14018">
        <v>27544</v>
      </c>
      <c r="B14018">
        <v>0</v>
      </c>
    </row>
    <row r="14019" spans="1:2" x14ac:dyDescent="0.25">
      <c r="A14019">
        <v>27546</v>
      </c>
      <c r="B14019">
        <v>0</v>
      </c>
    </row>
    <row r="14020" spans="1:2" x14ac:dyDescent="0.25">
      <c r="A14020">
        <v>27548</v>
      </c>
      <c r="B14020">
        <v>0</v>
      </c>
    </row>
    <row r="14021" spans="1:2" x14ac:dyDescent="0.25">
      <c r="A14021">
        <v>27549</v>
      </c>
      <c r="B14021">
        <v>0</v>
      </c>
    </row>
    <row r="14022" spans="1:2" x14ac:dyDescent="0.25">
      <c r="A14022">
        <v>27551</v>
      </c>
      <c r="B14022">
        <v>0</v>
      </c>
    </row>
    <row r="14023" spans="1:2" x14ac:dyDescent="0.25">
      <c r="A14023">
        <v>27552</v>
      </c>
      <c r="B14023">
        <v>0</v>
      </c>
    </row>
    <row r="14024" spans="1:2" x14ac:dyDescent="0.25">
      <c r="A14024">
        <v>27553</v>
      </c>
      <c r="B14024">
        <v>0</v>
      </c>
    </row>
    <row r="14025" spans="1:2" x14ac:dyDescent="0.25">
      <c r="A14025">
        <v>27554</v>
      </c>
      <c r="B14025">
        <v>0</v>
      </c>
    </row>
    <row r="14026" spans="1:2" x14ac:dyDescent="0.25">
      <c r="A14026">
        <v>27555</v>
      </c>
      <c r="B14026">
        <v>0</v>
      </c>
    </row>
    <row r="14027" spans="1:2" x14ac:dyDescent="0.25">
      <c r="A14027">
        <v>27556</v>
      </c>
      <c r="B14027">
        <v>0</v>
      </c>
    </row>
    <row r="14028" spans="1:2" x14ac:dyDescent="0.25">
      <c r="A14028">
        <v>27557</v>
      </c>
      <c r="B14028">
        <v>0</v>
      </c>
    </row>
    <row r="14029" spans="1:2" x14ac:dyDescent="0.25">
      <c r="A14029">
        <v>27559</v>
      </c>
      <c r="B14029">
        <v>0</v>
      </c>
    </row>
    <row r="14030" spans="1:2" x14ac:dyDescent="0.25">
      <c r="A14030">
        <v>27560</v>
      </c>
      <c r="B14030">
        <v>0</v>
      </c>
    </row>
    <row r="14031" spans="1:2" x14ac:dyDescent="0.25">
      <c r="A14031">
        <v>27561</v>
      </c>
      <c r="B14031">
        <v>0</v>
      </c>
    </row>
    <row r="14032" spans="1:2" x14ac:dyDescent="0.25">
      <c r="A14032">
        <v>27562</v>
      </c>
      <c r="B14032">
        <v>0</v>
      </c>
    </row>
    <row r="14033" spans="1:2" x14ac:dyDescent="0.25">
      <c r="A14033">
        <v>27563</v>
      </c>
      <c r="B14033">
        <v>0</v>
      </c>
    </row>
    <row r="14034" spans="1:2" x14ac:dyDescent="0.25">
      <c r="A14034">
        <v>27564</v>
      </c>
      <c r="B14034">
        <v>0</v>
      </c>
    </row>
    <row r="14035" spans="1:2" x14ac:dyDescent="0.25">
      <c r="A14035">
        <v>27565</v>
      </c>
      <c r="B14035">
        <v>0</v>
      </c>
    </row>
    <row r="14036" spans="1:2" x14ac:dyDescent="0.25">
      <c r="A14036">
        <v>27566</v>
      </c>
      <c r="B14036">
        <v>0</v>
      </c>
    </row>
    <row r="14037" spans="1:2" x14ac:dyDescent="0.25">
      <c r="A14037">
        <v>27567</v>
      </c>
      <c r="B14037">
        <v>0</v>
      </c>
    </row>
    <row r="14038" spans="1:2" x14ac:dyDescent="0.25">
      <c r="A14038">
        <v>27569</v>
      </c>
      <c r="B14038">
        <v>0</v>
      </c>
    </row>
    <row r="14039" spans="1:2" x14ac:dyDescent="0.25">
      <c r="A14039">
        <v>27571</v>
      </c>
      <c r="B14039">
        <v>0</v>
      </c>
    </row>
    <row r="14040" spans="1:2" x14ac:dyDescent="0.25">
      <c r="A14040">
        <v>27573</v>
      </c>
      <c r="B14040">
        <v>0</v>
      </c>
    </row>
    <row r="14041" spans="1:2" x14ac:dyDescent="0.25">
      <c r="A14041">
        <v>27574</v>
      </c>
      <c r="B14041">
        <v>0</v>
      </c>
    </row>
    <row r="14042" spans="1:2" x14ac:dyDescent="0.25">
      <c r="A14042">
        <v>27576</v>
      </c>
      <c r="B14042">
        <v>0</v>
      </c>
    </row>
    <row r="14043" spans="1:2" x14ac:dyDescent="0.25">
      <c r="A14043">
        <v>27578</v>
      </c>
      <c r="B14043">
        <v>0</v>
      </c>
    </row>
    <row r="14044" spans="1:2" x14ac:dyDescent="0.25">
      <c r="A14044">
        <v>27580</v>
      </c>
      <c r="B14044">
        <v>0</v>
      </c>
    </row>
    <row r="14045" spans="1:2" x14ac:dyDescent="0.25">
      <c r="A14045">
        <v>27581</v>
      </c>
      <c r="B14045">
        <v>0</v>
      </c>
    </row>
    <row r="14046" spans="1:2" x14ac:dyDescent="0.25">
      <c r="A14046">
        <v>27587</v>
      </c>
      <c r="B14046">
        <v>0</v>
      </c>
    </row>
    <row r="14047" spans="1:2" x14ac:dyDescent="0.25">
      <c r="A14047">
        <v>27588</v>
      </c>
      <c r="B14047">
        <v>0</v>
      </c>
    </row>
    <row r="14048" spans="1:2" x14ac:dyDescent="0.25">
      <c r="A14048">
        <v>27589</v>
      </c>
      <c r="B14048">
        <v>0</v>
      </c>
    </row>
    <row r="14049" spans="1:2" x14ac:dyDescent="0.25">
      <c r="A14049">
        <v>27591</v>
      </c>
      <c r="B14049">
        <v>0</v>
      </c>
    </row>
    <row r="14050" spans="1:2" x14ac:dyDescent="0.25">
      <c r="A14050">
        <v>27592</v>
      </c>
      <c r="B14050">
        <v>0</v>
      </c>
    </row>
    <row r="14051" spans="1:2" x14ac:dyDescent="0.25">
      <c r="A14051">
        <v>27594</v>
      </c>
      <c r="B14051">
        <v>0</v>
      </c>
    </row>
    <row r="14052" spans="1:2" x14ac:dyDescent="0.25">
      <c r="A14052">
        <v>27596</v>
      </c>
      <c r="B14052">
        <v>0</v>
      </c>
    </row>
    <row r="14053" spans="1:2" x14ac:dyDescent="0.25">
      <c r="A14053">
        <v>27597</v>
      </c>
      <c r="B14053">
        <v>0</v>
      </c>
    </row>
    <row r="14054" spans="1:2" x14ac:dyDescent="0.25">
      <c r="A14054">
        <v>27598</v>
      </c>
      <c r="B14054">
        <v>0</v>
      </c>
    </row>
    <row r="14055" spans="1:2" x14ac:dyDescent="0.25">
      <c r="A14055">
        <v>27599</v>
      </c>
      <c r="B14055">
        <v>0</v>
      </c>
    </row>
    <row r="14056" spans="1:2" x14ac:dyDescent="0.25">
      <c r="A14056">
        <v>27600</v>
      </c>
      <c r="B14056">
        <v>0</v>
      </c>
    </row>
    <row r="14057" spans="1:2" x14ac:dyDescent="0.25">
      <c r="A14057">
        <v>27601</v>
      </c>
      <c r="B14057">
        <v>0</v>
      </c>
    </row>
    <row r="14058" spans="1:2" x14ac:dyDescent="0.25">
      <c r="A14058">
        <v>27602</v>
      </c>
      <c r="B14058">
        <v>0</v>
      </c>
    </row>
    <row r="14059" spans="1:2" x14ac:dyDescent="0.25">
      <c r="A14059">
        <v>27603</v>
      </c>
      <c r="B14059">
        <v>0</v>
      </c>
    </row>
    <row r="14060" spans="1:2" x14ac:dyDescent="0.25">
      <c r="A14060">
        <v>27604</v>
      </c>
      <c r="B14060">
        <v>0</v>
      </c>
    </row>
    <row r="14061" spans="1:2" x14ac:dyDescent="0.25">
      <c r="A14061">
        <v>27605</v>
      </c>
      <c r="B14061">
        <v>0</v>
      </c>
    </row>
    <row r="14062" spans="1:2" x14ac:dyDescent="0.25">
      <c r="A14062">
        <v>27607</v>
      </c>
      <c r="B14062">
        <v>0</v>
      </c>
    </row>
    <row r="14063" spans="1:2" x14ac:dyDescent="0.25">
      <c r="A14063">
        <v>27608</v>
      </c>
      <c r="B14063">
        <v>0</v>
      </c>
    </row>
    <row r="14064" spans="1:2" x14ac:dyDescent="0.25">
      <c r="A14064">
        <v>27610</v>
      </c>
      <c r="B14064">
        <v>0</v>
      </c>
    </row>
    <row r="14065" spans="1:2" x14ac:dyDescent="0.25">
      <c r="A14065">
        <v>27611</v>
      </c>
      <c r="B14065">
        <v>0</v>
      </c>
    </row>
    <row r="14066" spans="1:2" x14ac:dyDescent="0.25">
      <c r="A14066">
        <v>27612</v>
      </c>
      <c r="B14066">
        <v>0</v>
      </c>
    </row>
    <row r="14067" spans="1:2" x14ac:dyDescent="0.25">
      <c r="A14067">
        <v>27613</v>
      </c>
      <c r="B14067">
        <v>0</v>
      </c>
    </row>
    <row r="14068" spans="1:2" x14ac:dyDescent="0.25">
      <c r="A14068">
        <v>27614</v>
      </c>
      <c r="B14068">
        <v>0</v>
      </c>
    </row>
    <row r="14069" spans="1:2" x14ac:dyDescent="0.25">
      <c r="A14069">
        <v>27616</v>
      </c>
      <c r="B14069">
        <v>0</v>
      </c>
    </row>
    <row r="14070" spans="1:2" x14ac:dyDescent="0.25">
      <c r="A14070">
        <v>27617</v>
      </c>
      <c r="B14070">
        <v>0</v>
      </c>
    </row>
    <row r="14071" spans="1:2" x14ac:dyDescent="0.25">
      <c r="A14071">
        <v>27619</v>
      </c>
      <c r="B14071">
        <v>0</v>
      </c>
    </row>
    <row r="14072" spans="1:2" x14ac:dyDescent="0.25">
      <c r="A14072">
        <v>27620</v>
      </c>
      <c r="B14072">
        <v>0</v>
      </c>
    </row>
    <row r="14073" spans="1:2" x14ac:dyDescent="0.25">
      <c r="A14073">
        <v>27621</v>
      </c>
      <c r="B14073">
        <v>0</v>
      </c>
    </row>
    <row r="14074" spans="1:2" x14ac:dyDescent="0.25">
      <c r="A14074">
        <v>27622</v>
      </c>
      <c r="B14074">
        <v>0</v>
      </c>
    </row>
    <row r="14075" spans="1:2" x14ac:dyDescent="0.25">
      <c r="A14075">
        <v>27623</v>
      </c>
      <c r="B14075">
        <v>0</v>
      </c>
    </row>
    <row r="14076" spans="1:2" x14ac:dyDescent="0.25">
      <c r="A14076">
        <v>27624</v>
      </c>
      <c r="B14076">
        <v>0</v>
      </c>
    </row>
    <row r="14077" spans="1:2" x14ac:dyDescent="0.25">
      <c r="A14077">
        <v>27625</v>
      </c>
      <c r="B14077">
        <v>0</v>
      </c>
    </row>
    <row r="14078" spans="1:2" x14ac:dyDescent="0.25">
      <c r="A14078">
        <v>27626</v>
      </c>
      <c r="B14078">
        <v>0</v>
      </c>
    </row>
    <row r="14079" spans="1:2" x14ac:dyDescent="0.25">
      <c r="A14079">
        <v>27627</v>
      </c>
      <c r="B14079">
        <v>0</v>
      </c>
    </row>
    <row r="14080" spans="1:2" x14ac:dyDescent="0.25">
      <c r="A14080">
        <v>27629</v>
      </c>
      <c r="B14080">
        <v>0</v>
      </c>
    </row>
    <row r="14081" spans="1:2" x14ac:dyDescent="0.25">
      <c r="A14081">
        <v>27631</v>
      </c>
      <c r="B14081">
        <v>0</v>
      </c>
    </row>
    <row r="14082" spans="1:2" x14ac:dyDescent="0.25">
      <c r="A14082">
        <v>27633</v>
      </c>
      <c r="B14082">
        <v>0</v>
      </c>
    </row>
    <row r="14083" spans="1:2" x14ac:dyDescent="0.25">
      <c r="A14083">
        <v>27634</v>
      </c>
      <c r="B14083">
        <v>0</v>
      </c>
    </row>
    <row r="14084" spans="1:2" x14ac:dyDescent="0.25">
      <c r="A14084">
        <v>27635</v>
      </c>
      <c r="B14084">
        <v>0</v>
      </c>
    </row>
    <row r="14085" spans="1:2" x14ac:dyDescent="0.25">
      <c r="A14085">
        <v>27637</v>
      </c>
      <c r="B14085">
        <v>0</v>
      </c>
    </row>
    <row r="14086" spans="1:2" x14ac:dyDescent="0.25">
      <c r="A14086">
        <v>27639</v>
      </c>
      <c r="B14086">
        <v>0</v>
      </c>
    </row>
    <row r="14087" spans="1:2" x14ac:dyDescent="0.25">
      <c r="A14087">
        <v>27642</v>
      </c>
      <c r="B14087">
        <v>0</v>
      </c>
    </row>
    <row r="14088" spans="1:2" x14ac:dyDescent="0.25">
      <c r="A14088">
        <v>27644</v>
      </c>
      <c r="B14088">
        <v>0</v>
      </c>
    </row>
    <row r="14089" spans="1:2" x14ac:dyDescent="0.25">
      <c r="A14089">
        <v>27646</v>
      </c>
      <c r="B14089">
        <v>0</v>
      </c>
    </row>
    <row r="14090" spans="1:2" x14ac:dyDescent="0.25">
      <c r="A14090">
        <v>27648</v>
      </c>
      <c r="B14090">
        <v>0</v>
      </c>
    </row>
    <row r="14091" spans="1:2" x14ac:dyDescent="0.25">
      <c r="A14091">
        <v>27650</v>
      </c>
      <c r="B14091">
        <v>0</v>
      </c>
    </row>
    <row r="14092" spans="1:2" x14ac:dyDescent="0.25">
      <c r="A14092">
        <v>27653</v>
      </c>
      <c r="B14092">
        <v>0</v>
      </c>
    </row>
    <row r="14093" spans="1:2" x14ac:dyDescent="0.25">
      <c r="A14093">
        <v>27655</v>
      </c>
      <c r="B14093">
        <v>0</v>
      </c>
    </row>
    <row r="14094" spans="1:2" x14ac:dyDescent="0.25">
      <c r="A14094">
        <v>27657</v>
      </c>
      <c r="B14094">
        <v>0</v>
      </c>
    </row>
    <row r="14095" spans="1:2" x14ac:dyDescent="0.25">
      <c r="A14095">
        <v>27659</v>
      </c>
      <c r="B14095">
        <v>0</v>
      </c>
    </row>
    <row r="14096" spans="1:2" x14ac:dyDescent="0.25">
      <c r="A14096">
        <v>27661</v>
      </c>
      <c r="B14096">
        <v>0</v>
      </c>
    </row>
    <row r="14097" spans="1:2" x14ac:dyDescent="0.25">
      <c r="A14097">
        <v>27663</v>
      </c>
      <c r="B14097">
        <v>0</v>
      </c>
    </row>
    <row r="14098" spans="1:2" x14ac:dyDescent="0.25">
      <c r="A14098">
        <v>27665</v>
      </c>
      <c r="B14098">
        <v>0</v>
      </c>
    </row>
    <row r="14099" spans="1:2" x14ac:dyDescent="0.25">
      <c r="A14099">
        <v>27667</v>
      </c>
      <c r="B14099">
        <v>0</v>
      </c>
    </row>
    <row r="14100" spans="1:2" x14ac:dyDescent="0.25">
      <c r="A14100">
        <v>27669</v>
      </c>
      <c r="B14100">
        <v>0</v>
      </c>
    </row>
    <row r="14101" spans="1:2" x14ac:dyDescent="0.25">
      <c r="A14101">
        <v>27671</v>
      </c>
      <c r="B14101">
        <v>0</v>
      </c>
    </row>
    <row r="14102" spans="1:2" x14ac:dyDescent="0.25">
      <c r="A14102">
        <v>27673</v>
      </c>
      <c r="B14102">
        <v>0</v>
      </c>
    </row>
    <row r="14103" spans="1:2" x14ac:dyDescent="0.25">
      <c r="A14103">
        <v>27674</v>
      </c>
      <c r="B14103">
        <v>0</v>
      </c>
    </row>
    <row r="14104" spans="1:2" x14ac:dyDescent="0.25">
      <c r="A14104">
        <v>27676</v>
      </c>
      <c r="B14104">
        <v>0</v>
      </c>
    </row>
    <row r="14105" spans="1:2" x14ac:dyDescent="0.25">
      <c r="A14105">
        <v>27678</v>
      </c>
      <c r="B14105">
        <v>0</v>
      </c>
    </row>
    <row r="14106" spans="1:2" x14ac:dyDescent="0.25">
      <c r="A14106">
        <v>27679</v>
      </c>
      <c r="B14106">
        <v>0</v>
      </c>
    </row>
    <row r="14107" spans="1:2" x14ac:dyDescent="0.25">
      <c r="A14107">
        <v>27681</v>
      </c>
      <c r="B14107">
        <v>0</v>
      </c>
    </row>
    <row r="14108" spans="1:2" x14ac:dyDescent="0.25">
      <c r="A14108">
        <v>27684</v>
      </c>
      <c r="B14108">
        <v>0</v>
      </c>
    </row>
    <row r="14109" spans="1:2" x14ac:dyDescent="0.25">
      <c r="A14109">
        <v>27686</v>
      </c>
      <c r="B14109">
        <v>0</v>
      </c>
    </row>
    <row r="14110" spans="1:2" x14ac:dyDescent="0.25">
      <c r="A14110">
        <v>27688</v>
      </c>
      <c r="B14110">
        <v>0</v>
      </c>
    </row>
    <row r="14111" spans="1:2" x14ac:dyDescent="0.25">
      <c r="A14111">
        <v>27690</v>
      </c>
      <c r="B14111">
        <v>0</v>
      </c>
    </row>
    <row r="14112" spans="1:2" x14ac:dyDescent="0.25">
      <c r="A14112">
        <v>27691</v>
      </c>
      <c r="B14112">
        <v>0</v>
      </c>
    </row>
    <row r="14113" spans="1:2" x14ac:dyDescent="0.25">
      <c r="A14113">
        <v>27692</v>
      </c>
      <c r="B14113">
        <v>0</v>
      </c>
    </row>
    <row r="14114" spans="1:2" x14ac:dyDescent="0.25">
      <c r="A14114">
        <v>27694</v>
      </c>
      <c r="B14114">
        <v>0</v>
      </c>
    </row>
    <row r="14115" spans="1:2" x14ac:dyDescent="0.25">
      <c r="A14115">
        <v>27695</v>
      </c>
      <c r="B14115">
        <v>0</v>
      </c>
    </row>
    <row r="14116" spans="1:2" x14ac:dyDescent="0.25">
      <c r="A14116">
        <v>27697</v>
      </c>
      <c r="B14116">
        <v>0</v>
      </c>
    </row>
    <row r="14117" spans="1:2" x14ac:dyDescent="0.25">
      <c r="A14117">
        <v>27699</v>
      </c>
      <c r="B14117">
        <v>0</v>
      </c>
    </row>
    <row r="14118" spans="1:2" x14ac:dyDescent="0.25">
      <c r="A14118">
        <v>27701</v>
      </c>
      <c r="B14118">
        <v>0</v>
      </c>
    </row>
    <row r="14119" spans="1:2" x14ac:dyDescent="0.25">
      <c r="A14119">
        <v>27704</v>
      </c>
      <c r="B14119">
        <v>0</v>
      </c>
    </row>
    <row r="14120" spans="1:2" x14ac:dyDescent="0.25">
      <c r="A14120">
        <v>27706</v>
      </c>
      <c r="B14120">
        <v>0</v>
      </c>
    </row>
    <row r="14121" spans="1:2" x14ac:dyDescent="0.25">
      <c r="A14121">
        <v>27708</v>
      </c>
      <c r="B14121">
        <v>0</v>
      </c>
    </row>
    <row r="14122" spans="1:2" x14ac:dyDescent="0.25">
      <c r="A14122">
        <v>27710</v>
      </c>
      <c r="B14122">
        <v>0</v>
      </c>
    </row>
    <row r="14123" spans="1:2" x14ac:dyDescent="0.25">
      <c r="A14123">
        <v>27712</v>
      </c>
      <c r="B14123">
        <v>0</v>
      </c>
    </row>
    <row r="14124" spans="1:2" x14ac:dyDescent="0.25">
      <c r="A14124">
        <v>27714</v>
      </c>
      <c r="B14124">
        <v>0</v>
      </c>
    </row>
    <row r="14125" spans="1:2" x14ac:dyDescent="0.25">
      <c r="A14125">
        <v>27716</v>
      </c>
      <c r="B14125">
        <v>0</v>
      </c>
    </row>
    <row r="14126" spans="1:2" x14ac:dyDescent="0.25">
      <c r="A14126">
        <v>27720</v>
      </c>
      <c r="B14126">
        <v>0</v>
      </c>
    </row>
    <row r="14127" spans="1:2" x14ac:dyDescent="0.25">
      <c r="A14127">
        <v>27721</v>
      </c>
      <c r="B14127">
        <v>0</v>
      </c>
    </row>
    <row r="14128" spans="1:2" x14ac:dyDescent="0.25">
      <c r="A14128">
        <v>27722</v>
      </c>
      <c r="B14128">
        <v>0</v>
      </c>
    </row>
    <row r="14129" spans="1:2" x14ac:dyDescent="0.25">
      <c r="A14129">
        <v>27724</v>
      </c>
      <c r="B14129">
        <v>0</v>
      </c>
    </row>
    <row r="14130" spans="1:2" x14ac:dyDescent="0.25">
      <c r="A14130">
        <v>27729</v>
      </c>
      <c r="B14130">
        <v>0</v>
      </c>
    </row>
    <row r="14131" spans="1:2" x14ac:dyDescent="0.25">
      <c r="A14131">
        <v>27730</v>
      </c>
      <c r="B14131">
        <v>0</v>
      </c>
    </row>
    <row r="14132" spans="1:2" x14ac:dyDescent="0.25">
      <c r="A14132">
        <v>27732</v>
      </c>
      <c r="B14132">
        <v>0</v>
      </c>
    </row>
    <row r="14133" spans="1:2" x14ac:dyDescent="0.25">
      <c r="A14133">
        <v>27734</v>
      </c>
      <c r="B14133">
        <v>0</v>
      </c>
    </row>
    <row r="14134" spans="1:2" x14ac:dyDescent="0.25">
      <c r="A14134">
        <v>27736</v>
      </c>
      <c r="B14134">
        <v>0</v>
      </c>
    </row>
    <row r="14135" spans="1:2" x14ac:dyDescent="0.25">
      <c r="A14135">
        <v>27738</v>
      </c>
      <c r="B14135">
        <v>0</v>
      </c>
    </row>
    <row r="14136" spans="1:2" x14ac:dyDescent="0.25">
      <c r="A14136">
        <v>27739</v>
      </c>
      <c r="B14136">
        <v>0</v>
      </c>
    </row>
    <row r="14137" spans="1:2" x14ac:dyDescent="0.25">
      <c r="A14137">
        <v>27740</v>
      </c>
      <c r="B14137">
        <v>0</v>
      </c>
    </row>
    <row r="14138" spans="1:2" x14ac:dyDescent="0.25">
      <c r="A14138">
        <v>27743</v>
      </c>
      <c r="B14138">
        <v>0</v>
      </c>
    </row>
    <row r="14139" spans="1:2" x14ac:dyDescent="0.25">
      <c r="A14139">
        <v>27745</v>
      </c>
      <c r="B14139">
        <v>0</v>
      </c>
    </row>
    <row r="14140" spans="1:2" x14ac:dyDescent="0.25">
      <c r="A14140">
        <v>27746</v>
      </c>
      <c r="B14140">
        <v>0</v>
      </c>
    </row>
    <row r="14141" spans="1:2" x14ac:dyDescent="0.25">
      <c r="A14141">
        <v>27747</v>
      </c>
      <c r="B14141">
        <v>0</v>
      </c>
    </row>
    <row r="14142" spans="1:2" x14ac:dyDescent="0.25">
      <c r="A14142">
        <v>27748</v>
      </c>
      <c r="B14142">
        <v>0</v>
      </c>
    </row>
    <row r="14143" spans="1:2" x14ac:dyDescent="0.25">
      <c r="A14143">
        <v>27750</v>
      </c>
      <c r="B14143">
        <v>0</v>
      </c>
    </row>
    <row r="14144" spans="1:2" x14ac:dyDescent="0.25">
      <c r="A14144">
        <v>27752</v>
      </c>
      <c r="B14144">
        <v>0</v>
      </c>
    </row>
    <row r="14145" spans="1:2" x14ac:dyDescent="0.25">
      <c r="A14145">
        <v>27754</v>
      </c>
      <c r="B14145">
        <v>0</v>
      </c>
    </row>
    <row r="14146" spans="1:2" x14ac:dyDescent="0.25">
      <c r="A14146">
        <v>27756</v>
      </c>
      <c r="B14146">
        <v>0</v>
      </c>
    </row>
    <row r="14147" spans="1:2" x14ac:dyDescent="0.25">
      <c r="A14147">
        <v>27757</v>
      </c>
      <c r="B14147">
        <v>0</v>
      </c>
    </row>
    <row r="14148" spans="1:2" x14ac:dyDescent="0.25">
      <c r="A14148">
        <v>27758</v>
      </c>
      <c r="B14148">
        <v>0</v>
      </c>
    </row>
    <row r="14149" spans="1:2" x14ac:dyDescent="0.25">
      <c r="A14149">
        <v>27759</v>
      </c>
      <c r="B14149">
        <v>0</v>
      </c>
    </row>
    <row r="14150" spans="1:2" x14ac:dyDescent="0.25">
      <c r="A14150">
        <v>27761</v>
      </c>
      <c r="B14150">
        <v>0</v>
      </c>
    </row>
    <row r="14151" spans="1:2" x14ac:dyDescent="0.25">
      <c r="A14151">
        <v>27762</v>
      </c>
      <c r="B14151">
        <v>0</v>
      </c>
    </row>
    <row r="14152" spans="1:2" x14ac:dyDescent="0.25">
      <c r="A14152">
        <v>27764</v>
      </c>
      <c r="B14152">
        <v>0</v>
      </c>
    </row>
    <row r="14153" spans="1:2" x14ac:dyDescent="0.25">
      <c r="A14153">
        <v>27765</v>
      </c>
      <c r="B14153">
        <v>0</v>
      </c>
    </row>
    <row r="14154" spans="1:2" x14ac:dyDescent="0.25">
      <c r="A14154">
        <v>27768</v>
      </c>
      <c r="B14154">
        <v>0</v>
      </c>
    </row>
    <row r="14155" spans="1:2" x14ac:dyDescent="0.25">
      <c r="A14155">
        <v>27769</v>
      </c>
      <c r="B14155">
        <v>0</v>
      </c>
    </row>
    <row r="14156" spans="1:2" x14ac:dyDescent="0.25">
      <c r="A14156">
        <v>27770</v>
      </c>
      <c r="B14156">
        <v>0</v>
      </c>
    </row>
    <row r="14157" spans="1:2" x14ac:dyDescent="0.25">
      <c r="A14157">
        <v>27772</v>
      </c>
      <c r="B14157">
        <v>0</v>
      </c>
    </row>
    <row r="14158" spans="1:2" x14ac:dyDescent="0.25">
      <c r="A14158">
        <v>27773</v>
      </c>
      <c r="B14158">
        <v>0</v>
      </c>
    </row>
    <row r="14159" spans="1:2" x14ac:dyDescent="0.25">
      <c r="A14159">
        <v>27774</v>
      </c>
      <c r="B14159">
        <v>0</v>
      </c>
    </row>
    <row r="14160" spans="1:2" x14ac:dyDescent="0.25">
      <c r="A14160">
        <v>27775</v>
      </c>
      <c r="B14160">
        <v>0</v>
      </c>
    </row>
    <row r="14161" spans="1:2" x14ac:dyDescent="0.25">
      <c r="A14161">
        <v>27777</v>
      </c>
      <c r="B14161">
        <v>0</v>
      </c>
    </row>
    <row r="14162" spans="1:2" x14ac:dyDescent="0.25">
      <c r="A14162">
        <v>27778</v>
      </c>
      <c r="B14162">
        <v>0</v>
      </c>
    </row>
    <row r="14163" spans="1:2" x14ac:dyDescent="0.25">
      <c r="A14163">
        <v>27780</v>
      </c>
      <c r="B14163">
        <v>0</v>
      </c>
    </row>
    <row r="14164" spans="1:2" x14ac:dyDescent="0.25">
      <c r="A14164">
        <v>27783</v>
      </c>
      <c r="B14164">
        <v>0</v>
      </c>
    </row>
    <row r="14165" spans="1:2" x14ac:dyDescent="0.25">
      <c r="A14165">
        <v>27784</v>
      </c>
      <c r="B14165">
        <v>0</v>
      </c>
    </row>
    <row r="14166" spans="1:2" x14ac:dyDescent="0.25">
      <c r="A14166">
        <v>27786</v>
      </c>
      <c r="B14166">
        <v>0</v>
      </c>
    </row>
    <row r="14167" spans="1:2" x14ac:dyDescent="0.25">
      <c r="A14167">
        <v>27787</v>
      </c>
      <c r="B14167">
        <v>0</v>
      </c>
    </row>
    <row r="14168" spans="1:2" x14ac:dyDescent="0.25">
      <c r="A14168">
        <v>27789</v>
      </c>
      <c r="B14168">
        <v>0</v>
      </c>
    </row>
    <row r="14169" spans="1:2" x14ac:dyDescent="0.25">
      <c r="A14169">
        <v>27792</v>
      </c>
      <c r="B14169">
        <v>0</v>
      </c>
    </row>
    <row r="14170" spans="1:2" x14ac:dyDescent="0.25">
      <c r="A14170">
        <v>27794</v>
      </c>
      <c r="B14170">
        <v>0</v>
      </c>
    </row>
    <row r="14171" spans="1:2" x14ac:dyDescent="0.25">
      <c r="A14171">
        <v>27795</v>
      </c>
      <c r="B14171">
        <v>0</v>
      </c>
    </row>
    <row r="14172" spans="1:2" x14ac:dyDescent="0.25">
      <c r="A14172">
        <v>27797</v>
      </c>
      <c r="B14172">
        <v>0</v>
      </c>
    </row>
    <row r="14173" spans="1:2" x14ac:dyDescent="0.25">
      <c r="A14173">
        <v>27799</v>
      </c>
      <c r="B14173">
        <v>0</v>
      </c>
    </row>
    <row r="14174" spans="1:2" x14ac:dyDescent="0.25">
      <c r="A14174">
        <v>27800</v>
      </c>
      <c r="B14174">
        <v>0</v>
      </c>
    </row>
    <row r="14175" spans="1:2" x14ac:dyDescent="0.25">
      <c r="A14175">
        <v>27802</v>
      </c>
      <c r="B14175">
        <v>0</v>
      </c>
    </row>
    <row r="14176" spans="1:2" x14ac:dyDescent="0.25">
      <c r="A14176">
        <v>27805</v>
      </c>
      <c r="B14176">
        <v>0</v>
      </c>
    </row>
    <row r="14177" spans="1:2" x14ac:dyDescent="0.25">
      <c r="A14177">
        <v>27806</v>
      </c>
      <c r="B14177">
        <v>0</v>
      </c>
    </row>
    <row r="14178" spans="1:2" x14ac:dyDescent="0.25">
      <c r="A14178">
        <v>27808</v>
      </c>
      <c r="B14178">
        <v>0</v>
      </c>
    </row>
    <row r="14179" spans="1:2" x14ac:dyDescent="0.25">
      <c r="A14179">
        <v>27810</v>
      </c>
      <c r="B14179">
        <v>0</v>
      </c>
    </row>
    <row r="14180" spans="1:2" x14ac:dyDescent="0.25">
      <c r="A14180">
        <v>27811</v>
      </c>
      <c r="B14180">
        <v>0</v>
      </c>
    </row>
    <row r="14181" spans="1:2" x14ac:dyDescent="0.25">
      <c r="A14181">
        <v>27812</v>
      </c>
      <c r="B14181">
        <v>0</v>
      </c>
    </row>
    <row r="14182" spans="1:2" x14ac:dyDescent="0.25">
      <c r="A14182">
        <v>27815</v>
      </c>
      <c r="B14182">
        <v>0</v>
      </c>
    </row>
    <row r="14183" spans="1:2" x14ac:dyDescent="0.25">
      <c r="A14183">
        <v>27816</v>
      </c>
      <c r="B14183">
        <v>0</v>
      </c>
    </row>
    <row r="14184" spans="1:2" x14ac:dyDescent="0.25">
      <c r="A14184">
        <v>27818</v>
      </c>
      <c r="B14184">
        <v>0</v>
      </c>
    </row>
    <row r="14185" spans="1:2" x14ac:dyDescent="0.25">
      <c r="A14185">
        <v>27824</v>
      </c>
      <c r="B14185">
        <v>0</v>
      </c>
    </row>
    <row r="14186" spans="1:2" x14ac:dyDescent="0.25">
      <c r="A14186">
        <v>27825</v>
      </c>
      <c r="B14186">
        <v>0</v>
      </c>
    </row>
    <row r="14187" spans="1:2" x14ac:dyDescent="0.25">
      <c r="A14187">
        <v>27826</v>
      </c>
      <c r="B14187">
        <v>0</v>
      </c>
    </row>
    <row r="14188" spans="1:2" x14ac:dyDescent="0.25">
      <c r="A14188">
        <v>27829</v>
      </c>
      <c r="B14188">
        <v>0</v>
      </c>
    </row>
    <row r="14189" spans="1:2" x14ac:dyDescent="0.25">
      <c r="A14189">
        <v>27831</v>
      </c>
      <c r="B14189">
        <v>0</v>
      </c>
    </row>
    <row r="14190" spans="1:2" x14ac:dyDescent="0.25">
      <c r="A14190">
        <v>27834</v>
      </c>
      <c r="B14190">
        <v>0</v>
      </c>
    </row>
    <row r="14191" spans="1:2" x14ac:dyDescent="0.25">
      <c r="A14191">
        <v>27835</v>
      </c>
      <c r="B14191">
        <v>0</v>
      </c>
    </row>
    <row r="14192" spans="1:2" x14ac:dyDescent="0.25">
      <c r="A14192">
        <v>27837</v>
      </c>
      <c r="B14192">
        <v>0</v>
      </c>
    </row>
    <row r="14193" spans="1:2" x14ac:dyDescent="0.25">
      <c r="A14193">
        <v>27838</v>
      </c>
      <c r="B14193">
        <v>0</v>
      </c>
    </row>
    <row r="14194" spans="1:2" x14ac:dyDescent="0.25">
      <c r="A14194">
        <v>27839</v>
      </c>
      <c r="B14194">
        <v>0</v>
      </c>
    </row>
    <row r="14195" spans="1:2" x14ac:dyDescent="0.25">
      <c r="A14195">
        <v>27840</v>
      </c>
      <c r="B14195">
        <v>0</v>
      </c>
    </row>
    <row r="14196" spans="1:2" x14ac:dyDescent="0.25">
      <c r="A14196">
        <v>27841</v>
      </c>
      <c r="B14196">
        <v>0</v>
      </c>
    </row>
    <row r="14197" spans="1:2" x14ac:dyDescent="0.25">
      <c r="A14197">
        <v>27842</v>
      </c>
      <c r="B14197">
        <v>0</v>
      </c>
    </row>
    <row r="14198" spans="1:2" x14ac:dyDescent="0.25">
      <c r="A14198">
        <v>27843</v>
      </c>
      <c r="B14198">
        <v>0</v>
      </c>
    </row>
    <row r="14199" spans="1:2" x14ac:dyDescent="0.25">
      <c r="A14199">
        <v>27845</v>
      </c>
      <c r="B14199">
        <v>0</v>
      </c>
    </row>
    <row r="14200" spans="1:2" x14ac:dyDescent="0.25">
      <c r="A14200">
        <v>27847</v>
      </c>
      <c r="B14200">
        <v>0</v>
      </c>
    </row>
    <row r="14201" spans="1:2" x14ac:dyDescent="0.25">
      <c r="A14201">
        <v>27849</v>
      </c>
      <c r="B14201">
        <v>0</v>
      </c>
    </row>
    <row r="14202" spans="1:2" x14ac:dyDescent="0.25">
      <c r="A14202">
        <v>27851</v>
      </c>
      <c r="B14202">
        <v>0</v>
      </c>
    </row>
    <row r="14203" spans="1:2" x14ac:dyDescent="0.25">
      <c r="A14203">
        <v>27852</v>
      </c>
      <c r="B14203">
        <v>0</v>
      </c>
    </row>
    <row r="14204" spans="1:2" x14ac:dyDescent="0.25">
      <c r="A14204">
        <v>27854</v>
      </c>
      <c r="B14204">
        <v>0</v>
      </c>
    </row>
    <row r="14205" spans="1:2" x14ac:dyDescent="0.25">
      <c r="A14205">
        <v>27855</v>
      </c>
      <c r="B14205">
        <v>0</v>
      </c>
    </row>
    <row r="14206" spans="1:2" x14ac:dyDescent="0.25">
      <c r="A14206">
        <v>27856</v>
      </c>
      <c r="B14206">
        <v>0</v>
      </c>
    </row>
    <row r="14207" spans="1:2" x14ac:dyDescent="0.25">
      <c r="A14207">
        <v>27857</v>
      </c>
      <c r="B14207">
        <v>0</v>
      </c>
    </row>
    <row r="14208" spans="1:2" x14ac:dyDescent="0.25">
      <c r="A14208">
        <v>27858</v>
      </c>
      <c r="B14208">
        <v>0</v>
      </c>
    </row>
    <row r="14209" spans="1:2" x14ac:dyDescent="0.25">
      <c r="A14209">
        <v>27859</v>
      </c>
      <c r="B14209">
        <v>0</v>
      </c>
    </row>
    <row r="14210" spans="1:2" x14ac:dyDescent="0.25">
      <c r="A14210">
        <v>27860</v>
      </c>
      <c r="B14210">
        <v>0</v>
      </c>
    </row>
    <row r="14211" spans="1:2" x14ac:dyDescent="0.25">
      <c r="A14211">
        <v>27861</v>
      </c>
      <c r="B14211">
        <v>0</v>
      </c>
    </row>
    <row r="14212" spans="1:2" x14ac:dyDescent="0.25">
      <c r="A14212">
        <v>27862</v>
      </c>
      <c r="B14212">
        <v>0</v>
      </c>
    </row>
    <row r="14213" spans="1:2" x14ac:dyDescent="0.25">
      <c r="A14213">
        <v>27863</v>
      </c>
      <c r="B14213">
        <v>0</v>
      </c>
    </row>
    <row r="14214" spans="1:2" x14ac:dyDescent="0.25">
      <c r="A14214">
        <v>27866</v>
      </c>
      <c r="B14214">
        <v>0</v>
      </c>
    </row>
    <row r="14215" spans="1:2" x14ac:dyDescent="0.25">
      <c r="A14215">
        <v>27869</v>
      </c>
      <c r="B14215">
        <v>0</v>
      </c>
    </row>
    <row r="14216" spans="1:2" x14ac:dyDescent="0.25">
      <c r="A14216">
        <v>27871</v>
      </c>
      <c r="B14216">
        <v>0</v>
      </c>
    </row>
    <row r="14217" spans="1:2" x14ac:dyDescent="0.25">
      <c r="A14217">
        <v>27873</v>
      </c>
      <c r="B14217">
        <v>0</v>
      </c>
    </row>
    <row r="14218" spans="1:2" x14ac:dyDescent="0.25">
      <c r="A14218">
        <v>27875</v>
      </c>
      <c r="B14218">
        <v>0</v>
      </c>
    </row>
    <row r="14219" spans="1:2" x14ac:dyDescent="0.25">
      <c r="A14219">
        <v>27878</v>
      </c>
      <c r="B14219">
        <v>0</v>
      </c>
    </row>
    <row r="14220" spans="1:2" x14ac:dyDescent="0.25">
      <c r="A14220">
        <v>27880</v>
      </c>
      <c r="B14220">
        <v>0</v>
      </c>
    </row>
    <row r="14221" spans="1:2" x14ac:dyDescent="0.25">
      <c r="A14221">
        <v>27882</v>
      </c>
      <c r="B14221">
        <v>0</v>
      </c>
    </row>
    <row r="14222" spans="1:2" x14ac:dyDescent="0.25">
      <c r="A14222">
        <v>27884</v>
      </c>
      <c r="B14222">
        <v>0</v>
      </c>
    </row>
    <row r="14223" spans="1:2" x14ac:dyDescent="0.25">
      <c r="A14223">
        <v>27885</v>
      </c>
      <c r="B14223">
        <v>0</v>
      </c>
    </row>
    <row r="14224" spans="1:2" x14ac:dyDescent="0.25">
      <c r="A14224">
        <v>27887</v>
      </c>
      <c r="B14224">
        <v>0</v>
      </c>
    </row>
    <row r="14225" spans="1:2" x14ac:dyDescent="0.25">
      <c r="A14225">
        <v>27888</v>
      </c>
      <c r="B14225">
        <v>0</v>
      </c>
    </row>
    <row r="14226" spans="1:2" x14ac:dyDescent="0.25">
      <c r="A14226">
        <v>27889</v>
      </c>
      <c r="B14226">
        <v>0</v>
      </c>
    </row>
    <row r="14227" spans="1:2" x14ac:dyDescent="0.25">
      <c r="A14227">
        <v>27891</v>
      </c>
      <c r="B14227">
        <v>0</v>
      </c>
    </row>
    <row r="14228" spans="1:2" x14ac:dyDescent="0.25">
      <c r="A14228">
        <v>27893</v>
      </c>
      <c r="B14228">
        <v>0</v>
      </c>
    </row>
    <row r="14229" spans="1:2" x14ac:dyDescent="0.25">
      <c r="A14229">
        <v>27895</v>
      </c>
      <c r="B14229">
        <v>0</v>
      </c>
    </row>
    <row r="14230" spans="1:2" x14ac:dyDescent="0.25">
      <c r="A14230">
        <v>27897</v>
      </c>
      <c r="B14230">
        <v>0</v>
      </c>
    </row>
    <row r="14231" spans="1:2" x14ac:dyDescent="0.25">
      <c r="A14231">
        <v>27899</v>
      </c>
      <c r="B14231">
        <v>0</v>
      </c>
    </row>
    <row r="14232" spans="1:2" x14ac:dyDescent="0.25">
      <c r="A14232">
        <v>27901</v>
      </c>
      <c r="B14232">
        <v>0</v>
      </c>
    </row>
    <row r="14233" spans="1:2" x14ac:dyDescent="0.25">
      <c r="A14233">
        <v>27903</v>
      </c>
      <c r="B14233">
        <v>0</v>
      </c>
    </row>
    <row r="14234" spans="1:2" x14ac:dyDescent="0.25">
      <c r="A14234">
        <v>27906</v>
      </c>
      <c r="B14234">
        <v>0</v>
      </c>
    </row>
    <row r="14235" spans="1:2" x14ac:dyDescent="0.25">
      <c r="A14235">
        <v>27907</v>
      </c>
      <c r="B14235">
        <v>0</v>
      </c>
    </row>
    <row r="14236" spans="1:2" x14ac:dyDescent="0.25">
      <c r="A14236">
        <v>27909</v>
      </c>
      <c r="B14236">
        <v>0</v>
      </c>
    </row>
    <row r="14237" spans="1:2" x14ac:dyDescent="0.25">
      <c r="A14237">
        <v>27911</v>
      </c>
      <c r="B14237">
        <v>0</v>
      </c>
    </row>
    <row r="14238" spans="1:2" x14ac:dyDescent="0.25">
      <c r="A14238">
        <v>27916</v>
      </c>
      <c r="B14238">
        <v>0</v>
      </c>
    </row>
    <row r="14239" spans="1:2" x14ac:dyDescent="0.25">
      <c r="A14239">
        <v>27918</v>
      </c>
      <c r="B14239">
        <v>0</v>
      </c>
    </row>
    <row r="14240" spans="1:2" x14ac:dyDescent="0.25">
      <c r="A14240">
        <v>27920</v>
      </c>
      <c r="B14240">
        <v>0</v>
      </c>
    </row>
    <row r="14241" spans="1:2" x14ac:dyDescent="0.25">
      <c r="A14241">
        <v>27922</v>
      </c>
      <c r="B14241">
        <v>0</v>
      </c>
    </row>
    <row r="14242" spans="1:2" x14ac:dyDescent="0.25">
      <c r="A14242">
        <v>27924</v>
      </c>
      <c r="B14242">
        <v>0</v>
      </c>
    </row>
    <row r="14243" spans="1:2" x14ac:dyDescent="0.25">
      <c r="A14243">
        <v>27926</v>
      </c>
      <c r="B14243">
        <v>0</v>
      </c>
    </row>
    <row r="14244" spans="1:2" x14ac:dyDescent="0.25">
      <c r="A14244">
        <v>27928</v>
      </c>
      <c r="B14244">
        <v>0</v>
      </c>
    </row>
    <row r="14245" spans="1:2" x14ac:dyDescent="0.25">
      <c r="A14245">
        <v>27957</v>
      </c>
      <c r="B14245">
        <v>0</v>
      </c>
    </row>
    <row r="14246" spans="1:2" x14ac:dyDescent="0.25">
      <c r="A14246">
        <v>27959</v>
      </c>
      <c r="B14246">
        <v>0</v>
      </c>
    </row>
    <row r="14247" spans="1:2" x14ac:dyDescent="0.25">
      <c r="A14247">
        <v>27961</v>
      </c>
      <c r="B14247">
        <v>0</v>
      </c>
    </row>
    <row r="14248" spans="1:2" x14ac:dyDescent="0.25">
      <c r="A14248">
        <v>27963</v>
      </c>
      <c r="B14248">
        <v>0</v>
      </c>
    </row>
    <row r="14249" spans="1:2" x14ac:dyDescent="0.25">
      <c r="A14249">
        <v>27964</v>
      </c>
      <c r="B14249">
        <v>0</v>
      </c>
    </row>
    <row r="14250" spans="1:2" x14ac:dyDescent="0.25">
      <c r="A14250">
        <v>27965</v>
      </c>
      <c r="B14250">
        <v>0</v>
      </c>
    </row>
    <row r="14251" spans="1:2" x14ac:dyDescent="0.25">
      <c r="A14251">
        <v>27966</v>
      </c>
      <c r="B14251">
        <v>0</v>
      </c>
    </row>
    <row r="14252" spans="1:2" x14ac:dyDescent="0.25">
      <c r="A14252">
        <v>27967</v>
      </c>
      <c r="B14252">
        <v>0</v>
      </c>
    </row>
    <row r="14253" spans="1:2" x14ac:dyDescent="0.25">
      <c r="A14253">
        <v>27969</v>
      </c>
      <c r="B14253">
        <v>0</v>
      </c>
    </row>
    <row r="14254" spans="1:2" x14ac:dyDescent="0.25">
      <c r="A14254">
        <v>27971</v>
      </c>
      <c r="B14254">
        <v>0</v>
      </c>
    </row>
    <row r="14255" spans="1:2" x14ac:dyDescent="0.25">
      <c r="A14255">
        <v>27992</v>
      </c>
      <c r="B14255">
        <v>0</v>
      </c>
    </row>
    <row r="14256" spans="1:2" x14ac:dyDescent="0.25">
      <c r="A14256">
        <v>27994</v>
      </c>
      <c r="B14256">
        <v>0</v>
      </c>
    </row>
    <row r="14257" spans="1:2" x14ac:dyDescent="0.25">
      <c r="A14257">
        <v>27996</v>
      </c>
      <c r="B14257">
        <v>0</v>
      </c>
    </row>
    <row r="14258" spans="1:2" x14ac:dyDescent="0.25">
      <c r="A14258">
        <v>27998</v>
      </c>
      <c r="B14258">
        <v>0</v>
      </c>
    </row>
    <row r="14259" spans="1:2" x14ac:dyDescent="0.25">
      <c r="A14259">
        <v>28000</v>
      </c>
      <c r="B14259">
        <v>0</v>
      </c>
    </row>
    <row r="14260" spans="1:2" x14ac:dyDescent="0.25">
      <c r="A14260">
        <v>28004</v>
      </c>
      <c r="B14260">
        <v>0</v>
      </c>
    </row>
    <row r="14261" spans="1:2" x14ac:dyDescent="0.25">
      <c r="A14261">
        <v>28005</v>
      </c>
      <c r="B14261">
        <v>0</v>
      </c>
    </row>
    <row r="14262" spans="1:2" x14ac:dyDescent="0.25">
      <c r="A14262">
        <v>28006</v>
      </c>
      <c r="B14262">
        <v>0</v>
      </c>
    </row>
    <row r="14263" spans="1:2" x14ac:dyDescent="0.25">
      <c r="A14263">
        <v>28007</v>
      </c>
      <c r="B14263">
        <v>0</v>
      </c>
    </row>
    <row r="14264" spans="1:2" x14ac:dyDescent="0.25">
      <c r="A14264">
        <v>28008</v>
      </c>
      <c r="B14264">
        <v>0</v>
      </c>
    </row>
    <row r="14265" spans="1:2" x14ac:dyDescent="0.25">
      <c r="A14265">
        <v>28009</v>
      </c>
      <c r="B14265">
        <v>0</v>
      </c>
    </row>
    <row r="14266" spans="1:2" x14ac:dyDescent="0.25">
      <c r="A14266">
        <v>28010</v>
      </c>
      <c r="B14266">
        <v>0</v>
      </c>
    </row>
    <row r="14267" spans="1:2" x14ac:dyDescent="0.25">
      <c r="A14267">
        <v>28012</v>
      </c>
      <c r="B14267">
        <v>0</v>
      </c>
    </row>
    <row r="14268" spans="1:2" x14ac:dyDescent="0.25">
      <c r="A14268">
        <v>28014</v>
      </c>
      <c r="B14268">
        <v>0</v>
      </c>
    </row>
    <row r="14269" spans="1:2" x14ac:dyDescent="0.25">
      <c r="A14269">
        <v>28016</v>
      </c>
      <c r="B14269">
        <v>0</v>
      </c>
    </row>
    <row r="14270" spans="1:2" x14ac:dyDescent="0.25">
      <c r="A14270">
        <v>28018</v>
      </c>
      <c r="B14270">
        <v>0</v>
      </c>
    </row>
    <row r="14271" spans="1:2" x14ac:dyDescent="0.25">
      <c r="A14271">
        <v>28019</v>
      </c>
      <c r="B14271">
        <v>0</v>
      </c>
    </row>
    <row r="14272" spans="1:2" x14ac:dyDescent="0.25">
      <c r="A14272">
        <v>28020</v>
      </c>
      <c r="B14272">
        <v>0</v>
      </c>
    </row>
    <row r="14273" spans="1:2" x14ac:dyDescent="0.25">
      <c r="A14273">
        <v>28023</v>
      </c>
      <c r="B14273">
        <v>0</v>
      </c>
    </row>
    <row r="14274" spans="1:2" x14ac:dyDescent="0.25">
      <c r="A14274">
        <v>28024</v>
      </c>
      <c r="B14274">
        <v>0</v>
      </c>
    </row>
    <row r="14275" spans="1:2" x14ac:dyDescent="0.25">
      <c r="A14275">
        <v>28025</v>
      </c>
      <c r="B14275">
        <v>0</v>
      </c>
    </row>
    <row r="14276" spans="1:2" x14ac:dyDescent="0.25">
      <c r="A14276">
        <v>28026</v>
      </c>
      <c r="B14276">
        <v>0</v>
      </c>
    </row>
    <row r="14277" spans="1:2" x14ac:dyDescent="0.25">
      <c r="A14277">
        <v>28027</v>
      </c>
      <c r="B14277">
        <v>0</v>
      </c>
    </row>
    <row r="14278" spans="1:2" x14ac:dyDescent="0.25">
      <c r="A14278">
        <v>28028</v>
      </c>
      <c r="B14278">
        <v>0</v>
      </c>
    </row>
    <row r="14279" spans="1:2" x14ac:dyDescent="0.25">
      <c r="A14279">
        <v>28029</v>
      </c>
      <c r="B14279">
        <v>0</v>
      </c>
    </row>
    <row r="14280" spans="1:2" x14ac:dyDescent="0.25">
      <c r="A14280">
        <v>28030</v>
      </c>
      <c r="B14280">
        <v>0</v>
      </c>
    </row>
    <row r="14281" spans="1:2" x14ac:dyDescent="0.25">
      <c r="A14281">
        <v>28032</v>
      </c>
      <c r="B14281">
        <v>0</v>
      </c>
    </row>
    <row r="14282" spans="1:2" x14ac:dyDescent="0.25">
      <c r="A14282">
        <v>28033</v>
      </c>
      <c r="B14282">
        <v>0</v>
      </c>
    </row>
    <row r="14283" spans="1:2" x14ac:dyDescent="0.25">
      <c r="A14283">
        <v>28034</v>
      </c>
      <c r="B14283">
        <v>0</v>
      </c>
    </row>
    <row r="14284" spans="1:2" x14ac:dyDescent="0.25">
      <c r="A14284">
        <v>28035</v>
      </c>
      <c r="B14284">
        <v>0</v>
      </c>
    </row>
    <row r="14285" spans="1:2" x14ac:dyDescent="0.25">
      <c r="A14285">
        <v>28037</v>
      </c>
      <c r="B14285">
        <v>0</v>
      </c>
    </row>
    <row r="14286" spans="1:2" x14ac:dyDescent="0.25">
      <c r="A14286">
        <v>28039</v>
      </c>
      <c r="B14286">
        <v>0</v>
      </c>
    </row>
    <row r="14287" spans="1:2" x14ac:dyDescent="0.25">
      <c r="A14287">
        <v>28041</v>
      </c>
      <c r="B14287">
        <v>0</v>
      </c>
    </row>
    <row r="14288" spans="1:2" x14ac:dyDescent="0.25">
      <c r="A14288">
        <v>28042</v>
      </c>
      <c r="B14288">
        <v>0</v>
      </c>
    </row>
    <row r="14289" spans="1:2" x14ac:dyDescent="0.25">
      <c r="A14289">
        <v>28043</v>
      </c>
      <c r="B14289">
        <v>0</v>
      </c>
    </row>
    <row r="14290" spans="1:2" x14ac:dyDescent="0.25">
      <c r="A14290">
        <v>28046</v>
      </c>
      <c r="B14290">
        <v>0</v>
      </c>
    </row>
    <row r="14291" spans="1:2" x14ac:dyDescent="0.25">
      <c r="A14291">
        <v>28047</v>
      </c>
      <c r="B14291">
        <v>0</v>
      </c>
    </row>
    <row r="14292" spans="1:2" x14ac:dyDescent="0.25">
      <c r="A14292">
        <v>28049</v>
      </c>
      <c r="B14292">
        <v>0</v>
      </c>
    </row>
    <row r="14293" spans="1:2" x14ac:dyDescent="0.25">
      <c r="A14293">
        <v>28050</v>
      </c>
      <c r="B14293">
        <v>0</v>
      </c>
    </row>
    <row r="14294" spans="1:2" x14ac:dyDescent="0.25">
      <c r="A14294">
        <v>28051</v>
      </c>
      <c r="B14294">
        <v>0</v>
      </c>
    </row>
    <row r="14295" spans="1:2" x14ac:dyDescent="0.25">
      <c r="A14295">
        <v>28052</v>
      </c>
      <c r="B14295">
        <v>0</v>
      </c>
    </row>
    <row r="14296" spans="1:2" x14ac:dyDescent="0.25">
      <c r="A14296">
        <v>28054</v>
      </c>
      <c r="B14296">
        <v>0</v>
      </c>
    </row>
    <row r="14297" spans="1:2" x14ac:dyDescent="0.25">
      <c r="A14297">
        <v>28055</v>
      </c>
      <c r="B14297">
        <v>0</v>
      </c>
    </row>
    <row r="14298" spans="1:2" x14ac:dyDescent="0.25">
      <c r="A14298">
        <v>28057</v>
      </c>
      <c r="B14298">
        <v>0</v>
      </c>
    </row>
    <row r="14299" spans="1:2" x14ac:dyDescent="0.25">
      <c r="A14299">
        <v>28059</v>
      </c>
      <c r="B14299">
        <v>0</v>
      </c>
    </row>
    <row r="14300" spans="1:2" x14ac:dyDescent="0.25">
      <c r="A14300">
        <v>28061</v>
      </c>
      <c r="B14300">
        <v>0</v>
      </c>
    </row>
    <row r="14301" spans="1:2" x14ac:dyDescent="0.25">
      <c r="A14301">
        <v>28063</v>
      </c>
      <c r="B14301">
        <v>0</v>
      </c>
    </row>
    <row r="14302" spans="1:2" x14ac:dyDescent="0.25">
      <c r="A14302">
        <v>28064</v>
      </c>
      <c r="B14302">
        <v>0</v>
      </c>
    </row>
    <row r="14303" spans="1:2" x14ac:dyDescent="0.25">
      <c r="A14303">
        <v>28066</v>
      </c>
      <c r="B14303">
        <v>0</v>
      </c>
    </row>
    <row r="14304" spans="1:2" x14ac:dyDescent="0.25">
      <c r="A14304">
        <v>28067</v>
      </c>
      <c r="B14304">
        <v>0</v>
      </c>
    </row>
    <row r="14305" spans="1:2" x14ac:dyDescent="0.25">
      <c r="A14305">
        <v>28069</v>
      </c>
      <c r="B14305">
        <v>0</v>
      </c>
    </row>
    <row r="14306" spans="1:2" x14ac:dyDescent="0.25">
      <c r="A14306">
        <v>28070</v>
      </c>
      <c r="B14306">
        <v>0</v>
      </c>
    </row>
    <row r="14307" spans="1:2" x14ac:dyDescent="0.25">
      <c r="A14307">
        <v>28071</v>
      </c>
      <c r="B14307">
        <v>0</v>
      </c>
    </row>
    <row r="14308" spans="1:2" x14ac:dyDescent="0.25">
      <c r="A14308">
        <v>28074</v>
      </c>
      <c r="B14308">
        <v>0</v>
      </c>
    </row>
    <row r="14309" spans="1:2" x14ac:dyDescent="0.25">
      <c r="A14309">
        <v>28075</v>
      </c>
      <c r="B14309">
        <v>0</v>
      </c>
    </row>
    <row r="14310" spans="1:2" x14ac:dyDescent="0.25">
      <c r="A14310">
        <v>28077</v>
      </c>
      <c r="B14310">
        <v>0</v>
      </c>
    </row>
    <row r="14311" spans="1:2" x14ac:dyDescent="0.25">
      <c r="A14311">
        <v>28079</v>
      </c>
      <c r="B14311">
        <v>0</v>
      </c>
    </row>
    <row r="14312" spans="1:2" x14ac:dyDescent="0.25">
      <c r="A14312">
        <v>28081</v>
      </c>
      <c r="B14312">
        <v>0</v>
      </c>
    </row>
    <row r="14313" spans="1:2" x14ac:dyDescent="0.25">
      <c r="A14313">
        <v>28083</v>
      </c>
      <c r="B14313">
        <v>0</v>
      </c>
    </row>
    <row r="14314" spans="1:2" x14ac:dyDescent="0.25">
      <c r="A14314">
        <v>28085</v>
      </c>
      <c r="B14314">
        <v>0</v>
      </c>
    </row>
    <row r="14315" spans="1:2" x14ac:dyDescent="0.25">
      <c r="A14315">
        <v>28087</v>
      </c>
      <c r="B14315">
        <v>0</v>
      </c>
    </row>
    <row r="14316" spans="1:2" x14ac:dyDescent="0.25">
      <c r="A14316">
        <v>28089</v>
      </c>
      <c r="B14316">
        <v>0</v>
      </c>
    </row>
    <row r="14317" spans="1:2" x14ac:dyDescent="0.25">
      <c r="A14317">
        <v>28091</v>
      </c>
      <c r="B14317">
        <v>0</v>
      </c>
    </row>
    <row r="14318" spans="1:2" x14ac:dyDescent="0.25">
      <c r="A14318">
        <v>28094</v>
      </c>
      <c r="B14318">
        <v>0</v>
      </c>
    </row>
    <row r="14319" spans="1:2" x14ac:dyDescent="0.25">
      <c r="A14319">
        <v>28097</v>
      </c>
      <c r="B14319">
        <v>0</v>
      </c>
    </row>
    <row r="14320" spans="1:2" x14ac:dyDescent="0.25">
      <c r="A14320">
        <v>28098</v>
      </c>
      <c r="B14320">
        <v>0</v>
      </c>
    </row>
    <row r="14321" spans="1:2" x14ac:dyDescent="0.25">
      <c r="A14321">
        <v>28100</v>
      </c>
      <c r="B14321">
        <v>0</v>
      </c>
    </row>
    <row r="14322" spans="1:2" x14ac:dyDescent="0.25">
      <c r="A14322">
        <v>28102</v>
      </c>
      <c r="B14322">
        <v>0</v>
      </c>
    </row>
    <row r="14323" spans="1:2" x14ac:dyDescent="0.25">
      <c r="A14323">
        <v>28104</v>
      </c>
      <c r="B14323">
        <v>0</v>
      </c>
    </row>
    <row r="14324" spans="1:2" x14ac:dyDescent="0.25">
      <c r="A14324">
        <v>28105</v>
      </c>
      <c r="B14324">
        <v>0</v>
      </c>
    </row>
    <row r="14325" spans="1:2" x14ac:dyDescent="0.25">
      <c r="A14325">
        <v>28106</v>
      </c>
      <c r="B14325">
        <v>0</v>
      </c>
    </row>
    <row r="14326" spans="1:2" x14ac:dyDescent="0.25">
      <c r="A14326">
        <v>28107</v>
      </c>
      <c r="B14326">
        <v>0</v>
      </c>
    </row>
    <row r="14327" spans="1:2" x14ac:dyDescent="0.25">
      <c r="A14327">
        <v>28108</v>
      </c>
      <c r="B14327">
        <v>0</v>
      </c>
    </row>
    <row r="14328" spans="1:2" x14ac:dyDescent="0.25">
      <c r="A14328">
        <v>28109</v>
      </c>
      <c r="B14328">
        <v>0</v>
      </c>
    </row>
    <row r="14329" spans="1:2" x14ac:dyDescent="0.25">
      <c r="A14329">
        <v>28110</v>
      </c>
      <c r="B14329">
        <v>0</v>
      </c>
    </row>
    <row r="14330" spans="1:2" x14ac:dyDescent="0.25">
      <c r="A14330">
        <v>28111</v>
      </c>
      <c r="B14330">
        <v>0</v>
      </c>
    </row>
    <row r="14331" spans="1:2" x14ac:dyDescent="0.25">
      <c r="A14331">
        <v>28112</v>
      </c>
      <c r="B14331">
        <v>0</v>
      </c>
    </row>
    <row r="14332" spans="1:2" x14ac:dyDescent="0.25">
      <c r="A14332">
        <v>28113</v>
      </c>
      <c r="B14332">
        <v>0</v>
      </c>
    </row>
    <row r="14333" spans="1:2" x14ac:dyDescent="0.25">
      <c r="A14333">
        <v>28114</v>
      </c>
      <c r="B14333">
        <v>0</v>
      </c>
    </row>
    <row r="14334" spans="1:2" x14ac:dyDescent="0.25">
      <c r="A14334">
        <v>28115</v>
      </c>
      <c r="B14334">
        <v>0</v>
      </c>
    </row>
    <row r="14335" spans="1:2" x14ac:dyDescent="0.25">
      <c r="A14335">
        <v>28116</v>
      </c>
      <c r="B14335">
        <v>0</v>
      </c>
    </row>
    <row r="14336" spans="1:2" x14ac:dyDescent="0.25">
      <c r="A14336">
        <v>28117</v>
      </c>
      <c r="B14336">
        <v>0</v>
      </c>
    </row>
    <row r="14337" spans="1:2" x14ac:dyDescent="0.25">
      <c r="A14337">
        <v>28118</v>
      </c>
      <c r="B14337">
        <v>0</v>
      </c>
    </row>
    <row r="14338" spans="1:2" x14ac:dyDescent="0.25">
      <c r="A14338">
        <v>28119</v>
      </c>
      <c r="B14338">
        <v>0</v>
      </c>
    </row>
    <row r="14339" spans="1:2" x14ac:dyDescent="0.25">
      <c r="A14339">
        <v>28120</v>
      </c>
      <c r="B14339">
        <v>0</v>
      </c>
    </row>
    <row r="14340" spans="1:2" x14ac:dyDescent="0.25">
      <c r="A14340">
        <v>28122</v>
      </c>
      <c r="B14340">
        <v>0</v>
      </c>
    </row>
    <row r="14341" spans="1:2" x14ac:dyDescent="0.25">
      <c r="A14341">
        <v>28124</v>
      </c>
      <c r="B14341">
        <v>0</v>
      </c>
    </row>
    <row r="14342" spans="1:2" x14ac:dyDescent="0.25">
      <c r="A14342">
        <v>28125</v>
      </c>
      <c r="B14342">
        <v>0</v>
      </c>
    </row>
    <row r="14343" spans="1:2" x14ac:dyDescent="0.25">
      <c r="A14343">
        <v>28126</v>
      </c>
      <c r="B14343">
        <v>0</v>
      </c>
    </row>
    <row r="14344" spans="1:2" x14ac:dyDescent="0.25">
      <c r="A14344">
        <v>28128</v>
      </c>
      <c r="B14344">
        <v>0</v>
      </c>
    </row>
    <row r="14345" spans="1:2" x14ac:dyDescent="0.25">
      <c r="A14345">
        <v>28130</v>
      </c>
      <c r="B14345">
        <v>0</v>
      </c>
    </row>
    <row r="14346" spans="1:2" x14ac:dyDescent="0.25">
      <c r="A14346">
        <v>28132</v>
      </c>
      <c r="B14346">
        <v>0</v>
      </c>
    </row>
    <row r="14347" spans="1:2" x14ac:dyDescent="0.25">
      <c r="A14347">
        <v>28133</v>
      </c>
      <c r="B14347">
        <v>0</v>
      </c>
    </row>
    <row r="14348" spans="1:2" x14ac:dyDescent="0.25">
      <c r="A14348">
        <v>28134</v>
      </c>
      <c r="B14348">
        <v>0</v>
      </c>
    </row>
    <row r="14349" spans="1:2" x14ac:dyDescent="0.25">
      <c r="A14349">
        <v>28135</v>
      </c>
      <c r="B14349">
        <v>0</v>
      </c>
    </row>
    <row r="14350" spans="1:2" x14ac:dyDescent="0.25">
      <c r="A14350">
        <v>28137</v>
      </c>
      <c r="B14350">
        <v>0</v>
      </c>
    </row>
    <row r="14351" spans="1:2" x14ac:dyDescent="0.25">
      <c r="A14351">
        <v>28139</v>
      </c>
      <c r="B14351">
        <v>0</v>
      </c>
    </row>
    <row r="14352" spans="1:2" x14ac:dyDescent="0.25">
      <c r="A14352">
        <v>28141</v>
      </c>
      <c r="B14352">
        <v>0</v>
      </c>
    </row>
    <row r="14353" spans="1:2" x14ac:dyDescent="0.25">
      <c r="A14353">
        <v>28143</v>
      </c>
      <c r="B14353">
        <v>0</v>
      </c>
    </row>
    <row r="14354" spans="1:2" x14ac:dyDescent="0.25">
      <c r="A14354">
        <v>28146</v>
      </c>
      <c r="B14354">
        <v>0</v>
      </c>
    </row>
    <row r="14355" spans="1:2" x14ac:dyDescent="0.25">
      <c r="A14355">
        <v>28147</v>
      </c>
      <c r="B14355">
        <v>0</v>
      </c>
    </row>
    <row r="14356" spans="1:2" x14ac:dyDescent="0.25">
      <c r="A14356">
        <v>28149</v>
      </c>
      <c r="B14356">
        <v>0</v>
      </c>
    </row>
    <row r="14357" spans="1:2" x14ac:dyDescent="0.25">
      <c r="A14357">
        <v>28151</v>
      </c>
      <c r="B14357">
        <v>0</v>
      </c>
    </row>
    <row r="14358" spans="1:2" x14ac:dyDescent="0.25">
      <c r="A14358">
        <v>28153</v>
      </c>
      <c r="B14358">
        <v>0</v>
      </c>
    </row>
    <row r="14359" spans="1:2" x14ac:dyDescent="0.25">
      <c r="A14359">
        <v>28156</v>
      </c>
      <c r="B14359">
        <v>0</v>
      </c>
    </row>
    <row r="14360" spans="1:2" x14ac:dyDescent="0.25">
      <c r="A14360">
        <v>28159</v>
      </c>
      <c r="B14360">
        <v>0</v>
      </c>
    </row>
    <row r="14361" spans="1:2" x14ac:dyDescent="0.25">
      <c r="A14361">
        <v>28163</v>
      </c>
      <c r="B14361">
        <v>0</v>
      </c>
    </row>
    <row r="14362" spans="1:2" x14ac:dyDescent="0.25">
      <c r="A14362">
        <v>28164</v>
      </c>
      <c r="B14362">
        <v>0</v>
      </c>
    </row>
    <row r="14363" spans="1:2" x14ac:dyDescent="0.25">
      <c r="A14363">
        <v>28165</v>
      </c>
      <c r="B14363">
        <v>0</v>
      </c>
    </row>
    <row r="14364" spans="1:2" x14ac:dyDescent="0.25">
      <c r="A14364">
        <v>28167</v>
      </c>
      <c r="B14364">
        <v>0</v>
      </c>
    </row>
    <row r="14365" spans="1:2" x14ac:dyDescent="0.25">
      <c r="A14365">
        <v>28169</v>
      </c>
      <c r="B14365">
        <v>0</v>
      </c>
    </row>
    <row r="14366" spans="1:2" x14ac:dyDescent="0.25">
      <c r="A14366">
        <v>28170</v>
      </c>
      <c r="B14366">
        <v>0</v>
      </c>
    </row>
    <row r="14367" spans="1:2" x14ac:dyDescent="0.25">
      <c r="A14367">
        <v>28172</v>
      </c>
      <c r="B14367">
        <v>0</v>
      </c>
    </row>
    <row r="14368" spans="1:2" x14ac:dyDescent="0.25">
      <c r="A14368">
        <v>28174</v>
      </c>
      <c r="B14368">
        <v>0</v>
      </c>
    </row>
    <row r="14369" spans="1:2" x14ac:dyDescent="0.25">
      <c r="A14369">
        <v>28176</v>
      </c>
      <c r="B14369">
        <v>0</v>
      </c>
    </row>
    <row r="14370" spans="1:2" x14ac:dyDescent="0.25">
      <c r="A14370">
        <v>28178</v>
      </c>
      <c r="B14370">
        <v>0</v>
      </c>
    </row>
    <row r="14371" spans="1:2" x14ac:dyDescent="0.25">
      <c r="A14371">
        <v>28180</v>
      </c>
      <c r="B14371">
        <v>0</v>
      </c>
    </row>
    <row r="14372" spans="1:2" x14ac:dyDescent="0.25">
      <c r="A14372">
        <v>28182</v>
      </c>
      <c r="B14372">
        <v>0</v>
      </c>
    </row>
    <row r="14373" spans="1:2" x14ac:dyDescent="0.25">
      <c r="A14373">
        <v>28185</v>
      </c>
      <c r="B14373">
        <v>0</v>
      </c>
    </row>
    <row r="14374" spans="1:2" x14ac:dyDescent="0.25">
      <c r="A14374">
        <v>28186</v>
      </c>
      <c r="B14374">
        <v>0</v>
      </c>
    </row>
    <row r="14375" spans="1:2" x14ac:dyDescent="0.25">
      <c r="A14375">
        <v>28188</v>
      </c>
      <c r="B14375">
        <v>0</v>
      </c>
    </row>
    <row r="14376" spans="1:2" x14ac:dyDescent="0.25">
      <c r="A14376">
        <v>28190</v>
      </c>
      <c r="B14376">
        <v>0</v>
      </c>
    </row>
    <row r="14377" spans="1:2" x14ac:dyDescent="0.25">
      <c r="A14377">
        <v>28192</v>
      </c>
      <c r="B14377">
        <v>0</v>
      </c>
    </row>
    <row r="14378" spans="1:2" x14ac:dyDescent="0.25">
      <c r="A14378">
        <v>28193</v>
      </c>
      <c r="B14378">
        <v>0</v>
      </c>
    </row>
    <row r="14379" spans="1:2" x14ac:dyDescent="0.25">
      <c r="A14379">
        <v>28195</v>
      </c>
      <c r="B14379">
        <v>0</v>
      </c>
    </row>
    <row r="14380" spans="1:2" x14ac:dyDescent="0.25">
      <c r="A14380">
        <v>28198</v>
      </c>
      <c r="B14380">
        <v>0</v>
      </c>
    </row>
    <row r="14381" spans="1:2" x14ac:dyDescent="0.25">
      <c r="A14381">
        <v>28199</v>
      </c>
      <c r="B14381">
        <v>0</v>
      </c>
    </row>
    <row r="14382" spans="1:2" x14ac:dyDescent="0.25">
      <c r="A14382">
        <v>28201</v>
      </c>
      <c r="B14382">
        <v>0</v>
      </c>
    </row>
    <row r="14383" spans="1:2" x14ac:dyDescent="0.25">
      <c r="A14383">
        <v>28202</v>
      </c>
      <c r="B14383">
        <v>0</v>
      </c>
    </row>
    <row r="14384" spans="1:2" x14ac:dyDescent="0.25">
      <c r="A14384">
        <v>28203</v>
      </c>
      <c r="B14384">
        <v>0</v>
      </c>
    </row>
    <row r="14385" spans="1:2" x14ac:dyDescent="0.25">
      <c r="A14385">
        <v>28204</v>
      </c>
      <c r="B14385">
        <v>0</v>
      </c>
    </row>
    <row r="14386" spans="1:2" x14ac:dyDescent="0.25">
      <c r="A14386">
        <v>28206</v>
      </c>
      <c r="B14386">
        <v>0</v>
      </c>
    </row>
    <row r="14387" spans="1:2" x14ac:dyDescent="0.25">
      <c r="A14387">
        <v>28208</v>
      </c>
      <c r="B14387">
        <v>0</v>
      </c>
    </row>
    <row r="14388" spans="1:2" x14ac:dyDescent="0.25">
      <c r="A14388">
        <v>28210</v>
      </c>
      <c r="B14388">
        <v>0</v>
      </c>
    </row>
    <row r="14389" spans="1:2" x14ac:dyDescent="0.25">
      <c r="A14389">
        <v>28212</v>
      </c>
      <c r="B14389">
        <v>0</v>
      </c>
    </row>
    <row r="14390" spans="1:2" x14ac:dyDescent="0.25">
      <c r="A14390">
        <v>28214</v>
      </c>
      <c r="B14390">
        <v>0</v>
      </c>
    </row>
    <row r="14391" spans="1:2" x14ac:dyDescent="0.25">
      <c r="A14391">
        <v>28216</v>
      </c>
      <c r="B14391">
        <v>0</v>
      </c>
    </row>
    <row r="14392" spans="1:2" x14ac:dyDescent="0.25">
      <c r="A14392">
        <v>28218</v>
      </c>
      <c r="B14392">
        <v>0</v>
      </c>
    </row>
    <row r="14393" spans="1:2" x14ac:dyDescent="0.25">
      <c r="A14393">
        <v>28220</v>
      </c>
      <c r="B14393">
        <v>0</v>
      </c>
    </row>
    <row r="14394" spans="1:2" x14ac:dyDescent="0.25">
      <c r="A14394">
        <v>28223</v>
      </c>
      <c r="B14394">
        <v>0</v>
      </c>
    </row>
    <row r="14395" spans="1:2" x14ac:dyDescent="0.25">
      <c r="A14395">
        <v>28224</v>
      </c>
      <c r="B14395">
        <v>0</v>
      </c>
    </row>
    <row r="14396" spans="1:2" x14ac:dyDescent="0.25">
      <c r="A14396">
        <v>28226</v>
      </c>
      <c r="B14396">
        <v>0</v>
      </c>
    </row>
    <row r="14397" spans="1:2" x14ac:dyDescent="0.25">
      <c r="A14397">
        <v>28228</v>
      </c>
      <c r="B14397">
        <v>0</v>
      </c>
    </row>
    <row r="14398" spans="1:2" x14ac:dyDescent="0.25">
      <c r="A14398">
        <v>28232</v>
      </c>
      <c r="B14398">
        <v>0</v>
      </c>
    </row>
    <row r="14399" spans="1:2" x14ac:dyDescent="0.25">
      <c r="A14399">
        <v>28234</v>
      </c>
      <c r="B14399">
        <v>0</v>
      </c>
    </row>
    <row r="14400" spans="1:2" x14ac:dyDescent="0.25">
      <c r="A14400">
        <v>28236</v>
      </c>
      <c r="B14400">
        <v>0</v>
      </c>
    </row>
    <row r="14401" spans="1:2" x14ac:dyDescent="0.25">
      <c r="A14401">
        <v>28238</v>
      </c>
      <c r="B14401">
        <v>0</v>
      </c>
    </row>
    <row r="14402" spans="1:2" x14ac:dyDescent="0.25">
      <c r="A14402">
        <v>28240</v>
      </c>
      <c r="B14402">
        <v>0</v>
      </c>
    </row>
    <row r="14403" spans="1:2" x14ac:dyDescent="0.25">
      <c r="A14403">
        <v>28241</v>
      </c>
      <c r="B14403">
        <v>0</v>
      </c>
    </row>
    <row r="14404" spans="1:2" x14ac:dyDescent="0.25">
      <c r="A14404">
        <v>28243</v>
      </c>
      <c r="B14404">
        <v>0</v>
      </c>
    </row>
    <row r="14405" spans="1:2" x14ac:dyDescent="0.25">
      <c r="A14405">
        <v>28246</v>
      </c>
      <c r="B14405">
        <v>0</v>
      </c>
    </row>
    <row r="14406" spans="1:2" x14ac:dyDescent="0.25">
      <c r="A14406">
        <v>28248</v>
      </c>
      <c r="B14406">
        <v>0</v>
      </c>
    </row>
    <row r="14407" spans="1:2" x14ac:dyDescent="0.25">
      <c r="A14407">
        <v>28254</v>
      </c>
      <c r="B14407">
        <v>0</v>
      </c>
    </row>
    <row r="14408" spans="1:2" x14ac:dyDescent="0.25">
      <c r="A14408">
        <v>28256</v>
      </c>
      <c r="B14408">
        <v>0</v>
      </c>
    </row>
    <row r="14409" spans="1:2" x14ac:dyDescent="0.25">
      <c r="A14409">
        <v>28258</v>
      </c>
      <c r="B14409">
        <v>0</v>
      </c>
    </row>
    <row r="14410" spans="1:2" x14ac:dyDescent="0.25">
      <c r="A14410">
        <v>28260</v>
      </c>
      <c r="B14410">
        <v>0</v>
      </c>
    </row>
    <row r="14411" spans="1:2" x14ac:dyDescent="0.25">
      <c r="A14411">
        <v>28261</v>
      </c>
      <c r="B14411">
        <v>0</v>
      </c>
    </row>
    <row r="14412" spans="1:2" x14ac:dyDescent="0.25">
      <c r="A14412">
        <v>28262</v>
      </c>
      <c r="B14412">
        <v>0</v>
      </c>
    </row>
    <row r="14413" spans="1:2" x14ac:dyDescent="0.25">
      <c r="A14413">
        <v>28263</v>
      </c>
      <c r="B14413">
        <v>0</v>
      </c>
    </row>
    <row r="14414" spans="1:2" x14ac:dyDescent="0.25">
      <c r="A14414">
        <v>28265</v>
      </c>
      <c r="B14414">
        <v>0</v>
      </c>
    </row>
    <row r="14415" spans="1:2" x14ac:dyDescent="0.25">
      <c r="A14415">
        <v>28266</v>
      </c>
      <c r="B14415">
        <v>0</v>
      </c>
    </row>
    <row r="14416" spans="1:2" x14ac:dyDescent="0.25">
      <c r="A14416">
        <v>28269</v>
      </c>
      <c r="B14416">
        <v>0</v>
      </c>
    </row>
    <row r="14417" spans="1:2" x14ac:dyDescent="0.25">
      <c r="A14417">
        <v>28270</v>
      </c>
      <c r="B14417">
        <v>0</v>
      </c>
    </row>
    <row r="14418" spans="1:2" x14ac:dyDescent="0.25">
      <c r="A14418">
        <v>28271</v>
      </c>
      <c r="B14418">
        <v>0</v>
      </c>
    </row>
    <row r="14419" spans="1:2" x14ac:dyDescent="0.25">
      <c r="A14419">
        <v>28273</v>
      </c>
      <c r="B14419">
        <v>0</v>
      </c>
    </row>
    <row r="14420" spans="1:2" x14ac:dyDescent="0.25">
      <c r="A14420">
        <v>28276</v>
      </c>
      <c r="B14420">
        <v>0</v>
      </c>
    </row>
    <row r="14421" spans="1:2" x14ac:dyDescent="0.25">
      <c r="A14421">
        <v>28277</v>
      </c>
      <c r="B14421">
        <v>0</v>
      </c>
    </row>
    <row r="14422" spans="1:2" x14ac:dyDescent="0.25">
      <c r="A14422">
        <v>28278</v>
      </c>
      <c r="B14422">
        <v>0</v>
      </c>
    </row>
    <row r="14423" spans="1:2" x14ac:dyDescent="0.25">
      <c r="A14423">
        <v>28279</v>
      </c>
      <c r="B14423">
        <v>0</v>
      </c>
    </row>
    <row r="14424" spans="1:2" x14ac:dyDescent="0.25">
      <c r="A14424">
        <v>28280</v>
      </c>
      <c r="B14424">
        <v>0</v>
      </c>
    </row>
    <row r="14425" spans="1:2" x14ac:dyDescent="0.25">
      <c r="A14425">
        <v>28281</v>
      </c>
      <c r="B14425">
        <v>0</v>
      </c>
    </row>
    <row r="14426" spans="1:2" x14ac:dyDescent="0.25">
      <c r="A14426">
        <v>28283</v>
      </c>
      <c r="B14426">
        <v>0</v>
      </c>
    </row>
    <row r="14427" spans="1:2" x14ac:dyDescent="0.25">
      <c r="A14427">
        <v>28285</v>
      </c>
      <c r="B14427">
        <v>0</v>
      </c>
    </row>
    <row r="14428" spans="1:2" x14ac:dyDescent="0.25">
      <c r="A14428">
        <v>28291</v>
      </c>
      <c r="B14428">
        <v>0</v>
      </c>
    </row>
    <row r="14429" spans="1:2" x14ac:dyDescent="0.25">
      <c r="A14429">
        <v>28293</v>
      </c>
      <c r="B14429">
        <v>0</v>
      </c>
    </row>
    <row r="14430" spans="1:2" x14ac:dyDescent="0.25">
      <c r="A14430">
        <v>28295</v>
      </c>
      <c r="B14430">
        <v>0</v>
      </c>
    </row>
    <row r="14431" spans="1:2" x14ac:dyDescent="0.25">
      <c r="A14431">
        <v>28302</v>
      </c>
      <c r="B14431">
        <v>0</v>
      </c>
    </row>
    <row r="14432" spans="1:2" x14ac:dyDescent="0.25">
      <c r="A14432">
        <v>28305</v>
      </c>
      <c r="B14432">
        <v>0</v>
      </c>
    </row>
    <row r="14433" spans="1:2" x14ac:dyDescent="0.25">
      <c r="A14433">
        <v>28307</v>
      </c>
      <c r="B14433">
        <v>0</v>
      </c>
    </row>
    <row r="14434" spans="1:2" x14ac:dyDescent="0.25">
      <c r="A14434">
        <v>28308</v>
      </c>
      <c r="B14434">
        <v>0</v>
      </c>
    </row>
    <row r="14435" spans="1:2" x14ac:dyDescent="0.25">
      <c r="A14435">
        <v>28309</v>
      </c>
      <c r="B14435">
        <v>0</v>
      </c>
    </row>
    <row r="14436" spans="1:2" x14ac:dyDescent="0.25">
      <c r="A14436">
        <v>28310</v>
      </c>
      <c r="B14436">
        <v>0</v>
      </c>
    </row>
    <row r="14437" spans="1:2" x14ac:dyDescent="0.25">
      <c r="A14437">
        <v>28311</v>
      </c>
      <c r="B14437">
        <v>0</v>
      </c>
    </row>
    <row r="14438" spans="1:2" x14ac:dyDescent="0.25">
      <c r="A14438">
        <v>28312</v>
      </c>
      <c r="B14438">
        <v>0</v>
      </c>
    </row>
    <row r="14439" spans="1:2" x14ac:dyDescent="0.25">
      <c r="A14439">
        <v>28313</v>
      </c>
      <c r="B14439">
        <v>0</v>
      </c>
    </row>
    <row r="14440" spans="1:2" x14ac:dyDescent="0.25">
      <c r="A14440">
        <v>28314</v>
      </c>
      <c r="B14440">
        <v>0</v>
      </c>
    </row>
    <row r="14441" spans="1:2" x14ac:dyDescent="0.25">
      <c r="A14441">
        <v>28315</v>
      </c>
      <c r="B14441">
        <v>0</v>
      </c>
    </row>
    <row r="14442" spans="1:2" x14ac:dyDescent="0.25">
      <c r="A14442">
        <v>28316</v>
      </c>
      <c r="B14442">
        <v>0</v>
      </c>
    </row>
    <row r="14443" spans="1:2" x14ac:dyDescent="0.25">
      <c r="A14443">
        <v>28317</v>
      </c>
      <c r="B14443">
        <v>0</v>
      </c>
    </row>
    <row r="14444" spans="1:2" x14ac:dyDescent="0.25">
      <c r="A14444">
        <v>28318</v>
      </c>
      <c r="B14444">
        <v>0</v>
      </c>
    </row>
    <row r="14445" spans="1:2" x14ac:dyDescent="0.25">
      <c r="A14445">
        <v>28319</v>
      </c>
      <c r="B14445">
        <v>0</v>
      </c>
    </row>
    <row r="14446" spans="1:2" x14ac:dyDescent="0.25">
      <c r="A14446">
        <v>28320</v>
      </c>
      <c r="B14446">
        <v>0</v>
      </c>
    </row>
    <row r="14447" spans="1:2" x14ac:dyDescent="0.25">
      <c r="A14447">
        <v>28324</v>
      </c>
      <c r="B14447">
        <v>0</v>
      </c>
    </row>
    <row r="14448" spans="1:2" x14ac:dyDescent="0.25">
      <c r="A14448">
        <v>28326</v>
      </c>
      <c r="B14448">
        <v>0</v>
      </c>
    </row>
    <row r="14449" spans="1:2" x14ac:dyDescent="0.25">
      <c r="A14449">
        <v>28328</v>
      </c>
      <c r="B14449">
        <v>0</v>
      </c>
    </row>
    <row r="14450" spans="1:2" x14ac:dyDescent="0.25">
      <c r="A14450">
        <v>28330</v>
      </c>
      <c r="B14450">
        <v>0</v>
      </c>
    </row>
    <row r="14451" spans="1:2" x14ac:dyDescent="0.25">
      <c r="A14451">
        <v>28332</v>
      </c>
      <c r="B14451">
        <v>0</v>
      </c>
    </row>
    <row r="14452" spans="1:2" x14ac:dyDescent="0.25">
      <c r="A14452">
        <v>28334</v>
      </c>
      <c r="B14452">
        <v>0</v>
      </c>
    </row>
    <row r="14453" spans="1:2" x14ac:dyDescent="0.25">
      <c r="A14453">
        <v>28336</v>
      </c>
      <c r="B14453">
        <v>0</v>
      </c>
    </row>
    <row r="14454" spans="1:2" x14ac:dyDescent="0.25">
      <c r="A14454">
        <v>28338</v>
      </c>
      <c r="B14454">
        <v>0</v>
      </c>
    </row>
    <row r="14455" spans="1:2" x14ac:dyDescent="0.25">
      <c r="A14455">
        <v>28339</v>
      </c>
      <c r="B14455">
        <v>0</v>
      </c>
    </row>
    <row r="14456" spans="1:2" x14ac:dyDescent="0.25">
      <c r="A14456">
        <v>28340</v>
      </c>
      <c r="B14456">
        <v>0</v>
      </c>
    </row>
    <row r="14457" spans="1:2" x14ac:dyDescent="0.25">
      <c r="A14457">
        <v>28342</v>
      </c>
      <c r="B14457">
        <v>0</v>
      </c>
    </row>
    <row r="14458" spans="1:2" x14ac:dyDescent="0.25">
      <c r="A14458">
        <v>28343</v>
      </c>
      <c r="B14458">
        <v>0</v>
      </c>
    </row>
    <row r="14459" spans="1:2" x14ac:dyDescent="0.25">
      <c r="A14459">
        <v>28345</v>
      </c>
      <c r="B14459">
        <v>0</v>
      </c>
    </row>
    <row r="14460" spans="1:2" x14ac:dyDescent="0.25">
      <c r="A14460">
        <v>28347</v>
      </c>
      <c r="B14460">
        <v>0</v>
      </c>
    </row>
    <row r="14461" spans="1:2" x14ac:dyDescent="0.25">
      <c r="A14461">
        <v>28349</v>
      </c>
      <c r="B14461">
        <v>0</v>
      </c>
    </row>
    <row r="14462" spans="1:2" x14ac:dyDescent="0.25">
      <c r="A14462">
        <v>28352</v>
      </c>
      <c r="B14462">
        <v>0</v>
      </c>
    </row>
    <row r="14463" spans="1:2" x14ac:dyDescent="0.25">
      <c r="A14463">
        <v>28353</v>
      </c>
      <c r="B14463">
        <v>0</v>
      </c>
    </row>
    <row r="14464" spans="1:2" x14ac:dyDescent="0.25">
      <c r="A14464">
        <v>28355</v>
      </c>
      <c r="B14464">
        <v>0</v>
      </c>
    </row>
    <row r="14465" spans="1:2" x14ac:dyDescent="0.25">
      <c r="A14465">
        <v>28357</v>
      </c>
      <c r="B14465">
        <v>0</v>
      </c>
    </row>
    <row r="14466" spans="1:2" x14ac:dyDescent="0.25">
      <c r="A14466">
        <v>28358</v>
      </c>
      <c r="B14466">
        <v>0</v>
      </c>
    </row>
    <row r="14467" spans="1:2" x14ac:dyDescent="0.25">
      <c r="A14467">
        <v>28360</v>
      </c>
      <c r="B14467">
        <v>0</v>
      </c>
    </row>
    <row r="14468" spans="1:2" x14ac:dyDescent="0.25">
      <c r="A14468">
        <v>28362</v>
      </c>
      <c r="B14468">
        <v>0</v>
      </c>
    </row>
    <row r="14469" spans="1:2" x14ac:dyDescent="0.25">
      <c r="A14469">
        <v>28364</v>
      </c>
      <c r="B14469">
        <v>0</v>
      </c>
    </row>
    <row r="14470" spans="1:2" x14ac:dyDescent="0.25">
      <c r="A14470">
        <v>28365</v>
      </c>
      <c r="B14470">
        <v>0</v>
      </c>
    </row>
    <row r="14471" spans="1:2" x14ac:dyDescent="0.25">
      <c r="A14471">
        <v>28368</v>
      </c>
      <c r="B14471">
        <v>0</v>
      </c>
    </row>
    <row r="14472" spans="1:2" x14ac:dyDescent="0.25">
      <c r="A14472">
        <v>28371</v>
      </c>
      <c r="B14472">
        <v>0</v>
      </c>
    </row>
    <row r="14473" spans="1:2" x14ac:dyDescent="0.25">
      <c r="A14473">
        <v>28375</v>
      </c>
      <c r="B14473">
        <v>0</v>
      </c>
    </row>
    <row r="14474" spans="1:2" x14ac:dyDescent="0.25">
      <c r="A14474">
        <v>28377</v>
      </c>
      <c r="B14474">
        <v>0</v>
      </c>
    </row>
    <row r="14475" spans="1:2" x14ac:dyDescent="0.25">
      <c r="A14475">
        <v>28378</v>
      </c>
      <c r="B14475">
        <v>0</v>
      </c>
    </row>
    <row r="14476" spans="1:2" x14ac:dyDescent="0.25">
      <c r="A14476">
        <v>28379</v>
      </c>
      <c r="B14476">
        <v>0</v>
      </c>
    </row>
    <row r="14477" spans="1:2" x14ac:dyDescent="0.25">
      <c r="A14477">
        <v>28380</v>
      </c>
      <c r="B14477">
        <v>0</v>
      </c>
    </row>
    <row r="14478" spans="1:2" x14ac:dyDescent="0.25">
      <c r="A14478">
        <v>28381</v>
      </c>
      <c r="B14478">
        <v>0</v>
      </c>
    </row>
    <row r="14479" spans="1:2" x14ac:dyDescent="0.25">
      <c r="A14479">
        <v>28382</v>
      </c>
      <c r="B14479">
        <v>0</v>
      </c>
    </row>
    <row r="14480" spans="1:2" x14ac:dyDescent="0.25">
      <c r="A14480">
        <v>28383</v>
      </c>
      <c r="B14480">
        <v>0</v>
      </c>
    </row>
    <row r="14481" spans="1:2" x14ac:dyDescent="0.25">
      <c r="A14481">
        <v>28384</v>
      </c>
      <c r="B14481">
        <v>0</v>
      </c>
    </row>
    <row r="14482" spans="1:2" x14ac:dyDescent="0.25">
      <c r="A14482">
        <v>28404</v>
      </c>
      <c r="B14482">
        <v>0</v>
      </c>
    </row>
    <row r="14483" spans="1:2" x14ac:dyDescent="0.25">
      <c r="A14483">
        <v>28407</v>
      </c>
      <c r="B14483">
        <v>0</v>
      </c>
    </row>
    <row r="14484" spans="1:2" x14ac:dyDescent="0.25">
      <c r="A14484">
        <v>28409</v>
      </c>
      <c r="B14484">
        <v>0</v>
      </c>
    </row>
    <row r="14485" spans="1:2" x14ac:dyDescent="0.25">
      <c r="A14485">
        <v>28411</v>
      </c>
      <c r="B14485">
        <v>0</v>
      </c>
    </row>
    <row r="14486" spans="1:2" x14ac:dyDescent="0.25">
      <c r="A14486">
        <v>28416</v>
      </c>
      <c r="B14486">
        <v>0</v>
      </c>
    </row>
    <row r="14487" spans="1:2" x14ac:dyDescent="0.25">
      <c r="A14487">
        <v>28418</v>
      </c>
      <c r="B14487">
        <v>0</v>
      </c>
    </row>
    <row r="14488" spans="1:2" x14ac:dyDescent="0.25">
      <c r="A14488">
        <v>28420</v>
      </c>
      <c r="B14488">
        <v>0</v>
      </c>
    </row>
    <row r="14489" spans="1:2" x14ac:dyDescent="0.25">
      <c r="A14489">
        <v>28422</v>
      </c>
      <c r="B14489">
        <v>0</v>
      </c>
    </row>
    <row r="14490" spans="1:2" x14ac:dyDescent="0.25">
      <c r="A14490">
        <v>28424</v>
      </c>
      <c r="B14490">
        <v>0</v>
      </c>
    </row>
    <row r="14491" spans="1:2" x14ac:dyDescent="0.25">
      <c r="A14491">
        <v>28426</v>
      </c>
      <c r="B14491">
        <v>0</v>
      </c>
    </row>
    <row r="14492" spans="1:2" x14ac:dyDescent="0.25">
      <c r="A14492">
        <v>28428</v>
      </c>
      <c r="B14492">
        <v>0</v>
      </c>
    </row>
    <row r="14493" spans="1:2" x14ac:dyDescent="0.25">
      <c r="A14493">
        <v>28430</v>
      </c>
      <c r="B14493">
        <v>0</v>
      </c>
    </row>
    <row r="14494" spans="1:2" x14ac:dyDescent="0.25">
      <c r="A14494">
        <v>28431</v>
      </c>
      <c r="B14494">
        <v>0</v>
      </c>
    </row>
    <row r="14495" spans="1:2" x14ac:dyDescent="0.25">
      <c r="A14495">
        <v>28432</v>
      </c>
      <c r="B14495">
        <v>0</v>
      </c>
    </row>
    <row r="14496" spans="1:2" x14ac:dyDescent="0.25">
      <c r="A14496">
        <v>28433</v>
      </c>
      <c r="B14496">
        <v>0</v>
      </c>
    </row>
    <row r="14497" spans="1:2" x14ac:dyDescent="0.25">
      <c r="A14497">
        <v>28434</v>
      </c>
      <c r="B14497">
        <v>0</v>
      </c>
    </row>
    <row r="14498" spans="1:2" x14ac:dyDescent="0.25">
      <c r="A14498">
        <v>28435</v>
      </c>
      <c r="B14498">
        <v>0</v>
      </c>
    </row>
    <row r="14499" spans="1:2" x14ac:dyDescent="0.25">
      <c r="A14499">
        <v>28436</v>
      </c>
      <c r="B14499">
        <v>0</v>
      </c>
    </row>
    <row r="14500" spans="1:2" x14ac:dyDescent="0.25">
      <c r="A14500">
        <v>28437</v>
      </c>
      <c r="B14500">
        <v>0</v>
      </c>
    </row>
    <row r="14501" spans="1:2" x14ac:dyDescent="0.25">
      <c r="A14501">
        <v>28439</v>
      </c>
      <c r="B14501">
        <v>0</v>
      </c>
    </row>
    <row r="14502" spans="1:2" x14ac:dyDescent="0.25">
      <c r="A14502">
        <v>28441</v>
      </c>
      <c r="B14502">
        <v>0</v>
      </c>
    </row>
    <row r="14503" spans="1:2" x14ac:dyDescent="0.25">
      <c r="A14503">
        <v>28443</v>
      </c>
      <c r="B14503">
        <v>0</v>
      </c>
    </row>
    <row r="14504" spans="1:2" x14ac:dyDescent="0.25">
      <c r="A14504">
        <v>28445</v>
      </c>
      <c r="B14504">
        <v>0</v>
      </c>
    </row>
    <row r="14505" spans="1:2" x14ac:dyDescent="0.25">
      <c r="A14505">
        <v>28447</v>
      </c>
      <c r="B14505">
        <v>0</v>
      </c>
    </row>
    <row r="14506" spans="1:2" x14ac:dyDescent="0.25">
      <c r="A14506">
        <v>28449</v>
      </c>
      <c r="B14506">
        <v>0</v>
      </c>
    </row>
    <row r="14507" spans="1:2" x14ac:dyDescent="0.25">
      <c r="A14507">
        <v>28451</v>
      </c>
      <c r="B14507">
        <v>0</v>
      </c>
    </row>
    <row r="14508" spans="1:2" x14ac:dyDescent="0.25">
      <c r="A14508">
        <v>28453</v>
      </c>
      <c r="B14508">
        <v>0</v>
      </c>
    </row>
    <row r="14509" spans="1:2" x14ac:dyDescent="0.25">
      <c r="A14509">
        <v>28454</v>
      </c>
      <c r="B14509">
        <v>0</v>
      </c>
    </row>
    <row r="14510" spans="1:2" x14ac:dyDescent="0.25">
      <c r="A14510">
        <v>28456</v>
      </c>
      <c r="B14510">
        <v>0</v>
      </c>
    </row>
    <row r="14511" spans="1:2" x14ac:dyDescent="0.25">
      <c r="A14511">
        <v>28458</v>
      </c>
      <c r="B14511">
        <v>0</v>
      </c>
    </row>
    <row r="14512" spans="1:2" x14ac:dyDescent="0.25">
      <c r="A14512">
        <v>28460</v>
      </c>
      <c r="B14512">
        <v>0</v>
      </c>
    </row>
    <row r="14513" spans="1:2" x14ac:dyDescent="0.25">
      <c r="A14513">
        <v>28462</v>
      </c>
      <c r="B14513">
        <v>0</v>
      </c>
    </row>
    <row r="14514" spans="1:2" x14ac:dyDescent="0.25">
      <c r="A14514">
        <v>28464</v>
      </c>
      <c r="B14514">
        <v>0</v>
      </c>
    </row>
    <row r="14515" spans="1:2" x14ac:dyDescent="0.25">
      <c r="A14515">
        <v>28466</v>
      </c>
      <c r="B14515">
        <v>0</v>
      </c>
    </row>
    <row r="14516" spans="1:2" x14ac:dyDescent="0.25">
      <c r="A14516">
        <v>28467</v>
      </c>
      <c r="B14516">
        <v>0</v>
      </c>
    </row>
    <row r="14517" spans="1:2" x14ac:dyDescent="0.25">
      <c r="A14517">
        <v>28468</v>
      </c>
      <c r="B14517">
        <v>0</v>
      </c>
    </row>
    <row r="14518" spans="1:2" x14ac:dyDescent="0.25">
      <c r="A14518">
        <v>28469</v>
      </c>
      <c r="B14518">
        <v>0</v>
      </c>
    </row>
    <row r="14519" spans="1:2" x14ac:dyDescent="0.25">
      <c r="A14519">
        <v>28471</v>
      </c>
      <c r="B14519">
        <v>0</v>
      </c>
    </row>
    <row r="14520" spans="1:2" x14ac:dyDescent="0.25">
      <c r="A14520">
        <v>28473</v>
      </c>
      <c r="B14520">
        <v>0</v>
      </c>
    </row>
    <row r="14521" spans="1:2" x14ac:dyDescent="0.25">
      <c r="A14521">
        <v>28475</v>
      </c>
      <c r="B14521">
        <v>0</v>
      </c>
    </row>
    <row r="14522" spans="1:2" x14ac:dyDescent="0.25">
      <c r="A14522">
        <v>28477</v>
      </c>
      <c r="B14522">
        <v>0</v>
      </c>
    </row>
    <row r="14523" spans="1:2" x14ac:dyDescent="0.25">
      <c r="A14523">
        <v>28479</v>
      </c>
      <c r="B14523">
        <v>0</v>
      </c>
    </row>
    <row r="14524" spans="1:2" x14ac:dyDescent="0.25">
      <c r="A14524">
        <v>28481</v>
      </c>
      <c r="B14524">
        <v>0</v>
      </c>
    </row>
    <row r="14525" spans="1:2" x14ac:dyDescent="0.25">
      <c r="A14525">
        <v>28483</v>
      </c>
      <c r="B14525">
        <v>0</v>
      </c>
    </row>
    <row r="14526" spans="1:2" x14ac:dyDescent="0.25">
      <c r="A14526">
        <v>28485</v>
      </c>
      <c r="B14526">
        <v>0</v>
      </c>
    </row>
    <row r="14527" spans="1:2" x14ac:dyDescent="0.25">
      <c r="A14527">
        <v>28487</v>
      </c>
      <c r="B14527">
        <v>0</v>
      </c>
    </row>
    <row r="14528" spans="1:2" x14ac:dyDescent="0.25">
      <c r="A14528">
        <v>28489</v>
      </c>
      <c r="B14528">
        <v>0</v>
      </c>
    </row>
    <row r="14529" spans="1:2" x14ac:dyDescent="0.25">
      <c r="A14529">
        <v>28491</v>
      </c>
      <c r="B14529">
        <v>0</v>
      </c>
    </row>
    <row r="14530" spans="1:2" x14ac:dyDescent="0.25">
      <c r="A14530">
        <v>28493</v>
      </c>
      <c r="B14530">
        <v>0</v>
      </c>
    </row>
    <row r="14531" spans="1:2" x14ac:dyDescent="0.25">
      <c r="A14531">
        <v>28496</v>
      </c>
      <c r="B14531">
        <v>0</v>
      </c>
    </row>
    <row r="14532" spans="1:2" x14ac:dyDescent="0.25">
      <c r="A14532">
        <v>28498</v>
      </c>
      <c r="B14532">
        <v>0</v>
      </c>
    </row>
    <row r="14533" spans="1:2" x14ac:dyDescent="0.25">
      <c r="A14533">
        <v>28500</v>
      </c>
      <c r="B14533">
        <v>0</v>
      </c>
    </row>
    <row r="14534" spans="1:2" x14ac:dyDescent="0.25">
      <c r="A14534">
        <v>28502</v>
      </c>
      <c r="B14534">
        <v>0</v>
      </c>
    </row>
    <row r="14535" spans="1:2" x14ac:dyDescent="0.25">
      <c r="A14535">
        <v>28504</v>
      </c>
      <c r="B14535">
        <v>0</v>
      </c>
    </row>
    <row r="14536" spans="1:2" x14ac:dyDescent="0.25">
      <c r="A14536">
        <v>28505</v>
      </c>
      <c r="B14536">
        <v>0</v>
      </c>
    </row>
    <row r="14537" spans="1:2" x14ac:dyDescent="0.25">
      <c r="A14537">
        <v>28506</v>
      </c>
      <c r="B14537">
        <v>0</v>
      </c>
    </row>
    <row r="14538" spans="1:2" x14ac:dyDescent="0.25">
      <c r="A14538">
        <v>28508</v>
      </c>
      <c r="B14538">
        <v>0</v>
      </c>
    </row>
    <row r="14539" spans="1:2" x14ac:dyDescent="0.25">
      <c r="A14539">
        <v>28509</v>
      </c>
      <c r="B14539">
        <v>0</v>
      </c>
    </row>
    <row r="14540" spans="1:2" x14ac:dyDescent="0.25">
      <c r="A14540">
        <v>28512</v>
      </c>
      <c r="B14540">
        <v>0</v>
      </c>
    </row>
    <row r="14541" spans="1:2" x14ac:dyDescent="0.25">
      <c r="A14541">
        <v>28513</v>
      </c>
      <c r="B14541">
        <v>0</v>
      </c>
    </row>
    <row r="14542" spans="1:2" x14ac:dyDescent="0.25">
      <c r="A14542">
        <v>28514</v>
      </c>
      <c r="B14542">
        <v>0</v>
      </c>
    </row>
    <row r="14543" spans="1:2" x14ac:dyDescent="0.25">
      <c r="A14543">
        <v>28516</v>
      </c>
      <c r="B14543">
        <v>0</v>
      </c>
    </row>
    <row r="14544" spans="1:2" x14ac:dyDescent="0.25">
      <c r="A14544">
        <v>28521</v>
      </c>
      <c r="B14544">
        <v>0</v>
      </c>
    </row>
    <row r="14545" spans="1:2" x14ac:dyDescent="0.25">
      <c r="A14545">
        <v>28528</v>
      </c>
      <c r="B14545">
        <v>0</v>
      </c>
    </row>
    <row r="14546" spans="1:2" x14ac:dyDescent="0.25">
      <c r="A14546">
        <v>28530</v>
      </c>
      <c r="B14546">
        <v>0</v>
      </c>
    </row>
    <row r="14547" spans="1:2" x14ac:dyDescent="0.25">
      <c r="A14547">
        <v>28532</v>
      </c>
      <c r="B14547">
        <v>0</v>
      </c>
    </row>
    <row r="14548" spans="1:2" x14ac:dyDescent="0.25">
      <c r="A14548">
        <v>28534</v>
      </c>
      <c r="B14548">
        <v>0</v>
      </c>
    </row>
    <row r="14549" spans="1:2" x14ac:dyDescent="0.25">
      <c r="A14549">
        <v>28536</v>
      </c>
      <c r="B14549">
        <v>0</v>
      </c>
    </row>
    <row r="14550" spans="1:2" x14ac:dyDescent="0.25">
      <c r="A14550">
        <v>28538</v>
      </c>
      <c r="B14550">
        <v>0</v>
      </c>
    </row>
    <row r="14551" spans="1:2" x14ac:dyDescent="0.25">
      <c r="A14551">
        <v>28540</v>
      </c>
      <c r="B14551">
        <v>0</v>
      </c>
    </row>
    <row r="14552" spans="1:2" x14ac:dyDescent="0.25">
      <c r="A14552">
        <v>28541</v>
      </c>
      <c r="B14552">
        <v>0</v>
      </c>
    </row>
    <row r="14553" spans="1:2" x14ac:dyDescent="0.25">
      <c r="A14553">
        <v>28543</v>
      </c>
      <c r="B14553">
        <v>0</v>
      </c>
    </row>
    <row r="14554" spans="1:2" x14ac:dyDescent="0.25">
      <c r="A14554">
        <v>28546</v>
      </c>
      <c r="B14554">
        <v>0</v>
      </c>
    </row>
    <row r="14555" spans="1:2" x14ac:dyDescent="0.25">
      <c r="A14555">
        <v>28548</v>
      </c>
      <c r="B14555">
        <v>0</v>
      </c>
    </row>
    <row r="14556" spans="1:2" x14ac:dyDescent="0.25">
      <c r="A14556">
        <v>28549</v>
      </c>
      <c r="B14556">
        <v>0</v>
      </c>
    </row>
    <row r="14557" spans="1:2" x14ac:dyDescent="0.25">
      <c r="A14557">
        <v>28553</v>
      </c>
      <c r="B14557">
        <v>0</v>
      </c>
    </row>
    <row r="14558" spans="1:2" x14ac:dyDescent="0.25">
      <c r="A14558">
        <v>28555</v>
      </c>
      <c r="B14558">
        <v>0</v>
      </c>
    </row>
    <row r="14559" spans="1:2" x14ac:dyDescent="0.25">
      <c r="A14559">
        <v>28557</v>
      </c>
      <c r="B14559">
        <v>0</v>
      </c>
    </row>
    <row r="14560" spans="1:2" x14ac:dyDescent="0.25">
      <c r="A14560">
        <v>28559</v>
      </c>
      <c r="B14560">
        <v>0</v>
      </c>
    </row>
    <row r="14561" spans="1:2" x14ac:dyDescent="0.25">
      <c r="A14561">
        <v>28561</v>
      </c>
      <c r="B14561">
        <v>0</v>
      </c>
    </row>
    <row r="14562" spans="1:2" x14ac:dyDescent="0.25">
      <c r="A14562">
        <v>28564</v>
      </c>
      <c r="B14562">
        <v>0</v>
      </c>
    </row>
    <row r="14563" spans="1:2" x14ac:dyDescent="0.25">
      <c r="A14563">
        <v>28566</v>
      </c>
      <c r="B14563">
        <v>0</v>
      </c>
    </row>
    <row r="14564" spans="1:2" x14ac:dyDescent="0.25">
      <c r="A14564">
        <v>28568</v>
      </c>
      <c r="B14564">
        <v>0</v>
      </c>
    </row>
    <row r="14565" spans="1:2" x14ac:dyDescent="0.25">
      <c r="A14565">
        <v>28571</v>
      </c>
      <c r="B14565">
        <v>0</v>
      </c>
    </row>
    <row r="14566" spans="1:2" x14ac:dyDescent="0.25">
      <c r="A14566">
        <v>28573</v>
      </c>
      <c r="B14566">
        <v>0</v>
      </c>
    </row>
    <row r="14567" spans="1:2" x14ac:dyDescent="0.25">
      <c r="A14567">
        <v>28575</v>
      </c>
      <c r="B14567">
        <v>0</v>
      </c>
    </row>
    <row r="14568" spans="1:2" x14ac:dyDescent="0.25">
      <c r="A14568">
        <v>28577</v>
      </c>
      <c r="B14568">
        <v>0</v>
      </c>
    </row>
    <row r="14569" spans="1:2" x14ac:dyDescent="0.25">
      <c r="A14569">
        <v>28578</v>
      </c>
      <c r="B14569">
        <v>0</v>
      </c>
    </row>
    <row r="14570" spans="1:2" x14ac:dyDescent="0.25">
      <c r="A14570">
        <v>28579</v>
      </c>
      <c r="B14570">
        <v>0</v>
      </c>
    </row>
    <row r="14571" spans="1:2" x14ac:dyDescent="0.25">
      <c r="A14571">
        <v>28580</v>
      </c>
      <c r="B14571">
        <v>0</v>
      </c>
    </row>
    <row r="14572" spans="1:2" x14ac:dyDescent="0.25">
      <c r="A14572">
        <v>28581</v>
      </c>
      <c r="B14572">
        <v>0</v>
      </c>
    </row>
    <row r="14573" spans="1:2" x14ac:dyDescent="0.25">
      <c r="A14573">
        <v>28582</v>
      </c>
      <c r="B14573">
        <v>0</v>
      </c>
    </row>
    <row r="14574" spans="1:2" x14ac:dyDescent="0.25">
      <c r="A14574">
        <v>28583</v>
      </c>
      <c r="B14574">
        <v>0</v>
      </c>
    </row>
    <row r="14575" spans="1:2" x14ac:dyDescent="0.25">
      <c r="A14575">
        <v>28584</v>
      </c>
      <c r="B14575">
        <v>0</v>
      </c>
    </row>
    <row r="14576" spans="1:2" x14ac:dyDescent="0.25">
      <c r="A14576">
        <v>28586</v>
      </c>
      <c r="B14576">
        <v>0</v>
      </c>
    </row>
    <row r="14577" spans="1:2" x14ac:dyDescent="0.25">
      <c r="A14577">
        <v>28590</v>
      </c>
      <c r="B14577">
        <v>0</v>
      </c>
    </row>
    <row r="14578" spans="1:2" x14ac:dyDescent="0.25">
      <c r="A14578">
        <v>28592</v>
      </c>
      <c r="B14578">
        <v>0</v>
      </c>
    </row>
    <row r="14579" spans="1:2" x14ac:dyDescent="0.25">
      <c r="A14579">
        <v>28593</v>
      </c>
      <c r="B14579">
        <v>0</v>
      </c>
    </row>
    <row r="14580" spans="1:2" x14ac:dyDescent="0.25">
      <c r="A14580">
        <v>28595</v>
      </c>
      <c r="B14580">
        <v>0</v>
      </c>
    </row>
    <row r="14581" spans="1:2" x14ac:dyDescent="0.25">
      <c r="A14581">
        <v>28596</v>
      </c>
      <c r="B14581">
        <v>0</v>
      </c>
    </row>
    <row r="14582" spans="1:2" x14ac:dyDescent="0.25">
      <c r="A14582">
        <v>28597</v>
      </c>
      <c r="B14582">
        <v>0</v>
      </c>
    </row>
    <row r="14583" spans="1:2" x14ac:dyDescent="0.25">
      <c r="A14583">
        <v>28598</v>
      </c>
      <c r="B14583">
        <v>0</v>
      </c>
    </row>
    <row r="14584" spans="1:2" x14ac:dyDescent="0.25">
      <c r="A14584">
        <v>28599</v>
      </c>
      <c r="B14584">
        <v>0</v>
      </c>
    </row>
    <row r="14585" spans="1:2" x14ac:dyDescent="0.25">
      <c r="A14585">
        <v>28600</v>
      </c>
      <c r="B14585">
        <v>0</v>
      </c>
    </row>
    <row r="14586" spans="1:2" x14ac:dyDescent="0.25">
      <c r="A14586">
        <v>28602</v>
      </c>
      <c r="B14586">
        <v>0</v>
      </c>
    </row>
    <row r="14587" spans="1:2" x14ac:dyDescent="0.25">
      <c r="A14587">
        <v>28604</v>
      </c>
      <c r="B14587">
        <v>0</v>
      </c>
    </row>
    <row r="14588" spans="1:2" x14ac:dyDescent="0.25">
      <c r="A14588">
        <v>28608</v>
      </c>
      <c r="B14588">
        <v>0</v>
      </c>
    </row>
    <row r="14589" spans="1:2" x14ac:dyDescent="0.25">
      <c r="A14589">
        <v>28611</v>
      </c>
      <c r="B14589">
        <v>0</v>
      </c>
    </row>
    <row r="14590" spans="1:2" x14ac:dyDescent="0.25">
      <c r="A14590">
        <v>28612</v>
      </c>
      <c r="B14590">
        <v>0</v>
      </c>
    </row>
    <row r="14591" spans="1:2" x14ac:dyDescent="0.25">
      <c r="A14591">
        <v>28614</v>
      </c>
      <c r="B14591">
        <v>0</v>
      </c>
    </row>
    <row r="14592" spans="1:2" x14ac:dyDescent="0.25">
      <c r="A14592">
        <v>28615</v>
      </c>
      <c r="B14592">
        <v>0</v>
      </c>
    </row>
    <row r="14593" spans="1:2" x14ac:dyDescent="0.25">
      <c r="A14593">
        <v>28617</v>
      </c>
      <c r="B14593">
        <v>0</v>
      </c>
    </row>
    <row r="14594" spans="1:2" x14ac:dyDescent="0.25">
      <c r="A14594">
        <v>28619</v>
      </c>
      <c r="B14594">
        <v>0</v>
      </c>
    </row>
    <row r="14595" spans="1:2" x14ac:dyDescent="0.25">
      <c r="A14595">
        <v>28621</v>
      </c>
      <c r="B14595">
        <v>0</v>
      </c>
    </row>
    <row r="14596" spans="1:2" x14ac:dyDescent="0.25">
      <c r="A14596">
        <v>28623</v>
      </c>
      <c r="B14596">
        <v>0</v>
      </c>
    </row>
    <row r="14597" spans="1:2" x14ac:dyDescent="0.25">
      <c r="A14597">
        <v>28625</v>
      </c>
      <c r="B14597">
        <v>0</v>
      </c>
    </row>
    <row r="14598" spans="1:2" x14ac:dyDescent="0.25">
      <c r="A14598">
        <v>28626</v>
      </c>
      <c r="B14598">
        <v>0</v>
      </c>
    </row>
    <row r="14599" spans="1:2" x14ac:dyDescent="0.25">
      <c r="A14599">
        <v>28628</v>
      </c>
      <c r="B14599">
        <v>0</v>
      </c>
    </row>
    <row r="14600" spans="1:2" x14ac:dyDescent="0.25">
      <c r="A14600">
        <v>28630</v>
      </c>
      <c r="B14600">
        <v>0</v>
      </c>
    </row>
    <row r="14601" spans="1:2" x14ac:dyDescent="0.25">
      <c r="A14601">
        <v>28632</v>
      </c>
      <c r="B14601">
        <v>0</v>
      </c>
    </row>
    <row r="14602" spans="1:2" x14ac:dyDescent="0.25">
      <c r="A14602">
        <v>28634</v>
      </c>
      <c r="B14602">
        <v>0</v>
      </c>
    </row>
    <row r="14603" spans="1:2" x14ac:dyDescent="0.25">
      <c r="A14603">
        <v>28636</v>
      </c>
      <c r="B14603">
        <v>0</v>
      </c>
    </row>
    <row r="14604" spans="1:2" x14ac:dyDescent="0.25">
      <c r="A14604">
        <v>28638</v>
      </c>
      <c r="B14604">
        <v>0</v>
      </c>
    </row>
    <row r="14605" spans="1:2" x14ac:dyDescent="0.25">
      <c r="A14605">
        <v>28640</v>
      </c>
      <c r="B14605">
        <v>0</v>
      </c>
    </row>
    <row r="14606" spans="1:2" x14ac:dyDescent="0.25">
      <c r="A14606">
        <v>28642</v>
      </c>
      <c r="B14606">
        <v>0</v>
      </c>
    </row>
    <row r="14607" spans="1:2" x14ac:dyDescent="0.25">
      <c r="A14607">
        <v>28644</v>
      </c>
      <c r="B14607">
        <v>0</v>
      </c>
    </row>
    <row r="14608" spans="1:2" x14ac:dyDescent="0.25">
      <c r="A14608">
        <v>28646</v>
      </c>
      <c r="B14608">
        <v>0</v>
      </c>
    </row>
    <row r="14609" spans="1:2" x14ac:dyDescent="0.25">
      <c r="A14609">
        <v>28648</v>
      </c>
      <c r="B14609">
        <v>0</v>
      </c>
    </row>
    <row r="14610" spans="1:2" x14ac:dyDescent="0.25">
      <c r="A14610">
        <v>28650</v>
      </c>
      <c r="B14610">
        <v>0</v>
      </c>
    </row>
    <row r="14611" spans="1:2" x14ac:dyDescent="0.25">
      <c r="A14611">
        <v>28652</v>
      </c>
      <c r="B14611">
        <v>0</v>
      </c>
    </row>
    <row r="14612" spans="1:2" x14ac:dyDescent="0.25">
      <c r="A14612">
        <v>28654</v>
      </c>
      <c r="B14612">
        <v>0</v>
      </c>
    </row>
    <row r="14613" spans="1:2" x14ac:dyDescent="0.25">
      <c r="A14613">
        <v>28656</v>
      </c>
      <c r="B14613">
        <v>0</v>
      </c>
    </row>
    <row r="14614" spans="1:2" x14ac:dyDescent="0.25">
      <c r="A14614">
        <v>28660</v>
      </c>
      <c r="B14614">
        <v>0</v>
      </c>
    </row>
    <row r="14615" spans="1:2" x14ac:dyDescent="0.25">
      <c r="A14615">
        <v>28662</v>
      </c>
      <c r="B14615">
        <v>0</v>
      </c>
    </row>
    <row r="14616" spans="1:2" x14ac:dyDescent="0.25">
      <c r="A14616">
        <v>28664</v>
      </c>
      <c r="B14616">
        <v>0</v>
      </c>
    </row>
    <row r="14617" spans="1:2" x14ac:dyDescent="0.25">
      <c r="A14617">
        <v>28665</v>
      </c>
      <c r="B14617">
        <v>0</v>
      </c>
    </row>
    <row r="14618" spans="1:2" x14ac:dyDescent="0.25">
      <c r="A14618">
        <v>28667</v>
      </c>
      <c r="B14618">
        <v>0</v>
      </c>
    </row>
    <row r="14619" spans="1:2" x14ac:dyDescent="0.25">
      <c r="A14619">
        <v>28668</v>
      </c>
      <c r="B14619">
        <v>0</v>
      </c>
    </row>
    <row r="14620" spans="1:2" x14ac:dyDescent="0.25">
      <c r="A14620">
        <v>28670</v>
      </c>
      <c r="B14620">
        <v>0</v>
      </c>
    </row>
    <row r="14621" spans="1:2" x14ac:dyDescent="0.25">
      <c r="A14621">
        <v>28672</v>
      </c>
      <c r="B14621">
        <v>0</v>
      </c>
    </row>
    <row r="14622" spans="1:2" x14ac:dyDescent="0.25">
      <c r="A14622">
        <v>28673</v>
      </c>
      <c r="B14622">
        <v>0</v>
      </c>
    </row>
    <row r="14623" spans="1:2" x14ac:dyDescent="0.25">
      <c r="A14623">
        <v>28675</v>
      </c>
      <c r="B14623">
        <v>0</v>
      </c>
    </row>
    <row r="14624" spans="1:2" x14ac:dyDescent="0.25">
      <c r="A14624">
        <v>28677</v>
      </c>
      <c r="B14624">
        <v>0</v>
      </c>
    </row>
    <row r="14625" spans="1:2" x14ac:dyDescent="0.25">
      <c r="A14625">
        <v>28679</v>
      </c>
      <c r="B14625">
        <v>0</v>
      </c>
    </row>
    <row r="14626" spans="1:2" x14ac:dyDescent="0.25">
      <c r="A14626">
        <v>28680</v>
      </c>
      <c r="B14626">
        <v>0</v>
      </c>
    </row>
    <row r="14627" spans="1:2" x14ac:dyDescent="0.25">
      <c r="A14627">
        <v>28681</v>
      </c>
      <c r="B14627">
        <v>0</v>
      </c>
    </row>
    <row r="14628" spans="1:2" x14ac:dyDescent="0.25">
      <c r="A14628">
        <v>28682</v>
      </c>
      <c r="B14628">
        <v>0</v>
      </c>
    </row>
    <row r="14629" spans="1:2" x14ac:dyDescent="0.25">
      <c r="A14629">
        <v>28684</v>
      </c>
      <c r="B14629">
        <v>0</v>
      </c>
    </row>
    <row r="14630" spans="1:2" x14ac:dyDescent="0.25">
      <c r="A14630">
        <v>28686</v>
      </c>
      <c r="B14630">
        <v>0</v>
      </c>
    </row>
    <row r="14631" spans="1:2" x14ac:dyDescent="0.25">
      <c r="A14631">
        <v>28690</v>
      </c>
      <c r="B14631">
        <v>0</v>
      </c>
    </row>
    <row r="14632" spans="1:2" x14ac:dyDescent="0.25">
      <c r="A14632">
        <v>28692</v>
      </c>
      <c r="B14632">
        <v>0</v>
      </c>
    </row>
    <row r="14633" spans="1:2" x14ac:dyDescent="0.25">
      <c r="A14633">
        <v>28693</v>
      </c>
      <c r="B14633">
        <v>0</v>
      </c>
    </row>
    <row r="14634" spans="1:2" x14ac:dyDescent="0.25">
      <c r="A14634">
        <v>28695</v>
      </c>
      <c r="B14634">
        <v>0</v>
      </c>
    </row>
    <row r="14635" spans="1:2" x14ac:dyDescent="0.25">
      <c r="A14635">
        <v>28696</v>
      </c>
      <c r="B14635">
        <v>0</v>
      </c>
    </row>
    <row r="14636" spans="1:2" x14ac:dyDescent="0.25">
      <c r="A14636">
        <v>28698</v>
      </c>
      <c r="B14636">
        <v>0</v>
      </c>
    </row>
    <row r="14637" spans="1:2" x14ac:dyDescent="0.25">
      <c r="A14637">
        <v>28700</v>
      </c>
      <c r="B14637">
        <v>0</v>
      </c>
    </row>
    <row r="14638" spans="1:2" x14ac:dyDescent="0.25">
      <c r="A14638">
        <v>28703</v>
      </c>
      <c r="B14638">
        <v>0</v>
      </c>
    </row>
    <row r="14639" spans="1:2" x14ac:dyDescent="0.25">
      <c r="A14639">
        <v>28704</v>
      </c>
      <c r="B14639">
        <v>0</v>
      </c>
    </row>
    <row r="14640" spans="1:2" x14ac:dyDescent="0.25">
      <c r="A14640">
        <v>28706</v>
      </c>
      <c r="B14640">
        <v>0</v>
      </c>
    </row>
    <row r="14641" spans="1:2" x14ac:dyDescent="0.25">
      <c r="A14641">
        <v>28707</v>
      </c>
      <c r="B14641">
        <v>0</v>
      </c>
    </row>
    <row r="14642" spans="1:2" x14ac:dyDescent="0.25">
      <c r="A14642">
        <v>28709</v>
      </c>
      <c r="B14642">
        <v>0</v>
      </c>
    </row>
    <row r="14643" spans="1:2" x14ac:dyDescent="0.25">
      <c r="A14643">
        <v>28714</v>
      </c>
      <c r="B14643">
        <v>0</v>
      </c>
    </row>
    <row r="14644" spans="1:2" x14ac:dyDescent="0.25">
      <c r="A14644">
        <v>28717</v>
      </c>
      <c r="B14644">
        <v>0</v>
      </c>
    </row>
    <row r="14645" spans="1:2" x14ac:dyDescent="0.25">
      <c r="A14645">
        <v>28718</v>
      </c>
      <c r="B14645">
        <v>0</v>
      </c>
    </row>
    <row r="14646" spans="1:2" x14ac:dyDescent="0.25">
      <c r="A14646">
        <v>28720</v>
      </c>
      <c r="B14646">
        <v>0</v>
      </c>
    </row>
    <row r="14647" spans="1:2" x14ac:dyDescent="0.25">
      <c r="A14647">
        <v>28722</v>
      </c>
      <c r="B14647">
        <v>0</v>
      </c>
    </row>
    <row r="14648" spans="1:2" x14ac:dyDescent="0.25">
      <c r="A14648">
        <v>28724</v>
      </c>
      <c r="B14648">
        <v>0</v>
      </c>
    </row>
    <row r="14649" spans="1:2" x14ac:dyDescent="0.25">
      <c r="A14649">
        <v>28727</v>
      </c>
      <c r="B14649">
        <v>0</v>
      </c>
    </row>
    <row r="14650" spans="1:2" x14ac:dyDescent="0.25">
      <c r="A14650">
        <v>28728</v>
      </c>
      <c r="B14650">
        <v>0</v>
      </c>
    </row>
    <row r="14651" spans="1:2" x14ac:dyDescent="0.25">
      <c r="A14651">
        <v>28730</v>
      </c>
      <c r="B14651">
        <v>0</v>
      </c>
    </row>
    <row r="14652" spans="1:2" x14ac:dyDescent="0.25">
      <c r="A14652">
        <v>28731</v>
      </c>
      <c r="B14652">
        <v>0</v>
      </c>
    </row>
    <row r="14653" spans="1:2" x14ac:dyDescent="0.25">
      <c r="A14653">
        <v>28733</v>
      </c>
      <c r="B14653">
        <v>0</v>
      </c>
    </row>
    <row r="14654" spans="1:2" x14ac:dyDescent="0.25">
      <c r="A14654">
        <v>28735</v>
      </c>
      <c r="B14654">
        <v>0</v>
      </c>
    </row>
    <row r="14655" spans="1:2" x14ac:dyDescent="0.25">
      <c r="A14655">
        <v>28737</v>
      </c>
      <c r="B14655">
        <v>0</v>
      </c>
    </row>
    <row r="14656" spans="1:2" x14ac:dyDescent="0.25">
      <c r="A14656">
        <v>28739</v>
      </c>
      <c r="B14656">
        <v>0</v>
      </c>
    </row>
    <row r="14657" spans="1:2" x14ac:dyDescent="0.25">
      <c r="A14657">
        <v>28741</v>
      </c>
      <c r="B14657">
        <v>0</v>
      </c>
    </row>
    <row r="14658" spans="1:2" x14ac:dyDescent="0.25">
      <c r="A14658">
        <v>28743</v>
      </c>
      <c r="B14658">
        <v>0</v>
      </c>
    </row>
    <row r="14659" spans="1:2" x14ac:dyDescent="0.25">
      <c r="A14659">
        <v>28744</v>
      </c>
      <c r="B14659">
        <v>0</v>
      </c>
    </row>
    <row r="14660" spans="1:2" x14ac:dyDescent="0.25">
      <c r="A14660">
        <v>28746</v>
      </c>
      <c r="B14660">
        <v>0</v>
      </c>
    </row>
    <row r="14661" spans="1:2" x14ac:dyDescent="0.25">
      <c r="A14661">
        <v>28748</v>
      </c>
      <c r="B14661">
        <v>0</v>
      </c>
    </row>
    <row r="14662" spans="1:2" x14ac:dyDescent="0.25">
      <c r="A14662">
        <v>28750</v>
      </c>
      <c r="B14662">
        <v>0</v>
      </c>
    </row>
    <row r="14663" spans="1:2" x14ac:dyDescent="0.25">
      <c r="A14663">
        <v>28753</v>
      </c>
      <c r="B14663">
        <v>0</v>
      </c>
    </row>
    <row r="14664" spans="1:2" x14ac:dyDescent="0.25">
      <c r="A14664">
        <v>28755</v>
      </c>
      <c r="B14664">
        <v>0</v>
      </c>
    </row>
    <row r="14665" spans="1:2" x14ac:dyDescent="0.25">
      <c r="A14665">
        <v>28757</v>
      </c>
      <c r="B14665">
        <v>0</v>
      </c>
    </row>
    <row r="14666" spans="1:2" x14ac:dyDescent="0.25">
      <c r="A14666">
        <v>28760</v>
      </c>
      <c r="B14666">
        <v>0</v>
      </c>
    </row>
    <row r="14667" spans="1:2" x14ac:dyDescent="0.25">
      <c r="A14667">
        <v>28761</v>
      </c>
      <c r="B14667">
        <v>0</v>
      </c>
    </row>
    <row r="14668" spans="1:2" x14ac:dyDescent="0.25">
      <c r="A14668">
        <v>28763</v>
      </c>
      <c r="B14668">
        <v>0</v>
      </c>
    </row>
    <row r="14669" spans="1:2" x14ac:dyDescent="0.25">
      <c r="A14669">
        <v>28765</v>
      </c>
      <c r="B14669">
        <v>0</v>
      </c>
    </row>
    <row r="14670" spans="1:2" x14ac:dyDescent="0.25">
      <c r="A14670">
        <v>28767</v>
      </c>
      <c r="B14670">
        <v>0</v>
      </c>
    </row>
    <row r="14671" spans="1:2" x14ac:dyDescent="0.25">
      <c r="A14671">
        <v>28769</v>
      </c>
      <c r="B14671">
        <v>0</v>
      </c>
    </row>
    <row r="14672" spans="1:2" x14ac:dyDescent="0.25">
      <c r="A14672">
        <v>28771</v>
      </c>
      <c r="B14672">
        <v>0</v>
      </c>
    </row>
    <row r="14673" spans="1:2" x14ac:dyDescent="0.25">
      <c r="A14673">
        <v>28773</v>
      </c>
      <c r="B14673">
        <v>0</v>
      </c>
    </row>
    <row r="14674" spans="1:2" x14ac:dyDescent="0.25">
      <c r="A14674">
        <v>28775</v>
      </c>
      <c r="B14674">
        <v>0</v>
      </c>
    </row>
    <row r="14675" spans="1:2" x14ac:dyDescent="0.25">
      <c r="A14675">
        <v>28777</v>
      </c>
      <c r="B14675">
        <v>0</v>
      </c>
    </row>
    <row r="14676" spans="1:2" x14ac:dyDescent="0.25">
      <c r="A14676">
        <v>28779</v>
      </c>
      <c r="B14676">
        <v>0</v>
      </c>
    </row>
    <row r="14677" spans="1:2" x14ac:dyDescent="0.25">
      <c r="A14677">
        <v>28781</v>
      </c>
      <c r="B14677">
        <v>0</v>
      </c>
    </row>
    <row r="14678" spans="1:2" x14ac:dyDescent="0.25">
      <c r="A14678">
        <v>28783</v>
      </c>
      <c r="B14678">
        <v>0</v>
      </c>
    </row>
    <row r="14679" spans="1:2" x14ac:dyDescent="0.25">
      <c r="A14679">
        <v>28785</v>
      </c>
      <c r="B14679">
        <v>0</v>
      </c>
    </row>
    <row r="14680" spans="1:2" x14ac:dyDescent="0.25">
      <c r="A14680">
        <v>28787</v>
      </c>
      <c r="B14680">
        <v>0</v>
      </c>
    </row>
    <row r="14681" spans="1:2" x14ac:dyDescent="0.25">
      <c r="A14681">
        <v>28789</v>
      </c>
      <c r="B14681">
        <v>0</v>
      </c>
    </row>
    <row r="14682" spans="1:2" x14ac:dyDescent="0.25">
      <c r="A14682">
        <v>28791</v>
      </c>
      <c r="B14682">
        <v>0</v>
      </c>
    </row>
    <row r="14683" spans="1:2" x14ac:dyDescent="0.25">
      <c r="A14683">
        <v>28793</v>
      </c>
      <c r="B14683">
        <v>0</v>
      </c>
    </row>
    <row r="14684" spans="1:2" x14ac:dyDescent="0.25">
      <c r="A14684">
        <v>28795</v>
      </c>
      <c r="B14684">
        <v>0</v>
      </c>
    </row>
    <row r="14685" spans="1:2" x14ac:dyDescent="0.25">
      <c r="A14685">
        <v>28797</v>
      </c>
      <c r="B14685">
        <v>0</v>
      </c>
    </row>
    <row r="14686" spans="1:2" x14ac:dyDescent="0.25">
      <c r="A14686">
        <v>28799</v>
      </c>
      <c r="B14686">
        <v>0</v>
      </c>
    </row>
    <row r="14687" spans="1:2" x14ac:dyDescent="0.25">
      <c r="A14687">
        <v>28801</v>
      </c>
      <c r="B14687">
        <v>0</v>
      </c>
    </row>
    <row r="14688" spans="1:2" x14ac:dyDescent="0.25">
      <c r="A14688">
        <v>28802</v>
      </c>
      <c r="B14688">
        <v>0</v>
      </c>
    </row>
    <row r="14689" spans="1:2" x14ac:dyDescent="0.25">
      <c r="A14689">
        <v>28803</v>
      </c>
      <c r="B14689">
        <v>0</v>
      </c>
    </row>
    <row r="14690" spans="1:2" x14ac:dyDescent="0.25">
      <c r="A14690">
        <v>28804</v>
      </c>
      <c r="B14690">
        <v>0</v>
      </c>
    </row>
    <row r="14691" spans="1:2" x14ac:dyDescent="0.25">
      <c r="A14691">
        <v>28805</v>
      </c>
      <c r="B14691">
        <v>0</v>
      </c>
    </row>
    <row r="14692" spans="1:2" x14ac:dyDescent="0.25">
      <c r="A14692">
        <v>28807</v>
      </c>
      <c r="B14692">
        <v>0</v>
      </c>
    </row>
    <row r="14693" spans="1:2" x14ac:dyDescent="0.25">
      <c r="A14693">
        <v>28809</v>
      </c>
      <c r="B14693">
        <v>0</v>
      </c>
    </row>
    <row r="14694" spans="1:2" x14ac:dyDescent="0.25">
      <c r="A14694">
        <v>28810</v>
      </c>
      <c r="B14694">
        <v>0</v>
      </c>
    </row>
    <row r="14695" spans="1:2" x14ac:dyDescent="0.25">
      <c r="A14695">
        <v>28811</v>
      </c>
      <c r="B14695">
        <v>0</v>
      </c>
    </row>
    <row r="14696" spans="1:2" x14ac:dyDescent="0.25">
      <c r="A14696">
        <v>28813</v>
      </c>
      <c r="B14696">
        <v>0</v>
      </c>
    </row>
    <row r="14697" spans="1:2" x14ac:dyDescent="0.25">
      <c r="A14697">
        <v>28815</v>
      </c>
      <c r="B14697">
        <v>0</v>
      </c>
    </row>
    <row r="14698" spans="1:2" x14ac:dyDescent="0.25">
      <c r="A14698">
        <v>28817</v>
      </c>
      <c r="B14698">
        <v>0</v>
      </c>
    </row>
    <row r="14699" spans="1:2" x14ac:dyDescent="0.25">
      <c r="A14699">
        <v>28818</v>
      </c>
      <c r="B14699">
        <v>0</v>
      </c>
    </row>
    <row r="14700" spans="1:2" x14ac:dyDescent="0.25">
      <c r="A14700">
        <v>28820</v>
      </c>
      <c r="B14700">
        <v>0</v>
      </c>
    </row>
    <row r="14701" spans="1:2" x14ac:dyDescent="0.25">
      <c r="A14701">
        <v>28821</v>
      </c>
      <c r="B14701">
        <v>0</v>
      </c>
    </row>
    <row r="14702" spans="1:2" x14ac:dyDescent="0.25">
      <c r="A14702">
        <v>28822</v>
      </c>
      <c r="B14702">
        <v>0</v>
      </c>
    </row>
    <row r="14703" spans="1:2" x14ac:dyDescent="0.25">
      <c r="A14703">
        <v>28823</v>
      </c>
      <c r="B14703">
        <v>0</v>
      </c>
    </row>
    <row r="14704" spans="1:2" x14ac:dyDescent="0.25">
      <c r="A14704">
        <v>28825</v>
      </c>
      <c r="B14704">
        <v>0</v>
      </c>
    </row>
    <row r="14705" spans="1:2" x14ac:dyDescent="0.25">
      <c r="A14705">
        <v>28826</v>
      </c>
      <c r="B14705">
        <v>0</v>
      </c>
    </row>
    <row r="14706" spans="1:2" x14ac:dyDescent="0.25">
      <c r="A14706">
        <v>28827</v>
      </c>
      <c r="B14706">
        <v>0</v>
      </c>
    </row>
    <row r="14707" spans="1:2" x14ac:dyDescent="0.25">
      <c r="A14707">
        <v>28828</v>
      </c>
      <c r="B14707">
        <v>0</v>
      </c>
    </row>
    <row r="14708" spans="1:2" x14ac:dyDescent="0.25">
      <c r="A14708">
        <v>28830</v>
      </c>
      <c r="B14708">
        <v>0</v>
      </c>
    </row>
    <row r="14709" spans="1:2" x14ac:dyDescent="0.25">
      <c r="A14709">
        <v>28832</v>
      </c>
      <c r="B14709">
        <v>0</v>
      </c>
    </row>
    <row r="14710" spans="1:2" x14ac:dyDescent="0.25">
      <c r="A14710">
        <v>28834</v>
      </c>
      <c r="B14710">
        <v>0</v>
      </c>
    </row>
    <row r="14711" spans="1:2" x14ac:dyDescent="0.25">
      <c r="A14711">
        <v>28836</v>
      </c>
      <c r="B14711">
        <v>0</v>
      </c>
    </row>
    <row r="14712" spans="1:2" x14ac:dyDescent="0.25">
      <c r="A14712">
        <v>28838</v>
      </c>
      <c r="B14712">
        <v>0</v>
      </c>
    </row>
    <row r="14713" spans="1:2" x14ac:dyDescent="0.25">
      <c r="A14713">
        <v>28839</v>
      </c>
      <c r="B14713">
        <v>0</v>
      </c>
    </row>
    <row r="14714" spans="1:2" x14ac:dyDescent="0.25">
      <c r="A14714">
        <v>28843</v>
      </c>
      <c r="B14714">
        <v>0</v>
      </c>
    </row>
    <row r="14715" spans="1:2" x14ac:dyDescent="0.25">
      <c r="A14715">
        <v>28845</v>
      </c>
      <c r="B14715">
        <v>0</v>
      </c>
    </row>
    <row r="14716" spans="1:2" x14ac:dyDescent="0.25">
      <c r="A14716">
        <v>28846</v>
      </c>
      <c r="B14716">
        <v>0</v>
      </c>
    </row>
    <row r="14717" spans="1:2" x14ac:dyDescent="0.25">
      <c r="A14717">
        <v>28848</v>
      </c>
      <c r="B14717">
        <v>0</v>
      </c>
    </row>
    <row r="14718" spans="1:2" x14ac:dyDescent="0.25">
      <c r="A14718">
        <v>28850</v>
      </c>
      <c r="B14718">
        <v>0</v>
      </c>
    </row>
    <row r="14719" spans="1:2" x14ac:dyDescent="0.25">
      <c r="A14719">
        <v>28851</v>
      </c>
      <c r="B14719">
        <v>0</v>
      </c>
    </row>
    <row r="14720" spans="1:2" x14ac:dyDescent="0.25">
      <c r="A14720">
        <v>28853</v>
      </c>
      <c r="B14720">
        <v>0</v>
      </c>
    </row>
    <row r="14721" spans="1:2" x14ac:dyDescent="0.25">
      <c r="A14721">
        <v>28855</v>
      </c>
      <c r="B14721">
        <v>0</v>
      </c>
    </row>
    <row r="14722" spans="1:2" x14ac:dyDescent="0.25">
      <c r="A14722">
        <v>28857</v>
      </c>
      <c r="B14722">
        <v>0</v>
      </c>
    </row>
    <row r="14723" spans="1:2" x14ac:dyDescent="0.25">
      <c r="A14723">
        <v>28858</v>
      </c>
      <c r="B14723">
        <v>0</v>
      </c>
    </row>
    <row r="14724" spans="1:2" x14ac:dyDescent="0.25">
      <c r="A14724">
        <v>28860</v>
      </c>
      <c r="B14724">
        <v>0</v>
      </c>
    </row>
    <row r="14725" spans="1:2" x14ac:dyDescent="0.25">
      <c r="A14725">
        <v>28862</v>
      </c>
      <c r="B14725">
        <v>0</v>
      </c>
    </row>
    <row r="14726" spans="1:2" x14ac:dyDescent="0.25">
      <c r="A14726">
        <v>28864</v>
      </c>
      <c r="B14726">
        <v>0</v>
      </c>
    </row>
    <row r="14727" spans="1:2" x14ac:dyDescent="0.25">
      <c r="A14727">
        <v>28866</v>
      </c>
      <c r="B14727">
        <v>0</v>
      </c>
    </row>
    <row r="14728" spans="1:2" x14ac:dyDescent="0.25">
      <c r="A14728">
        <v>28868</v>
      </c>
      <c r="B14728">
        <v>0</v>
      </c>
    </row>
    <row r="14729" spans="1:2" x14ac:dyDescent="0.25">
      <c r="A14729">
        <v>28870</v>
      </c>
      <c r="B14729">
        <v>0</v>
      </c>
    </row>
    <row r="14730" spans="1:2" x14ac:dyDescent="0.25">
      <c r="A14730">
        <v>28872</v>
      </c>
      <c r="B14730">
        <v>0</v>
      </c>
    </row>
    <row r="14731" spans="1:2" x14ac:dyDescent="0.25">
      <c r="A14731">
        <v>28874</v>
      </c>
      <c r="B14731">
        <v>0</v>
      </c>
    </row>
    <row r="14732" spans="1:2" x14ac:dyDescent="0.25">
      <c r="A14732">
        <v>28876</v>
      </c>
      <c r="B14732">
        <v>0</v>
      </c>
    </row>
    <row r="14733" spans="1:2" x14ac:dyDescent="0.25">
      <c r="A14733">
        <v>28878</v>
      </c>
      <c r="B14733">
        <v>0</v>
      </c>
    </row>
    <row r="14734" spans="1:2" x14ac:dyDescent="0.25">
      <c r="A14734">
        <v>28880</v>
      </c>
      <c r="B14734">
        <v>0</v>
      </c>
    </row>
    <row r="14735" spans="1:2" x14ac:dyDescent="0.25">
      <c r="A14735">
        <v>28881</v>
      </c>
      <c r="B14735">
        <v>0</v>
      </c>
    </row>
    <row r="14736" spans="1:2" x14ac:dyDescent="0.25">
      <c r="A14736">
        <v>28882</v>
      </c>
      <c r="B14736">
        <v>0</v>
      </c>
    </row>
    <row r="14737" spans="1:2" x14ac:dyDescent="0.25">
      <c r="A14737">
        <v>28883</v>
      </c>
      <c r="B14737">
        <v>0</v>
      </c>
    </row>
    <row r="14738" spans="1:2" x14ac:dyDescent="0.25">
      <c r="A14738">
        <v>28885</v>
      </c>
      <c r="B14738">
        <v>0</v>
      </c>
    </row>
    <row r="14739" spans="1:2" x14ac:dyDescent="0.25">
      <c r="A14739">
        <v>28886</v>
      </c>
      <c r="B14739">
        <v>0</v>
      </c>
    </row>
    <row r="14740" spans="1:2" x14ac:dyDescent="0.25">
      <c r="A14740">
        <v>28887</v>
      </c>
      <c r="B14740">
        <v>0</v>
      </c>
    </row>
    <row r="14741" spans="1:2" x14ac:dyDescent="0.25">
      <c r="A14741">
        <v>28888</v>
      </c>
      <c r="B14741">
        <v>0</v>
      </c>
    </row>
    <row r="14742" spans="1:2" x14ac:dyDescent="0.25">
      <c r="A14742">
        <v>28891</v>
      </c>
      <c r="B14742">
        <v>0</v>
      </c>
    </row>
    <row r="14743" spans="1:2" x14ac:dyDescent="0.25">
      <c r="A14743">
        <v>28899</v>
      </c>
      <c r="B14743">
        <v>0</v>
      </c>
    </row>
    <row r="14744" spans="1:2" x14ac:dyDescent="0.25">
      <c r="A14744">
        <v>28902</v>
      </c>
      <c r="B14744">
        <v>0</v>
      </c>
    </row>
    <row r="14745" spans="1:2" x14ac:dyDescent="0.25">
      <c r="A14745">
        <v>28904</v>
      </c>
      <c r="B14745">
        <v>0</v>
      </c>
    </row>
    <row r="14746" spans="1:2" x14ac:dyDescent="0.25">
      <c r="A14746">
        <v>28922</v>
      </c>
      <c r="B14746">
        <v>0</v>
      </c>
    </row>
    <row r="14747" spans="1:2" x14ac:dyDescent="0.25">
      <c r="A14747">
        <v>28924</v>
      </c>
      <c r="B14747">
        <v>0</v>
      </c>
    </row>
    <row r="14748" spans="1:2" x14ac:dyDescent="0.25">
      <c r="A14748">
        <v>28926</v>
      </c>
      <c r="B14748">
        <v>0</v>
      </c>
    </row>
    <row r="14749" spans="1:2" x14ac:dyDescent="0.25">
      <c r="A14749">
        <v>28929</v>
      </c>
      <c r="B14749">
        <v>0</v>
      </c>
    </row>
    <row r="14750" spans="1:2" x14ac:dyDescent="0.25">
      <c r="A14750">
        <v>28930</v>
      </c>
      <c r="B14750">
        <v>0</v>
      </c>
    </row>
    <row r="14751" spans="1:2" x14ac:dyDescent="0.25">
      <c r="A14751">
        <v>28931</v>
      </c>
      <c r="B14751">
        <v>0</v>
      </c>
    </row>
    <row r="14752" spans="1:2" x14ac:dyDescent="0.25">
      <c r="A14752">
        <v>28932</v>
      </c>
      <c r="B14752">
        <v>0</v>
      </c>
    </row>
    <row r="14753" spans="1:2" x14ac:dyDescent="0.25">
      <c r="A14753">
        <v>28933</v>
      </c>
      <c r="B14753">
        <v>0</v>
      </c>
    </row>
    <row r="14754" spans="1:2" x14ac:dyDescent="0.25">
      <c r="A14754">
        <v>28938</v>
      </c>
      <c r="B14754">
        <v>0</v>
      </c>
    </row>
    <row r="14755" spans="1:2" x14ac:dyDescent="0.25">
      <c r="A14755">
        <v>28939</v>
      </c>
      <c r="B14755">
        <v>0</v>
      </c>
    </row>
    <row r="14756" spans="1:2" x14ac:dyDescent="0.25">
      <c r="A14756">
        <v>28942</v>
      </c>
      <c r="B14756">
        <v>0</v>
      </c>
    </row>
    <row r="14757" spans="1:2" x14ac:dyDescent="0.25">
      <c r="A14757">
        <v>28944</v>
      </c>
      <c r="B14757">
        <v>0</v>
      </c>
    </row>
    <row r="14758" spans="1:2" x14ac:dyDescent="0.25">
      <c r="A14758">
        <v>28947</v>
      </c>
      <c r="B14758">
        <v>0</v>
      </c>
    </row>
    <row r="14759" spans="1:2" x14ac:dyDescent="0.25">
      <c r="A14759">
        <v>28948</v>
      </c>
      <c r="B14759">
        <v>0</v>
      </c>
    </row>
    <row r="14760" spans="1:2" x14ac:dyDescent="0.25">
      <c r="A14760">
        <v>28951</v>
      </c>
      <c r="B14760">
        <v>0</v>
      </c>
    </row>
    <row r="14761" spans="1:2" x14ac:dyDescent="0.25">
      <c r="A14761">
        <v>28952</v>
      </c>
      <c r="B14761">
        <v>0</v>
      </c>
    </row>
    <row r="14762" spans="1:2" x14ac:dyDescent="0.25">
      <c r="A14762">
        <v>28954</v>
      </c>
      <c r="B14762">
        <v>0</v>
      </c>
    </row>
    <row r="14763" spans="1:2" x14ac:dyDescent="0.25">
      <c r="A14763">
        <v>28956</v>
      </c>
      <c r="B14763">
        <v>0</v>
      </c>
    </row>
    <row r="14764" spans="1:2" x14ac:dyDescent="0.25">
      <c r="A14764">
        <v>28958</v>
      </c>
      <c r="B14764">
        <v>0</v>
      </c>
    </row>
    <row r="14765" spans="1:2" x14ac:dyDescent="0.25">
      <c r="A14765">
        <v>28960</v>
      </c>
      <c r="B14765">
        <v>0</v>
      </c>
    </row>
    <row r="14766" spans="1:2" x14ac:dyDescent="0.25">
      <c r="A14766">
        <v>28962</v>
      </c>
      <c r="B14766">
        <v>0</v>
      </c>
    </row>
    <row r="14767" spans="1:2" x14ac:dyDescent="0.25">
      <c r="A14767">
        <v>28963</v>
      </c>
      <c r="B14767">
        <v>0</v>
      </c>
    </row>
    <row r="14768" spans="1:2" x14ac:dyDescent="0.25">
      <c r="A14768">
        <v>28964</v>
      </c>
      <c r="B14768">
        <v>0</v>
      </c>
    </row>
    <row r="14769" spans="1:2" x14ac:dyDescent="0.25">
      <c r="A14769">
        <v>28966</v>
      </c>
      <c r="B14769">
        <v>0</v>
      </c>
    </row>
    <row r="14770" spans="1:2" x14ac:dyDescent="0.25">
      <c r="A14770">
        <v>28968</v>
      </c>
      <c r="B14770">
        <v>0</v>
      </c>
    </row>
    <row r="14771" spans="1:2" x14ac:dyDescent="0.25">
      <c r="A14771">
        <v>28970</v>
      </c>
      <c r="B14771">
        <v>0</v>
      </c>
    </row>
    <row r="14772" spans="1:2" x14ac:dyDescent="0.25">
      <c r="A14772">
        <v>28973</v>
      </c>
      <c r="B14772">
        <v>0</v>
      </c>
    </row>
    <row r="14773" spans="1:2" x14ac:dyDescent="0.25">
      <c r="A14773">
        <v>28976</v>
      </c>
      <c r="B14773">
        <v>0</v>
      </c>
    </row>
    <row r="14774" spans="1:2" x14ac:dyDescent="0.25">
      <c r="A14774">
        <v>28979</v>
      </c>
      <c r="B14774">
        <v>0</v>
      </c>
    </row>
    <row r="14775" spans="1:2" x14ac:dyDescent="0.25">
      <c r="A14775">
        <v>28982</v>
      </c>
      <c r="B14775">
        <v>0</v>
      </c>
    </row>
    <row r="14776" spans="1:2" x14ac:dyDescent="0.25">
      <c r="A14776">
        <v>28984</v>
      </c>
      <c r="B14776">
        <v>0</v>
      </c>
    </row>
    <row r="14777" spans="1:2" x14ac:dyDescent="0.25">
      <c r="A14777">
        <v>28986</v>
      </c>
      <c r="B14777">
        <v>0</v>
      </c>
    </row>
    <row r="14778" spans="1:2" x14ac:dyDescent="0.25">
      <c r="A14778">
        <v>28989</v>
      </c>
      <c r="B14778">
        <v>0</v>
      </c>
    </row>
    <row r="14779" spans="1:2" x14ac:dyDescent="0.25">
      <c r="A14779">
        <v>28990</v>
      </c>
      <c r="B14779">
        <v>0</v>
      </c>
    </row>
    <row r="14780" spans="1:2" x14ac:dyDescent="0.25">
      <c r="A14780">
        <v>28991</v>
      </c>
      <c r="B14780">
        <v>0</v>
      </c>
    </row>
    <row r="14781" spans="1:2" x14ac:dyDescent="0.25">
      <c r="A14781">
        <v>28992</v>
      </c>
      <c r="B14781">
        <v>0</v>
      </c>
    </row>
    <row r="14782" spans="1:2" x14ac:dyDescent="0.25">
      <c r="A14782">
        <v>28994</v>
      </c>
      <c r="B14782">
        <v>0</v>
      </c>
    </row>
    <row r="14783" spans="1:2" x14ac:dyDescent="0.25">
      <c r="A14783">
        <v>28996</v>
      </c>
      <c r="B14783">
        <v>0</v>
      </c>
    </row>
    <row r="14784" spans="1:2" x14ac:dyDescent="0.25">
      <c r="A14784">
        <v>28997</v>
      </c>
      <c r="B14784">
        <v>0</v>
      </c>
    </row>
    <row r="14785" spans="1:2" x14ac:dyDescent="0.25">
      <c r="A14785">
        <v>28999</v>
      </c>
      <c r="B14785">
        <v>0</v>
      </c>
    </row>
    <row r="14786" spans="1:2" x14ac:dyDescent="0.25">
      <c r="A14786">
        <v>29000</v>
      </c>
      <c r="B14786">
        <v>0</v>
      </c>
    </row>
    <row r="14787" spans="1:2" x14ac:dyDescent="0.25">
      <c r="A14787">
        <v>29001</v>
      </c>
      <c r="B14787">
        <v>0</v>
      </c>
    </row>
    <row r="14788" spans="1:2" x14ac:dyDescent="0.25">
      <c r="A14788">
        <v>29002</v>
      </c>
      <c r="B14788">
        <v>0</v>
      </c>
    </row>
    <row r="14789" spans="1:2" x14ac:dyDescent="0.25">
      <c r="A14789">
        <v>29003</v>
      </c>
      <c r="B14789">
        <v>0</v>
      </c>
    </row>
    <row r="14790" spans="1:2" x14ac:dyDescent="0.25">
      <c r="A14790">
        <v>29004</v>
      </c>
      <c r="B14790">
        <v>0</v>
      </c>
    </row>
    <row r="14791" spans="1:2" x14ac:dyDescent="0.25">
      <c r="A14791">
        <v>29005</v>
      </c>
      <c r="B14791">
        <v>0</v>
      </c>
    </row>
    <row r="14792" spans="1:2" x14ac:dyDescent="0.25">
      <c r="A14792">
        <v>29006</v>
      </c>
      <c r="B14792">
        <v>0</v>
      </c>
    </row>
    <row r="14793" spans="1:2" x14ac:dyDescent="0.25">
      <c r="A14793">
        <v>29008</v>
      </c>
      <c r="B14793">
        <v>0</v>
      </c>
    </row>
    <row r="14794" spans="1:2" x14ac:dyDescent="0.25">
      <c r="A14794">
        <v>29009</v>
      </c>
      <c r="B14794">
        <v>0</v>
      </c>
    </row>
    <row r="14795" spans="1:2" x14ac:dyDescent="0.25">
      <c r="A14795">
        <v>29010</v>
      </c>
      <c r="B14795">
        <v>0</v>
      </c>
    </row>
    <row r="14796" spans="1:2" x14ac:dyDescent="0.25">
      <c r="A14796">
        <v>29011</v>
      </c>
      <c r="B14796">
        <v>0</v>
      </c>
    </row>
    <row r="14797" spans="1:2" x14ac:dyDescent="0.25">
      <c r="A14797">
        <v>29012</v>
      </c>
      <c r="B14797">
        <v>0</v>
      </c>
    </row>
    <row r="14798" spans="1:2" x14ac:dyDescent="0.25">
      <c r="A14798">
        <v>29013</v>
      </c>
      <c r="B14798">
        <v>0</v>
      </c>
    </row>
    <row r="14799" spans="1:2" x14ac:dyDescent="0.25">
      <c r="A14799">
        <v>29014</v>
      </c>
      <c r="B14799">
        <v>0</v>
      </c>
    </row>
    <row r="14800" spans="1:2" x14ac:dyDescent="0.25">
      <c r="A14800">
        <v>29015</v>
      </c>
      <c r="B14800">
        <v>0</v>
      </c>
    </row>
    <row r="14801" spans="1:2" x14ac:dyDescent="0.25">
      <c r="A14801">
        <v>29016</v>
      </c>
      <c r="B14801">
        <v>0</v>
      </c>
    </row>
    <row r="14802" spans="1:2" x14ac:dyDescent="0.25">
      <c r="A14802">
        <v>29017</v>
      </c>
      <c r="B14802">
        <v>0</v>
      </c>
    </row>
    <row r="14803" spans="1:2" x14ac:dyDescent="0.25">
      <c r="A14803">
        <v>29018</v>
      </c>
      <c r="B14803">
        <v>0</v>
      </c>
    </row>
    <row r="14804" spans="1:2" x14ac:dyDescent="0.25">
      <c r="A14804">
        <v>29019</v>
      </c>
      <c r="B14804">
        <v>0</v>
      </c>
    </row>
    <row r="14805" spans="1:2" x14ac:dyDescent="0.25">
      <c r="A14805">
        <v>29021</v>
      </c>
      <c r="B14805">
        <v>0</v>
      </c>
    </row>
    <row r="14806" spans="1:2" x14ac:dyDescent="0.25">
      <c r="A14806">
        <v>29023</v>
      </c>
      <c r="B14806">
        <v>0</v>
      </c>
    </row>
    <row r="14807" spans="1:2" x14ac:dyDescent="0.25">
      <c r="A14807">
        <v>29024</v>
      </c>
      <c r="B14807">
        <v>0</v>
      </c>
    </row>
    <row r="14808" spans="1:2" x14ac:dyDescent="0.25">
      <c r="A14808">
        <v>29026</v>
      </c>
      <c r="B14808">
        <v>0</v>
      </c>
    </row>
    <row r="14809" spans="1:2" x14ac:dyDescent="0.25">
      <c r="A14809">
        <v>29028</v>
      </c>
      <c r="B14809">
        <v>0</v>
      </c>
    </row>
    <row r="14810" spans="1:2" x14ac:dyDescent="0.25">
      <c r="A14810">
        <v>29030</v>
      </c>
      <c r="B14810">
        <v>0</v>
      </c>
    </row>
    <row r="14811" spans="1:2" x14ac:dyDescent="0.25">
      <c r="A14811">
        <v>29031</v>
      </c>
      <c r="B14811">
        <v>0</v>
      </c>
    </row>
    <row r="14812" spans="1:2" x14ac:dyDescent="0.25">
      <c r="A14812">
        <v>29033</v>
      </c>
      <c r="B14812">
        <v>0</v>
      </c>
    </row>
    <row r="14813" spans="1:2" x14ac:dyDescent="0.25">
      <c r="A14813">
        <v>29034</v>
      </c>
      <c r="B14813">
        <v>0</v>
      </c>
    </row>
    <row r="14814" spans="1:2" x14ac:dyDescent="0.25">
      <c r="A14814">
        <v>29036</v>
      </c>
      <c r="B14814">
        <v>0</v>
      </c>
    </row>
    <row r="14815" spans="1:2" x14ac:dyDescent="0.25">
      <c r="A14815">
        <v>29038</v>
      </c>
      <c r="B14815">
        <v>0</v>
      </c>
    </row>
    <row r="14816" spans="1:2" x14ac:dyDescent="0.25">
      <c r="A14816">
        <v>29039</v>
      </c>
      <c r="B14816">
        <v>0</v>
      </c>
    </row>
    <row r="14817" spans="1:2" x14ac:dyDescent="0.25">
      <c r="A14817">
        <v>29040</v>
      </c>
      <c r="B14817">
        <v>0</v>
      </c>
    </row>
    <row r="14818" spans="1:2" x14ac:dyDescent="0.25">
      <c r="A14818">
        <v>29041</v>
      </c>
      <c r="B14818">
        <v>0</v>
      </c>
    </row>
    <row r="14819" spans="1:2" x14ac:dyDescent="0.25">
      <c r="A14819">
        <v>29042</v>
      </c>
      <c r="B14819">
        <v>0</v>
      </c>
    </row>
    <row r="14820" spans="1:2" x14ac:dyDescent="0.25">
      <c r="A14820">
        <v>29044</v>
      </c>
      <c r="B14820">
        <v>0</v>
      </c>
    </row>
    <row r="14821" spans="1:2" x14ac:dyDescent="0.25">
      <c r="A14821">
        <v>29046</v>
      </c>
      <c r="B14821">
        <v>0</v>
      </c>
    </row>
    <row r="14822" spans="1:2" x14ac:dyDescent="0.25">
      <c r="A14822">
        <v>29047</v>
      </c>
      <c r="B14822">
        <v>0</v>
      </c>
    </row>
    <row r="14823" spans="1:2" x14ac:dyDescent="0.25">
      <c r="A14823">
        <v>29049</v>
      </c>
      <c r="B14823">
        <v>0</v>
      </c>
    </row>
    <row r="14824" spans="1:2" x14ac:dyDescent="0.25">
      <c r="A14824">
        <v>29050</v>
      </c>
      <c r="B14824">
        <v>0</v>
      </c>
    </row>
    <row r="14825" spans="1:2" x14ac:dyDescent="0.25">
      <c r="A14825">
        <v>29052</v>
      </c>
      <c r="B14825">
        <v>0</v>
      </c>
    </row>
    <row r="14826" spans="1:2" x14ac:dyDescent="0.25">
      <c r="A14826">
        <v>29054</v>
      </c>
      <c r="B14826">
        <v>0</v>
      </c>
    </row>
    <row r="14827" spans="1:2" x14ac:dyDescent="0.25">
      <c r="A14827">
        <v>29056</v>
      </c>
      <c r="B14827">
        <v>0</v>
      </c>
    </row>
    <row r="14828" spans="1:2" x14ac:dyDescent="0.25">
      <c r="A14828">
        <v>29058</v>
      </c>
      <c r="B14828">
        <v>0</v>
      </c>
    </row>
    <row r="14829" spans="1:2" x14ac:dyDescent="0.25">
      <c r="A14829">
        <v>29060</v>
      </c>
      <c r="B14829">
        <v>0</v>
      </c>
    </row>
    <row r="14830" spans="1:2" x14ac:dyDescent="0.25">
      <c r="A14830">
        <v>29061</v>
      </c>
      <c r="B14830">
        <v>0</v>
      </c>
    </row>
    <row r="14831" spans="1:2" x14ac:dyDescent="0.25">
      <c r="A14831">
        <v>29062</v>
      </c>
      <c r="B14831">
        <v>0</v>
      </c>
    </row>
    <row r="14832" spans="1:2" x14ac:dyDescent="0.25">
      <c r="A14832">
        <v>29063</v>
      </c>
      <c r="B14832">
        <v>0</v>
      </c>
    </row>
    <row r="14833" spans="1:2" x14ac:dyDescent="0.25">
      <c r="A14833">
        <v>29064</v>
      </c>
      <c r="B14833">
        <v>0</v>
      </c>
    </row>
    <row r="14834" spans="1:2" x14ac:dyDescent="0.25">
      <c r="A14834">
        <v>29065</v>
      </c>
      <c r="B14834">
        <v>0</v>
      </c>
    </row>
    <row r="14835" spans="1:2" x14ac:dyDescent="0.25">
      <c r="A14835">
        <v>29066</v>
      </c>
      <c r="B14835">
        <v>0</v>
      </c>
    </row>
    <row r="14836" spans="1:2" x14ac:dyDescent="0.25">
      <c r="A14836">
        <v>29067</v>
      </c>
      <c r="B14836">
        <v>0</v>
      </c>
    </row>
    <row r="14837" spans="1:2" x14ac:dyDescent="0.25">
      <c r="A14837">
        <v>29068</v>
      </c>
      <c r="B14837">
        <v>0</v>
      </c>
    </row>
    <row r="14838" spans="1:2" x14ac:dyDescent="0.25">
      <c r="A14838">
        <v>29070</v>
      </c>
      <c r="B14838">
        <v>0</v>
      </c>
    </row>
    <row r="14839" spans="1:2" x14ac:dyDescent="0.25">
      <c r="A14839">
        <v>29072</v>
      </c>
      <c r="B14839">
        <v>0</v>
      </c>
    </row>
    <row r="14840" spans="1:2" x14ac:dyDescent="0.25">
      <c r="A14840">
        <v>29073</v>
      </c>
      <c r="B14840">
        <v>0</v>
      </c>
    </row>
    <row r="14841" spans="1:2" x14ac:dyDescent="0.25">
      <c r="A14841">
        <v>29075</v>
      </c>
      <c r="B14841">
        <v>0</v>
      </c>
    </row>
    <row r="14842" spans="1:2" x14ac:dyDescent="0.25">
      <c r="A14842">
        <v>29077</v>
      </c>
      <c r="B14842">
        <v>0</v>
      </c>
    </row>
    <row r="14843" spans="1:2" x14ac:dyDescent="0.25">
      <c r="A14843">
        <v>29079</v>
      </c>
      <c r="B14843">
        <v>0</v>
      </c>
    </row>
    <row r="14844" spans="1:2" x14ac:dyDescent="0.25">
      <c r="A14844">
        <v>29081</v>
      </c>
      <c r="B14844">
        <v>0</v>
      </c>
    </row>
    <row r="14845" spans="1:2" x14ac:dyDescent="0.25">
      <c r="A14845">
        <v>29084</v>
      </c>
      <c r="B14845">
        <v>0</v>
      </c>
    </row>
    <row r="14846" spans="1:2" x14ac:dyDescent="0.25">
      <c r="A14846">
        <v>29085</v>
      </c>
      <c r="B14846">
        <v>0</v>
      </c>
    </row>
    <row r="14847" spans="1:2" x14ac:dyDescent="0.25">
      <c r="A14847">
        <v>29086</v>
      </c>
      <c r="B14847">
        <v>0</v>
      </c>
    </row>
    <row r="14848" spans="1:2" x14ac:dyDescent="0.25">
      <c r="A14848">
        <v>29087</v>
      </c>
      <c r="B14848">
        <v>0</v>
      </c>
    </row>
    <row r="14849" spans="1:2" x14ac:dyDescent="0.25">
      <c r="A14849">
        <v>29088</v>
      </c>
      <c r="B14849">
        <v>0</v>
      </c>
    </row>
    <row r="14850" spans="1:2" x14ac:dyDescent="0.25">
      <c r="A14850">
        <v>29089</v>
      </c>
      <c r="B14850">
        <v>0</v>
      </c>
    </row>
    <row r="14851" spans="1:2" x14ac:dyDescent="0.25">
      <c r="A14851">
        <v>29090</v>
      </c>
      <c r="B14851">
        <v>0</v>
      </c>
    </row>
    <row r="14852" spans="1:2" x14ac:dyDescent="0.25">
      <c r="A14852">
        <v>29091</v>
      </c>
      <c r="B14852">
        <v>0</v>
      </c>
    </row>
    <row r="14853" spans="1:2" x14ac:dyDescent="0.25">
      <c r="A14853">
        <v>29104</v>
      </c>
      <c r="B14853">
        <v>0</v>
      </c>
    </row>
    <row r="14854" spans="1:2" x14ac:dyDescent="0.25">
      <c r="A14854">
        <v>29107</v>
      </c>
      <c r="B14854">
        <v>0</v>
      </c>
    </row>
    <row r="14855" spans="1:2" x14ac:dyDescent="0.25">
      <c r="A14855">
        <v>29121</v>
      </c>
      <c r="B14855">
        <v>0</v>
      </c>
    </row>
    <row r="14856" spans="1:2" x14ac:dyDescent="0.25">
      <c r="A14856">
        <v>29123</v>
      </c>
      <c r="B14856">
        <v>0</v>
      </c>
    </row>
    <row r="14857" spans="1:2" x14ac:dyDescent="0.25">
      <c r="A14857">
        <v>29124</v>
      </c>
      <c r="B14857">
        <v>0</v>
      </c>
    </row>
    <row r="14858" spans="1:2" x14ac:dyDescent="0.25">
      <c r="A14858">
        <v>29125</v>
      </c>
      <c r="B14858">
        <v>0</v>
      </c>
    </row>
    <row r="14859" spans="1:2" x14ac:dyDescent="0.25">
      <c r="A14859">
        <v>29126</v>
      </c>
      <c r="B14859">
        <v>0</v>
      </c>
    </row>
    <row r="14860" spans="1:2" x14ac:dyDescent="0.25">
      <c r="A14860">
        <v>29127</v>
      </c>
      <c r="B14860">
        <v>0</v>
      </c>
    </row>
    <row r="14861" spans="1:2" x14ac:dyDescent="0.25">
      <c r="A14861">
        <v>29128</v>
      </c>
      <c r="B14861">
        <v>0</v>
      </c>
    </row>
    <row r="14862" spans="1:2" x14ac:dyDescent="0.25">
      <c r="A14862">
        <v>29129</v>
      </c>
      <c r="B14862">
        <v>0</v>
      </c>
    </row>
    <row r="14863" spans="1:2" x14ac:dyDescent="0.25">
      <c r="A14863">
        <v>29130</v>
      </c>
      <c r="B14863">
        <v>0</v>
      </c>
    </row>
    <row r="14864" spans="1:2" x14ac:dyDescent="0.25">
      <c r="A14864">
        <v>29131</v>
      </c>
      <c r="B14864">
        <v>0</v>
      </c>
    </row>
    <row r="14865" spans="1:2" x14ac:dyDescent="0.25">
      <c r="A14865">
        <v>29134</v>
      </c>
      <c r="B14865">
        <v>0</v>
      </c>
    </row>
    <row r="14866" spans="1:2" x14ac:dyDescent="0.25">
      <c r="A14866">
        <v>29135</v>
      </c>
      <c r="B14866">
        <v>0</v>
      </c>
    </row>
    <row r="14867" spans="1:2" x14ac:dyDescent="0.25">
      <c r="A14867">
        <v>29136</v>
      </c>
      <c r="B14867">
        <v>0</v>
      </c>
    </row>
    <row r="14868" spans="1:2" x14ac:dyDescent="0.25">
      <c r="A14868">
        <v>29137</v>
      </c>
      <c r="B14868">
        <v>0</v>
      </c>
    </row>
    <row r="14869" spans="1:2" x14ac:dyDescent="0.25">
      <c r="A14869">
        <v>29139</v>
      </c>
      <c r="B14869">
        <v>0</v>
      </c>
    </row>
    <row r="14870" spans="1:2" x14ac:dyDescent="0.25">
      <c r="A14870">
        <v>29141</v>
      </c>
      <c r="B14870">
        <v>0</v>
      </c>
    </row>
    <row r="14871" spans="1:2" x14ac:dyDescent="0.25">
      <c r="A14871">
        <v>29143</v>
      </c>
      <c r="B14871">
        <v>0</v>
      </c>
    </row>
    <row r="14872" spans="1:2" x14ac:dyDescent="0.25">
      <c r="A14872">
        <v>29145</v>
      </c>
      <c r="B14872">
        <v>0</v>
      </c>
    </row>
    <row r="14873" spans="1:2" x14ac:dyDescent="0.25">
      <c r="A14873">
        <v>29147</v>
      </c>
      <c r="B14873">
        <v>0</v>
      </c>
    </row>
    <row r="14874" spans="1:2" x14ac:dyDescent="0.25">
      <c r="A14874">
        <v>29148</v>
      </c>
      <c r="B14874">
        <v>0</v>
      </c>
    </row>
    <row r="14875" spans="1:2" x14ac:dyDescent="0.25">
      <c r="A14875">
        <v>29149</v>
      </c>
      <c r="B14875">
        <v>0</v>
      </c>
    </row>
    <row r="14876" spans="1:2" x14ac:dyDescent="0.25">
      <c r="A14876">
        <v>29150</v>
      </c>
      <c r="B14876">
        <v>0</v>
      </c>
    </row>
    <row r="14877" spans="1:2" x14ac:dyDescent="0.25">
      <c r="A14877">
        <v>29151</v>
      </c>
      <c r="B14877">
        <v>0</v>
      </c>
    </row>
    <row r="14878" spans="1:2" x14ac:dyDescent="0.25">
      <c r="A14878">
        <v>29152</v>
      </c>
      <c r="B14878">
        <v>0</v>
      </c>
    </row>
    <row r="14879" spans="1:2" x14ac:dyDescent="0.25">
      <c r="A14879">
        <v>29154</v>
      </c>
      <c r="B14879">
        <v>0</v>
      </c>
    </row>
    <row r="14880" spans="1:2" x14ac:dyDescent="0.25">
      <c r="A14880">
        <v>29156</v>
      </c>
      <c r="B14880">
        <v>0</v>
      </c>
    </row>
    <row r="14881" spans="1:2" x14ac:dyDescent="0.25">
      <c r="A14881">
        <v>29158</v>
      </c>
      <c r="B14881">
        <v>0</v>
      </c>
    </row>
    <row r="14882" spans="1:2" x14ac:dyDescent="0.25">
      <c r="A14882">
        <v>29159</v>
      </c>
      <c r="B14882">
        <v>0</v>
      </c>
    </row>
    <row r="14883" spans="1:2" x14ac:dyDescent="0.25">
      <c r="A14883">
        <v>29161</v>
      </c>
      <c r="B14883">
        <v>0</v>
      </c>
    </row>
    <row r="14884" spans="1:2" x14ac:dyDescent="0.25">
      <c r="A14884">
        <v>29162</v>
      </c>
      <c r="B14884">
        <v>0</v>
      </c>
    </row>
    <row r="14885" spans="1:2" x14ac:dyDescent="0.25">
      <c r="A14885">
        <v>29163</v>
      </c>
      <c r="B14885">
        <v>0</v>
      </c>
    </row>
    <row r="14886" spans="1:2" x14ac:dyDescent="0.25">
      <c r="A14886">
        <v>29164</v>
      </c>
      <c r="B14886">
        <v>0</v>
      </c>
    </row>
    <row r="14887" spans="1:2" x14ac:dyDescent="0.25">
      <c r="A14887">
        <v>29166</v>
      </c>
      <c r="B14887">
        <v>0</v>
      </c>
    </row>
    <row r="14888" spans="1:2" x14ac:dyDescent="0.25">
      <c r="A14888">
        <v>29168</v>
      </c>
      <c r="B14888">
        <v>0</v>
      </c>
    </row>
    <row r="14889" spans="1:2" x14ac:dyDescent="0.25">
      <c r="A14889">
        <v>29169</v>
      </c>
      <c r="B14889">
        <v>0</v>
      </c>
    </row>
    <row r="14890" spans="1:2" x14ac:dyDescent="0.25">
      <c r="A14890">
        <v>29170</v>
      </c>
      <c r="B14890">
        <v>0</v>
      </c>
    </row>
    <row r="14891" spans="1:2" x14ac:dyDescent="0.25">
      <c r="A14891">
        <v>29172</v>
      </c>
      <c r="B14891">
        <v>0</v>
      </c>
    </row>
    <row r="14892" spans="1:2" x14ac:dyDescent="0.25">
      <c r="A14892">
        <v>29180</v>
      </c>
      <c r="B14892">
        <v>0</v>
      </c>
    </row>
    <row r="14893" spans="1:2" x14ac:dyDescent="0.25">
      <c r="A14893">
        <v>29182</v>
      </c>
      <c r="B14893">
        <v>0</v>
      </c>
    </row>
    <row r="14894" spans="1:2" x14ac:dyDescent="0.25">
      <c r="A14894">
        <v>29183</v>
      </c>
      <c r="B14894">
        <v>0</v>
      </c>
    </row>
    <row r="14895" spans="1:2" x14ac:dyDescent="0.25">
      <c r="A14895">
        <v>29185</v>
      </c>
      <c r="B14895">
        <v>0</v>
      </c>
    </row>
    <row r="14896" spans="1:2" x14ac:dyDescent="0.25">
      <c r="A14896">
        <v>29187</v>
      </c>
      <c r="B14896">
        <v>0</v>
      </c>
    </row>
    <row r="14897" spans="1:2" x14ac:dyDescent="0.25">
      <c r="A14897">
        <v>29189</v>
      </c>
      <c r="B14897">
        <v>0</v>
      </c>
    </row>
    <row r="14898" spans="1:2" x14ac:dyDescent="0.25">
      <c r="A14898">
        <v>29190</v>
      </c>
      <c r="B14898">
        <v>0</v>
      </c>
    </row>
    <row r="14899" spans="1:2" x14ac:dyDescent="0.25">
      <c r="A14899">
        <v>29191</v>
      </c>
      <c r="B14899">
        <v>0</v>
      </c>
    </row>
    <row r="14900" spans="1:2" x14ac:dyDescent="0.25">
      <c r="A14900">
        <v>29193</v>
      </c>
      <c r="B14900">
        <v>0</v>
      </c>
    </row>
    <row r="14901" spans="1:2" x14ac:dyDescent="0.25">
      <c r="A14901">
        <v>29194</v>
      </c>
      <c r="B14901">
        <v>0</v>
      </c>
    </row>
    <row r="14902" spans="1:2" x14ac:dyDescent="0.25">
      <c r="A14902">
        <v>29196</v>
      </c>
      <c r="B14902">
        <v>0</v>
      </c>
    </row>
    <row r="14903" spans="1:2" x14ac:dyDescent="0.25">
      <c r="A14903">
        <v>29197</v>
      </c>
      <c r="B14903">
        <v>0</v>
      </c>
    </row>
    <row r="14904" spans="1:2" x14ac:dyDescent="0.25">
      <c r="A14904">
        <v>29199</v>
      </c>
      <c r="B14904">
        <v>0</v>
      </c>
    </row>
    <row r="14905" spans="1:2" x14ac:dyDescent="0.25">
      <c r="A14905">
        <v>29201</v>
      </c>
      <c r="B14905">
        <v>0</v>
      </c>
    </row>
    <row r="14906" spans="1:2" x14ac:dyDescent="0.25">
      <c r="A14906">
        <v>29203</v>
      </c>
      <c r="B14906">
        <v>0</v>
      </c>
    </row>
    <row r="14907" spans="1:2" x14ac:dyDescent="0.25">
      <c r="A14907">
        <v>29205</v>
      </c>
      <c r="B14907">
        <v>0</v>
      </c>
    </row>
    <row r="14908" spans="1:2" x14ac:dyDescent="0.25">
      <c r="A14908">
        <v>29207</v>
      </c>
      <c r="B14908">
        <v>0</v>
      </c>
    </row>
    <row r="14909" spans="1:2" x14ac:dyDescent="0.25">
      <c r="A14909">
        <v>29209</v>
      </c>
      <c r="B14909">
        <v>0</v>
      </c>
    </row>
    <row r="14910" spans="1:2" x14ac:dyDescent="0.25">
      <c r="A14910">
        <v>29211</v>
      </c>
      <c r="B14910">
        <v>0</v>
      </c>
    </row>
    <row r="14911" spans="1:2" x14ac:dyDescent="0.25">
      <c r="A14911">
        <v>29214</v>
      </c>
      <c r="B14911">
        <v>0</v>
      </c>
    </row>
    <row r="14912" spans="1:2" x14ac:dyDescent="0.25">
      <c r="A14912">
        <v>29215</v>
      </c>
      <c r="B14912">
        <v>0</v>
      </c>
    </row>
    <row r="14913" spans="1:2" x14ac:dyDescent="0.25">
      <c r="A14913">
        <v>29217</v>
      </c>
      <c r="B14913">
        <v>0</v>
      </c>
    </row>
    <row r="14914" spans="1:2" x14ac:dyDescent="0.25">
      <c r="A14914">
        <v>29219</v>
      </c>
      <c r="B14914">
        <v>0</v>
      </c>
    </row>
    <row r="14915" spans="1:2" x14ac:dyDescent="0.25">
      <c r="A14915">
        <v>29221</v>
      </c>
      <c r="B14915">
        <v>0</v>
      </c>
    </row>
    <row r="14916" spans="1:2" x14ac:dyDescent="0.25">
      <c r="A14916">
        <v>29223</v>
      </c>
      <c r="B14916">
        <v>0</v>
      </c>
    </row>
    <row r="14917" spans="1:2" x14ac:dyDescent="0.25">
      <c r="A14917">
        <v>29224</v>
      </c>
      <c r="B14917">
        <v>0</v>
      </c>
    </row>
    <row r="14918" spans="1:2" x14ac:dyDescent="0.25">
      <c r="A14918">
        <v>29226</v>
      </c>
      <c r="B14918">
        <v>0</v>
      </c>
    </row>
    <row r="14919" spans="1:2" x14ac:dyDescent="0.25">
      <c r="A14919">
        <v>29228</v>
      </c>
      <c r="B14919">
        <v>0</v>
      </c>
    </row>
    <row r="14920" spans="1:2" x14ac:dyDescent="0.25">
      <c r="A14920">
        <v>29230</v>
      </c>
      <c r="B14920">
        <v>0</v>
      </c>
    </row>
    <row r="14921" spans="1:2" x14ac:dyDescent="0.25">
      <c r="A14921">
        <v>29232</v>
      </c>
      <c r="B14921">
        <v>0</v>
      </c>
    </row>
    <row r="14922" spans="1:2" x14ac:dyDescent="0.25">
      <c r="A14922">
        <v>29233</v>
      </c>
      <c r="B14922">
        <v>0</v>
      </c>
    </row>
    <row r="14923" spans="1:2" x14ac:dyDescent="0.25">
      <c r="A14923">
        <v>29240</v>
      </c>
      <c r="B14923">
        <v>0</v>
      </c>
    </row>
    <row r="14924" spans="1:2" x14ac:dyDescent="0.25">
      <c r="A14924">
        <v>29246</v>
      </c>
      <c r="B14924">
        <v>0</v>
      </c>
    </row>
    <row r="14925" spans="1:2" x14ac:dyDescent="0.25">
      <c r="A14925">
        <v>29248</v>
      </c>
      <c r="B14925">
        <v>0</v>
      </c>
    </row>
    <row r="14926" spans="1:2" x14ac:dyDescent="0.25">
      <c r="A14926">
        <v>29253</v>
      </c>
      <c r="B14926">
        <v>0</v>
      </c>
    </row>
    <row r="14927" spans="1:2" x14ac:dyDescent="0.25">
      <c r="A14927">
        <v>29260</v>
      </c>
      <c r="B14927">
        <v>0</v>
      </c>
    </row>
    <row r="14928" spans="1:2" x14ac:dyDescent="0.25">
      <c r="A14928">
        <v>29261</v>
      </c>
      <c r="B14928">
        <v>0</v>
      </c>
    </row>
    <row r="14929" spans="1:2" x14ac:dyDescent="0.25">
      <c r="A14929">
        <v>29262</v>
      </c>
      <c r="B14929">
        <v>0</v>
      </c>
    </row>
    <row r="14930" spans="1:2" x14ac:dyDescent="0.25">
      <c r="A14930">
        <v>29263</v>
      </c>
      <c r="B14930">
        <v>0</v>
      </c>
    </row>
    <row r="14931" spans="1:2" x14ac:dyDescent="0.25">
      <c r="A14931">
        <v>29264</v>
      </c>
      <c r="B14931">
        <v>0</v>
      </c>
    </row>
    <row r="14932" spans="1:2" x14ac:dyDescent="0.25">
      <c r="A14932">
        <v>29265</v>
      </c>
      <c r="B14932">
        <v>0</v>
      </c>
    </row>
    <row r="14933" spans="1:2" x14ac:dyDescent="0.25">
      <c r="A14933">
        <v>29266</v>
      </c>
      <c r="B14933">
        <v>0</v>
      </c>
    </row>
    <row r="14934" spans="1:2" x14ac:dyDescent="0.25">
      <c r="A14934">
        <v>29267</v>
      </c>
      <c r="B14934">
        <v>0</v>
      </c>
    </row>
    <row r="14935" spans="1:2" x14ac:dyDescent="0.25">
      <c r="A14935">
        <v>29268</v>
      </c>
      <c r="B14935">
        <v>0</v>
      </c>
    </row>
    <row r="14936" spans="1:2" x14ac:dyDescent="0.25">
      <c r="A14936">
        <v>29269</v>
      </c>
      <c r="B14936">
        <v>0</v>
      </c>
    </row>
    <row r="14937" spans="1:2" x14ac:dyDescent="0.25">
      <c r="A14937">
        <v>29270</v>
      </c>
      <c r="B14937">
        <v>0</v>
      </c>
    </row>
    <row r="14938" spans="1:2" x14ac:dyDescent="0.25">
      <c r="A14938">
        <v>29271</v>
      </c>
      <c r="B14938">
        <v>0</v>
      </c>
    </row>
    <row r="14939" spans="1:2" x14ac:dyDescent="0.25">
      <c r="A14939">
        <v>29272</v>
      </c>
      <c r="B14939">
        <v>0</v>
      </c>
    </row>
    <row r="14940" spans="1:2" x14ac:dyDescent="0.25">
      <c r="A14940">
        <v>29273</v>
      </c>
      <c r="B14940">
        <v>0</v>
      </c>
    </row>
    <row r="14941" spans="1:2" x14ac:dyDescent="0.25">
      <c r="A14941">
        <v>29274</v>
      </c>
      <c r="B14941">
        <v>0</v>
      </c>
    </row>
    <row r="14942" spans="1:2" x14ac:dyDescent="0.25">
      <c r="A14942">
        <v>29275</v>
      </c>
      <c r="B14942">
        <v>0</v>
      </c>
    </row>
    <row r="14943" spans="1:2" x14ac:dyDescent="0.25">
      <c r="A14943">
        <v>29277</v>
      </c>
      <c r="B14943">
        <v>0</v>
      </c>
    </row>
    <row r="14944" spans="1:2" x14ac:dyDescent="0.25">
      <c r="A14944">
        <v>29278</v>
      </c>
      <c r="B14944">
        <v>0</v>
      </c>
    </row>
    <row r="14945" spans="1:2" x14ac:dyDescent="0.25">
      <c r="A14945">
        <v>29279</v>
      </c>
      <c r="B14945">
        <v>0</v>
      </c>
    </row>
    <row r="14946" spans="1:2" x14ac:dyDescent="0.25">
      <c r="A14946">
        <v>29281</v>
      </c>
      <c r="B14946">
        <v>0</v>
      </c>
    </row>
    <row r="14947" spans="1:2" x14ac:dyDescent="0.25">
      <c r="A14947">
        <v>29283</v>
      </c>
      <c r="B14947">
        <v>0</v>
      </c>
    </row>
    <row r="14948" spans="1:2" x14ac:dyDescent="0.25">
      <c r="A14948">
        <v>29285</v>
      </c>
      <c r="B14948">
        <v>0</v>
      </c>
    </row>
    <row r="14949" spans="1:2" x14ac:dyDescent="0.25">
      <c r="A14949">
        <v>29286</v>
      </c>
      <c r="B14949">
        <v>0</v>
      </c>
    </row>
    <row r="14950" spans="1:2" x14ac:dyDescent="0.25">
      <c r="A14950">
        <v>29287</v>
      </c>
      <c r="B14950">
        <v>0</v>
      </c>
    </row>
    <row r="14951" spans="1:2" x14ac:dyDescent="0.25">
      <c r="A14951">
        <v>29289</v>
      </c>
      <c r="B14951">
        <v>0</v>
      </c>
    </row>
    <row r="14952" spans="1:2" x14ac:dyDescent="0.25">
      <c r="A14952">
        <v>29290</v>
      </c>
      <c r="B14952">
        <v>0</v>
      </c>
    </row>
    <row r="14953" spans="1:2" x14ac:dyDescent="0.25">
      <c r="A14953">
        <v>29292</v>
      </c>
      <c r="B14953">
        <v>0</v>
      </c>
    </row>
    <row r="14954" spans="1:2" x14ac:dyDescent="0.25">
      <c r="A14954">
        <v>29294</v>
      </c>
      <c r="B14954">
        <v>0</v>
      </c>
    </row>
    <row r="14955" spans="1:2" x14ac:dyDescent="0.25">
      <c r="A14955">
        <v>29295</v>
      </c>
      <c r="B14955">
        <v>0</v>
      </c>
    </row>
    <row r="14956" spans="1:2" x14ac:dyDescent="0.25">
      <c r="A14956">
        <v>29296</v>
      </c>
      <c r="B14956">
        <v>0</v>
      </c>
    </row>
    <row r="14957" spans="1:2" x14ac:dyDescent="0.25">
      <c r="A14957">
        <v>29297</v>
      </c>
      <c r="B14957">
        <v>0</v>
      </c>
    </row>
    <row r="14958" spans="1:2" x14ac:dyDescent="0.25">
      <c r="A14958">
        <v>29298</v>
      </c>
      <c r="B14958">
        <v>0</v>
      </c>
    </row>
    <row r="14959" spans="1:2" x14ac:dyDescent="0.25">
      <c r="A14959">
        <v>29301</v>
      </c>
      <c r="B14959">
        <v>0</v>
      </c>
    </row>
    <row r="14960" spans="1:2" x14ac:dyDescent="0.25">
      <c r="A14960">
        <v>29302</v>
      </c>
      <c r="B14960">
        <v>0</v>
      </c>
    </row>
    <row r="14961" spans="1:2" x14ac:dyDescent="0.25">
      <c r="A14961">
        <v>29303</v>
      </c>
      <c r="B14961">
        <v>0</v>
      </c>
    </row>
    <row r="14962" spans="1:2" x14ac:dyDescent="0.25">
      <c r="A14962">
        <v>29304</v>
      </c>
      <c r="B14962">
        <v>0</v>
      </c>
    </row>
    <row r="14963" spans="1:2" x14ac:dyDescent="0.25">
      <c r="A14963">
        <v>29305</v>
      </c>
      <c r="B14963">
        <v>0</v>
      </c>
    </row>
    <row r="14964" spans="1:2" x14ac:dyDescent="0.25">
      <c r="A14964">
        <v>29306</v>
      </c>
      <c r="B14964">
        <v>0</v>
      </c>
    </row>
    <row r="14965" spans="1:2" x14ac:dyDescent="0.25">
      <c r="A14965">
        <v>29308</v>
      </c>
      <c r="B14965">
        <v>0</v>
      </c>
    </row>
    <row r="14966" spans="1:2" x14ac:dyDescent="0.25">
      <c r="A14966">
        <v>29310</v>
      </c>
      <c r="B14966">
        <v>0</v>
      </c>
    </row>
    <row r="14967" spans="1:2" x14ac:dyDescent="0.25">
      <c r="A14967">
        <v>29311</v>
      </c>
      <c r="B14967">
        <v>0</v>
      </c>
    </row>
    <row r="14968" spans="1:2" x14ac:dyDescent="0.25">
      <c r="A14968">
        <v>29313</v>
      </c>
      <c r="B14968">
        <v>0</v>
      </c>
    </row>
    <row r="14969" spans="1:2" x14ac:dyDescent="0.25">
      <c r="A14969">
        <v>29315</v>
      </c>
      <c r="B14969">
        <v>0</v>
      </c>
    </row>
    <row r="14970" spans="1:2" x14ac:dyDescent="0.25">
      <c r="A14970">
        <v>29316</v>
      </c>
      <c r="B14970">
        <v>0</v>
      </c>
    </row>
    <row r="14971" spans="1:2" x14ac:dyDescent="0.25">
      <c r="A14971">
        <v>29318</v>
      </c>
      <c r="B14971">
        <v>0</v>
      </c>
    </row>
    <row r="14972" spans="1:2" x14ac:dyDescent="0.25">
      <c r="A14972">
        <v>29320</v>
      </c>
      <c r="B14972">
        <v>0</v>
      </c>
    </row>
    <row r="14973" spans="1:2" x14ac:dyDescent="0.25">
      <c r="A14973">
        <v>29321</v>
      </c>
      <c r="B14973">
        <v>0</v>
      </c>
    </row>
    <row r="14974" spans="1:2" x14ac:dyDescent="0.25">
      <c r="A14974">
        <v>29323</v>
      </c>
      <c r="B14974">
        <v>0</v>
      </c>
    </row>
    <row r="14975" spans="1:2" x14ac:dyDescent="0.25">
      <c r="A14975">
        <v>29326</v>
      </c>
      <c r="B14975">
        <v>0</v>
      </c>
    </row>
    <row r="14976" spans="1:2" x14ac:dyDescent="0.25">
      <c r="A14976">
        <v>29327</v>
      </c>
      <c r="B14976">
        <v>0</v>
      </c>
    </row>
    <row r="14977" spans="1:2" x14ac:dyDescent="0.25">
      <c r="A14977">
        <v>29329</v>
      </c>
      <c r="B14977">
        <v>0</v>
      </c>
    </row>
    <row r="14978" spans="1:2" x14ac:dyDescent="0.25">
      <c r="A14978">
        <v>29330</v>
      </c>
      <c r="B14978">
        <v>0</v>
      </c>
    </row>
    <row r="14979" spans="1:2" x14ac:dyDescent="0.25">
      <c r="A14979">
        <v>29332</v>
      </c>
      <c r="B14979">
        <v>0</v>
      </c>
    </row>
    <row r="14980" spans="1:2" x14ac:dyDescent="0.25">
      <c r="A14980">
        <v>29334</v>
      </c>
      <c r="B14980">
        <v>0</v>
      </c>
    </row>
    <row r="14981" spans="1:2" x14ac:dyDescent="0.25">
      <c r="A14981">
        <v>29335</v>
      </c>
      <c r="B14981">
        <v>0</v>
      </c>
    </row>
    <row r="14982" spans="1:2" x14ac:dyDescent="0.25">
      <c r="A14982">
        <v>29337</v>
      </c>
      <c r="B14982">
        <v>0</v>
      </c>
    </row>
    <row r="14983" spans="1:2" x14ac:dyDescent="0.25">
      <c r="A14983">
        <v>29340</v>
      </c>
      <c r="B14983">
        <v>0</v>
      </c>
    </row>
    <row r="14984" spans="1:2" x14ac:dyDescent="0.25">
      <c r="A14984">
        <v>29342</v>
      </c>
      <c r="B14984">
        <v>0</v>
      </c>
    </row>
    <row r="14985" spans="1:2" x14ac:dyDescent="0.25">
      <c r="A14985">
        <v>29344</v>
      </c>
      <c r="B14985">
        <v>0</v>
      </c>
    </row>
    <row r="14986" spans="1:2" x14ac:dyDescent="0.25">
      <c r="A14986">
        <v>29347</v>
      </c>
      <c r="B14986">
        <v>0</v>
      </c>
    </row>
    <row r="14987" spans="1:2" x14ac:dyDescent="0.25">
      <c r="A14987">
        <v>29349</v>
      </c>
      <c r="B14987">
        <v>0</v>
      </c>
    </row>
    <row r="14988" spans="1:2" x14ac:dyDescent="0.25">
      <c r="A14988">
        <v>29351</v>
      </c>
      <c r="B14988">
        <v>0</v>
      </c>
    </row>
    <row r="14989" spans="1:2" x14ac:dyDescent="0.25">
      <c r="A14989">
        <v>29353</v>
      </c>
      <c r="B14989">
        <v>0</v>
      </c>
    </row>
    <row r="14990" spans="1:2" x14ac:dyDescent="0.25">
      <c r="A14990">
        <v>29355</v>
      </c>
      <c r="B14990">
        <v>0</v>
      </c>
    </row>
    <row r="14991" spans="1:2" x14ac:dyDescent="0.25">
      <c r="A14991">
        <v>29356</v>
      </c>
      <c r="B14991">
        <v>0</v>
      </c>
    </row>
    <row r="14992" spans="1:2" x14ac:dyDescent="0.25">
      <c r="A14992">
        <v>29357</v>
      </c>
      <c r="B14992">
        <v>0</v>
      </c>
    </row>
    <row r="14993" spans="1:2" x14ac:dyDescent="0.25">
      <c r="A14993">
        <v>29358</v>
      </c>
      <c r="B14993">
        <v>0</v>
      </c>
    </row>
    <row r="14994" spans="1:2" x14ac:dyDescent="0.25">
      <c r="A14994">
        <v>29361</v>
      </c>
      <c r="B14994">
        <v>0</v>
      </c>
    </row>
    <row r="14995" spans="1:2" x14ac:dyDescent="0.25">
      <c r="A14995">
        <v>29363</v>
      </c>
      <c r="B14995">
        <v>0</v>
      </c>
    </row>
    <row r="14996" spans="1:2" x14ac:dyDescent="0.25">
      <c r="A14996">
        <v>29365</v>
      </c>
      <c r="B14996">
        <v>0</v>
      </c>
    </row>
    <row r="14997" spans="1:2" x14ac:dyDescent="0.25">
      <c r="A14997">
        <v>29366</v>
      </c>
      <c r="B14997">
        <v>0</v>
      </c>
    </row>
    <row r="14998" spans="1:2" x14ac:dyDescent="0.25">
      <c r="A14998">
        <v>29367</v>
      </c>
      <c r="B14998">
        <v>0</v>
      </c>
    </row>
    <row r="14999" spans="1:2" x14ac:dyDescent="0.25">
      <c r="A14999">
        <v>29368</v>
      </c>
      <c r="B14999">
        <v>0</v>
      </c>
    </row>
    <row r="15000" spans="1:2" x14ac:dyDescent="0.25">
      <c r="A15000">
        <v>29370</v>
      </c>
      <c r="B15000">
        <v>0</v>
      </c>
    </row>
    <row r="15001" spans="1:2" x14ac:dyDescent="0.25">
      <c r="A15001">
        <v>29373</v>
      </c>
      <c r="B15001">
        <v>0</v>
      </c>
    </row>
    <row r="15002" spans="1:2" x14ac:dyDescent="0.25">
      <c r="A15002">
        <v>29374</v>
      </c>
      <c r="B15002">
        <v>0</v>
      </c>
    </row>
    <row r="15003" spans="1:2" x14ac:dyDescent="0.25">
      <c r="A15003">
        <v>29375</v>
      </c>
      <c r="B15003">
        <v>0</v>
      </c>
    </row>
    <row r="15004" spans="1:2" x14ac:dyDescent="0.25">
      <c r="A15004">
        <v>29377</v>
      </c>
      <c r="B15004">
        <v>0</v>
      </c>
    </row>
    <row r="15005" spans="1:2" x14ac:dyDescent="0.25">
      <c r="A15005">
        <v>29379</v>
      </c>
      <c r="B15005">
        <v>0</v>
      </c>
    </row>
    <row r="15006" spans="1:2" x14ac:dyDescent="0.25">
      <c r="A15006">
        <v>29381</v>
      </c>
      <c r="B15006">
        <v>0</v>
      </c>
    </row>
    <row r="15007" spans="1:2" x14ac:dyDescent="0.25">
      <c r="A15007">
        <v>29382</v>
      </c>
      <c r="B15007">
        <v>0</v>
      </c>
    </row>
    <row r="15008" spans="1:2" x14ac:dyDescent="0.25">
      <c r="A15008">
        <v>29383</v>
      </c>
      <c r="B15008">
        <v>0</v>
      </c>
    </row>
    <row r="15009" spans="1:2" x14ac:dyDescent="0.25">
      <c r="A15009">
        <v>29384</v>
      </c>
      <c r="B15009">
        <v>0</v>
      </c>
    </row>
    <row r="15010" spans="1:2" x14ac:dyDescent="0.25">
      <c r="A15010">
        <v>29385</v>
      </c>
      <c r="B15010">
        <v>0</v>
      </c>
    </row>
    <row r="15011" spans="1:2" x14ac:dyDescent="0.25">
      <c r="A15011">
        <v>29386</v>
      </c>
      <c r="B15011">
        <v>0</v>
      </c>
    </row>
    <row r="15012" spans="1:2" x14ac:dyDescent="0.25">
      <c r="A15012">
        <v>29387</v>
      </c>
      <c r="B15012">
        <v>0</v>
      </c>
    </row>
    <row r="15013" spans="1:2" x14ac:dyDescent="0.25">
      <c r="A15013">
        <v>29388</v>
      </c>
      <c r="B15013">
        <v>0</v>
      </c>
    </row>
    <row r="15014" spans="1:2" x14ac:dyDescent="0.25">
      <c r="A15014">
        <v>29389</v>
      </c>
      <c r="B15014">
        <v>0</v>
      </c>
    </row>
    <row r="15015" spans="1:2" x14ac:dyDescent="0.25">
      <c r="A15015">
        <v>29390</v>
      </c>
      <c r="B15015">
        <v>0</v>
      </c>
    </row>
    <row r="15016" spans="1:2" x14ac:dyDescent="0.25">
      <c r="A15016">
        <v>29391</v>
      </c>
      <c r="B15016">
        <v>0</v>
      </c>
    </row>
    <row r="15017" spans="1:2" x14ac:dyDescent="0.25">
      <c r="A15017">
        <v>29392</v>
      </c>
      <c r="B15017">
        <v>0</v>
      </c>
    </row>
    <row r="15018" spans="1:2" x14ac:dyDescent="0.25">
      <c r="A15018">
        <v>29393</v>
      </c>
      <c r="B15018">
        <v>0</v>
      </c>
    </row>
    <row r="15019" spans="1:2" x14ac:dyDescent="0.25">
      <c r="A15019">
        <v>29395</v>
      </c>
      <c r="B15019">
        <v>0</v>
      </c>
    </row>
    <row r="15020" spans="1:2" x14ac:dyDescent="0.25">
      <c r="A15020">
        <v>29397</v>
      </c>
      <c r="B15020">
        <v>0</v>
      </c>
    </row>
    <row r="15021" spans="1:2" x14ac:dyDescent="0.25">
      <c r="A15021">
        <v>29399</v>
      </c>
      <c r="B15021">
        <v>0</v>
      </c>
    </row>
    <row r="15022" spans="1:2" x14ac:dyDescent="0.25">
      <c r="A15022">
        <v>29402</v>
      </c>
      <c r="B15022">
        <v>0</v>
      </c>
    </row>
    <row r="15023" spans="1:2" x14ac:dyDescent="0.25">
      <c r="A15023">
        <v>29403</v>
      </c>
      <c r="B15023">
        <v>0</v>
      </c>
    </row>
    <row r="15024" spans="1:2" x14ac:dyDescent="0.25">
      <c r="A15024">
        <v>29404</v>
      </c>
      <c r="B15024">
        <v>0</v>
      </c>
    </row>
    <row r="15025" spans="1:2" x14ac:dyDescent="0.25">
      <c r="A15025">
        <v>29405</v>
      </c>
      <c r="B15025">
        <v>0</v>
      </c>
    </row>
    <row r="15026" spans="1:2" x14ac:dyDescent="0.25">
      <c r="A15026">
        <v>29406</v>
      </c>
      <c r="B15026">
        <v>0</v>
      </c>
    </row>
    <row r="15027" spans="1:2" x14ac:dyDescent="0.25">
      <c r="A15027">
        <v>29408</v>
      </c>
      <c r="B15027">
        <v>0</v>
      </c>
    </row>
    <row r="15028" spans="1:2" x14ac:dyDescent="0.25">
      <c r="A15028">
        <v>29410</v>
      </c>
      <c r="B15028">
        <v>0</v>
      </c>
    </row>
    <row r="15029" spans="1:2" x14ac:dyDescent="0.25">
      <c r="A15029">
        <v>29411</v>
      </c>
      <c r="B15029">
        <v>0</v>
      </c>
    </row>
    <row r="15030" spans="1:2" x14ac:dyDescent="0.25">
      <c r="A15030">
        <v>29412</v>
      </c>
      <c r="B15030">
        <v>0</v>
      </c>
    </row>
    <row r="15031" spans="1:2" x14ac:dyDescent="0.25">
      <c r="A15031">
        <v>29413</v>
      </c>
      <c r="B15031">
        <v>0</v>
      </c>
    </row>
    <row r="15032" spans="1:2" x14ac:dyDescent="0.25">
      <c r="A15032">
        <v>29414</v>
      </c>
      <c r="B15032">
        <v>0</v>
      </c>
    </row>
    <row r="15033" spans="1:2" x14ac:dyDescent="0.25">
      <c r="A15033">
        <v>29416</v>
      </c>
      <c r="B15033">
        <v>0</v>
      </c>
    </row>
    <row r="15034" spans="1:2" x14ac:dyDescent="0.25">
      <c r="A15034">
        <v>29418</v>
      </c>
      <c r="B15034">
        <v>0</v>
      </c>
    </row>
    <row r="15035" spans="1:2" x14ac:dyDescent="0.25">
      <c r="A15035">
        <v>29420</v>
      </c>
      <c r="B15035">
        <v>0</v>
      </c>
    </row>
    <row r="15036" spans="1:2" x14ac:dyDescent="0.25">
      <c r="A15036">
        <v>29421</v>
      </c>
      <c r="B15036">
        <v>0</v>
      </c>
    </row>
    <row r="15037" spans="1:2" x14ac:dyDescent="0.25">
      <c r="A15037">
        <v>29422</v>
      </c>
      <c r="B15037">
        <v>0</v>
      </c>
    </row>
    <row r="15038" spans="1:2" x14ac:dyDescent="0.25">
      <c r="A15038">
        <v>29423</v>
      </c>
      <c r="B15038">
        <v>0</v>
      </c>
    </row>
    <row r="15039" spans="1:2" x14ac:dyDescent="0.25">
      <c r="A15039">
        <v>29424</v>
      </c>
      <c r="B15039">
        <v>0</v>
      </c>
    </row>
    <row r="15040" spans="1:2" x14ac:dyDescent="0.25">
      <c r="A15040">
        <v>29425</v>
      </c>
      <c r="B15040">
        <v>0</v>
      </c>
    </row>
    <row r="15041" spans="1:2" x14ac:dyDescent="0.25">
      <c r="A15041">
        <v>29426</v>
      </c>
      <c r="B15041">
        <v>0</v>
      </c>
    </row>
    <row r="15042" spans="1:2" x14ac:dyDescent="0.25">
      <c r="A15042">
        <v>29427</v>
      </c>
      <c r="B15042">
        <v>0</v>
      </c>
    </row>
    <row r="15043" spans="1:2" x14ac:dyDescent="0.25">
      <c r="A15043">
        <v>29428</v>
      </c>
      <c r="B15043">
        <v>0</v>
      </c>
    </row>
    <row r="15044" spans="1:2" x14ac:dyDescent="0.25">
      <c r="A15044">
        <v>29429</v>
      </c>
      <c r="B15044">
        <v>0</v>
      </c>
    </row>
    <row r="15045" spans="1:2" x14ac:dyDescent="0.25">
      <c r="A15045">
        <v>29430</v>
      </c>
      <c r="B15045">
        <v>0</v>
      </c>
    </row>
    <row r="15046" spans="1:2" x14ac:dyDescent="0.25">
      <c r="A15046">
        <v>29431</v>
      </c>
      <c r="B15046">
        <v>0</v>
      </c>
    </row>
    <row r="15047" spans="1:2" x14ac:dyDescent="0.25">
      <c r="A15047">
        <v>29432</v>
      </c>
      <c r="B15047">
        <v>0</v>
      </c>
    </row>
    <row r="15048" spans="1:2" x14ac:dyDescent="0.25">
      <c r="A15048">
        <v>29433</v>
      </c>
      <c r="B15048">
        <v>0</v>
      </c>
    </row>
    <row r="15049" spans="1:2" x14ac:dyDescent="0.25">
      <c r="A15049">
        <v>29434</v>
      </c>
      <c r="B15049">
        <v>0</v>
      </c>
    </row>
    <row r="15050" spans="1:2" x14ac:dyDescent="0.25">
      <c r="A15050">
        <v>29435</v>
      </c>
      <c r="B15050">
        <v>0</v>
      </c>
    </row>
    <row r="15051" spans="1:2" x14ac:dyDescent="0.25">
      <c r="A15051">
        <v>29436</v>
      </c>
      <c r="B15051">
        <v>0</v>
      </c>
    </row>
    <row r="15052" spans="1:2" x14ac:dyDescent="0.25">
      <c r="A15052">
        <v>29438</v>
      </c>
      <c r="B15052">
        <v>0</v>
      </c>
    </row>
    <row r="15053" spans="1:2" x14ac:dyDescent="0.25">
      <c r="A15053">
        <v>29440</v>
      </c>
      <c r="B15053">
        <v>0</v>
      </c>
    </row>
    <row r="15054" spans="1:2" x14ac:dyDescent="0.25">
      <c r="A15054">
        <v>29441</v>
      </c>
      <c r="B15054">
        <v>0</v>
      </c>
    </row>
    <row r="15055" spans="1:2" x14ac:dyDescent="0.25">
      <c r="A15055">
        <v>29443</v>
      </c>
      <c r="B15055">
        <v>0</v>
      </c>
    </row>
    <row r="15056" spans="1:2" x14ac:dyDescent="0.25">
      <c r="A15056">
        <v>29444</v>
      </c>
      <c r="B15056">
        <v>0</v>
      </c>
    </row>
    <row r="15057" spans="1:2" x14ac:dyDescent="0.25">
      <c r="A15057">
        <v>29445</v>
      </c>
      <c r="B15057">
        <v>0</v>
      </c>
    </row>
    <row r="15058" spans="1:2" x14ac:dyDescent="0.25">
      <c r="A15058">
        <v>29447</v>
      </c>
      <c r="B15058">
        <v>0</v>
      </c>
    </row>
    <row r="15059" spans="1:2" x14ac:dyDescent="0.25">
      <c r="A15059">
        <v>29449</v>
      </c>
      <c r="B15059">
        <v>0</v>
      </c>
    </row>
    <row r="15060" spans="1:2" x14ac:dyDescent="0.25">
      <c r="A15060">
        <v>29451</v>
      </c>
      <c r="B15060">
        <v>0</v>
      </c>
    </row>
    <row r="15061" spans="1:2" x14ac:dyDescent="0.25">
      <c r="A15061">
        <v>29453</v>
      </c>
      <c r="B15061">
        <v>0</v>
      </c>
    </row>
    <row r="15062" spans="1:2" x14ac:dyDescent="0.25">
      <c r="A15062">
        <v>29454</v>
      </c>
      <c r="B15062">
        <v>0</v>
      </c>
    </row>
    <row r="15063" spans="1:2" x14ac:dyDescent="0.25">
      <c r="A15063">
        <v>29456</v>
      </c>
      <c r="B15063">
        <v>0</v>
      </c>
    </row>
    <row r="15064" spans="1:2" x14ac:dyDescent="0.25">
      <c r="A15064">
        <v>29457</v>
      </c>
      <c r="B15064">
        <v>0</v>
      </c>
    </row>
    <row r="15065" spans="1:2" x14ac:dyDescent="0.25">
      <c r="A15065">
        <v>29458</v>
      </c>
      <c r="B15065">
        <v>0</v>
      </c>
    </row>
    <row r="15066" spans="1:2" x14ac:dyDescent="0.25">
      <c r="A15066">
        <v>29459</v>
      </c>
      <c r="B15066">
        <v>0</v>
      </c>
    </row>
    <row r="15067" spans="1:2" x14ac:dyDescent="0.25">
      <c r="A15067">
        <v>29460</v>
      </c>
      <c r="B15067">
        <v>0</v>
      </c>
    </row>
    <row r="15068" spans="1:2" x14ac:dyDescent="0.25">
      <c r="A15068">
        <v>29461</v>
      </c>
      <c r="B15068">
        <v>0</v>
      </c>
    </row>
    <row r="15069" spans="1:2" x14ac:dyDescent="0.25">
      <c r="A15069">
        <v>29462</v>
      </c>
      <c r="B15069">
        <v>0</v>
      </c>
    </row>
    <row r="15070" spans="1:2" x14ac:dyDescent="0.25">
      <c r="A15070">
        <v>29463</v>
      </c>
      <c r="B15070">
        <v>0</v>
      </c>
    </row>
    <row r="15071" spans="1:2" x14ac:dyDescent="0.25">
      <c r="A15071">
        <v>29465</v>
      </c>
      <c r="B15071">
        <v>0</v>
      </c>
    </row>
    <row r="15072" spans="1:2" x14ac:dyDescent="0.25">
      <c r="A15072">
        <v>29467</v>
      </c>
      <c r="B15072">
        <v>0</v>
      </c>
    </row>
    <row r="15073" spans="1:2" x14ac:dyDescent="0.25">
      <c r="A15073">
        <v>29469</v>
      </c>
      <c r="B15073">
        <v>0</v>
      </c>
    </row>
    <row r="15074" spans="1:2" x14ac:dyDescent="0.25">
      <c r="A15074">
        <v>29471</v>
      </c>
      <c r="B15074">
        <v>0</v>
      </c>
    </row>
    <row r="15075" spans="1:2" x14ac:dyDescent="0.25">
      <c r="A15075">
        <v>29473</v>
      </c>
      <c r="B15075">
        <v>0</v>
      </c>
    </row>
    <row r="15076" spans="1:2" x14ac:dyDescent="0.25">
      <c r="A15076">
        <v>29474</v>
      </c>
      <c r="B15076">
        <v>0</v>
      </c>
    </row>
    <row r="15077" spans="1:2" x14ac:dyDescent="0.25">
      <c r="A15077">
        <v>29475</v>
      </c>
      <c r="B15077">
        <v>0</v>
      </c>
    </row>
    <row r="15078" spans="1:2" x14ac:dyDescent="0.25">
      <c r="A15078">
        <v>29476</v>
      </c>
      <c r="B15078">
        <v>0</v>
      </c>
    </row>
    <row r="15079" spans="1:2" x14ac:dyDescent="0.25">
      <c r="A15079">
        <v>29477</v>
      </c>
      <c r="B15079">
        <v>0</v>
      </c>
    </row>
    <row r="15080" spans="1:2" x14ac:dyDescent="0.25">
      <c r="A15080">
        <v>29478</v>
      </c>
      <c r="B15080">
        <v>0</v>
      </c>
    </row>
    <row r="15081" spans="1:2" x14ac:dyDescent="0.25">
      <c r="A15081">
        <v>29480</v>
      </c>
      <c r="B15081">
        <v>0</v>
      </c>
    </row>
    <row r="15082" spans="1:2" x14ac:dyDescent="0.25">
      <c r="A15082">
        <v>29481</v>
      </c>
      <c r="B15082">
        <v>0</v>
      </c>
    </row>
    <row r="15083" spans="1:2" x14ac:dyDescent="0.25">
      <c r="A15083">
        <v>29482</v>
      </c>
      <c r="B15083">
        <v>0</v>
      </c>
    </row>
    <row r="15084" spans="1:2" x14ac:dyDescent="0.25">
      <c r="A15084">
        <v>29485</v>
      </c>
      <c r="B15084">
        <v>0</v>
      </c>
    </row>
    <row r="15085" spans="1:2" x14ac:dyDescent="0.25">
      <c r="A15085">
        <v>29486</v>
      </c>
      <c r="B15085">
        <v>0</v>
      </c>
    </row>
    <row r="15086" spans="1:2" x14ac:dyDescent="0.25">
      <c r="A15086">
        <v>29487</v>
      </c>
      <c r="B15086">
        <v>0</v>
      </c>
    </row>
    <row r="15087" spans="1:2" x14ac:dyDescent="0.25">
      <c r="A15087">
        <v>29488</v>
      </c>
      <c r="B15087">
        <v>0</v>
      </c>
    </row>
    <row r="15088" spans="1:2" x14ac:dyDescent="0.25">
      <c r="A15088">
        <v>29489</v>
      </c>
      <c r="B15088">
        <v>0</v>
      </c>
    </row>
    <row r="15089" spans="1:2" x14ac:dyDescent="0.25">
      <c r="A15089">
        <v>29490</v>
      </c>
      <c r="B15089">
        <v>0</v>
      </c>
    </row>
    <row r="15090" spans="1:2" x14ac:dyDescent="0.25">
      <c r="A15090">
        <v>29491</v>
      </c>
      <c r="B15090">
        <v>0</v>
      </c>
    </row>
    <row r="15091" spans="1:2" x14ac:dyDescent="0.25">
      <c r="A15091">
        <v>29493</v>
      </c>
      <c r="B15091">
        <v>0</v>
      </c>
    </row>
    <row r="15092" spans="1:2" x14ac:dyDescent="0.25">
      <c r="A15092">
        <v>29495</v>
      </c>
      <c r="B15092">
        <v>0</v>
      </c>
    </row>
    <row r="15093" spans="1:2" x14ac:dyDescent="0.25">
      <c r="A15093">
        <v>29499</v>
      </c>
      <c r="B15093">
        <v>0</v>
      </c>
    </row>
    <row r="15094" spans="1:2" x14ac:dyDescent="0.25">
      <c r="A15094">
        <v>29500</v>
      </c>
      <c r="B15094">
        <v>0</v>
      </c>
    </row>
    <row r="15095" spans="1:2" x14ac:dyDescent="0.25">
      <c r="A15095">
        <v>29501</v>
      </c>
      <c r="B15095">
        <v>0</v>
      </c>
    </row>
    <row r="15096" spans="1:2" x14ac:dyDescent="0.25">
      <c r="A15096">
        <v>29502</v>
      </c>
      <c r="B15096">
        <v>0</v>
      </c>
    </row>
    <row r="15097" spans="1:2" x14ac:dyDescent="0.25">
      <c r="A15097">
        <v>29503</v>
      </c>
      <c r="B15097">
        <v>0</v>
      </c>
    </row>
    <row r="15098" spans="1:2" x14ac:dyDescent="0.25">
      <c r="A15098">
        <v>29504</v>
      </c>
      <c r="B15098">
        <v>0</v>
      </c>
    </row>
    <row r="15099" spans="1:2" x14ac:dyDescent="0.25">
      <c r="A15099">
        <v>29505</v>
      </c>
      <c r="B15099">
        <v>0</v>
      </c>
    </row>
    <row r="15100" spans="1:2" x14ac:dyDescent="0.25">
      <c r="A15100">
        <v>29506</v>
      </c>
      <c r="B15100">
        <v>0</v>
      </c>
    </row>
    <row r="15101" spans="1:2" x14ac:dyDescent="0.25">
      <c r="A15101">
        <v>29507</v>
      </c>
      <c r="B15101">
        <v>0</v>
      </c>
    </row>
    <row r="15102" spans="1:2" x14ac:dyDescent="0.25">
      <c r="A15102">
        <v>29508</v>
      </c>
      <c r="B15102">
        <v>0</v>
      </c>
    </row>
    <row r="15103" spans="1:2" x14ac:dyDescent="0.25">
      <c r="A15103">
        <v>29509</v>
      </c>
      <c r="B15103">
        <v>0</v>
      </c>
    </row>
    <row r="15104" spans="1:2" x14ac:dyDescent="0.25">
      <c r="A15104">
        <v>29510</v>
      </c>
      <c r="B15104">
        <v>0</v>
      </c>
    </row>
    <row r="15105" spans="1:2" x14ac:dyDescent="0.25">
      <c r="A15105">
        <v>29512</v>
      </c>
      <c r="B15105">
        <v>0</v>
      </c>
    </row>
    <row r="15106" spans="1:2" x14ac:dyDescent="0.25">
      <c r="A15106">
        <v>29514</v>
      </c>
      <c r="B15106">
        <v>0</v>
      </c>
    </row>
    <row r="15107" spans="1:2" x14ac:dyDescent="0.25">
      <c r="A15107">
        <v>29515</v>
      </c>
      <c r="B15107">
        <v>0</v>
      </c>
    </row>
    <row r="15108" spans="1:2" x14ac:dyDescent="0.25">
      <c r="A15108">
        <v>29516</v>
      </c>
      <c r="B15108">
        <v>0</v>
      </c>
    </row>
    <row r="15109" spans="1:2" x14ac:dyDescent="0.25">
      <c r="A15109">
        <v>29517</v>
      </c>
      <c r="B15109">
        <v>0</v>
      </c>
    </row>
    <row r="15110" spans="1:2" x14ac:dyDescent="0.25">
      <c r="A15110">
        <v>29518</v>
      </c>
      <c r="B15110">
        <v>0</v>
      </c>
    </row>
    <row r="15111" spans="1:2" x14ac:dyDescent="0.25">
      <c r="A15111">
        <v>29523</v>
      </c>
      <c r="B15111">
        <v>0</v>
      </c>
    </row>
    <row r="15112" spans="1:2" x14ac:dyDescent="0.25">
      <c r="A15112">
        <v>29525</v>
      </c>
      <c r="B15112">
        <v>0</v>
      </c>
    </row>
    <row r="15113" spans="1:2" x14ac:dyDescent="0.25">
      <c r="A15113">
        <v>29526</v>
      </c>
      <c r="B15113">
        <v>0</v>
      </c>
    </row>
    <row r="15114" spans="1:2" x14ac:dyDescent="0.25">
      <c r="A15114">
        <v>29528</v>
      </c>
      <c r="B15114">
        <v>0</v>
      </c>
    </row>
    <row r="15115" spans="1:2" x14ac:dyDescent="0.25">
      <c r="A15115">
        <v>29530</v>
      </c>
      <c r="B15115">
        <v>0</v>
      </c>
    </row>
    <row r="15116" spans="1:2" x14ac:dyDescent="0.25">
      <c r="A15116">
        <v>29532</v>
      </c>
      <c r="B15116">
        <v>0</v>
      </c>
    </row>
    <row r="15117" spans="1:2" x14ac:dyDescent="0.25">
      <c r="A15117">
        <v>29534</v>
      </c>
      <c r="B15117">
        <v>0</v>
      </c>
    </row>
    <row r="15118" spans="1:2" x14ac:dyDescent="0.25">
      <c r="A15118">
        <v>29535</v>
      </c>
      <c r="B15118">
        <v>0</v>
      </c>
    </row>
    <row r="15119" spans="1:2" x14ac:dyDescent="0.25">
      <c r="A15119">
        <v>29536</v>
      </c>
      <c r="B15119">
        <v>0</v>
      </c>
    </row>
    <row r="15120" spans="1:2" x14ac:dyDescent="0.25">
      <c r="A15120">
        <v>29537</v>
      </c>
      <c r="B15120">
        <v>0</v>
      </c>
    </row>
    <row r="15121" spans="1:2" x14ac:dyDescent="0.25">
      <c r="A15121">
        <v>29538</v>
      </c>
      <c r="B15121">
        <v>0</v>
      </c>
    </row>
    <row r="15122" spans="1:2" x14ac:dyDescent="0.25">
      <c r="A15122">
        <v>29540</v>
      </c>
      <c r="B15122">
        <v>0</v>
      </c>
    </row>
    <row r="15123" spans="1:2" x14ac:dyDescent="0.25">
      <c r="A15123">
        <v>29541</v>
      </c>
      <c r="B15123">
        <v>0</v>
      </c>
    </row>
    <row r="15124" spans="1:2" x14ac:dyDescent="0.25">
      <c r="A15124">
        <v>29542</v>
      </c>
      <c r="B15124">
        <v>0</v>
      </c>
    </row>
    <row r="15125" spans="1:2" x14ac:dyDescent="0.25">
      <c r="A15125">
        <v>29543</v>
      </c>
      <c r="B15125">
        <v>0</v>
      </c>
    </row>
    <row r="15126" spans="1:2" x14ac:dyDescent="0.25">
      <c r="A15126">
        <v>29544</v>
      </c>
      <c r="B15126">
        <v>0</v>
      </c>
    </row>
    <row r="15127" spans="1:2" x14ac:dyDescent="0.25">
      <c r="A15127">
        <v>29546</v>
      </c>
      <c r="B15127">
        <v>0</v>
      </c>
    </row>
    <row r="15128" spans="1:2" x14ac:dyDescent="0.25">
      <c r="A15128">
        <v>29547</v>
      </c>
      <c r="B15128">
        <v>0</v>
      </c>
    </row>
    <row r="15129" spans="1:2" x14ac:dyDescent="0.25">
      <c r="A15129">
        <v>29548</v>
      </c>
      <c r="B15129">
        <v>0</v>
      </c>
    </row>
    <row r="15130" spans="1:2" x14ac:dyDescent="0.25">
      <c r="A15130">
        <v>29553</v>
      </c>
      <c r="B15130">
        <v>0</v>
      </c>
    </row>
    <row r="15131" spans="1:2" x14ac:dyDescent="0.25">
      <c r="A15131">
        <v>29555</v>
      </c>
      <c r="B15131">
        <v>0</v>
      </c>
    </row>
    <row r="15132" spans="1:2" x14ac:dyDescent="0.25">
      <c r="A15132">
        <v>29556</v>
      </c>
      <c r="B15132">
        <v>0</v>
      </c>
    </row>
    <row r="15133" spans="1:2" x14ac:dyDescent="0.25">
      <c r="A15133">
        <v>29557</v>
      </c>
      <c r="B15133">
        <v>0</v>
      </c>
    </row>
    <row r="15134" spans="1:2" x14ac:dyDescent="0.25">
      <c r="A15134">
        <v>29558</v>
      </c>
      <c r="B15134">
        <v>0</v>
      </c>
    </row>
    <row r="15135" spans="1:2" x14ac:dyDescent="0.25">
      <c r="A15135">
        <v>29559</v>
      </c>
      <c r="B15135">
        <v>0</v>
      </c>
    </row>
    <row r="15136" spans="1:2" x14ac:dyDescent="0.25">
      <c r="A15136">
        <v>29560</v>
      </c>
      <c r="B15136">
        <v>0</v>
      </c>
    </row>
    <row r="15137" spans="1:2" x14ac:dyDescent="0.25">
      <c r="A15137">
        <v>29561</v>
      </c>
      <c r="B15137">
        <v>0</v>
      </c>
    </row>
    <row r="15138" spans="1:2" x14ac:dyDescent="0.25">
      <c r="A15138">
        <v>29563</v>
      </c>
      <c r="B15138">
        <v>0</v>
      </c>
    </row>
    <row r="15139" spans="1:2" x14ac:dyDescent="0.25">
      <c r="A15139">
        <v>29564</v>
      </c>
      <c r="B15139">
        <v>0</v>
      </c>
    </row>
    <row r="15140" spans="1:2" x14ac:dyDescent="0.25">
      <c r="A15140">
        <v>29565</v>
      </c>
      <c r="B15140">
        <v>0</v>
      </c>
    </row>
    <row r="15141" spans="1:2" x14ac:dyDescent="0.25">
      <c r="A15141">
        <v>29568</v>
      </c>
      <c r="B15141">
        <v>0</v>
      </c>
    </row>
    <row r="15142" spans="1:2" x14ac:dyDescent="0.25">
      <c r="A15142">
        <v>29569</v>
      </c>
      <c r="B15142">
        <v>0</v>
      </c>
    </row>
    <row r="15143" spans="1:2" x14ac:dyDescent="0.25">
      <c r="A15143">
        <v>29570</v>
      </c>
      <c r="B15143">
        <v>0</v>
      </c>
    </row>
    <row r="15144" spans="1:2" x14ac:dyDescent="0.25">
      <c r="A15144">
        <v>29571</v>
      </c>
      <c r="B15144">
        <v>0</v>
      </c>
    </row>
    <row r="15145" spans="1:2" x14ac:dyDescent="0.25">
      <c r="A15145">
        <v>29572</v>
      </c>
      <c r="B15145">
        <v>0</v>
      </c>
    </row>
    <row r="15146" spans="1:2" x14ac:dyDescent="0.25">
      <c r="A15146">
        <v>29573</v>
      </c>
      <c r="B15146">
        <v>0</v>
      </c>
    </row>
    <row r="15147" spans="1:2" x14ac:dyDescent="0.25">
      <c r="A15147">
        <v>29574</v>
      </c>
      <c r="B15147">
        <v>0</v>
      </c>
    </row>
    <row r="15148" spans="1:2" x14ac:dyDescent="0.25">
      <c r="A15148">
        <v>29575</v>
      </c>
      <c r="B15148">
        <v>0</v>
      </c>
    </row>
    <row r="15149" spans="1:2" x14ac:dyDescent="0.25">
      <c r="A15149">
        <v>29576</v>
      </c>
      <c r="B15149">
        <v>0</v>
      </c>
    </row>
    <row r="15150" spans="1:2" x14ac:dyDescent="0.25">
      <c r="A15150">
        <v>29577</v>
      </c>
      <c r="B15150">
        <v>0</v>
      </c>
    </row>
    <row r="15151" spans="1:2" x14ac:dyDescent="0.25">
      <c r="A15151">
        <v>29580</v>
      </c>
      <c r="B15151">
        <v>0</v>
      </c>
    </row>
    <row r="15152" spans="1:2" x14ac:dyDescent="0.25">
      <c r="A15152">
        <v>29582</v>
      </c>
      <c r="B15152">
        <v>0</v>
      </c>
    </row>
    <row r="15153" spans="1:2" x14ac:dyDescent="0.25">
      <c r="A15153">
        <v>29583</v>
      </c>
      <c r="B15153">
        <v>0</v>
      </c>
    </row>
    <row r="15154" spans="1:2" x14ac:dyDescent="0.25">
      <c r="A15154">
        <v>29584</v>
      </c>
      <c r="B15154">
        <v>0</v>
      </c>
    </row>
    <row r="15155" spans="1:2" x14ac:dyDescent="0.25">
      <c r="A15155">
        <v>29585</v>
      </c>
      <c r="B15155">
        <v>0</v>
      </c>
    </row>
    <row r="15156" spans="1:2" x14ac:dyDescent="0.25">
      <c r="A15156">
        <v>29586</v>
      </c>
      <c r="B15156">
        <v>0</v>
      </c>
    </row>
    <row r="15157" spans="1:2" x14ac:dyDescent="0.25">
      <c r="A15157">
        <v>29587</v>
      </c>
      <c r="B15157">
        <v>0</v>
      </c>
    </row>
    <row r="15158" spans="1:2" x14ac:dyDescent="0.25">
      <c r="A15158">
        <v>29588</v>
      </c>
      <c r="B15158">
        <v>0</v>
      </c>
    </row>
    <row r="15159" spans="1:2" x14ac:dyDescent="0.25">
      <c r="A15159">
        <v>29589</v>
      </c>
      <c r="B15159">
        <v>0</v>
      </c>
    </row>
    <row r="15160" spans="1:2" x14ac:dyDescent="0.25">
      <c r="A15160">
        <v>29590</v>
      </c>
      <c r="B15160">
        <v>0</v>
      </c>
    </row>
    <row r="15161" spans="1:2" x14ac:dyDescent="0.25">
      <c r="A15161">
        <v>29592</v>
      </c>
      <c r="B15161">
        <v>0</v>
      </c>
    </row>
    <row r="15162" spans="1:2" x14ac:dyDescent="0.25">
      <c r="A15162">
        <v>29593</v>
      </c>
      <c r="B15162">
        <v>0</v>
      </c>
    </row>
    <row r="15163" spans="1:2" x14ac:dyDescent="0.25">
      <c r="A15163">
        <v>29594</v>
      </c>
      <c r="B15163">
        <v>0</v>
      </c>
    </row>
    <row r="15164" spans="1:2" x14ac:dyDescent="0.25">
      <c r="A15164">
        <v>29596</v>
      </c>
      <c r="B15164">
        <v>0</v>
      </c>
    </row>
    <row r="15165" spans="1:2" x14ac:dyDescent="0.25">
      <c r="A15165">
        <v>29598</v>
      </c>
      <c r="B15165">
        <v>0</v>
      </c>
    </row>
    <row r="15166" spans="1:2" x14ac:dyDescent="0.25">
      <c r="A15166">
        <v>29599</v>
      </c>
      <c r="B15166">
        <v>0</v>
      </c>
    </row>
    <row r="15167" spans="1:2" x14ac:dyDescent="0.25">
      <c r="A15167">
        <v>29600</v>
      </c>
      <c r="B15167">
        <v>0</v>
      </c>
    </row>
    <row r="15168" spans="1:2" x14ac:dyDescent="0.25">
      <c r="A15168">
        <v>29601</v>
      </c>
      <c r="B15168">
        <v>0</v>
      </c>
    </row>
    <row r="15169" spans="1:2" x14ac:dyDescent="0.25">
      <c r="A15169">
        <v>29602</v>
      </c>
      <c r="B15169">
        <v>0</v>
      </c>
    </row>
    <row r="15170" spans="1:2" x14ac:dyDescent="0.25">
      <c r="A15170">
        <v>29604</v>
      </c>
      <c r="B15170">
        <v>0</v>
      </c>
    </row>
    <row r="15171" spans="1:2" x14ac:dyDescent="0.25">
      <c r="A15171">
        <v>29605</v>
      </c>
      <c r="B15171">
        <v>0</v>
      </c>
    </row>
    <row r="15172" spans="1:2" x14ac:dyDescent="0.25">
      <c r="A15172">
        <v>29607</v>
      </c>
      <c r="B15172">
        <v>0</v>
      </c>
    </row>
    <row r="15173" spans="1:2" x14ac:dyDescent="0.25">
      <c r="A15173">
        <v>29608</v>
      </c>
      <c r="B15173">
        <v>0</v>
      </c>
    </row>
    <row r="15174" spans="1:2" x14ac:dyDescent="0.25">
      <c r="A15174">
        <v>29609</v>
      </c>
      <c r="B15174">
        <v>0</v>
      </c>
    </row>
    <row r="15175" spans="1:2" x14ac:dyDescent="0.25">
      <c r="A15175">
        <v>29612</v>
      </c>
      <c r="B15175">
        <v>0</v>
      </c>
    </row>
    <row r="15176" spans="1:2" x14ac:dyDescent="0.25">
      <c r="A15176">
        <v>29613</v>
      </c>
      <c r="B15176">
        <v>0</v>
      </c>
    </row>
    <row r="15177" spans="1:2" x14ac:dyDescent="0.25">
      <c r="A15177">
        <v>29614</v>
      </c>
      <c r="B15177">
        <v>0</v>
      </c>
    </row>
    <row r="15178" spans="1:2" x14ac:dyDescent="0.25">
      <c r="A15178">
        <v>29616</v>
      </c>
      <c r="B15178">
        <v>0</v>
      </c>
    </row>
    <row r="15179" spans="1:2" x14ac:dyDescent="0.25">
      <c r="A15179">
        <v>29618</v>
      </c>
      <c r="B15179">
        <v>0</v>
      </c>
    </row>
    <row r="15180" spans="1:2" x14ac:dyDescent="0.25">
      <c r="A15180">
        <v>29619</v>
      </c>
      <c r="B15180">
        <v>0</v>
      </c>
    </row>
    <row r="15181" spans="1:2" x14ac:dyDescent="0.25">
      <c r="A15181">
        <v>29622</v>
      </c>
      <c r="B15181">
        <v>0</v>
      </c>
    </row>
    <row r="15182" spans="1:2" x14ac:dyDescent="0.25">
      <c r="A15182">
        <v>29623</v>
      </c>
      <c r="B15182">
        <v>0</v>
      </c>
    </row>
    <row r="15183" spans="1:2" x14ac:dyDescent="0.25">
      <c r="A15183">
        <v>29624</v>
      </c>
      <c r="B15183">
        <v>0</v>
      </c>
    </row>
    <row r="15184" spans="1:2" x14ac:dyDescent="0.25">
      <c r="A15184">
        <v>29625</v>
      </c>
      <c r="B15184">
        <v>0</v>
      </c>
    </row>
    <row r="15185" spans="1:2" x14ac:dyDescent="0.25">
      <c r="A15185">
        <v>29626</v>
      </c>
      <c r="B15185">
        <v>0</v>
      </c>
    </row>
    <row r="15186" spans="1:2" x14ac:dyDescent="0.25">
      <c r="A15186">
        <v>29627</v>
      </c>
      <c r="B15186">
        <v>0</v>
      </c>
    </row>
    <row r="15187" spans="1:2" x14ac:dyDescent="0.25">
      <c r="A15187">
        <v>29628</v>
      </c>
      <c r="B15187">
        <v>0</v>
      </c>
    </row>
    <row r="15188" spans="1:2" x14ac:dyDescent="0.25">
      <c r="A15188">
        <v>29629</v>
      </c>
      <c r="B15188">
        <v>0</v>
      </c>
    </row>
    <row r="15189" spans="1:2" x14ac:dyDescent="0.25">
      <c r="A15189">
        <v>29630</v>
      </c>
      <c r="B15189">
        <v>0</v>
      </c>
    </row>
    <row r="15190" spans="1:2" x14ac:dyDescent="0.25">
      <c r="A15190">
        <v>29631</v>
      </c>
      <c r="B15190">
        <v>0</v>
      </c>
    </row>
    <row r="15191" spans="1:2" x14ac:dyDescent="0.25">
      <c r="A15191">
        <v>29632</v>
      </c>
      <c r="B15191">
        <v>0</v>
      </c>
    </row>
    <row r="15192" spans="1:2" x14ac:dyDescent="0.25">
      <c r="A15192">
        <v>29633</v>
      </c>
      <c r="B15192">
        <v>0</v>
      </c>
    </row>
    <row r="15193" spans="1:2" x14ac:dyDescent="0.25">
      <c r="A15193">
        <v>29634</v>
      </c>
      <c r="B15193">
        <v>0</v>
      </c>
    </row>
    <row r="15194" spans="1:2" x14ac:dyDescent="0.25">
      <c r="A15194">
        <v>29635</v>
      </c>
      <c r="B15194">
        <v>0</v>
      </c>
    </row>
    <row r="15195" spans="1:2" x14ac:dyDescent="0.25">
      <c r="A15195">
        <v>29636</v>
      </c>
      <c r="B15195">
        <v>0</v>
      </c>
    </row>
    <row r="15196" spans="1:2" x14ac:dyDescent="0.25">
      <c r="A15196">
        <v>29637</v>
      </c>
      <c r="B15196">
        <v>0</v>
      </c>
    </row>
    <row r="15197" spans="1:2" x14ac:dyDescent="0.25">
      <c r="A15197">
        <v>29639</v>
      </c>
      <c r="B15197">
        <v>0</v>
      </c>
    </row>
    <row r="15198" spans="1:2" x14ac:dyDescent="0.25">
      <c r="A15198">
        <v>29640</v>
      </c>
      <c r="B15198">
        <v>0</v>
      </c>
    </row>
    <row r="15199" spans="1:2" x14ac:dyDescent="0.25">
      <c r="A15199">
        <v>29642</v>
      </c>
      <c r="B15199">
        <v>0</v>
      </c>
    </row>
    <row r="15200" spans="1:2" x14ac:dyDescent="0.25">
      <c r="A15200">
        <v>29645</v>
      </c>
      <c r="B15200">
        <v>0</v>
      </c>
    </row>
    <row r="15201" spans="1:2" x14ac:dyDescent="0.25">
      <c r="A15201">
        <v>29646</v>
      </c>
      <c r="B15201">
        <v>0</v>
      </c>
    </row>
    <row r="15202" spans="1:2" x14ac:dyDescent="0.25">
      <c r="A15202">
        <v>29648</v>
      </c>
      <c r="B15202">
        <v>0</v>
      </c>
    </row>
    <row r="15203" spans="1:2" x14ac:dyDescent="0.25">
      <c r="A15203">
        <v>29651</v>
      </c>
      <c r="B15203">
        <v>0</v>
      </c>
    </row>
    <row r="15204" spans="1:2" x14ac:dyDescent="0.25">
      <c r="A15204">
        <v>29653</v>
      </c>
      <c r="B15204">
        <v>0</v>
      </c>
    </row>
    <row r="15205" spans="1:2" x14ac:dyDescent="0.25">
      <c r="A15205">
        <v>29654</v>
      </c>
      <c r="B15205">
        <v>0</v>
      </c>
    </row>
    <row r="15206" spans="1:2" x14ac:dyDescent="0.25">
      <c r="A15206">
        <v>29655</v>
      </c>
      <c r="B15206">
        <v>0</v>
      </c>
    </row>
    <row r="15207" spans="1:2" x14ac:dyDescent="0.25">
      <c r="A15207">
        <v>29656</v>
      </c>
      <c r="B15207">
        <v>0</v>
      </c>
    </row>
    <row r="15208" spans="1:2" x14ac:dyDescent="0.25">
      <c r="A15208">
        <v>29657</v>
      </c>
      <c r="B15208">
        <v>0</v>
      </c>
    </row>
    <row r="15209" spans="1:2" x14ac:dyDescent="0.25">
      <c r="A15209">
        <v>29659</v>
      </c>
      <c r="B15209">
        <v>0</v>
      </c>
    </row>
    <row r="15210" spans="1:2" x14ac:dyDescent="0.25">
      <c r="A15210">
        <v>29665</v>
      </c>
      <c r="B15210">
        <v>0</v>
      </c>
    </row>
    <row r="15211" spans="1:2" x14ac:dyDescent="0.25">
      <c r="A15211">
        <v>29666</v>
      </c>
      <c r="B15211">
        <v>0</v>
      </c>
    </row>
    <row r="15212" spans="1:2" x14ac:dyDescent="0.25">
      <c r="A15212">
        <v>29667</v>
      </c>
      <c r="B15212">
        <v>0</v>
      </c>
    </row>
    <row r="15213" spans="1:2" x14ac:dyDescent="0.25">
      <c r="A15213">
        <v>29668</v>
      </c>
      <c r="B15213">
        <v>0</v>
      </c>
    </row>
    <row r="15214" spans="1:2" x14ac:dyDescent="0.25">
      <c r="A15214">
        <v>29670</v>
      </c>
      <c r="B15214">
        <v>0</v>
      </c>
    </row>
    <row r="15215" spans="1:2" x14ac:dyDescent="0.25">
      <c r="A15215">
        <v>29672</v>
      </c>
      <c r="B15215">
        <v>0</v>
      </c>
    </row>
    <row r="15216" spans="1:2" x14ac:dyDescent="0.25">
      <c r="A15216">
        <v>29674</v>
      </c>
      <c r="B15216">
        <v>0</v>
      </c>
    </row>
    <row r="15217" spans="1:2" x14ac:dyDescent="0.25">
      <c r="A15217">
        <v>29676</v>
      </c>
      <c r="B15217">
        <v>0</v>
      </c>
    </row>
    <row r="15218" spans="1:2" x14ac:dyDescent="0.25">
      <c r="A15218">
        <v>29678</v>
      </c>
      <c r="B15218">
        <v>0</v>
      </c>
    </row>
    <row r="15219" spans="1:2" x14ac:dyDescent="0.25">
      <c r="A15219">
        <v>29679</v>
      </c>
      <c r="B15219">
        <v>0</v>
      </c>
    </row>
    <row r="15220" spans="1:2" x14ac:dyDescent="0.25">
      <c r="A15220">
        <v>29680</v>
      </c>
      <c r="B15220">
        <v>0</v>
      </c>
    </row>
    <row r="15221" spans="1:2" x14ac:dyDescent="0.25">
      <c r="A15221">
        <v>29681</v>
      </c>
      <c r="B15221">
        <v>0</v>
      </c>
    </row>
    <row r="15222" spans="1:2" x14ac:dyDescent="0.25">
      <c r="A15222">
        <v>29683</v>
      </c>
      <c r="B15222">
        <v>0</v>
      </c>
    </row>
    <row r="15223" spans="1:2" x14ac:dyDescent="0.25">
      <c r="A15223">
        <v>29685</v>
      </c>
      <c r="B15223">
        <v>0</v>
      </c>
    </row>
    <row r="15224" spans="1:2" x14ac:dyDescent="0.25">
      <c r="A15224">
        <v>29686</v>
      </c>
      <c r="B15224">
        <v>0</v>
      </c>
    </row>
    <row r="15225" spans="1:2" x14ac:dyDescent="0.25">
      <c r="A15225">
        <v>29687</v>
      </c>
      <c r="B15225">
        <v>0</v>
      </c>
    </row>
    <row r="15226" spans="1:2" x14ac:dyDescent="0.25">
      <c r="A15226">
        <v>29688</v>
      </c>
      <c r="B15226">
        <v>0</v>
      </c>
    </row>
    <row r="15227" spans="1:2" x14ac:dyDescent="0.25">
      <c r="A15227">
        <v>29690</v>
      </c>
      <c r="B15227">
        <v>0</v>
      </c>
    </row>
    <row r="15228" spans="1:2" x14ac:dyDescent="0.25">
      <c r="A15228">
        <v>29693</v>
      </c>
      <c r="B15228">
        <v>0</v>
      </c>
    </row>
    <row r="15229" spans="1:2" x14ac:dyDescent="0.25">
      <c r="A15229">
        <v>29694</v>
      </c>
      <c r="B15229">
        <v>0</v>
      </c>
    </row>
    <row r="15230" spans="1:2" x14ac:dyDescent="0.25">
      <c r="A15230">
        <v>29695</v>
      </c>
      <c r="B15230">
        <v>0</v>
      </c>
    </row>
    <row r="15231" spans="1:2" x14ac:dyDescent="0.25">
      <c r="A15231">
        <v>29697</v>
      </c>
      <c r="B15231">
        <v>0</v>
      </c>
    </row>
    <row r="15232" spans="1:2" x14ac:dyDescent="0.25">
      <c r="A15232">
        <v>29699</v>
      </c>
      <c r="B15232">
        <v>0</v>
      </c>
    </row>
    <row r="15233" spans="1:2" x14ac:dyDescent="0.25">
      <c r="A15233">
        <v>29700</v>
      </c>
      <c r="B15233">
        <v>0</v>
      </c>
    </row>
    <row r="15234" spans="1:2" x14ac:dyDescent="0.25">
      <c r="A15234">
        <v>29701</v>
      </c>
      <c r="B15234">
        <v>0</v>
      </c>
    </row>
    <row r="15235" spans="1:2" x14ac:dyDescent="0.25">
      <c r="A15235">
        <v>29703</v>
      </c>
      <c r="B15235">
        <v>0</v>
      </c>
    </row>
    <row r="15236" spans="1:2" x14ac:dyDescent="0.25">
      <c r="A15236">
        <v>29706</v>
      </c>
      <c r="B15236">
        <v>0</v>
      </c>
    </row>
    <row r="15237" spans="1:2" x14ac:dyDescent="0.25">
      <c r="A15237">
        <v>29710</v>
      </c>
      <c r="B15237">
        <v>0</v>
      </c>
    </row>
    <row r="15238" spans="1:2" x14ac:dyDescent="0.25">
      <c r="A15238">
        <v>29714</v>
      </c>
      <c r="B15238">
        <v>0</v>
      </c>
    </row>
    <row r="15239" spans="1:2" x14ac:dyDescent="0.25">
      <c r="A15239">
        <v>29718</v>
      </c>
      <c r="B15239">
        <v>0</v>
      </c>
    </row>
    <row r="15240" spans="1:2" x14ac:dyDescent="0.25">
      <c r="A15240">
        <v>29733</v>
      </c>
      <c r="B15240">
        <v>0</v>
      </c>
    </row>
    <row r="15241" spans="1:2" x14ac:dyDescent="0.25">
      <c r="A15241">
        <v>29734</v>
      </c>
      <c r="B15241">
        <v>0</v>
      </c>
    </row>
    <row r="15242" spans="1:2" x14ac:dyDescent="0.25">
      <c r="A15242">
        <v>29735</v>
      </c>
      <c r="B15242">
        <v>0</v>
      </c>
    </row>
    <row r="15243" spans="1:2" x14ac:dyDescent="0.25">
      <c r="A15243">
        <v>29739</v>
      </c>
      <c r="B15243">
        <v>0</v>
      </c>
    </row>
    <row r="15244" spans="1:2" x14ac:dyDescent="0.25">
      <c r="A15244">
        <v>29740</v>
      </c>
      <c r="B15244">
        <v>0</v>
      </c>
    </row>
    <row r="15245" spans="1:2" x14ac:dyDescent="0.25">
      <c r="A15245">
        <v>29741</v>
      </c>
      <c r="B15245">
        <v>0</v>
      </c>
    </row>
    <row r="15246" spans="1:2" x14ac:dyDescent="0.25">
      <c r="A15246">
        <v>29744</v>
      </c>
      <c r="B15246">
        <v>0</v>
      </c>
    </row>
    <row r="15247" spans="1:2" x14ac:dyDescent="0.25">
      <c r="A15247">
        <v>29749</v>
      </c>
      <c r="B15247">
        <v>0</v>
      </c>
    </row>
    <row r="15248" spans="1:2" x14ac:dyDescent="0.25">
      <c r="A15248">
        <v>29751</v>
      </c>
      <c r="B15248">
        <v>0</v>
      </c>
    </row>
    <row r="15249" spans="1:2" x14ac:dyDescent="0.25">
      <c r="A15249">
        <v>29777</v>
      </c>
      <c r="B15249">
        <v>0</v>
      </c>
    </row>
    <row r="15250" spans="1:2" x14ac:dyDescent="0.25">
      <c r="A15250">
        <v>29812</v>
      </c>
      <c r="B15250">
        <v>0</v>
      </c>
    </row>
    <row r="15251" spans="1:2" x14ac:dyDescent="0.25">
      <c r="A15251">
        <v>29814</v>
      </c>
      <c r="B15251">
        <v>0</v>
      </c>
    </row>
    <row r="15252" spans="1:2" x14ac:dyDescent="0.25">
      <c r="A15252">
        <v>29816</v>
      </c>
      <c r="B15252">
        <v>0</v>
      </c>
    </row>
    <row r="15253" spans="1:2" x14ac:dyDescent="0.25">
      <c r="A15253">
        <v>29818</v>
      </c>
      <c r="B15253">
        <v>0</v>
      </c>
    </row>
    <row r="15254" spans="1:2" x14ac:dyDescent="0.25">
      <c r="A15254">
        <v>29820</v>
      </c>
      <c r="B15254">
        <v>0</v>
      </c>
    </row>
    <row r="15255" spans="1:2" x14ac:dyDescent="0.25">
      <c r="A15255">
        <v>29821</v>
      </c>
      <c r="B15255">
        <v>0</v>
      </c>
    </row>
    <row r="15256" spans="1:2" x14ac:dyDescent="0.25">
      <c r="A15256">
        <v>29822</v>
      </c>
      <c r="B15256">
        <v>0</v>
      </c>
    </row>
    <row r="15257" spans="1:2" x14ac:dyDescent="0.25">
      <c r="A15257">
        <v>29823</v>
      </c>
      <c r="B15257">
        <v>0</v>
      </c>
    </row>
    <row r="15258" spans="1:2" x14ac:dyDescent="0.25">
      <c r="A15258">
        <v>29824</v>
      </c>
      <c r="B15258">
        <v>0</v>
      </c>
    </row>
    <row r="15259" spans="1:2" x14ac:dyDescent="0.25">
      <c r="A15259">
        <v>29825</v>
      </c>
      <c r="B15259">
        <v>0</v>
      </c>
    </row>
    <row r="15260" spans="1:2" x14ac:dyDescent="0.25">
      <c r="A15260">
        <v>29826</v>
      </c>
      <c r="B15260">
        <v>0</v>
      </c>
    </row>
    <row r="15261" spans="1:2" x14ac:dyDescent="0.25">
      <c r="A15261">
        <v>29828</v>
      </c>
      <c r="B15261">
        <v>0</v>
      </c>
    </row>
    <row r="15262" spans="1:2" x14ac:dyDescent="0.25">
      <c r="A15262">
        <v>29830</v>
      </c>
      <c r="B15262">
        <v>0</v>
      </c>
    </row>
    <row r="15263" spans="1:2" x14ac:dyDescent="0.25">
      <c r="A15263">
        <v>29831</v>
      </c>
      <c r="B15263">
        <v>0</v>
      </c>
    </row>
    <row r="15264" spans="1:2" x14ac:dyDescent="0.25">
      <c r="A15264">
        <v>29833</v>
      </c>
      <c r="B15264">
        <v>0</v>
      </c>
    </row>
    <row r="15265" spans="1:2" x14ac:dyDescent="0.25">
      <c r="A15265">
        <v>29834</v>
      </c>
      <c r="B15265">
        <v>0</v>
      </c>
    </row>
    <row r="15266" spans="1:2" x14ac:dyDescent="0.25">
      <c r="A15266">
        <v>29835</v>
      </c>
      <c r="B15266">
        <v>0</v>
      </c>
    </row>
    <row r="15267" spans="1:2" x14ac:dyDescent="0.25">
      <c r="A15267">
        <v>29836</v>
      </c>
      <c r="B15267">
        <v>0</v>
      </c>
    </row>
    <row r="15268" spans="1:2" x14ac:dyDescent="0.25">
      <c r="A15268">
        <v>29837</v>
      </c>
      <c r="B15268">
        <v>0</v>
      </c>
    </row>
    <row r="15269" spans="1:2" x14ac:dyDescent="0.25">
      <c r="A15269">
        <v>29839</v>
      </c>
      <c r="B15269">
        <v>0</v>
      </c>
    </row>
    <row r="15270" spans="1:2" x14ac:dyDescent="0.25">
      <c r="A15270">
        <v>29841</v>
      </c>
      <c r="B15270">
        <v>0</v>
      </c>
    </row>
    <row r="15271" spans="1:2" x14ac:dyDescent="0.25">
      <c r="A15271">
        <v>29842</v>
      </c>
      <c r="B15271">
        <v>0</v>
      </c>
    </row>
    <row r="15272" spans="1:2" x14ac:dyDescent="0.25">
      <c r="A15272">
        <v>29843</v>
      </c>
      <c r="B15272">
        <v>0</v>
      </c>
    </row>
    <row r="15273" spans="1:2" x14ac:dyDescent="0.25">
      <c r="A15273">
        <v>29844</v>
      </c>
      <c r="B15273">
        <v>0</v>
      </c>
    </row>
    <row r="15274" spans="1:2" x14ac:dyDescent="0.25">
      <c r="A15274">
        <v>29845</v>
      </c>
      <c r="B15274">
        <v>0</v>
      </c>
    </row>
    <row r="15275" spans="1:2" x14ac:dyDescent="0.25">
      <c r="A15275">
        <v>29846</v>
      </c>
      <c r="B15275">
        <v>0</v>
      </c>
    </row>
    <row r="15276" spans="1:2" x14ac:dyDescent="0.25">
      <c r="A15276">
        <v>29847</v>
      </c>
      <c r="B15276">
        <v>0</v>
      </c>
    </row>
    <row r="15277" spans="1:2" x14ac:dyDescent="0.25">
      <c r="A15277">
        <v>29848</v>
      </c>
      <c r="B15277">
        <v>0</v>
      </c>
    </row>
    <row r="15278" spans="1:2" x14ac:dyDescent="0.25">
      <c r="A15278">
        <v>29849</v>
      </c>
      <c r="B15278">
        <v>0</v>
      </c>
    </row>
    <row r="15279" spans="1:2" x14ac:dyDescent="0.25">
      <c r="A15279">
        <v>29850</v>
      </c>
      <c r="B15279">
        <v>0</v>
      </c>
    </row>
    <row r="15280" spans="1:2" x14ac:dyDescent="0.25">
      <c r="A15280">
        <v>29851</v>
      </c>
      <c r="B15280">
        <v>0</v>
      </c>
    </row>
    <row r="15281" spans="1:2" x14ac:dyDescent="0.25">
      <c r="A15281">
        <v>29852</v>
      </c>
      <c r="B15281">
        <v>0</v>
      </c>
    </row>
    <row r="15282" spans="1:2" x14ac:dyDescent="0.25">
      <c r="A15282">
        <v>29853</v>
      </c>
      <c r="B15282">
        <v>0</v>
      </c>
    </row>
    <row r="15283" spans="1:2" x14ac:dyDescent="0.25">
      <c r="A15283">
        <v>29854</v>
      </c>
      <c r="B15283">
        <v>0</v>
      </c>
    </row>
    <row r="15284" spans="1:2" x14ac:dyDescent="0.25">
      <c r="A15284">
        <v>29855</v>
      </c>
      <c r="B15284">
        <v>0</v>
      </c>
    </row>
    <row r="15285" spans="1:2" x14ac:dyDescent="0.25">
      <c r="A15285">
        <v>29856</v>
      </c>
      <c r="B15285">
        <v>0</v>
      </c>
    </row>
    <row r="15286" spans="1:2" x14ac:dyDescent="0.25">
      <c r="A15286">
        <v>29857</v>
      </c>
      <c r="B15286">
        <v>0</v>
      </c>
    </row>
    <row r="15287" spans="1:2" x14ac:dyDescent="0.25">
      <c r="A15287">
        <v>29859</v>
      </c>
      <c r="B15287">
        <v>0</v>
      </c>
    </row>
    <row r="15288" spans="1:2" x14ac:dyDescent="0.25">
      <c r="A15288">
        <v>29860</v>
      </c>
      <c r="B15288">
        <v>0</v>
      </c>
    </row>
    <row r="15289" spans="1:2" x14ac:dyDescent="0.25">
      <c r="A15289">
        <v>29861</v>
      </c>
      <c r="B15289">
        <v>0</v>
      </c>
    </row>
    <row r="15290" spans="1:2" x14ac:dyDescent="0.25">
      <c r="A15290">
        <v>29862</v>
      </c>
      <c r="B15290">
        <v>0</v>
      </c>
    </row>
    <row r="15291" spans="1:2" x14ac:dyDescent="0.25">
      <c r="A15291">
        <v>29863</v>
      </c>
      <c r="B15291">
        <v>0</v>
      </c>
    </row>
    <row r="15292" spans="1:2" x14ac:dyDescent="0.25">
      <c r="A15292">
        <v>29864</v>
      </c>
      <c r="B15292">
        <v>0</v>
      </c>
    </row>
    <row r="15293" spans="1:2" x14ac:dyDescent="0.25">
      <c r="A15293">
        <v>29865</v>
      </c>
      <c r="B15293">
        <v>0</v>
      </c>
    </row>
    <row r="15294" spans="1:2" x14ac:dyDescent="0.25">
      <c r="A15294">
        <v>29867</v>
      </c>
      <c r="B15294">
        <v>0</v>
      </c>
    </row>
    <row r="15295" spans="1:2" x14ac:dyDescent="0.25">
      <c r="A15295">
        <v>29869</v>
      </c>
      <c r="B15295">
        <v>0</v>
      </c>
    </row>
    <row r="15296" spans="1:2" x14ac:dyDescent="0.25">
      <c r="A15296">
        <v>29870</v>
      </c>
      <c r="B15296">
        <v>0</v>
      </c>
    </row>
    <row r="15297" spans="1:2" x14ac:dyDescent="0.25">
      <c r="A15297">
        <v>29871</v>
      </c>
      <c r="B15297">
        <v>0</v>
      </c>
    </row>
    <row r="15298" spans="1:2" x14ac:dyDescent="0.25">
      <c r="A15298">
        <v>29872</v>
      </c>
      <c r="B15298">
        <v>0</v>
      </c>
    </row>
    <row r="15299" spans="1:2" x14ac:dyDescent="0.25">
      <c r="A15299">
        <v>29873</v>
      </c>
      <c r="B15299">
        <v>0</v>
      </c>
    </row>
    <row r="15300" spans="1:2" x14ac:dyDescent="0.25">
      <c r="A15300">
        <v>29874</v>
      </c>
      <c r="B15300">
        <v>0</v>
      </c>
    </row>
    <row r="15301" spans="1:2" x14ac:dyDescent="0.25">
      <c r="A15301">
        <v>29875</v>
      </c>
      <c r="B15301">
        <v>0</v>
      </c>
    </row>
    <row r="15302" spans="1:2" x14ac:dyDescent="0.25">
      <c r="A15302">
        <v>29876</v>
      </c>
      <c r="B15302">
        <v>0</v>
      </c>
    </row>
    <row r="15303" spans="1:2" x14ac:dyDescent="0.25">
      <c r="A15303">
        <v>29877</v>
      </c>
      <c r="B15303">
        <v>0</v>
      </c>
    </row>
    <row r="15304" spans="1:2" x14ac:dyDescent="0.25">
      <c r="A15304">
        <v>29878</v>
      </c>
      <c r="B15304">
        <v>0</v>
      </c>
    </row>
    <row r="15305" spans="1:2" x14ac:dyDescent="0.25">
      <c r="A15305">
        <v>29879</v>
      </c>
      <c r="B15305">
        <v>0</v>
      </c>
    </row>
    <row r="15306" spans="1:2" x14ac:dyDescent="0.25">
      <c r="A15306">
        <v>29880</v>
      </c>
      <c r="B15306">
        <v>0</v>
      </c>
    </row>
    <row r="15307" spans="1:2" x14ac:dyDescent="0.25">
      <c r="A15307">
        <v>29881</v>
      </c>
      <c r="B15307">
        <v>0</v>
      </c>
    </row>
    <row r="15308" spans="1:2" x14ac:dyDescent="0.25">
      <c r="A15308">
        <v>29882</v>
      </c>
      <c r="B15308">
        <v>0</v>
      </c>
    </row>
    <row r="15309" spans="1:2" x14ac:dyDescent="0.25">
      <c r="A15309">
        <v>29883</v>
      </c>
      <c r="B15309">
        <v>0</v>
      </c>
    </row>
    <row r="15310" spans="1:2" x14ac:dyDescent="0.25">
      <c r="A15310">
        <v>29884</v>
      </c>
      <c r="B15310">
        <v>0</v>
      </c>
    </row>
    <row r="15311" spans="1:2" x14ac:dyDescent="0.25">
      <c r="A15311">
        <v>29885</v>
      </c>
      <c r="B15311">
        <v>0</v>
      </c>
    </row>
    <row r="15312" spans="1:2" x14ac:dyDescent="0.25">
      <c r="A15312">
        <v>29886</v>
      </c>
      <c r="B15312">
        <v>0</v>
      </c>
    </row>
    <row r="15313" spans="1:2" x14ac:dyDescent="0.25">
      <c r="A15313">
        <v>29887</v>
      </c>
      <c r="B15313">
        <v>0</v>
      </c>
    </row>
    <row r="15314" spans="1:2" x14ac:dyDescent="0.25">
      <c r="A15314">
        <v>29888</v>
      </c>
      <c r="B15314">
        <v>0</v>
      </c>
    </row>
    <row r="15315" spans="1:2" x14ac:dyDescent="0.25">
      <c r="A15315">
        <v>29889</v>
      </c>
      <c r="B15315">
        <v>0</v>
      </c>
    </row>
    <row r="15316" spans="1:2" x14ac:dyDescent="0.25">
      <c r="A15316">
        <v>29890</v>
      </c>
      <c r="B15316">
        <v>0</v>
      </c>
    </row>
    <row r="15317" spans="1:2" x14ac:dyDescent="0.25">
      <c r="A15317">
        <v>29891</v>
      </c>
      <c r="B15317">
        <v>0</v>
      </c>
    </row>
    <row r="15318" spans="1:2" x14ac:dyDescent="0.25">
      <c r="A15318">
        <v>29894</v>
      </c>
      <c r="B15318">
        <v>0</v>
      </c>
    </row>
    <row r="15319" spans="1:2" x14ac:dyDescent="0.25">
      <c r="A15319">
        <v>29895</v>
      </c>
      <c r="B15319">
        <v>0</v>
      </c>
    </row>
    <row r="15320" spans="1:2" x14ac:dyDescent="0.25">
      <c r="A15320">
        <v>29896</v>
      </c>
      <c r="B15320">
        <v>0</v>
      </c>
    </row>
    <row r="15321" spans="1:2" x14ac:dyDescent="0.25">
      <c r="A15321">
        <v>29897</v>
      </c>
      <c r="B15321">
        <v>0</v>
      </c>
    </row>
    <row r="15322" spans="1:2" x14ac:dyDescent="0.25">
      <c r="A15322">
        <v>29898</v>
      </c>
      <c r="B15322">
        <v>0</v>
      </c>
    </row>
    <row r="15323" spans="1:2" x14ac:dyDescent="0.25">
      <c r="A15323">
        <v>29899</v>
      </c>
      <c r="B15323">
        <v>0</v>
      </c>
    </row>
    <row r="15324" spans="1:2" x14ac:dyDescent="0.25">
      <c r="A15324">
        <v>29901</v>
      </c>
      <c r="B15324">
        <v>0</v>
      </c>
    </row>
    <row r="15325" spans="1:2" x14ac:dyDescent="0.25">
      <c r="A15325">
        <v>29903</v>
      </c>
      <c r="B15325">
        <v>0</v>
      </c>
    </row>
    <row r="15326" spans="1:2" x14ac:dyDescent="0.25">
      <c r="A15326">
        <v>29904</v>
      </c>
      <c r="B15326">
        <v>0</v>
      </c>
    </row>
    <row r="15327" spans="1:2" x14ac:dyDescent="0.25">
      <c r="A15327">
        <v>29906</v>
      </c>
      <c r="B15327">
        <v>0</v>
      </c>
    </row>
    <row r="15328" spans="1:2" x14ac:dyDescent="0.25">
      <c r="A15328">
        <v>29908</v>
      </c>
      <c r="B15328">
        <v>0</v>
      </c>
    </row>
    <row r="15329" spans="1:2" x14ac:dyDescent="0.25">
      <c r="A15329">
        <v>29910</v>
      </c>
      <c r="B15329">
        <v>0</v>
      </c>
    </row>
    <row r="15330" spans="1:2" x14ac:dyDescent="0.25">
      <c r="A15330">
        <v>29911</v>
      </c>
      <c r="B15330">
        <v>0</v>
      </c>
    </row>
    <row r="15331" spans="1:2" x14ac:dyDescent="0.25">
      <c r="A15331">
        <v>29912</v>
      </c>
      <c r="B15331">
        <v>0</v>
      </c>
    </row>
    <row r="15332" spans="1:2" x14ac:dyDescent="0.25">
      <c r="A15332">
        <v>29913</v>
      </c>
      <c r="B15332">
        <v>0</v>
      </c>
    </row>
    <row r="15333" spans="1:2" x14ac:dyDescent="0.25">
      <c r="A15333">
        <v>29914</v>
      </c>
      <c r="B15333">
        <v>0</v>
      </c>
    </row>
    <row r="15334" spans="1:2" x14ac:dyDescent="0.25">
      <c r="A15334">
        <v>29923</v>
      </c>
      <c r="B15334">
        <v>0</v>
      </c>
    </row>
    <row r="15335" spans="1:2" x14ac:dyDescent="0.25">
      <c r="A15335">
        <v>29924</v>
      </c>
      <c r="B15335">
        <v>0</v>
      </c>
    </row>
    <row r="15336" spans="1:2" x14ac:dyDescent="0.25">
      <c r="A15336">
        <v>29925</v>
      </c>
      <c r="B15336">
        <v>0</v>
      </c>
    </row>
    <row r="15337" spans="1:2" x14ac:dyDescent="0.25">
      <c r="A15337">
        <v>29926</v>
      </c>
      <c r="B15337">
        <v>0</v>
      </c>
    </row>
    <row r="15338" spans="1:2" x14ac:dyDescent="0.25">
      <c r="A15338">
        <v>29927</v>
      </c>
      <c r="B15338">
        <v>0</v>
      </c>
    </row>
    <row r="15339" spans="1:2" x14ac:dyDescent="0.25">
      <c r="A15339">
        <v>29928</v>
      </c>
      <c r="B15339">
        <v>0</v>
      </c>
    </row>
    <row r="15340" spans="1:2" x14ac:dyDescent="0.25">
      <c r="A15340">
        <v>29930</v>
      </c>
      <c r="B15340">
        <v>0</v>
      </c>
    </row>
    <row r="15341" spans="1:2" x14ac:dyDescent="0.25">
      <c r="A15341">
        <v>29932</v>
      </c>
      <c r="B15341">
        <v>0</v>
      </c>
    </row>
    <row r="15342" spans="1:2" x14ac:dyDescent="0.25">
      <c r="A15342">
        <v>29934</v>
      </c>
      <c r="B15342">
        <v>0</v>
      </c>
    </row>
    <row r="15343" spans="1:2" x14ac:dyDescent="0.25">
      <c r="A15343">
        <v>29935</v>
      </c>
      <c r="B15343">
        <v>0</v>
      </c>
    </row>
    <row r="15344" spans="1:2" x14ac:dyDescent="0.25">
      <c r="A15344">
        <v>29953</v>
      </c>
      <c r="B15344">
        <v>0</v>
      </c>
    </row>
    <row r="15345" spans="1:2" x14ac:dyDescent="0.25">
      <c r="A15345">
        <v>29954</v>
      </c>
      <c r="B15345">
        <v>0</v>
      </c>
    </row>
    <row r="15346" spans="1:2" x14ac:dyDescent="0.25">
      <c r="A15346">
        <v>29955</v>
      </c>
      <c r="B15346">
        <v>0</v>
      </c>
    </row>
    <row r="15347" spans="1:2" x14ac:dyDescent="0.25">
      <c r="A15347">
        <v>29956</v>
      </c>
      <c r="B15347">
        <v>0</v>
      </c>
    </row>
    <row r="15348" spans="1:2" x14ac:dyDescent="0.25">
      <c r="A15348">
        <v>29958</v>
      </c>
      <c r="B15348">
        <v>0</v>
      </c>
    </row>
    <row r="15349" spans="1:2" x14ac:dyDescent="0.25">
      <c r="A15349">
        <v>29959</v>
      </c>
      <c r="B15349">
        <v>0</v>
      </c>
    </row>
    <row r="15350" spans="1:2" x14ac:dyDescent="0.25">
      <c r="A15350">
        <v>29960</v>
      </c>
      <c r="B15350">
        <v>0</v>
      </c>
    </row>
    <row r="15351" spans="1:2" x14ac:dyDescent="0.25">
      <c r="A15351">
        <v>29961</v>
      </c>
      <c r="B15351">
        <v>0</v>
      </c>
    </row>
    <row r="15352" spans="1:2" x14ac:dyDescent="0.25">
      <c r="A15352">
        <v>29969</v>
      </c>
      <c r="B15352">
        <v>0</v>
      </c>
    </row>
    <row r="15353" spans="1:2" x14ac:dyDescent="0.25">
      <c r="A15353">
        <v>29974</v>
      </c>
      <c r="B15353">
        <v>0</v>
      </c>
    </row>
    <row r="15354" spans="1:2" x14ac:dyDescent="0.25">
      <c r="A15354">
        <v>29990</v>
      </c>
      <c r="B15354">
        <v>0</v>
      </c>
    </row>
    <row r="15355" spans="1:2" x14ac:dyDescent="0.25">
      <c r="A15355">
        <v>29991</v>
      </c>
      <c r="B15355">
        <v>0</v>
      </c>
    </row>
    <row r="15356" spans="1:2" x14ac:dyDescent="0.25">
      <c r="A15356">
        <v>30000</v>
      </c>
      <c r="B15356">
        <v>0</v>
      </c>
    </row>
    <row r="15357" spans="1:2" x14ac:dyDescent="0.25">
      <c r="A15357">
        <v>30004</v>
      </c>
      <c r="B15357">
        <v>0</v>
      </c>
    </row>
    <row r="15358" spans="1:2" x14ac:dyDescent="0.25">
      <c r="A15358">
        <v>30005</v>
      </c>
      <c r="B15358">
        <v>0</v>
      </c>
    </row>
    <row r="15359" spans="1:2" x14ac:dyDescent="0.25">
      <c r="A15359">
        <v>30007</v>
      </c>
      <c r="B15359">
        <v>0</v>
      </c>
    </row>
    <row r="15360" spans="1:2" x14ac:dyDescent="0.25">
      <c r="A15360">
        <v>30008</v>
      </c>
      <c r="B15360">
        <v>0</v>
      </c>
    </row>
    <row r="15361" spans="1:2" x14ac:dyDescent="0.25">
      <c r="A15361">
        <v>30010</v>
      </c>
      <c r="B15361">
        <v>0</v>
      </c>
    </row>
    <row r="15362" spans="1:2" x14ac:dyDescent="0.25">
      <c r="A15362">
        <v>30012</v>
      </c>
      <c r="B15362">
        <v>0</v>
      </c>
    </row>
    <row r="15363" spans="1:2" x14ac:dyDescent="0.25">
      <c r="A15363">
        <v>30014</v>
      </c>
      <c r="B15363">
        <v>0</v>
      </c>
    </row>
    <row r="15364" spans="1:2" x14ac:dyDescent="0.25">
      <c r="A15364">
        <v>30016</v>
      </c>
      <c r="B15364">
        <v>0</v>
      </c>
    </row>
    <row r="15365" spans="1:2" x14ac:dyDescent="0.25">
      <c r="A15365">
        <v>30017</v>
      </c>
      <c r="B15365">
        <v>0</v>
      </c>
    </row>
    <row r="15366" spans="1:2" x14ac:dyDescent="0.25">
      <c r="A15366">
        <v>30018</v>
      </c>
      <c r="B15366">
        <v>0</v>
      </c>
    </row>
    <row r="15367" spans="1:2" x14ac:dyDescent="0.25">
      <c r="A15367">
        <v>30019</v>
      </c>
      <c r="B15367">
        <v>0</v>
      </c>
    </row>
    <row r="15368" spans="1:2" x14ac:dyDescent="0.25">
      <c r="A15368">
        <v>30020</v>
      </c>
      <c r="B15368">
        <v>0</v>
      </c>
    </row>
    <row r="15369" spans="1:2" x14ac:dyDescent="0.25">
      <c r="A15369">
        <v>30021</v>
      </c>
      <c r="B15369">
        <v>0</v>
      </c>
    </row>
    <row r="15370" spans="1:2" x14ac:dyDescent="0.25">
      <c r="A15370">
        <v>30022</v>
      </c>
      <c r="B15370">
        <v>0</v>
      </c>
    </row>
    <row r="15371" spans="1:2" x14ac:dyDescent="0.25">
      <c r="A15371">
        <v>30023</v>
      </c>
      <c r="B15371">
        <v>0</v>
      </c>
    </row>
    <row r="15372" spans="1:2" x14ac:dyDescent="0.25">
      <c r="A15372">
        <v>30024</v>
      </c>
      <c r="B15372">
        <v>0</v>
      </c>
    </row>
    <row r="15373" spans="1:2" x14ac:dyDescent="0.25">
      <c r="A15373">
        <v>30025</v>
      </c>
      <c r="B15373">
        <v>0</v>
      </c>
    </row>
    <row r="15374" spans="1:2" x14ac:dyDescent="0.25">
      <c r="A15374">
        <v>30026</v>
      </c>
      <c r="B15374">
        <v>0</v>
      </c>
    </row>
    <row r="15375" spans="1:2" x14ac:dyDescent="0.25">
      <c r="A15375">
        <v>30027</v>
      </c>
      <c r="B15375">
        <v>0</v>
      </c>
    </row>
    <row r="15376" spans="1:2" x14ac:dyDescent="0.25">
      <c r="A15376">
        <v>30028</v>
      </c>
      <c r="B15376">
        <v>0</v>
      </c>
    </row>
    <row r="15377" spans="1:2" x14ac:dyDescent="0.25">
      <c r="A15377">
        <v>30029</v>
      </c>
      <c r="B15377">
        <v>0</v>
      </c>
    </row>
    <row r="15378" spans="1:2" x14ac:dyDescent="0.25">
      <c r="A15378">
        <v>30030</v>
      </c>
      <c r="B15378">
        <v>0</v>
      </c>
    </row>
    <row r="15379" spans="1:2" x14ac:dyDescent="0.25">
      <c r="A15379">
        <v>30031</v>
      </c>
      <c r="B15379">
        <v>0</v>
      </c>
    </row>
    <row r="15380" spans="1:2" x14ac:dyDescent="0.25">
      <c r="A15380">
        <v>30045</v>
      </c>
      <c r="B15380">
        <v>0</v>
      </c>
    </row>
    <row r="15381" spans="1:2" x14ac:dyDescent="0.25">
      <c r="A15381">
        <v>30046</v>
      </c>
      <c r="B15381">
        <v>0</v>
      </c>
    </row>
    <row r="15382" spans="1:2" x14ac:dyDescent="0.25">
      <c r="A15382">
        <v>30047</v>
      </c>
      <c r="B15382">
        <v>0</v>
      </c>
    </row>
    <row r="15383" spans="1:2" x14ac:dyDescent="0.25">
      <c r="A15383">
        <v>30049</v>
      </c>
      <c r="B15383">
        <v>0</v>
      </c>
    </row>
    <row r="15384" spans="1:2" x14ac:dyDescent="0.25">
      <c r="A15384">
        <v>30050</v>
      </c>
      <c r="B15384">
        <v>0</v>
      </c>
    </row>
    <row r="15385" spans="1:2" x14ac:dyDescent="0.25">
      <c r="A15385">
        <v>30051</v>
      </c>
      <c r="B15385">
        <v>0</v>
      </c>
    </row>
    <row r="15386" spans="1:2" x14ac:dyDescent="0.25">
      <c r="A15386">
        <v>30058</v>
      </c>
      <c r="B15386">
        <v>0</v>
      </c>
    </row>
    <row r="15387" spans="1:2" x14ac:dyDescent="0.25">
      <c r="A15387">
        <v>30059</v>
      </c>
      <c r="B15387">
        <v>0</v>
      </c>
    </row>
    <row r="15388" spans="1:2" x14ac:dyDescent="0.25">
      <c r="A15388">
        <v>30060</v>
      </c>
      <c r="B15388">
        <v>0</v>
      </c>
    </row>
    <row r="15389" spans="1:2" x14ac:dyDescent="0.25">
      <c r="A15389">
        <v>30061</v>
      </c>
      <c r="B15389">
        <v>0</v>
      </c>
    </row>
    <row r="15390" spans="1:2" x14ac:dyDescent="0.25">
      <c r="A15390">
        <v>30062</v>
      </c>
      <c r="B15390">
        <v>0</v>
      </c>
    </row>
    <row r="15391" spans="1:2" x14ac:dyDescent="0.25">
      <c r="A15391">
        <v>30063</v>
      </c>
      <c r="B15391">
        <v>0</v>
      </c>
    </row>
    <row r="15392" spans="1:2" x14ac:dyDescent="0.25">
      <c r="A15392">
        <v>30077</v>
      </c>
      <c r="B15392">
        <v>0</v>
      </c>
    </row>
    <row r="15393" spans="1:2" x14ac:dyDescent="0.25">
      <c r="A15393">
        <v>30078</v>
      </c>
      <c r="B15393">
        <v>0</v>
      </c>
    </row>
    <row r="15394" spans="1:2" x14ac:dyDescent="0.25">
      <c r="A15394">
        <v>30079</v>
      </c>
      <c r="B15394">
        <v>0</v>
      </c>
    </row>
    <row r="15395" spans="1:2" x14ac:dyDescent="0.25">
      <c r="A15395">
        <v>30080</v>
      </c>
      <c r="B15395">
        <v>0</v>
      </c>
    </row>
    <row r="15396" spans="1:2" x14ac:dyDescent="0.25">
      <c r="A15396">
        <v>30103</v>
      </c>
      <c r="B15396">
        <v>0</v>
      </c>
    </row>
    <row r="15397" spans="1:2" x14ac:dyDescent="0.25">
      <c r="A15397">
        <v>30113</v>
      </c>
      <c r="B15397">
        <v>0</v>
      </c>
    </row>
    <row r="15398" spans="1:2" x14ac:dyDescent="0.25">
      <c r="A15398">
        <v>30114</v>
      </c>
      <c r="B15398">
        <v>0</v>
      </c>
    </row>
    <row r="15399" spans="1:2" x14ac:dyDescent="0.25">
      <c r="A15399">
        <v>30115</v>
      </c>
      <c r="B15399">
        <v>0</v>
      </c>
    </row>
    <row r="15400" spans="1:2" x14ac:dyDescent="0.25">
      <c r="A15400">
        <v>30116</v>
      </c>
      <c r="B15400">
        <v>0</v>
      </c>
    </row>
    <row r="15401" spans="1:2" x14ac:dyDescent="0.25">
      <c r="A15401">
        <v>30117</v>
      </c>
      <c r="B15401">
        <v>0</v>
      </c>
    </row>
    <row r="15402" spans="1:2" x14ac:dyDescent="0.25">
      <c r="A15402">
        <v>30118</v>
      </c>
      <c r="B15402">
        <v>0</v>
      </c>
    </row>
    <row r="15403" spans="1:2" x14ac:dyDescent="0.25">
      <c r="A15403">
        <v>30119</v>
      </c>
      <c r="B15403">
        <v>0</v>
      </c>
    </row>
    <row r="15404" spans="1:2" x14ac:dyDescent="0.25">
      <c r="A15404">
        <v>30121</v>
      </c>
      <c r="B15404">
        <v>0</v>
      </c>
    </row>
    <row r="15405" spans="1:2" x14ac:dyDescent="0.25">
      <c r="A15405">
        <v>30123</v>
      </c>
      <c r="B15405">
        <v>0</v>
      </c>
    </row>
    <row r="15406" spans="1:2" x14ac:dyDescent="0.25">
      <c r="A15406">
        <v>30124</v>
      </c>
      <c r="B15406">
        <v>0</v>
      </c>
    </row>
    <row r="15407" spans="1:2" x14ac:dyDescent="0.25">
      <c r="A15407">
        <v>30125</v>
      </c>
      <c r="B15407">
        <v>0</v>
      </c>
    </row>
    <row r="15408" spans="1:2" x14ac:dyDescent="0.25">
      <c r="A15408">
        <v>30130</v>
      </c>
      <c r="B15408">
        <v>0</v>
      </c>
    </row>
    <row r="15409" spans="1:2" x14ac:dyDescent="0.25">
      <c r="A15409">
        <v>30132</v>
      </c>
      <c r="B15409">
        <v>0</v>
      </c>
    </row>
    <row r="15410" spans="1:2" x14ac:dyDescent="0.25">
      <c r="A15410">
        <v>30134</v>
      </c>
      <c r="B15410">
        <v>0</v>
      </c>
    </row>
    <row r="15411" spans="1:2" x14ac:dyDescent="0.25">
      <c r="A15411">
        <v>30136</v>
      </c>
      <c r="B15411">
        <v>0</v>
      </c>
    </row>
    <row r="15412" spans="1:2" x14ac:dyDescent="0.25">
      <c r="A15412">
        <v>30137</v>
      </c>
      <c r="B15412">
        <v>0</v>
      </c>
    </row>
    <row r="15413" spans="1:2" x14ac:dyDescent="0.25">
      <c r="A15413">
        <v>30138</v>
      </c>
      <c r="B15413">
        <v>0</v>
      </c>
    </row>
    <row r="15414" spans="1:2" x14ac:dyDescent="0.25">
      <c r="A15414">
        <v>30141</v>
      </c>
      <c r="B15414">
        <v>0</v>
      </c>
    </row>
    <row r="15415" spans="1:2" x14ac:dyDescent="0.25">
      <c r="A15415">
        <v>30142</v>
      </c>
      <c r="B15415">
        <v>0</v>
      </c>
    </row>
    <row r="15416" spans="1:2" x14ac:dyDescent="0.25">
      <c r="A15416">
        <v>30144</v>
      </c>
      <c r="B15416">
        <v>0</v>
      </c>
    </row>
    <row r="15417" spans="1:2" x14ac:dyDescent="0.25">
      <c r="A15417">
        <v>30146</v>
      </c>
      <c r="B15417">
        <v>0</v>
      </c>
    </row>
    <row r="15418" spans="1:2" x14ac:dyDescent="0.25">
      <c r="A15418">
        <v>30148</v>
      </c>
      <c r="B15418">
        <v>0</v>
      </c>
    </row>
    <row r="15419" spans="1:2" x14ac:dyDescent="0.25">
      <c r="A15419">
        <v>30151</v>
      </c>
      <c r="B15419">
        <v>0</v>
      </c>
    </row>
    <row r="15420" spans="1:2" x14ac:dyDescent="0.25">
      <c r="A15420">
        <v>30152</v>
      </c>
      <c r="B15420">
        <v>0</v>
      </c>
    </row>
    <row r="15421" spans="1:2" x14ac:dyDescent="0.25">
      <c r="A15421">
        <v>30154</v>
      </c>
      <c r="B15421">
        <v>0</v>
      </c>
    </row>
    <row r="15422" spans="1:2" x14ac:dyDescent="0.25">
      <c r="A15422">
        <v>30155</v>
      </c>
      <c r="B15422">
        <v>0</v>
      </c>
    </row>
    <row r="15423" spans="1:2" x14ac:dyDescent="0.25">
      <c r="A15423">
        <v>30157</v>
      </c>
      <c r="B15423">
        <v>0</v>
      </c>
    </row>
    <row r="15424" spans="1:2" x14ac:dyDescent="0.25">
      <c r="A15424">
        <v>30158</v>
      </c>
      <c r="B15424">
        <v>0</v>
      </c>
    </row>
    <row r="15425" spans="1:2" x14ac:dyDescent="0.25">
      <c r="A15425">
        <v>30160</v>
      </c>
      <c r="B15425">
        <v>0</v>
      </c>
    </row>
    <row r="15426" spans="1:2" x14ac:dyDescent="0.25">
      <c r="A15426">
        <v>30162</v>
      </c>
      <c r="B15426">
        <v>0</v>
      </c>
    </row>
    <row r="15427" spans="1:2" x14ac:dyDescent="0.25">
      <c r="A15427">
        <v>30165</v>
      </c>
      <c r="B15427">
        <v>0</v>
      </c>
    </row>
    <row r="15428" spans="1:2" x14ac:dyDescent="0.25">
      <c r="A15428">
        <v>30166</v>
      </c>
      <c r="B15428">
        <v>0</v>
      </c>
    </row>
    <row r="15429" spans="1:2" x14ac:dyDescent="0.25">
      <c r="A15429">
        <v>30168</v>
      </c>
      <c r="B15429">
        <v>0</v>
      </c>
    </row>
    <row r="15430" spans="1:2" x14ac:dyDescent="0.25">
      <c r="A15430">
        <v>30170</v>
      </c>
      <c r="B15430">
        <v>0</v>
      </c>
    </row>
    <row r="15431" spans="1:2" x14ac:dyDescent="0.25">
      <c r="A15431">
        <v>30172</v>
      </c>
      <c r="B15431">
        <v>0</v>
      </c>
    </row>
    <row r="15432" spans="1:2" x14ac:dyDescent="0.25">
      <c r="A15432">
        <v>30173</v>
      </c>
      <c r="B15432">
        <v>0</v>
      </c>
    </row>
    <row r="15433" spans="1:2" x14ac:dyDescent="0.25">
      <c r="A15433">
        <v>30174</v>
      </c>
      <c r="B15433">
        <v>0</v>
      </c>
    </row>
    <row r="15434" spans="1:2" x14ac:dyDescent="0.25">
      <c r="A15434">
        <v>30176</v>
      </c>
      <c r="B15434">
        <v>0</v>
      </c>
    </row>
    <row r="15435" spans="1:2" x14ac:dyDescent="0.25">
      <c r="A15435">
        <v>30178</v>
      </c>
      <c r="B15435">
        <v>0</v>
      </c>
    </row>
    <row r="15436" spans="1:2" x14ac:dyDescent="0.25">
      <c r="A15436">
        <v>30179</v>
      </c>
      <c r="B15436">
        <v>0</v>
      </c>
    </row>
    <row r="15437" spans="1:2" x14ac:dyDescent="0.25">
      <c r="A15437">
        <v>30180</v>
      </c>
      <c r="B15437">
        <v>0</v>
      </c>
    </row>
    <row r="15438" spans="1:2" x14ac:dyDescent="0.25">
      <c r="A15438">
        <v>30181</v>
      </c>
      <c r="B15438">
        <v>0</v>
      </c>
    </row>
    <row r="15439" spans="1:2" x14ac:dyDescent="0.25">
      <c r="A15439">
        <v>30182</v>
      </c>
      <c r="B15439">
        <v>0</v>
      </c>
    </row>
    <row r="15440" spans="1:2" x14ac:dyDescent="0.25">
      <c r="A15440">
        <v>30183</v>
      </c>
      <c r="B15440">
        <v>0</v>
      </c>
    </row>
    <row r="15441" spans="1:2" x14ac:dyDescent="0.25">
      <c r="A15441">
        <v>30184</v>
      </c>
      <c r="B15441">
        <v>0</v>
      </c>
    </row>
    <row r="15442" spans="1:2" x14ac:dyDescent="0.25">
      <c r="A15442">
        <v>30186</v>
      </c>
      <c r="B15442">
        <v>0</v>
      </c>
    </row>
    <row r="15443" spans="1:2" x14ac:dyDescent="0.25">
      <c r="A15443">
        <v>30188</v>
      </c>
      <c r="B15443">
        <v>0</v>
      </c>
    </row>
    <row r="15444" spans="1:2" x14ac:dyDescent="0.25">
      <c r="A15444">
        <v>30189</v>
      </c>
      <c r="B15444">
        <v>0</v>
      </c>
    </row>
    <row r="15445" spans="1:2" x14ac:dyDescent="0.25">
      <c r="A15445">
        <v>30191</v>
      </c>
      <c r="B15445">
        <v>0</v>
      </c>
    </row>
    <row r="15446" spans="1:2" x14ac:dyDescent="0.25">
      <c r="A15446">
        <v>30193</v>
      </c>
      <c r="B15446">
        <v>0</v>
      </c>
    </row>
    <row r="15447" spans="1:2" x14ac:dyDescent="0.25">
      <c r="A15447">
        <v>30195</v>
      </c>
      <c r="B15447">
        <v>0</v>
      </c>
    </row>
    <row r="15448" spans="1:2" x14ac:dyDescent="0.25">
      <c r="A15448">
        <v>30197</v>
      </c>
      <c r="B15448">
        <v>0</v>
      </c>
    </row>
    <row r="15449" spans="1:2" x14ac:dyDescent="0.25">
      <c r="A15449">
        <v>30199</v>
      </c>
      <c r="B15449">
        <v>0</v>
      </c>
    </row>
    <row r="15450" spans="1:2" x14ac:dyDescent="0.25">
      <c r="A15450">
        <v>30201</v>
      </c>
      <c r="B15450">
        <v>0</v>
      </c>
    </row>
    <row r="15451" spans="1:2" x14ac:dyDescent="0.25">
      <c r="A15451">
        <v>30202</v>
      </c>
      <c r="B15451">
        <v>0</v>
      </c>
    </row>
    <row r="15452" spans="1:2" x14ac:dyDescent="0.25">
      <c r="A15452">
        <v>30203</v>
      </c>
      <c r="B15452">
        <v>0</v>
      </c>
    </row>
    <row r="15453" spans="1:2" x14ac:dyDescent="0.25">
      <c r="A15453">
        <v>30204</v>
      </c>
      <c r="B15453">
        <v>0</v>
      </c>
    </row>
    <row r="15454" spans="1:2" x14ac:dyDescent="0.25">
      <c r="A15454">
        <v>30208</v>
      </c>
      <c r="B15454">
        <v>0</v>
      </c>
    </row>
    <row r="15455" spans="1:2" x14ac:dyDescent="0.25">
      <c r="A15455">
        <v>30209</v>
      </c>
      <c r="B15455">
        <v>0</v>
      </c>
    </row>
    <row r="15456" spans="1:2" x14ac:dyDescent="0.25">
      <c r="A15456">
        <v>30210</v>
      </c>
      <c r="B15456">
        <v>0</v>
      </c>
    </row>
    <row r="15457" spans="1:2" x14ac:dyDescent="0.25">
      <c r="A15457">
        <v>30212</v>
      </c>
      <c r="B15457">
        <v>0</v>
      </c>
    </row>
    <row r="15458" spans="1:2" x14ac:dyDescent="0.25">
      <c r="A15458">
        <v>30214</v>
      </c>
      <c r="B15458">
        <v>0</v>
      </c>
    </row>
    <row r="15459" spans="1:2" x14ac:dyDescent="0.25">
      <c r="A15459">
        <v>30216</v>
      </c>
      <c r="B15459">
        <v>0</v>
      </c>
    </row>
    <row r="15460" spans="1:2" x14ac:dyDescent="0.25">
      <c r="A15460">
        <v>30218</v>
      </c>
      <c r="B15460">
        <v>0</v>
      </c>
    </row>
    <row r="15461" spans="1:2" x14ac:dyDescent="0.25">
      <c r="A15461">
        <v>30220</v>
      </c>
      <c r="B15461">
        <v>0</v>
      </c>
    </row>
    <row r="15462" spans="1:2" x14ac:dyDescent="0.25">
      <c r="A15462">
        <v>30222</v>
      </c>
      <c r="B15462">
        <v>0</v>
      </c>
    </row>
    <row r="15463" spans="1:2" x14ac:dyDescent="0.25">
      <c r="A15463">
        <v>30224</v>
      </c>
      <c r="B15463">
        <v>0</v>
      </c>
    </row>
    <row r="15464" spans="1:2" x14ac:dyDescent="0.25">
      <c r="A15464">
        <v>30225</v>
      </c>
      <c r="B15464">
        <v>0</v>
      </c>
    </row>
    <row r="15465" spans="1:2" x14ac:dyDescent="0.25">
      <c r="A15465">
        <v>30226</v>
      </c>
      <c r="B15465">
        <v>0</v>
      </c>
    </row>
    <row r="15466" spans="1:2" x14ac:dyDescent="0.25">
      <c r="A15466">
        <v>30227</v>
      </c>
      <c r="B15466">
        <v>0</v>
      </c>
    </row>
    <row r="15467" spans="1:2" x14ac:dyDescent="0.25">
      <c r="A15467">
        <v>30228</v>
      </c>
      <c r="B15467">
        <v>0</v>
      </c>
    </row>
    <row r="15468" spans="1:2" x14ac:dyDescent="0.25">
      <c r="A15468">
        <v>30237</v>
      </c>
      <c r="B15468">
        <v>0</v>
      </c>
    </row>
    <row r="15469" spans="1:2" x14ac:dyDescent="0.25">
      <c r="A15469">
        <v>30238</v>
      </c>
      <c r="B15469">
        <v>0</v>
      </c>
    </row>
    <row r="15470" spans="1:2" x14ac:dyDescent="0.25">
      <c r="A15470">
        <v>30239</v>
      </c>
      <c r="B15470">
        <v>0</v>
      </c>
    </row>
    <row r="15471" spans="1:2" x14ac:dyDescent="0.25">
      <c r="A15471">
        <v>30240</v>
      </c>
      <c r="B15471">
        <v>0</v>
      </c>
    </row>
    <row r="15472" spans="1:2" x14ac:dyDescent="0.25">
      <c r="A15472">
        <v>30241</v>
      </c>
      <c r="B15472">
        <v>0</v>
      </c>
    </row>
    <row r="15473" spans="1:2" x14ac:dyDescent="0.25">
      <c r="A15473">
        <v>30242</v>
      </c>
      <c r="B15473">
        <v>0</v>
      </c>
    </row>
    <row r="15474" spans="1:2" x14ac:dyDescent="0.25">
      <c r="A15474">
        <v>30243</v>
      </c>
      <c r="B15474">
        <v>0</v>
      </c>
    </row>
    <row r="15475" spans="1:2" x14ac:dyDescent="0.25">
      <c r="A15475">
        <v>30244</v>
      </c>
      <c r="B15475">
        <v>0</v>
      </c>
    </row>
    <row r="15476" spans="1:2" x14ac:dyDescent="0.25">
      <c r="A15476">
        <v>30245</v>
      </c>
      <c r="B15476">
        <v>0</v>
      </c>
    </row>
    <row r="15477" spans="1:2" x14ac:dyDescent="0.25">
      <c r="A15477">
        <v>30247</v>
      </c>
      <c r="B15477">
        <v>0</v>
      </c>
    </row>
    <row r="15478" spans="1:2" x14ac:dyDescent="0.25">
      <c r="A15478">
        <v>30249</v>
      </c>
      <c r="B15478">
        <v>0</v>
      </c>
    </row>
    <row r="15479" spans="1:2" x14ac:dyDescent="0.25">
      <c r="A15479">
        <v>30251</v>
      </c>
      <c r="B15479">
        <v>0</v>
      </c>
    </row>
    <row r="15480" spans="1:2" x14ac:dyDescent="0.25">
      <c r="A15480">
        <v>30253</v>
      </c>
      <c r="B15480">
        <v>0</v>
      </c>
    </row>
    <row r="15481" spans="1:2" x14ac:dyDescent="0.25">
      <c r="A15481">
        <v>30255</v>
      </c>
      <c r="B15481">
        <v>0</v>
      </c>
    </row>
    <row r="15482" spans="1:2" x14ac:dyDescent="0.25">
      <c r="A15482">
        <v>30256</v>
      </c>
      <c r="B15482">
        <v>0</v>
      </c>
    </row>
    <row r="15483" spans="1:2" x14ac:dyDescent="0.25">
      <c r="A15483">
        <v>30257</v>
      </c>
      <c r="B15483">
        <v>0</v>
      </c>
    </row>
    <row r="15484" spans="1:2" x14ac:dyDescent="0.25">
      <c r="A15484">
        <v>30258</v>
      </c>
      <c r="B15484">
        <v>0</v>
      </c>
    </row>
    <row r="15485" spans="1:2" x14ac:dyDescent="0.25">
      <c r="A15485">
        <v>30259</v>
      </c>
      <c r="B15485">
        <v>0</v>
      </c>
    </row>
    <row r="15486" spans="1:2" x14ac:dyDescent="0.25">
      <c r="A15486">
        <v>30260</v>
      </c>
      <c r="B15486">
        <v>0</v>
      </c>
    </row>
    <row r="15487" spans="1:2" x14ac:dyDescent="0.25">
      <c r="A15487">
        <v>30261</v>
      </c>
      <c r="B15487">
        <v>0</v>
      </c>
    </row>
    <row r="15488" spans="1:2" x14ac:dyDescent="0.25">
      <c r="A15488">
        <v>30262</v>
      </c>
      <c r="B15488">
        <v>0</v>
      </c>
    </row>
    <row r="15489" spans="1:2" x14ac:dyDescent="0.25">
      <c r="A15489">
        <v>30263</v>
      </c>
      <c r="B15489">
        <v>0</v>
      </c>
    </row>
    <row r="15490" spans="1:2" x14ac:dyDescent="0.25">
      <c r="A15490">
        <v>30264</v>
      </c>
      <c r="B15490">
        <v>0</v>
      </c>
    </row>
    <row r="15491" spans="1:2" x14ac:dyDescent="0.25">
      <c r="A15491">
        <v>30265</v>
      </c>
      <c r="B15491">
        <v>0</v>
      </c>
    </row>
    <row r="15492" spans="1:2" x14ac:dyDescent="0.25">
      <c r="A15492">
        <v>30266</v>
      </c>
      <c r="B15492">
        <v>0</v>
      </c>
    </row>
    <row r="15493" spans="1:2" x14ac:dyDescent="0.25">
      <c r="A15493">
        <v>30267</v>
      </c>
      <c r="B15493">
        <v>0</v>
      </c>
    </row>
    <row r="15494" spans="1:2" x14ac:dyDescent="0.25">
      <c r="A15494">
        <v>30268</v>
      </c>
      <c r="B15494">
        <v>0</v>
      </c>
    </row>
    <row r="15495" spans="1:2" x14ac:dyDescent="0.25">
      <c r="A15495">
        <v>30269</v>
      </c>
      <c r="B15495">
        <v>0</v>
      </c>
    </row>
    <row r="15496" spans="1:2" x14ac:dyDescent="0.25">
      <c r="A15496">
        <v>30270</v>
      </c>
      <c r="B15496">
        <v>0</v>
      </c>
    </row>
    <row r="15497" spans="1:2" x14ac:dyDescent="0.25">
      <c r="A15497">
        <v>30271</v>
      </c>
      <c r="B15497">
        <v>0</v>
      </c>
    </row>
    <row r="15498" spans="1:2" x14ac:dyDescent="0.25">
      <c r="A15498">
        <v>30272</v>
      </c>
      <c r="B15498">
        <v>0</v>
      </c>
    </row>
    <row r="15499" spans="1:2" x14ac:dyDescent="0.25">
      <c r="A15499">
        <v>30277</v>
      </c>
      <c r="B15499">
        <v>0</v>
      </c>
    </row>
    <row r="15500" spans="1:2" x14ac:dyDescent="0.25">
      <c r="A15500">
        <v>30279</v>
      </c>
      <c r="B15500">
        <v>0</v>
      </c>
    </row>
    <row r="15501" spans="1:2" x14ac:dyDescent="0.25">
      <c r="A15501">
        <v>30281</v>
      </c>
      <c r="B15501">
        <v>0</v>
      </c>
    </row>
    <row r="15502" spans="1:2" x14ac:dyDescent="0.25">
      <c r="A15502">
        <v>30283</v>
      </c>
      <c r="B15502">
        <v>0</v>
      </c>
    </row>
    <row r="15503" spans="1:2" x14ac:dyDescent="0.25">
      <c r="A15503">
        <v>30284</v>
      </c>
      <c r="B15503">
        <v>0</v>
      </c>
    </row>
    <row r="15504" spans="1:2" x14ac:dyDescent="0.25">
      <c r="A15504">
        <v>30285</v>
      </c>
      <c r="B15504">
        <v>0</v>
      </c>
    </row>
    <row r="15505" spans="1:2" x14ac:dyDescent="0.25">
      <c r="A15505">
        <v>30286</v>
      </c>
      <c r="B15505">
        <v>0</v>
      </c>
    </row>
    <row r="15506" spans="1:2" x14ac:dyDescent="0.25">
      <c r="A15506">
        <v>30287</v>
      </c>
      <c r="B15506">
        <v>0</v>
      </c>
    </row>
    <row r="15507" spans="1:2" x14ac:dyDescent="0.25">
      <c r="A15507">
        <v>30288</v>
      </c>
      <c r="B15507">
        <v>0</v>
      </c>
    </row>
    <row r="15508" spans="1:2" x14ac:dyDescent="0.25">
      <c r="A15508">
        <v>30289</v>
      </c>
      <c r="B15508">
        <v>0</v>
      </c>
    </row>
    <row r="15509" spans="1:2" x14ac:dyDescent="0.25">
      <c r="A15509">
        <v>30290</v>
      </c>
      <c r="B15509">
        <v>0</v>
      </c>
    </row>
    <row r="15510" spans="1:2" x14ac:dyDescent="0.25">
      <c r="A15510">
        <v>30291</v>
      </c>
      <c r="B15510">
        <v>0</v>
      </c>
    </row>
    <row r="15511" spans="1:2" x14ac:dyDescent="0.25">
      <c r="A15511">
        <v>30292</v>
      </c>
      <c r="B15511">
        <v>0</v>
      </c>
    </row>
    <row r="15512" spans="1:2" x14ac:dyDescent="0.25">
      <c r="A15512">
        <v>30293</v>
      </c>
      <c r="B15512">
        <v>0</v>
      </c>
    </row>
    <row r="15513" spans="1:2" x14ac:dyDescent="0.25">
      <c r="A15513">
        <v>30294</v>
      </c>
      <c r="B15513">
        <v>0</v>
      </c>
    </row>
    <row r="15514" spans="1:2" x14ac:dyDescent="0.25">
      <c r="A15514">
        <v>30295</v>
      </c>
      <c r="B15514">
        <v>0</v>
      </c>
    </row>
    <row r="15515" spans="1:2" x14ac:dyDescent="0.25">
      <c r="A15515">
        <v>30296</v>
      </c>
      <c r="B15515">
        <v>0</v>
      </c>
    </row>
    <row r="15516" spans="1:2" x14ac:dyDescent="0.25">
      <c r="A15516">
        <v>30297</v>
      </c>
      <c r="B15516">
        <v>0</v>
      </c>
    </row>
    <row r="15517" spans="1:2" x14ac:dyDescent="0.25">
      <c r="A15517">
        <v>30298</v>
      </c>
      <c r="B15517">
        <v>0</v>
      </c>
    </row>
    <row r="15518" spans="1:2" x14ac:dyDescent="0.25">
      <c r="A15518">
        <v>30299</v>
      </c>
      <c r="B15518">
        <v>0</v>
      </c>
    </row>
    <row r="15519" spans="1:2" x14ac:dyDescent="0.25">
      <c r="A15519">
        <v>30300</v>
      </c>
      <c r="B15519">
        <v>0</v>
      </c>
    </row>
    <row r="15520" spans="1:2" x14ac:dyDescent="0.25">
      <c r="A15520">
        <v>30301</v>
      </c>
      <c r="B15520">
        <v>0</v>
      </c>
    </row>
    <row r="15521" spans="1:2" x14ac:dyDescent="0.25">
      <c r="A15521">
        <v>30302</v>
      </c>
      <c r="B15521">
        <v>0</v>
      </c>
    </row>
    <row r="15522" spans="1:2" x14ac:dyDescent="0.25">
      <c r="A15522">
        <v>30303</v>
      </c>
      <c r="B15522">
        <v>0</v>
      </c>
    </row>
    <row r="15523" spans="1:2" x14ac:dyDescent="0.25">
      <c r="A15523">
        <v>30304</v>
      </c>
      <c r="B15523">
        <v>0</v>
      </c>
    </row>
    <row r="15524" spans="1:2" x14ac:dyDescent="0.25">
      <c r="A15524">
        <v>30305</v>
      </c>
      <c r="B15524">
        <v>0</v>
      </c>
    </row>
    <row r="15525" spans="1:2" x14ac:dyDescent="0.25">
      <c r="A15525">
        <v>30306</v>
      </c>
      <c r="B15525">
        <v>0</v>
      </c>
    </row>
    <row r="15526" spans="1:2" x14ac:dyDescent="0.25">
      <c r="A15526">
        <v>30308</v>
      </c>
      <c r="B15526">
        <v>0</v>
      </c>
    </row>
    <row r="15527" spans="1:2" x14ac:dyDescent="0.25">
      <c r="A15527">
        <v>30310</v>
      </c>
      <c r="B15527">
        <v>0</v>
      </c>
    </row>
    <row r="15528" spans="1:2" x14ac:dyDescent="0.25">
      <c r="A15528">
        <v>30312</v>
      </c>
      <c r="B15528">
        <v>0</v>
      </c>
    </row>
    <row r="15529" spans="1:2" x14ac:dyDescent="0.25">
      <c r="A15529">
        <v>30314</v>
      </c>
      <c r="B15529">
        <v>0</v>
      </c>
    </row>
    <row r="15530" spans="1:2" x14ac:dyDescent="0.25">
      <c r="A15530">
        <v>30316</v>
      </c>
      <c r="B15530">
        <v>0</v>
      </c>
    </row>
    <row r="15531" spans="1:2" x14ac:dyDescent="0.25">
      <c r="A15531">
        <v>30317</v>
      </c>
      <c r="B15531">
        <v>0</v>
      </c>
    </row>
    <row r="15532" spans="1:2" x14ac:dyDescent="0.25">
      <c r="A15532">
        <v>30318</v>
      </c>
      <c r="B15532">
        <v>0</v>
      </c>
    </row>
    <row r="15533" spans="1:2" x14ac:dyDescent="0.25">
      <c r="A15533">
        <v>30319</v>
      </c>
      <c r="B15533">
        <v>0</v>
      </c>
    </row>
    <row r="15534" spans="1:2" x14ac:dyDescent="0.25">
      <c r="A15534">
        <v>30320</v>
      </c>
      <c r="B15534">
        <v>0</v>
      </c>
    </row>
    <row r="15535" spans="1:2" x14ac:dyDescent="0.25">
      <c r="A15535">
        <v>30321</v>
      </c>
      <c r="B15535">
        <v>0</v>
      </c>
    </row>
    <row r="15536" spans="1:2" x14ac:dyDescent="0.25">
      <c r="A15536">
        <v>30322</v>
      </c>
      <c r="B15536">
        <v>0</v>
      </c>
    </row>
    <row r="15537" spans="1:2" x14ac:dyDescent="0.25">
      <c r="A15537">
        <v>30323</v>
      </c>
      <c r="B15537">
        <v>0</v>
      </c>
    </row>
    <row r="15538" spans="1:2" x14ac:dyDescent="0.25">
      <c r="A15538">
        <v>30324</v>
      </c>
      <c r="B15538">
        <v>0</v>
      </c>
    </row>
    <row r="15539" spans="1:2" x14ac:dyDescent="0.25">
      <c r="A15539">
        <v>30325</v>
      </c>
      <c r="B15539">
        <v>0</v>
      </c>
    </row>
    <row r="15540" spans="1:2" x14ac:dyDescent="0.25">
      <c r="A15540">
        <v>30326</v>
      </c>
      <c r="B15540">
        <v>0</v>
      </c>
    </row>
    <row r="15541" spans="1:2" x14ac:dyDescent="0.25">
      <c r="A15541">
        <v>30327</v>
      </c>
      <c r="B15541">
        <v>0</v>
      </c>
    </row>
    <row r="15542" spans="1:2" x14ac:dyDescent="0.25">
      <c r="A15542">
        <v>30328</v>
      </c>
      <c r="B15542">
        <v>0</v>
      </c>
    </row>
    <row r="15543" spans="1:2" x14ac:dyDescent="0.25">
      <c r="A15543">
        <v>30329</v>
      </c>
      <c r="B15543">
        <v>0</v>
      </c>
    </row>
    <row r="15544" spans="1:2" x14ac:dyDescent="0.25">
      <c r="A15544">
        <v>30330</v>
      </c>
      <c r="B15544">
        <v>0</v>
      </c>
    </row>
    <row r="15545" spans="1:2" x14ac:dyDescent="0.25">
      <c r="A15545">
        <v>30331</v>
      </c>
      <c r="B15545">
        <v>0</v>
      </c>
    </row>
    <row r="15546" spans="1:2" x14ac:dyDescent="0.25">
      <c r="A15546">
        <v>30332</v>
      </c>
      <c r="B15546">
        <v>0</v>
      </c>
    </row>
    <row r="15547" spans="1:2" x14ac:dyDescent="0.25">
      <c r="A15547">
        <v>30333</v>
      </c>
      <c r="B15547">
        <v>0</v>
      </c>
    </row>
    <row r="15548" spans="1:2" x14ac:dyDescent="0.25">
      <c r="A15548">
        <v>30334</v>
      </c>
      <c r="B15548">
        <v>0</v>
      </c>
    </row>
    <row r="15549" spans="1:2" x14ac:dyDescent="0.25">
      <c r="A15549">
        <v>30335</v>
      </c>
      <c r="B15549">
        <v>0</v>
      </c>
    </row>
    <row r="15550" spans="1:2" x14ac:dyDescent="0.25">
      <c r="A15550">
        <v>30336</v>
      </c>
      <c r="B15550">
        <v>0</v>
      </c>
    </row>
    <row r="15551" spans="1:2" x14ac:dyDescent="0.25">
      <c r="A15551">
        <v>30337</v>
      </c>
      <c r="B15551">
        <v>0</v>
      </c>
    </row>
    <row r="15552" spans="1:2" x14ac:dyDescent="0.25">
      <c r="A15552">
        <v>30338</v>
      </c>
      <c r="B15552">
        <v>0</v>
      </c>
    </row>
    <row r="15553" spans="1:2" x14ac:dyDescent="0.25">
      <c r="A15553">
        <v>30339</v>
      </c>
      <c r="B15553">
        <v>0</v>
      </c>
    </row>
    <row r="15554" spans="1:2" x14ac:dyDescent="0.25">
      <c r="A15554">
        <v>30340</v>
      </c>
      <c r="B15554">
        <v>0</v>
      </c>
    </row>
    <row r="15555" spans="1:2" x14ac:dyDescent="0.25">
      <c r="A15555">
        <v>30341</v>
      </c>
      <c r="B15555">
        <v>0</v>
      </c>
    </row>
    <row r="15556" spans="1:2" x14ac:dyDescent="0.25">
      <c r="A15556">
        <v>30342</v>
      </c>
      <c r="B15556">
        <v>0</v>
      </c>
    </row>
    <row r="15557" spans="1:2" x14ac:dyDescent="0.25">
      <c r="A15557">
        <v>30343</v>
      </c>
      <c r="B15557">
        <v>0</v>
      </c>
    </row>
    <row r="15558" spans="1:2" x14ac:dyDescent="0.25">
      <c r="A15558">
        <v>30344</v>
      </c>
      <c r="B15558">
        <v>0</v>
      </c>
    </row>
    <row r="15559" spans="1:2" x14ac:dyDescent="0.25">
      <c r="A15559">
        <v>30345</v>
      </c>
      <c r="B15559">
        <v>0</v>
      </c>
    </row>
    <row r="15560" spans="1:2" x14ac:dyDescent="0.25">
      <c r="A15560">
        <v>30346</v>
      </c>
      <c r="B15560">
        <v>0</v>
      </c>
    </row>
    <row r="15561" spans="1:2" x14ac:dyDescent="0.25">
      <c r="A15561">
        <v>30347</v>
      </c>
      <c r="B15561">
        <v>0</v>
      </c>
    </row>
    <row r="15562" spans="1:2" x14ac:dyDescent="0.25">
      <c r="A15562">
        <v>30348</v>
      </c>
      <c r="B15562">
        <v>0</v>
      </c>
    </row>
    <row r="15563" spans="1:2" x14ac:dyDescent="0.25">
      <c r="A15563">
        <v>30360</v>
      </c>
      <c r="B15563">
        <v>0</v>
      </c>
    </row>
    <row r="15564" spans="1:2" x14ac:dyDescent="0.25">
      <c r="A15564">
        <v>30378</v>
      </c>
      <c r="B15564">
        <v>0</v>
      </c>
    </row>
    <row r="15565" spans="1:2" x14ac:dyDescent="0.25">
      <c r="A15565">
        <v>30380</v>
      </c>
      <c r="B15565">
        <v>0</v>
      </c>
    </row>
    <row r="15566" spans="1:2" x14ac:dyDescent="0.25">
      <c r="A15566">
        <v>30381</v>
      </c>
      <c r="B15566">
        <v>0</v>
      </c>
    </row>
    <row r="15567" spans="1:2" x14ac:dyDescent="0.25">
      <c r="A15567">
        <v>30384</v>
      </c>
      <c r="B15567">
        <v>0</v>
      </c>
    </row>
    <row r="15568" spans="1:2" x14ac:dyDescent="0.25">
      <c r="A15568">
        <v>30385</v>
      </c>
      <c r="B15568">
        <v>0</v>
      </c>
    </row>
    <row r="15569" spans="1:2" x14ac:dyDescent="0.25">
      <c r="A15569">
        <v>30388</v>
      </c>
      <c r="B15569">
        <v>0</v>
      </c>
    </row>
    <row r="15570" spans="1:2" x14ac:dyDescent="0.25">
      <c r="A15570">
        <v>30389</v>
      </c>
      <c r="B15570">
        <v>0</v>
      </c>
    </row>
    <row r="15571" spans="1:2" x14ac:dyDescent="0.25">
      <c r="A15571">
        <v>30390</v>
      </c>
      <c r="B15571">
        <v>0</v>
      </c>
    </row>
    <row r="15572" spans="1:2" x14ac:dyDescent="0.25">
      <c r="A15572">
        <v>30391</v>
      </c>
      <c r="B15572">
        <v>0</v>
      </c>
    </row>
    <row r="15573" spans="1:2" x14ac:dyDescent="0.25">
      <c r="A15573">
        <v>30392</v>
      </c>
      <c r="B15573">
        <v>0</v>
      </c>
    </row>
    <row r="15574" spans="1:2" x14ac:dyDescent="0.25">
      <c r="A15574">
        <v>30393</v>
      </c>
      <c r="B15574">
        <v>0</v>
      </c>
    </row>
    <row r="15575" spans="1:2" x14ac:dyDescent="0.25">
      <c r="A15575">
        <v>30394</v>
      </c>
      <c r="B15575">
        <v>0</v>
      </c>
    </row>
    <row r="15576" spans="1:2" x14ac:dyDescent="0.25">
      <c r="A15576">
        <v>30395</v>
      </c>
      <c r="B15576">
        <v>0</v>
      </c>
    </row>
    <row r="15577" spans="1:2" x14ac:dyDescent="0.25">
      <c r="A15577">
        <v>30396</v>
      </c>
      <c r="B15577">
        <v>0</v>
      </c>
    </row>
    <row r="15578" spans="1:2" x14ac:dyDescent="0.25">
      <c r="A15578">
        <v>30397</v>
      </c>
      <c r="B15578">
        <v>0</v>
      </c>
    </row>
    <row r="15579" spans="1:2" x14ac:dyDescent="0.25">
      <c r="A15579">
        <v>30398</v>
      </c>
      <c r="B15579">
        <v>0</v>
      </c>
    </row>
    <row r="15580" spans="1:2" x14ac:dyDescent="0.25">
      <c r="A15580">
        <v>30399</v>
      </c>
      <c r="B15580">
        <v>0</v>
      </c>
    </row>
    <row r="15581" spans="1:2" x14ac:dyDescent="0.25">
      <c r="A15581">
        <v>30400</v>
      </c>
      <c r="B15581">
        <v>0</v>
      </c>
    </row>
    <row r="15582" spans="1:2" x14ac:dyDescent="0.25">
      <c r="A15582">
        <v>30401</v>
      </c>
      <c r="B15582">
        <v>0</v>
      </c>
    </row>
    <row r="15583" spans="1:2" x14ac:dyDescent="0.25">
      <c r="A15583">
        <v>30402</v>
      </c>
      <c r="B15583">
        <v>0</v>
      </c>
    </row>
    <row r="15584" spans="1:2" x14ac:dyDescent="0.25">
      <c r="A15584">
        <v>30403</v>
      </c>
      <c r="B15584">
        <v>0</v>
      </c>
    </row>
    <row r="15585" spans="1:2" x14ac:dyDescent="0.25">
      <c r="A15585">
        <v>30410</v>
      </c>
      <c r="B15585">
        <v>0</v>
      </c>
    </row>
    <row r="15586" spans="1:2" x14ac:dyDescent="0.25">
      <c r="A15586">
        <v>30411</v>
      </c>
      <c r="B15586">
        <v>0</v>
      </c>
    </row>
    <row r="15587" spans="1:2" x14ac:dyDescent="0.25">
      <c r="A15587">
        <v>30412</v>
      </c>
      <c r="B15587">
        <v>0</v>
      </c>
    </row>
    <row r="15588" spans="1:2" x14ac:dyDescent="0.25">
      <c r="A15588">
        <v>30413</v>
      </c>
      <c r="B15588">
        <v>0</v>
      </c>
    </row>
    <row r="15589" spans="1:2" x14ac:dyDescent="0.25">
      <c r="A15589">
        <v>30414</v>
      </c>
      <c r="B15589">
        <v>0</v>
      </c>
    </row>
    <row r="15590" spans="1:2" x14ac:dyDescent="0.25">
      <c r="A15590">
        <v>30415</v>
      </c>
      <c r="B15590">
        <v>0</v>
      </c>
    </row>
    <row r="15591" spans="1:2" x14ac:dyDescent="0.25">
      <c r="A15591">
        <v>30416</v>
      </c>
      <c r="B15591">
        <v>0</v>
      </c>
    </row>
    <row r="15592" spans="1:2" x14ac:dyDescent="0.25">
      <c r="A15592">
        <v>30417</v>
      </c>
      <c r="B15592">
        <v>0</v>
      </c>
    </row>
    <row r="15593" spans="1:2" x14ac:dyDescent="0.25">
      <c r="A15593">
        <v>30418</v>
      </c>
      <c r="B15593">
        <v>0</v>
      </c>
    </row>
    <row r="15594" spans="1:2" x14ac:dyDescent="0.25">
      <c r="A15594">
        <v>30419</v>
      </c>
      <c r="B15594">
        <v>0</v>
      </c>
    </row>
    <row r="15595" spans="1:2" x14ac:dyDescent="0.25">
      <c r="A15595">
        <v>30420</v>
      </c>
      <c r="B15595">
        <v>0</v>
      </c>
    </row>
    <row r="15596" spans="1:2" x14ac:dyDescent="0.25">
      <c r="A15596">
        <v>30421</v>
      </c>
      <c r="B15596">
        <v>0</v>
      </c>
    </row>
    <row r="15597" spans="1:2" x14ac:dyDescent="0.25">
      <c r="A15597">
        <v>30422</v>
      </c>
      <c r="B15597">
        <v>0</v>
      </c>
    </row>
    <row r="15598" spans="1:2" x14ac:dyDescent="0.25">
      <c r="A15598">
        <v>30423</v>
      </c>
      <c r="B15598">
        <v>0</v>
      </c>
    </row>
    <row r="15599" spans="1:2" x14ac:dyDescent="0.25">
      <c r="A15599">
        <v>30424</v>
      </c>
      <c r="B15599">
        <v>0</v>
      </c>
    </row>
    <row r="15600" spans="1:2" x14ac:dyDescent="0.25">
      <c r="A15600">
        <v>30425</v>
      </c>
      <c r="B15600">
        <v>0</v>
      </c>
    </row>
    <row r="15601" spans="1:2" x14ac:dyDescent="0.25">
      <c r="A15601">
        <v>30426</v>
      </c>
      <c r="B15601">
        <v>0</v>
      </c>
    </row>
    <row r="15602" spans="1:2" x14ac:dyDescent="0.25">
      <c r="A15602">
        <v>30427</v>
      </c>
      <c r="B15602">
        <v>0</v>
      </c>
    </row>
    <row r="15603" spans="1:2" x14ac:dyDescent="0.25">
      <c r="A15603">
        <v>30428</v>
      </c>
      <c r="B15603">
        <v>0</v>
      </c>
    </row>
    <row r="15604" spans="1:2" x14ac:dyDescent="0.25">
      <c r="A15604">
        <v>30429</v>
      </c>
      <c r="B15604">
        <v>0</v>
      </c>
    </row>
    <row r="15605" spans="1:2" x14ac:dyDescent="0.25">
      <c r="A15605">
        <v>30430</v>
      </c>
      <c r="B15605">
        <v>0</v>
      </c>
    </row>
    <row r="15606" spans="1:2" x14ac:dyDescent="0.25">
      <c r="A15606">
        <v>30431</v>
      </c>
      <c r="B15606">
        <v>0</v>
      </c>
    </row>
    <row r="15607" spans="1:2" x14ac:dyDescent="0.25">
      <c r="A15607">
        <v>30432</v>
      </c>
      <c r="B15607">
        <v>0</v>
      </c>
    </row>
    <row r="15608" spans="1:2" x14ac:dyDescent="0.25">
      <c r="A15608">
        <v>30433</v>
      </c>
      <c r="B15608">
        <v>0</v>
      </c>
    </row>
    <row r="15609" spans="1:2" x14ac:dyDescent="0.25">
      <c r="A15609">
        <v>30434</v>
      </c>
      <c r="B15609">
        <v>0</v>
      </c>
    </row>
    <row r="15610" spans="1:2" x14ac:dyDescent="0.25">
      <c r="A15610">
        <v>30436</v>
      </c>
      <c r="B15610">
        <v>0</v>
      </c>
    </row>
    <row r="15611" spans="1:2" x14ac:dyDescent="0.25">
      <c r="A15611">
        <v>30438</v>
      </c>
      <c r="B15611">
        <v>0</v>
      </c>
    </row>
    <row r="15612" spans="1:2" x14ac:dyDescent="0.25">
      <c r="A15612">
        <v>30440</v>
      </c>
      <c r="B15612">
        <v>0</v>
      </c>
    </row>
    <row r="15613" spans="1:2" x14ac:dyDescent="0.25">
      <c r="A15613">
        <v>30442</v>
      </c>
      <c r="B15613">
        <v>0</v>
      </c>
    </row>
    <row r="15614" spans="1:2" x14ac:dyDescent="0.25">
      <c r="A15614">
        <v>30443</v>
      </c>
      <c r="B15614">
        <v>0</v>
      </c>
    </row>
    <row r="15615" spans="1:2" x14ac:dyDescent="0.25">
      <c r="A15615">
        <v>30444</v>
      </c>
      <c r="B15615">
        <v>0</v>
      </c>
    </row>
    <row r="15616" spans="1:2" x14ac:dyDescent="0.25">
      <c r="A15616">
        <v>30445</v>
      </c>
      <c r="B15616">
        <v>0</v>
      </c>
    </row>
    <row r="15617" spans="1:2" x14ac:dyDescent="0.25">
      <c r="A15617">
        <v>30446</v>
      </c>
      <c r="B15617">
        <v>0</v>
      </c>
    </row>
    <row r="15618" spans="1:2" x14ac:dyDescent="0.25">
      <c r="A15618">
        <v>30447</v>
      </c>
      <c r="B15618">
        <v>0</v>
      </c>
    </row>
    <row r="15619" spans="1:2" x14ac:dyDescent="0.25">
      <c r="A15619">
        <v>30448</v>
      </c>
      <c r="B15619">
        <v>0</v>
      </c>
    </row>
    <row r="15620" spans="1:2" x14ac:dyDescent="0.25">
      <c r="A15620">
        <v>30449</v>
      </c>
      <c r="B15620">
        <v>0</v>
      </c>
    </row>
    <row r="15621" spans="1:2" x14ac:dyDescent="0.25">
      <c r="A15621">
        <v>30450</v>
      </c>
      <c r="B15621">
        <v>0</v>
      </c>
    </row>
    <row r="15622" spans="1:2" x14ac:dyDescent="0.25">
      <c r="A15622">
        <v>30451</v>
      </c>
      <c r="B15622">
        <v>0</v>
      </c>
    </row>
    <row r="15623" spans="1:2" x14ac:dyDescent="0.25">
      <c r="A15623">
        <v>30452</v>
      </c>
      <c r="B15623">
        <v>0</v>
      </c>
    </row>
    <row r="15624" spans="1:2" x14ac:dyDescent="0.25">
      <c r="A15624">
        <v>30454</v>
      </c>
      <c r="B15624">
        <v>0</v>
      </c>
    </row>
    <row r="15625" spans="1:2" x14ac:dyDescent="0.25">
      <c r="A15625">
        <v>30455</v>
      </c>
      <c r="B15625">
        <v>0</v>
      </c>
    </row>
    <row r="15626" spans="1:2" x14ac:dyDescent="0.25">
      <c r="A15626">
        <v>30456</v>
      </c>
      <c r="B15626">
        <v>0</v>
      </c>
    </row>
    <row r="15627" spans="1:2" x14ac:dyDescent="0.25">
      <c r="A15627">
        <v>30457</v>
      </c>
      <c r="B15627">
        <v>0</v>
      </c>
    </row>
    <row r="15628" spans="1:2" x14ac:dyDescent="0.25">
      <c r="A15628">
        <v>30458</v>
      </c>
      <c r="B15628">
        <v>0</v>
      </c>
    </row>
    <row r="15629" spans="1:2" x14ac:dyDescent="0.25">
      <c r="A15629">
        <v>30459</v>
      </c>
      <c r="B15629">
        <v>0</v>
      </c>
    </row>
    <row r="15630" spans="1:2" x14ac:dyDescent="0.25">
      <c r="A15630">
        <v>30460</v>
      </c>
      <c r="B15630">
        <v>0</v>
      </c>
    </row>
    <row r="15631" spans="1:2" x14ac:dyDescent="0.25">
      <c r="A15631">
        <v>30461</v>
      </c>
      <c r="B15631">
        <v>0</v>
      </c>
    </row>
    <row r="15632" spans="1:2" x14ac:dyDescent="0.25">
      <c r="A15632">
        <v>30462</v>
      </c>
      <c r="B15632">
        <v>0</v>
      </c>
    </row>
    <row r="15633" spans="1:2" x14ac:dyDescent="0.25">
      <c r="A15633">
        <v>30463</v>
      </c>
      <c r="B15633">
        <v>0</v>
      </c>
    </row>
    <row r="15634" spans="1:2" x14ac:dyDescent="0.25">
      <c r="A15634">
        <v>30475</v>
      </c>
      <c r="B15634">
        <v>0</v>
      </c>
    </row>
    <row r="15635" spans="1:2" x14ac:dyDescent="0.25">
      <c r="A15635">
        <v>30476</v>
      </c>
      <c r="B15635">
        <v>0</v>
      </c>
    </row>
    <row r="15636" spans="1:2" x14ac:dyDescent="0.25">
      <c r="A15636">
        <v>30478</v>
      </c>
      <c r="B15636">
        <v>0</v>
      </c>
    </row>
    <row r="15637" spans="1:2" x14ac:dyDescent="0.25">
      <c r="A15637">
        <v>30479</v>
      </c>
      <c r="B15637">
        <v>0</v>
      </c>
    </row>
    <row r="15638" spans="1:2" x14ac:dyDescent="0.25">
      <c r="A15638">
        <v>30481</v>
      </c>
      <c r="B15638">
        <v>0</v>
      </c>
    </row>
    <row r="15639" spans="1:2" x14ac:dyDescent="0.25">
      <c r="A15639">
        <v>30482</v>
      </c>
      <c r="B15639">
        <v>0</v>
      </c>
    </row>
    <row r="15640" spans="1:2" x14ac:dyDescent="0.25">
      <c r="A15640">
        <v>30484</v>
      </c>
      <c r="B15640">
        <v>0</v>
      </c>
    </row>
    <row r="15641" spans="1:2" x14ac:dyDescent="0.25">
      <c r="A15641">
        <v>30488</v>
      </c>
      <c r="B15641">
        <v>0</v>
      </c>
    </row>
    <row r="15642" spans="1:2" x14ac:dyDescent="0.25">
      <c r="A15642">
        <v>30490</v>
      </c>
      <c r="B15642">
        <v>0</v>
      </c>
    </row>
    <row r="15643" spans="1:2" x14ac:dyDescent="0.25">
      <c r="A15643">
        <v>30492</v>
      </c>
      <c r="B15643">
        <v>0</v>
      </c>
    </row>
    <row r="15644" spans="1:2" x14ac:dyDescent="0.25">
      <c r="A15644">
        <v>30493</v>
      </c>
      <c r="B15644">
        <v>0</v>
      </c>
    </row>
    <row r="15645" spans="1:2" x14ac:dyDescent="0.25">
      <c r="A15645">
        <v>30495</v>
      </c>
      <c r="B15645">
        <v>0</v>
      </c>
    </row>
    <row r="15646" spans="1:2" x14ac:dyDescent="0.25">
      <c r="A15646">
        <v>30497</v>
      </c>
      <c r="B15646">
        <v>0</v>
      </c>
    </row>
    <row r="15647" spans="1:2" x14ac:dyDescent="0.25">
      <c r="A15647">
        <v>30499</v>
      </c>
      <c r="B15647">
        <v>0</v>
      </c>
    </row>
    <row r="15648" spans="1:2" x14ac:dyDescent="0.25">
      <c r="A15648">
        <v>30501</v>
      </c>
      <c r="B15648">
        <v>0</v>
      </c>
    </row>
    <row r="15649" spans="1:2" x14ac:dyDescent="0.25">
      <c r="A15649">
        <v>30524</v>
      </c>
      <c r="B15649">
        <v>0</v>
      </c>
    </row>
    <row r="15650" spans="1:2" x14ac:dyDescent="0.25">
      <c r="A15650">
        <v>30526</v>
      </c>
      <c r="B15650">
        <v>0</v>
      </c>
    </row>
    <row r="15651" spans="1:2" x14ac:dyDescent="0.25">
      <c r="A15651">
        <v>30545</v>
      </c>
      <c r="B15651">
        <v>0</v>
      </c>
    </row>
    <row r="15652" spans="1:2" x14ac:dyDescent="0.25">
      <c r="A15652">
        <v>30546</v>
      </c>
      <c r="B15652">
        <v>0</v>
      </c>
    </row>
    <row r="15653" spans="1:2" x14ac:dyDescent="0.25">
      <c r="A15653">
        <v>30547</v>
      </c>
      <c r="B15653">
        <v>0</v>
      </c>
    </row>
    <row r="15654" spans="1:2" x14ac:dyDescent="0.25">
      <c r="A15654">
        <v>30548</v>
      </c>
      <c r="B15654">
        <v>0</v>
      </c>
    </row>
    <row r="15655" spans="1:2" x14ac:dyDescent="0.25">
      <c r="A15655">
        <v>30550</v>
      </c>
      <c r="B15655">
        <v>0</v>
      </c>
    </row>
    <row r="15656" spans="1:2" x14ac:dyDescent="0.25">
      <c r="A15656">
        <v>30551</v>
      </c>
      <c r="B15656">
        <v>0</v>
      </c>
    </row>
    <row r="15657" spans="1:2" x14ac:dyDescent="0.25">
      <c r="A15657">
        <v>30552</v>
      </c>
      <c r="B15657">
        <v>0</v>
      </c>
    </row>
    <row r="15658" spans="1:2" x14ac:dyDescent="0.25">
      <c r="A15658">
        <v>30553</v>
      </c>
      <c r="B15658">
        <v>0</v>
      </c>
    </row>
    <row r="15659" spans="1:2" x14ac:dyDescent="0.25">
      <c r="A15659">
        <v>30554</v>
      </c>
      <c r="B15659">
        <v>0</v>
      </c>
    </row>
    <row r="15660" spans="1:2" x14ac:dyDescent="0.25">
      <c r="A15660">
        <v>30555</v>
      </c>
      <c r="B15660">
        <v>0</v>
      </c>
    </row>
    <row r="15661" spans="1:2" x14ac:dyDescent="0.25">
      <c r="A15661">
        <v>30556</v>
      </c>
      <c r="B15661">
        <v>0</v>
      </c>
    </row>
    <row r="15662" spans="1:2" x14ac:dyDescent="0.25">
      <c r="A15662">
        <v>30557</v>
      </c>
      <c r="B15662">
        <v>0</v>
      </c>
    </row>
    <row r="15663" spans="1:2" x14ac:dyDescent="0.25">
      <c r="A15663">
        <v>30558</v>
      </c>
      <c r="B15663">
        <v>0</v>
      </c>
    </row>
    <row r="15664" spans="1:2" x14ac:dyDescent="0.25">
      <c r="A15664">
        <v>30559</v>
      </c>
      <c r="B15664">
        <v>0</v>
      </c>
    </row>
    <row r="15665" spans="1:2" x14ac:dyDescent="0.25">
      <c r="A15665">
        <v>30560</v>
      </c>
      <c r="B15665">
        <v>0</v>
      </c>
    </row>
    <row r="15666" spans="1:2" x14ac:dyDescent="0.25">
      <c r="A15666">
        <v>30561</v>
      </c>
      <c r="B15666">
        <v>0</v>
      </c>
    </row>
    <row r="15667" spans="1:2" x14ac:dyDescent="0.25">
      <c r="A15667">
        <v>30563</v>
      </c>
      <c r="B15667">
        <v>0</v>
      </c>
    </row>
    <row r="15668" spans="1:2" x14ac:dyDescent="0.25">
      <c r="A15668">
        <v>30564</v>
      </c>
      <c r="B15668">
        <v>0</v>
      </c>
    </row>
    <row r="15669" spans="1:2" x14ac:dyDescent="0.25">
      <c r="A15669">
        <v>30565</v>
      </c>
      <c r="B15669">
        <v>0</v>
      </c>
    </row>
    <row r="15670" spans="1:2" x14ac:dyDescent="0.25">
      <c r="A15670">
        <v>30566</v>
      </c>
      <c r="B15670">
        <v>0</v>
      </c>
    </row>
    <row r="15671" spans="1:2" x14ac:dyDescent="0.25">
      <c r="A15671">
        <v>30567</v>
      </c>
      <c r="B15671">
        <v>0</v>
      </c>
    </row>
    <row r="15672" spans="1:2" x14ac:dyDescent="0.25">
      <c r="A15672">
        <v>30569</v>
      </c>
      <c r="B15672">
        <v>0</v>
      </c>
    </row>
    <row r="15673" spans="1:2" x14ac:dyDescent="0.25">
      <c r="A15673">
        <v>30571</v>
      </c>
      <c r="B15673">
        <v>0</v>
      </c>
    </row>
    <row r="15674" spans="1:2" x14ac:dyDescent="0.25">
      <c r="A15674">
        <v>30573</v>
      </c>
      <c r="B15674">
        <v>0</v>
      </c>
    </row>
    <row r="15675" spans="1:2" x14ac:dyDescent="0.25">
      <c r="A15675">
        <v>30575</v>
      </c>
      <c r="B15675">
        <v>0</v>
      </c>
    </row>
    <row r="15676" spans="1:2" x14ac:dyDescent="0.25">
      <c r="A15676">
        <v>30577</v>
      </c>
      <c r="B15676">
        <v>0</v>
      </c>
    </row>
    <row r="15677" spans="1:2" x14ac:dyDescent="0.25">
      <c r="A15677">
        <v>30579</v>
      </c>
      <c r="B15677">
        <v>0</v>
      </c>
    </row>
    <row r="15678" spans="1:2" x14ac:dyDescent="0.25">
      <c r="A15678">
        <v>30581</v>
      </c>
      <c r="B15678">
        <v>0</v>
      </c>
    </row>
    <row r="15679" spans="1:2" x14ac:dyDescent="0.25">
      <c r="A15679">
        <v>30582</v>
      </c>
      <c r="B15679">
        <v>0</v>
      </c>
    </row>
    <row r="15680" spans="1:2" x14ac:dyDescent="0.25">
      <c r="A15680">
        <v>30583</v>
      </c>
      <c r="B15680">
        <v>0</v>
      </c>
    </row>
    <row r="15681" spans="1:2" x14ac:dyDescent="0.25">
      <c r="A15681">
        <v>30584</v>
      </c>
      <c r="B15681">
        <v>0</v>
      </c>
    </row>
    <row r="15682" spans="1:2" x14ac:dyDescent="0.25">
      <c r="A15682">
        <v>30585</v>
      </c>
      <c r="B15682">
        <v>0</v>
      </c>
    </row>
    <row r="15683" spans="1:2" x14ac:dyDescent="0.25">
      <c r="A15683">
        <v>30634</v>
      </c>
      <c r="B15683">
        <v>0</v>
      </c>
    </row>
    <row r="15684" spans="1:2" x14ac:dyDescent="0.25">
      <c r="A15684">
        <v>30635</v>
      </c>
      <c r="B15684">
        <v>0</v>
      </c>
    </row>
    <row r="15685" spans="1:2" x14ac:dyDescent="0.25">
      <c r="A15685">
        <v>30636</v>
      </c>
      <c r="B15685">
        <v>0</v>
      </c>
    </row>
    <row r="15686" spans="1:2" x14ac:dyDescent="0.25">
      <c r="A15686">
        <v>30637</v>
      </c>
      <c r="B15686">
        <v>0</v>
      </c>
    </row>
    <row r="15687" spans="1:2" x14ac:dyDescent="0.25">
      <c r="A15687">
        <v>30638</v>
      </c>
      <c r="B15687">
        <v>0</v>
      </c>
    </row>
    <row r="15688" spans="1:2" x14ac:dyDescent="0.25">
      <c r="A15688">
        <v>30639</v>
      </c>
      <c r="B15688">
        <v>0</v>
      </c>
    </row>
    <row r="15689" spans="1:2" x14ac:dyDescent="0.25">
      <c r="A15689">
        <v>30640</v>
      </c>
      <c r="B15689">
        <v>0</v>
      </c>
    </row>
    <row r="15690" spans="1:2" x14ac:dyDescent="0.25">
      <c r="A15690">
        <v>30641</v>
      </c>
      <c r="B15690">
        <v>0</v>
      </c>
    </row>
    <row r="15691" spans="1:2" x14ac:dyDescent="0.25">
      <c r="A15691">
        <v>30642</v>
      </c>
      <c r="B15691">
        <v>0</v>
      </c>
    </row>
    <row r="15692" spans="1:2" x14ac:dyDescent="0.25">
      <c r="A15692">
        <v>30643</v>
      </c>
      <c r="B15692">
        <v>0</v>
      </c>
    </row>
    <row r="15693" spans="1:2" x14ac:dyDescent="0.25">
      <c r="A15693">
        <v>30644</v>
      </c>
      <c r="B15693">
        <v>0</v>
      </c>
    </row>
    <row r="15694" spans="1:2" x14ac:dyDescent="0.25">
      <c r="A15694">
        <v>30645</v>
      </c>
      <c r="B15694">
        <v>0</v>
      </c>
    </row>
    <row r="15695" spans="1:2" x14ac:dyDescent="0.25">
      <c r="A15695">
        <v>30646</v>
      </c>
      <c r="B15695">
        <v>0</v>
      </c>
    </row>
    <row r="15696" spans="1:2" x14ac:dyDescent="0.25">
      <c r="A15696">
        <v>30647</v>
      </c>
      <c r="B15696">
        <v>0</v>
      </c>
    </row>
    <row r="15697" spans="1:2" x14ac:dyDescent="0.25">
      <c r="A15697">
        <v>30648</v>
      </c>
      <c r="B15697">
        <v>0</v>
      </c>
    </row>
    <row r="15698" spans="1:2" x14ac:dyDescent="0.25">
      <c r="A15698">
        <v>30649</v>
      </c>
      <c r="B15698">
        <v>0</v>
      </c>
    </row>
    <row r="15699" spans="1:2" x14ac:dyDescent="0.25">
      <c r="A15699">
        <v>30650</v>
      </c>
      <c r="B15699">
        <v>0</v>
      </c>
    </row>
    <row r="15700" spans="1:2" x14ac:dyDescent="0.25">
      <c r="A15700">
        <v>30652</v>
      </c>
      <c r="B15700">
        <v>0</v>
      </c>
    </row>
    <row r="15701" spans="1:2" x14ac:dyDescent="0.25">
      <c r="A15701">
        <v>30653</v>
      </c>
      <c r="B15701">
        <v>0</v>
      </c>
    </row>
    <row r="15702" spans="1:2" x14ac:dyDescent="0.25">
      <c r="A15702">
        <v>30654</v>
      </c>
      <c r="B15702">
        <v>0</v>
      </c>
    </row>
    <row r="15703" spans="1:2" x14ac:dyDescent="0.25">
      <c r="A15703">
        <v>30655</v>
      </c>
      <c r="B15703">
        <v>0</v>
      </c>
    </row>
    <row r="15704" spans="1:2" x14ac:dyDescent="0.25">
      <c r="A15704">
        <v>30656</v>
      </c>
      <c r="B15704">
        <v>0</v>
      </c>
    </row>
    <row r="15705" spans="1:2" x14ac:dyDescent="0.25">
      <c r="A15705">
        <v>30657</v>
      </c>
      <c r="B15705">
        <v>0</v>
      </c>
    </row>
    <row r="15706" spans="1:2" x14ac:dyDescent="0.25">
      <c r="A15706">
        <v>30659</v>
      </c>
      <c r="B15706">
        <v>0</v>
      </c>
    </row>
    <row r="15707" spans="1:2" x14ac:dyDescent="0.25">
      <c r="A15707">
        <v>30660</v>
      </c>
      <c r="B15707">
        <v>0</v>
      </c>
    </row>
    <row r="15708" spans="1:2" x14ac:dyDescent="0.25">
      <c r="A15708">
        <v>30664</v>
      </c>
      <c r="B15708">
        <v>0</v>
      </c>
    </row>
    <row r="15709" spans="1:2" x14ac:dyDescent="0.25">
      <c r="A15709">
        <v>30665</v>
      </c>
      <c r="B15709">
        <v>0</v>
      </c>
    </row>
    <row r="15710" spans="1:2" x14ac:dyDescent="0.25">
      <c r="A15710">
        <v>30666</v>
      </c>
      <c r="B15710">
        <v>0</v>
      </c>
    </row>
    <row r="15711" spans="1:2" x14ac:dyDescent="0.25">
      <c r="A15711">
        <v>30681</v>
      </c>
      <c r="B15711">
        <v>0</v>
      </c>
    </row>
    <row r="15712" spans="1:2" x14ac:dyDescent="0.25">
      <c r="A15712">
        <v>30683</v>
      </c>
      <c r="B15712">
        <v>0</v>
      </c>
    </row>
    <row r="15713" spans="1:2" x14ac:dyDescent="0.25">
      <c r="A15713">
        <v>30685</v>
      </c>
      <c r="B15713">
        <v>0</v>
      </c>
    </row>
    <row r="15714" spans="1:2" x14ac:dyDescent="0.25">
      <c r="A15714">
        <v>30717</v>
      </c>
      <c r="B15714">
        <v>0</v>
      </c>
    </row>
    <row r="15715" spans="1:2" x14ac:dyDescent="0.25">
      <c r="A15715">
        <v>30718</v>
      </c>
      <c r="B15715">
        <v>0</v>
      </c>
    </row>
    <row r="15716" spans="1:2" x14ac:dyDescent="0.25">
      <c r="A15716">
        <v>30720</v>
      </c>
      <c r="B15716">
        <v>0</v>
      </c>
    </row>
    <row r="15717" spans="1:2" x14ac:dyDescent="0.25">
      <c r="A15717">
        <v>30721</v>
      </c>
      <c r="B15717">
        <v>0</v>
      </c>
    </row>
    <row r="15718" spans="1:2" x14ac:dyDescent="0.25">
      <c r="A15718">
        <v>30722</v>
      </c>
      <c r="B15718">
        <v>0</v>
      </c>
    </row>
    <row r="15719" spans="1:2" x14ac:dyDescent="0.25">
      <c r="A15719">
        <v>30723</v>
      </c>
      <c r="B15719">
        <v>0</v>
      </c>
    </row>
    <row r="15720" spans="1:2" x14ac:dyDescent="0.25">
      <c r="A15720">
        <v>30724</v>
      </c>
      <c r="B15720">
        <v>0</v>
      </c>
    </row>
    <row r="15721" spans="1:2" x14ac:dyDescent="0.25">
      <c r="A15721">
        <v>30824</v>
      </c>
      <c r="B15721">
        <v>0</v>
      </c>
    </row>
    <row r="15722" spans="1:2" x14ac:dyDescent="0.25">
      <c r="A15722">
        <v>30826</v>
      </c>
      <c r="B15722">
        <v>0</v>
      </c>
    </row>
    <row r="15723" spans="1:2" x14ac:dyDescent="0.25">
      <c r="A15723">
        <v>30828</v>
      </c>
      <c r="B15723">
        <v>0</v>
      </c>
    </row>
    <row r="15724" spans="1:2" x14ac:dyDescent="0.25">
      <c r="A15724">
        <v>30845</v>
      </c>
      <c r="B15724">
        <v>0</v>
      </c>
    </row>
    <row r="15725" spans="1:2" x14ac:dyDescent="0.25">
      <c r="A15725">
        <v>30846</v>
      </c>
      <c r="B15725">
        <v>0</v>
      </c>
    </row>
    <row r="15726" spans="1:2" x14ac:dyDescent="0.25">
      <c r="A15726">
        <v>30847</v>
      </c>
      <c r="B15726">
        <v>0</v>
      </c>
    </row>
    <row r="15727" spans="1:2" x14ac:dyDescent="0.25">
      <c r="A15727">
        <v>30848</v>
      </c>
      <c r="B15727">
        <v>0</v>
      </c>
    </row>
    <row r="15728" spans="1:2" x14ac:dyDescent="0.25">
      <c r="A15728">
        <v>30849</v>
      </c>
      <c r="B15728">
        <v>0</v>
      </c>
    </row>
    <row r="15729" spans="1:2" x14ac:dyDescent="0.25">
      <c r="A15729">
        <v>30850</v>
      </c>
      <c r="B15729">
        <v>0</v>
      </c>
    </row>
    <row r="15730" spans="1:2" x14ac:dyDescent="0.25">
      <c r="A15730">
        <v>30852</v>
      </c>
      <c r="B15730">
        <v>0</v>
      </c>
    </row>
    <row r="15731" spans="1:2" x14ac:dyDescent="0.25">
      <c r="A15731">
        <v>30854</v>
      </c>
      <c r="B15731">
        <v>0</v>
      </c>
    </row>
    <row r="15732" spans="1:2" x14ac:dyDescent="0.25">
      <c r="A15732">
        <v>30856</v>
      </c>
      <c r="B15732">
        <v>0</v>
      </c>
    </row>
    <row r="15733" spans="1:2" x14ac:dyDescent="0.25">
      <c r="A15733">
        <v>30861</v>
      </c>
      <c r="B15733">
        <v>0</v>
      </c>
    </row>
    <row r="15734" spans="1:2" x14ac:dyDescent="0.25">
      <c r="A15734">
        <v>30863</v>
      </c>
      <c r="B15734">
        <v>0</v>
      </c>
    </row>
    <row r="15735" spans="1:2" x14ac:dyDescent="0.25">
      <c r="A15735">
        <v>30864</v>
      </c>
      <c r="B15735">
        <v>0</v>
      </c>
    </row>
    <row r="15736" spans="1:2" x14ac:dyDescent="0.25">
      <c r="A15736">
        <v>30868</v>
      </c>
      <c r="B15736">
        <v>0</v>
      </c>
    </row>
    <row r="15737" spans="1:2" x14ac:dyDescent="0.25">
      <c r="A15737">
        <v>30870</v>
      </c>
      <c r="B15737">
        <v>0</v>
      </c>
    </row>
    <row r="15738" spans="1:2" x14ac:dyDescent="0.25">
      <c r="A15738">
        <v>30872</v>
      </c>
      <c r="B15738">
        <v>0</v>
      </c>
    </row>
    <row r="15739" spans="1:2" x14ac:dyDescent="0.25">
      <c r="A15739">
        <v>30874</v>
      </c>
      <c r="B15739">
        <v>0</v>
      </c>
    </row>
    <row r="15740" spans="1:2" x14ac:dyDescent="0.25">
      <c r="A15740">
        <v>30875</v>
      </c>
      <c r="B15740">
        <v>0</v>
      </c>
    </row>
    <row r="15741" spans="1:2" x14ac:dyDescent="0.25">
      <c r="A15741">
        <v>30876</v>
      </c>
      <c r="B15741">
        <v>0</v>
      </c>
    </row>
    <row r="15742" spans="1:2" x14ac:dyDescent="0.25">
      <c r="A15742">
        <v>30877</v>
      </c>
      <c r="B15742">
        <v>0</v>
      </c>
    </row>
    <row r="15743" spans="1:2" x14ac:dyDescent="0.25">
      <c r="A15743">
        <v>30878</v>
      </c>
      <c r="B15743">
        <v>0</v>
      </c>
    </row>
    <row r="15744" spans="1:2" x14ac:dyDescent="0.25">
      <c r="A15744">
        <v>30880</v>
      </c>
      <c r="B15744">
        <v>0</v>
      </c>
    </row>
    <row r="15745" spans="1:2" x14ac:dyDescent="0.25">
      <c r="A15745">
        <v>30882</v>
      </c>
      <c r="B15745">
        <v>0</v>
      </c>
    </row>
    <row r="15746" spans="1:2" x14ac:dyDescent="0.25">
      <c r="A15746">
        <v>30884</v>
      </c>
      <c r="B15746">
        <v>0</v>
      </c>
    </row>
    <row r="15747" spans="1:2" x14ac:dyDescent="0.25">
      <c r="A15747">
        <v>30885</v>
      </c>
      <c r="B15747">
        <v>0</v>
      </c>
    </row>
    <row r="15748" spans="1:2" x14ac:dyDescent="0.25">
      <c r="A15748">
        <v>30886</v>
      </c>
      <c r="B15748">
        <v>0</v>
      </c>
    </row>
    <row r="15749" spans="1:2" x14ac:dyDescent="0.25">
      <c r="A15749">
        <v>30887</v>
      </c>
      <c r="B15749">
        <v>0</v>
      </c>
    </row>
    <row r="15750" spans="1:2" x14ac:dyDescent="0.25">
      <c r="A15750">
        <v>30888</v>
      </c>
      <c r="B15750">
        <v>0</v>
      </c>
    </row>
    <row r="15751" spans="1:2" x14ac:dyDescent="0.25">
      <c r="A15751">
        <v>30890</v>
      </c>
      <c r="B15751">
        <v>0</v>
      </c>
    </row>
    <row r="15752" spans="1:2" x14ac:dyDescent="0.25">
      <c r="A15752">
        <v>30892</v>
      </c>
      <c r="B15752">
        <v>0</v>
      </c>
    </row>
    <row r="15753" spans="1:2" x14ac:dyDescent="0.25">
      <c r="A15753">
        <v>30894</v>
      </c>
      <c r="B15753">
        <v>0</v>
      </c>
    </row>
    <row r="15754" spans="1:2" x14ac:dyDescent="0.25">
      <c r="A15754">
        <v>30896</v>
      </c>
      <c r="B15754">
        <v>0</v>
      </c>
    </row>
    <row r="15755" spans="1:2" x14ac:dyDescent="0.25">
      <c r="A15755">
        <v>30898</v>
      </c>
      <c r="B15755">
        <v>0</v>
      </c>
    </row>
    <row r="15756" spans="1:2" x14ac:dyDescent="0.25">
      <c r="A15756">
        <v>30900</v>
      </c>
      <c r="B15756">
        <v>0</v>
      </c>
    </row>
    <row r="15757" spans="1:2" x14ac:dyDescent="0.25">
      <c r="A15757">
        <v>30901</v>
      </c>
      <c r="B15757">
        <v>0</v>
      </c>
    </row>
    <row r="15758" spans="1:2" x14ac:dyDescent="0.25">
      <c r="A15758">
        <v>30904</v>
      </c>
      <c r="B15758">
        <v>0</v>
      </c>
    </row>
    <row r="15759" spans="1:2" x14ac:dyDescent="0.25">
      <c r="A15759">
        <v>30905</v>
      </c>
      <c r="B15759">
        <v>0</v>
      </c>
    </row>
    <row r="15760" spans="1:2" x14ac:dyDescent="0.25">
      <c r="A15760">
        <v>30906</v>
      </c>
      <c r="B15760">
        <v>0</v>
      </c>
    </row>
    <row r="15761" spans="1:2" x14ac:dyDescent="0.25">
      <c r="A15761">
        <v>30907</v>
      </c>
      <c r="B15761">
        <v>0</v>
      </c>
    </row>
    <row r="15762" spans="1:2" x14ac:dyDescent="0.25">
      <c r="A15762">
        <v>30908</v>
      </c>
      <c r="B15762">
        <v>0</v>
      </c>
    </row>
    <row r="15763" spans="1:2" x14ac:dyDescent="0.25">
      <c r="A15763">
        <v>30910</v>
      </c>
      <c r="B15763">
        <v>0</v>
      </c>
    </row>
    <row r="15764" spans="1:2" x14ac:dyDescent="0.25">
      <c r="A15764">
        <v>30914</v>
      </c>
      <c r="B15764">
        <v>0</v>
      </c>
    </row>
    <row r="15765" spans="1:2" x14ac:dyDescent="0.25">
      <c r="A15765">
        <v>30916</v>
      </c>
      <c r="B15765">
        <v>0</v>
      </c>
    </row>
    <row r="15766" spans="1:2" x14ac:dyDescent="0.25">
      <c r="A15766">
        <v>30918</v>
      </c>
      <c r="B15766">
        <v>0</v>
      </c>
    </row>
    <row r="15767" spans="1:2" x14ac:dyDescent="0.25">
      <c r="A15767">
        <v>30920</v>
      </c>
      <c r="B15767">
        <v>0</v>
      </c>
    </row>
    <row r="15768" spans="1:2" x14ac:dyDescent="0.25">
      <c r="A15768">
        <v>30922</v>
      </c>
      <c r="B15768">
        <v>0</v>
      </c>
    </row>
    <row r="15769" spans="1:2" x14ac:dyDescent="0.25">
      <c r="A15769">
        <v>30924</v>
      </c>
      <c r="B15769">
        <v>0</v>
      </c>
    </row>
    <row r="15770" spans="1:2" x14ac:dyDescent="0.25">
      <c r="A15770">
        <v>30927</v>
      </c>
      <c r="B15770">
        <v>0</v>
      </c>
    </row>
    <row r="15771" spans="1:2" x14ac:dyDescent="0.25">
      <c r="A15771">
        <v>30928</v>
      </c>
      <c r="B15771">
        <v>0</v>
      </c>
    </row>
    <row r="15772" spans="1:2" x14ac:dyDescent="0.25">
      <c r="A15772">
        <v>30930</v>
      </c>
      <c r="B15772">
        <v>0</v>
      </c>
    </row>
    <row r="15773" spans="1:2" x14ac:dyDescent="0.25">
      <c r="A15773">
        <v>30932</v>
      </c>
      <c r="B15773">
        <v>0</v>
      </c>
    </row>
    <row r="15774" spans="1:2" x14ac:dyDescent="0.25">
      <c r="A15774">
        <v>30934</v>
      </c>
      <c r="B15774">
        <v>0</v>
      </c>
    </row>
    <row r="15775" spans="1:2" x14ac:dyDescent="0.25">
      <c r="A15775">
        <v>30936</v>
      </c>
      <c r="B15775">
        <v>0</v>
      </c>
    </row>
    <row r="15776" spans="1:2" x14ac:dyDescent="0.25">
      <c r="A15776">
        <v>30937</v>
      </c>
      <c r="B15776">
        <v>0</v>
      </c>
    </row>
    <row r="15777" spans="1:2" x14ac:dyDescent="0.25">
      <c r="A15777">
        <v>30938</v>
      </c>
      <c r="B15777">
        <v>0</v>
      </c>
    </row>
    <row r="15778" spans="1:2" x14ac:dyDescent="0.25">
      <c r="A15778">
        <v>30942</v>
      </c>
      <c r="B15778">
        <v>0</v>
      </c>
    </row>
    <row r="15779" spans="1:2" x14ac:dyDescent="0.25">
      <c r="A15779">
        <v>30952</v>
      </c>
      <c r="B15779">
        <v>0</v>
      </c>
    </row>
    <row r="15780" spans="1:2" x14ac:dyDescent="0.25">
      <c r="A15780">
        <v>30953</v>
      </c>
      <c r="B15780">
        <v>0</v>
      </c>
    </row>
    <row r="15781" spans="1:2" x14ac:dyDescent="0.25">
      <c r="A15781">
        <v>30954</v>
      </c>
      <c r="B15781">
        <v>0</v>
      </c>
    </row>
    <row r="15782" spans="1:2" x14ac:dyDescent="0.25">
      <c r="A15782">
        <v>30955</v>
      </c>
      <c r="B15782">
        <v>0</v>
      </c>
    </row>
    <row r="15783" spans="1:2" x14ac:dyDescent="0.25">
      <c r="A15783">
        <v>30958</v>
      </c>
      <c r="B15783">
        <v>0</v>
      </c>
    </row>
    <row r="15784" spans="1:2" x14ac:dyDescent="0.25">
      <c r="A15784">
        <v>30959</v>
      </c>
      <c r="B15784">
        <v>0</v>
      </c>
    </row>
    <row r="15785" spans="1:2" x14ac:dyDescent="0.25">
      <c r="A15785">
        <v>30961</v>
      </c>
      <c r="B15785">
        <v>0</v>
      </c>
    </row>
    <row r="15786" spans="1:2" x14ac:dyDescent="0.25">
      <c r="A15786">
        <v>30963</v>
      </c>
      <c r="B15786">
        <v>0</v>
      </c>
    </row>
    <row r="15787" spans="1:2" x14ac:dyDescent="0.25">
      <c r="A15787">
        <v>30965</v>
      </c>
      <c r="B15787">
        <v>0</v>
      </c>
    </row>
    <row r="15788" spans="1:2" x14ac:dyDescent="0.25">
      <c r="A15788">
        <v>30967</v>
      </c>
      <c r="B15788">
        <v>0</v>
      </c>
    </row>
    <row r="15789" spans="1:2" x14ac:dyDescent="0.25">
      <c r="A15789">
        <v>30969</v>
      </c>
      <c r="B15789">
        <v>0</v>
      </c>
    </row>
    <row r="15790" spans="1:2" x14ac:dyDescent="0.25">
      <c r="A15790">
        <v>30970</v>
      </c>
      <c r="B15790">
        <v>0</v>
      </c>
    </row>
    <row r="15791" spans="1:2" x14ac:dyDescent="0.25">
      <c r="A15791">
        <v>30973</v>
      </c>
      <c r="B15791">
        <v>0</v>
      </c>
    </row>
    <row r="15792" spans="1:2" x14ac:dyDescent="0.25">
      <c r="A15792">
        <v>30975</v>
      </c>
      <c r="B15792">
        <v>0</v>
      </c>
    </row>
    <row r="15793" spans="1:2" x14ac:dyDescent="0.25">
      <c r="A15793">
        <v>30977</v>
      </c>
      <c r="B15793">
        <v>0</v>
      </c>
    </row>
    <row r="15794" spans="1:2" x14ac:dyDescent="0.25">
      <c r="A15794">
        <v>30981</v>
      </c>
      <c r="B15794">
        <v>0</v>
      </c>
    </row>
    <row r="15795" spans="1:2" x14ac:dyDescent="0.25">
      <c r="A15795">
        <v>30982</v>
      </c>
      <c r="B15795">
        <v>0</v>
      </c>
    </row>
    <row r="15796" spans="1:2" x14ac:dyDescent="0.25">
      <c r="A15796">
        <v>30989</v>
      </c>
      <c r="B15796">
        <v>0</v>
      </c>
    </row>
    <row r="15797" spans="1:2" x14ac:dyDescent="0.25">
      <c r="A15797">
        <v>30991</v>
      </c>
      <c r="B15797">
        <v>0</v>
      </c>
    </row>
    <row r="15798" spans="1:2" x14ac:dyDescent="0.25">
      <c r="A15798">
        <v>30994</v>
      </c>
      <c r="B15798">
        <v>0</v>
      </c>
    </row>
    <row r="15799" spans="1:2" x14ac:dyDescent="0.25">
      <c r="A15799">
        <v>30996</v>
      </c>
      <c r="B15799">
        <v>0</v>
      </c>
    </row>
    <row r="15800" spans="1:2" x14ac:dyDescent="0.25">
      <c r="A15800">
        <v>30998</v>
      </c>
      <c r="B15800">
        <v>0</v>
      </c>
    </row>
    <row r="15801" spans="1:2" x14ac:dyDescent="0.25">
      <c r="A15801">
        <v>31000</v>
      </c>
      <c r="B15801">
        <v>0</v>
      </c>
    </row>
    <row r="15802" spans="1:2" x14ac:dyDescent="0.25">
      <c r="A15802">
        <v>31002</v>
      </c>
      <c r="B15802">
        <v>0</v>
      </c>
    </row>
    <row r="15803" spans="1:2" x14ac:dyDescent="0.25">
      <c r="A15803">
        <v>31005</v>
      </c>
      <c r="B15803">
        <v>0</v>
      </c>
    </row>
    <row r="15804" spans="1:2" x14ac:dyDescent="0.25">
      <c r="A15804">
        <v>31007</v>
      </c>
      <c r="B15804">
        <v>0</v>
      </c>
    </row>
    <row r="15805" spans="1:2" x14ac:dyDescent="0.25">
      <c r="A15805">
        <v>31009</v>
      </c>
      <c r="B15805">
        <v>0</v>
      </c>
    </row>
    <row r="15806" spans="1:2" x14ac:dyDescent="0.25">
      <c r="A15806">
        <v>31011</v>
      </c>
      <c r="B15806">
        <v>0</v>
      </c>
    </row>
    <row r="15807" spans="1:2" x14ac:dyDescent="0.25">
      <c r="A15807">
        <v>31013</v>
      </c>
      <c r="B15807">
        <v>0</v>
      </c>
    </row>
    <row r="15808" spans="1:2" x14ac:dyDescent="0.25">
      <c r="A15808">
        <v>31014</v>
      </c>
      <c r="B15808">
        <v>0</v>
      </c>
    </row>
    <row r="15809" spans="1:2" x14ac:dyDescent="0.25">
      <c r="A15809">
        <v>31016</v>
      </c>
      <c r="B15809">
        <v>0</v>
      </c>
    </row>
    <row r="15810" spans="1:2" x14ac:dyDescent="0.25">
      <c r="A15810">
        <v>31018</v>
      </c>
      <c r="B15810">
        <v>0</v>
      </c>
    </row>
    <row r="15811" spans="1:2" x14ac:dyDescent="0.25">
      <c r="A15811">
        <v>31021</v>
      </c>
      <c r="B15811">
        <v>0</v>
      </c>
    </row>
    <row r="15812" spans="1:2" x14ac:dyDescent="0.25">
      <c r="A15812">
        <v>31022</v>
      </c>
      <c r="B15812">
        <v>0</v>
      </c>
    </row>
    <row r="15813" spans="1:2" x14ac:dyDescent="0.25">
      <c r="A15813">
        <v>31030</v>
      </c>
      <c r="B15813">
        <v>0</v>
      </c>
    </row>
    <row r="15814" spans="1:2" x14ac:dyDescent="0.25">
      <c r="A15814">
        <v>31032</v>
      </c>
      <c r="B15814">
        <v>0</v>
      </c>
    </row>
    <row r="15815" spans="1:2" x14ac:dyDescent="0.25">
      <c r="A15815">
        <v>31033</v>
      </c>
      <c r="B15815">
        <v>0</v>
      </c>
    </row>
    <row r="15816" spans="1:2" x14ac:dyDescent="0.25">
      <c r="A15816">
        <v>31034</v>
      </c>
      <c r="B15816">
        <v>0</v>
      </c>
    </row>
    <row r="15817" spans="1:2" x14ac:dyDescent="0.25">
      <c r="A15817">
        <v>31035</v>
      </c>
      <c r="B15817">
        <v>0</v>
      </c>
    </row>
    <row r="15818" spans="1:2" x14ac:dyDescent="0.25">
      <c r="A15818">
        <v>31037</v>
      </c>
      <c r="B15818">
        <v>0</v>
      </c>
    </row>
    <row r="15819" spans="1:2" x14ac:dyDescent="0.25">
      <c r="A15819">
        <v>31038</v>
      </c>
      <c r="B15819">
        <v>0</v>
      </c>
    </row>
    <row r="15820" spans="1:2" x14ac:dyDescent="0.25">
      <c r="A15820">
        <v>31040</v>
      </c>
      <c r="B15820">
        <v>0</v>
      </c>
    </row>
    <row r="15821" spans="1:2" x14ac:dyDescent="0.25">
      <c r="A15821">
        <v>31042</v>
      </c>
      <c r="B15821">
        <v>0</v>
      </c>
    </row>
    <row r="15822" spans="1:2" x14ac:dyDescent="0.25">
      <c r="A15822">
        <v>31043</v>
      </c>
      <c r="B15822">
        <v>0</v>
      </c>
    </row>
    <row r="15823" spans="1:2" x14ac:dyDescent="0.25">
      <c r="A15823">
        <v>31045</v>
      </c>
      <c r="B15823">
        <v>0</v>
      </c>
    </row>
    <row r="15824" spans="1:2" x14ac:dyDescent="0.25">
      <c r="A15824">
        <v>31047</v>
      </c>
      <c r="B15824">
        <v>0</v>
      </c>
    </row>
    <row r="15825" spans="1:2" x14ac:dyDescent="0.25">
      <c r="A15825">
        <v>31049</v>
      </c>
      <c r="B15825">
        <v>0</v>
      </c>
    </row>
    <row r="15826" spans="1:2" x14ac:dyDescent="0.25">
      <c r="A15826">
        <v>31051</v>
      </c>
      <c r="B15826">
        <v>0</v>
      </c>
    </row>
    <row r="15827" spans="1:2" x14ac:dyDescent="0.25">
      <c r="A15827">
        <v>31052</v>
      </c>
      <c r="B15827">
        <v>0</v>
      </c>
    </row>
    <row r="15828" spans="1:2" x14ac:dyDescent="0.25">
      <c r="A15828">
        <v>31053</v>
      </c>
      <c r="B15828">
        <v>0</v>
      </c>
    </row>
    <row r="15829" spans="1:2" x14ac:dyDescent="0.25">
      <c r="A15829">
        <v>31054</v>
      </c>
      <c r="B15829">
        <v>0</v>
      </c>
    </row>
    <row r="15830" spans="1:2" x14ac:dyDescent="0.25">
      <c r="A15830">
        <v>31055</v>
      </c>
      <c r="B15830">
        <v>0</v>
      </c>
    </row>
    <row r="15831" spans="1:2" x14ac:dyDescent="0.25">
      <c r="A15831">
        <v>31059</v>
      </c>
      <c r="B15831">
        <v>0</v>
      </c>
    </row>
    <row r="15832" spans="1:2" x14ac:dyDescent="0.25">
      <c r="A15832">
        <v>31060</v>
      </c>
      <c r="B15832">
        <v>0</v>
      </c>
    </row>
    <row r="15833" spans="1:2" x14ac:dyDescent="0.25">
      <c r="A15833">
        <v>31061</v>
      </c>
      <c r="B15833">
        <v>0</v>
      </c>
    </row>
    <row r="15834" spans="1:2" x14ac:dyDescent="0.25">
      <c r="A15834">
        <v>31063</v>
      </c>
      <c r="B15834">
        <v>0</v>
      </c>
    </row>
    <row r="15835" spans="1:2" x14ac:dyDescent="0.25">
      <c r="A15835">
        <v>31064</v>
      </c>
      <c r="B15835">
        <v>0</v>
      </c>
    </row>
    <row r="15836" spans="1:2" x14ac:dyDescent="0.25">
      <c r="A15836">
        <v>31066</v>
      </c>
      <c r="B15836">
        <v>0</v>
      </c>
    </row>
    <row r="15837" spans="1:2" x14ac:dyDescent="0.25">
      <c r="A15837">
        <v>31068</v>
      </c>
      <c r="B15837">
        <v>0</v>
      </c>
    </row>
    <row r="15838" spans="1:2" x14ac:dyDescent="0.25">
      <c r="A15838">
        <v>31069</v>
      </c>
      <c r="B15838">
        <v>0</v>
      </c>
    </row>
    <row r="15839" spans="1:2" x14ac:dyDescent="0.25">
      <c r="A15839">
        <v>31070</v>
      </c>
      <c r="B15839">
        <v>0</v>
      </c>
    </row>
    <row r="15840" spans="1:2" x14ac:dyDescent="0.25">
      <c r="A15840">
        <v>31071</v>
      </c>
      <c r="B15840">
        <v>0</v>
      </c>
    </row>
    <row r="15841" spans="1:2" x14ac:dyDescent="0.25">
      <c r="A15841">
        <v>31072</v>
      </c>
      <c r="B15841">
        <v>0</v>
      </c>
    </row>
    <row r="15842" spans="1:2" x14ac:dyDescent="0.25">
      <c r="A15842">
        <v>31074</v>
      </c>
      <c r="B15842">
        <v>0</v>
      </c>
    </row>
    <row r="15843" spans="1:2" x14ac:dyDescent="0.25">
      <c r="A15843">
        <v>31075</v>
      </c>
      <c r="B15843">
        <v>0</v>
      </c>
    </row>
    <row r="15844" spans="1:2" x14ac:dyDescent="0.25">
      <c r="A15844">
        <v>31076</v>
      </c>
      <c r="B15844">
        <v>0</v>
      </c>
    </row>
    <row r="15845" spans="1:2" x14ac:dyDescent="0.25">
      <c r="A15845">
        <v>31077</v>
      </c>
      <c r="B15845">
        <v>0</v>
      </c>
    </row>
    <row r="15846" spans="1:2" x14ac:dyDescent="0.25">
      <c r="A15846">
        <v>31078</v>
      </c>
      <c r="B15846">
        <v>0</v>
      </c>
    </row>
    <row r="15847" spans="1:2" x14ac:dyDescent="0.25">
      <c r="A15847">
        <v>31079</v>
      </c>
      <c r="B15847">
        <v>0</v>
      </c>
    </row>
    <row r="15848" spans="1:2" x14ac:dyDescent="0.25">
      <c r="A15848">
        <v>31080</v>
      </c>
      <c r="B15848">
        <v>0</v>
      </c>
    </row>
    <row r="15849" spans="1:2" x14ac:dyDescent="0.25">
      <c r="A15849">
        <v>31083</v>
      </c>
      <c r="B15849">
        <v>0</v>
      </c>
    </row>
    <row r="15850" spans="1:2" x14ac:dyDescent="0.25">
      <c r="A15850">
        <v>31084</v>
      </c>
      <c r="B15850">
        <v>0</v>
      </c>
    </row>
    <row r="15851" spans="1:2" x14ac:dyDescent="0.25">
      <c r="A15851">
        <v>31085</v>
      </c>
      <c r="B15851">
        <v>0</v>
      </c>
    </row>
    <row r="15852" spans="1:2" x14ac:dyDescent="0.25">
      <c r="A15852">
        <v>31086</v>
      </c>
      <c r="B15852">
        <v>0</v>
      </c>
    </row>
    <row r="15853" spans="1:2" x14ac:dyDescent="0.25">
      <c r="A15853">
        <v>31088</v>
      </c>
      <c r="B15853">
        <v>0</v>
      </c>
    </row>
    <row r="15854" spans="1:2" x14ac:dyDescent="0.25">
      <c r="A15854">
        <v>31089</v>
      </c>
      <c r="B15854">
        <v>0</v>
      </c>
    </row>
    <row r="15855" spans="1:2" x14ac:dyDescent="0.25">
      <c r="A15855">
        <v>31090</v>
      </c>
      <c r="B15855">
        <v>0</v>
      </c>
    </row>
    <row r="15856" spans="1:2" x14ac:dyDescent="0.25">
      <c r="A15856">
        <v>31091</v>
      </c>
      <c r="B15856">
        <v>0</v>
      </c>
    </row>
    <row r="15857" spans="1:2" x14ac:dyDescent="0.25">
      <c r="A15857">
        <v>31092</v>
      </c>
      <c r="B15857">
        <v>0</v>
      </c>
    </row>
    <row r="15858" spans="1:2" x14ac:dyDescent="0.25">
      <c r="A15858">
        <v>31094</v>
      </c>
      <c r="B15858">
        <v>0</v>
      </c>
    </row>
    <row r="15859" spans="1:2" x14ac:dyDescent="0.25">
      <c r="A15859">
        <v>31095</v>
      </c>
      <c r="B15859">
        <v>0</v>
      </c>
    </row>
    <row r="15860" spans="1:2" x14ac:dyDescent="0.25">
      <c r="A15860">
        <v>31096</v>
      </c>
      <c r="B15860">
        <v>0</v>
      </c>
    </row>
    <row r="15861" spans="1:2" x14ac:dyDescent="0.25">
      <c r="A15861">
        <v>31097</v>
      </c>
      <c r="B15861">
        <v>0</v>
      </c>
    </row>
    <row r="15862" spans="1:2" x14ac:dyDescent="0.25">
      <c r="A15862">
        <v>31099</v>
      </c>
      <c r="B15862">
        <v>0</v>
      </c>
    </row>
    <row r="15863" spans="1:2" x14ac:dyDescent="0.25">
      <c r="A15863">
        <v>31101</v>
      </c>
      <c r="B15863">
        <v>0</v>
      </c>
    </row>
    <row r="15864" spans="1:2" x14ac:dyDescent="0.25">
      <c r="A15864">
        <v>31103</v>
      </c>
      <c r="B15864">
        <v>0</v>
      </c>
    </row>
    <row r="15865" spans="1:2" x14ac:dyDescent="0.25">
      <c r="A15865">
        <v>31105</v>
      </c>
      <c r="B15865">
        <v>0</v>
      </c>
    </row>
    <row r="15866" spans="1:2" x14ac:dyDescent="0.25">
      <c r="A15866">
        <v>31108</v>
      </c>
      <c r="B15866">
        <v>0</v>
      </c>
    </row>
    <row r="15867" spans="1:2" x14ac:dyDescent="0.25">
      <c r="A15867">
        <v>31109</v>
      </c>
      <c r="B15867">
        <v>0</v>
      </c>
    </row>
    <row r="15868" spans="1:2" x14ac:dyDescent="0.25">
      <c r="A15868">
        <v>31111</v>
      </c>
      <c r="B15868">
        <v>0</v>
      </c>
    </row>
    <row r="15869" spans="1:2" x14ac:dyDescent="0.25">
      <c r="A15869">
        <v>31112</v>
      </c>
      <c r="B15869">
        <v>0</v>
      </c>
    </row>
    <row r="15870" spans="1:2" x14ac:dyDescent="0.25">
      <c r="A15870">
        <v>31113</v>
      </c>
      <c r="B15870">
        <v>0</v>
      </c>
    </row>
    <row r="15871" spans="1:2" x14ac:dyDescent="0.25">
      <c r="A15871">
        <v>31114</v>
      </c>
      <c r="B15871">
        <v>0</v>
      </c>
    </row>
    <row r="15872" spans="1:2" x14ac:dyDescent="0.25">
      <c r="A15872">
        <v>31115</v>
      </c>
      <c r="B15872">
        <v>0</v>
      </c>
    </row>
    <row r="15873" spans="1:2" x14ac:dyDescent="0.25">
      <c r="A15873">
        <v>31116</v>
      </c>
      <c r="B15873">
        <v>0</v>
      </c>
    </row>
    <row r="15874" spans="1:2" x14ac:dyDescent="0.25">
      <c r="A15874">
        <v>31117</v>
      </c>
      <c r="B15874">
        <v>0</v>
      </c>
    </row>
    <row r="15875" spans="1:2" x14ac:dyDescent="0.25">
      <c r="A15875">
        <v>31118</v>
      </c>
      <c r="B15875">
        <v>0</v>
      </c>
    </row>
    <row r="15876" spans="1:2" x14ac:dyDescent="0.25">
      <c r="A15876">
        <v>31119</v>
      </c>
      <c r="B15876">
        <v>0</v>
      </c>
    </row>
    <row r="15877" spans="1:2" x14ac:dyDescent="0.25">
      <c r="A15877">
        <v>31120</v>
      </c>
      <c r="B15877">
        <v>0</v>
      </c>
    </row>
    <row r="15878" spans="1:2" x14ac:dyDescent="0.25">
      <c r="A15878">
        <v>31121</v>
      </c>
      <c r="B15878">
        <v>0</v>
      </c>
    </row>
    <row r="15879" spans="1:2" x14ac:dyDescent="0.25">
      <c r="A15879">
        <v>31122</v>
      </c>
      <c r="B15879">
        <v>0</v>
      </c>
    </row>
    <row r="15880" spans="1:2" x14ac:dyDescent="0.25">
      <c r="A15880">
        <v>31123</v>
      </c>
      <c r="B15880">
        <v>0</v>
      </c>
    </row>
    <row r="15881" spans="1:2" x14ac:dyDescent="0.25">
      <c r="A15881">
        <v>31134</v>
      </c>
      <c r="B15881">
        <v>0</v>
      </c>
    </row>
    <row r="15882" spans="1:2" x14ac:dyDescent="0.25">
      <c r="A15882">
        <v>31137</v>
      </c>
      <c r="B15882">
        <v>0</v>
      </c>
    </row>
    <row r="15883" spans="1:2" x14ac:dyDescent="0.25">
      <c r="A15883">
        <v>31139</v>
      </c>
      <c r="B15883">
        <v>0</v>
      </c>
    </row>
    <row r="15884" spans="1:2" x14ac:dyDescent="0.25">
      <c r="A15884">
        <v>31140</v>
      </c>
      <c r="B15884">
        <v>0</v>
      </c>
    </row>
    <row r="15885" spans="1:2" x14ac:dyDescent="0.25">
      <c r="A15885">
        <v>31141</v>
      </c>
      <c r="B15885">
        <v>0</v>
      </c>
    </row>
    <row r="15886" spans="1:2" x14ac:dyDescent="0.25">
      <c r="A15886">
        <v>31142</v>
      </c>
      <c r="B15886">
        <v>0</v>
      </c>
    </row>
    <row r="15887" spans="1:2" x14ac:dyDescent="0.25">
      <c r="A15887">
        <v>31143</v>
      </c>
      <c r="B15887">
        <v>0</v>
      </c>
    </row>
    <row r="15888" spans="1:2" x14ac:dyDescent="0.25">
      <c r="A15888">
        <v>31144</v>
      </c>
      <c r="B15888">
        <v>0</v>
      </c>
    </row>
    <row r="15889" spans="1:2" x14ac:dyDescent="0.25">
      <c r="A15889">
        <v>31145</v>
      </c>
      <c r="B15889">
        <v>0</v>
      </c>
    </row>
    <row r="15890" spans="1:2" x14ac:dyDescent="0.25">
      <c r="A15890">
        <v>31159</v>
      </c>
      <c r="B15890">
        <v>0</v>
      </c>
    </row>
    <row r="15891" spans="1:2" x14ac:dyDescent="0.25">
      <c r="A15891">
        <v>31160</v>
      </c>
      <c r="B15891">
        <v>0</v>
      </c>
    </row>
    <row r="15892" spans="1:2" x14ac:dyDescent="0.25">
      <c r="A15892">
        <v>31161</v>
      </c>
      <c r="B15892">
        <v>0</v>
      </c>
    </row>
    <row r="15893" spans="1:2" x14ac:dyDescent="0.25">
      <c r="A15893">
        <v>31163</v>
      </c>
      <c r="B15893">
        <v>0</v>
      </c>
    </row>
    <row r="15894" spans="1:2" x14ac:dyDescent="0.25">
      <c r="A15894">
        <v>31164</v>
      </c>
      <c r="B15894">
        <v>0</v>
      </c>
    </row>
    <row r="15895" spans="1:2" x14ac:dyDescent="0.25">
      <c r="A15895">
        <v>31166</v>
      </c>
      <c r="B15895">
        <v>0</v>
      </c>
    </row>
    <row r="15896" spans="1:2" x14ac:dyDescent="0.25">
      <c r="A15896">
        <v>31167</v>
      </c>
      <c r="B15896">
        <v>0</v>
      </c>
    </row>
    <row r="15897" spans="1:2" x14ac:dyDescent="0.25">
      <c r="A15897">
        <v>31168</v>
      </c>
      <c r="B15897">
        <v>0</v>
      </c>
    </row>
    <row r="15898" spans="1:2" x14ac:dyDescent="0.25">
      <c r="A15898">
        <v>31170</v>
      </c>
      <c r="B15898">
        <v>0</v>
      </c>
    </row>
    <row r="15899" spans="1:2" x14ac:dyDescent="0.25">
      <c r="A15899">
        <v>31172</v>
      </c>
      <c r="B15899">
        <v>0</v>
      </c>
    </row>
    <row r="15900" spans="1:2" x14ac:dyDescent="0.25">
      <c r="A15900">
        <v>31174</v>
      </c>
      <c r="B15900">
        <v>0</v>
      </c>
    </row>
    <row r="15901" spans="1:2" x14ac:dyDescent="0.25">
      <c r="A15901">
        <v>31176</v>
      </c>
      <c r="B15901">
        <v>0</v>
      </c>
    </row>
    <row r="15902" spans="1:2" x14ac:dyDescent="0.25">
      <c r="A15902">
        <v>31185</v>
      </c>
      <c r="B15902">
        <v>0</v>
      </c>
    </row>
    <row r="15903" spans="1:2" x14ac:dyDescent="0.25">
      <c r="A15903">
        <v>31186</v>
      </c>
      <c r="B15903">
        <v>0</v>
      </c>
    </row>
    <row r="15904" spans="1:2" x14ac:dyDescent="0.25">
      <c r="A15904">
        <v>31187</v>
      </c>
      <c r="B15904">
        <v>0</v>
      </c>
    </row>
    <row r="15905" spans="1:2" x14ac:dyDescent="0.25">
      <c r="A15905">
        <v>31188</v>
      </c>
      <c r="B15905">
        <v>0</v>
      </c>
    </row>
    <row r="15906" spans="1:2" x14ac:dyDescent="0.25">
      <c r="A15906">
        <v>31189</v>
      </c>
      <c r="B15906">
        <v>0</v>
      </c>
    </row>
    <row r="15907" spans="1:2" x14ac:dyDescent="0.25">
      <c r="A15907">
        <v>31190</v>
      </c>
      <c r="B15907">
        <v>0</v>
      </c>
    </row>
    <row r="15908" spans="1:2" x14ac:dyDescent="0.25">
      <c r="A15908">
        <v>31191</v>
      </c>
      <c r="B15908">
        <v>0</v>
      </c>
    </row>
    <row r="15909" spans="1:2" x14ac:dyDescent="0.25">
      <c r="A15909">
        <v>31192</v>
      </c>
      <c r="B15909">
        <v>0</v>
      </c>
    </row>
    <row r="15910" spans="1:2" x14ac:dyDescent="0.25">
      <c r="A15910">
        <v>31196</v>
      </c>
      <c r="B15910">
        <v>0</v>
      </c>
    </row>
    <row r="15911" spans="1:2" x14ac:dyDescent="0.25">
      <c r="A15911">
        <v>31198</v>
      </c>
      <c r="B15911">
        <v>0</v>
      </c>
    </row>
    <row r="15912" spans="1:2" x14ac:dyDescent="0.25">
      <c r="A15912">
        <v>31199</v>
      </c>
      <c r="B15912">
        <v>0</v>
      </c>
    </row>
    <row r="15913" spans="1:2" x14ac:dyDescent="0.25">
      <c r="A15913">
        <v>31200</v>
      </c>
      <c r="B15913">
        <v>0</v>
      </c>
    </row>
    <row r="15914" spans="1:2" x14ac:dyDescent="0.25">
      <c r="A15914">
        <v>31201</v>
      </c>
      <c r="B15914">
        <v>0</v>
      </c>
    </row>
    <row r="15915" spans="1:2" x14ac:dyDescent="0.25">
      <c r="A15915">
        <v>31202</v>
      </c>
      <c r="B15915">
        <v>0</v>
      </c>
    </row>
    <row r="15916" spans="1:2" x14ac:dyDescent="0.25">
      <c r="A15916">
        <v>31204</v>
      </c>
      <c r="B15916">
        <v>0</v>
      </c>
    </row>
    <row r="15917" spans="1:2" x14ac:dyDescent="0.25">
      <c r="A15917">
        <v>31205</v>
      </c>
      <c r="B15917">
        <v>0</v>
      </c>
    </row>
    <row r="15918" spans="1:2" x14ac:dyDescent="0.25">
      <c r="A15918">
        <v>31207</v>
      </c>
      <c r="B15918">
        <v>0</v>
      </c>
    </row>
    <row r="15919" spans="1:2" x14ac:dyDescent="0.25">
      <c r="A15919">
        <v>31208</v>
      </c>
      <c r="B15919">
        <v>0</v>
      </c>
    </row>
    <row r="15920" spans="1:2" x14ac:dyDescent="0.25">
      <c r="A15920">
        <v>31209</v>
      </c>
      <c r="B15920">
        <v>0</v>
      </c>
    </row>
    <row r="15921" spans="1:2" x14ac:dyDescent="0.25">
      <c r="A15921">
        <v>31210</v>
      </c>
      <c r="B15921">
        <v>0</v>
      </c>
    </row>
    <row r="15922" spans="1:2" x14ac:dyDescent="0.25">
      <c r="A15922">
        <v>31211</v>
      </c>
      <c r="B15922">
        <v>0</v>
      </c>
    </row>
    <row r="15923" spans="1:2" x14ac:dyDescent="0.25">
      <c r="A15923">
        <v>31212</v>
      </c>
      <c r="B15923">
        <v>0</v>
      </c>
    </row>
    <row r="15924" spans="1:2" x14ac:dyDescent="0.25">
      <c r="A15924">
        <v>31213</v>
      </c>
      <c r="B15924">
        <v>0</v>
      </c>
    </row>
    <row r="15925" spans="1:2" x14ac:dyDescent="0.25">
      <c r="A15925">
        <v>31214</v>
      </c>
      <c r="B15925">
        <v>0</v>
      </c>
    </row>
    <row r="15926" spans="1:2" x14ac:dyDescent="0.25">
      <c r="A15926">
        <v>31215</v>
      </c>
      <c r="B15926">
        <v>0</v>
      </c>
    </row>
    <row r="15927" spans="1:2" x14ac:dyDescent="0.25">
      <c r="A15927">
        <v>31216</v>
      </c>
      <c r="B15927">
        <v>0</v>
      </c>
    </row>
    <row r="15928" spans="1:2" x14ac:dyDescent="0.25">
      <c r="A15928">
        <v>31217</v>
      </c>
      <c r="B15928">
        <v>0</v>
      </c>
    </row>
    <row r="15929" spans="1:2" x14ac:dyDescent="0.25">
      <c r="A15929">
        <v>31219</v>
      </c>
      <c r="B15929">
        <v>0</v>
      </c>
    </row>
    <row r="15930" spans="1:2" x14ac:dyDescent="0.25">
      <c r="A15930">
        <v>31221</v>
      </c>
      <c r="B15930">
        <v>0</v>
      </c>
    </row>
    <row r="15931" spans="1:2" x14ac:dyDescent="0.25">
      <c r="A15931">
        <v>31223</v>
      </c>
      <c r="B15931">
        <v>0</v>
      </c>
    </row>
    <row r="15932" spans="1:2" x14ac:dyDescent="0.25">
      <c r="A15932">
        <v>31224</v>
      </c>
      <c r="B15932">
        <v>0</v>
      </c>
    </row>
    <row r="15933" spans="1:2" x14ac:dyDescent="0.25">
      <c r="A15933">
        <v>31226</v>
      </c>
      <c r="B15933">
        <v>0</v>
      </c>
    </row>
    <row r="15934" spans="1:2" x14ac:dyDescent="0.25">
      <c r="A15934">
        <v>31228</v>
      </c>
      <c r="B15934">
        <v>0</v>
      </c>
    </row>
    <row r="15935" spans="1:2" x14ac:dyDescent="0.25">
      <c r="A15935">
        <v>31230</v>
      </c>
      <c r="B15935">
        <v>0</v>
      </c>
    </row>
    <row r="15936" spans="1:2" x14ac:dyDescent="0.25">
      <c r="A15936">
        <v>31232</v>
      </c>
      <c r="B15936">
        <v>0</v>
      </c>
    </row>
    <row r="15937" spans="1:2" x14ac:dyDescent="0.25">
      <c r="A15937">
        <v>31234</v>
      </c>
      <c r="B15937">
        <v>0</v>
      </c>
    </row>
    <row r="15938" spans="1:2" x14ac:dyDescent="0.25">
      <c r="A15938">
        <v>31235</v>
      </c>
      <c r="B15938">
        <v>0</v>
      </c>
    </row>
    <row r="15939" spans="1:2" x14ac:dyDescent="0.25">
      <c r="A15939">
        <v>31237</v>
      </c>
      <c r="B15939">
        <v>0</v>
      </c>
    </row>
    <row r="15940" spans="1:2" x14ac:dyDescent="0.25">
      <c r="A15940">
        <v>31239</v>
      </c>
      <c r="B15940">
        <v>0</v>
      </c>
    </row>
    <row r="15941" spans="1:2" x14ac:dyDescent="0.25">
      <c r="A15941">
        <v>31241</v>
      </c>
      <c r="B15941">
        <v>0</v>
      </c>
    </row>
    <row r="15942" spans="1:2" x14ac:dyDescent="0.25">
      <c r="A15942">
        <v>31243</v>
      </c>
      <c r="B15942">
        <v>0</v>
      </c>
    </row>
    <row r="15943" spans="1:2" x14ac:dyDescent="0.25">
      <c r="A15943">
        <v>31245</v>
      </c>
      <c r="B15943">
        <v>0</v>
      </c>
    </row>
    <row r="15944" spans="1:2" x14ac:dyDescent="0.25">
      <c r="A15944">
        <v>31246</v>
      </c>
      <c r="B15944">
        <v>0</v>
      </c>
    </row>
    <row r="15945" spans="1:2" x14ac:dyDescent="0.25">
      <c r="A15945">
        <v>31248</v>
      </c>
      <c r="B15945">
        <v>0</v>
      </c>
    </row>
    <row r="15946" spans="1:2" x14ac:dyDescent="0.25">
      <c r="A15946">
        <v>31250</v>
      </c>
      <c r="B15946">
        <v>0</v>
      </c>
    </row>
    <row r="15947" spans="1:2" x14ac:dyDescent="0.25">
      <c r="A15947">
        <v>31252</v>
      </c>
      <c r="B15947">
        <v>0</v>
      </c>
    </row>
    <row r="15948" spans="1:2" x14ac:dyDescent="0.25">
      <c r="A15948">
        <v>31254</v>
      </c>
      <c r="B15948">
        <v>0</v>
      </c>
    </row>
    <row r="15949" spans="1:2" x14ac:dyDescent="0.25">
      <c r="A15949">
        <v>31256</v>
      </c>
      <c r="B15949">
        <v>0</v>
      </c>
    </row>
    <row r="15950" spans="1:2" x14ac:dyDescent="0.25">
      <c r="A15950">
        <v>31257</v>
      </c>
      <c r="B15950">
        <v>0</v>
      </c>
    </row>
    <row r="15951" spans="1:2" x14ac:dyDescent="0.25">
      <c r="A15951">
        <v>31258</v>
      </c>
      <c r="B15951">
        <v>0</v>
      </c>
    </row>
    <row r="15952" spans="1:2" x14ac:dyDescent="0.25">
      <c r="A15952">
        <v>31259</v>
      </c>
      <c r="B15952">
        <v>0</v>
      </c>
    </row>
    <row r="15953" spans="1:2" x14ac:dyDescent="0.25">
      <c r="A15953">
        <v>31260</v>
      </c>
      <c r="B15953">
        <v>0</v>
      </c>
    </row>
    <row r="15954" spans="1:2" x14ac:dyDescent="0.25">
      <c r="A15954">
        <v>31261</v>
      </c>
      <c r="B15954">
        <v>0</v>
      </c>
    </row>
    <row r="15955" spans="1:2" x14ac:dyDescent="0.25">
      <c r="A15955">
        <v>31263</v>
      </c>
      <c r="B15955">
        <v>0</v>
      </c>
    </row>
    <row r="15956" spans="1:2" x14ac:dyDescent="0.25">
      <c r="A15956">
        <v>31265</v>
      </c>
      <c r="B15956">
        <v>0</v>
      </c>
    </row>
    <row r="15957" spans="1:2" x14ac:dyDescent="0.25">
      <c r="A15957">
        <v>31267</v>
      </c>
      <c r="B15957">
        <v>0</v>
      </c>
    </row>
    <row r="15958" spans="1:2" x14ac:dyDescent="0.25">
      <c r="A15958">
        <v>31269</v>
      </c>
      <c r="B15958">
        <v>0</v>
      </c>
    </row>
    <row r="15959" spans="1:2" x14ac:dyDescent="0.25">
      <c r="A15959">
        <v>31272</v>
      </c>
      <c r="B15959">
        <v>0</v>
      </c>
    </row>
    <row r="15960" spans="1:2" x14ac:dyDescent="0.25">
      <c r="A15960">
        <v>31274</v>
      </c>
      <c r="B15960">
        <v>0</v>
      </c>
    </row>
    <row r="15961" spans="1:2" x14ac:dyDescent="0.25">
      <c r="A15961">
        <v>31275</v>
      </c>
      <c r="B15961">
        <v>0</v>
      </c>
    </row>
    <row r="15962" spans="1:2" x14ac:dyDescent="0.25">
      <c r="A15962">
        <v>31277</v>
      </c>
      <c r="B15962">
        <v>0</v>
      </c>
    </row>
    <row r="15963" spans="1:2" x14ac:dyDescent="0.25">
      <c r="A15963">
        <v>31279</v>
      </c>
      <c r="B15963">
        <v>0</v>
      </c>
    </row>
    <row r="15964" spans="1:2" x14ac:dyDescent="0.25">
      <c r="A15964">
        <v>31281</v>
      </c>
      <c r="B15964">
        <v>0</v>
      </c>
    </row>
    <row r="15965" spans="1:2" x14ac:dyDescent="0.25">
      <c r="A15965">
        <v>31283</v>
      </c>
      <c r="B15965">
        <v>0</v>
      </c>
    </row>
    <row r="15966" spans="1:2" x14ac:dyDescent="0.25">
      <c r="A15966">
        <v>31285</v>
      </c>
      <c r="B15966">
        <v>0</v>
      </c>
    </row>
    <row r="15967" spans="1:2" x14ac:dyDescent="0.25">
      <c r="A15967">
        <v>31289</v>
      </c>
      <c r="B15967">
        <v>0</v>
      </c>
    </row>
    <row r="15968" spans="1:2" x14ac:dyDescent="0.25">
      <c r="A15968">
        <v>31291</v>
      </c>
      <c r="B15968">
        <v>0</v>
      </c>
    </row>
    <row r="15969" spans="1:2" x14ac:dyDescent="0.25">
      <c r="A15969">
        <v>31293</v>
      </c>
      <c r="B15969">
        <v>0</v>
      </c>
    </row>
    <row r="15970" spans="1:2" x14ac:dyDescent="0.25">
      <c r="A15970">
        <v>31294</v>
      </c>
      <c r="B15970">
        <v>0</v>
      </c>
    </row>
    <row r="15971" spans="1:2" x14ac:dyDescent="0.25">
      <c r="A15971">
        <v>31296</v>
      </c>
      <c r="B15971">
        <v>0</v>
      </c>
    </row>
    <row r="15972" spans="1:2" x14ac:dyDescent="0.25">
      <c r="A15972">
        <v>31298</v>
      </c>
      <c r="B15972">
        <v>0</v>
      </c>
    </row>
    <row r="15973" spans="1:2" x14ac:dyDescent="0.25">
      <c r="A15973">
        <v>31300</v>
      </c>
      <c r="B15973">
        <v>0</v>
      </c>
    </row>
    <row r="15974" spans="1:2" x14ac:dyDescent="0.25">
      <c r="A15974">
        <v>31320</v>
      </c>
      <c r="B15974">
        <v>0</v>
      </c>
    </row>
    <row r="15975" spans="1:2" x14ac:dyDescent="0.25">
      <c r="A15975">
        <v>31322</v>
      </c>
      <c r="B15975">
        <v>0</v>
      </c>
    </row>
    <row r="15976" spans="1:2" x14ac:dyDescent="0.25">
      <c r="A15976">
        <v>31330</v>
      </c>
      <c r="B15976">
        <v>0</v>
      </c>
    </row>
    <row r="15977" spans="1:2" x14ac:dyDescent="0.25">
      <c r="A15977">
        <v>31332</v>
      </c>
      <c r="B15977">
        <v>0</v>
      </c>
    </row>
    <row r="15978" spans="1:2" x14ac:dyDescent="0.25">
      <c r="A15978">
        <v>31350</v>
      </c>
      <c r="B15978">
        <v>0</v>
      </c>
    </row>
    <row r="15979" spans="1:2" x14ac:dyDescent="0.25">
      <c r="A15979">
        <v>31352</v>
      </c>
      <c r="B15979">
        <v>0</v>
      </c>
    </row>
    <row r="15980" spans="1:2" x14ac:dyDescent="0.25">
      <c r="A15980">
        <v>31354</v>
      </c>
      <c r="B15980">
        <v>0</v>
      </c>
    </row>
    <row r="15981" spans="1:2" x14ac:dyDescent="0.25">
      <c r="A15981">
        <v>31356</v>
      </c>
      <c r="B15981">
        <v>0</v>
      </c>
    </row>
    <row r="15982" spans="1:2" x14ac:dyDescent="0.25">
      <c r="A15982">
        <v>31358</v>
      </c>
      <c r="B15982">
        <v>0</v>
      </c>
    </row>
    <row r="15983" spans="1:2" x14ac:dyDescent="0.25">
      <c r="A15983">
        <v>31359</v>
      </c>
      <c r="B15983">
        <v>0</v>
      </c>
    </row>
    <row r="15984" spans="1:2" x14ac:dyDescent="0.25">
      <c r="A15984">
        <v>31360</v>
      </c>
      <c r="B15984">
        <v>0</v>
      </c>
    </row>
    <row r="15985" spans="1:2" x14ac:dyDescent="0.25">
      <c r="A15985">
        <v>31361</v>
      </c>
      <c r="B15985">
        <v>0</v>
      </c>
    </row>
    <row r="15986" spans="1:2" x14ac:dyDescent="0.25">
      <c r="A15986">
        <v>31362</v>
      </c>
      <c r="B15986">
        <v>0</v>
      </c>
    </row>
    <row r="15987" spans="1:2" x14ac:dyDescent="0.25">
      <c r="A15987">
        <v>31363</v>
      </c>
      <c r="B15987">
        <v>0</v>
      </c>
    </row>
    <row r="15988" spans="1:2" x14ac:dyDescent="0.25">
      <c r="A15988">
        <v>31364</v>
      </c>
      <c r="B15988">
        <v>0</v>
      </c>
    </row>
    <row r="15989" spans="1:2" x14ac:dyDescent="0.25">
      <c r="A15989">
        <v>31365</v>
      </c>
      <c r="B15989">
        <v>0</v>
      </c>
    </row>
    <row r="15990" spans="1:2" x14ac:dyDescent="0.25">
      <c r="A15990">
        <v>31366</v>
      </c>
      <c r="B15990">
        <v>0</v>
      </c>
    </row>
    <row r="15991" spans="1:2" x14ac:dyDescent="0.25">
      <c r="A15991">
        <v>31367</v>
      </c>
      <c r="B15991">
        <v>0</v>
      </c>
    </row>
    <row r="15992" spans="1:2" x14ac:dyDescent="0.25">
      <c r="A15992">
        <v>31368</v>
      </c>
      <c r="B15992">
        <v>0</v>
      </c>
    </row>
    <row r="15993" spans="1:2" x14ac:dyDescent="0.25">
      <c r="A15993">
        <v>31369</v>
      </c>
      <c r="B15993">
        <v>0</v>
      </c>
    </row>
    <row r="15994" spans="1:2" x14ac:dyDescent="0.25">
      <c r="A15994">
        <v>31370</v>
      </c>
      <c r="B15994">
        <v>0</v>
      </c>
    </row>
    <row r="15995" spans="1:2" x14ac:dyDescent="0.25">
      <c r="A15995">
        <v>31371</v>
      </c>
      <c r="B15995">
        <v>0</v>
      </c>
    </row>
    <row r="15996" spans="1:2" x14ac:dyDescent="0.25">
      <c r="A15996">
        <v>31372</v>
      </c>
      <c r="B15996">
        <v>0</v>
      </c>
    </row>
    <row r="15997" spans="1:2" x14ac:dyDescent="0.25">
      <c r="A15997">
        <v>31373</v>
      </c>
      <c r="B15997">
        <v>0</v>
      </c>
    </row>
    <row r="15998" spans="1:2" x14ac:dyDescent="0.25">
      <c r="A15998">
        <v>31374</v>
      </c>
      <c r="B15998">
        <v>0</v>
      </c>
    </row>
    <row r="15999" spans="1:2" x14ac:dyDescent="0.25">
      <c r="A15999">
        <v>31375</v>
      </c>
      <c r="B15999">
        <v>0</v>
      </c>
    </row>
    <row r="16000" spans="1:2" x14ac:dyDescent="0.25">
      <c r="A16000">
        <v>31376</v>
      </c>
      <c r="B16000">
        <v>0</v>
      </c>
    </row>
    <row r="16001" spans="1:2" x14ac:dyDescent="0.25">
      <c r="A16001">
        <v>31377</v>
      </c>
      <c r="B16001">
        <v>0</v>
      </c>
    </row>
    <row r="16002" spans="1:2" x14ac:dyDescent="0.25">
      <c r="A16002">
        <v>31378</v>
      </c>
      <c r="B16002">
        <v>0</v>
      </c>
    </row>
    <row r="16003" spans="1:2" x14ac:dyDescent="0.25">
      <c r="A16003">
        <v>31379</v>
      </c>
      <c r="B16003">
        <v>0</v>
      </c>
    </row>
    <row r="16004" spans="1:2" x14ac:dyDescent="0.25">
      <c r="A16004">
        <v>31380</v>
      </c>
      <c r="B16004">
        <v>0</v>
      </c>
    </row>
    <row r="16005" spans="1:2" x14ac:dyDescent="0.25">
      <c r="A16005">
        <v>31381</v>
      </c>
      <c r="B16005">
        <v>0</v>
      </c>
    </row>
    <row r="16006" spans="1:2" x14ac:dyDescent="0.25">
      <c r="A16006">
        <v>31382</v>
      </c>
      <c r="B16006">
        <v>0</v>
      </c>
    </row>
    <row r="16007" spans="1:2" x14ac:dyDescent="0.25">
      <c r="A16007">
        <v>31383</v>
      </c>
      <c r="B16007">
        <v>0</v>
      </c>
    </row>
    <row r="16008" spans="1:2" x14ac:dyDescent="0.25">
      <c r="A16008">
        <v>31384</v>
      </c>
      <c r="B16008">
        <v>0</v>
      </c>
    </row>
    <row r="16009" spans="1:2" x14ac:dyDescent="0.25">
      <c r="A16009">
        <v>31385</v>
      </c>
      <c r="B16009">
        <v>0</v>
      </c>
    </row>
    <row r="16010" spans="1:2" x14ac:dyDescent="0.25">
      <c r="A16010">
        <v>31386</v>
      </c>
      <c r="B16010">
        <v>0</v>
      </c>
    </row>
    <row r="16011" spans="1:2" x14ac:dyDescent="0.25">
      <c r="A16011">
        <v>31387</v>
      </c>
      <c r="B16011">
        <v>0</v>
      </c>
    </row>
    <row r="16012" spans="1:2" x14ac:dyDescent="0.25">
      <c r="A16012">
        <v>31388</v>
      </c>
      <c r="B16012">
        <v>0</v>
      </c>
    </row>
    <row r="16013" spans="1:2" x14ac:dyDescent="0.25">
      <c r="A16013">
        <v>31389</v>
      </c>
      <c r="B16013">
        <v>0</v>
      </c>
    </row>
    <row r="16014" spans="1:2" x14ac:dyDescent="0.25">
      <c r="A16014">
        <v>31390</v>
      </c>
      <c r="B16014">
        <v>0</v>
      </c>
    </row>
    <row r="16015" spans="1:2" x14ac:dyDescent="0.25">
      <c r="A16015">
        <v>31391</v>
      </c>
      <c r="B16015">
        <v>0</v>
      </c>
    </row>
    <row r="16016" spans="1:2" x14ac:dyDescent="0.25">
      <c r="A16016">
        <v>31394</v>
      </c>
      <c r="B16016">
        <v>0</v>
      </c>
    </row>
    <row r="16017" spans="1:2" x14ac:dyDescent="0.25">
      <c r="A16017">
        <v>31395</v>
      </c>
      <c r="B16017">
        <v>0</v>
      </c>
    </row>
    <row r="16018" spans="1:2" x14ac:dyDescent="0.25">
      <c r="A16018">
        <v>31396</v>
      </c>
      <c r="B16018">
        <v>0</v>
      </c>
    </row>
    <row r="16019" spans="1:2" x14ac:dyDescent="0.25">
      <c r="A16019">
        <v>31397</v>
      </c>
      <c r="B16019">
        <v>0</v>
      </c>
    </row>
    <row r="16020" spans="1:2" x14ac:dyDescent="0.25">
      <c r="A16020">
        <v>31398</v>
      </c>
      <c r="B16020">
        <v>0</v>
      </c>
    </row>
    <row r="16021" spans="1:2" x14ac:dyDescent="0.25">
      <c r="A16021">
        <v>31399</v>
      </c>
      <c r="B16021">
        <v>0</v>
      </c>
    </row>
    <row r="16022" spans="1:2" x14ac:dyDescent="0.25">
      <c r="A16022">
        <v>31400</v>
      </c>
      <c r="B16022">
        <v>0</v>
      </c>
    </row>
    <row r="16023" spans="1:2" x14ac:dyDescent="0.25">
      <c r="A16023">
        <v>31401</v>
      </c>
      <c r="B16023">
        <v>0</v>
      </c>
    </row>
    <row r="16024" spans="1:2" x14ac:dyDescent="0.25">
      <c r="A16024">
        <v>31402</v>
      </c>
      <c r="B16024">
        <v>0</v>
      </c>
    </row>
    <row r="16025" spans="1:2" x14ac:dyDescent="0.25">
      <c r="A16025">
        <v>31403</v>
      </c>
      <c r="B16025">
        <v>0</v>
      </c>
    </row>
    <row r="16026" spans="1:2" x14ac:dyDescent="0.25">
      <c r="A16026">
        <v>31404</v>
      </c>
      <c r="B16026">
        <v>0</v>
      </c>
    </row>
    <row r="16027" spans="1:2" x14ac:dyDescent="0.25">
      <c r="A16027">
        <v>31405</v>
      </c>
      <c r="B16027">
        <v>0</v>
      </c>
    </row>
    <row r="16028" spans="1:2" x14ac:dyDescent="0.25">
      <c r="A16028">
        <v>31406</v>
      </c>
      <c r="B16028">
        <v>0</v>
      </c>
    </row>
    <row r="16029" spans="1:2" x14ac:dyDescent="0.25">
      <c r="A16029">
        <v>31408</v>
      </c>
      <c r="B16029">
        <v>0</v>
      </c>
    </row>
    <row r="16030" spans="1:2" x14ac:dyDescent="0.25">
      <c r="A16030">
        <v>31409</v>
      </c>
      <c r="B16030">
        <v>0</v>
      </c>
    </row>
    <row r="16031" spans="1:2" x14ac:dyDescent="0.25">
      <c r="A16031">
        <v>31410</v>
      </c>
      <c r="B16031">
        <v>0</v>
      </c>
    </row>
    <row r="16032" spans="1:2" x14ac:dyDescent="0.25">
      <c r="A16032">
        <v>31411</v>
      </c>
      <c r="B16032">
        <v>0</v>
      </c>
    </row>
    <row r="16033" spans="1:2" x14ac:dyDescent="0.25">
      <c r="A16033">
        <v>31412</v>
      </c>
      <c r="B16033">
        <v>0</v>
      </c>
    </row>
    <row r="16034" spans="1:2" x14ac:dyDescent="0.25">
      <c r="A16034">
        <v>31413</v>
      </c>
      <c r="B16034">
        <v>0</v>
      </c>
    </row>
    <row r="16035" spans="1:2" x14ac:dyDescent="0.25">
      <c r="A16035">
        <v>31414</v>
      </c>
      <c r="B16035">
        <v>0</v>
      </c>
    </row>
    <row r="16036" spans="1:2" x14ac:dyDescent="0.25">
      <c r="A16036">
        <v>31415</v>
      </c>
      <c r="B16036">
        <v>0</v>
      </c>
    </row>
    <row r="16037" spans="1:2" x14ac:dyDescent="0.25">
      <c r="A16037">
        <v>31416</v>
      </c>
      <c r="B16037">
        <v>0</v>
      </c>
    </row>
    <row r="16038" spans="1:2" x14ac:dyDescent="0.25">
      <c r="A16038">
        <v>31417</v>
      </c>
      <c r="B16038">
        <v>0</v>
      </c>
    </row>
    <row r="16039" spans="1:2" x14ac:dyDescent="0.25">
      <c r="A16039">
        <v>31418</v>
      </c>
      <c r="B16039">
        <v>0</v>
      </c>
    </row>
    <row r="16040" spans="1:2" x14ac:dyDescent="0.25">
      <c r="A16040">
        <v>31419</v>
      </c>
      <c r="B16040">
        <v>0</v>
      </c>
    </row>
    <row r="16041" spans="1:2" x14ac:dyDescent="0.25">
      <c r="A16041">
        <v>31421</v>
      </c>
      <c r="B16041">
        <v>0</v>
      </c>
    </row>
    <row r="16042" spans="1:2" x14ac:dyDescent="0.25">
      <c r="A16042">
        <v>31422</v>
      </c>
      <c r="B16042">
        <v>0</v>
      </c>
    </row>
    <row r="16043" spans="1:2" x14ac:dyDescent="0.25">
      <c r="A16043">
        <v>31423</v>
      </c>
      <c r="B16043">
        <v>0</v>
      </c>
    </row>
    <row r="16044" spans="1:2" x14ac:dyDescent="0.25">
      <c r="A16044">
        <v>31424</v>
      </c>
      <c r="B16044">
        <v>0</v>
      </c>
    </row>
    <row r="16045" spans="1:2" x14ac:dyDescent="0.25">
      <c r="A16045">
        <v>31425</v>
      </c>
      <c r="B16045">
        <v>0</v>
      </c>
    </row>
    <row r="16046" spans="1:2" x14ac:dyDescent="0.25">
      <c r="A16046">
        <v>31426</v>
      </c>
      <c r="B16046">
        <v>0</v>
      </c>
    </row>
    <row r="16047" spans="1:2" x14ac:dyDescent="0.25">
      <c r="A16047">
        <v>31427</v>
      </c>
      <c r="B16047">
        <v>0</v>
      </c>
    </row>
    <row r="16048" spans="1:2" x14ac:dyDescent="0.25">
      <c r="A16048">
        <v>31428</v>
      </c>
      <c r="B16048">
        <v>0</v>
      </c>
    </row>
    <row r="16049" spans="1:2" x14ac:dyDescent="0.25">
      <c r="A16049">
        <v>31429</v>
      </c>
      <c r="B16049">
        <v>0</v>
      </c>
    </row>
    <row r="16050" spans="1:2" x14ac:dyDescent="0.25">
      <c r="A16050">
        <v>31430</v>
      </c>
      <c r="B16050">
        <v>0</v>
      </c>
    </row>
    <row r="16051" spans="1:2" x14ac:dyDescent="0.25">
      <c r="A16051">
        <v>31431</v>
      </c>
      <c r="B16051">
        <v>0</v>
      </c>
    </row>
    <row r="16052" spans="1:2" x14ac:dyDescent="0.25">
      <c r="A16052">
        <v>31432</v>
      </c>
      <c r="B16052">
        <v>0</v>
      </c>
    </row>
    <row r="16053" spans="1:2" x14ac:dyDescent="0.25">
      <c r="A16053">
        <v>31433</v>
      </c>
      <c r="B16053">
        <v>0</v>
      </c>
    </row>
    <row r="16054" spans="1:2" x14ac:dyDescent="0.25">
      <c r="A16054">
        <v>31434</v>
      </c>
      <c r="B16054">
        <v>0</v>
      </c>
    </row>
    <row r="16055" spans="1:2" x14ac:dyDescent="0.25">
      <c r="A16055">
        <v>31435</v>
      </c>
      <c r="B16055">
        <v>0</v>
      </c>
    </row>
    <row r="16056" spans="1:2" x14ac:dyDescent="0.25">
      <c r="A16056">
        <v>31436</v>
      </c>
      <c r="B16056">
        <v>0</v>
      </c>
    </row>
    <row r="16057" spans="1:2" x14ac:dyDescent="0.25">
      <c r="A16057">
        <v>31437</v>
      </c>
      <c r="B16057">
        <v>0</v>
      </c>
    </row>
    <row r="16058" spans="1:2" x14ac:dyDescent="0.25">
      <c r="A16058">
        <v>31438</v>
      </c>
      <c r="B16058">
        <v>0</v>
      </c>
    </row>
    <row r="16059" spans="1:2" x14ac:dyDescent="0.25">
      <c r="A16059">
        <v>31440</v>
      </c>
      <c r="B16059">
        <v>0</v>
      </c>
    </row>
    <row r="16060" spans="1:2" x14ac:dyDescent="0.25">
      <c r="A16060">
        <v>31442</v>
      </c>
      <c r="B16060">
        <v>0</v>
      </c>
    </row>
    <row r="16061" spans="1:2" x14ac:dyDescent="0.25">
      <c r="A16061">
        <v>31444</v>
      </c>
      <c r="B16061">
        <v>0</v>
      </c>
    </row>
    <row r="16062" spans="1:2" x14ac:dyDescent="0.25">
      <c r="A16062">
        <v>31446</v>
      </c>
      <c r="B16062">
        <v>0</v>
      </c>
    </row>
    <row r="16063" spans="1:2" x14ac:dyDescent="0.25">
      <c r="A16063">
        <v>31448</v>
      </c>
      <c r="B16063">
        <v>0</v>
      </c>
    </row>
    <row r="16064" spans="1:2" x14ac:dyDescent="0.25">
      <c r="A16064">
        <v>31449</v>
      </c>
      <c r="B16064">
        <v>0</v>
      </c>
    </row>
    <row r="16065" spans="1:2" x14ac:dyDescent="0.25">
      <c r="A16065">
        <v>31450</v>
      </c>
      <c r="B16065">
        <v>0</v>
      </c>
    </row>
    <row r="16066" spans="1:2" x14ac:dyDescent="0.25">
      <c r="A16066">
        <v>31452</v>
      </c>
      <c r="B16066">
        <v>0</v>
      </c>
    </row>
    <row r="16067" spans="1:2" x14ac:dyDescent="0.25">
      <c r="A16067">
        <v>31454</v>
      </c>
      <c r="B16067">
        <v>0</v>
      </c>
    </row>
    <row r="16068" spans="1:2" x14ac:dyDescent="0.25">
      <c r="A16068">
        <v>31455</v>
      </c>
      <c r="B16068">
        <v>0</v>
      </c>
    </row>
    <row r="16069" spans="1:2" x14ac:dyDescent="0.25">
      <c r="A16069">
        <v>31457</v>
      </c>
      <c r="B16069">
        <v>0</v>
      </c>
    </row>
    <row r="16070" spans="1:2" x14ac:dyDescent="0.25">
      <c r="A16070">
        <v>31458</v>
      </c>
      <c r="B16070">
        <v>0</v>
      </c>
    </row>
    <row r="16071" spans="1:2" x14ac:dyDescent="0.25">
      <c r="A16071">
        <v>31459</v>
      </c>
      <c r="B16071">
        <v>0</v>
      </c>
    </row>
    <row r="16072" spans="1:2" x14ac:dyDescent="0.25">
      <c r="A16072">
        <v>31460</v>
      </c>
      <c r="B16072">
        <v>0</v>
      </c>
    </row>
    <row r="16073" spans="1:2" x14ac:dyDescent="0.25">
      <c r="A16073">
        <v>31461</v>
      </c>
      <c r="B16073">
        <v>0</v>
      </c>
    </row>
    <row r="16074" spans="1:2" x14ac:dyDescent="0.25">
      <c r="A16074">
        <v>31462</v>
      </c>
      <c r="B16074">
        <v>0</v>
      </c>
    </row>
    <row r="16075" spans="1:2" x14ac:dyDescent="0.25">
      <c r="A16075">
        <v>31463</v>
      </c>
      <c r="B16075">
        <v>0</v>
      </c>
    </row>
    <row r="16076" spans="1:2" x14ac:dyDescent="0.25">
      <c r="A16076">
        <v>31464</v>
      </c>
      <c r="B16076">
        <v>0</v>
      </c>
    </row>
    <row r="16077" spans="1:2" x14ac:dyDescent="0.25">
      <c r="A16077">
        <v>31466</v>
      </c>
      <c r="B16077">
        <v>0</v>
      </c>
    </row>
    <row r="16078" spans="1:2" x14ac:dyDescent="0.25">
      <c r="A16078">
        <v>31468</v>
      </c>
      <c r="B16078">
        <v>0</v>
      </c>
    </row>
    <row r="16079" spans="1:2" x14ac:dyDescent="0.25">
      <c r="A16079">
        <v>31470</v>
      </c>
      <c r="B16079">
        <v>0</v>
      </c>
    </row>
    <row r="16080" spans="1:2" x14ac:dyDescent="0.25">
      <c r="A16080">
        <v>31471</v>
      </c>
      <c r="B16080">
        <v>0</v>
      </c>
    </row>
    <row r="16081" spans="1:2" x14ac:dyDescent="0.25">
      <c r="A16081">
        <v>31472</v>
      </c>
      <c r="B16081">
        <v>0</v>
      </c>
    </row>
    <row r="16082" spans="1:2" x14ac:dyDescent="0.25">
      <c r="A16082">
        <v>31473</v>
      </c>
      <c r="B16082">
        <v>0</v>
      </c>
    </row>
    <row r="16083" spans="1:2" x14ac:dyDescent="0.25">
      <c r="A16083">
        <v>31474</v>
      </c>
      <c r="B16083">
        <v>0</v>
      </c>
    </row>
    <row r="16084" spans="1:2" x14ac:dyDescent="0.25">
      <c r="A16084">
        <v>31475</v>
      </c>
      <c r="B16084">
        <v>0</v>
      </c>
    </row>
    <row r="16085" spans="1:2" x14ac:dyDescent="0.25">
      <c r="A16085">
        <v>31477</v>
      </c>
      <c r="B16085">
        <v>0</v>
      </c>
    </row>
    <row r="16086" spans="1:2" x14ac:dyDescent="0.25">
      <c r="A16086">
        <v>31479</v>
      </c>
      <c r="B16086">
        <v>0</v>
      </c>
    </row>
    <row r="16087" spans="1:2" x14ac:dyDescent="0.25">
      <c r="A16087">
        <v>31481</v>
      </c>
      <c r="B16087">
        <v>0</v>
      </c>
    </row>
    <row r="16088" spans="1:2" x14ac:dyDescent="0.25">
      <c r="A16088">
        <v>31490</v>
      </c>
      <c r="B16088">
        <v>0</v>
      </c>
    </row>
    <row r="16089" spans="1:2" x14ac:dyDescent="0.25">
      <c r="A16089">
        <v>31491</v>
      </c>
      <c r="B16089">
        <v>0</v>
      </c>
    </row>
    <row r="16090" spans="1:2" x14ac:dyDescent="0.25">
      <c r="A16090">
        <v>31492</v>
      </c>
      <c r="B16090">
        <v>0</v>
      </c>
    </row>
    <row r="16091" spans="1:2" x14ac:dyDescent="0.25">
      <c r="A16091">
        <v>31493</v>
      </c>
      <c r="B16091">
        <v>0</v>
      </c>
    </row>
    <row r="16092" spans="1:2" x14ac:dyDescent="0.25">
      <c r="A16092">
        <v>31494</v>
      </c>
      <c r="B16092">
        <v>0</v>
      </c>
    </row>
    <row r="16093" spans="1:2" x14ac:dyDescent="0.25">
      <c r="A16093">
        <v>31495</v>
      </c>
      <c r="B16093">
        <v>0</v>
      </c>
    </row>
    <row r="16094" spans="1:2" x14ac:dyDescent="0.25">
      <c r="A16094">
        <v>31496</v>
      </c>
      <c r="B16094">
        <v>0</v>
      </c>
    </row>
    <row r="16095" spans="1:2" x14ac:dyDescent="0.25">
      <c r="A16095">
        <v>31497</v>
      </c>
      <c r="B16095">
        <v>0</v>
      </c>
    </row>
    <row r="16096" spans="1:2" x14ac:dyDescent="0.25">
      <c r="A16096">
        <v>31498</v>
      </c>
      <c r="B16096">
        <v>0</v>
      </c>
    </row>
    <row r="16097" spans="1:2" x14ac:dyDescent="0.25">
      <c r="A16097">
        <v>31499</v>
      </c>
      <c r="B16097">
        <v>0</v>
      </c>
    </row>
    <row r="16098" spans="1:2" x14ac:dyDescent="0.25">
      <c r="A16098">
        <v>31500</v>
      </c>
      <c r="B16098">
        <v>0</v>
      </c>
    </row>
    <row r="16099" spans="1:2" x14ac:dyDescent="0.25">
      <c r="A16099">
        <v>31501</v>
      </c>
      <c r="B16099">
        <v>0</v>
      </c>
    </row>
    <row r="16100" spans="1:2" x14ac:dyDescent="0.25">
      <c r="A16100">
        <v>31502</v>
      </c>
      <c r="B16100">
        <v>0</v>
      </c>
    </row>
    <row r="16101" spans="1:2" x14ac:dyDescent="0.25">
      <c r="A16101">
        <v>31503</v>
      </c>
      <c r="B16101">
        <v>0</v>
      </c>
    </row>
    <row r="16102" spans="1:2" x14ac:dyDescent="0.25">
      <c r="A16102">
        <v>31504</v>
      </c>
      <c r="B16102">
        <v>0</v>
      </c>
    </row>
    <row r="16103" spans="1:2" x14ac:dyDescent="0.25">
      <c r="A16103">
        <v>31505</v>
      </c>
      <c r="B16103">
        <v>0</v>
      </c>
    </row>
    <row r="16104" spans="1:2" x14ac:dyDescent="0.25">
      <c r="A16104">
        <v>31506</v>
      </c>
      <c r="B16104">
        <v>0</v>
      </c>
    </row>
    <row r="16105" spans="1:2" x14ac:dyDescent="0.25">
      <c r="A16105">
        <v>31507</v>
      </c>
      <c r="B16105">
        <v>0</v>
      </c>
    </row>
    <row r="16106" spans="1:2" x14ac:dyDescent="0.25">
      <c r="A16106">
        <v>31508</v>
      </c>
      <c r="B16106">
        <v>0</v>
      </c>
    </row>
    <row r="16107" spans="1:2" x14ac:dyDescent="0.25">
      <c r="A16107">
        <v>31509</v>
      </c>
      <c r="B16107">
        <v>0</v>
      </c>
    </row>
    <row r="16108" spans="1:2" x14ac:dyDescent="0.25">
      <c r="A16108">
        <v>31510</v>
      </c>
      <c r="B16108">
        <v>0</v>
      </c>
    </row>
    <row r="16109" spans="1:2" x14ac:dyDescent="0.25">
      <c r="A16109">
        <v>31512</v>
      </c>
      <c r="B16109">
        <v>0</v>
      </c>
    </row>
    <row r="16110" spans="1:2" x14ac:dyDescent="0.25">
      <c r="A16110">
        <v>31513</v>
      </c>
      <c r="B16110">
        <v>0</v>
      </c>
    </row>
    <row r="16111" spans="1:2" x14ac:dyDescent="0.25">
      <c r="A16111">
        <v>31514</v>
      </c>
      <c r="B16111">
        <v>0</v>
      </c>
    </row>
    <row r="16112" spans="1:2" x14ac:dyDescent="0.25">
      <c r="A16112">
        <v>31515</v>
      </c>
      <c r="B16112">
        <v>0</v>
      </c>
    </row>
    <row r="16113" spans="1:2" x14ac:dyDescent="0.25">
      <c r="A16113">
        <v>31516</v>
      </c>
      <c r="B16113">
        <v>0</v>
      </c>
    </row>
    <row r="16114" spans="1:2" x14ac:dyDescent="0.25">
      <c r="A16114">
        <v>31517</v>
      </c>
      <c r="B16114">
        <v>0</v>
      </c>
    </row>
    <row r="16115" spans="1:2" x14ac:dyDescent="0.25">
      <c r="A16115">
        <v>31518</v>
      </c>
      <c r="B16115">
        <v>0</v>
      </c>
    </row>
    <row r="16116" spans="1:2" x14ac:dyDescent="0.25">
      <c r="A16116">
        <v>31519</v>
      </c>
      <c r="B16116">
        <v>0</v>
      </c>
    </row>
    <row r="16117" spans="1:2" x14ac:dyDescent="0.25">
      <c r="A16117">
        <v>31520</v>
      </c>
      <c r="B16117">
        <v>0</v>
      </c>
    </row>
    <row r="16118" spans="1:2" x14ac:dyDescent="0.25">
      <c r="A16118">
        <v>31522</v>
      </c>
      <c r="B16118">
        <v>0</v>
      </c>
    </row>
    <row r="16119" spans="1:2" x14ac:dyDescent="0.25">
      <c r="A16119">
        <v>31523</v>
      </c>
      <c r="B16119">
        <v>0</v>
      </c>
    </row>
    <row r="16120" spans="1:2" x14ac:dyDescent="0.25">
      <c r="A16120">
        <v>31524</v>
      </c>
      <c r="B16120">
        <v>0</v>
      </c>
    </row>
    <row r="16121" spans="1:2" x14ac:dyDescent="0.25">
      <c r="A16121">
        <v>31525</v>
      </c>
      <c r="B16121">
        <v>0</v>
      </c>
    </row>
    <row r="16122" spans="1:2" x14ac:dyDescent="0.25">
      <c r="A16122">
        <v>31526</v>
      </c>
      <c r="B16122">
        <v>0</v>
      </c>
    </row>
    <row r="16123" spans="1:2" x14ac:dyDescent="0.25">
      <c r="A16123">
        <v>31527</v>
      </c>
      <c r="B16123">
        <v>0</v>
      </c>
    </row>
    <row r="16124" spans="1:2" x14ac:dyDescent="0.25">
      <c r="A16124">
        <v>31528</v>
      </c>
      <c r="B16124">
        <v>0</v>
      </c>
    </row>
    <row r="16125" spans="1:2" x14ac:dyDescent="0.25">
      <c r="A16125">
        <v>31529</v>
      </c>
      <c r="B16125">
        <v>0</v>
      </c>
    </row>
    <row r="16126" spans="1:2" x14ac:dyDescent="0.25">
      <c r="A16126">
        <v>31530</v>
      </c>
      <c r="B16126">
        <v>0</v>
      </c>
    </row>
    <row r="16127" spans="1:2" x14ac:dyDescent="0.25">
      <c r="A16127">
        <v>31531</v>
      </c>
      <c r="B16127">
        <v>0</v>
      </c>
    </row>
    <row r="16128" spans="1:2" x14ac:dyDescent="0.25">
      <c r="A16128">
        <v>31532</v>
      </c>
      <c r="B16128">
        <v>0</v>
      </c>
    </row>
    <row r="16129" spans="1:2" x14ac:dyDescent="0.25">
      <c r="A16129">
        <v>31533</v>
      </c>
      <c r="B16129">
        <v>0</v>
      </c>
    </row>
    <row r="16130" spans="1:2" x14ac:dyDescent="0.25">
      <c r="A16130">
        <v>31534</v>
      </c>
      <c r="B16130">
        <v>0</v>
      </c>
    </row>
    <row r="16131" spans="1:2" x14ac:dyDescent="0.25">
      <c r="A16131">
        <v>31535</v>
      </c>
      <c r="B16131">
        <v>0</v>
      </c>
    </row>
    <row r="16132" spans="1:2" x14ac:dyDescent="0.25">
      <c r="A16132">
        <v>31536</v>
      </c>
      <c r="B16132">
        <v>0</v>
      </c>
    </row>
    <row r="16133" spans="1:2" x14ac:dyDescent="0.25">
      <c r="A16133">
        <v>31537</v>
      </c>
      <c r="B16133">
        <v>0</v>
      </c>
    </row>
    <row r="16134" spans="1:2" x14ac:dyDescent="0.25">
      <c r="A16134">
        <v>31538</v>
      </c>
      <c r="B16134">
        <v>0</v>
      </c>
    </row>
    <row r="16135" spans="1:2" x14ac:dyDescent="0.25">
      <c r="A16135">
        <v>31539</v>
      </c>
      <c r="B16135">
        <v>0</v>
      </c>
    </row>
    <row r="16136" spans="1:2" x14ac:dyDescent="0.25">
      <c r="A16136">
        <v>31540</v>
      </c>
      <c r="B16136">
        <v>0</v>
      </c>
    </row>
    <row r="16137" spans="1:2" x14ac:dyDescent="0.25">
      <c r="A16137">
        <v>31541</v>
      </c>
      <c r="B16137">
        <v>0</v>
      </c>
    </row>
    <row r="16138" spans="1:2" x14ac:dyDescent="0.25">
      <c r="A16138">
        <v>31542</v>
      </c>
      <c r="B16138">
        <v>0</v>
      </c>
    </row>
    <row r="16139" spans="1:2" x14ac:dyDescent="0.25">
      <c r="A16139">
        <v>31546</v>
      </c>
      <c r="B16139">
        <v>0</v>
      </c>
    </row>
    <row r="16140" spans="1:2" x14ac:dyDescent="0.25">
      <c r="A16140">
        <v>31548</v>
      </c>
      <c r="B16140">
        <v>0</v>
      </c>
    </row>
    <row r="16141" spans="1:2" x14ac:dyDescent="0.25">
      <c r="A16141">
        <v>31549</v>
      </c>
      <c r="B16141">
        <v>0</v>
      </c>
    </row>
    <row r="16142" spans="1:2" x14ac:dyDescent="0.25">
      <c r="A16142">
        <v>31550</v>
      </c>
      <c r="B16142">
        <v>0</v>
      </c>
    </row>
    <row r="16143" spans="1:2" x14ac:dyDescent="0.25">
      <c r="A16143">
        <v>31551</v>
      </c>
      <c r="B16143">
        <v>0</v>
      </c>
    </row>
    <row r="16144" spans="1:2" x14ac:dyDescent="0.25">
      <c r="A16144">
        <v>31552</v>
      </c>
      <c r="B16144">
        <v>0</v>
      </c>
    </row>
    <row r="16145" spans="1:2" x14ac:dyDescent="0.25">
      <c r="A16145">
        <v>31553</v>
      </c>
      <c r="B16145">
        <v>0</v>
      </c>
    </row>
    <row r="16146" spans="1:2" x14ac:dyDescent="0.25">
      <c r="A16146">
        <v>31554</v>
      </c>
      <c r="B16146">
        <v>0</v>
      </c>
    </row>
    <row r="16147" spans="1:2" x14ac:dyDescent="0.25">
      <c r="A16147">
        <v>31556</v>
      </c>
      <c r="B16147">
        <v>0</v>
      </c>
    </row>
    <row r="16148" spans="1:2" x14ac:dyDescent="0.25">
      <c r="A16148">
        <v>31557</v>
      </c>
      <c r="B16148">
        <v>0</v>
      </c>
    </row>
    <row r="16149" spans="1:2" x14ac:dyDescent="0.25">
      <c r="A16149">
        <v>31558</v>
      </c>
      <c r="B16149">
        <v>0</v>
      </c>
    </row>
    <row r="16150" spans="1:2" x14ac:dyDescent="0.25">
      <c r="A16150">
        <v>31560</v>
      </c>
      <c r="B16150">
        <v>0</v>
      </c>
    </row>
    <row r="16151" spans="1:2" x14ac:dyDescent="0.25">
      <c r="A16151">
        <v>31561</v>
      </c>
      <c r="B16151">
        <v>0</v>
      </c>
    </row>
    <row r="16152" spans="1:2" x14ac:dyDescent="0.25">
      <c r="A16152">
        <v>31562</v>
      </c>
      <c r="B16152">
        <v>0</v>
      </c>
    </row>
    <row r="16153" spans="1:2" x14ac:dyDescent="0.25">
      <c r="A16153">
        <v>31563</v>
      </c>
      <c r="B16153">
        <v>0</v>
      </c>
    </row>
    <row r="16154" spans="1:2" x14ac:dyDescent="0.25">
      <c r="A16154">
        <v>31564</v>
      </c>
      <c r="B16154">
        <v>0</v>
      </c>
    </row>
    <row r="16155" spans="1:2" x14ac:dyDescent="0.25">
      <c r="A16155">
        <v>31565</v>
      </c>
      <c r="B16155">
        <v>0</v>
      </c>
    </row>
    <row r="16156" spans="1:2" x14ac:dyDescent="0.25">
      <c r="A16156">
        <v>31566</v>
      </c>
      <c r="B16156">
        <v>0</v>
      </c>
    </row>
    <row r="16157" spans="1:2" x14ac:dyDescent="0.25">
      <c r="A16157">
        <v>31567</v>
      </c>
      <c r="B16157">
        <v>0</v>
      </c>
    </row>
    <row r="16158" spans="1:2" x14ac:dyDescent="0.25">
      <c r="A16158">
        <v>31568</v>
      </c>
      <c r="B16158">
        <v>0</v>
      </c>
    </row>
    <row r="16159" spans="1:2" x14ac:dyDescent="0.25">
      <c r="A16159">
        <v>31569</v>
      </c>
      <c r="B16159">
        <v>0</v>
      </c>
    </row>
    <row r="16160" spans="1:2" x14ac:dyDescent="0.25">
      <c r="A16160">
        <v>31570</v>
      </c>
      <c r="B16160">
        <v>0</v>
      </c>
    </row>
    <row r="16161" spans="1:2" x14ac:dyDescent="0.25">
      <c r="A16161">
        <v>31572</v>
      </c>
      <c r="B16161">
        <v>0</v>
      </c>
    </row>
    <row r="16162" spans="1:2" x14ac:dyDescent="0.25">
      <c r="A16162">
        <v>31574</v>
      </c>
      <c r="B16162">
        <v>0</v>
      </c>
    </row>
    <row r="16163" spans="1:2" x14ac:dyDescent="0.25">
      <c r="A16163">
        <v>31575</v>
      </c>
      <c r="B16163">
        <v>0</v>
      </c>
    </row>
    <row r="16164" spans="1:2" x14ac:dyDescent="0.25">
      <c r="A16164">
        <v>31576</v>
      </c>
      <c r="B16164">
        <v>0</v>
      </c>
    </row>
    <row r="16165" spans="1:2" x14ac:dyDescent="0.25">
      <c r="A16165">
        <v>31577</v>
      </c>
      <c r="B16165">
        <v>0</v>
      </c>
    </row>
    <row r="16166" spans="1:2" x14ac:dyDescent="0.25">
      <c r="A16166">
        <v>31578</v>
      </c>
      <c r="B16166">
        <v>0</v>
      </c>
    </row>
    <row r="16167" spans="1:2" x14ac:dyDescent="0.25">
      <c r="A16167">
        <v>31579</v>
      </c>
      <c r="B16167">
        <v>0</v>
      </c>
    </row>
    <row r="16168" spans="1:2" x14ac:dyDescent="0.25">
      <c r="A16168">
        <v>31580</v>
      </c>
      <c r="B16168">
        <v>0</v>
      </c>
    </row>
    <row r="16169" spans="1:2" x14ac:dyDescent="0.25">
      <c r="A16169">
        <v>31582</v>
      </c>
      <c r="B16169">
        <v>0</v>
      </c>
    </row>
    <row r="16170" spans="1:2" x14ac:dyDescent="0.25">
      <c r="A16170">
        <v>31583</v>
      </c>
      <c r="B16170">
        <v>0</v>
      </c>
    </row>
    <row r="16171" spans="1:2" x14ac:dyDescent="0.25">
      <c r="A16171">
        <v>31584</v>
      </c>
      <c r="B16171">
        <v>0</v>
      </c>
    </row>
    <row r="16172" spans="1:2" x14ac:dyDescent="0.25">
      <c r="A16172">
        <v>31585</v>
      </c>
      <c r="B16172">
        <v>0</v>
      </c>
    </row>
    <row r="16173" spans="1:2" x14ac:dyDescent="0.25">
      <c r="A16173">
        <v>31586</v>
      </c>
      <c r="B16173">
        <v>0</v>
      </c>
    </row>
    <row r="16174" spans="1:2" x14ac:dyDescent="0.25">
      <c r="A16174">
        <v>31587</v>
      </c>
      <c r="B16174">
        <v>0</v>
      </c>
    </row>
    <row r="16175" spans="1:2" x14ac:dyDescent="0.25">
      <c r="A16175">
        <v>31589</v>
      </c>
      <c r="B16175">
        <v>0</v>
      </c>
    </row>
    <row r="16176" spans="1:2" x14ac:dyDescent="0.25">
      <c r="A16176">
        <v>31590</v>
      </c>
      <c r="B16176">
        <v>0</v>
      </c>
    </row>
    <row r="16177" spans="1:2" x14ac:dyDescent="0.25">
      <c r="A16177">
        <v>31591</v>
      </c>
      <c r="B16177">
        <v>0</v>
      </c>
    </row>
    <row r="16178" spans="1:2" x14ac:dyDescent="0.25">
      <c r="A16178">
        <v>31593</v>
      </c>
      <c r="B16178">
        <v>0</v>
      </c>
    </row>
    <row r="16179" spans="1:2" x14ac:dyDescent="0.25">
      <c r="A16179">
        <v>31595</v>
      </c>
      <c r="B16179">
        <v>0</v>
      </c>
    </row>
    <row r="16180" spans="1:2" x14ac:dyDescent="0.25">
      <c r="A16180">
        <v>31597</v>
      </c>
      <c r="B16180">
        <v>0</v>
      </c>
    </row>
    <row r="16181" spans="1:2" x14ac:dyDescent="0.25">
      <c r="A16181">
        <v>31598</v>
      </c>
      <c r="B16181">
        <v>0</v>
      </c>
    </row>
    <row r="16182" spans="1:2" x14ac:dyDescent="0.25">
      <c r="A16182">
        <v>31606</v>
      </c>
      <c r="B16182">
        <v>0</v>
      </c>
    </row>
    <row r="16183" spans="1:2" x14ac:dyDescent="0.25">
      <c r="A16183">
        <v>31607</v>
      </c>
      <c r="B16183">
        <v>0</v>
      </c>
    </row>
    <row r="16184" spans="1:2" x14ac:dyDescent="0.25">
      <c r="A16184">
        <v>31608</v>
      </c>
      <c r="B16184">
        <v>0</v>
      </c>
    </row>
    <row r="16185" spans="1:2" x14ac:dyDescent="0.25">
      <c r="A16185">
        <v>31609</v>
      </c>
      <c r="B16185">
        <v>0</v>
      </c>
    </row>
    <row r="16186" spans="1:2" x14ac:dyDescent="0.25">
      <c r="A16186">
        <v>31610</v>
      </c>
      <c r="B16186">
        <v>0</v>
      </c>
    </row>
    <row r="16187" spans="1:2" x14ac:dyDescent="0.25">
      <c r="A16187">
        <v>31611</v>
      </c>
      <c r="B16187">
        <v>0</v>
      </c>
    </row>
    <row r="16188" spans="1:2" x14ac:dyDescent="0.25">
      <c r="A16188">
        <v>31612</v>
      </c>
      <c r="B16188">
        <v>0</v>
      </c>
    </row>
    <row r="16189" spans="1:2" x14ac:dyDescent="0.25">
      <c r="A16189">
        <v>31613</v>
      </c>
      <c r="B16189">
        <v>0</v>
      </c>
    </row>
    <row r="16190" spans="1:2" x14ac:dyDescent="0.25">
      <c r="A16190">
        <v>31614</v>
      </c>
      <c r="B16190">
        <v>0</v>
      </c>
    </row>
    <row r="16191" spans="1:2" x14ac:dyDescent="0.25">
      <c r="A16191">
        <v>31615</v>
      </c>
      <c r="B16191">
        <v>0</v>
      </c>
    </row>
    <row r="16192" spans="1:2" x14ac:dyDescent="0.25">
      <c r="A16192">
        <v>31616</v>
      </c>
      <c r="B16192">
        <v>0</v>
      </c>
    </row>
    <row r="16193" spans="1:2" x14ac:dyDescent="0.25">
      <c r="A16193">
        <v>31618</v>
      </c>
      <c r="B16193">
        <v>0</v>
      </c>
    </row>
    <row r="16194" spans="1:2" x14ac:dyDescent="0.25">
      <c r="A16194">
        <v>31619</v>
      </c>
      <c r="B16194">
        <v>0</v>
      </c>
    </row>
    <row r="16195" spans="1:2" x14ac:dyDescent="0.25">
      <c r="A16195">
        <v>31620</v>
      </c>
      <c r="B16195">
        <v>0</v>
      </c>
    </row>
    <row r="16196" spans="1:2" x14ac:dyDescent="0.25">
      <c r="A16196">
        <v>31621</v>
      </c>
      <c r="B16196">
        <v>0</v>
      </c>
    </row>
    <row r="16197" spans="1:2" x14ac:dyDescent="0.25">
      <c r="A16197">
        <v>31622</v>
      </c>
      <c r="B16197">
        <v>0</v>
      </c>
    </row>
    <row r="16198" spans="1:2" x14ac:dyDescent="0.25">
      <c r="A16198">
        <v>31623</v>
      </c>
      <c r="B16198">
        <v>0</v>
      </c>
    </row>
    <row r="16199" spans="1:2" x14ac:dyDescent="0.25">
      <c r="A16199">
        <v>31624</v>
      </c>
      <c r="B16199">
        <v>0</v>
      </c>
    </row>
    <row r="16200" spans="1:2" x14ac:dyDescent="0.25">
      <c r="A16200">
        <v>31625</v>
      </c>
      <c r="B16200">
        <v>0</v>
      </c>
    </row>
    <row r="16201" spans="1:2" x14ac:dyDescent="0.25">
      <c r="A16201">
        <v>31626</v>
      </c>
      <c r="B16201">
        <v>0</v>
      </c>
    </row>
    <row r="16202" spans="1:2" x14ac:dyDescent="0.25">
      <c r="A16202">
        <v>31627</v>
      </c>
      <c r="B16202">
        <v>0</v>
      </c>
    </row>
    <row r="16203" spans="1:2" x14ac:dyDescent="0.25">
      <c r="A16203">
        <v>31628</v>
      </c>
      <c r="B16203">
        <v>0</v>
      </c>
    </row>
    <row r="16204" spans="1:2" x14ac:dyDescent="0.25">
      <c r="A16204">
        <v>31629</v>
      </c>
      <c r="B16204">
        <v>0</v>
      </c>
    </row>
    <row r="16205" spans="1:2" x14ac:dyDescent="0.25">
      <c r="A16205">
        <v>31630</v>
      </c>
      <c r="B16205">
        <v>0</v>
      </c>
    </row>
    <row r="16206" spans="1:2" x14ac:dyDescent="0.25">
      <c r="A16206">
        <v>31632</v>
      </c>
      <c r="B16206">
        <v>0</v>
      </c>
    </row>
    <row r="16207" spans="1:2" x14ac:dyDescent="0.25">
      <c r="A16207">
        <v>31635</v>
      </c>
      <c r="B16207">
        <v>0</v>
      </c>
    </row>
    <row r="16208" spans="1:2" x14ac:dyDescent="0.25">
      <c r="A16208">
        <v>31637</v>
      </c>
      <c r="B16208">
        <v>0</v>
      </c>
    </row>
    <row r="16209" spans="1:2" x14ac:dyDescent="0.25">
      <c r="A16209">
        <v>31639</v>
      </c>
      <c r="B16209">
        <v>0</v>
      </c>
    </row>
    <row r="16210" spans="1:2" x14ac:dyDescent="0.25">
      <c r="A16210">
        <v>31642</v>
      </c>
      <c r="B16210">
        <v>0</v>
      </c>
    </row>
    <row r="16211" spans="1:2" x14ac:dyDescent="0.25">
      <c r="A16211">
        <v>31645</v>
      </c>
      <c r="B16211">
        <v>0</v>
      </c>
    </row>
    <row r="16212" spans="1:2" x14ac:dyDescent="0.25">
      <c r="A16212">
        <v>31648</v>
      </c>
      <c r="B16212">
        <v>0</v>
      </c>
    </row>
    <row r="16213" spans="1:2" x14ac:dyDescent="0.25">
      <c r="A16213">
        <v>31660</v>
      </c>
      <c r="B16213">
        <v>0</v>
      </c>
    </row>
    <row r="16214" spans="1:2" x14ac:dyDescent="0.25">
      <c r="A16214">
        <v>31662</v>
      </c>
      <c r="B16214">
        <v>0</v>
      </c>
    </row>
    <row r="16215" spans="1:2" x14ac:dyDescent="0.25">
      <c r="A16215">
        <v>31663</v>
      </c>
      <c r="B16215">
        <v>0</v>
      </c>
    </row>
    <row r="16216" spans="1:2" x14ac:dyDescent="0.25">
      <c r="A16216">
        <v>31664</v>
      </c>
      <c r="B16216">
        <v>0</v>
      </c>
    </row>
    <row r="16217" spans="1:2" x14ac:dyDescent="0.25">
      <c r="A16217">
        <v>31665</v>
      </c>
      <c r="B16217">
        <v>0</v>
      </c>
    </row>
    <row r="16218" spans="1:2" x14ac:dyDescent="0.25">
      <c r="A16218">
        <v>31667</v>
      </c>
      <c r="B16218">
        <v>0</v>
      </c>
    </row>
    <row r="16219" spans="1:2" x14ac:dyDescent="0.25">
      <c r="A16219">
        <v>31669</v>
      </c>
      <c r="B16219">
        <v>0</v>
      </c>
    </row>
    <row r="16220" spans="1:2" x14ac:dyDescent="0.25">
      <c r="A16220">
        <v>31670</v>
      </c>
      <c r="B16220">
        <v>0</v>
      </c>
    </row>
    <row r="16221" spans="1:2" x14ac:dyDescent="0.25">
      <c r="A16221">
        <v>31672</v>
      </c>
      <c r="B16221">
        <v>0</v>
      </c>
    </row>
    <row r="16222" spans="1:2" x14ac:dyDescent="0.25">
      <c r="A16222">
        <v>31674</v>
      </c>
      <c r="B16222">
        <v>0</v>
      </c>
    </row>
    <row r="16223" spans="1:2" x14ac:dyDescent="0.25">
      <c r="A16223">
        <v>31675</v>
      </c>
      <c r="B16223">
        <v>0</v>
      </c>
    </row>
    <row r="16224" spans="1:2" x14ac:dyDescent="0.25">
      <c r="A16224">
        <v>31676</v>
      </c>
      <c r="B16224">
        <v>0</v>
      </c>
    </row>
    <row r="16225" spans="1:2" x14ac:dyDescent="0.25">
      <c r="A16225">
        <v>31678</v>
      </c>
      <c r="B16225">
        <v>0</v>
      </c>
    </row>
    <row r="16226" spans="1:2" x14ac:dyDescent="0.25">
      <c r="A16226">
        <v>31680</v>
      </c>
      <c r="B16226">
        <v>0</v>
      </c>
    </row>
    <row r="16227" spans="1:2" x14ac:dyDescent="0.25">
      <c r="A16227">
        <v>31682</v>
      </c>
      <c r="B16227">
        <v>0</v>
      </c>
    </row>
    <row r="16228" spans="1:2" x14ac:dyDescent="0.25">
      <c r="A16228">
        <v>31684</v>
      </c>
      <c r="B16228">
        <v>0</v>
      </c>
    </row>
    <row r="16229" spans="1:2" x14ac:dyDescent="0.25">
      <c r="A16229">
        <v>31705</v>
      </c>
      <c r="B16229">
        <v>0</v>
      </c>
    </row>
    <row r="16230" spans="1:2" x14ac:dyDescent="0.25">
      <c r="A16230">
        <v>31707</v>
      </c>
      <c r="B16230">
        <v>0</v>
      </c>
    </row>
    <row r="16231" spans="1:2" x14ac:dyDescent="0.25">
      <c r="A16231">
        <v>31708</v>
      </c>
      <c r="B16231">
        <v>0</v>
      </c>
    </row>
    <row r="16232" spans="1:2" x14ac:dyDescent="0.25">
      <c r="A16232">
        <v>31710</v>
      </c>
      <c r="B16232">
        <v>0</v>
      </c>
    </row>
    <row r="16233" spans="1:2" x14ac:dyDescent="0.25">
      <c r="A16233">
        <v>31712</v>
      </c>
      <c r="B16233">
        <v>0</v>
      </c>
    </row>
    <row r="16234" spans="1:2" x14ac:dyDescent="0.25">
      <c r="A16234">
        <v>31713</v>
      </c>
      <c r="B16234">
        <v>0</v>
      </c>
    </row>
    <row r="16235" spans="1:2" x14ac:dyDescent="0.25">
      <c r="A16235">
        <v>31715</v>
      </c>
      <c r="B16235">
        <v>0</v>
      </c>
    </row>
    <row r="16236" spans="1:2" x14ac:dyDescent="0.25">
      <c r="A16236">
        <v>31716</v>
      </c>
      <c r="B16236">
        <v>0</v>
      </c>
    </row>
    <row r="16237" spans="1:2" x14ac:dyDescent="0.25">
      <c r="A16237">
        <v>31718</v>
      </c>
      <c r="B16237">
        <v>0</v>
      </c>
    </row>
    <row r="16238" spans="1:2" x14ac:dyDescent="0.25">
      <c r="A16238">
        <v>31720</v>
      </c>
      <c r="B16238">
        <v>0</v>
      </c>
    </row>
    <row r="16239" spans="1:2" x14ac:dyDescent="0.25">
      <c r="A16239">
        <v>31722</v>
      </c>
      <c r="B16239">
        <v>0</v>
      </c>
    </row>
    <row r="16240" spans="1:2" x14ac:dyDescent="0.25">
      <c r="A16240">
        <v>31725</v>
      </c>
      <c r="B16240">
        <v>0</v>
      </c>
    </row>
    <row r="16241" spans="1:2" x14ac:dyDescent="0.25">
      <c r="A16241">
        <v>31726</v>
      </c>
      <c r="B16241">
        <v>0</v>
      </c>
    </row>
    <row r="16242" spans="1:2" x14ac:dyDescent="0.25">
      <c r="A16242">
        <v>31727</v>
      </c>
      <c r="B16242">
        <v>0</v>
      </c>
    </row>
    <row r="16243" spans="1:2" x14ac:dyDescent="0.25">
      <c r="A16243">
        <v>31728</v>
      </c>
      <c r="B16243">
        <v>0</v>
      </c>
    </row>
    <row r="16244" spans="1:2" x14ac:dyDescent="0.25">
      <c r="A16244">
        <v>31730</v>
      </c>
      <c r="B16244">
        <v>0</v>
      </c>
    </row>
    <row r="16245" spans="1:2" x14ac:dyDescent="0.25">
      <c r="A16245">
        <v>31732</v>
      </c>
      <c r="B16245">
        <v>0</v>
      </c>
    </row>
    <row r="16246" spans="1:2" x14ac:dyDescent="0.25">
      <c r="A16246">
        <v>31734</v>
      </c>
      <c r="B16246">
        <v>0</v>
      </c>
    </row>
    <row r="16247" spans="1:2" x14ac:dyDescent="0.25">
      <c r="A16247">
        <v>31735</v>
      </c>
      <c r="B16247">
        <v>0</v>
      </c>
    </row>
    <row r="16248" spans="1:2" x14ac:dyDescent="0.25">
      <c r="A16248">
        <v>31737</v>
      </c>
      <c r="B16248">
        <v>0</v>
      </c>
    </row>
    <row r="16249" spans="1:2" x14ac:dyDescent="0.25">
      <c r="A16249">
        <v>31739</v>
      </c>
      <c r="B16249">
        <v>0</v>
      </c>
    </row>
    <row r="16250" spans="1:2" x14ac:dyDescent="0.25">
      <c r="A16250">
        <v>31740</v>
      </c>
      <c r="B16250">
        <v>0</v>
      </c>
    </row>
    <row r="16251" spans="1:2" x14ac:dyDescent="0.25">
      <c r="A16251">
        <v>31741</v>
      </c>
      <c r="B16251">
        <v>0</v>
      </c>
    </row>
    <row r="16252" spans="1:2" x14ac:dyDescent="0.25">
      <c r="A16252">
        <v>31744</v>
      </c>
      <c r="B16252">
        <v>0</v>
      </c>
    </row>
    <row r="16253" spans="1:2" x14ac:dyDescent="0.25">
      <c r="A16253">
        <v>31745</v>
      </c>
      <c r="B16253">
        <v>0</v>
      </c>
    </row>
    <row r="16254" spans="1:2" x14ac:dyDescent="0.25">
      <c r="A16254">
        <v>31746</v>
      </c>
      <c r="B16254">
        <v>0</v>
      </c>
    </row>
    <row r="16255" spans="1:2" x14ac:dyDescent="0.25">
      <c r="A16255">
        <v>31748</v>
      </c>
      <c r="B16255">
        <v>0</v>
      </c>
    </row>
    <row r="16256" spans="1:2" x14ac:dyDescent="0.25">
      <c r="A16256">
        <v>31750</v>
      </c>
      <c r="B16256">
        <v>0</v>
      </c>
    </row>
    <row r="16257" spans="1:2" x14ac:dyDescent="0.25">
      <c r="A16257">
        <v>31752</v>
      </c>
      <c r="B16257">
        <v>0</v>
      </c>
    </row>
    <row r="16258" spans="1:2" x14ac:dyDescent="0.25">
      <c r="A16258">
        <v>31754</v>
      </c>
      <c r="B16258">
        <v>0</v>
      </c>
    </row>
    <row r="16259" spans="1:2" x14ac:dyDescent="0.25">
      <c r="A16259">
        <v>31764</v>
      </c>
      <c r="B16259">
        <v>0</v>
      </c>
    </row>
    <row r="16260" spans="1:2" x14ac:dyDescent="0.25">
      <c r="A16260">
        <v>31766</v>
      </c>
      <c r="B16260">
        <v>0</v>
      </c>
    </row>
    <row r="16261" spans="1:2" x14ac:dyDescent="0.25">
      <c r="A16261">
        <v>31767</v>
      </c>
      <c r="B16261">
        <v>0</v>
      </c>
    </row>
    <row r="16262" spans="1:2" x14ac:dyDescent="0.25">
      <c r="A16262">
        <v>31768</v>
      </c>
      <c r="B16262">
        <v>0</v>
      </c>
    </row>
    <row r="16263" spans="1:2" x14ac:dyDescent="0.25">
      <c r="A16263">
        <v>31769</v>
      </c>
      <c r="B16263">
        <v>0</v>
      </c>
    </row>
    <row r="16264" spans="1:2" x14ac:dyDescent="0.25">
      <c r="A16264">
        <v>31771</v>
      </c>
      <c r="B16264">
        <v>0</v>
      </c>
    </row>
    <row r="16265" spans="1:2" x14ac:dyDescent="0.25">
      <c r="A16265">
        <v>31773</v>
      </c>
      <c r="B16265">
        <v>0</v>
      </c>
    </row>
    <row r="16266" spans="1:2" x14ac:dyDescent="0.25">
      <c r="A16266">
        <v>31775</v>
      </c>
      <c r="B16266">
        <v>0</v>
      </c>
    </row>
    <row r="16267" spans="1:2" x14ac:dyDescent="0.25">
      <c r="A16267">
        <v>31777</v>
      </c>
      <c r="B16267">
        <v>0</v>
      </c>
    </row>
    <row r="16268" spans="1:2" x14ac:dyDescent="0.25">
      <c r="A16268">
        <v>31779</v>
      </c>
      <c r="B16268">
        <v>0</v>
      </c>
    </row>
    <row r="16269" spans="1:2" x14ac:dyDescent="0.25">
      <c r="A16269">
        <v>31781</v>
      </c>
      <c r="B16269">
        <v>0</v>
      </c>
    </row>
    <row r="16270" spans="1:2" x14ac:dyDescent="0.25">
      <c r="A16270">
        <v>31783</v>
      </c>
      <c r="B16270">
        <v>0</v>
      </c>
    </row>
    <row r="16271" spans="1:2" x14ac:dyDescent="0.25">
      <c r="A16271">
        <v>31785</v>
      </c>
      <c r="B16271">
        <v>0</v>
      </c>
    </row>
    <row r="16272" spans="1:2" x14ac:dyDescent="0.25">
      <c r="A16272">
        <v>31787</v>
      </c>
      <c r="B16272">
        <v>0</v>
      </c>
    </row>
    <row r="16273" spans="1:2" x14ac:dyDescent="0.25">
      <c r="A16273">
        <v>31789</v>
      </c>
      <c r="B16273">
        <v>0</v>
      </c>
    </row>
    <row r="16274" spans="1:2" x14ac:dyDescent="0.25">
      <c r="A16274">
        <v>31791</v>
      </c>
      <c r="B16274">
        <v>0</v>
      </c>
    </row>
    <row r="16275" spans="1:2" x14ac:dyDescent="0.25">
      <c r="A16275">
        <v>31793</v>
      </c>
      <c r="B16275">
        <v>0</v>
      </c>
    </row>
    <row r="16276" spans="1:2" x14ac:dyDescent="0.25">
      <c r="A16276">
        <v>31795</v>
      </c>
      <c r="B16276">
        <v>0</v>
      </c>
    </row>
    <row r="16277" spans="1:2" x14ac:dyDescent="0.25">
      <c r="A16277">
        <v>31796</v>
      </c>
      <c r="B16277">
        <v>0</v>
      </c>
    </row>
    <row r="16278" spans="1:2" x14ac:dyDescent="0.25">
      <c r="A16278">
        <v>31797</v>
      </c>
      <c r="B16278">
        <v>0</v>
      </c>
    </row>
    <row r="16279" spans="1:2" x14ac:dyDescent="0.25">
      <c r="A16279">
        <v>31798</v>
      </c>
      <c r="B16279">
        <v>0</v>
      </c>
    </row>
    <row r="16280" spans="1:2" x14ac:dyDescent="0.25">
      <c r="A16280">
        <v>31799</v>
      </c>
      <c r="B16280">
        <v>0</v>
      </c>
    </row>
    <row r="16281" spans="1:2" x14ac:dyDescent="0.25">
      <c r="A16281">
        <v>31800</v>
      </c>
      <c r="B16281">
        <v>0</v>
      </c>
    </row>
    <row r="16282" spans="1:2" x14ac:dyDescent="0.25">
      <c r="A16282">
        <v>31801</v>
      </c>
      <c r="B16282">
        <v>0</v>
      </c>
    </row>
    <row r="16283" spans="1:2" x14ac:dyDescent="0.25">
      <c r="A16283">
        <v>31805</v>
      </c>
      <c r="B16283">
        <v>0</v>
      </c>
    </row>
    <row r="16284" spans="1:2" x14ac:dyDescent="0.25">
      <c r="A16284">
        <v>31807</v>
      </c>
      <c r="B16284">
        <v>0</v>
      </c>
    </row>
    <row r="16285" spans="1:2" x14ac:dyDescent="0.25">
      <c r="A16285">
        <v>31808</v>
      </c>
      <c r="B16285">
        <v>0</v>
      </c>
    </row>
    <row r="16286" spans="1:2" x14ac:dyDescent="0.25">
      <c r="A16286">
        <v>31809</v>
      </c>
      <c r="B16286">
        <v>0</v>
      </c>
    </row>
    <row r="16287" spans="1:2" x14ac:dyDescent="0.25">
      <c r="A16287">
        <v>31811</v>
      </c>
      <c r="B16287">
        <v>0</v>
      </c>
    </row>
    <row r="16288" spans="1:2" x14ac:dyDescent="0.25">
      <c r="A16288">
        <v>31814</v>
      </c>
      <c r="B16288">
        <v>0</v>
      </c>
    </row>
    <row r="16289" spans="1:2" x14ac:dyDescent="0.25">
      <c r="A16289">
        <v>31816</v>
      </c>
      <c r="B16289">
        <v>0</v>
      </c>
    </row>
    <row r="16290" spans="1:2" x14ac:dyDescent="0.25">
      <c r="A16290">
        <v>31817</v>
      </c>
      <c r="B16290">
        <v>0</v>
      </c>
    </row>
    <row r="16291" spans="1:2" x14ac:dyDescent="0.25">
      <c r="A16291">
        <v>31821</v>
      </c>
      <c r="B16291">
        <v>0</v>
      </c>
    </row>
    <row r="16292" spans="1:2" x14ac:dyDescent="0.25">
      <c r="A16292">
        <v>31823</v>
      </c>
      <c r="B16292">
        <v>0</v>
      </c>
    </row>
    <row r="16293" spans="1:2" x14ac:dyDescent="0.25">
      <c r="A16293">
        <v>31834</v>
      </c>
      <c r="B16293">
        <v>0</v>
      </c>
    </row>
    <row r="16294" spans="1:2" x14ac:dyDescent="0.25">
      <c r="A16294">
        <v>31836</v>
      </c>
      <c r="B16294">
        <v>0</v>
      </c>
    </row>
    <row r="16295" spans="1:2" x14ac:dyDescent="0.25">
      <c r="A16295">
        <v>31838</v>
      </c>
      <c r="B16295">
        <v>0</v>
      </c>
    </row>
    <row r="16296" spans="1:2" x14ac:dyDescent="0.25">
      <c r="A16296">
        <v>31845</v>
      </c>
      <c r="B16296">
        <v>0</v>
      </c>
    </row>
    <row r="16297" spans="1:2" x14ac:dyDescent="0.25">
      <c r="A16297">
        <v>31846</v>
      </c>
      <c r="B16297">
        <v>0</v>
      </c>
    </row>
    <row r="16298" spans="1:2" x14ac:dyDescent="0.25">
      <c r="A16298">
        <v>31856</v>
      </c>
      <c r="B16298">
        <v>0</v>
      </c>
    </row>
    <row r="16299" spans="1:2" x14ac:dyDescent="0.25">
      <c r="A16299">
        <v>31863</v>
      </c>
      <c r="B16299">
        <v>0</v>
      </c>
    </row>
    <row r="16300" spans="1:2" x14ac:dyDescent="0.25">
      <c r="A16300">
        <v>31865</v>
      </c>
      <c r="B16300">
        <v>0</v>
      </c>
    </row>
    <row r="16301" spans="1:2" x14ac:dyDescent="0.25">
      <c r="A16301">
        <v>31866</v>
      </c>
      <c r="B16301">
        <v>0</v>
      </c>
    </row>
    <row r="16302" spans="1:2" x14ac:dyDescent="0.25">
      <c r="A16302">
        <v>31868</v>
      </c>
      <c r="B16302">
        <v>0</v>
      </c>
    </row>
    <row r="16303" spans="1:2" x14ac:dyDescent="0.25">
      <c r="A16303">
        <v>31871</v>
      </c>
      <c r="B16303">
        <v>0</v>
      </c>
    </row>
    <row r="16304" spans="1:2" x14ac:dyDescent="0.25">
      <c r="A16304">
        <v>31873</v>
      </c>
      <c r="B16304">
        <v>0</v>
      </c>
    </row>
    <row r="16305" spans="1:2" x14ac:dyDescent="0.25">
      <c r="A16305">
        <v>31875</v>
      </c>
      <c r="B16305">
        <v>0</v>
      </c>
    </row>
    <row r="16306" spans="1:2" x14ac:dyDescent="0.25">
      <c r="A16306">
        <v>31876</v>
      </c>
      <c r="B16306">
        <v>0</v>
      </c>
    </row>
    <row r="16307" spans="1:2" x14ac:dyDescent="0.25">
      <c r="A16307">
        <v>31877</v>
      </c>
      <c r="B16307">
        <v>0</v>
      </c>
    </row>
    <row r="16308" spans="1:2" x14ac:dyDescent="0.25">
      <c r="A16308">
        <v>31878</v>
      </c>
      <c r="B16308">
        <v>0</v>
      </c>
    </row>
    <row r="16309" spans="1:2" x14ac:dyDescent="0.25">
      <c r="A16309">
        <v>31879</v>
      </c>
      <c r="B16309">
        <v>0</v>
      </c>
    </row>
    <row r="16310" spans="1:2" x14ac:dyDescent="0.25">
      <c r="A16310">
        <v>31881</v>
      </c>
      <c r="B16310">
        <v>0</v>
      </c>
    </row>
    <row r="16311" spans="1:2" x14ac:dyDescent="0.25">
      <c r="A16311">
        <v>31882</v>
      </c>
      <c r="B16311">
        <v>0</v>
      </c>
    </row>
    <row r="16312" spans="1:2" x14ac:dyDescent="0.25">
      <c r="A16312">
        <v>31883</v>
      </c>
      <c r="B16312">
        <v>0</v>
      </c>
    </row>
    <row r="16313" spans="1:2" x14ac:dyDescent="0.25">
      <c r="A16313">
        <v>31884</v>
      </c>
      <c r="B16313">
        <v>0</v>
      </c>
    </row>
    <row r="16314" spans="1:2" x14ac:dyDescent="0.25">
      <c r="A16314">
        <v>31885</v>
      </c>
      <c r="B16314">
        <v>0</v>
      </c>
    </row>
    <row r="16315" spans="1:2" x14ac:dyDescent="0.25">
      <c r="A16315">
        <v>31887</v>
      </c>
      <c r="B16315">
        <v>0</v>
      </c>
    </row>
    <row r="16316" spans="1:2" x14ac:dyDescent="0.25">
      <c r="A16316">
        <v>31889</v>
      </c>
      <c r="B16316">
        <v>0</v>
      </c>
    </row>
    <row r="16317" spans="1:2" x14ac:dyDescent="0.25">
      <c r="A16317">
        <v>31890</v>
      </c>
      <c r="B16317">
        <v>0</v>
      </c>
    </row>
    <row r="16318" spans="1:2" x14ac:dyDescent="0.25">
      <c r="A16318">
        <v>31892</v>
      </c>
      <c r="B16318">
        <v>0</v>
      </c>
    </row>
    <row r="16319" spans="1:2" x14ac:dyDescent="0.25">
      <c r="A16319">
        <v>31894</v>
      </c>
      <c r="B16319">
        <v>0</v>
      </c>
    </row>
    <row r="16320" spans="1:2" x14ac:dyDescent="0.25">
      <c r="A16320">
        <v>31896</v>
      </c>
      <c r="B16320">
        <v>0</v>
      </c>
    </row>
    <row r="16321" spans="1:2" x14ac:dyDescent="0.25">
      <c r="A16321">
        <v>31897</v>
      </c>
      <c r="B16321">
        <v>0</v>
      </c>
    </row>
    <row r="16322" spans="1:2" x14ac:dyDescent="0.25">
      <c r="A16322">
        <v>31898</v>
      </c>
      <c r="B16322">
        <v>0</v>
      </c>
    </row>
    <row r="16323" spans="1:2" x14ac:dyDescent="0.25">
      <c r="A16323">
        <v>31900</v>
      </c>
      <c r="B16323">
        <v>0</v>
      </c>
    </row>
    <row r="16324" spans="1:2" x14ac:dyDescent="0.25">
      <c r="A16324">
        <v>31902</v>
      </c>
      <c r="B16324">
        <v>0</v>
      </c>
    </row>
    <row r="16325" spans="1:2" x14ac:dyDescent="0.25">
      <c r="A16325">
        <v>31903</v>
      </c>
      <c r="B16325">
        <v>0</v>
      </c>
    </row>
    <row r="16326" spans="1:2" x14ac:dyDescent="0.25">
      <c r="A16326">
        <v>31904</v>
      </c>
      <c r="B16326">
        <v>0</v>
      </c>
    </row>
    <row r="16327" spans="1:2" x14ac:dyDescent="0.25">
      <c r="A16327">
        <v>31905</v>
      </c>
      <c r="B16327">
        <v>0</v>
      </c>
    </row>
    <row r="16328" spans="1:2" x14ac:dyDescent="0.25">
      <c r="A16328">
        <v>31906</v>
      </c>
      <c r="B16328">
        <v>0</v>
      </c>
    </row>
    <row r="16329" spans="1:2" x14ac:dyDescent="0.25">
      <c r="A16329">
        <v>31907</v>
      </c>
      <c r="B16329">
        <v>0</v>
      </c>
    </row>
    <row r="16330" spans="1:2" x14ac:dyDescent="0.25">
      <c r="A16330">
        <v>31908</v>
      </c>
      <c r="B16330">
        <v>0</v>
      </c>
    </row>
    <row r="16331" spans="1:2" x14ac:dyDescent="0.25">
      <c r="A16331">
        <v>31909</v>
      </c>
      <c r="B16331">
        <v>0</v>
      </c>
    </row>
    <row r="16332" spans="1:2" x14ac:dyDescent="0.25">
      <c r="A16332">
        <v>31910</v>
      </c>
      <c r="B16332">
        <v>0</v>
      </c>
    </row>
    <row r="16333" spans="1:2" x14ac:dyDescent="0.25">
      <c r="A16333">
        <v>31911</v>
      </c>
      <c r="B16333">
        <v>0</v>
      </c>
    </row>
    <row r="16334" spans="1:2" x14ac:dyDescent="0.25">
      <c r="A16334">
        <v>31912</v>
      </c>
      <c r="B16334">
        <v>0</v>
      </c>
    </row>
    <row r="16335" spans="1:2" x14ac:dyDescent="0.25">
      <c r="A16335">
        <v>31913</v>
      </c>
      <c r="B16335">
        <v>0</v>
      </c>
    </row>
    <row r="16336" spans="1:2" x14ac:dyDescent="0.25">
      <c r="A16336">
        <v>31914</v>
      </c>
      <c r="B16336">
        <v>0</v>
      </c>
    </row>
    <row r="16337" spans="1:2" x14ac:dyDescent="0.25">
      <c r="A16337">
        <v>31915</v>
      </c>
      <c r="B16337">
        <v>0</v>
      </c>
    </row>
    <row r="16338" spans="1:2" x14ac:dyDescent="0.25">
      <c r="A16338">
        <v>31916</v>
      </c>
      <c r="B16338">
        <v>0</v>
      </c>
    </row>
    <row r="16339" spans="1:2" x14ac:dyDescent="0.25">
      <c r="A16339">
        <v>31917</v>
      </c>
      <c r="B16339">
        <v>0</v>
      </c>
    </row>
    <row r="16340" spans="1:2" x14ac:dyDescent="0.25">
      <c r="A16340">
        <v>31919</v>
      </c>
      <c r="B16340">
        <v>0</v>
      </c>
    </row>
    <row r="16341" spans="1:2" x14ac:dyDescent="0.25">
      <c r="A16341">
        <v>31920</v>
      </c>
      <c r="B16341">
        <v>0</v>
      </c>
    </row>
    <row r="16342" spans="1:2" x14ac:dyDescent="0.25">
      <c r="A16342">
        <v>31921</v>
      </c>
      <c r="B16342">
        <v>0</v>
      </c>
    </row>
    <row r="16343" spans="1:2" x14ac:dyDescent="0.25">
      <c r="A16343">
        <v>31922</v>
      </c>
      <c r="B16343">
        <v>0</v>
      </c>
    </row>
    <row r="16344" spans="1:2" x14ac:dyDescent="0.25">
      <c r="A16344">
        <v>31923</v>
      </c>
      <c r="B16344">
        <v>0</v>
      </c>
    </row>
    <row r="16345" spans="1:2" x14ac:dyDescent="0.25">
      <c r="A16345">
        <v>31924</v>
      </c>
      <c r="B16345">
        <v>0</v>
      </c>
    </row>
    <row r="16346" spans="1:2" x14ac:dyDescent="0.25">
      <c r="A16346">
        <v>31925</v>
      </c>
      <c r="B16346">
        <v>0</v>
      </c>
    </row>
    <row r="16347" spans="1:2" x14ac:dyDescent="0.25">
      <c r="A16347">
        <v>31926</v>
      </c>
      <c r="B16347">
        <v>0</v>
      </c>
    </row>
    <row r="16348" spans="1:2" x14ac:dyDescent="0.25">
      <c r="A16348">
        <v>31927</v>
      </c>
      <c r="B16348">
        <v>0</v>
      </c>
    </row>
    <row r="16349" spans="1:2" x14ac:dyDescent="0.25">
      <c r="A16349">
        <v>31931</v>
      </c>
      <c r="B16349">
        <v>0</v>
      </c>
    </row>
    <row r="16350" spans="1:2" x14ac:dyDescent="0.25">
      <c r="A16350">
        <v>31933</v>
      </c>
      <c r="B16350">
        <v>0</v>
      </c>
    </row>
    <row r="16351" spans="1:2" x14ac:dyDescent="0.25">
      <c r="A16351">
        <v>31934</v>
      </c>
      <c r="B16351">
        <v>0</v>
      </c>
    </row>
    <row r="16352" spans="1:2" x14ac:dyDescent="0.25">
      <c r="A16352">
        <v>31936</v>
      </c>
      <c r="B16352">
        <v>0</v>
      </c>
    </row>
    <row r="16353" spans="1:2" x14ac:dyDescent="0.25">
      <c r="A16353">
        <v>31937</v>
      </c>
      <c r="B16353">
        <v>0</v>
      </c>
    </row>
    <row r="16354" spans="1:2" x14ac:dyDescent="0.25">
      <c r="A16354">
        <v>31943</v>
      </c>
      <c r="B16354">
        <v>0</v>
      </c>
    </row>
    <row r="16355" spans="1:2" x14ac:dyDescent="0.25">
      <c r="A16355">
        <v>31946</v>
      </c>
      <c r="B16355">
        <v>0</v>
      </c>
    </row>
    <row r="16356" spans="1:2" x14ac:dyDescent="0.25">
      <c r="A16356">
        <v>31947</v>
      </c>
      <c r="B16356">
        <v>0</v>
      </c>
    </row>
    <row r="16357" spans="1:2" x14ac:dyDescent="0.25">
      <c r="A16357">
        <v>31948</v>
      </c>
      <c r="B16357">
        <v>0</v>
      </c>
    </row>
    <row r="16358" spans="1:2" x14ac:dyDescent="0.25">
      <c r="A16358">
        <v>31949</v>
      </c>
      <c r="B16358">
        <v>0</v>
      </c>
    </row>
    <row r="16359" spans="1:2" x14ac:dyDescent="0.25">
      <c r="A16359">
        <v>31950</v>
      </c>
      <c r="B16359">
        <v>0</v>
      </c>
    </row>
    <row r="16360" spans="1:2" x14ac:dyDescent="0.25">
      <c r="A16360">
        <v>31951</v>
      </c>
      <c r="B16360">
        <v>0</v>
      </c>
    </row>
    <row r="16361" spans="1:2" x14ac:dyDescent="0.25">
      <c r="A16361">
        <v>31962</v>
      </c>
      <c r="B16361">
        <v>0</v>
      </c>
    </row>
    <row r="16362" spans="1:2" x14ac:dyDescent="0.25">
      <c r="A16362">
        <v>31964</v>
      </c>
      <c r="B16362">
        <v>0</v>
      </c>
    </row>
    <row r="16363" spans="1:2" x14ac:dyDescent="0.25">
      <c r="A16363">
        <v>31965</v>
      </c>
      <c r="B16363">
        <v>0</v>
      </c>
    </row>
    <row r="16364" spans="1:2" x14ac:dyDescent="0.25">
      <c r="A16364">
        <v>31966</v>
      </c>
      <c r="B16364">
        <v>0</v>
      </c>
    </row>
    <row r="16365" spans="1:2" x14ac:dyDescent="0.25">
      <c r="A16365">
        <v>31967</v>
      </c>
      <c r="B16365">
        <v>0</v>
      </c>
    </row>
    <row r="16366" spans="1:2" x14ac:dyDescent="0.25">
      <c r="A16366">
        <v>31969</v>
      </c>
      <c r="B16366">
        <v>0</v>
      </c>
    </row>
    <row r="16367" spans="1:2" x14ac:dyDescent="0.25">
      <c r="A16367">
        <v>31971</v>
      </c>
      <c r="B16367">
        <v>0</v>
      </c>
    </row>
    <row r="16368" spans="1:2" x14ac:dyDescent="0.25">
      <c r="A16368">
        <v>31972</v>
      </c>
      <c r="B16368">
        <v>0</v>
      </c>
    </row>
    <row r="16369" spans="1:2" x14ac:dyDescent="0.25">
      <c r="A16369">
        <v>31973</v>
      </c>
      <c r="B16369">
        <v>0</v>
      </c>
    </row>
    <row r="16370" spans="1:2" x14ac:dyDescent="0.25">
      <c r="A16370">
        <v>31982</v>
      </c>
      <c r="B16370">
        <v>0</v>
      </c>
    </row>
    <row r="16371" spans="1:2" x14ac:dyDescent="0.25">
      <c r="A16371">
        <v>31989</v>
      </c>
      <c r="B16371">
        <v>0</v>
      </c>
    </row>
    <row r="16372" spans="1:2" x14ac:dyDescent="0.25">
      <c r="A16372">
        <v>31993</v>
      </c>
      <c r="B16372">
        <v>0</v>
      </c>
    </row>
    <row r="16373" spans="1:2" x14ac:dyDescent="0.25">
      <c r="A16373">
        <v>31994</v>
      </c>
      <c r="B16373">
        <v>0</v>
      </c>
    </row>
    <row r="16374" spans="1:2" x14ac:dyDescent="0.25">
      <c r="A16374">
        <v>31996</v>
      </c>
      <c r="B16374">
        <v>0</v>
      </c>
    </row>
    <row r="16375" spans="1:2" x14ac:dyDescent="0.25">
      <c r="A16375">
        <v>31998</v>
      </c>
      <c r="B16375">
        <v>0</v>
      </c>
    </row>
    <row r="16376" spans="1:2" x14ac:dyDescent="0.25">
      <c r="A16376">
        <v>31999</v>
      </c>
      <c r="B16376">
        <v>0</v>
      </c>
    </row>
    <row r="16377" spans="1:2" x14ac:dyDescent="0.25">
      <c r="A16377">
        <v>32000</v>
      </c>
      <c r="B16377">
        <v>0</v>
      </c>
    </row>
    <row r="16378" spans="1:2" x14ac:dyDescent="0.25">
      <c r="A16378">
        <v>32001</v>
      </c>
      <c r="B16378">
        <v>0</v>
      </c>
    </row>
    <row r="16379" spans="1:2" x14ac:dyDescent="0.25">
      <c r="A16379">
        <v>32002</v>
      </c>
      <c r="B16379">
        <v>0</v>
      </c>
    </row>
    <row r="16380" spans="1:2" x14ac:dyDescent="0.25">
      <c r="A16380">
        <v>32003</v>
      </c>
      <c r="B16380">
        <v>0</v>
      </c>
    </row>
    <row r="16381" spans="1:2" x14ac:dyDescent="0.25">
      <c r="A16381">
        <v>32004</v>
      </c>
      <c r="B16381">
        <v>0</v>
      </c>
    </row>
    <row r="16382" spans="1:2" x14ac:dyDescent="0.25">
      <c r="A16382">
        <v>32005</v>
      </c>
      <c r="B16382">
        <v>0</v>
      </c>
    </row>
    <row r="16383" spans="1:2" x14ac:dyDescent="0.25">
      <c r="A16383">
        <v>32006</v>
      </c>
      <c r="B16383">
        <v>0</v>
      </c>
    </row>
    <row r="16384" spans="1:2" x14ac:dyDescent="0.25">
      <c r="A16384">
        <v>32012</v>
      </c>
      <c r="B16384">
        <v>0</v>
      </c>
    </row>
    <row r="16385" spans="1:2" x14ac:dyDescent="0.25">
      <c r="A16385">
        <v>32013</v>
      </c>
      <c r="B16385">
        <v>0</v>
      </c>
    </row>
    <row r="16386" spans="1:2" x14ac:dyDescent="0.25">
      <c r="A16386">
        <v>32014</v>
      </c>
      <c r="B16386">
        <v>0</v>
      </c>
    </row>
    <row r="16387" spans="1:2" x14ac:dyDescent="0.25">
      <c r="A16387">
        <v>32015</v>
      </c>
      <c r="B16387">
        <v>0</v>
      </c>
    </row>
    <row r="16388" spans="1:2" x14ac:dyDescent="0.25">
      <c r="A16388">
        <v>32016</v>
      </c>
      <c r="B16388">
        <v>0</v>
      </c>
    </row>
    <row r="16389" spans="1:2" x14ac:dyDescent="0.25">
      <c r="A16389">
        <v>32017</v>
      </c>
      <c r="B16389">
        <v>0</v>
      </c>
    </row>
    <row r="16390" spans="1:2" x14ac:dyDescent="0.25">
      <c r="A16390">
        <v>32019</v>
      </c>
      <c r="B16390">
        <v>0</v>
      </c>
    </row>
    <row r="16391" spans="1:2" x14ac:dyDescent="0.25">
      <c r="A16391">
        <v>32020</v>
      </c>
      <c r="B16391">
        <v>0</v>
      </c>
    </row>
    <row r="16392" spans="1:2" x14ac:dyDescent="0.25">
      <c r="A16392">
        <v>32023</v>
      </c>
      <c r="B16392">
        <v>0</v>
      </c>
    </row>
    <row r="16393" spans="1:2" x14ac:dyDescent="0.25">
      <c r="A16393">
        <v>32026</v>
      </c>
      <c r="B16393">
        <v>0</v>
      </c>
    </row>
    <row r="16394" spans="1:2" x14ac:dyDescent="0.25">
      <c r="A16394">
        <v>32027</v>
      </c>
      <c r="B16394">
        <v>0</v>
      </c>
    </row>
    <row r="16395" spans="1:2" x14ac:dyDescent="0.25">
      <c r="A16395">
        <v>32034</v>
      </c>
      <c r="B16395">
        <v>0</v>
      </c>
    </row>
    <row r="16396" spans="1:2" x14ac:dyDescent="0.25">
      <c r="A16396">
        <v>32036</v>
      </c>
      <c r="B16396">
        <v>0</v>
      </c>
    </row>
    <row r="16397" spans="1:2" x14ac:dyDescent="0.25">
      <c r="A16397">
        <v>32037</v>
      </c>
      <c r="B16397">
        <v>0</v>
      </c>
    </row>
    <row r="16398" spans="1:2" x14ac:dyDescent="0.25">
      <c r="A16398">
        <v>32038</v>
      </c>
      <c r="B16398">
        <v>0</v>
      </c>
    </row>
    <row r="16399" spans="1:2" x14ac:dyDescent="0.25">
      <c r="A16399">
        <v>32039</v>
      </c>
      <c r="B16399">
        <v>0</v>
      </c>
    </row>
    <row r="16400" spans="1:2" x14ac:dyDescent="0.25">
      <c r="A16400">
        <v>32041</v>
      </c>
      <c r="B16400">
        <v>0</v>
      </c>
    </row>
    <row r="16401" spans="1:2" x14ac:dyDescent="0.25">
      <c r="A16401">
        <v>32043</v>
      </c>
      <c r="B16401">
        <v>0</v>
      </c>
    </row>
    <row r="16402" spans="1:2" x14ac:dyDescent="0.25">
      <c r="A16402">
        <v>32045</v>
      </c>
      <c r="B16402">
        <v>0</v>
      </c>
    </row>
    <row r="16403" spans="1:2" x14ac:dyDescent="0.25">
      <c r="A16403">
        <v>32047</v>
      </c>
      <c r="B16403">
        <v>0</v>
      </c>
    </row>
    <row r="16404" spans="1:2" x14ac:dyDescent="0.25">
      <c r="A16404">
        <v>32055</v>
      </c>
      <c r="B16404">
        <v>0</v>
      </c>
    </row>
    <row r="16405" spans="1:2" x14ac:dyDescent="0.25">
      <c r="A16405">
        <v>32056</v>
      </c>
      <c r="B16405">
        <v>0</v>
      </c>
    </row>
    <row r="16406" spans="1:2" x14ac:dyDescent="0.25">
      <c r="A16406">
        <v>32057</v>
      </c>
      <c r="B16406">
        <v>0</v>
      </c>
    </row>
    <row r="16407" spans="1:2" x14ac:dyDescent="0.25">
      <c r="A16407">
        <v>32058</v>
      </c>
      <c r="B16407">
        <v>0</v>
      </c>
    </row>
    <row r="16408" spans="1:2" x14ac:dyDescent="0.25">
      <c r="A16408">
        <v>32059</v>
      </c>
      <c r="B16408">
        <v>0</v>
      </c>
    </row>
    <row r="16409" spans="1:2" x14ac:dyDescent="0.25">
      <c r="A16409">
        <v>32060</v>
      </c>
      <c r="B16409">
        <v>0</v>
      </c>
    </row>
    <row r="16410" spans="1:2" x14ac:dyDescent="0.25">
      <c r="A16410">
        <v>32061</v>
      </c>
      <c r="B16410">
        <v>0</v>
      </c>
    </row>
    <row r="16411" spans="1:2" x14ac:dyDescent="0.25">
      <c r="A16411">
        <v>32062</v>
      </c>
      <c r="B16411">
        <v>0</v>
      </c>
    </row>
    <row r="16412" spans="1:2" x14ac:dyDescent="0.25">
      <c r="A16412">
        <v>32067</v>
      </c>
      <c r="B16412">
        <v>0</v>
      </c>
    </row>
    <row r="16413" spans="1:2" x14ac:dyDescent="0.25">
      <c r="A16413">
        <v>32069</v>
      </c>
      <c r="B16413">
        <v>0</v>
      </c>
    </row>
    <row r="16414" spans="1:2" x14ac:dyDescent="0.25">
      <c r="A16414">
        <v>32071</v>
      </c>
      <c r="B16414">
        <v>0</v>
      </c>
    </row>
    <row r="16415" spans="1:2" x14ac:dyDescent="0.25">
      <c r="A16415">
        <v>32072</v>
      </c>
      <c r="B16415">
        <v>0</v>
      </c>
    </row>
    <row r="16416" spans="1:2" x14ac:dyDescent="0.25">
      <c r="A16416">
        <v>32073</v>
      </c>
      <c r="B16416">
        <v>0</v>
      </c>
    </row>
    <row r="16417" spans="1:2" x14ac:dyDescent="0.25">
      <c r="A16417">
        <v>32074</v>
      </c>
      <c r="B16417">
        <v>0</v>
      </c>
    </row>
    <row r="16418" spans="1:2" x14ac:dyDescent="0.25">
      <c r="A16418">
        <v>32075</v>
      </c>
      <c r="B16418">
        <v>0</v>
      </c>
    </row>
    <row r="16419" spans="1:2" x14ac:dyDescent="0.25">
      <c r="A16419">
        <v>32076</v>
      </c>
      <c r="B16419">
        <v>0</v>
      </c>
    </row>
    <row r="16420" spans="1:2" x14ac:dyDescent="0.25">
      <c r="A16420">
        <v>32077</v>
      </c>
      <c r="B16420">
        <v>0</v>
      </c>
    </row>
    <row r="16421" spans="1:2" x14ac:dyDescent="0.25">
      <c r="A16421">
        <v>32078</v>
      </c>
      <c r="B16421">
        <v>0</v>
      </c>
    </row>
    <row r="16422" spans="1:2" x14ac:dyDescent="0.25">
      <c r="A16422">
        <v>32079</v>
      </c>
      <c r="B16422">
        <v>0</v>
      </c>
    </row>
    <row r="16423" spans="1:2" x14ac:dyDescent="0.25">
      <c r="A16423">
        <v>32080</v>
      </c>
      <c r="B16423">
        <v>0</v>
      </c>
    </row>
    <row r="16424" spans="1:2" x14ac:dyDescent="0.25">
      <c r="A16424">
        <v>32082</v>
      </c>
      <c r="B16424">
        <v>0</v>
      </c>
    </row>
    <row r="16425" spans="1:2" x14ac:dyDescent="0.25">
      <c r="A16425">
        <v>32083</v>
      </c>
      <c r="B16425">
        <v>0</v>
      </c>
    </row>
    <row r="16426" spans="1:2" x14ac:dyDescent="0.25">
      <c r="A16426">
        <v>32084</v>
      </c>
      <c r="B16426">
        <v>0</v>
      </c>
    </row>
    <row r="16427" spans="1:2" x14ac:dyDescent="0.25">
      <c r="A16427">
        <v>32085</v>
      </c>
      <c r="B16427">
        <v>0</v>
      </c>
    </row>
    <row r="16428" spans="1:2" x14ac:dyDescent="0.25">
      <c r="A16428">
        <v>32086</v>
      </c>
      <c r="B16428">
        <v>0</v>
      </c>
    </row>
    <row r="16429" spans="1:2" x14ac:dyDescent="0.25">
      <c r="A16429">
        <v>32088</v>
      </c>
      <c r="B16429">
        <v>0</v>
      </c>
    </row>
    <row r="16430" spans="1:2" x14ac:dyDescent="0.25">
      <c r="A16430">
        <v>32089</v>
      </c>
      <c r="B16430">
        <v>0</v>
      </c>
    </row>
    <row r="16431" spans="1:2" x14ac:dyDescent="0.25">
      <c r="A16431">
        <v>32090</v>
      </c>
      <c r="B16431">
        <v>0</v>
      </c>
    </row>
    <row r="16432" spans="1:2" x14ac:dyDescent="0.25">
      <c r="A16432">
        <v>32091</v>
      </c>
      <c r="B16432">
        <v>0</v>
      </c>
    </row>
    <row r="16433" spans="1:2" x14ac:dyDescent="0.25">
      <c r="A16433">
        <v>32092</v>
      </c>
      <c r="B16433">
        <v>0</v>
      </c>
    </row>
    <row r="16434" spans="1:2" x14ac:dyDescent="0.25">
      <c r="A16434">
        <v>32093</v>
      </c>
      <c r="B16434">
        <v>0</v>
      </c>
    </row>
    <row r="16435" spans="1:2" x14ac:dyDescent="0.25">
      <c r="A16435">
        <v>32094</v>
      </c>
      <c r="B16435">
        <v>0</v>
      </c>
    </row>
    <row r="16436" spans="1:2" x14ac:dyDescent="0.25">
      <c r="A16436">
        <v>32095</v>
      </c>
      <c r="B16436">
        <v>0</v>
      </c>
    </row>
    <row r="16437" spans="1:2" x14ac:dyDescent="0.25">
      <c r="A16437">
        <v>32098</v>
      </c>
      <c r="B16437">
        <v>0</v>
      </c>
    </row>
    <row r="16438" spans="1:2" x14ac:dyDescent="0.25">
      <c r="A16438">
        <v>32099</v>
      </c>
      <c r="B16438">
        <v>0</v>
      </c>
    </row>
    <row r="16439" spans="1:2" x14ac:dyDescent="0.25">
      <c r="A16439">
        <v>32100</v>
      </c>
      <c r="B16439">
        <v>0</v>
      </c>
    </row>
    <row r="16440" spans="1:2" x14ac:dyDescent="0.25">
      <c r="A16440">
        <v>32101</v>
      </c>
      <c r="B16440">
        <v>0</v>
      </c>
    </row>
    <row r="16441" spans="1:2" x14ac:dyDescent="0.25">
      <c r="A16441">
        <v>32102</v>
      </c>
      <c r="B16441">
        <v>0</v>
      </c>
    </row>
    <row r="16442" spans="1:2" x14ac:dyDescent="0.25">
      <c r="A16442">
        <v>32104</v>
      </c>
      <c r="B16442">
        <v>0</v>
      </c>
    </row>
    <row r="16443" spans="1:2" x14ac:dyDescent="0.25">
      <c r="A16443">
        <v>32115</v>
      </c>
      <c r="B16443">
        <v>0</v>
      </c>
    </row>
    <row r="16444" spans="1:2" x14ac:dyDescent="0.25">
      <c r="A16444">
        <v>32116</v>
      </c>
      <c r="B16444">
        <v>0</v>
      </c>
    </row>
    <row r="16445" spans="1:2" x14ac:dyDescent="0.25">
      <c r="A16445">
        <v>32117</v>
      </c>
      <c r="B16445">
        <v>0</v>
      </c>
    </row>
    <row r="16446" spans="1:2" x14ac:dyDescent="0.25">
      <c r="A16446">
        <v>32118</v>
      </c>
      <c r="B16446">
        <v>0</v>
      </c>
    </row>
    <row r="16447" spans="1:2" x14ac:dyDescent="0.25">
      <c r="A16447">
        <v>32119</v>
      </c>
      <c r="B16447">
        <v>0</v>
      </c>
    </row>
    <row r="16448" spans="1:2" x14ac:dyDescent="0.25">
      <c r="A16448">
        <v>32120</v>
      </c>
      <c r="B16448">
        <v>0</v>
      </c>
    </row>
    <row r="16449" spans="1:2" x14ac:dyDescent="0.25">
      <c r="A16449">
        <v>32121</v>
      </c>
      <c r="B16449">
        <v>0</v>
      </c>
    </row>
    <row r="16450" spans="1:2" x14ac:dyDescent="0.25">
      <c r="A16450">
        <v>32122</v>
      </c>
      <c r="B16450">
        <v>0</v>
      </c>
    </row>
    <row r="16451" spans="1:2" x14ac:dyDescent="0.25">
      <c r="A16451">
        <v>32124</v>
      </c>
      <c r="B16451">
        <v>0</v>
      </c>
    </row>
    <row r="16452" spans="1:2" x14ac:dyDescent="0.25">
      <c r="A16452">
        <v>32126</v>
      </c>
      <c r="B16452">
        <v>0</v>
      </c>
    </row>
    <row r="16453" spans="1:2" x14ac:dyDescent="0.25">
      <c r="A16453">
        <v>32128</v>
      </c>
      <c r="B16453">
        <v>0</v>
      </c>
    </row>
    <row r="16454" spans="1:2" x14ac:dyDescent="0.25">
      <c r="A16454">
        <v>32130</v>
      </c>
      <c r="B16454">
        <v>0</v>
      </c>
    </row>
    <row r="16455" spans="1:2" x14ac:dyDescent="0.25">
      <c r="A16455">
        <v>32131</v>
      </c>
      <c r="B16455">
        <v>0</v>
      </c>
    </row>
    <row r="16456" spans="1:2" x14ac:dyDescent="0.25">
      <c r="A16456">
        <v>32133</v>
      </c>
      <c r="B16456">
        <v>0</v>
      </c>
    </row>
    <row r="16457" spans="1:2" x14ac:dyDescent="0.25">
      <c r="A16457">
        <v>32134</v>
      </c>
      <c r="B16457">
        <v>0</v>
      </c>
    </row>
    <row r="16458" spans="1:2" x14ac:dyDescent="0.25">
      <c r="A16458">
        <v>32135</v>
      </c>
      <c r="B16458">
        <v>0</v>
      </c>
    </row>
    <row r="16459" spans="1:2" x14ac:dyDescent="0.25">
      <c r="A16459">
        <v>32136</v>
      </c>
      <c r="B16459">
        <v>0</v>
      </c>
    </row>
    <row r="16460" spans="1:2" x14ac:dyDescent="0.25">
      <c r="A16460">
        <v>32137</v>
      </c>
      <c r="B16460">
        <v>0</v>
      </c>
    </row>
    <row r="16461" spans="1:2" x14ac:dyDescent="0.25">
      <c r="A16461">
        <v>32139</v>
      </c>
      <c r="B16461">
        <v>0</v>
      </c>
    </row>
    <row r="16462" spans="1:2" x14ac:dyDescent="0.25">
      <c r="A16462">
        <v>32141</v>
      </c>
      <c r="B16462">
        <v>0</v>
      </c>
    </row>
    <row r="16463" spans="1:2" x14ac:dyDescent="0.25">
      <c r="A16463">
        <v>32143</v>
      </c>
      <c r="B16463">
        <v>0</v>
      </c>
    </row>
    <row r="16464" spans="1:2" x14ac:dyDescent="0.25">
      <c r="A16464">
        <v>32145</v>
      </c>
      <c r="B16464">
        <v>0</v>
      </c>
    </row>
    <row r="16465" spans="1:2" x14ac:dyDescent="0.25">
      <c r="A16465">
        <v>32147</v>
      </c>
      <c r="B16465">
        <v>0</v>
      </c>
    </row>
    <row r="16466" spans="1:2" x14ac:dyDescent="0.25">
      <c r="A16466">
        <v>32149</v>
      </c>
      <c r="B16466">
        <v>0</v>
      </c>
    </row>
    <row r="16467" spans="1:2" x14ac:dyDescent="0.25">
      <c r="A16467">
        <v>32150</v>
      </c>
      <c r="B16467">
        <v>0</v>
      </c>
    </row>
    <row r="16468" spans="1:2" x14ac:dyDescent="0.25">
      <c r="A16468">
        <v>32152</v>
      </c>
      <c r="B16468">
        <v>0</v>
      </c>
    </row>
    <row r="16469" spans="1:2" x14ac:dyDescent="0.25">
      <c r="A16469">
        <v>32154</v>
      </c>
      <c r="B16469">
        <v>0</v>
      </c>
    </row>
    <row r="16470" spans="1:2" x14ac:dyDescent="0.25">
      <c r="A16470">
        <v>32155</v>
      </c>
      <c r="B16470">
        <v>0</v>
      </c>
    </row>
    <row r="16471" spans="1:2" x14ac:dyDescent="0.25">
      <c r="A16471">
        <v>32157</v>
      </c>
      <c r="B16471">
        <v>0</v>
      </c>
    </row>
    <row r="16472" spans="1:2" x14ac:dyDescent="0.25">
      <c r="A16472">
        <v>32158</v>
      </c>
      <c r="B16472">
        <v>0</v>
      </c>
    </row>
    <row r="16473" spans="1:2" x14ac:dyDescent="0.25">
      <c r="A16473">
        <v>32159</v>
      </c>
      <c r="B16473">
        <v>0</v>
      </c>
    </row>
    <row r="16474" spans="1:2" x14ac:dyDescent="0.25">
      <c r="A16474">
        <v>32160</v>
      </c>
      <c r="B16474">
        <v>0</v>
      </c>
    </row>
    <row r="16475" spans="1:2" x14ac:dyDescent="0.25">
      <c r="A16475">
        <v>32162</v>
      </c>
      <c r="B16475">
        <v>0</v>
      </c>
    </row>
    <row r="16476" spans="1:2" x14ac:dyDescent="0.25">
      <c r="A16476">
        <v>32164</v>
      </c>
      <c r="B16476">
        <v>0</v>
      </c>
    </row>
    <row r="16477" spans="1:2" x14ac:dyDescent="0.25">
      <c r="A16477">
        <v>32166</v>
      </c>
      <c r="B16477">
        <v>0</v>
      </c>
    </row>
    <row r="16478" spans="1:2" x14ac:dyDescent="0.25">
      <c r="A16478">
        <v>32169</v>
      </c>
      <c r="B16478">
        <v>0</v>
      </c>
    </row>
    <row r="16479" spans="1:2" x14ac:dyDescent="0.25">
      <c r="A16479">
        <v>32173</v>
      </c>
      <c r="B16479">
        <v>0</v>
      </c>
    </row>
    <row r="16480" spans="1:2" x14ac:dyDescent="0.25">
      <c r="A16480">
        <v>32175</v>
      </c>
      <c r="B16480">
        <v>0</v>
      </c>
    </row>
    <row r="16481" spans="1:2" x14ac:dyDescent="0.25">
      <c r="A16481">
        <v>32178</v>
      </c>
      <c r="B16481">
        <v>0</v>
      </c>
    </row>
    <row r="16482" spans="1:2" x14ac:dyDescent="0.25">
      <c r="A16482">
        <v>32218</v>
      </c>
      <c r="B16482">
        <v>0</v>
      </c>
    </row>
    <row r="16483" spans="1:2" x14ac:dyDescent="0.25">
      <c r="A16483">
        <v>32220</v>
      </c>
      <c r="B16483">
        <v>0</v>
      </c>
    </row>
    <row r="16484" spans="1:2" x14ac:dyDescent="0.25">
      <c r="A16484">
        <v>32221</v>
      </c>
      <c r="B16484">
        <v>0</v>
      </c>
    </row>
    <row r="16485" spans="1:2" x14ac:dyDescent="0.25">
      <c r="A16485">
        <v>32223</v>
      </c>
      <c r="B16485">
        <v>0</v>
      </c>
    </row>
    <row r="16486" spans="1:2" x14ac:dyDescent="0.25">
      <c r="A16486">
        <v>32225</v>
      </c>
      <c r="B16486">
        <v>0</v>
      </c>
    </row>
    <row r="16487" spans="1:2" x14ac:dyDescent="0.25">
      <c r="A16487">
        <v>32227</v>
      </c>
      <c r="B16487">
        <v>0</v>
      </c>
    </row>
    <row r="16488" spans="1:2" x14ac:dyDescent="0.25">
      <c r="A16488">
        <v>32229</v>
      </c>
      <c r="B16488">
        <v>0</v>
      </c>
    </row>
    <row r="16489" spans="1:2" x14ac:dyDescent="0.25">
      <c r="A16489">
        <v>32230</v>
      </c>
      <c r="B16489">
        <v>0</v>
      </c>
    </row>
    <row r="16490" spans="1:2" x14ac:dyDescent="0.25">
      <c r="A16490">
        <v>32231</v>
      </c>
      <c r="B16490">
        <v>0</v>
      </c>
    </row>
    <row r="16491" spans="1:2" x14ac:dyDescent="0.25">
      <c r="A16491">
        <v>32232</v>
      </c>
      <c r="B16491">
        <v>0</v>
      </c>
    </row>
    <row r="16492" spans="1:2" x14ac:dyDescent="0.25">
      <c r="A16492">
        <v>32233</v>
      </c>
      <c r="B16492">
        <v>0</v>
      </c>
    </row>
    <row r="16493" spans="1:2" x14ac:dyDescent="0.25">
      <c r="A16493">
        <v>32234</v>
      </c>
      <c r="B16493">
        <v>0</v>
      </c>
    </row>
    <row r="16494" spans="1:2" x14ac:dyDescent="0.25">
      <c r="A16494">
        <v>32235</v>
      </c>
      <c r="B16494">
        <v>0</v>
      </c>
    </row>
    <row r="16495" spans="1:2" x14ac:dyDescent="0.25">
      <c r="A16495">
        <v>32237</v>
      </c>
      <c r="B16495">
        <v>0</v>
      </c>
    </row>
    <row r="16496" spans="1:2" x14ac:dyDescent="0.25">
      <c r="A16496">
        <v>32240</v>
      </c>
      <c r="B16496">
        <v>0</v>
      </c>
    </row>
    <row r="16497" spans="1:2" x14ac:dyDescent="0.25">
      <c r="A16497">
        <v>32241</v>
      </c>
      <c r="B16497">
        <v>0</v>
      </c>
    </row>
    <row r="16498" spans="1:2" x14ac:dyDescent="0.25">
      <c r="A16498">
        <v>32242</v>
      </c>
      <c r="B16498">
        <v>0</v>
      </c>
    </row>
    <row r="16499" spans="1:2" x14ac:dyDescent="0.25">
      <c r="A16499">
        <v>32243</v>
      </c>
      <c r="B16499">
        <v>0</v>
      </c>
    </row>
    <row r="16500" spans="1:2" x14ac:dyDescent="0.25">
      <c r="A16500">
        <v>32245</v>
      </c>
      <c r="B16500">
        <v>0</v>
      </c>
    </row>
    <row r="16501" spans="1:2" x14ac:dyDescent="0.25">
      <c r="A16501">
        <v>32247</v>
      </c>
      <c r="B16501">
        <v>0</v>
      </c>
    </row>
    <row r="16502" spans="1:2" x14ac:dyDescent="0.25">
      <c r="A16502">
        <v>32249</v>
      </c>
      <c r="B16502">
        <v>0</v>
      </c>
    </row>
    <row r="16503" spans="1:2" x14ac:dyDescent="0.25">
      <c r="A16503">
        <v>32251</v>
      </c>
      <c r="B16503">
        <v>0</v>
      </c>
    </row>
    <row r="16504" spans="1:2" x14ac:dyDescent="0.25">
      <c r="A16504">
        <v>32253</v>
      </c>
      <c r="B16504">
        <v>0</v>
      </c>
    </row>
    <row r="16505" spans="1:2" x14ac:dyDescent="0.25">
      <c r="A16505">
        <v>32255</v>
      </c>
      <c r="B16505">
        <v>0</v>
      </c>
    </row>
    <row r="16506" spans="1:2" x14ac:dyDescent="0.25">
      <c r="A16506">
        <v>32256</v>
      </c>
      <c r="B16506">
        <v>0</v>
      </c>
    </row>
    <row r="16507" spans="1:2" x14ac:dyDescent="0.25">
      <c r="A16507">
        <v>32257</v>
      </c>
      <c r="B16507">
        <v>0</v>
      </c>
    </row>
    <row r="16508" spans="1:2" x14ac:dyDescent="0.25">
      <c r="A16508">
        <v>32260</v>
      </c>
      <c r="B16508">
        <v>0</v>
      </c>
    </row>
    <row r="16509" spans="1:2" x14ac:dyDescent="0.25">
      <c r="A16509">
        <v>32262</v>
      </c>
      <c r="B16509">
        <v>0</v>
      </c>
    </row>
    <row r="16510" spans="1:2" x14ac:dyDescent="0.25">
      <c r="A16510">
        <v>32263</v>
      </c>
      <c r="B16510">
        <v>0</v>
      </c>
    </row>
    <row r="16511" spans="1:2" x14ac:dyDescent="0.25">
      <c r="A16511">
        <v>32271</v>
      </c>
      <c r="B16511">
        <v>0</v>
      </c>
    </row>
    <row r="16512" spans="1:2" x14ac:dyDescent="0.25">
      <c r="A16512">
        <v>32273</v>
      </c>
      <c r="B16512">
        <v>0</v>
      </c>
    </row>
    <row r="16513" spans="1:2" x14ac:dyDescent="0.25">
      <c r="A16513">
        <v>32274</v>
      </c>
      <c r="B16513">
        <v>0</v>
      </c>
    </row>
    <row r="16514" spans="1:2" x14ac:dyDescent="0.25">
      <c r="A16514">
        <v>32275</v>
      </c>
      <c r="B16514">
        <v>0</v>
      </c>
    </row>
    <row r="16515" spans="1:2" x14ac:dyDescent="0.25">
      <c r="A16515">
        <v>32277</v>
      </c>
      <c r="B16515">
        <v>0</v>
      </c>
    </row>
    <row r="16516" spans="1:2" x14ac:dyDescent="0.25">
      <c r="A16516">
        <v>32279</v>
      </c>
      <c r="B16516">
        <v>0</v>
      </c>
    </row>
    <row r="16517" spans="1:2" x14ac:dyDescent="0.25">
      <c r="A16517">
        <v>32280</v>
      </c>
      <c r="B16517">
        <v>0</v>
      </c>
    </row>
    <row r="16518" spans="1:2" x14ac:dyDescent="0.25">
      <c r="A16518">
        <v>32283</v>
      </c>
      <c r="B16518">
        <v>0</v>
      </c>
    </row>
    <row r="16519" spans="1:2" x14ac:dyDescent="0.25">
      <c r="A16519">
        <v>32285</v>
      </c>
      <c r="B16519">
        <v>0</v>
      </c>
    </row>
    <row r="16520" spans="1:2" x14ac:dyDescent="0.25">
      <c r="A16520">
        <v>32287</v>
      </c>
      <c r="B16520">
        <v>0</v>
      </c>
    </row>
    <row r="16521" spans="1:2" x14ac:dyDescent="0.25">
      <c r="A16521">
        <v>32289</v>
      </c>
      <c r="B16521">
        <v>0</v>
      </c>
    </row>
    <row r="16522" spans="1:2" x14ac:dyDescent="0.25">
      <c r="A16522">
        <v>32291</v>
      </c>
      <c r="B16522">
        <v>0</v>
      </c>
    </row>
    <row r="16523" spans="1:2" x14ac:dyDescent="0.25">
      <c r="A16523">
        <v>32293</v>
      </c>
      <c r="B16523">
        <v>0</v>
      </c>
    </row>
    <row r="16524" spans="1:2" x14ac:dyDescent="0.25">
      <c r="A16524">
        <v>32295</v>
      </c>
      <c r="B16524">
        <v>0</v>
      </c>
    </row>
    <row r="16525" spans="1:2" x14ac:dyDescent="0.25">
      <c r="A16525">
        <v>32297</v>
      </c>
      <c r="B16525">
        <v>0</v>
      </c>
    </row>
    <row r="16526" spans="1:2" x14ac:dyDescent="0.25">
      <c r="A16526">
        <v>32299</v>
      </c>
      <c r="B16526">
        <v>0</v>
      </c>
    </row>
    <row r="16527" spans="1:2" x14ac:dyDescent="0.25">
      <c r="A16527">
        <v>32301</v>
      </c>
      <c r="B16527">
        <v>0</v>
      </c>
    </row>
    <row r="16528" spans="1:2" x14ac:dyDescent="0.25">
      <c r="A16528">
        <v>32303</v>
      </c>
      <c r="B16528">
        <v>0</v>
      </c>
    </row>
    <row r="16529" spans="1:2" x14ac:dyDescent="0.25">
      <c r="A16529">
        <v>32305</v>
      </c>
      <c r="B16529">
        <v>0</v>
      </c>
    </row>
    <row r="16530" spans="1:2" x14ac:dyDescent="0.25">
      <c r="A16530">
        <v>32307</v>
      </c>
      <c r="B16530">
        <v>0</v>
      </c>
    </row>
    <row r="16531" spans="1:2" x14ac:dyDescent="0.25">
      <c r="A16531">
        <v>32309</v>
      </c>
      <c r="B16531">
        <v>0</v>
      </c>
    </row>
    <row r="16532" spans="1:2" x14ac:dyDescent="0.25">
      <c r="A16532">
        <v>32311</v>
      </c>
      <c r="B16532">
        <v>0</v>
      </c>
    </row>
    <row r="16533" spans="1:2" x14ac:dyDescent="0.25">
      <c r="A16533">
        <v>32312</v>
      </c>
      <c r="B16533">
        <v>0</v>
      </c>
    </row>
    <row r="16534" spans="1:2" x14ac:dyDescent="0.25">
      <c r="A16534">
        <v>32313</v>
      </c>
      <c r="B16534">
        <v>0</v>
      </c>
    </row>
    <row r="16535" spans="1:2" x14ac:dyDescent="0.25">
      <c r="A16535">
        <v>32314</v>
      </c>
      <c r="B16535">
        <v>0</v>
      </c>
    </row>
    <row r="16536" spans="1:2" x14ac:dyDescent="0.25">
      <c r="A16536">
        <v>32315</v>
      </c>
      <c r="B16536">
        <v>0</v>
      </c>
    </row>
    <row r="16537" spans="1:2" x14ac:dyDescent="0.25">
      <c r="A16537">
        <v>32316</v>
      </c>
      <c r="B16537">
        <v>0</v>
      </c>
    </row>
    <row r="16538" spans="1:2" x14ac:dyDescent="0.25">
      <c r="A16538">
        <v>32317</v>
      </c>
      <c r="B16538">
        <v>0</v>
      </c>
    </row>
    <row r="16539" spans="1:2" x14ac:dyDescent="0.25">
      <c r="A16539">
        <v>32319</v>
      </c>
      <c r="B16539">
        <v>0</v>
      </c>
    </row>
    <row r="16540" spans="1:2" x14ac:dyDescent="0.25">
      <c r="A16540">
        <v>32321</v>
      </c>
      <c r="B16540">
        <v>0</v>
      </c>
    </row>
    <row r="16541" spans="1:2" x14ac:dyDescent="0.25">
      <c r="A16541">
        <v>32323</v>
      </c>
      <c r="B16541">
        <v>0</v>
      </c>
    </row>
    <row r="16542" spans="1:2" x14ac:dyDescent="0.25">
      <c r="A16542">
        <v>32326</v>
      </c>
      <c r="B16542">
        <v>0</v>
      </c>
    </row>
    <row r="16543" spans="1:2" x14ac:dyDescent="0.25">
      <c r="A16543">
        <v>32327</v>
      </c>
      <c r="B16543">
        <v>0</v>
      </c>
    </row>
    <row r="16544" spans="1:2" x14ac:dyDescent="0.25">
      <c r="A16544">
        <v>32330</v>
      </c>
      <c r="B16544">
        <v>0</v>
      </c>
    </row>
    <row r="16545" spans="1:2" x14ac:dyDescent="0.25">
      <c r="A16545">
        <v>32332</v>
      </c>
      <c r="B16545">
        <v>0</v>
      </c>
    </row>
    <row r="16546" spans="1:2" x14ac:dyDescent="0.25">
      <c r="A16546">
        <v>32334</v>
      </c>
      <c r="B16546">
        <v>0</v>
      </c>
    </row>
    <row r="16547" spans="1:2" x14ac:dyDescent="0.25">
      <c r="A16547">
        <v>32335</v>
      </c>
      <c r="B16547">
        <v>0</v>
      </c>
    </row>
    <row r="16548" spans="1:2" x14ac:dyDescent="0.25">
      <c r="A16548">
        <v>32336</v>
      </c>
      <c r="B16548">
        <v>0</v>
      </c>
    </row>
    <row r="16549" spans="1:2" x14ac:dyDescent="0.25">
      <c r="A16549">
        <v>32340</v>
      </c>
      <c r="B16549">
        <v>0</v>
      </c>
    </row>
    <row r="16550" spans="1:2" x14ac:dyDescent="0.25">
      <c r="A16550">
        <v>32342</v>
      </c>
      <c r="B16550">
        <v>0</v>
      </c>
    </row>
    <row r="16551" spans="1:2" x14ac:dyDescent="0.25">
      <c r="A16551">
        <v>32345</v>
      </c>
      <c r="B16551">
        <v>0</v>
      </c>
    </row>
    <row r="16552" spans="1:2" x14ac:dyDescent="0.25">
      <c r="A16552">
        <v>32346</v>
      </c>
      <c r="B16552">
        <v>0</v>
      </c>
    </row>
    <row r="16553" spans="1:2" x14ac:dyDescent="0.25">
      <c r="A16553">
        <v>32347</v>
      </c>
      <c r="B16553">
        <v>0</v>
      </c>
    </row>
    <row r="16554" spans="1:2" x14ac:dyDescent="0.25">
      <c r="A16554">
        <v>32349</v>
      </c>
      <c r="B16554">
        <v>0</v>
      </c>
    </row>
    <row r="16555" spans="1:2" x14ac:dyDescent="0.25">
      <c r="A16555">
        <v>32350</v>
      </c>
      <c r="B16555">
        <v>0</v>
      </c>
    </row>
    <row r="16556" spans="1:2" x14ac:dyDescent="0.25">
      <c r="A16556">
        <v>32351</v>
      </c>
      <c r="B16556">
        <v>0</v>
      </c>
    </row>
    <row r="16557" spans="1:2" x14ac:dyDescent="0.25">
      <c r="A16557">
        <v>32354</v>
      </c>
      <c r="B16557">
        <v>0</v>
      </c>
    </row>
    <row r="16558" spans="1:2" x14ac:dyDescent="0.25">
      <c r="A16558">
        <v>32355</v>
      </c>
      <c r="B16558">
        <v>0</v>
      </c>
    </row>
    <row r="16559" spans="1:2" x14ac:dyDescent="0.25">
      <c r="A16559">
        <v>32356</v>
      </c>
      <c r="B16559">
        <v>0</v>
      </c>
    </row>
    <row r="16560" spans="1:2" x14ac:dyDescent="0.25">
      <c r="A16560">
        <v>32358</v>
      </c>
      <c r="B16560">
        <v>0</v>
      </c>
    </row>
    <row r="16561" spans="1:2" x14ac:dyDescent="0.25">
      <c r="A16561">
        <v>32361</v>
      </c>
      <c r="B16561">
        <v>0</v>
      </c>
    </row>
    <row r="16562" spans="1:2" x14ac:dyDescent="0.25">
      <c r="A16562">
        <v>32362</v>
      </c>
      <c r="B16562">
        <v>0</v>
      </c>
    </row>
    <row r="16563" spans="1:2" x14ac:dyDescent="0.25">
      <c r="A16563">
        <v>32364</v>
      </c>
      <c r="B16563">
        <v>0</v>
      </c>
    </row>
    <row r="16564" spans="1:2" x14ac:dyDescent="0.25">
      <c r="A16564">
        <v>32366</v>
      </c>
      <c r="B16564">
        <v>0</v>
      </c>
    </row>
    <row r="16565" spans="1:2" x14ac:dyDescent="0.25">
      <c r="A16565">
        <v>32369</v>
      </c>
      <c r="B16565">
        <v>0</v>
      </c>
    </row>
    <row r="16566" spans="1:2" x14ac:dyDescent="0.25">
      <c r="A16566">
        <v>32372</v>
      </c>
      <c r="B16566">
        <v>0</v>
      </c>
    </row>
    <row r="16567" spans="1:2" x14ac:dyDescent="0.25">
      <c r="A16567">
        <v>32374</v>
      </c>
      <c r="B16567">
        <v>0</v>
      </c>
    </row>
    <row r="16568" spans="1:2" x14ac:dyDescent="0.25">
      <c r="A16568">
        <v>32376</v>
      </c>
      <c r="B16568">
        <v>0</v>
      </c>
    </row>
    <row r="16569" spans="1:2" x14ac:dyDescent="0.25">
      <c r="A16569">
        <v>32378</v>
      </c>
      <c r="B16569">
        <v>0</v>
      </c>
    </row>
    <row r="16570" spans="1:2" x14ac:dyDescent="0.25">
      <c r="A16570">
        <v>32380</v>
      </c>
      <c r="B16570">
        <v>0</v>
      </c>
    </row>
    <row r="16571" spans="1:2" x14ac:dyDescent="0.25">
      <c r="A16571">
        <v>32382</v>
      </c>
      <c r="B16571">
        <v>0</v>
      </c>
    </row>
    <row r="16572" spans="1:2" x14ac:dyDescent="0.25">
      <c r="A16572">
        <v>32384</v>
      </c>
      <c r="B16572">
        <v>0</v>
      </c>
    </row>
    <row r="16573" spans="1:2" x14ac:dyDescent="0.25">
      <c r="A16573">
        <v>32386</v>
      </c>
      <c r="B16573">
        <v>0</v>
      </c>
    </row>
    <row r="16574" spans="1:2" x14ac:dyDescent="0.25">
      <c r="A16574">
        <v>32388</v>
      </c>
      <c r="B16574">
        <v>0</v>
      </c>
    </row>
    <row r="16575" spans="1:2" x14ac:dyDescent="0.25">
      <c r="A16575">
        <v>32390</v>
      </c>
      <c r="B16575">
        <v>0</v>
      </c>
    </row>
    <row r="16576" spans="1:2" x14ac:dyDescent="0.25">
      <c r="A16576">
        <v>32392</v>
      </c>
      <c r="B16576">
        <v>0</v>
      </c>
    </row>
    <row r="16577" spans="1:2" x14ac:dyDescent="0.25">
      <c r="A16577">
        <v>32394</v>
      </c>
      <c r="B16577">
        <v>0</v>
      </c>
    </row>
    <row r="16578" spans="1:2" x14ac:dyDescent="0.25">
      <c r="A16578">
        <v>32396</v>
      </c>
      <c r="B16578">
        <v>0</v>
      </c>
    </row>
    <row r="16579" spans="1:2" x14ac:dyDescent="0.25">
      <c r="A16579">
        <v>32398</v>
      </c>
      <c r="B16579">
        <v>0</v>
      </c>
    </row>
    <row r="16580" spans="1:2" x14ac:dyDescent="0.25">
      <c r="A16580">
        <v>32400</v>
      </c>
      <c r="B16580">
        <v>0</v>
      </c>
    </row>
    <row r="16581" spans="1:2" x14ac:dyDescent="0.25">
      <c r="A16581">
        <v>32402</v>
      </c>
      <c r="B16581">
        <v>0</v>
      </c>
    </row>
    <row r="16582" spans="1:2" x14ac:dyDescent="0.25">
      <c r="A16582">
        <v>32404</v>
      </c>
      <c r="B16582">
        <v>0</v>
      </c>
    </row>
    <row r="16583" spans="1:2" x14ac:dyDescent="0.25">
      <c r="A16583">
        <v>32406</v>
      </c>
      <c r="B16583">
        <v>0</v>
      </c>
    </row>
    <row r="16584" spans="1:2" x14ac:dyDescent="0.25">
      <c r="A16584">
        <v>32408</v>
      </c>
      <c r="B16584">
        <v>0</v>
      </c>
    </row>
    <row r="16585" spans="1:2" x14ac:dyDescent="0.25">
      <c r="A16585">
        <v>32410</v>
      </c>
      <c r="B16585">
        <v>0</v>
      </c>
    </row>
    <row r="16586" spans="1:2" x14ac:dyDescent="0.25">
      <c r="A16586">
        <v>32411</v>
      </c>
      <c r="B16586">
        <v>0</v>
      </c>
    </row>
    <row r="16587" spans="1:2" x14ac:dyDescent="0.25">
      <c r="A16587">
        <v>32412</v>
      </c>
      <c r="B16587">
        <v>0</v>
      </c>
    </row>
    <row r="16588" spans="1:2" x14ac:dyDescent="0.25">
      <c r="A16588">
        <v>32413</v>
      </c>
      <c r="B16588">
        <v>0</v>
      </c>
    </row>
    <row r="16589" spans="1:2" x14ac:dyDescent="0.25">
      <c r="A16589">
        <v>32414</v>
      </c>
      <c r="B16589">
        <v>0</v>
      </c>
    </row>
    <row r="16590" spans="1:2" x14ac:dyDescent="0.25">
      <c r="A16590">
        <v>32415</v>
      </c>
      <c r="B16590">
        <v>0</v>
      </c>
    </row>
    <row r="16591" spans="1:2" x14ac:dyDescent="0.25">
      <c r="A16591">
        <v>32416</v>
      </c>
      <c r="B16591">
        <v>0</v>
      </c>
    </row>
    <row r="16592" spans="1:2" x14ac:dyDescent="0.25">
      <c r="A16592">
        <v>32419</v>
      </c>
      <c r="B16592">
        <v>0</v>
      </c>
    </row>
    <row r="16593" spans="1:2" x14ac:dyDescent="0.25">
      <c r="A16593">
        <v>32421</v>
      </c>
      <c r="B16593">
        <v>0</v>
      </c>
    </row>
    <row r="16594" spans="1:2" x14ac:dyDescent="0.25">
      <c r="A16594">
        <v>32423</v>
      </c>
      <c r="B16594">
        <v>0</v>
      </c>
    </row>
    <row r="16595" spans="1:2" x14ac:dyDescent="0.25">
      <c r="A16595">
        <v>32425</v>
      </c>
      <c r="B16595">
        <v>0</v>
      </c>
    </row>
    <row r="16596" spans="1:2" x14ac:dyDescent="0.25">
      <c r="A16596">
        <v>32427</v>
      </c>
      <c r="B16596">
        <v>0</v>
      </c>
    </row>
    <row r="16597" spans="1:2" x14ac:dyDescent="0.25">
      <c r="A16597">
        <v>32429</v>
      </c>
      <c r="B16597">
        <v>0</v>
      </c>
    </row>
    <row r="16598" spans="1:2" x14ac:dyDescent="0.25">
      <c r="A16598">
        <v>32431</v>
      </c>
      <c r="B16598">
        <v>0</v>
      </c>
    </row>
    <row r="16599" spans="1:2" x14ac:dyDescent="0.25">
      <c r="A16599">
        <v>32433</v>
      </c>
      <c r="B16599">
        <v>0</v>
      </c>
    </row>
    <row r="16600" spans="1:2" x14ac:dyDescent="0.25">
      <c r="A16600">
        <v>32435</v>
      </c>
      <c r="B16600">
        <v>0</v>
      </c>
    </row>
    <row r="16601" spans="1:2" x14ac:dyDescent="0.25">
      <c r="A16601">
        <v>32437</v>
      </c>
      <c r="B16601">
        <v>0</v>
      </c>
    </row>
    <row r="16602" spans="1:2" x14ac:dyDescent="0.25">
      <c r="A16602">
        <v>32439</v>
      </c>
      <c r="B16602">
        <v>0</v>
      </c>
    </row>
    <row r="16603" spans="1:2" x14ac:dyDescent="0.25">
      <c r="A16603">
        <v>32441</v>
      </c>
      <c r="B16603">
        <v>0</v>
      </c>
    </row>
    <row r="16604" spans="1:2" x14ac:dyDescent="0.25">
      <c r="A16604">
        <v>32442</v>
      </c>
      <c r="B16604">
        <v>0</v>
      </c>
    </row>
    <row r="16605" spans="1:2" x14ac:dyDescent="0.25">
      <c r="A16605">
        <v>32444</v>
      </c>
      <c r="B16605">
        <v>0</v>
      </c>
    </row>
    <row r="16606" spans="1:2" x14ac:dyDescent="0.25">
      <c r="A16606">
        <v>32446</v>
      </c>
      <c r="B16606">
        <v>0</v>
      </c>
    </row>
    <row r="16607" spans="1:2" x14ac:dyDescent="0.25">
      <c r="A16607">
        <v>32447</v>
      </c>
      <c r="B16607">
        <v>0</v>
      </c>
    </row>
    <row r="16608" spans="1:2" x14ac:dyDescent="0.25">
      <c r="A16608">
        <v>32448</v>
      </c>
      <c r="B16608">
        <v>0</v>
      </c>
    </row>
    <row r="16609" spans="1:2" x14ac:dyDescent="0.25">
      <c r="A16609">
        <v>32449</v>
      </c>
      <c r="B16609">
        <v>0</v>
      </c>
    </row>
    <row r="16610" spans="1:2" x14ac:dyDescent="0.25">
      <c r="A16610">
        <v>32451</v>
      </c>
      <c r="B16610">
        <v>0</v>
      </c>
    </row>
    <row r="16611" spans="1:2" x14ac:dyDescent="0.25">
      <c r="A16611">
        <v>32453</v>
      </c>
      <c r="B16611">
        <v>0</v>
      </c>
    </row>
    <row r="16612" spans="1:2" x14ac:dyDescent="0.25">
      <c r="A16612">
        <v>32454</v>
      </c>
      <c r="B16612">
        <v>0</v>
      </c>
    </row>
    <row r="16613" spans="1:2" x14ac:dyDescent="0.25">
      <c r="A16613">
        <v>32455</v>
      </c>
      <c r="B16613">
        <v>0</v>
      </c>
    </row>
    <row r="16614" spans="1:2" x14ac:dyDescent="0.25">
      <c r="A16614">
        <v>32456</v>
      </c>
      <c r="B16614">
        <v>0</v>
      </c>
    </row>
    <row r="16615" spans="1:2" x14ac:dyDescent="0.25">
      <c r="A16615">
        <v>32457</v>
      </c>
      <c r="B16615">
        <v>0</v>
      </c>
    </row>
    <row r="16616" spans="1:2" x14ac:dyDescent="0.25">
      <c r="A16616">
        <v>32458</v>
      </c>
      <c r="B16616">
        <v>0</v>
      </c>
    </row>
    <row r="16617" spans="1:2" x14ac:dyDescent="0.25">
      <c r="A16617">
        <v>32459</v>
      </c>
      <c r="B16617">
        <v>0</v>
      </c>
    </row>
    <row r="16618" spans="1:2" x14ac:dyDescent="0.25">
      <c r="A16618">
        <v>32461</v>
      </c>
      <c r="B16618">
        <v>0</v>
      </c>
    </row>
    <row r="16619" spans="1:2" x14ac:dyDescent="0.25">
      <c r="A16619">
        <v>32462</v>
      </c>
      <c r="B16619">
        <v>0</v>
      </c>
    </row>
    <row r="16620" spans="1:2" x14ac:dyDescent="0.25">
      <c r="A16620">
        <v>32463</v>
      </c>
      <c r="B16620">
        <v>0</v>
      </c>
    </row>
    <row r="16621" spans="1:2" x14ac:dyDescent="0.25">
      <c r="A16621">
        <v>32464</v>
      </c>
      <c r="B16621">
        <v>0</v>
      </c>
    </row>
    <row r="16622" spans="1:2" x14ac:dyDescent="0.25">
      <c r="A16622">
        <v>32465</v>
      </c>
      <c r="B16622">
        <v>0</v>
      </c>
    </row>
    <row r="16623" spans="1:2" x14ac:dyDescent="0.25">
      <c r="A16623">
        <v>32466</v>
      </c>
      <c r="B16623">
        <v>0</v>
      </c>
    </row>
    <row r="16624" spans="1:2" x14ac:dyDescent="0.25">
      <c r="A16624">
        <v>32467</v>
      </c>
      <c r="B16624">
        <v>0</v>
      </c>
    </row>
    <row r="16625" spans="1:2" x14ac:dyDescent="0.25">
      <c r="A16625">
        <v>32468</v>
      </c>
      <c r="B16625">
        <v>0</v>
      </c>
    </row>
    <row r="16626" spans="1:2" x14ac:dyDescent="0.25">
      <c r="A16626">
        <v>32470</v>
      </c>
      <c r="B16626">
        <v>0</v>
      </c>
    </row>
    <row r="16627" spans="1:2" x14ac:dyDescent="0.25">
      <c r="A16627">
        <v>32472</v>
      </c>
      <c r="B16627">
        <v>0</v>
      </c>
    </row>
    <row r="16628" spans="1:2" x14ac:dyDescent="0.25">
      <c r="A16628">
        <v>32473</v>
      </c>
      <c r="B16628">
        <v>0</v>
      </c>
    </row>
    <row r="16629" spans="1:2" x14ac:dyDescent="0.25">
      <c r="A16629">
        <v>32475</v>
      </c>
      <c r="B16629">
        <v>0</v>
      </c>
    </row>
    <row r="16630" spans="1:2" x14ac:dyDescent="0.25">
      <c r="A16630">
        <v>32479</v>
      </c>
      <c r="B16630">
        <v>0</v>
      </c>
    </row>
    <row r="16631" spans="1:2" x14ac:dyDescent="0.25">
      <c r="A16631">
        <v>32481</v>
      </c>
      <c r="B16631">
        <v>0</v>
      </c>
    </row>
    <row r="16632" spans="1:2" x14ac:dyDescent="0.25">
      <c r="A16632">
        <v>32483</v>
      </c>
      <c r="B16632">
        <v>0</v>
      </c>
    </row>
    <row r="16633" spans="1:2" x14ac:dyDescent="0.25">
      <c r="A16633">
        <v>32485</v>
      </c>
      <c r="B16633">
        <v>0</v>
      </c>
    </row>
    <row r="16634" spans="1:2" x14ac:dyDescent="0.25">
      <c r="A16634">
        <v>32487</v>
      </c>
      <c r="B16634">
        <v>0</v>
      </c>
    </row>
    <row r="16635" spans="1:2" x14ac:dyDescent="0.25">
      <c r="A16635">
        <v>32489</v>
      </c>
      <c r="B16635">
        <v>0</v>
      </c>
    </row>
    <row r="16636" spans="1:2" x14ac:dyDescent="0.25">
      <c r="A16636">
        <v>32491</v>
      </c>
      <c r="B16636">
        <v>0</v>
      </c>
    </row>
    <row r="16637" spans="1:2" x14ac:dyDescent="0.25">
      <c r="A16637">
        <v>32493</v>
      </c>
      <c r="B16637">
        <v>0</v>
      </c>
    </row>
    <row r="16638" spans="1:2" x14ac:dyDescent="0.25">
      <c r="A16638">
        <v>32496</v>
      </c>
      <c r="B16638">
        <v>0</v>
      </c>
    </row>
    <row r="16639" spans="1:2" x14ac:dyDescent="0.25">
      <c r="A16639">
        <v>32498</v>
      </c>
      <c r="B16639">
        <v>0</v>
      </c>
    </row>
    <row r="16640" spans="1:2" x14ac:dyDescent="0.25">
      <c r="A16640">
        <v>32500</v>
      </c>
      <c r="B16640">
        <v>0</v>
      </c>
    </row>
    <row r="16641" spans="1:2" x14ac:dyDescent="0.25">
      <c r="A16641">
        <v>32501</v>
      </c>
      <c r="B16641">
        <v>0</v>
      </c>
    </row>
    <row r="16642" spans="1:2" x14ac:dyDescent="0.25">
      <c r="A16642">
        <v>32502</v>
      </c>
      <c r="B16642">
        <v>0</v>
      </c>
    </row>
    <row r="16643" spans="1:2" x14ac:dyDescent="0.25">
      <c r="A16643">
        <v>32503</v>
      </c>
      <c r="B16643">
        <v>0</v>
      </c>
    </row>
    <row r="16644" spans="1:2" x14ac:dyDescent="0.25">
      <c r="A16644">
        <v>32504</v>
      </c>
      <c r="B16644">
        <v>0</v>
      </c>
    </row>
    <row r="16645" spans="1:2" x14ac:dyDescent="0.25">
      <c r="A16645">
        <v>32505</v>
      </c>
      <c r="B16645">
        <v>0</v>
      </c>
    </row>
    <row r="16646" spans="1:2" x14ac:dyDescent="0.25">
      <c r="A16646">
        <v>32506</v>
      </c>
      <c r="B16646">
        <v>0</v>
      </c>
    </row>
    <row r="16647" spans="1:2" x14ac:dyDescent="0.25">
      <c r="A16647">
        <v>32507</v>
      </c>
      <c r="B16647">
        <v>0</v>
      </c>
    </row>
    <row r="16648" spans="1:2" x14ac:dyDescent="0.25">
      <c r="A16648">
        <v>32508</v>
      </c>
      <c r="B16648">
        <v>0</v>
      </c>
    </row>
    <row r="16649" spans="1:2" x14ac:dyDescent="0.25">
      <c r="A16649">
        <v>32509</v>
      </c>
      <c r="B16649">
        <v>0</v>
      </c>
    </row>
    <row r="16650" spans="1:2" x14ac:dyDescent="0.25">
      <c r="A16650">
        <v>32510</v>
      </c>
      <c r="B16650">
        <v>0</v>
      </c>
    </row>
    <row r="16651" spans="1:2" x14ac:dyDescent="0.25">
      <c r="A16651">
        <v>32512</v>
      </c>
      <c r="B16651">
        <v>0</v>
      </c>
    </row>
    <row r="16652" spans="1:2" x14ac:dyDescent="0.25">
      <c r="A16652">
        <v>32514</v>
      </c>
      <c r="B16652">
        <v>0</v>
      </c>
    </row>
    <row r="16653" spans="1:2" x14ac:dyDescent="0.25">
      <c r="A16653">
        <v>32515</v>
      </c>
      <c r="B16653">
        <v>0</v>
      </c>
    </row>
    <row r="16654" spans="1:2" x14ac:dyDescent="0.25">
      <c r="A16654">
        <v>32516</v>
      </c>
      <c r="B16654">
        <v>0</v>
      </c>
    </row>
    <row r="16655" spans="1:2" x14ac:dyDescent="0.25">
      <c r="A16655">
        <v>32517</v>
      </c>
      <c r="B16655">
        <v>0</v>
      </c>
    </row>
    <row r="16656" spans="1:2" x14ac:dyDescent="0.25">
      <c r="A16656">
        <v>32518</v>
      </c>
      <c r="B16656">
        <v>0</v>
      </c>
    </row>
    <row r="16657" spans="1:2" x14ac:dyDescent="0.25">
      <c r="A16657">
        <v>32519</v>
      </c>
      <c r="B16657">
        <v>0</v>
      </c>
    </row>
    <row r="16658" spans="1:2" x14ac:dyDescent="0.25">
      <c r="A16658">
        <v>32520</v>
      </c>
      <c r="B16658">
        <v>0</v>
      </c>
    </row>
    <row r="16659" spans="1:2" x14ac:dyDescent="0.25">
      <c r="A16659">
        <v>32521</v>
      </c>
      <c r="B16659">
        <v>0</v>
      </c>
    </row>
    <row r="16660" spans="1:2" x14ac:dyDescent="0.25">
      <c r="A16660">
        <v>32522</v>
      </c>
      <c r="B16660">
        <v>0</v>
      </c>
    </row>
    <row r="16661" spans="1:2" x14ac:dyDescent="0.25">
      <c r="A16661">
        <v>32523</v>
      </c>
      <c r="B16661">
        <v>0</v>
      </c>
    </row>
    <row r="16662" spans="1:2" x14ac:dyDescent="0.25">
      <c r="A16662">
        <v>32524</v>
      </c>
      <c r="B16662">
        <v>0</v>
      </c>
    </row>
    <row r="16663" spans="1:2" x14ac:dyDescent="0.25">
      <c r="A16663">
        <v>32526</v>
      </c>
      <c r="B16663">
        <v>0</v>
      </c>
    </row>
    <row r="16664" spans="1:2" x14ac:dyDescent="0.25">
      <c r="A16664">
        <v>32528</v>
      </c>
      <c r="B16664">
        <v>0</v>
      </c>
    </row>
    <row r="16665" spans="1:2" x14ac:dyDescent="0.25">
      <c r="A16665">
        <v>32533</v>
      </c>
      <c r="B16665">
        <v>0</v>
      </c>
    </row>
    <row r="16666" spans="1:2" x14ac:dyDescent="0.25">
      <c r="A16666">
        <v>32534</v>
      </c>
      <c r="B16666">
        <v>0</v>
      </c>
    </row>
    <row r="16667" spans="1:2" x14ac:dyDescent="0.25">
      <c r="A16667">
        <v>32535</v>
      </c>
      <c r="B16667">
        <v>0</v>
      </c>
    </row>
    <row r="16668" spans="1:2" x14ac:dyDescent="0.25">
      <c r="A16668">
        <v>32536</v>
      </c>
      <c r="B16668">
        <v>0</v>
      </c>
    </row>
    <row r="16669" spans="1:2" x14ac:dyDescent="0.25">
      <c r="A16669">
        <v>32537</v>
      </c>
      <c r="B16669">
        <v>0</v>
      </c>
    </row>
    <row r="16670" spans="1:2" x14ac:dyDescent="0.25">
      <c r="A16670">
        <v>32538</v>
      </c>
      <c r="B16670">
        <v>0</v>
      </c>
    </row>
    <row r="16671" spans="1:2" x14ac:dyDescent="0.25">
      <c r="A16671">
        <v>32540</v>
      </c>
      <c r="B16671">
        <v>0</v>
      </c>
    </row>
    <row r="16672" spans="1:2" x14ac:dyDescent="0.25">
      <c r="A16672">
        <v>32541</v>
      </c>
      <c r="B16672">
        <v>0</v>
      </c>
    </row>
    <row r="16673" spans="1:2" x14ac:dyDescent="0.25">
      <c r="A16673">
        <v>32542</v>
      </c>
      <c r="B16673">
        <v>0</v>
      </c>
    </row>
    <row r="16674" spans="1:2" x14ac:dyDescent="0.25">
      <c r="A16674">
        <v>32543</v>
      </c>
      <c r="B16674">
        <v>0</v>
      </c>
    </row>
    <row r="16675" spans="1:2" x14ac:dyDescent="0.25">
      <c r="A16675">
        <v>32547</v>
      </c>
      <c r="B16675">
        <v>0</v>
      </c>
    </row>
    <row r="16676" spans="1:2" x14ac:dyDescent="0.25">
      <c r="A16676">
        <v>32548</v>
      </c>
      <c r="B16676">
        <v>0</v>
      </c>
    </row>
    <row r="16677" spans="1:2" x14ac:dyDescent="0.25">
      <c r="A16677">
        <v>32549</v>
      </c>
      <c r="B16677">
        <v>0</v>
      </c>
    </row>
    <row r="16678" spans="1:2" x14ac:dyDescent="0.25">
      <c r="A16678">
        <v>32550</v>
      </c>
      <c r="B16678">
        <v>0</v>
      </c>
    </row>
    <row r="16679" spans="1:2" x14ac:dyDescent="0.25">
      <c r="A16679">
        <v>32554</v>
      </c>
      <c r="B16679">
        <v>0</v>
      </c>
    </row>
    <row r="16680" spans="1:2" x14ac:dyDescent="0.25">
      <c r="A16680">
        <v>32600</v>
      </c>
      <c r="B16680">
        <v>0</v>
      </c>
    </row>
    <row r="16681" spans="1:2" x14ac:dyDescent="0.25">
      <c r="A16681">
        <v>32601</v>
      </c>
      <c r="B16681">
        <v>0</v>
      </c>
    </row>
    <row r="16682" spans="1:2" x14ac:dyDescent="0.25">
      <c r="A16682">
        <v>32602</v>
      </c>
      <c r="B16682">
        <v>0</v>
      </c>
    </row>
    <row r="16683" spans="1:2" x14ac:dyDescent="0.25">
      <c r="A16683">
        <v>32603</v>
      </c>
      <c r="B16683">
        <v>0</v>
      </c>
    </row>
    <row r="16684" spans="1:2" x14ac:dyDescent="0.25">
      <c r="A16684">
        <v>32634</v>
      </c>
      <c r="B16684">
        <v>0</v>
      </c>
    </row>
    <row r="16685" spans="1:2" x14ac:dyDescent="0.25">
      <c r="A16685">
        <v>32636</v>
      </c>
      <c r="B16685">
        <v>0</v>
      </c>
    </row>
    <row r="16686" spans="1:2" x14ac:dyDescent="0.25">
      <c r="A16686">
        <v>32637</v>
      </c>
      <c r="B16686">
        <v>0</v>
      </c>
    </row>
    <row r="16687" spans="1:2" x14ac:dyDescent="0.25">
      <c r="A16687">
        <v>32638</v>
      </c>
      <c r="B16687">
        <v>0</v>
      </c>
    </row>
    <row r="16688" spans="1:2" x14ac:dyDescent="0.25">
      <c r="A16688">
        <v>32639</v>
      </c>
      <c r="B16688">
        <v>0</v>
      </c>
    </row>
    <row r="16689" spans="1:2" x14ac:dyDescent="0.25">
      <c r="A16689">
        <v>32641</v>
      </c>
      <c r="B16689">
        <v>0</v>
      </c>
    </row>
    <row r="16690" spans="1:2" x14ac:dyDescent="0.25">
      <c r="A16690">
        <v>32642</v>
      </c>
      <c r="B16690">
        <v>0</v>
      </c>
    </row>
    <row r="16691" spans="1:2" x14ac:dyDescent="0.25">
      <c r="A16691">
        <v>32644</v>
      </c>
      <c r="B16691">
        <v>0</v>
      </c>
    </row>
    <row r="16692" spans="1:2" x14ac:dyDescent="0.25">
      <c r="A16692">
        <v>32646</v>
      </c>
      <c r="B16692">
        <v>0</v>
      </c>
    </row>
    <row r="16693" spans="1:2" x14ac:dyDescent="0.25">
      <c r="A16693">
        <v>32648</v>
      </c>
      <c r="B16693">
        <v>0</v>
      </c>
    </row>
    <row r="16694" spans="1:2" x14ac:dyDescent="0.25">
      <c r="A16694">
        <v>32652</v>
      </c>
      <c r="B16694">
        <v>0</v>
      </c>
    </row>
    <row r="16695" spans="1:2" x14ac:dyDescent="0.25">
      <c r="A16695">
        <v>32658</v>
      </c>
      <c r="B16695">
        <v>0</v>
      </c>
    </row>
    <row r="16696" spans="1:2" x14ac:dyDescent="0.25">
      <c r="A16696">
        <v>32659</v>
      </c>
      <c r="B16696">
        <v>0</v>
      </c>
    </row>
    <row r="16697" spans="1:2" x14ac:dyDescent="0.25">
      <c r="A16697">
        <v>32660</v>
      </c>
      <c r="B16697">
        <v>0</v>
      </c>
    </row>
    <row r="16698" spans="1:2" x14ac:dyDescent="0.25">
      <c r="A16698">
        <v>32661</v>
      </c>
      <c r="B16698">
        <v>0</v>
      </c>
    </row>
    <row r="16699" spans="1:2" x14ac:dyDescent="0.25">
      <c r="A16699">
        <v>32663</v>
      </c>
      <c r="B16699">
        <v>0</v>
      </c>
    </row>
    <row r="16700" spans="1:2" x14ac:dyDescent="0.25">
      <c r="A16700">
        <v>32664</v>
      </c>
      <c r="B16700">
        <v>0</v>
      </c>
    </row>
    <row r="16701" spans="1:2" x14ac:dyDescent="0.25">
      <c r="A16701">
        <v>32665</v>
      </c>
      <c r="B16701">
        <v>0</v>
      </c>
    </row>
    <row r="16702" spans="1:2" x14ac:dyDescent="0.25">
      <c r="A16702">
        <v>32667</v>
      </c>
      <c r="B16702">
        <v>0</v>
      </c>
    </row>
    <row r="16703" spans="1:2" x14ac:dyDescent="0.25">
      <c r="A16703">
        <v>32677</v>
      </c>
      <c r="B16703">
        <v>0</v>
      </c>
    </row>
    <row r="16704" spans="1:2" x14ac:dyDescent="0.25">
      <c r="A16704">
        <v>32678</v>
      </c>
      <c r="B16704">
        <v>0</v>
      </c>
    </row>
    <row r="16705" spans="1:2" x14ac:dyDescent="0.25">
      <c r="A16705">
        <v>32679</v>
      </c>
      <c r="B16705">
        <v>0</v>
      </c>
    </row>
    <row r="16706" spans="1:2" x14ac:dyDescent="0.25">
      <c r="A16706">
        <v>32680</v>
      </c>
      <c r="B16706">
        <v>0</v>
      </c>
    </row>
    <row r="16707" spans="1:2" x14ac:dyDescent="0.25">
      <c r="A16707">
        <v>32681</v>
      </c>
      <c r="B16707">
        <v>0</v>
      </c>
    </row>
    <row r="16708" spans="1:2" x14ac:dyDescent="0.25">
      <c r="A16708">
        <v>32683</v>
      </c>
      <c r="B16708">
        <v>0</v>
      </c>
    </row>
    <row r="16709" spans="1:2" x14ac:dyDescent="0.25">
      <c r="A16709">
        <v>32685</v>
      </c>
      <c r="B16709">
        <v>0</v>
      </c>
    </row>
    <row r="16710" spans="1:2" x14ac:dyDescent="0.25">
      <c r="A16710">
        <v>32686</v>
      </c>
      <c r="B16710">
        <v>0</v>
      </c>
    </row>
    <row r="16711" spans="1:2" x14ac:dyDescent="0.25">
      <c r="A16711">
        <v>32687</v>
      </c>
      <c r="B16711">
        <v>0</v>
      </c>
    </row>
    <row r="16712" spans="1:2" x14ac:dyDescent="0.25">
      <c r="A16712">
        <v>32688</v>
      </c>
      <c r="B16712">
        <v>0</v>
      </c>
    </row>
    <row r="16713" spans="1:2" x14ac:dyDescent="0.25">
      <c r="A16713">
        <v>32690</v>
      </c>
      <c r="B16713">
        <v>0</v>
      </c>
    </row>
    <row r="16714" spans="1:2" x14ac:dyDescent="0.25">
      <c r="A16714">
        <v>32691</v>
      </c>
      <c r="B16714">
        <v>0</v>
      </c>
    </row>
    <row r="16715" spans="1:2" x14ac:dyDescent="0.25">
      <c r="A16715">
        <v>32692</v>
      </c>
      <c r="B16715">
        <v>0</v>
      </c>
    </row>
    <row r="16716" spans="1:2" x14ac:dyDescent="0.25">
      <c r="A16716">
        <v>32693</v>
      </c>
      <c r="B16716">
        <v>0</v>
      </c>
    </row>
    <row r="16717" spans="1:2" x14ac:dyDescent="0.25">
      <c r="A16717">
        <v>32694</v>
      </c>
      <c r="B16717">
        <v>0</v>
      </c>
    </row>
    <row r="16718" spans="1:2" x14ac:dyDescent="0.25">
      <c r="A16718">
        <v>32695</v>
      </c>
      <c r="B16718">
        <v>0</v>
      </c>
    </row>
    <row r="16719" spans="1:2" x14ac:dyDescent="0.25">
      <c r="A16719">
        <v>32696</v>
      </c>
      <c r="B16719">
        <v>0</v>
      </c>
    </row>
    <row r="16720" spans="1:2" x14ac:dyDescent="0.25">
      <c r="A16720">
        <v>32697</v>
      </c>
      <c r="B16720">
        <v>0</v>
      </c>
    </row>
    <row r="16721" spans="1:2" x14ac:dyDescent="0.25">
      <c r="A16721">
        <v>32698</v>
      </c>
      <c r="B16721">
        <v>0</v>
      </c>
    </row>
    <row r="16722" spans="1:2" x14ac:dyDescent="0.25">
      <c r="A16722">
        <v>32699</v>
      </c>
      <c r="B16722">
        <v>0</v>
      </c>
    </row>
    <row r="16723" spans="1:2" x14ac:dyDescent="0.25">
      <c r="A16723">
        <v>32700</v>
      </c>
      <c r="B16723">
        <v>0</v>
      </c>
    </row>
    <row r="16724" spans="1:2" x14ac:dyDescent="0.25">
      <c r="A16724">
        <v>32711</v>
      </c>
      <c r="B16724">
        <v>0</v>
      </c>
    </row>
    <row r="16725" spans="1:2" x14ac:dyDescent="0.25">
      <c r="A16725">
        <v>32712</v>
      </c>
      <c r="B16725">
        <v>0</v>
      </c>
    </row>
    <row r="16726" spans="1:2" x14ac:dyDescent="0.25">
      <c r="A16726">
        <v>32713</v>
      </c>
      <c r="B16726">
        <v>0</v>
      </c>
    </row>
    <row r="16727" spans="1:2" x14ac:dyDescent="0.25">
      <c r="A16727">
        <v>32714</v>
      </c>
      <c r="B16727">
        <v>0</v>
      </c>
    </row>
    <row r="16728" spans="1:2" x14ac:dyDescent="0.25">
      <c r="A16728">
        <v>32715</v>
      </c>
      <c r="B16728">
        <v>0</v>
      </c>
    </row>
    <row r="16729" spans="1:2" x14ac:dyDescent="0.25">
      <c r="A16729">
        <v>32716</v>
      </c>
      <c r="B16729">
        <v>0</v>
      </c>
    </row>
    <row r="16730" spans="1:2" x14ac:dyDescent="0.25">
      <c r="A16730">
        <v>32717</v>
      </c>
      <c r="B16730">
        <v>0</v>
      </c>
    </row>
    <row r="16731" spans="1:2" x14ac:dyDescent="0.25">
      <c r="A16731">
        <v>32718</v>
      </c>
      <c r="B16731">
        <v>0</v>
      </c>
    </row>
    <row r="16732" spans="1:2" x14ac:dyDescent="0.25">
      <c r="A16732">
        <v>32719</v>
      </c>
      <c r="B16732">
        <v>0</v>
      </c>
    </row>
    <row r="16733" spans="1:2" x14ac:dyDescent="0.25">
      <c r="A16733">
        <v>32721</v>
      </c>
      <c r="B16733">
        <v>0</v>
      </c>
    </row>
    <row r="16734" spans="1:2" x14ac:dyDescent="0.25">
      <c r="A16734">
        <v>32733</v>
      </c>
      <c r="B16734">
        <v>0</v>
      </c>
    </row>
    <row r="16735" spans="1:2" x14ac:dyDescent="0.25">
      <c r="A16735">
        <v>32738</v>
      </c>
      <c r="B16735">
        <v>0</v>
      </c>
    </row>
    <row r="16736" spans="1:2" x14ac:dyDescent="0.25">
      <c r="A16736">
        <v>32739</v>
      </c>
      <c r="B16736">
        <v>0</v>
      </c>
    </row>
    <row r="16737" spans="1:2" x14ac:dyDescent="0.25">
      <c r="A16737">
        <v>32740</v>
      </c>
      <c r="B16737">
        <v>0</v>
      </c>
    </row>
    <row r="16738" spans="1:2" x14ac:dyDescent="0.25">
      <c r="A16738">
        <v>32741</v>
      </c>
      <c r="B16738">
        <v>0</v>
      </c>
    </row>
    <row r="16739" spans="1:2" x14ac:dyDescent="0.25">
      <c r="A16739">
        <v>32746</v>
      </c>
      <c r="B16739">
        <v>0</v>
      </c>
    </row>
    <row r="16740" spans="1:2" x14ac:dyDescent="0.25">
      <c r="A16740">
        <v>32748</v>
      </c>
      <c r="B16740">
        <v>0</v>
      </c>
    </row>
    <row r="16741" spans="1:2" x14ac:dyDescent="0.25">
      <c r="A16741">
        <v>32749</v>
      </c>
      <c r="B16741">
        <v>0</v>
      </c>
    </row>
    <row r="16742" spans="1:2" x14ac:dyDescent="0.25">
      <c r="A16742">
        <v>32750</v>
      </c>
      <c r="B16742">
        <v>0</v>
      </c>
    </row>
    <row r="16743" spans="1:2" x14ac:dyDescent="0.25">
      <c r="A16743">
        <v>32752</v>
      </c>
      <c r="B16743">
        <v>0</v>
      </c>
    </row>
    <row r="16744" spans="1:2" x14ac:dyDescent="0.25">
      <c r="A16744">
        <v>32754</v>
      </c>
      <c r="B16744">
        <v>0</v>
      </c>
    </row>
    <row r="16745" spans="1:2" x14ac:dyDescent="0.25">
      <c r="A16745">
        <v>32755</v>
      </c>
      <c r="B16745">
        <v>0</v>
      </c>
    </row>
    <row r="16746" spans="1:2" x14ac:dyDescent="0.25">
      <c r="A16746">
        <v>32757</v>
      </c>
      <c r="B16746">
        <v>0</v>
      </c>
    </row>
    <row r="16747" spans="1:2" x14ac:dyDescent="0.25">
      <c r="A16747">
        <v>32759</v>
      </c>
      <c r="B16747">
        <v>0</v>
      </c>
    </row>
    <row r="16748" spans="1:2" x14ac:dyDescent="0.25">
      <c r="A16748">
        <v>32760</v>
      </c>
      <c r="B16748">
        <v>0</v>
      </c>
    </row>
    <row r="16749" spans="1:2" x14ac:dyDescent="0.25">
      <c r="A16749">
        <v>32761</v>
      </c>
      <c r="B16749">
        <v>0</v>
      </c>
    </row>
    <row r="16750" spans="1:2" x14ac:dyDescent="0.25">
      <c r="A16750">
        <v>32762</v>
      </c>
      <c r="B16750">
        <v>0</v>
      </c>
    </row>
    <row r="16751" spans="1:2" x14ac:dyDescent="0.25">
      <c r="A16751">
        <v>32763</v>
      </c>
      <c r="B16751">
        <v>0</v>
      </c>
    </row>
    <row r="16752" spans="1:2" x14ac:dyDescent="0.25">
      <c r="A16752">
        <v>32764</v>
      </c>
      <c r="B16752">
        <v>0</v>
      </c>
    </row>
    <row r="16753" spans="1:2" x14ac:dyDescent="0.25">
      <c r="A16753">
        <v>32765</v>
      </c>
      <c r="B16753">
        <v>0</v>
      </c>
    </row>
    <row r="16754" spans="1:2" x14ac:dyDescent="0.25">
      <c r="A16754">
        <v>32766</v>
      </c>
      <c r="B16754">
        <v>0</v>
      </c>
    </row>
    <row r="16755" spans="1:2" x14ac:dyDescent="0.25">
      <c r="A16755">
        <v>32767</v>
      </c>
      <c r="B16755">
        <v>0</v>
      </c>
    </row>
    <row r="16756" spans="1:2" x14ac:dyDescent="0.25">
      <c r="A16756">
        <v>32770</v>
      </c>
      <c r="B16756">
        <v>0</v>
      </c>
    </row>
    <row r="16757" spans="1:2" x14ac:dyDescent="0.25">
      <c r="A16757">
        <v>32780</v>
      </c>
      <c r="B16757">
        <v>0</v>
      </c>
    </row>
    <row r="16758" spans="1:2" x14ac:dyDescent="0.25">
      <c r="A16758">
        <v>32781</v>
      </c>
      <c r="B16758">
        <v>0</v>
      </c>
    </row>
    <row r="16759" spans="1:2" x14ac:dyDescent="0.25">
      <c r="A16759">
        <v>32782</v>
      </c>
      <c r="B16759">
        <v>0</v>
      </c>
    </row>
    <row r="16760" spans="1:2" x14ac:dyDescent="0.25">
      <c r="A16760">
        <v>32783</v>
      </c>
      <c r="B16760">
        <v>0</v>
      </c>
    </row>
    <row r="16761" spans="1:2" x14ac:dyDescent="0.25">
      <c r="A16761">
        <v>32785</v>
      </c>
      <c r="B16761">
        <v>0</v>
      </c>
    </row>
    <row r="16762" spans="1:2" x14ac:dyDescent="0.25">
      <c r="A16762">
        <v>32787</v>
      </c>
      <c r="B16762">
        <v>0</v>
      </c>
    </row>
    <row r="16763" spans="1:2" x14ac:dyDescent="0.25">
      <c r="A16763">
        <v>32788</v>
      </c>
      <c r="B16763">
        <v>0</v>
      </c>
    </row>
    <row r="16764" spans="1:2" x14ac:dyDescent="0.25">
      <c r="A16764">
        <v>32789</v>
      </c>
      <c r="B16764">
        <v>0</v>
      </c>
    </row>
    <row r="16765" spans="1:2" x14ac:dyDescent="0.25">
      <c r="A16765">
        <v>32791</v>
      </c>
      <c r="B16765">
        <v>0</v>
      </c>
    </row>
    <row r="16766" spans="1:2" x14ac:dyDescent="0.25">
      <c r="A16766">
        <v>32793</v>
      </c>
      <c r="B16766">
        <v>0</v>
      </c>
    </row>
    <row r="16767" spans="1:2" x14ac:dyDescent="0.25">
      <c r="A16767">
        <v>32795</v>
      </c>
      <c r="B16767">
        <v>0</v>
      </c>
    </row>
    <row r="16768" spans="1:2" x14ac:dyDescent="0.25">
      <c r="A16768">
        <v>32796</v>
      </c>
      <c r="B16768">
        <v>0</v>
      </c>
    </row>
    <row r="16769" spans="1:2" x14ac:dyDescent="0.25">
      <c r="A16769">
        <v>32799</v>
      </c>
      <c r="B16769">
        <v>0</v>
      </c>
    </row>
    <row r="16770" spans="1:2" x14ac:dyDescent="0.25">
      <c r="A16770">
        <v>32800</v>
      </c>
      <c r="B16770">
        <v>0</v>
      </c>
    </row>
    <row r="16771" spans="1:2" x14ac:dyDescent="0.25">
      <c r="A16771">
        <v>32803</v>
      </c>
      <c r="B16771">
        <v>0</v>
      </c>
    </row>
    <row r="16772" spans="1:2" x14ac:dyDescent="0.25">
      <c r="A16772">
        <v>32804</v>
      </c>
      <c r="B16772">
        <v>0</v>
      </c>
    </row>
    <row r="16773" spans="1:2" x14ac:dyDescent="0.25">
      <c r="A16773">
        <v>32806</v>
      </c>
      <c r="B16773">
        <v>0</v>
      </c>
    </row>
    <row r="16774" spans="1:2" x14ac:dyDescent="0.25">
      <c r="A16774">
        <v>32808</v>
      </c>
      <c r="B16774">
        <v>0</v>
      </c>
    </row>
    <row r="16775" spans="1:2" x14ac:dyDescent="0.25">
      <c r="A16775">
        <v>32810</v>
      </c>
      <c r="B16775">
        <v>0</v>
      </c>
    </row>
    <row r="16776" spans="1:2" x14ac:dyDescent="0.25">
      <c r="A16776">
        <v>32811</v>
      </c>
      <c r="B16776">
        <v>0</v>
      </c>
    </row>
    <row r="16777" spans="1:2" x14ac:dyDescent="0.25">
      <c r="A16777">
        <v>32812</v>
      </c>
      <c r="B16777">
        <v>0</v>
      </c>
    </row>
    <row r="16778" spans="1:2" x14ac:dyDescent="0.25">
      <c r="A16778">
        <v>32813</v>
      </c>
      <c r="B16778">
        <v>0</v>
      </c>
    </row>
    <row r="16779" spans="1:2" x14ac:dyDescent="0.25">
      <c r="A16779">
        <v>32814</v>
      </c>
      <c r="B16779">
        <v>0</v>
      </c>
    </row>
    <row r="16780" spans="1:2" x14ac:dyDescent="0.25">
      <c r="A16780">
        <v>32815</v>
      </c>
      <c r="B16780">
        <v>0</v>
      </c>
    </row>
    <row r="16781" spans="1:2" x14ac:dyDescent="0.25">
      <c r="A16781">
        <v>32816</v>
      </c>
      <c r="B16781">
        <v>0</v>
      </c>
    </row>
    <row r="16782" spans="1:2" x14ac:dyDescent="0.25">
      <c r="A16782">
        <v>32817</v>
      </c>
      <c r="B16782">
        <v>0</v>
      </c>
    </row>
    <row r="16783" spans="1:2" x14ac:dyDescent="0.25">
      <c r="A16783">
        <v>32818</v>
      </c>
      <c r="B16783">
        <v>0</v>
      </c>
    </row>
    <row r="16784" spans="1:2" x14ac:dyDescent="0.25">
      <c r="A16784">
        <v>32819</v>
      </c>
      <c r="B16784">
        <v>0</v>
      </c>
    </row>
    <row r="16785" spans="1:2" x14ac:dyDescent="0.25">
      <c r="A16785">
        <v>32820</v>
      </c>
      <c r="B16785">
        <v>0</v>
      </c>
    </row>
    <row r="16786" spans="1:2" x14ac:dyDescent="0.25">
      <c r="A16786">
        <v>32822</v>
      </c>
      <c r="B16786">
        <v>0</v>
      </c>
    </row>
    <row r="16787" spans="1:2" x14ac:dyDescent="0.25">
      <c r="A16787">
        <v>32823</v>
      </c>
      <c r="B16787">
        <v>0</v>
      </c>
    </row>
    <row r="16788" spans="1:2" x14ac:dyDescent="0.25">
      <c r="A16788">
        <v>32824</v>
      </c>
      <c r="B16788">
        <v>0</v>
      </c>
    </row>
    <row r="16789" spans="1:2" x14ac:dyDescent="0.25">
      <c r="A16789">
        <v>32826</v>
      </c>
      <c r="B16789">
        <v>0</v>
      </c>
    </row>
    <row r="16790" spans="1:2" x14ac:dyDescent="0.25">
      <c r="A16790">
        <v>32835</v>
      </c>
      <c r="B16790">
        <v>0</v>
      </c>
    </row>
    <row r="16791" spans="1:2" x14ac:dyDescent="0.25">
      <c r="A16791">
        <v>32836</v>
      </c>
      <c r="B16791">
        <v>0</v>
      </c>
    </row>
    <row r="16792" spans="1:2" x14ac:dyDescent="0.25">
      <c r="A16792">
        <v>32837</v>
      </c>
      <c r="B16792">
        <v>0</v>
      </c>
    </row>
    <row r="16793" spans="1:2" x14ac:dyDescent="0.25">
      <c r="A16793">
        <v>32838</v>
      </c>
      <c r="B16793">
        <v>0</v>
      </c>
    </row>
    <row r="16794" spans="1:2" x14ac:dyDescent="0.25">
      <c r="A16794">
        <v>32839</v>
      </c>
      <c r="B16794">
        <v>0</v>
      </c>
    </row>
    <row r="16795" spans="1:2" x14ac:dyDescent="0.25">
      <c r="A16795">
        <v>32840</v>
      </c>
      <c r="B16795">
        <v>0</v>
      </c>
    </row>
    <row r="16796" spans="1:2" x14ac:dyDescent="0.25">
      <c r="A16796">
        <v>32841</v>
      </c>
      <c r="B16796">
        <v>0</v>
      </c>
    </row>
    <row r="16797" spans="1:2" x14ac:dyDescent="0.25">
      <c r="A16797">
        <v>32842</v>
      </c>
      <c r="B16797">
        <v>0</v>
      </c>
    </row>
    <row r="16798" spans="1:2" x14ac:dyDescent="0.25">
      <c r="A16798">
        <v>32844</v>
      </c>
      <c r="B16798">
        <v>0</v>
      </c>
    </row>
    <row r="16799" spans="1:2" x14ac:dyDescent="0.25">
      <c r="A16799">
        <v>32846</v>
      </c>
      <c r="B16799">
        <v>0</v>
      </c>
    </row>
    <row r="16800" spans="1:2" x14ac:dyDescent="0.25">
      <c r="A16800">
        <v>32848</v>
      </c>
      <c r="B16800">
        <v>0</v>
      </c>
    </row>
    <row r="16801" spans="1:2" x14ac:dyDescent="0.25">
      <c r="A16801">
        <v>32850</v>
      </c>
      <c r="B16801">
        <v>0</v>
      </c>
    </row>
    <row r="16802" spans="1:2" x14ac:dyDescent="0.25">
      <c r="A16802">
        <v>32852</v>
      </c>
      <c r="B16802">
        <v>0</v>
      </c>
    </row>
    <row r="16803" spans="1:2" x14ac:dyDescent="0.25">
      <c r="A16803">
        <v>32854</v>
      </c>
      <c r="B16803">
        <v>0</v>
      </c>
    </row>
    <row r="16804" spans="1:2" x14ac:dyDescent="0.25">
      <c r="A16804">
        <v>32855</v>
      </c>
      <c r="B16804">
        <v>0</v>
      </c>
    </row>
    <row r="16805" spans="1:2" x14ac:dyDescent="0.25">
      <c r="A16805">
        <v>32857</v>
      </c>
      <c r="B16805">
        <v>0</v>
      </c>
    </row>
    <row r="16806" spans="1:2" x14ac:dyDescent="0.25">
      <c r="A16806">
        <v>32859</v>
      </c>
      <c r="B16806">
        <v>0</v>
      </c>
    </row>
    <row r="16807" spans="1:2" x14ac:dyDescent="0.25">
      <c r="A16807">
        <v>32878</v>
      </c>
      <c r="B16807">
        <v>0</v>
      </c>
    </row>
    <row r="16808" spans="1:2" x14ac:dyDescent="0.25">
      <c r="A16808">
        <v>32879</v>
      </c>
      <c r="B16808">
        <v>0</v>
      </c>
    </row>
    <row r="16809" spans="1:2" x14ac:dyDescent="0.25">
      <c r="A16809">
        <v>32880</v>
      </c>
      <c r="B16809">
        <v>0</v>
      </c>
    </row>
    <row r="16810" spans="1:2" x14ac:dyDescent="0.25">
      <c r="A16810">
        <v>32881</v>
      </c>
      <c r="B16810">
        <v>0</v>
      </c>
    </row>
    <row r="16811" spans="1:2" x14ac:dyDescent="0.25">
      <c r="A16811">
        <v>32882</v>
      </c>
      <c r="B16811">
        <v>0</v>
      </c>
    </row>
    <row r="16812" spans="1:2" x14ac:dyDescent="0.25">
      <c r="A16812">
        <v>32883</v>
      </c>
      <c r="B16812">
        <v>0</v>
      </c>
    </row>
    <row r="16813" spans="1:2" x14ac:dyDescent="0.25">
      <c r="A16813">
        <v>32884</v>
      </c>
      <c r="B16813">
        <v>0</v>
      </c>
    </row>
    <row r="16814" spans="1:2" x14ac:dyDescent="0.25">
      <c r="A16814">
        <v>32885</v>
      </c>
      <c r="B16814">
        <v>0</v>
      </c>
    </row>
    <row r="16815" spans="1:2" x14ac:dyDescent="0.25">
      <c r="A16815">
        <v>32886</v>
      </c>
      <c r="B16815">
        <v>0</v>
      </c>
    </row>
    <row r="16816" spans="1:2" x14ac:dyDescent="0.25">
      <c r="A16816">
        <v>32887</v>
      </c>
      <c r="B16816">
        <v>0</v>
      </c>
    </row>
    <row r="16817" spans="1:2" x14ac:dyDescent="0.25">
      <c r="A16817">
        <v>32888</v>
      </c>
      <c r="B16817">
        <v>0</v>
      </c>
    </row>
    <row r="16818" spans="1:2" x14ac:dyDescent="0.25">
      <c r="A16818">
        <v>32889</v>
      </c>
      <c r="B16818">
        <v>0</v>
      </c>
    </row>
    <row r="16819" spans="1:2" x14ac:dyDescent="0.25">
      <c r="A16819">
        <v>32890</v>
      </c>
      <c r="B16819">
        <v>0</v>
      </c>
    </row>
    <row r="16820" spans="1:2" x14ac:dyDescent="0.25">
      <c r="A16820">
        <v>32891</v>
      </c>
      <c r="B16820">
        <v>0</v>
      </c>
    </row>
    <row r="16821" spans="1:2" x14ac:dyDescent="0.25">
      <c r="A16821">
        <v>32892</v>
      </c>
      <c r="B16821">
        <v>0</v>
      </c>
    </row>
    <row r="16822" spans="1:2" x14ac:dyDescent="0.25">
      <c r="A16822">
        <v>32893</v>
      </c>
      <c r="B16822">
        <v>0</v>
      </c>
    </row>
    <row r="16823" spans="1:2" x14ac:dyDescent="0.25">
      <c r="A16823">
        <v>32894</v>
      </c>
      <c r="B16823">
        <v>0</v>
      </c>
    </row>
    <row r="16824" spans="1:2" x14ac:dyDescent="0.25">
      <c r="A16824">
        <v>32895</v>
      </c>
      <c r="B16824">
        <v>0</v>
      </c>
    </row>
    <row r="16825" spans="1:2" x14ac:dyDescent="0.25">
      <c r="A16825">
        <v>32896</v>
      </c>
      <c r="B16825">
        <v>0</v>
      </c>
    </row>
    <row r="16826" spans="1:2" x14ac:dyDescent="0.25">
      <c r="A16826">
        <v>32899</v>
      </c>
      <c r="B16826">
        <v>0</v>
      </c>
    </row>
    <row r="16827" spans="1:2" x14ac:dyDescent="0.25">
      <c r="A16827">
        <v>32900</v>
      </c>
      <c r="B16827">
        <v>0</v>
      </c>
    </row>
    <row r="16828" spans="1:2" x14ac:dyDescent="0.25">
      <c r="A16828">
        <v>32901</v>
      </c>
      <c r="B16828">
        <v>0</v>
      </c>
    </row>
    <row r="16829" spans="1:2" x14ac:dyDescent="0.25">
      <c r="A16829">
        <v>32902</v>
      </c>
      <c r="B16829">
        <v>0</v>
      </c>
    </row>
    <row r="16830" spans="1:2" x14ac:dyDescent="0.25">
      <c r="A16830">
        <v>32903</v>
      </c>
      <c r="B16830">
        <v>0</v>
      </c>
    </row>
    <row r="16831" spans="1:2" x14ac:dyDescent="0.25">
      <c r="A16831">
        <v>32904</v>
      </c>
      <c r="B16831">
        <v>0</v>
      </c>
    </row>
    <row r="16832" spans="1:2" x14ac:dyDescent="0.25">
      <c r="A16832">
        <v>32905</v>
      </c>
      <c r="B16832">
        <v>0</v>
      </c>
    </row>
    <row r="16833" spans="1:2" x14ac:dyDescent="0.25">
      <c r="A16833">
        <v>32906</v>
      </c>
      <c r="B16833">
        <v>0</v>
      </c>
    </row>
    <row r="16834" spans="1:2" x14ac:dyDescent="0.25">
      <c r="A16834">
        <v>32907</v>
      </c>
      <c r="B16834">
        <v>0</v>
      </c>
    </row>
    <row r="16835" spans="1:2" x14ac:dyDescent="0.25">
      <c r="A16835">
        <v>32908</v>
      </c>
      <c r="B16835">
        <v>0</v>
      </c>
    </row>
    <row r="16836" spans="1:2" x14ac:dyDescent="0.25">
      <c r="A16836">
        <v>32909</v>
      </c>
      <c r="B16836">
        <v>0</v>
      </c>
    </row>
    <row r="16837" spans="1:2" x14ac:dyDescent="0.25">
      <c r="A16837">
        <v>32910</v>
      </c>
      <c r="B16837">
        <v>0</v>
      </c>
    </row>
    <row r="16838" spans="1:2" x14ac:dyDescent="0.25">
      <c r="A16838">
        <v>32911</v>
      </c>
      <c r="B16838">
        <v>0</v>
      </c>
    </row>
    <row r="16839" spans="1:2" x14ac:dyDescent="0.25">
      <c r="A16839">
        <v>32912</v>
      </c>
      <c r="B16839">
        <v>0</v>
      </c>
    </row>
    <row r="16840" spans="1:2" x14ac:dyDescent="0.25">
      <c r="A16840">
        <v>32913</v>
      </c>
      <c r="B16840">
        <v>0</v>
      </c>
    </row>
    <row r="16841" spans="1:2" x14ac:dyDescent="0.25">
      <c r="A16841">
        <v>32914</v>
      </c>
      <c r="B16841">
        <v>0</v>
      </c>
    </row>
    <row r="16842" spans="1:2" x14ac:dyDescent="0.25">
      <c r="A16842">
        <v>32915</v>
      </c>
      <c r="B16842">
        <v>0</v>
      </c>
    </row>
    <row r="16843" spans="1:2" x14ac:dyDescent="0.25">
      <c r="A16843">
        <v>32916</v>
      </c>
      <c r="B16843">
        <v>0</v>
      </c>
    </row>
    <row r="16844" spans="1:2" x14ac:dyDescent="0.25">
      <c r="A16844">
        <v>32917</v>
      </c>
      <c r="B16844">
        <v>0</v>
      </c>
    </row>
    <row r="16845" spans="1:2" x14ac:dyDescent="0.25">
      <c r="A16845">
        <v>32918</v>
      </c>
      <c r="B16845">
        <v>0</v>
      </c>
    </row>
    <row r="16846" spans="1:2" x14ac:dyDescent="0.25">
      <c r="A16846">
        <v>32919</v>
      </c>
      <c r="B16846">
        <v>0</v>
      </c>
    </row>
    <row r="16847" spans="1:2" x14ac:dyDescent="0.25">
      <c r="A16847">
        <v>32920</v>
      </c>
      <c r="B16847">
        <v>0</v>
      </c>
    </row>
    <row r="16848" spans="1:2" x14ac:dyDescent="0.25">
      <c r="A16848">
        <v>32921</v>
      </c>
      <c r="B16848">
        <v>0</v>
      </c>
    </row>
    <row r="16849" spans="1:2" x14ac:dyDescent="0.25">
      <c r="A16849">
        <v>32922</v>
      </c>
      <c r="B16849">
        <v>0</v>
      </c>
    </row>
    <row r="16850" spans="1:2" x14ac:dyDescent="0.25">
      <c r="A16850">
        <v>32924</v>
      </c>
      <c r="B16850">
        <v>0</v>
      </c>
    </row>
    <row r="16851" spans="1:2" x14ac:dyDescent="0.25">
      <c r="A16851">
        <v>32925</v>
      </c>
      <c r="B16851">
        <v>0</v>
      </c>
    </row>
    <row r="16852" spans="1:2" x14ac:dyDescent="0.25">
      <c r="A16852">
        <v>32926</v>
      </c>
      <c r="B16852">
        <v>0</v>
      </c>
    </row>
    <row r="16853" spans="1:2" x14ac:dyDescent="0.25">
      <c r="A16853">
        <v>32927</v>
      </c>
      <c r="B16853">
        <v>0</v>
      </c>
    </row>
    <row r="16854" spans="1:2" x14ac:dyDescent="0.25">
      <c r="A16854">
        <v>32928</v>
      </c>
      <c r="B16854">
        <v>0</v>
      </c>
    </row>
    <row r="16855" spans="1:2" x14ac:dyDescent="0.25">
      <c r="A16855">
        <v>32929</v>
      </c>
      <c r="B16855">
        <v>0</v>
      </c>
    </row>
    <row r="16856" spans="1:2" x14ac:dyDescent="0.25">
      <c r="A16856">
        <v>32930</v>
      </c>
      <c r="B16856">
        <v>0</v>
      </c>
    </row>
    <row r="16857" spans="1:2" x14ac:dyDescent="0.25">
      <c r="A16857">
        <v>32931</v>
      </c>
      <c r="B16857">
        <v>0</v>
      </c>
    </row>
    <row r="16858" spans="1:2" x14ac:dyDescent="0.25">
      <c r="A16858">
        <v>32932</v>
      </c>
      <c r="B16858">
        <v>0</v>
      </c>
    </row>
    <row r="16859" spans="1:2" x14ac:dyDescent="0.25">
      <c r="A16859">
        <v>32933</v>
      </c>
      <c r="B16859">
        <v>0</v>
      </c>
    </row>
    <row r="16860" spans="1:2" x14ac:dyDescent="0.25">
      <c r="A16860">
        <v>32934</v>
      </c>
      <c r="B16860">
        <v>0</v>
      </c>
    </row>
    <row r="16861" spans="1:2" x14ac:dyDescent="0.25">
      <c r="A16861">
        <v>32935</v>
      </c>
      <c r="B16861">
        <v>0</v>
      </c>
    </row>
    <row r="16862" spans="1:2" x14ac:dyDescent="0.25">
      <c r="A16862">
        <v>32936</v>
      </c>
      <c r="B16862">
        <v>0</v>
      </c>
    </row>
    <row r="16863" spans="1:2" x14ac:dyDescent="0.25">
      <c r="A16863">
        <v>32937</v>
      </c>
      <c r="B16863">
        <v>0</v>
      </c>
    </row>
    <row r="16864" spans="1:2" x14ac:dyDescent="0.25">
      <c r="A16864">
        <v>32939</v>
      </c>
      <c r="B16864">
        <v>0</v>
      </c>
    </row>
    <row r="16865" spans="1:2" x14ac:dyDescent="0.25">
      <c r="A16865">
        <v>32945</v>
      </c>
      <c r="B16865">
        <v>0</v>
      </c>
    </row>
    <row r="16866" spans="1:2" x14ac:dyDescent="0.25">
      <c r="A16866">
        <v>32947</v>
      </c>
      <c r="B16866">
        <v>0</v>
      </c>
    </row>
    <row r="16867" spans="1:2" x14ac:dyDescent="0.25">
      <c r="A16867">
        <v>32952</v>
      </c>
      <c r="B16867">
        <v>0</v>
      </c>
    </row>
    <row r="16868" spans="1:2" x14ac:dyDescent="0.25">
      <c r="A16868">
        <v>32957</v>
      </c>
      <c r="B16868">
        <v>0</v>
      </c>
    </row>
    <row r="16869" spans="1:2" x14ac:dyDescent="0.25">
      <c r="A16869">
        <v>32958</v>
      </c>
      <c r="B16869">
        <v>0</v>
      </c>
    </row>
    <row r="16870" spans="1:2" x14ac:dyDescent="0.25">
      <c r="A16870">
        <v>32960</v>
      </c>
      <c r="B16870">
        <v>0</v>
      </c>
    </row>
    <row r="16871" spans="1:2" x14ac:dyDescent="0.25">
      <c r="A16871">
        <v>32963</v>
      </c>
      <c r="B16871">
        <v>0</v>
      </c>
    </row>
    <row r="16872" spans="1:2" x14ac:dyDescent="0.25">
      <c r="A16872">
        <v>32965</v>
      </c>
      <c r="B16872">
        <v>0</v>
      </c>
    </row>
    <row r="16873" spans="1:2" x14ac:dyDescent="0.25">
      <c r="A16873">
        <v>32967</v>
      </c>
      <c r="B16873">
        <v>0</v>
      </c>
    </row>
    <row r="16874" spans="1:2" x14ac:dyDescent="0.25">
      <c r="A16874">
        <v>32968</v>
      </c>
      <c r="B16874">
        <v>0</v>
      </c>
    </row>
    <row r="16875" spans="1:2" x14ac:dyDescent="0.25">
      <c r="A16875">
        <v>32969</v>
      </c>
      <c r="B16875">
        <v>0</v>
      </c>
    </row>
    <row r="16876" spans="1:2" x14ac:dyDescent="0.25">
      <c r="A16876">
        <v>32970</v>
      </c>
      <c r="B16876">
        <v>0</v>
      </c>
    </row>
    <row r="16877" spans="1:2" x14ac:dyDescent="0.25">
      <c r="A16877">
        <v>32976</v>
      </c>
      <c r="B16877">
        <v>0</v>
      </c>
    </row>
    <row r="16878" spans="1:2" x14ac:dyDescent="0.25">
      <c r="A16878">
        <v>32991</v>
      </c>
      <c r="B16878">
        <v>0</v>
      </c>
    </row>
    <row r="16879" spans="1:2" x14ac:dyDescent="0.25">
      <c r="A16879">
        <v>32992</v>
      </c>
      <c r="B16879">
        <v>0</v>
      </c>
    </row>
    <row r="16880" spans="1:2" x14ac:dyDescent="0.25">
      <c r="A16880">
        <v>32996</v>
      </c>
      <c r="B16880">
        <v>0</v>
      </c>
    </row>
    <row r="16881" spans="1:2" x14ac:dyDescent="0.25">
      <c r="A16881">
        <v>32998</v>
      </c>
      <c r="B16881">
        <v>0</v>
      </c>
    </row>
    <row r="16882" spans="1:2" x14ac:dyDescent="0.25">
      <c r="A16882">
        <v>33010</v>
      </c>
      <c r="B16882">
        <v>0</v>
      </c>
    </row>
    <row r="16883" spans="1:2" x14ac:dyDescent="0.25">
      <c r="A16883">
        <v>33012</v>
      </c>
      <c r="B16883">
        <v>0</v>
      </c>
    </row>
    <row r="16884" spans="1:2" x14ac:dyDescent="0.25">
      <c r="A16884">
        <v>33014</v>
      </c>
      <c r="B16884">
        <v>0</v>
      </c>
    </row>
    <row r="16885" spans="1:2" x14ac:dyDescent="0.25">
      <c r="A16885">
        <v>33016</v>
      </c>
      <c r="B16885">
        <v>0</v>
      </c>
    </row>
    <row r="16886" spans="1:2" x14ac:dyDescent="0.25">
      <c r="A16886">
        <v>33018</v>
      </c>
      <c r="B16886">
        <v>0</v>
      </c>
    </row>
    <row r="16887" spans="1:2" x14ac:dyDescent="0.25">
      <c r="A16887">
        <v>33020</v>
      </c>
      <c r="B16887">
        <v>0</v>
      </c>
    </row>
    <row r="16888" spans="1:2" x14ac:dyDescent="0.25">
      <c r="A16888">
        <v>33026</v>
      </c>
      <c r="B16888">
        <v>0</v>
      </c>
    </row>
    <row r="16889" spans="1:2" x14ac:dyDescent="0.25">
      <c r="A16889">
        <v>33027</v>
      </c>
      <c r="B16889">
        <v>0</v>
      </c>
    </row>
    <row r="16890" spans="1:2" x14ac:dyDescent="0.25">
      <c r="A16890">
        <v>33028</v>
      </c>
      <c r="B16890">
        <v>0</v>
      </c>
    </row>
    <row r="16891" spans="1:2" x14ac:dyDescent="0.25">
      <c r="A16891">
        <v>33029</v>
      </c>
      <c r="B16891">
        <v>0</v>
      </c>
    </row>
    <row r="16892" spans="1:2" x14ac:dyDescent="0.25">
      <c r="A16892">
        <v>33030</v>
      </c>
      <c r="B16892">
        <v>0</v>
      </c>
    </row>
    <row r="16893" spans="1:2" x14ac:dyDescent="0.25">
      <c r="A16893">
        <v>33031</v>
      </c>
      <c r="B16893">
        <v>0</v>
      </c>
    </row>
    <row r="16894" spans="1:2" x14ac:dyDescent="0.25">
      <c r="A16894">
        <v>33032</v>
      </c>
      <c r="B16894">
        <v>0</v>
      </c>
    </row>
    <row r="16895" spans="1:2" x14ac:dyDescent="0.25">
      <c r="A16895">
        <v>33033</v>
      </c>
      <c r="B16895">
        <v>0</v>
      </c>
    </row>
    <row r="16896" spans="1:2" x14ac:dyDescent="0.25">
      <c r="A16896">
        <v>33035</v>
      </c>
      <c r="B16896">
        <v>0</v>
      </c>
    </row>
    <row r="16897" spans="1:2" x14ac:dyDescent="0.25">
      <c r="A16897">
        <v>33037</v>
      </c>
      <c r="B16897">
        <v>0</v>
      </c>
    </row>
    <row r="16898" spans="1:2" x14ac:dyDescent="0.25">
      <c r="A16898">
        <v>33039</v>
      </c>
      <c r="B16898">
        <v>0</v>
      </c>
    </row>
    <row r="16899" spans="1:2" x14ac:dyDescent="0.25">
      <c r="A16899">
        <v>33040</v>
      </c>
      <c r="B16899">
        <v>0</v>
      </c>
    </row>
    <row r="16900" spans="1:2" x14ac:dyDescent="0.25">
      <c r="A16900">
        <v>33042</v>
      </c>
      <c r="B16900">
        <v>0</v>
      </c>
    </row>
    <row r="16901" spans="1:2" x14ac:dyDescent="0.25">
      <c r="A16901">
        <v>33044</v>
      </c>
      <c r="B16901">
        <v>0</v>
      </c>
    </row>
    <row r="16902" spans="1:2" x14ac:dyDescent="0.25">
      <c r="A16902">
        <v>33046</v>
      </c>
      <c r="B16902">
        <v>0</v>
      </c>
    </row>
    <row r="16903" spans="1:2" x14ac:dyDescent="0.25">
      <c r="A16903">
        <v>33048</v>
      </c>
      <c r="B16903">
        <v>0</v>
      </c>
    </row>
    <row r="16904" spans="1:2" x14ac:dyDescent="0.25">
      <c r="A16904">
        <v>33050</v>
      </c>
      <c r="B16904">
        <v>0</v>
      </c>
    </row>
    <row r="16905" spans="1:2" x14ac:dyDescent="0.25">
      <c r="A16905">
        <v>33052</v>
      </c>
      <c r="B16905">
        <v>0</v>
      </c>
    </row>
    <row r="16906" spans="1:2" x14ac:dyDescent="0.25">
      <c r="A16906">
        <v>33054</v>
      </c>
      <c r="B16906">
        <v>0</v>
      </c>
    </row>
    <row r="16907" spans="1:2" x14ac:dyDescent="0.25">
      <c r="A16907">
        <v>33055</v>
      </c>
      <c r="B16907">
        <v>0</v>
      </c>
    </row>
    <row r="16908" spans="1:2" x14ac:dyDescent="0.25">
      <c r="A16908">
        <v>33056</v>
      </c>
      <c r="B16908">
        <v>0</v>
      </c>
    </row>
    <row r="16909" spans="1:2" x14ac:dyDescent="0.25">
      <c r="A16909">
        <v>33061</v>
      </c>
      <c r="B16909">
        <v>0</v>
      </c>
    </row>
    <row r="16910" spans="1:2" x14ac:dyDescent="0.25">
      <c r="A16910">
        <v>33062</v>
      </c>
      <c r="B16910">
        <v>0</v>
      </c>
    </row>
    <row r="16911" spans="1:2" x14ac:dyDescent="0.25">
      <c r="A16911">
        <v>33063</v>
      </c>
      <c r="B16911">
        <v>0</v>
      </c>
    </row>
    <row r="16912" spans="1:2" x14ac:dyDescent="0.25">
      <c r="A16912">
        <v>33064</v>
      </c>
      <c r="B16912">
        <v>0</v>
      </c>
    </row>
    <row r="16913" spans="1:2" x14ac:dyDescent="0.25">
      <c r="A16913">
        <v>33066</v>
      </c>
      <c r="B16913">
        <v>0</v>
      </c>
    </row>
    <row r="16914" spans="1:2" x14ac:dyDescent="0.25">
      <c r="A16914">
        <v>33073</v>
      </c>
      <c r="B16914">
        <v>0</v>
      </c>
    </row>
    <row r="16915" spans="1:2" x14ac:dyDescent="0.25">
      <c r="A16915">
        <v>33078</v>
      </c>
      <c r="B16915">
        <v>0</v>
      </c>
    </row>
    <row r="16916" spans="1:2" x14ac:dyDescent="0.25">
      <c r="A16916">
        <v>33082</v>
      </c>
      <c r="B16916">
        <v>0</v>
      </c>
    </row>
    <row r="16917" spans="1:2" x14ac:dyDescent="0.25">
      <c r="A16917">
        <v>33084</v>
      </c>
      <c r="B16917">
        <v>0</v>
      </c>
    </row>
    <row r="16918" spans="1:2" x14ac:dyDescent="0.25">
      <c r="A16918">
        <v>33087</v>
      </c>
      <c r="B16918">
        <v>0</v>
      </c>
    </row>
    <row r="16919" spans="1:2" x14ac:dyDescent="0.25">
      <c r="A16919">
        <v>33090</v>
      </c>
      <c r="B16919">
        <v>0</v>
      </c>
    </row>
    <row r="16920" spans="1:2" x14ac:dyDescent="0.25">
      <c r="A16920">
        <v>33093</v>
      </c>
      <c r="B16920">
        <v>0</v>
      </c>
    </row>
    <row r="16921" spans="1:2" x14ac:dyDescent="0.25">
      <c r="A16921">
        <v>33095</v>
      </c>
      <c r="B16921">
        <v>0</v>
      </c>
    </row>
    <row r="16922" spans="1:2" x14ac:dyDescent="0.25">
      <c r="A16922">
        <v>33097</v>
      </c>
      <c r="B16922">
        <v>0</v>
      </c>
    </row>
    <row r="16923" spans="1:2" x14ac:dyDescent="0.25">
      <c r="A16923">
        <v>33099</v>
      </c>
      <c r="B16923">
        <v>0</v>
      </c>
    </row>
    <row r="16924" spans="1:2" x14ac:dyDescent="0.25">
      <c r="A16924">
        <v>33101</v>
      </c>
      <c r="B16924">
        <v>0</v>
      </c>
    </row>
    <row r="16925" spans="1:2" x14ac:dyDescent="0.25">
      <c r="A16925">
        <v>33103</v>
      </c>
      <c r="B16925">
        <v>0</v>
      </c>
    </row>
    <row r="16926" spans="1:2" x14ac:dyDescent="0.25">
      <c r="A16926">
        <v>33105</v>
      </c>
      <c r="B16926">
        <v>0</v>
      </c>
    </row>
    <row r="16927" spans="1:2" x14ac:dyDescent="0.25">
      <c r="A16927">
        <v>33106</v>
      </c>
      <c r="B16927">
        <v>0</v>
      </c>
    </row>
    <row r="16928" spans="1:2" x14ac:dyDescent="0.25">
      <c r="A16928">
        <v>33107</v>
      </c>
      <c r="B16928">
        <v>0</v>
      </c>
    </row>
    <row r="16929" spans="1:2" x14ac:dyDescent="0.25">
      <c r="A16929">
        <v>33109</v>
      </c>
      <c r="B16929">
        <v>0</v>
      </c>
    </row>
    <row r="16930" spans="1:2" x14ac:dyDescent="0.25">
      <c r="A16930">
        <v>33115</v>
      </c>
      <c r="B16930">
        <v>0</v>
      </c>
    </row>
    <row r="16931" spans="1:2" x14ac:dyDescent="0.25">
      <c r="A16931">
        <v>33116</v>
      </c>
      <c r="B16931">
        <v>0</v>
      </c>
    </row>
    <row r="16932" spans="1:2" x14ac:dyDescent="0.25">
      <c r="A16932">
        <v>33117</v>
      </c>
      <c r="B16932">
        <v>0</v>
      </c>
    </row>
    <row r="16933" spans="1:2" x14ac:dyDescent="0.25">
      <c r="A16933">
        <v>33118</v>
      </c>
      <c r="B16933">
        <v>0</v>
      </c>
    </row>
    <row r="16934" spans="1:2" x14ac:dyDescent="0.25">
      <c r="A16934">
        <v>33119</v>
      </c>
      <c r="B16934">
        <v>0</v>
      </c>
    </row>
    <row r="16935" spans="1:2" x14ac:dyDescent="0.25">
      <c r="A16935">
        <v>33120</v>
      </c>
      <c r="B16935">
        <v>0</v>
      </c>
    </row>
    <row r="16936" spans="1:2" x14ac:dyDescent="0.25">
      <c r="A16936">
        <v>33121</v>
      </c>
      <c r="B16936">
        <v>0</v>
      </c>
    </row>
    <row r="16937" spans="1:2" x14ac:dyDescent="0.25">
      <c r="A16937">
        <v>33122</v>
      </c>
      <c r="B16937">
        <v>0</v>
      </c>
    </row>
    <row r="16938" spans="1:2" x14ac:dyDescent="0.25">
      <c r="A16938">
        <v>33123</v>
      </c>
      <c r="B16938">
        <v>0</v>
      </c>
    </row>
    <row r="16939" spans="1:2" x14ac:dyDescent="0.25">
      <c r="A16939">
        <v>33124</v>
      </c>
      <c r="B16939">
        <v>0</v>
      </c>
    </row>
    <row r="16940" spans="1:2" x14ac:dyDescent="0.25">
      <c r="A16940">
        <v>33125</v>
      </c>
      <c r="B16940">
        <v>0</v>
      </c>
    </row>
    <row r="16941" spans="1:2" x14ac:dyDescent="0.25">
      <c r="A16941">
        <v>33128</v>
      </c>
      <c r="B16941">
        <v>0</v>
      </c>
    </row>
    <row r="16942" spans="1:2" x14ac:dyDescent="0.25">
      <c r="A16942">
        <v>33130</v>
      </c>
      <c r="B16942">
        <v>0</v>
      </c>
    </row>
    <row r="16943" spans="1:2" x14ac:dyDescent="0.25">
      <c r="A16943">
        <v>33132</v>
      </c>
      <c r="B16943">
        <v>0</v>
      </c>
    </row>
    <row r="16944" spans="1:2" x14ac:dyDescent="0.25">
      <c r="A16944">
        <v>33135</v>
      </c>
      <c r="B16944">
        <v>0</v>
      </c>
    </row>
    <row r="16945" spans="1:2" x14ac:dyDescent="0.25">
      <c r="A16945">
        <v>33137</v>
      </c>
      <c r="B16945">
        <v>0</v>
      </c>
    </row>
    <row r="16946" spans="1:2" x14ac:dyDescent="0.25">
      <c r="A16946">
        <v>33148</v>
      </c>
      <c r="B16946">
        <v>0</v>
      </c>
    </row>
    <row r="16947" spans="1:2" x14ac:dyDescent="0.25">
      <c r="A16947">
        <v>33152</v>
      </c>
      <c r="B16947">
        <v>0</v>
      </c>
    </row>
    <row r="16948" spans="1:2" x14ac:dyDescent="0.25">
      <c r="A16948">
        <v>33153</v>
      </c>
      <c r="B16948">
        <v>0</v>
      </c>
    </row>
    <row r="16949" spans="1:2" x14ac:dyDescent="0.25">
      <c r="A16949">
        <v>33155</v>
      </c>
      <c r="B16949">
        <v>0</v>
      </c>
    </row>
    <row r="16950" spans="1:2" x14ac:dyDescent="0.25">
      <c r="A16950">
        <v>33157</v>
      </c>
      <c r="B16950">
        <v>0</v>
      </c>
    </row>
    <row r="16951" spans="1:2" x14ac:dyDescent="0.25">
      <c r="A16951">
        <v>33159</v>
      </c>
      <c r="B16951">
        <v>0</v>
      </c>
    </row>
    <row r="16952" spans="1:2" x14ac:dyDescent="0.25">
      <c r="A16952">
        <v>33161</v>
      </c>
      <c r="B16952">
        <v>0</v>
      </c>
    </row>
    <row r="16953" spans="1:2" x14ac:dyDescent="0.25">
      <c r="A16953">
        <v>33163</v>
      </c>
      <c r="B16953">
        <v>0</v>
      </c>
    </row>
    <row r="16954" spans="1:2" x14ac:dyDescent="0.25">
      <c r="A16954">
        <v>33164</v>
      </c>
      <c r="B16954">
        <v>0</v>
      </c>
    </row>
    <row r="16955" spans="1:2" x14ac:dyDescent="0.25">
      <c r="A16955">
        <v>33165</v>
      </c>
      <c r="B16955">
        <v>0</v>
      </c>
    </row>
    <row r="16956" spans="1:2" x14ac:dyDescent="0.25">
      <c r="A16956">
        <v>33167</v>
      </c>
      <c r="B16956">
        <v>0</v>
      </c>
    </row>
    <row r="16957" spans="1:2" x14ac:dyDescent="0.25">
      <c r="A16957">
        <v>33168</v>
      </c>
      <c r="B16957">
        <v>0</v>
      </c>
    </row>
    <row r="16958" spans="1:2" x14ac:dyDescent="0.25">
      <c r="A16958">
        <v>33171</v>
      </c>
      <c r="B16958">
        <v>0</v>
      </c>
    </row>
    <row r="16959" spans="1:2" x14ac:dyDescent="0.25">
      <c r="A16959">
        <v>33173</v>
      </c>
      <c r="B16959">
        <v>0</v>
      </c>
    </row>
    <row r="16960" spans="1:2" x14ac:dyDescent="0.25">
      <c r="A16960">
        <v>33177</v>
      </c>
      <c r="B16960">
        <v>0</v>
      </c>
    </row>
    <row r="16961" spans="1:2" x14ac:dyDescent="0.25">
      <c r="A16961">
        <v>33178</v>
      </c>
      <c r="B16961">
        <v>0</v>
      </c>
    </row>
    <row r="16962" spans="1:2" x14ac:dyDescent="0.25">
      <c r="A16962">
        <v>33203</v>
      </c>
      <c r="B16962">
        <v>0</v>
      </c>
    </row>
    <row r="16963" spans="1:2" x14ac:dyDescent="0.25">
      <c r="A16963">
        <v>33205</v>
      </c>
      <c r="B16963">
        <v>0</v>
      </c>
    </row>
    <row r="16964" spans="1:2" x14ac:dyDescent="0.25">
      <c r="A16964">
        <v>33206</v>
      </c>
      <c r="B16964">
        <v>0</v>
      </c>
    </row>
    <row r="16965" spans="1:2" x14ac:dyDescent="0.25">
      <c r="A16965">
        <v>33207</v>
      </c>
      <c r="B16965">
        <v>0</v>
      </c>
    </row>
    <row r="16966" spans="1:2" x14ac:dyDescent="0.25">
      <c r="A16966">
        <v>33208</v>
      </c>
      <c r="B16966">
        <v>0</v>
      </c>
    </row>
    <row r="16967" spans="1:2" x14ac:dyDescent="0.25">
      <c r="A16967">
        <v>33210</v>
      </c>
      <c r="B16967">
        <v>0</v>
      </c>
    </row>
    <row r="16968" spans="1:2" x14ac:dyDescent="0.25">
      <c r="A16968">
        <v>33212</v>
      </c>
      <c r="B16968">
        <v>0</v>
      </c>
    </row>
    <row r="16969" spans="1:2" x14ac:dyDescent="0.25">
      <c r="A16969">
        <v>33213</v>
      </c>
      <c r="B16969">
        <v>0</v>
      </c>
    </row>
    <row r="16970" spans="1:2" x14ac:dyDescent="0.25">
      <c r="A16970">
        <v>33214</v>
      </c>
      <c r="B16970">
        <v>0</v>
      </c>
    </row>
    <row r="16971" spans="1:2" x14ac:dyDescent="0.25">
      <c r="A16971">
        <v>33215</v>
      </c>
      <c r="B16971">
        <v>0</v>
      </c>
    </row>
    <row r="16972" spans="1:2" x14ac:dyDescent="0.25">
      <c r="A16972">
        <v>33216</v>
      </c>
      <c r="B16972">
        <v>0</v>
      </c>
    </row>
    <row r="16973" spans="1:2" x14ac:dyDescent="0.25">
      <c r="A16973">
        <v>33217</v>
      </c>
      <c r="B16973">
        <v>0</v>
      </c>
    </row>
    <row r="16974" spans="1:2" x14ac:dyDescent="0.25">
      <c r="A16974">
        <v>33218</v>
      </c>
      <c r="B16974">
        <v>0</v>
      </c>
    </row>
    <row r="16975" spans="1:2" x14ac:dyDescent="0.25">
      <c r="A16975">
        <v>33219</v>
      </c>
      <c r="B16975">
        <v>0</v>
      </c>
    </row>
    <row r="16976" spans="1:2" x14ac:dyDescent="0.25">
      <c r="A16976">
        <v>33220</v>
      </c>
      <c r="B16976">
        <v>0</v>
      </c>
    </row>
    <row r="16977" spans="1:2" x14ac:dyDescent="0.25">
      <c r="A16977">
        <v>33222</v>
      </c>
      <c r="B16977">
        <v>0</v>
      </c>
    </row>
    <row r="16978" spans="1:2" x14ac:dyDescent="0.25">
      <c r="A16978">
        <v>33223</v>
      </c>
      <c r="B16978">
        <v>0</v>
      </c>
    </row>
    <row r="16979" spans="1:2" x14ac:dyDescent="0.25">
      <c r="A16979">
        <v>33224</v>
      </c>
      <c r="B16979">
        <v>0</v>
      </c>
    </row>
    <row r="16980" spans="1:2" x14ac:dyDescent="0.25">
      <c r="A16980">
        <v>33226</v>
      </c>
      <c r="B16980">
        <v>0</v>
      </c>
    </row>
    <row r="16981" spans="1:2" x14ac:dyDescent="0.25">
      <c r="A16981">
        <v>33231</v>
      </c>
      <c r="B16981">
        <v>0</v>
      </c>
    </row>
    <row r="16982" spans="1:2" x14ac:dyDescent="0.25">
      <c r="A16982">
        <v>33233</v>
      </c>
      <c r="B16982">
        <v>0</v>
      </c>
    </row>
    <row r="16983" spans="1:2" x14ac:dyDescent="0.25">
      <c r="A16983">
        <v>33235</v>
      </c>
      <c r="B16983">
        <v>0</v>
      </c>
    </row>
    <row r="16984" spans="1:2" x14ac:dyDescent="0.25">
      <c r="A16984">
        <v>33236</v>
      </c>
      <c r="B16984">
        <v>0</v>
      </c>
    </row>
    <row r="16985" spans="1:2" x14ac:dyDescent="0.25">
      <c r="A16985">
        <v>33238</v>
      </c>
      <c r="B16985">
        <v>0</v>
      </c>
    </row>
    <row r="16986" spans="1:2" x14ac:dyDescent="0.25">
      <c r="A16986">
        <v>33239</v>
      </c>
      <c r="B16986">
        <v>0</v>
      </c>
    </row>
    <row r="16987" spans="1:2" x14ac:dyDescent="0.25">
      <c r="A16987">
        <v>33240</v>
      </c>
      <c r="B16987">
        <v>0</v>
      </c>
    </row>
    <row r="16988" spans="1:2" x14ac:dyDescent="0.25">
      <c r="A16988">
        <v>33242</v>
      </c>
      <c r="B16988">
        <v>0</v>
      </c>
    </row>
    <row r="16989" spans="1:2" x14ac:dyDescent="0.25">
      <c r="A16989">
        <v>33243</v>
      </c>
      <c r="B16989">
        <v>0</v>
      </c>
    </row>
    <row r="16990" spans="1:2" x14ac:dyDescent="0.25">
      <c r="A16990">
        <v>33245</v>
      </c>
      <c r="B16990">
        <v>0</v>
      </c>
    </row>
    <row r="16991" spans="1:2" x14ac:dyDescent="0.25">
      <c r="A16991">
        <v>33247</v>
      </c>
      <c r="B16991">
        <v>0</v>
      </c>
    </row>
    <row r="16992" spans="1:2" x14ac:dyDescent="0.25">
      <c r="A16992">
        <v>33249</v>
      </c>
      <c r="B16992">
        <v>0</v>
      </c>
    </row>
    <row r="16993" spans="1:2" x14ac:dyDescent="0.25">
      <c r="A16993">
        <v>33250</v>
      </c>
      <c r="B16993">
        <v>0</v>
      </c>
    </row>
    <row r="16994" spans="1:2" x14ac:dyDescent="0.25">
      <c r="A16994">
        <v>33251</v>
      </c>
      <c r="B16994">
        <v>0</v>
      </c>
    </row>
    <row r="16995" spans="1:2" x14ac:dyDescent="0.25">
      <c r="A16995">
        <v>33252</v>
      </c>
      <c r="B16995">
        <v>0</v>
      </c>
    </row>
    <row r="16996" spans="1:2" x14ac:dyDescent="0.25">
      <c r="A16996">
        <v>33254</v>
      </c>
      <c r="B16996">
        <v>0</v>
      </c>
    </row>
    <row r="16997" spans="1:2" x14ac:dyDescent="0.25">
      <c r="A16997">
        <v>33256</v>
      </c>
      <c r="B16997">
        <v>0</v>
      </c>
    </row>
    <row r="16998" spans="1:2" x14ac:dyDescent="0.25">
      <c r="A16998">
        <v>33258</v>
      </c>
      <c r="B16998">
        <v>0</v>
      </c>
    </row>
    <row r="16999" spans="1:2" x14ac:dyDescent="0.25">
      <c r="A16999">
        <v>33260</v>
      </c>
      <c r="B16999">
        <v>0</v>
      </c>
    </row>
    <row r="17000" spans="1:2" x14ac:dyDescent="0.25">
      <c r="A17000">
        <v>33262</v>
      </c>
      <c r="B17000">
        <v>0</v>
      </c>
    </row>
    <row r="17001" spans="1:2" x14ac:dyDescent="0.25">
      <c r="A17001">
        <v>33264</v>
      </c>
      <c r="B17001">
        <v>0</v>
      </c>
    </row>
    <row r="17002" spans="1:2" x14ac:dyDescent="0.25">
      <c r="A17002">
        <v>33266</v>
      </c>
      <c r="B17002">
        <v>0</v>
      </c>
    </row>
    <row r="17003" spans="1:2" x14ac:dyDescent="0.25">
      <c r="A17003">
        <v>33268</v>
      </c>
      <c r="B17003">
        <v>0</v>
      </c>
    </row>
    <row r="17004" spans="1:2" x14ac:dyDescent="0.25">
      <c r="A17004">
        <v>33270</v>
      </c>
      <c r="B17004">
        <v>0</v>
      </c>
    </row>
    <row r="17005" spans="1:2" x14ac:dyDescent="0.25">
      <c r="A17005">
        <v>33271</v>
      </c>
      <c r="B17005">
        <v>0</v>
      </c>
    </row>
    <row r="17006" spans="1:2" x14ac:dyDescent="0.25">
      <c r="A17006">
        <v>33272</v>
      </c>
      <c r="B17006">
        <v>0</v>
      </c>
    </row>
    <row r="17007" spans="1:2" x14ac:dyDescent="0.25">
      <c r="A17007">
        <v>33273</v>
      </c>
      <c r="B17007">
        <v>0</v>
      </c>
    </row>
    <row r="17008" spans="1:2" x14ac:dyDescent="0.25">
      <c r="A17008">
        <v>33292</v>
      </c>
      <c r="B17008">
        <v>0</v>
      </c>
    </row>
    <row r="17009" spans="1:2" x14ac:dyDescent="0.25">
      <c r="A17009">
        <v>33295</v>
      </c>
      <c r="B17009">
        <v>0</v>
      </c>
    </row>
    <row r="17010" spans="1:2" x14ac:dyDescent="0.25">
      <c r="A17010">
        <v>33296</v>
      </c>
      <c r="B17010">
        <v>0</v>
      </c>
    </row>
    <row r="17011" spans="1:2" x14ac:dyDescent="0.25">
      <c r="A17011">
        <v>33298</v>
      </c>
      <c r="B17011">
        <v>0</v>
      </c>
    </row>
    <row r="17012" spans="1:2" x14ac:dyDescent="0.25">
      <c r="A17012">
        <v>33301</v>
      </c>
      <c r="B17012">
        <v>0</v>
      </c>
    </row>
    <row r="17013" spans="1:2" x14ac:dyDescent="0.25">
      <c r="A17013">
        <v>33302</v>
      </c>
      <c r="B17013">
        <v>0</v>
      </c>
    </row>
    <row r="17014" spans="1:2" x14ac:dyDescent="0.25">
      <c r="A17014">
        <v>33303</v>
      </c>
      <c r="B17014">
        <v>0</v>
      </c>
    </row>
    <row r="17015" spans="1:2" x14ac:dyDescent="0.25">
      <c r="A17015">
        <v>33304</v>
      </c>
      <c r="B17015">
        <v>0</v>
      </c>
    </row>
    <row r="17016" spans="1:2" x14ac:dyDescent="0.25">
      <c r="A17016">
        <v>33305</v>
      </c>
      <c r="B17016">
        <v>0</v>
      </c>
    </row>
    <row r="17017" spans="1:2" x14ac:dyDescent="0.25">
      <c r="A17017">
        <v>33306</v>
      </c>
      <c r="B17017">
        <v>0</v>
      </c>
    </row>
    <row r="17018" spans="1:2" x14ac:dyDescent="0.25">
      <c r="A17018">
        <v>33307</v>
      </c>
      <c r="B17018">
        <v>0</v>
      </c>
    </row>
    <row r="17019" spans="1:2" x14ac:dyDescent="0.25">
      <c r="A17019">
        <v>33308</v>
      </c>
      <c r="B17019">
        <v>0</v>
      </c>
    </row>
    <row r="17020" spans="1:2" x14ac:dyDescent="0.25">
      <c r="A17020">
        <v>33309</v>
      </c>
      <c r="B17020">
        <v>0</v>
      </c>
    </row>
    <row r="17021" spans="1:2" x14ac:dyDescent="0.25">
      <c r="A17021">
        <v>33310</v>
      </c>
      <c r="B17021">
        <v>0</v>
      </c>
    </row>
    <row r="17022" spans="1:2" x14ac:dyDescent="0.25">
      <c r="A17022">
        <v>33311</v>
      </c>
      <c r="B17022">
        <v>0</v>
      </c>
    </row>
    <row r="17023" spans="1:2" x14ac:dyDescent="0.25">
      <c r="A17023">
        <v>33313</v>
      </c>
      <c r="B17023">
        <v>0</v>
      </c>
    </row>
    <row r="17024" spans="1:2" x14ac:dyDescent="0.25">
      <c r="A17024">
        <v>33314</v>
      </c>
      <c r="B17024">
        <v>0</v>
      </c>
    </row>
    <row r="17025" spans="1:2" x14ac:dyDescent="0.25">
      <c r="A17025">
        <v>33316</v>
      </c>
      <c r="B17025">
        <v>0</v>
      </c>
    </row>
    <row r="17026" spans="1:2" x14ac:dyDescent="0.25">
      <c r="A17026">
        <v>33318</v>
      </c>
      <c r="B17026">
        <v>0</v>
      </c>
    </row>
    <row r="17027" spans="1:2" x14ac:dyDescent="0.25">
      <c r="A17027">
        <v>33320</v>
      </c>
      <c r="B17027">
        <v>0</v>
      </c>
    </row>
    <row r="17028" spans="1:2" x14ac:dyDescent="0.25">
      <c r="A17028">
        <v>33324</v>
      </c>
      <c r="B17028">
        <v>0</v>
      </c>
    </row>
    <row r="17029" spans="1:2" x14ac:dyDescent="0.25">
      <c r="A17029">
        <v>33325</v>
      </c>
      <c r="B17029">
        <v>0</v>
      </c>
    </row>
    <row r="17030" spans="1:2" x14ac:dyDescent="0.25">
      <c r="A17030">
        <v>33326</v>
      </c>
      <c r="B17030">
        <v>0</v>
      </c>
    </row>
    <row r="17031" spans="1:2" x14ac:dyDescent="0.25">
      <c r="A17031">
        <v>33327</v>
      </c>
      <c r="B17031">
        <v>0</v>
      </c>
    </row>
    <row r="17032" spans="1:2" x14ac:dyDescent="0.25">
      <c r="A17032">
        <v>33328</v>
      </c>
      <c r="B17032">
        <v>0</v>
      </c>
    </row>
    <row r="17033" spans="1:2" x14ac:dyDescent="0.25">
      <c r="A17033">
        <v>33329</v>
      </c>
      <c r="B17033">
        <v>0</v>
      </c>
    </row>
    <row r="17034" spans="1:2" x14ac:dyDescent="0.25">
      <c r="A17034">
        <v>33330</v>
      </c>
      <c r="B17034">
        <v>0</v>
      </c>
    </row>
    <row r="17035" spans="1:2" x14ac:dyDescent="0.25">
      <c r="A17035">
        <v>33331</v>
      </c>
      <c r="B17035">
        <v>0</v>
      </c>
    </row>
    <row r="17036" spans="1:2" x14ac:dyDescent="0.25">
      <c r="A17036">
        <v>33332</v>
      </c>
      <c r="B17036">
        <v>0</v>
      </c>
    </row>
    <row r="17037" spans="1:2" x14ac:dyDescent="0.25">
      <c r="A17037">
        <v>33333</v>
      </c>
      <c r="B17037">
        <v>0</v>
      </c>
    </row>
    <row r="17038" spans="1:2" x14ac:dyDescent="0.25">
      <c r="A17038">
        <v>33334</v>
      </c>
      <c r="B17038">
        <v>0</v>
      </c>
    </row>
    <row r="17039" spans="1:2" x14ac:dyDescent="0.25">
      <c r="A17039">
        <v>33335</v>
      </c>
      <c r="B17039">
        <v>0</v>
      </c>
    </row>
    <row r="17040" spans="1:2" x14ac:dyDescent="0.25">
      <c r="A17040">
        <v>33336</v>
      </c>
      <c r="B17040">
        <v>0</v>
      </c>
    </row>
    <row r="17041" spans="1:2" x14ac:dyDescent="0.25">
      <c r="A17041">
        <v>33337</v>
      </c>
      <c r="B17041">
        <v>0</v>
      </c>
    </row>
    <row r="17042" spans="1:2" x14ac:dyDescent="0.25">
      <c r="A17042">
        <v>33338</v>
      </c>
      <c r="B17042">
        <v>0</v>
      </c>
    </row>
    <row r="17043" spans="1:2" x14ac:dyDescent="0.25">
      <c r="A17043">
        <v>33339</v>
      </c>
      <c r="B17043">
        <v>0</v>
      </c>
    </row>
    <row r="17044" spans="1:2" x14ac:dyDescent="0.25">
      <c r="A17044">
        <v>33340</v>
      </c>
      <c r="B17044">
        <v>0</v>
      </c>
    </row>
    <row r="17045" spans="1:2" x14ac:dyDescent="0.25">
      <c r="A17045">
        <v>33341</v>
      </c>
      <c r="B17045">
        <v>0</v>
      </c>
    </row>
    <row r="17046" spans="1:2" x14ac:dyDescent="0.25">
      <c r="A17046">
        <v>33342</v>
      </c>
      <c r="B17046">
        <v>0</v>
      </c>
    </row>
    <row r="17047" spans="1:2" x14ac:dyDescent="0.25">
      <c r="A17047">
        <v>33343</v>
      </c>
      <c r="B17047">
        <v>0</v>
      </c>
    </row>
    <row r="17048" spans="1:2" x14ac:dyDescent="0.25">
      <c r="A17048">
        <v>33344</v>
      </c>
      <c r="B17048">
        <v>0</v>
      </c>
    </row>
    <row r="17049" spans="1:2" x14ac:dyDescent="0.25">
      <c r="A17049">
        <v>33345</v>
      </c>
      <c r="B17049">
        <v>0</v>
      </c>
    </row>
    <row r="17050" spans="1:2" x14ac:dyDescent="0.25">
      <c r="A17050">
        <v>33347</v>
      </c>
      <c r="B17050">
        <v>0</v>
      </c>
    </row>
    <row r="17051" spans="1:2" x14ac:dyDescent="0.25">
      <c r="A17051">
        <v>33348</v>
      </c>
      <c r="B17051">
        <v>0</v>
      </c>
    </row>
    <row r="17052" spans="1:2" x14ac:dyDescent="0.25">
      <c r="A17052">
        <v>33349</v>
      </c>
      <c r="B17052">
        <v>0</v>
      </c>
    </row>
    <row r="17053" spans="1:2" x14ac:dyDescent="0.25">
      <c r="A17053">
        <v>33350</v>
      </c>
      <c r="B17053">
        <v>0</v>
      </c>
    </row>
    <row r="17054" spans="1:2" x14ac:dyDescent="0.25">
      <c r="A17054">
        <v>33351</v>
      </c>
      <c r="B17054">
        <v>0</v>
      </c>
    </row>
    <row r="17055" spans="1:2" x14ac:dyDescent="0.25">
      <c r="A17055">
        <v>33352</v>
      </c>
      <c r="B17055">
        <v>0</v>
      </c>
    </row>
    <row r="17056" spans="1:2" x14ac:dyDescent="0.25">
      <c r="A17056">
        <v>33353</v>
      </c>
      <c r="B17056">
        <v>0</v>
      </c>
    </row>
    <row r="17057" spans="1:2" x14ac:dyDescent="0.25">
      <c r="A17057">
        <v>33354</v>
      </c>
      <c r="B17057">
        <v>0</v>
      </c>
    </row>
    <row r="17058" spans="1:2" x14ac:dyDescent="0.25">
      <c r="A17058">
        <v>33355</v>
      </c>
      <c r="B17058">
        <v>0</v>
      </c>
    </row>
    <row r="17059" spans="1:2" x14ac:dyDescent="0.25">
      <c r="A17059">
        <v>33356</v>
      </c>
      <c r="B17059">
        <v>0</v>
      </c>
    </row>
    <row r="17060" spans="1:2" x14ac:dyDescent="0.25">
      <c r="A17060">
        <v>33357</v>
      </c>
      <c r="B17060">
        <v>0</v>
      </c>
    </row>
    <row r="17061" spans="1:2" x14ac:dyDescent="0.25">
      <c r="A17061">
        <v>33358</v>
      </c>
      <c r="B17061">
        <v>0</v>
      </c>
    </row>
    <row r="17062" spans="1:2" x14ac:dyDescent="0.25">
      <c r="A17062">
        <v>33359</v>
      </c>
      <c r="B17062">
        <v>0</v>
      </c>
    </row>
    <row r="17063" spans="1:2" x14ac:dyDescent="0.25">
      <c r="A17063">
        <v>33360</v>
      </c>
      <c r="B17063">
        <v>0</v>
      </c>
    </row>
    <row r="17064" spans="1:2" x14ac:dyDescent="0.25">
      <c r="A17064">
        <v>33361</v>
      </c>
      <c r="B17064">
        <v>0</v>
      </c>
    </row>
    <row r="17065" spans="1:2" x14ac:dyDescent="0.25">
      <c r="A17065">
        <v>33362</v>
      </c>
      <c r="B17065">
        <v>0</v>
      </c>
    </row>
    <row r="17066" spans="1:2" x14ac:dyDescent="0.25">
      <c r="A17066">
        <v>33363</v>
      </c>
      <c r="B17066">
        <v>0</v>
      </c>
    </row>
    <row r="17067" spans="1:2" x14ac:dyDescent="0.25">
      <c r="A17067">
        <v>33364</v>
      </c>
      <c r="B17067">
        <v>0</v>
      </c>
    </row>
    <row r="17068" spans="1:2" x14ac:dyDescent="0.25">
      <c r="A17068">
        <v>33365</v>
      </c>
      <c r="B17068">
        <v>0</v>
      </c>
    </row>
    <row r="17069" spans="1:2" x14ac:dyDescent="0.25">
      <c r="A17069">
        <v>33366</v>
      </c>
      <c r="B17069">
        <v>0</v>
      </c>
    </row>
    <row r="17070" spans="1:2" x14ac:dyDescent="0.25">
      <c r="A17070">
        <v>33367</v>
      </c>
      <c r="B17070">
        <v>0</v>
      </c>
    </row>
    <row r="17071" spans="1:2" x14ac:dyDescent="0.25">
      <c r="A17071">
        <v>33368</v>
      </c>
      <c r="B17071">
        <v>0</v>
      </c>
    </row>
    <row r="17072" spans="1:2" x14ac:dyDescent="0.25">
      <c r="A17072">
        <v>33369</v>
      </c>
      <c r="B17072">
        <v>0</v>
      </c>
    </row>
    <row r="17073" spans="1:2" x14ac:dyDescent="0.25">
      <c r="A17073">
        <v>33370</v>
      </c>
      <c r="B17073">
        <v>0</v>
      </c>
    </row>
    <row r="17074" spans="1:2" x14ac:dyDescent="0.25">
      <c r="A17074">
        <v>33371</v>
      </c>
      <c r="B17074">
        <v>0</v>
      </c>
    </row>
    <row r="17075" spans="1:2" x14ac:dyDescent="0.25">
      <c r="A17075">
        <v>33372</v>
      </c>
      <c r="B17075">
        <v>0</v>
      </c>
    </row>
    <row r="17076" spans="1:2" x14ac:dyDescent="0.25">
      <c r="A17076">
        <v>33373</v>
      </c>
      <c r="B17076">
        <v>0</v>
      </c>
    </row>
    <row r="17077" spans="1:2" x14ac:dyDescent="0.25">
      <c r="A17077">
        <v>33374</v>
      </c>
      <c r="B17077">
        <v>0</v>
      </c>
    </row>
    <row r="17078" spans="1:2" x14ac:dyDescent="0.25">
      <c r="A17078">
        <v>33399</v>
      </c>
      <c r="B17078">
        <v>0</v>
      </c>
    </row>
    <row r="17079" spans="1:2" x14ac:dyDescent="0.25">
      <c r="A17079">
        <v>33400</v>
      </c>
      <c r="B17079">
        <v>0</v>
      </c>
    </row>
    <row r="17080" spans="1:2" x14ac:dyDescent="0.25">
      <c r="A17080">
        <v>33402</v>
      </c>
      <c r="B17080">
        <v>0</v>
      </c>
    </row>
    <row r="17081" spans="1:2" x14ac:dyDescent="0.25">
      <c r="A17081">
        <v>33404</v>
      </c>
      <c r="B17081">
        <v>0</v>
      </c>
    </row>
    <row r="17082" spans="1:2" x14ac:dyDescent="0.25">
      <c r="A17082">
        <v>33405</v>
      </c>
      <c r="B17082">
        <v>0</v>
      </c>
    </row>
    <row r="17083" spans="1:2" x14ac:dyDescent="0.25">
      <c r="A17083">
        <v>33406</v>
      </c>
      <c r="B17083">
        <v>0</v>
      </c>
    </row>
    <row r="17084" spans="1:2" x14ac:dyDescent="0.25">
      <c r="A17084">
        <v>33407</v>
      </c>
      <c r="B17084">
        <v>0</v>
      </c>
    </row>
    <row r="17085" spans="1:2" x14ac:dyDescent="0.25">
      <c r="A17085">
        <v>33408</v>
      </c>
      <c r="B17085">
        <v>0</v>
      </c>
    </row>
    <row r="17086" spans="1:2" x14ac:dyDescent="0.25">
      <c r="A17086">
        <v>33409</v>
      </c>
      <c r="B17086">
        <v>0</v>
      </c>
    </row>
    <row r="17087" spans="1:2" x14ac:dyDescent="0.25">
      <c r="A17087">
        <v>33412</v>
      </c>
      <c r="B17087">
        <v>0</v>
      </c>
    </row>
    <row r="17088" spans="1:2" x14ac:dyDescent="0.25">
      <c r="A17088">
        <v>33414</v>
      </c>
      <c r="B17088">
        <v>0</v>
      </c>
    </row>
    <row r="17089" spans="1:2" x14ac:dyDescent="0.25">
      <c r="A17089">
        <v>33417</v>
      </c>
      <c r="B17089">
        <v>0</v>
      </c>
    </row>
    <row r="17090" spans="1:2" x14ac:dyDescent="0.25">
      <c r="A17090">
        <v>33419</v>
      </c>
      <c r="B17090">
        <v>0</v>
      </c>
    </row>
    <row r="17091" spans="1:2" x14ac:dyDescent="0.25">
      <c r="A17091">
        <v>33421</v>
      </c>
      <c r="B17091">
        <v>0</v>
      </c>
    </row>
    <row r="17092" spans="1:2" x14ac:dyDescent="0.25">
      <c r="A17092">
        <v>33423</v>
      </c>
      <c r="B17092">
        <v>0</v>
      </c>
    </row>
    <row r="17093" spans="1:2" x14ac:dyDescent="0.25">
      <c r="A17093">
        <v>33424</v>
      </c>
      <c r="B17093">
        <v>0</v>
      </c>
    </row>
    <row r="17094" spans="1:2" x14ac:dyDescent="0.25">
      <c r="A17094">
        <v>33426</v>
      </c>
      <c r="B17094">
        <v>0</v>
      </c>
    </row>
    <row r="17095" spans="1:2" x14ac:dyDescent="0.25">
      <c r="A17095">
        <v>33428</v>
      </c>
      <c r="B17095">
        <v>0</v>
      </c>
    </row>
    <row r="17096" spans="1:2" x14ac:dyDescent="0.25">
      <c r="A17096">
        <v>33430</v>
      </c>
      <c r="B17096">
        <v>0</v>
      </c>
    </row>
    <row r="17097" spans="1:2" x14ac:dyDescent="0.25">
      <c r="A17097">
        <v>33432</v>
      </c>
      <c r="B17097">
        <v>0</v>
      </c>
    </row>
    <row r="17098" spans="1:2" x14ac:dyDescent="0.25">
      <c r="A17098">
        <v>33434</v>
      </c>
      <c r="B17098">
        <v>0</v>
      </c>
    </row>
    <row r="17099" spans="1:2" x14ac:dyDescent="0.25">
      <c r="A17099">
        <v>33436</v>
      </c>
      <c r="B17099">
        <v>0</v>
      </c>
    </row>
    <row r="17100" spans="1:2" x14ac:dyDescent="0.25">
      <c r="A17100">
        <v>33438</v>
      </c>
      <c r="B17100">
        <v>0</v>
      </c>
    </row>
    <row r="17101" spans="1:2" x14ac:dyDescent="0.25">
      <c r="A17101">
        <v>33470</v>
      </c>
      <c r="B17101">
        <v>0</v>
      </c>
    </row>
    <row r="17102" spans="1:2" x14ac:dyDescent="0.25">
      <c r="A17102">
        <v>33474</v>
      </c>
      <c r="B17102">
        <v>0</v>
      </c>
    </row>
    <row r="17103" spans="1:2" x14ac:dyDescent="0.25">
      <c r="A17103">
        <v>33475</v>
      </c>
      <c r="B17103">
        <v>0</v>
      </c>
    </row>
    <row r="17104" spans="1:2" x14ac:dyDescent="0.25">
      <c r="A17104">
        <v>33476</v>
      </c>
      <c r="B17104">
        <v>0</v>
      </c>
    </row>
    <row r="17105" spans="1:2" x14ac:dyDescent="0.25">
      <c r="A17105">
        <v>33477</v>
      </c>
      <c r="B17105">
        <v>0</v>
      </c>
    </row>
    <row r="17106" spans="1:2" x14ac:dyDescent="0.25">
      <c r="A17106">
        <v>33478</v>
      </c>
      <c r="B17106">
        <v>0</v>
      </c>
    </row>
    <row r="17107" spans="1:2" x14ac:dyDescent="0.25">
      <c r="A17107">
        <v>33480</v>
      </c>
      <c r="B17107">
        <v>0</v>
      </c>
    </row>
    <row r="17108" spans="1:2" x14ac:dyDescent="0.25">
      <c r="A17108">
        <v>33481</v>
      </c>
      <c r="B17108">
        <v>0</v>
      </c>
    </row>
    <row r="17109" spans="1:2" x14ac:dyDescent="0.25">
      <c r="A17109">
        <v>33482</v>
      </c>
      <c r="B17109">
        <v>0</v>
      </c>
    </row>
    <row r="17110" spans="1:2" x14ac:dyDescent="0.25">
      <c r="A17110">
        <v>33483</v>
      </c>
      <c r="B17110">
        <v>0</v>
      </c>
    </row>
    <row r="17111" spans="1:2" x14ac:dyDescent="0.25">
      <c r="A17111">
        <v>33484</v>
      </c>
      <c r="B17111">
        <v>0</v>
      </c>
    </row>
    <row r="17112" spans="1:2" x14ac:dyDescent="0.25">
      <c r="A17112">
        <v>33485</v>
      </c>
      <c r="B17112">
        <v>0</v>
      </c>
    </row>
    <row r="17113" spans="1:2" x14ac:dyDescent="0.25">
      <c r="A17113">
        <v>33486</v>
      </c>
      <c r="B17113">
        <v>0</v>
      </c>
    </row>
    <row r="17114" spans="1:2" x14ac:dyDescent="0.25">
      <c r="A17114">
        <v>33487</v>
      </c>
      <c r="B17114">
        <v>0</v>
      </c>
    </row>
    <row r="17115" spans="1:2" x14ac:dyDescent="0.25">
      <c r="A17115">
        <v>33488</v>
      </c>
      <c r="B17115">
        <v>0</v>
      </c>
    </row>
    <row r="17116" spans="1:2" x14ac:dyDescent="0.25">
      <c r="A17116">
        <v>33490</v>
      </c>
      <c r="B17116">
        <v>0</v>
      </c>
    </row>
    <row r="17117" spans="1:2" x14ac:dyDescent="0.25">
      <c r="A17117">
        <v>33491</v>
      </c>
      <c r="B17117">
        <v>0</v>
      </c>
    </row>
    <row r="17118" spans="1:2" x14ac:dyDescent="0.25">
      <c r="A17118">
        <v>33522</v>
      </c>
      <c r="B17118">
        <v>0</v>
      </c>
    </row>
    <row r="17119" spans="1:2" x14ac:dyDescent="0.25">
      <c r="A17119">
        <v>33528</v>
      </c>
      <c r="B17119">
        <v>0</v>
      </c>
    </row>
    <row r="17120" spans="1:2" x14ac:dyDescent="0.25">
      <c r="A17120">
        <v>33529</v>
      </c>
      <c r="B17120">
        <v>0</v>
      </c>
    </row>
    <row r="17121" spans="1:2" x14ac:dyDescent="0.25">
      <c r="A17121">
        <v>33530</v>
      </c>
      <c r="B17121">
        <v>0</v>
      </c>
    </row>
    <row r="17122" spans="1:2" x14ac:dyDescent="0.25">
      <c r="A17122">
        <v>33531</v>
      </c>
      <c r="B17122">
        <v>0</v>
      </c>
    </row>
    <row r="17123" spans="1:2" x14ac:dyDescent="0.25">
      <c r="A17123">
        <v>33532</v>
      </c>
      <c r="B17123">
        <v>0</v>
      </c>
    </row>
    <row r="17124" spans="1:2" x14ac:dyDescent="0.25">
      <c r="A17124">
        <v>33533</v>
      </c>
      <c r="B17124">
        <v>0</v>
      </c>
    </row>
    <row r="17125" spans="1:2" x14ac:dyDescent="0.25">
      <c r="A17125">
        <v>33534</v>
      </c>
      <c r="B17125">
        <v>0</v>
      </c>
    </row>
    <row r="17126" spans="1:2" x14ac:dyDescent="0.25">
      <c r="A17126">
        <v>33535</v>
      </c>
      <c r="B17126">
        <v>0</v>
      </c>
    </row>
    <row r="17127" spans="1:2" x14ac:dyDescent="0.25">
      <c r="A17127">
        <v>33536</v>
      </c>
      <c r="B17127">
        <v>0</v>
      </c>
    </row>
    <row r="17128" spans="1:2" x14ac:dyDescent="0.25">
      <c r="A17128">
        <v>33537</v>
      </c>
      <c r="B17128">
        <v>0</v>
      </c>
    </row>
    <row r="17129" spans="1:2" x14ac:dyDescent="0.25">
      <c r="A17129">
        <v>33538</v>
      </c>
      <c r="B17129">
        <v>0</v>
      </c>
    </row>
    <row r="17130" spans="1:2" x14ac:dyDescent="0.25">
      <c r="A17130">
        <v>33539</v>
      </c>
      <c r="B17130">
        <v>0</v>
      </c>
    </row>
    <row r="17131" spans="1:2" x14ac:dyDescent="0.25">
      <c r="A17131">
        <v>33540</v>
      </c>
      <c r="B17131">
        <v>0</v>
      </c>
    </row>
    <row r="17132" spans="1:2" x14ac:dyDescent="0.25">
      <c r="A17132">
        <v>33541</v>
      </c>
      <c r="B17132">
        <v>0</v>
      </c>
    </row>
    <row r="17133" spans="1:2" x14ac:dyDescent="0.25">
      <c r="A17133">
        <v>33557</v>
      </c>
      <c r="B17133">
        <v>0</v>
      </c>
    </row>
    <row r="17134" spans="1:2" x14ac:dyDescent="0.25">
      <c r="A17134">
        <v>33559</v>
      </c>
      <c r="B17134">
        <v>0</v>
      </c>
    </row>
    <row r="17135" spans="1:2" x14ac:dyDescent="0.25">
      <c r="A17135">
        <v>33560</v>
      </c>
      <c r="B17135">
        <v>0</v>
      </c>
    </row>
    <row r="17136" spans="1:2" x14ac:dyDescent="0.25">
      <c r="A17136">
        <v>33561</v>
      </c>
      <c r="B17136">
        <v>0</v>
      </c>
    </row>
    <row r="17137" spans="1:2" x14ac:dyDescent="0.25">
      <c r="A17137">
        <v>33562</v>
      </c>
      <c r="B17137">
        <v>0</v>
      </c>
    </row>
    <row r="17138" spans="1:2" x14ac:dyDescent="0.25">
      <c r="A17138">
        <v>33563</v>
      </c>
      <c r="B17138">
        <v>0</v>
      </c>
    </row>
    <row r="17139" spans="1:2" x14ac:dyDescent="0.25">
      <c r="A17139">
        <v>33564</v>
      </c>
      <c r="B17139">
        <v>0</v>
      </c>
    </row>
    <row r="17140" spans="1:2" x14ac:dyDescent="0.25">
      <c r="A17140">
        <v>33565</v>
      </c>
      <c r="B17140">
        <v>0</v>
      </c>
    </row>
    <row r="17141" spans="1:2" x14ac:dyDescent="0.25">
      <c r="A17141">
        <v>33566</v>
      </c>
      <c r="B17141">
        <v>0</v>
      </c>
    </row>
    <row r="17142" spans="1:2" x14ac:dyDescent="0.25">
      <c r="A17142">
        <v>33567</v>
      </c>
      <c r="B17142">
        <v>0</v>
      </c>
    </row>
    <row r="17143" spans="1:2" x14ac:dyDescent="0.25">
      <c r="A17143">
        <v>33568</v>
      </c>
      <c r="B17143">
        <v>0</v>
      </c>
    </row>
    <row r="17144" spans="1:2" x14ac:dyDescent="0.25">
      <c r="A17144">
        <v>33569</v>
      </c>
      <c r="B17144">
        <v>0</v>
      </c>
    </row>
    <row r="17145" spans="1:2" x14ac:dyDescent="0.25">
      <c r="A17145">
        <v>33570</v>
      </c>
      <c r="B17145">
        <v>0</v>
      </c>
    </row>
    <row r="17146" spans="1:2" x14ac:dyDescent="0.25">
      <c r="A17146">
        <v>33571</v>
      </c>
      <c r="B17146">
        <v>0</v>
      </c>
    </row>
    <row r="17147" spans="1:2" x14ac:dyDescent="0.25">
      <c r="A17147">
        <v>33572</v>
      </c>
      <c r="B17147">
        <v>0</v>
      </c>
    </row>
    <row r="17148" spans="1:2" x14ac:dyDescent="0.25">
      <c r="A17148">
        <v>33573</v>
      </c>
      <c r="B17148">
        <v>0</v>
      </c>
    </row>
    <row r="17149" spans="1:2" x14ac:dyDescent="0.25">
      <c r="A17149">
        <v>33574</v>
      </c>
      <c r="B17149">
        <v>0</v>
      </c>
    </row>
    <row r="17150" spans="1:2" x14ac:dyDescent="0.25">
      <c r="A17150">
        <v>33576</v>
      </c>
      <c r="B17150">
        <v>0</v>
      </c>
    </row>
    <row r="17151" spans="1:2" x14ac:dyDescent="0.25">
      <c r="A17151">
        <v>33585</v>
      </c>
      <c r="B17151">
        <v>0</v>
      </c>
    </row>
    <row r="17152" spans="1:2" x14ac:dyDescent="0.25">
      <c r="A17152">
        <v>33588</v>
      </c>
      <c r="B17152">
        <v>0</v>
      </c>
    </row>
    <row r="17153" spans="1:2" x14ac:dyDescent="0.25">
      <c r="A17153">
        <v>33590</v>
      </c>
      <c r="B17153">
        <v>0</v>
      </c>
    </row>
    <row r="17154" spans="1:2" x14ac:dyDescent="0.25">
      <c r="A17154">
        <v>33592</v>
      </c>
      <c r="B17154">
        <v>0</v>
      </c>
    </row>
    <row r="17155" spans="1:2" x14ac:dyDescent="0.25">
      <c r="A17155">
        <v>33593</v>
      </c>
      <c r="B17155">
        <v>0</v>
      </c>
    </row>
    <row r="17156" spans="1:2" x14ac:dyDescent="0.25">
      <c r="A17156">
        <v>33595</v>
      </c>
      <c r="B17156">
        <v>0</v>
      </c>
    </row>
    <row r="17157" spans="1:2" x14ac:dyDescent="0.25">
      <c r="A17157">
        <v>33597</v>
      </c>
      <c r="B17157">
        <v>0</v>
      </c>
    </row>
    <row r="17158" spans="1:2" x14ac:dyDescent="0.25">
      <c r="A17158">
        <v>33611</v>
      </c>
      <c r="B17158">
        <v>0</v>
      </c>
    </row>
    <row r="17159" spans="1:2" x14ac:dyDescent="0.25">
      <c r="A17159">
        <v>33613</v>
      </c>
      <c r="B17159">
        <v>0</v>
      </c>
    </row>
    <row r="17160" spans="1:2" x14ac:dyDescent="0.25">
      <c r="A17160">
        <v>33614</v>
      </c>
      <c r="B17160">
        <v>0</v>
      </c>
    </row>
    <row r="17161" spans="1:2" x14ac:dyDescent="0.25">
      <c r="A17161">
        <v>33615</v>
      </c>
      <c r="B17161">
        <v>0</v>
      </c>
    </row>
    <row r="17162" spans="1:2" x14ac:dyDescent="0.25">
      <c r="A17162">
        <v>33616</v>
      </c>
      <c r="B17162">
        <v>0</v>
      </c>
    </row>
    <row r="17163" spans="1:2" x14ac:dyDescent="0.25">
      <c r="A17163">
        <v>33617</v>
      </c>
      <c r="B17163">
        <v>0</v>
      </c>
    </row>
    <row r="17164" spans="1:2" x14ac:dyDescent="0.25">
      <c r="A17164">
        <v>33618</v>
      </c>
      <c r="B17164">
        <v>0</v>
      </c>
    </row>
    <row r="17165" spans="1:2" x14ac:dyDescent="0.25">
      <c r="A17165">
        <v>33619</v>
      </c>
      <c r="B17165">
        <v>0</v>
      </c>
    </row>
    <row r="17166" spans="1:2" x14ac:dyDescent="0.25">
      <c r="A17166">
        <v>33621</v>
      </c>
      <c r="B17166">
        <v>0</v>
      </c>
    </row>
    <row r="17167" spans="1:2" x14ac:dyDescent="0.25">
      <c r="A17167">
        <v>33623</v>
      </c>
      <c r="B17167">
        <v>0</v>
      </c>
    </row>
    <row r="17168" spans="1:2" x14ac:dyDescent="0.25">
      <c r="A17168">
        <v>33625</v>
      </c>
      <c r="B17168">
        <v>0</v>
      </c>
    </row>
    <row r="17169" spans="1:2" x14ac:dyDescent="0.25">
      <c r="A17169">
        <v>33627</v>
      </c>
      <c r="B17169">
        <v>0</v>
      </c>
    </row>
    <row r="17170" spans="1:2" x14ac:dyDescent="0.25">
      <c r="A17170">
        <v>33629</v>
      </c>
      <c r="B17170">
        <v>0</v>
      </c>
    </row>
    <row r="17171" spans="1:2" x14ac:dyDescent="0.25">
      <c r="A17171">
        <v>33631</v>
      </c>
      <c r="B17171">
        <v>0</v>
      </c>
    </row>
    <row r="17172" spans="1:2" x14ac:dyDescent="0.25">
      <c r="A17172">
        <v>33633</v>
      </c>
      <c r="B17172">
        <v>0</v>
      </c>
    </row>
    <row r="17173" spans="1:2" x14ac:dyDescent="0.25">
      <c r="A17173">
        <v>33635</v>
      </c>
      <c r="B17173">
        <v>0</v>
      </c>
    </row>
    <row r="17174" spans="1:2" x14ac:dyDescent="0.25">
      <c r="A17174">
        <v>33636</v>
      </c>
      <c r="B17174">
        <v>0</v>
      </c>
    </row>
    <row r="17175" spans="1:2" x14ac:dyDescent="0.25">
      <c r="A17175">
        <v>33641</v>
      </c>
      <c r="B17175">
        <v>0</v>
      </c>
    </row>
    <row r="17176" spans="1:2" x14ac:dyDescent="0.25">
      <c r="A17176">
        <v>33642</v>
      </c>
      <c r="B17176">
        <v>0</v>
      </c>
    </row>
    <row r="17177" spans="1:2" x14ac:dyDescent="0.25">
      <c r="A17177">
        <v>33643</v>
      </c>
      <c r="B17177">
        <v>0</v>
      </c>
    </row>
    <row r="17178" spans="1:2" x14ac:dyDescent="0.25">
      <c r="A17178">
        <v>33644</v>
      </c>
      <c r="B17178">
        <v>0</v>
      </c>
    </row>
    <row r="17179" spans="1:2" x14ac:dyDescent="0.25">
      <c r="A17179">
        <v>33645</v>
      </c>
      <c r="B17179">
        <v>0</v>
      </c>
    </row>
    <row r="17180" spans="1:2" x14ac:dyDescent="0.25">
      <c r="A17180">
        <v>33647</v>
      </c>
      <c r="B17180">
        <v>0</v>
      </c>
    </row>
    <row r="17181" spans="1:2" x14ac:dyDescent="0.25">
      <c r="A17181">
        <v>33649</v>
      </c>
      <c r="B17181">
        <v>0</v>
      </c>
    </row>
    <row r="17182" spans="1:2" x14ac:dyDescent="0.25">
      <c r="A17182">
        <v>33651</v>
      </c>
      <c r="B17182">
        <v>0</v>
      </c>
    </row>
    <row r="17183" spans="1:2" x14ac:dyDescent="0.25">
      <c r="A17183">
        <v>33653</v>
      </c>
      <c r="B17183">
        <v>0</v>
      </c>
    </row>
    <row r="17184" spans="1:2" x14ac:dyDescent="0.25">
      <c r="A17184">
        <v>33655</v>
      </c>
      <c r="B17184">
        <v>0</v>
      </c>
    </row>
    <row r="17185" spans="1:2" x14ac:dyDescent="0.25">
      <c r="A17185">
        <v>33656</v>
      </c>
      <c r="B17185">
        <v>0</v>
      </c>
    </row>
    <row r="17186" spans="1:2" x14ac:dyDescent="0.25">
      <c r="A17186">
        <v>33658</v>
      </c>
      <c r="B17186">
        <v>0</v>
      </c>
    </row>
    <row r="17187" spans="1:2" x14ac:dyDescent="0.25">
      <c r="A17187">
        <v>33667</v>
      </c>
      <c r="B17187">
        <v>0</v>
      </c>
    </row>
    <row r="17188" spans="1:2" x14ac:dyDescent="0.25">
      <c r="A17188">
        <v>33669</v>
      </c>
      <c r="B17188">
        <v>0</v>
      </c>
    </row>
    <row r="17189" spans="1:2" x14ac:dyDescent="0.25">
      <c r="A17189">
        <v>33670</v>
      </c>
      <c r="B17189">
        <v>0</v>
      </c>
    </row>
    <row r="17190" spans="1:2" x14ac:dyDescent="0.25">
      <c r="A17190">
        <v>33671</v>
      </c>
      <c r="B17190">
        <v>0</v>
      </c>
    </row>
    <row r="17191" spans="1:2" x14ac:dyDescent="0.25">
      <c r="A17191">
        <v>33673</v>
      </c>
      <c r="B17191">
        <v>0</v>
      </c>
    </row>
    <row r="17192" spans="1:2" x14ac:dyDescent="0.25">
      <c r="A17192">
        <v>33676</v>
      </c>
      <c r="B17192">
        <v>0</v>
      </c>
    </row>
    <row r="17193" spans="1:2" x14ac:dyDescent="0.25">
      <c r="A17193">
        <v>33680</v>
      </c>
      <c r="B17193">
        <v>0</v>
      </c>
    </row>
    <row r="17194" spans="1:2" x14ac:dyDescent="0.25">
      <c r="A17194">
        <v>33683</v>
      </c>
      <c r="B17194">
        <v>0</v>
      </c>
    </row>
    <row r="17195" spans="1:2" x14ac:dyDescent="0.25">
      <c r="A17195">
        <v>33684</v>
      </c>
      <c r="B17195">
        <v>0</v>
      </c>
    </row>
    <row r="17196" spans="1:2" x14ac:dyDescent="0.25">
      <c r="A17196">
        <v>33688</v>
      </c>
      <c r="B17196">
        <v>0</v>
      </c>
    </row>
    <row r="17197" spans="1:2" x14ac:dyDescent="0.25">
      <c r="A17197">
        <v>33690</v>
      </c>
      <c r="B17197">
        <v>0</v>
      </c>
    </row>
    <row r="17198" spans="1:2" x14ac:dyDescent="0.25">
      <c r="A17198">
        <v>33692</v>
      </c>
      <c r="B17198">
        <v>0</v>
      </c>
    </row>
    <row r="17199" spans="1:2" x14ac:dyDescent="0.25">
      <c r="A17199">
        <v>33696</v>
      </c>
      <c r="B17199">
        <v>0</v>
      </c>
    </row>
    <row r="17200" spans="1:2" x14ac:dyDescent="0.25">
      <c r="A17200">
        <v>33698</v>
      </c>
      <c r="B17200">
        <v>0</v>
      </c>
    </row>
    <row r="17201" spans="1:2" x14ac:dyDescent="0.25">
      <c r="A17201">
        <v>33700</v>
      </c>
      <c r="B17201">
        <v>0</v>
      </c>
    </row>
    <row r="17202" spans="1:2" x14ac:dyDescent="0.25">
      <c r="A17202">
        <v>33702</v>
      </c>
      <c r="B17202">
        <v>0</v>
      </c>
    </row>
    <row r="17203" spans="1:2" x14ac:dyDescent="0.25">
      <c r="A17203">
        <v>33704</v>
      </c>
      <c r="B17203">
        <v>0</v>
      </c>
    </row>
    <row r="17204" spans="1:2" x14ac:dyDescent="0.25">
      <c r="A17204">
        <v>33706</v>
      </c>
      <c r="B17204">
        <v>0</v>
      </c>
    </row>
    <row r="17205" spans="1:2" x14ac:dyDescent="0.25">
      <c r="A17205">
        <v>33708</v>
      </c>
      <c r="B17205">
        <v>0</v>
      </c>
    </row>
    <row r="17206" spans="1:2" x14ac:dyDescent="0.25">
      <c r="A17206">
        <v>33710</v>
      </c>
      <c r="B17206">
        <v>0</v>
      </c>
    </row>
    <row r="17207" spans="1:2" x14ac:dyDescent="0.25">
      <c r="A17207">
        <v>33712</v>
      </c>
      <c r="B17207">
        <v>0</v>
      </c>
    </row>
    <row r="17208" spans="1:2" x14ac:dyDescent="0.25">
      <c r="A17208">
        <v>33715</v>
      </c>
      <c r="B17208">
        <v>0</v>
      </c>
    </row>
    <row r="17209" spans="1:2" x14ac:dyDescent="0.25">
      <c r="A17209">
        <v>33717</v>
      </c>
      <c r="B17209">
        <v>0</v>
      </c>
    </row>
    <row r="17210" spans="1:2" x14ac:dyDescent="0.25">
      <c r="A17210">
        <v>33718</v>
      </c>
      <c r="B17210">
        <v>0</v>
      </c>
    </row>
    <row r="17211" spans="1:2" x14ac:dyDescent="0.25">
      <c r="A17211">
        <v>33720</v>
      </c>
      <c r="B17211">
        <v>0</v>
      </c>
    </row>
    <row r="17212" spans="1:2" x14ac:dyDescent="0.25">
      <c r="A17212">
        <v>33722</v>
      </c>
      <c r="B17212">
        <v>0</v>
      </c>
    </row>
    <row r="17213" spans="1:2" x14ac:dyDescent="0.25">
      <c r="A17213">
        <v>33724</v>
      </c>
      <c r="B17213">
        <v>0</v>
      </c>
    </row>
    <row r="17214" spans="1:2" x14ac:dyDescent="0.25">
      <c r="A17214">
        <v>33726</v>
      </c>
      <c r="B17214">
        <v>0</v>
      </c>
    </row>
    <row r="17215" spans="1:2" x14ac:dyDescent="0.25">
      <c r="A17215">
        <v>33731</v>
      </c>
      <c r="B17215">
        <v>0</v>
      </c>
    </row>
    <row r="17216" spans="1:2" x14ac:dyDescent="0.25">
      <c r="A17216">
        <v>33732</v>
      </c>
      <c r="B17216">
        <v>0</v>
      </c>
    </row>
    <row r="17217" spans="1:2" x14ac:dyDescent="0.25">
      <c r="A17217">
        <v>33734</v>
      </c>
      <c r="B17217">
        <v>0</v>
      </c>
    </row>
    <row r="17218" spans="1:2" x14ac:dyDescent="0.25">
      <c r="A17218">
        <v>33737</v>
      </c>
      <c r="B17218">
        <v>0</v>
      </c>
    </row>
    <row r="17219" spans="1:2" x14ac:dyDescent="0.25">
      <c r="A17219">
        <v>33738</v>
      </c>
      <c r="B17219">
        <v>0</v>
      </c>
    </row>
    <row r="17220" spans="1:2" x14ac:dyDescent="0.25">
      <c r="A17220">
        <v>33756</v>
      </c>
      <c r="B17220">
        <v>0</v>
      </c>
    </row>
    <row r="17221" spans="1:2" x14ac:dyDescent="0.25">
      <c r="A17221">
        <v>33760</v>
      </c>
      <c r="B17221">
        <v>0</v>
      </c>
    </row>
    <row r="17222" spans="1:2" x14ac:dyDescent="0.25">
      <c r="A17222">
        <v>33762</v>
      </c>
      <c r="B17222">
        <v>0</v>
      </c>
    </row>
    <row r="17223" spans="1:2" x14ac:dyDescent="0.25">
      <c r="A17223">
        <v>33764</v>
      </c>
      <c r="B17223">
        <v>0</v>
      </c>
    </row>
    <row r="17224" spans="1:2" x14ac:dyDescent="0.25">
      <c r="A17224">
        <v>33766</v>
      </c>
      <c r="B17224">
        <v>0</v>
      </c>
    </row>
    <row r="17225" spans="1:2" x14ac:dyDescent="0.25">
      <c r="A17225">
        <v>33771</v>
      </c>
      <c r="B17225">
        <v>0</v>
      </c>
    </row>
    <row r="17226" spans="1:2" x14ac:dyDescent="0.25">
      <c r="A17226">
        <v>33772</v>
      </c>
      <c r="B17226">
        <v>0</v>
      </c>
    </row>
    <row r="17227" spans="1:2" x14ac:dyDescent="0.25">
      <c r="A17227">
        <v>33774</v>
      </c>
      <c r="B17227">
        <v>0</v>
      </c>
    </row>
    <row r="17228" spans="1:2" x14ac:dyDescent="0.25">
      <c r="A17228">
        <v>33775</v>
      </c>
      <c r="B17228">
        <v>0</v>
      </c>
    </row>
    <row r="17229" spans="1:2" x14ac:dyDescent="0.25">
      <c r="A17229">
        <v>33778</v>
      </c>
      <c r="B17229">
        <v>0</v>
      </c>
    </row>
    <row r="17230" spans="1:2" x14ac:dyDescent="0.25">
      <c r="A17230">
        <v>33795</v>
      </c>
      <c r="B17230">
        <v>0</v>
      </c>
    </row>
    <row r="17231" spans="1:2" x14ac:dyDescent="0.25">
      <c r="A17231">
        <v>33798</v>
      </c>
      <c r="B17231">
        <v>0</v>
      </c>
    </row>
    <row r="17232" spans="1:2" x14ac:dyDescent="0.25">
      <c r="A17232">
        <v>33800</v>
      </c>
      <c r="B17232">
        <v>0</v>
      </c>
    </row>
    <row r="17233" spans="1:2" x14ac:dyDescent="0.25">
      <c r="A17233">
        <v>33802</v>
      </c>
      <c r="B17233">
        <v>0</v>
      </c>
    </row>
    <row r="17234" spans="1:2" x14ac:dyDescent="0.25">
      <c r="A17234">
        <v>33804</v>
      </c>
      <c r="B17234">
        <v>0</v>
      </c>
    </row>
    <row r="17235" spans="1:2" x14ac:dyDescent="0.25">
      <c r="A17235">
        <v>33806</v>
      </c>
      <c r="B17235">
        <v>0</v>
      </c>
    </row>
    <row r="17236" spans="1:2" x14ac:dyDescent="0.25">
      <c r="A17236">
        <v>33808</v>
      </c>
      <c r="B17236">
        <v>0</v>
      </c>
    </row>
    <row r="17237" spans="1:2" x14ac:dyDescent="0.25">
      <c r="A17237">
        <v>33810</v>
      </c>
      <c r="B17237">
        <v>0</v>
      </c>
    </row>
    <row r="17238" spans="1:2" x14ac:dyDescent="0.25">
      <c r="A17238">
        <v>33814</v>
      </c>
      <c r="B17238">
        <v>0</v>
      </c>
    </row>
    <row r="17239" spans="1:2" x14ac:dyDescent="0.25">
      <c r="A17239">
        <v>33816</v>
      </c>
      <c r="B17239">
        <v>0</v>
      </c>
    </row>
    <row r="17240" spans="1:2" x14ac:dyDescent="0.25">
      <c r="A17240">
        <v>33818</v>
      </c>
      <c r="B17240">
        <v>0</v>
      </c>
    </row>
    <row r="17241" spans="1:2" x14ac:dyDescent="0.25">
      <c r="A17241">
        <v>33820</v>
      </c>
      <c r="B17241">
        <v>0</v>
      </c>
    </row>
    <row r="17242" spans="1:2" x14ac:dyDescent="0.25">
      <c r="A17242">
        <v>33822</v>
      </c>
      <c r="B17242">
        <v>0</v>
      </c>
    </row>
    <row r="17243" spans="1:2" x14ac:dyDescent="0.25">
      <c r="A17243">
        <v>33823</v>
      </c>
      <c r="B17243">
        <v>0</v>
      </c>
    </row>
    <row r="17244" spans="1:2" x14ac:dyDescent="0.25">
      <c r="A17244">
        <v>33824</v>
      </c>
      <c r="B17244">
        <v>0</v>
      </c>
    </row>
    <row r="17245" spans="1:2" x14ac:dyDescent="0.25">
      <c r="A17245">
        <v>33826</v>
      </c>
      <c r="B17245">
        <v>0</v>
      </c>
    </row>
    <row r="17246" spans="1:2" x14ac:dyDescent="0.25">
      <c r="A17246">
        <v>33827</v>
      </c>
      <c r="B17246">
        <v>0</v>
      </c>
    </row>
    <row r="17247" spans="1:2" x14ac:dyDescent="0.25">
      <c r="A17247">
        <v>33828</v>
      </c>
      <c r="B17247">
        <v>0</v>
      </c>
    </row>
    <row r="17248" spans="1:2" x14ac:dyDescent="0.25">
      <c r="A17248">
        <v>33829</v>
      </c>
      <c r="B17248">
        <v>0</v>
      </c>
    </row>
    <row r="17249" spans="1:2" x14ac:dyDescent="0.25">
      <c r="A17249">
        <v>33830</v>
      </c>
      <c r="B17249">
        <v>0</v>
      </c>
    </row>
    <row r="17250" spans="1:2" x14ac:dyDescent="0.25">
      <c r="A17250">
        <v>33831</v>
      </c>
      <c r="B17250">
        <v>0</v>
      </c>
    </row>
    <row r="17251" spans="1:2" x14ac:dyDescent="0.25">
      <c r="A17251">
        <v>33832</v>
      </c>
      <c r="B17251">
        <v>0</v>
      </c>
    </row>
    <row r="17252" spans="1:2" x14ac:dyDescent="0.25">
      <c r="A17252">
        <v>33833</v>
      </c>
      <c r="B17252">
        <v>0</v>
      </c>
    </row>
    <row r="17253" spans="1:2" x14ac:dyDescent="0.25">
      <c r="A17253">
        <v>33834</v>
      </c>
      <c r="B17253">
        <v>0</v>
      </c>
    </row>
    <row r="17254" spans="1:2" x14ac:dyDescent="0.25">
      <c r="A17254">
        <v>33836</v>
      </c>
      <c r="B17254">
        <v>0</v>
      </c>
    </row>
    <row r="17255" spans="1:2" x14ac:dyDescent="0.25">
      <c r="A17255">
        <v>33837</v>
      </c>
      <c r="B17255">
        <v>0</v>
      </c>
    </row>
    <row r="17256" spans="1:2" x14ac:dyDescent="0.25">
      <c r="A17256">
        <v>33838</v>
      </c>
      <c r="B17256">
        <v>0</v>
      </c>
    </row>
    <row r="17257" spans="1:2" x14ac:dyDescent="0.25">
      <c r="A17257">
        <v>33839</v>
      </c>
      <c r="B17257">
        <v>0</v>
      </c>
    </row>
    <row r="17258" spans="1:2" x14ac:dyDescent="0.25">
      <c r="A17258">
        <v>33840</v>
      </c>
      <c r="B17258">
        <v>0</v>
      </c>
    </row>
    <row r="17259" spans="1:2" x14ac:dyDescent="0.25">
      <c r="A17259">
        <v>33841</v>
      </c>
      <c r="B17259">
        <v>0</v>
      </c>
    </row>
    <row r="17260" spans="1:2" x14ac:dyDescent="0.25">
      <c r="A17260">
        <v>33842</v>
      </c>
      <c r="B17260">
        <v>0</v>
      </c>
    </row>
    <row r="17261" spans="1:2" x14ac:dyDescent="0.25">
      <c r="A17261">
        <v>33843</v>
      </c>
      <c r="B17261">
        <v>0</v>
      </c>
    </row>
    <row r="17262" spans="1:2" x14ac:dyDescent="0.25">
      <c r="A17262">
        <v>33844</v>
      </c>
      <c r="B17262">
        <v>0</v>
      </c>
    </row>
    <row r="17263" spans="1:2" x14ac:dyDescent="0.25">
      <c r="A17263">
        <v>33845</v>
      </c>
      <c r="B17263">
        <v>0</v>
      </c>
    </row>
    <row r="17264" spans="1:2" x14ac:dyDescent="0.25">
      <c r="A17264">
        <v>33846</v>
      </c>
      <c r="B17264">
        <v>0</v>
      </c>
    </row>
    <row r="17265" spans="1:2" x14ac:dyDescent="0.25">
      <c r="A17265">
        <v>33847</v>
      </c>
      <c r="B17265">
        <v>0</v>
      </c>
    </row>
    <row r="17266" spans="1:2" x14ac:dyDescent="0.25">
      <c r="A17266">
        <v>33851</v>
      </c>
      <c r="B17266">
        <v>0</v>
      </c>
    </row>
    <row r="17267" spans="1:2" x14ac:dyDescent="0.25">
      <c r="A17267">
        <v>33852</v>
      </c>
      <c r="B17267">
        <v>0</v>
      </c>
    </row>
    <row r="17268" spans="1:2" x14ac:dyDescent="0.25">
      <c r="A17268">
        <v>33853</v>
      </c>
      <c r="B17268">
        <v>0</v>
      </c>
    </row>
    <row r="17269" spans="1:2" x14ac:dyDescent="0.25">
      <c r="A17269">
        <v>33854</v>
      </c>
      <c r="B17269">
        <v>0</v>
      </c>
    </row>
    <row r="17270" spans="1:2" x14ac:dyDescent="0.25">
      <c r="A17270">
        <v>33855</v>
      </c>
      <c r="B17270">
        <v>0</v>
      </c>
    </row>
    <row r="17271" spans="1:2" x14ac:dyDescent="0.25">
      <c r="A17271">
        <v>33856</v>
      </c>
      <c r="B17271">
        <v>0</v>
      </c>
    </row>
    <row r="17272" spans="1:2" x14ac:dyDescent="0.25">
      <c r="A17272">
        <v>33857</v>
      </c>
      <c r="B17272">
        <v>0</v>
      </c>
    </row>
    <row r="17273" spans="1:2" x14ac:dyDescent="0.25">
      <c r="A17273">
        <v>33859</v>
      </c>
      <c r="B17273">
        <v>0</v>
      </c>
    </row>
    <row r="17274" spans="1:2" x14ac:dyDescent="0.25">
      <c r="A17274">
        <v>33861</v>
      </c>
      <c r="B17274">
        <v>0</v>
      </c>
    </row>
    <row r="17275" spans="1:2" x14ac:dyDescent="0.25">
      <c r="A17275">
        <v>33863</v>
      </c>
      <c r="B17275">
        <v>0</v>
      </c>
    </row>
    <row r="17276" spans="1:2" x14ac:dyDescent="0.25">
      <c r="A17276">
        <v>33864</v>
      </c>
      <c r="B17276">
        <v>0</v>
      </c>
    </row>
    <row r="17277" spans="1:2" x14ac:dyDescent="0.25">
      <c r="A17277">
        <v>33866</v>
      </c>
      <c r="B17277">
        <v>0</v>
      </c>
    </row>
    <row r="17278" spans="1:2" x14ac:dyDescent="0.25">
      <c r="A17278">
        <v>33868</v>
      </c>
      <c r="B17278">
        <v>0</v>
      </c>
    </row>
    <row r="17279" spans="1:2" x14ac:dyDescent="0.25">
      <c r="A17279">
        <v>33870</v>
      </c>
      <c r="B17279">
        <v>0</v>
      </c>
    </row>
    <row r="17280" spans="1:2" x14ac:dyDescent="0.25">
      <c r="A17280">
        <v>33872</v>
      </c>
      <c r="B17280">
        <v>0</v>
      </c>
    </row>
    <row r="17281" spans="1:2" x14ac:dyDescent="0.25">
      <c r="A17281">
        <v>33874</v>
      </c>
      <c r="B17281">
        <v>0</v>
      </c>
    </row>
    <row r="17282" spans="1:2" x14ac:dyDescent="0.25">
      <c r="A17282">
        <v>33876</v>
      </c>
      <c r="B17282">
        <v>0</v>
      </c>
    </row>
    <row r="17283" spans="1:2" x14ac:dyDescent="0.25">
      <c r="A17283">
        <v>33878</v>
      </c>
      <c r="B17283">
        <v>0</v>
      </c>
    </row>
    <row r="17284" spans="1:2" x14ac:dyDescent="0.25">
      <c r="A17284">
        <v>33880</v>
      </c>
      <c r="B17284">
        <v>0</v>
      </c>
    </row>
    <row r="17285" spans="1:2" x14ac:dyDescent="0.25">
      <c r="A17285">
        <v>33882</v>
      </c>
      <c r="B17285">
        <v>0</v>
      </c>
    </row>
    <row r="17286" spans="1:2" x14ac:dyDescent="0.25">
      <c r="A17286">
        <v>33885</v>
      </c>
      <c r="B17286">
        <v>0</v>
      </c>
    </row>
    <row r="17287" spans="1:2" x14ac:dyDescent="0.25">
      <c r="A17287">
        <v>33888</v>
      </c>
      <c r="B17287">
        <v>0</v>
      </c>
    </row>
    <row r="17288" spans="1:2" x14ac:dyDescent="0.25">
      <c r="A17288">
        <v>33890</v>
      </c>
      <c r="B17288">
        <v>0</v>
      </c>
    </row>
    <row r="17289" spans="1:2" x14ac:dyDescent="0.25">
      <c r="A17289">
        <v>33895</v>
      </c>
      <c r="B17289">
        <v>0</v>
      </c>
    </row>
    <row r="17290" spans="1:2" x14ac:dyDescent="0.25">
      <c r="A17290">
        <v>33897</v>
      </c>
      <c r="B17290">
        <v>0</v>
      </c>
    </row>
    <row r="17291" spans="1:2" x14ac:dyDescent="0.25">
      <c r="A17291">
        <v>33899</v>
      </c>
      <c r="B17291">
        <v>0</v>
      </c>
    </row>
    <row r="17292" spans="1:2" x14ac:dyDescent="0.25">
      <c r="A17292">
        <v>33901</v>
      </c>
      <c r="B17292">
        <v>0</v>
      </c>
    </row>
    <row r="17293" spans="1:2" x14ac:dyDescent="0.25">
      <c r="A17293">
        <v>33903</v>
      </c>
      <c r="B17293">
        <v>0</v>
      </c>
    </row>
    <row r="17294" spans="1:2" x14ac:dyDescent="0.25">
      <c r="A17294">
        <v>33904</v>
      </c>
      <c r="B17294">
        <v>0</v>
      </c>
    </row>
    <row r="17295" spans="1:2" x14ac:dyDescent="0.25">
      <c r="A17295">
        <v>33909</v>
      </c>
      <c r="B17295">
        <v>0</v>
      </c>
    </row>
    <row r="17296" spans="1:2" x14ac:dyDescent="0.25">
      <c r="A17296">
        <v>33914</v>
      </c>
      <c r="B17296">
        <v>0</v>
      </c>
    </row>
    <row r="17297" spans="1:2" x14ac:dyDescent="0.25">
      <c r="A17297">
        <v>33916</v>
      </c>
      <c r="B17297">
        <v>0</v>
      </c>
    </row>
    <row r="17298" spans="1:2" x14ac:dyDescent="0.25">
      <c r="A17298">
        <v>33919</v>
      </c>
      <c r="B17298">
        <v>0</v>
      </c>
    </row>
    <row r="17299" spans="1:2" x14ac:dyDescent="0.25">
      <c r="A17299">
        <v>33921</v>
      </c>
      <c r="B17299">
        <v>0</v>
      </c>
    </row>
    <row r="17300" spans="1:2" x14ac:dyDescent="0.25">
      <c r="A17300">
        <v>33923</v>
      </c>
      <c r="B17300">
        <v>0</v>
      </c>
    </row>
    <row r="17301" spans="1:2" x14ac:dyDescent="0.25">
      <c r="A17301">
        <v>33925</v>
      </c>
      <c r="B17301">
        <v>0</v>
      </c>
    </row>
    <row r="17302" spans="1:2" x14ac:dyDescent="0.25">
      <c r="A17302">
        <v>33927</v>
      </c>
      <c r="B17302">
        <v>0</v>
      </c>
    </row>
    <row r="17303" spans="1:2" x14ac:dyDescent="0.25">
      <c r="A17303">
        <v>33929</v>
      </c>
      <c r="B17303">
        <v>0</v>
      </c>
    </row>
    <row r="17304" spans="1:2" x14ac:dyDescent="0.25">
      <c r="A17304">
        <v>33931</v>
      </c>
      <c r="B17304">
        <v>0</v>
      </c>
    </row>
    <row r="17305" spans="1:2" x14ac:dyDescent="0.25">
      <c r="A17305">
        <v>33933</v>
      </c>
      <c r="B17305">
        <v>0</v>
      </c>
    </row>
    <row r="17306" spans="1:2" x14ac:dyDescent="0.25">
      <c r="A17306">
        <v>33934</v>
      </c>
      <c r="B17306">
        <v>0</v>
      </c>
    </row>
    <row r="17307" spans="1:2" x14ac:dyDescent="0.25">
      <c r="A17307">
        <v>33935</v>
      </c>
      <c r="B17307">
        <v>0</v>
      </c>
    </row>
    <row r="17308" spans="1:2" x14ac:dyDescent="0.25">
      <c r="A17308">
        <v>33936</v>
      </c>
      <c r="B17308">
        <v>0</v>
      </c>
    </row>
    <row r="17309" spans="1:2" x14ac:dyDescent="0.25">
      <c r="A17309">
        <v>33937</v>
      </c>
      <c r="B17309">
        <v>0</v>
      </c>
    </row>
    <row r="17310" spans="1:2" x14ac:dyDescent="0.25">
      <c r="A17310">
        <v>33938</v>
      </c>
      <c r="B17310">
        <v>0</v>
      </c>
    </row>
    <row r="17311" spans="1:2" x14ac:dyDescent="0.25">
      <c r="A17311">
        <v>33939</v>
      </c>
      <c r="B17311">
        <v>0</v>
      </c>
    </row>
    <row r="17312" spans="1:2" x14ac:dyDescent="0.25">
      <c r="A17312">
        <v>33940</v>
      </c>
      <c r="B17312">
        <v>0</v>
      </c>
    </row>
    <row r="17313" spans="1:2" x14ac:dyDescent="0.25">
      <c r="A17313">
        <v>33941</v>
      </c>
      <c r="B17313">
        <v>0</v>
      </c>
    </row>
    <row r="17314" spans="1:2" x14ac:dyDescent="0.25">
      <c r="A17314">
        <v>33942</v>
      </c>
      <c r="B17314">
        <v>0</v>
      </c>
    </row>
    <row r="17315" spans="1:2" x14ac:dyDescent="0.25">
      <c r="A17315">
        <v>33943</v>
      </c>
      <c r="B17315">
        <v>0</v>
      </c>
    </row>
    <row r="17316" spans="1:2" x14ac:dyDescent="0.25">
      <c r="A17316">
        <v>33944</v>
      </c>
      <c r="B17316">
        <v>0</v>
      </c>
    </row>
    <row r="17317" spans="1:2" x14ac:dyDescent="0.25">
      <c r="A17317">
        <v>33945</v>
      </c>
      <c r="B17317">
        <v>0</v>
      </c>
    </row>
    <row r="17318" spans="1:2" x14ac:dyDescent="0.25">
      <c r="A17318">
        <v>33951</v>
      </c>
      <c r="B17318">
        <v>0</v>
      </c>
    </row>
    <row r="17319" spans="1:2" x14ac:dyDescent="0.25">
      <c r="A17319">
        <v>33962</v>
      </c>
      <c r="B17319">
        <v>0</v>
      </c>
    </row>
    <row r="17320" spans="1:2" x14ac:dyDescent="0.25">
      <c r="A17320">
        <v>33963</v>
      </c>
      <c r="B17320">
        <v>0</v>
      </c>
    </row>
    <row r="17321" spans="1:2" x14ac:dyDescent="0.25">
      <c r="A17321">
        <v>33965</v>
      </c>
      <c r="B17321">
        <v>0</v>
      </c>
    </row>
    <row r="17322" spans="1:2" x14ac:dyDescent="0.25">
      <c r="A17322">
        <v>33967</v>
      </c>
      <c r="B17322">
        <v>0</v>
      </c>
    </row>
    <row r="17323" spans="1:2" x14ac:dyDescent="0.25">
      <c r="A17323">
        <v>33969</v>
      </c>
      <c r="B17323">
        <v>0</v>
      </c>
    </row>
    <row r="17324" spans="1:2" x14ac:dyDescent="0.25">
      <c r="A17324">
        <v>33971</v>
      </c>
      <c r="B17324">
        <v>0</v>
      </c>
    </row>
    <row r="17325" spans="1:2" x14ac:dyDescent="0.25">
      <c r="A17325">
        <v>33973</v>
      </c>
      <c r="B17325">
        <v>0</v>
      </c>
    </row>
    <row r="17326" spans="1:2" x14ac:dyDescent="0.25">
      <c r="A17326">
        <v>33992</v>
      </c>
      <c r="B17326">
        <v>0</v>
      </c>
    </row>
    <row r="17327" spans="1:2" x14ac:dyDescent="0.25">
      <c r="A17327">
        <v>33993</v>
      </c>
      <c r="B17327">
        <v>0</v>
      </c>
    </row>
    <row r="17328" spans="1:2" x14ac:dyDescent="0.25">
      <c r="A17328">
        <v>33994</v>
      </c>
      <c r="B17328">
        <v>0</v>
      </c>
    </row>
    <row r="17329" spans="1:2" x14ac:dyDescent="0.25">
      <c r="A17329">
        <v>33995</v>
      </c>
      <c r="B17329">
        <v>0</v>
      </c>
    </row>
    <row r="17330" spans="1:2" x14ac:dyDescent="0.25">
      <c r="A17330">
        <v>33996</v>
      </c>
      <c r="B17330">
        <v>0</v>
      </c>
    </row>
    <row r="17331" spans="1:2" x14ac:dyDescent="0.25">
      <c r="A17331">
        <v>33997</v>
      </c>
      <c r="B17331">
        <v>0</v>
      </c>
    </row>
    <row r="17332" spans="1:2" x14ac:dyDescent="0.25">
      <c r="A17332">
        <v>33998</v>
      </c>
      <c r="B17332">
        <v>0</v>
      </c>
    </row>
    <row r="17333" spans="1:2" x14ac:dyDescent="0.25">
      <c r="A17333">
        <v>33999</v>
      </c>
      <c r="B17333">
        <v>0</v>
      </c>
    </row>
    <row r="17334" spans="1:2" x14ac:dyDescent="0.25">
      <c r="A17334">
        <v>34000</v>
      </c>
      <c r="B17334">
        <v>0</v>
      </c>
    </row>
    <row r="17335" spans="1:2" x14ac:dyDescent="0.25">
      <c r="A17335">
        <v>34001</v>
      </c>
      <c r="B17335">
        <v>0</v>
      </c>
    </row>
    <row r="17336" spans="1:2" x14ac:dyDescent="0.25">
      <c r="A17336">
        <v>34002</v>
      </c>
      <c r="B17336">
        <v>0</v>
      </c>
    </row>
    <row r="17337" spans="1:2" x14ac:dyDescent="0.25">
      <c r="A17337">
        <v>34003</v>
      </c>
      <c r="B17337">
        <v>0</v>
      </c>
    </row>
    <row r="17338" spans="1:2" x14ac:dyDescent="0.25">
      <c r="A17338">
        <v>34010</v>
      </c>
      <c r="B17338">
        <v>0</v>
      </c>
    </row>
    <row r="17339" spans="1:2" x14ac:dyDescent="0.25">
      <c r="A17339">
        <v>34011</v>
      </c>
      <c r="B17339">
        <v>0</v>
      </c>
    </row>
    <row r="17340" spans="1:2" x14ac:dyDescent="0.25">
      <c r="A17340">
        <v>34012</v>
      </c>
      <c r="B17340">
        <v>0</v>
      </c>
    </row>
    <row r="17341" spans="1:2" x14ac:dyDescent="0.25">
      <c r="A17341">
        <v>34013</v>
      </c>
      <c r="B17341">
        <v>0</v>
      </c>
    </row>
    <row r="17342" spans="1:2" x14ac:dyDescent="0.25">
      <c r="A17342">
        <v>34014</v>
      </c>
      <c r="B17342">
        <v>0</v>
      </c>
    </row>
    <row r="17343" spans="1:2" x14ac:dyDescent="0.25">
      <c r="A17343">
        <v>34015</v>
      </c>
      <c r="B17343">
        <v>0</v>
      </c>
    </row>
    <row r="17344" spans="1:2" x14ac:dyDescent="0.25">
      <c r="A17344">
        <v>34016</v>
      </c>
      <c r="B17344">
        <v>0</v>
      </c>
    </row>
    <row r="17345" spans="1:2" x14ac:dyDescent="0.25">
      <c r="A17345">
        <v>34017</v>
      </c>
      <c r="B17345">
        <v>0</v>
      </c>
    </row>
    <row r="17346" spans="1:2" x14ac:dyDescent="0.25">
      <c r="A17346">
        <v>34018</v>
      </c>
      <c r="B17346">
        <v>0</v>
      </c>
    </row>
    <row r="17347" spans="1:2" x14ac:dyDescent="0.25">
      <c r="A17347">
        <v>34019</v>
      </c>
      <c r="B17347">
        <v>0</v>
      </c>
    </row>
    <row r="17348" spans="1:2" x14ac:dyDescent="0.25">
      <c r="A17348">
        <v>34020</v>
      </c>
      <c r="B17348">
        <v>0</v>
      </c>
    </row>
    <row r="17349" spans="1:2" x14ac:dyDescent="0.25">
      <c r="A17349">
        <v>34021</v>
      </c>
      <c r="B17349">
        <v>0</v>
      </c>
    </row>
    <row r="17350" spans="1:2" x14ac:dyDescent="0.25">
      <c r="A17350">
        <v>34023</v>
      </c>
      <c r="B17350">
        <v>0</v>
      </c>
    </row>
    <row r="17351" spans="1:2" x14ac:dyDescent="0.25">
      <c r="A17351">
        <v>34024</v>
      </c>
      <c r="B17351">
        <v>0</v>
      </c>
    </row>
    <row r="17352" spans="1:2" x14ac:dyDescent="0.25">
      <c r="A17352">
        <v>34025</v>
      </c>
      <c r="B17352">
        <v>0</v>
      </c>
    </row>
    <row r="17353" spans="1:2" x14ac:dyDescent="0.25">
      <c r="A17353">
        <v>34027</v>
      </c>
      <c r="B17353">
        <v>0</v>
      </c>
    </row>
    <row r="17354" spans="1:2" x14ac:dyDescent="0.25">
      <c r="A17354">
        <v>34029</v>
      </c>
      <c r="B17354">
        <v>0</v>
      </c>
    </row>
    <row r="17355" spans="1:2" x14ac:dyDescent="0.25">
      <c r="A17355">
        <v>34030</v>
      </c>
      <c r="B17355">
        <v>0</v>
      </c>
    </row>
    <row r="17356" spans="1:2" x14ac:dyDescent="0.25">
      <c r="A17356">
        <v>34031</v>
      </c>
      <c r="B17356">
        <v>0</v>
      </c>
    </row>
    <row r="17357" spans="1:2" x14ac:dyDescent="0.25">
      <c r="A17357">
        <v>34032</v>
      </c>
      <c r="B17357">
        <v>0</v>
      </c>
    </row>
    <row r="17358" spans="1:2" x14ac:dyDescent="0.25">
      <c r="A17358">
        <v>34033</v>
      </c>
      <c r="B17358">
        <v>0</v>
      </c>
    </row>
    <row r="17359" spans="1:2" x14ac:dyDescent="0.25">
      <c r="A17359">
        <v>34034</v>
      </c>
      <c r="B17359">
        <v>0</v>
      </c>
    </row>
    <row r="17360" spans="1:2" x14ac:dyDescent="0.25">
      <c r="A17360">
        <v>34036</v>
      </c>
      <c r="B17360">
        <v>0</v>
      </c>
    </row>
    <row r="17361" spans="1:2" x14ac:dyDescent="0.25">
      <c r="A17361">
        <v>34037</v>
      </c>
      <c r="B17361">
        <v>0</v>
      </c>
    </row>
    <row r="17362" spans="1:2" x14ac:dyDescent="0.25">
      <c r="A17362">
        <v>34039</v>
      </c>
      <c r="B17362">
        <v>0</v>
      </c>
    </row>
    <row r="17363" spans="1:2" x14ac:dyDescent="0.25">
      <c r="A17363">
        <v>34041</v>
      </c>
      <c r="B17363">
        <v>0</v>
      </c>
    </row>
    <row r="17364" spans="1:2" x14ac:dyDescent="0.25">
      <c r="A17364">
        <v>34043</v>
      </c>
      <c r="B17364">
        <v>0</v>
      </c>
    </row>
    <row r="17365" spans="1:2" x14ac:dyDescent="0.25">
      <c r="A17365">
        <v>34044</v>
      </c>
      <c r="B17365">
        <v>0</v>
      </c>
    </row>
    <row r="17366" spans="1:2" x14ac:dyDescent="0.25">
      <c r="A17366">
        <v>34046</v>
      </c>
      <c r="B17366">
        <v>0</v>
      </c>
    </row>
    <row r="17367" spans="1:2" x14ac:dyDescent="0.25">
      <c r="A17367">
        <v>34048</v>
      </c>
      <c r="B17367">
        <v>0</v>
      </c>
    </row>
    <row r="17368" spans="1:2" x14ac:dyDescent="0.25">
      <c r="A17368">
        <v>34050</v>
      </c>
      <c r="B17368">
        <v>0</v>
      </c>
    </row>
    <row r="17369" spans="1:2" x14ac:dyDescent="0.25">
      <c r="A17369">
        <v>34072</v>
      </c>
      <c r="B17369">
        <v>0</v>
      </c>
    </row>
    <row r="17370" spans="1:2" x14ac:dyDescent="0.25">
      <c r="A17370">
        <v>34073</v>
      </c>
      <c r="B17370">
        <v>0</v>
      </c>
    </row>
    <row r="17371" spans="1:2" x14ac:dyDescent="0.25">
      <c r="A17371">
        <v>34074</v>
      </c>
      <c r="B17371">
        <v>0</v>
      </c>
    </row>
    <row r="17372" spans="1:2" x14ac:dyDescent="0.25">
      <c r="A17372">
        <v>34075</v>
      </c>
      <c r="B17372">
        <v>0</v>
      </c>
    </row>
    <row r="17373" spans="1:2" x14ac:dyDescent="0.25">
      <c r="A17373">
        <v>34076</v>
      </c>
      <c r="B17373">
        <v>0</v>
      </c>
    </row>
    <row r="17374" spans="1:2" x14ac:dyDescent="0.25">
      <c r="A17374">
        <v>34077</v>
      </c>
      <c r="B17374">
        <v>0</v>
      </c>
    </row>
    <row r="17375" spans="1:2" x14ac:dyDescent="0.25">
      <c r="A17375">
        <v>34078</v>
      </c>
      <c r="B17375">
        <v>0</v>
      </c>
    </row>
    <row r="17376" spans="1:2" x14ac:dyDescent="0.25">
      <c r="A17376">
        <v>34081</v>
      </c>
      <c r="B17376">
        <v>0</v>
      </c>
    </row>
    <row r="17377" spans="1:2" x14ac:dyDescent="0.25">
      <c r="A17377">
        <v>34085</v>
      </c>
      <c r="B17377">
        <v>0</v>
      </c>
    </row>
    <row r="17378" spans="1:2" x14ac:dyDescent="0.25">
      <c r="A17378">
        <v>34086</v>
      </c>
      <c r="B17378">
        <v>0</v>
      </c>
    </row>
    <row r="17379" spans="1:2" x14ac:dyDescent="0.25">
      <c r="A17379">
        <v>34087</v>
      </c>
      <c r="B17379">
        <v>0</v>
      </c>
    </row>
    <row r="17380" spans="1:2" x14ac:dyDescent="0.25">
      <c r="A17380">
        <v>34088</v>
      </c>
      <c r="B17380">
        <v>0</v>
      </c>
    </row>
    <row r="17381" spans="1:2" x14ac:dyDescent="0.25">
      <c r="A17381">
        <v>34089</v>
      </c>
      <c r="B17381">
        <v>0</v>
      </c>
    </row>
    <row r="17382" spans="1:2" x14ac:dyDescent="0.25">
      <c r="A17382">
        <v>34090</v>
      </c>
      <c r="B17382">
        <v>0</v>
      </c>
    </row>
    <row r="17383" spans="1:2" x14ac:dyDescent="0.25">
      <c r="A17383">
        <v>34091</v>
      </c>
      <c r="B17383">
        <v>0</v>
      </c>
    </row>
    <row r="17384" spans="1:2" x14ac:dyDescent="0.25">
      <c r="A17384">
        <v>34092</v>
      </c>
      <c r="B17384">
        <v>0</v>
      </c>
    </row>
    <row r="17385" spans="1:2" x14ac:dyDescent="0.25">
      <c r="A17385">
        <v>34093</v>
      </c>
      <c r="B17385">
        <v>0</v>
      </c>
    </row>
    <row r="17386" spans="1:2" x14ac:dyDescent="0.25">
      <c r="A17386">
        <v>34094</v>
      </c>
      <c r="B17386">
        <v>0</v>
      </c>
    </row>
    <row r="17387" spans="1:2" x14ac:dyDescent="0.25">
      <c r="A17387">
        <v>34095</v>
      </c>
      <c r="B17387">
        <v>0</v>
      </c>
    </row>
    <row r="17388" spans="1:2" x14ac:dyDescent="0.25">
      <c r="A17388">
        <v>34096</v>
      </c>
      <c r="B17388">
        <v>0</v>
      </c>
    </row>
    <row r="17389" spans="1:2" x14ac:dyDescent="0.25">
      <c r="A17389">
        <v>34097</v>
      </c>
      <c r="B17389">
        <v>0</v>
      </c>
    </row>
    <row r="17390" spans="1:2" x14ac:dyDescent="0.25">
      <c r="A17390">
        <v>34098</v>
      </c>
      <c r="B17390">
        <v>0</v>
      </c>
    </row>
    <row r="17391" spans="1:2" x14ac:dyDescent="0.25">
      <c r="A17391">
        <v>34099</v>
      </c>
      <c r="B17391">
        <v>0</v>
      </c>
    </row>
    <row r="17392" spans="1:2" x14ac:dyDescent="0.25">
      <c r="A17392">
        <v>34100</v>
      </c>
      <c r="B17392">
        <v>0</v>
      </c>
    </row>
    <row r="17393" spans="1:2" x14ac:dyDescent="0.25">
      <c r="A17393">
        <v>34101</v>
      </c>
      <c r="B17393">
        <v>0</v>
      </c>
    </row>
    <row r="17394" spans="1:2" x14ac:dyDescent="0.25">
      <c r="A17394">
        <v>34102</v>
      </c>
      <c r="B17394">
        <v>0</v>
      </c>
    </row>
    <row r="17395" spans="1:2" x14ac:dyDescent="0.25">
      <c r="A17395">
        <v>34103</v>
      </c>
      <c r="B17395">
        <v>0</v>
      </c>
    </row>
    <row r="17396" spans="1:2" x14ac:dyDescent="0.25">
      <c r="A17396">
        <v>34104</v>
      </c>
      <c r="B17396">
        <v>0</v>
      </c>
    </row>
    <row r="17397" spans="1:2" x14ac:dyDescent="0.25">
      <c r="A17397">
        <v>34112</v>
      </c>
      <c r="B17397">
        <v>0</v>
      </c>
    </row>
    <row r="17398" spans="1:2" x14ac:dyDescent="0.25">
      <c r="A17398">
        <v>34114</v>
      </c>
      <c r="B17398">
        <v>0</v>
      </c>
    </row>
    <row r="17399" spans="1:2" x14ac:dyDescent="0.25">
      <c r="A17399">
        <v>34116</v>
      </c>
      <c r="B17399">
        <v>0</v>
      </c>
    </row>
    <row r="17400" spans="1:2" x14ac:dyDescent="0.25">
      <c r="A17400">
        <v>34118</v>
      </c>
      <c r="B17400">
        <v>0</v>
      </c>
    </row>
    <row r="17401" spans="1:2" x14ac:dyDescent="0.25">
      <c r="A17401">
        <v>34119</v>
      </c>
      <c r="B17401">
        <v>0</v>
      </c>
    </row>
    <row r="17402" spans="1:2" x14ac:dyDescent="0.25">
      <c r="A17402">
        <v>34120</v>
      </c>
      <c r="B17402">
        <v>0</v>
      </c>
    </row>
    <row r="17403" spans="1:2" x14ac:dyDescent="0.25">
      <c r="A17403">
        <v>34122</v>
      </c>
      <c r="B17403">
        <v>0</v>
      </c>
    </row>
    <row r="17404" spans="1:2" x14ac:dyDescent="0.25">
      <c r="A17404">
        <v>34123</v>
      </c>
      <c r="B17404">
        <v>0</v>
      </c>
    </row>
    <row r="17405" spans="1:2" x14ac:dyDescent="0.25">
      <c r="A17405">
        <v>34124</v>
      </c>
      <c r="B17405">
        <v>0</v>
      </c>
    </row>
    <row r="17406" spans="1:2" x14ac:dyDescent="0.25">
      <c r="A17406">
        <v>34126</v>
      </c>
      <c r="B17406">
        <v>0</v>
      </c>
    </row>
    <row r="17407" spans="1:2" x14ac:dyDescent="0.25">
      <c r="A17407">
        <v>34127</v>
      </c>
      <c r="B17407">
        <v>0</v>
      </c>
    </row>
    <row r="17408" spans="1:2" x14ac:dyDescent="0.25">
      <c r="A17408">
        <v>34129</v>
      </c>
      <c r="B17408">
        <v>0</v>
      </c>
    </row>
    <row r="17409" spans="1:2" x14ac:dyDescent="0.25">
      <c r="A17409">
        <v>34133</v>
      </c>
      <c r="B17409">
        <v>0</v>
      </c>
    </row>
    <row r="17410" spans="1:2" x14ac:dyDescent="0.25">
      <c r="A17410">
        <v>34135</v>
      </c>
      <c r="B17410">
        <v>0</v>
      </c>
    </row>
    <row r="17411" spans="1:2" x14ac:dyDescent="0.25">
      <c r="A17411">
        <v>34137</v>
      </c>
      <c r="B17411">
        <v>0</v>
      </c>
    </row>
    <row r="17412" spans="1:2" x14ac:dyDescent="0.25">
      <c r="A17412">
        <v>34148</v>
      </c>
      <c r="B17412">
        <v>0</v>
      </c>
    </row>
    <row r="17413" spans="1:2" x14ac:dyDescent="0.25">
      <c r="A17413">
        <v>34150</v>
      </c>
      <c r="B17413">
        <v>0</v>
      </c>
    </row>
    <row r="17414" spans="1:2" x14ac:dyDescent="0.25">
      <c r="A17414">
        <v>34151</v>
      </c>
      <c r="B17414">
        <v>0</v>
      </c>
    </row>
    <row r="17415" spans="1:2" x14ac:dyDescent="0.25">
      <c r="A17415">
        <v>34152</v>
      </c>
      <c r="B17415">
        <v>0</v>
      </c>
    </row>
    <row r="17416" spans="1:2" x14ac:dyDescent="0.25">
      <c r="A17416">
        <v>34153</v>
      </c>
      <c r="B17416">
        <v>0</v>
      </c>
    </row>
    <row r="17417" spans="1:2" x14ac:dyDescent="0.25">
      <c r="A17417">
        <v>34154</v>
      </c>
      <c r="B17417">
        <v>0</v>
      </c>
    </row>
    <row r="17418" spans="1:2" x14ac:dyDescent="0.25">
      <c r="A17418">
        <v>34155</v>
      </c>
      <c r="B17418">
        <v>0</v>
      </c>
    </row>
    <row r="17419" spans="1:2" x14ac:dyDescent="0.25">
      <c r="A17419">
        <v>34156</v>
      </c>
      <c r="B17419">
        <v>0</v>
      </c>
    </row>
    <row r="17420" spans="1:2" x14ac:dyDescent="0.25">
      <c r="A17420">
        <v>34157</v>
      </c>
      <c r="B17420">
        <v>0</v>
      </c>
    </row>
    <row r="17421" spans="1:2" x14ac:dyDescent="0.25">
      <c r="A17421">
        <v>34158</v>
      </c>
      <c r="B17421">
        <v>0</v>
      </c>
    </row>
    <row r="17422" spans="1:2" x14ac:dyDescent="0.25">
      <c r="A17422">
        <v>34162</v>
      </c>
      <c r="B17422">
        <v>0</v>
      </c>
    </row>
    <row r="17423" spans="1:2" x14ac:dyDescent="0.25">
      <c r="A17423">
        <v>34163</v>
      </c>
      <c r="B17423">
        <v>0</v>
      </c>
    </row>
    <row r="17424" spans="1:2" x14ac:dyDescent="0.25">
      <c r="A17424">
        <v>34170</v>
      </c>
      <c r="B17424">
        <v>0</v>
      </c>
    </row>
    <row r="17425" spans="1:2" x14ac:dyDescent="0.25">
      <c r="A17425">
        <v>34171</v>
      </c>
      <c r="B17425">
        <v>0</v>
      </c>
    </row>
    <row r="17426" spans="1:2" x14ac:dyDescent="0.25">
      <c r="A17426">
        <v>34173</v>
      </c>
      <c r="B17426">
        <v>0</v>
      </c>
    </row>
    <row r="17427" spans="1:2" x14ac:dyDescent="0.25">
      <c r="A17427">
        <v>34175</v>
      </c>
      <c r="B17427">
        <v>0</v>
      </c>
    </row>
    <row r="17428" spans="1:2" x14ac:dyDescent="0.25">
      <c r="A17428">
        <v>34176</v>
      </c>
      <c r="B17428">
        <v>0</v>
      </c>
    </row>
    <row r="17429" spans="1:2" x14ac:dyDescent="0.25">
      <c r="A17429">
        <v>34178</v>
      </c>
      <c r="B17429">
        <v>0</v>
      </c>
    </row>
    <row r="17430" spans="1:2" x14ac:dyDescent="0.25">
      <c r="A17430">
        <v>34180</v>
      </c>
      <c r="B17430">
        <v>0</v>
      </c>
    </row>
    <row r="17431" spans="1:2" x14ac:dyDescent="0.25">
      <c r="A17431">
        <v>34189</v>
      </c>
      <c r="B17431">
        <v>0</v>
      </c>
    </row>
    <row r="17432" spans="1:2" x14ac:dyDescent="0.25">
      <c r="A17432">
        <v>34192</v>
      </c>
      <c r="B17432">
        <v>0</v>
      </c>
    </row>
    <row r="17433" spans="1:2" x14ac:dyDescent="0.25">
      <c r="A17433">
        <v>34193</v>
      </c>
      <c r="B17433">
        <v>0</v>
      </c>
    </row>
    <row r="17434" spans="1:2" x14ac:dyDescent="0.25">
      <c r="A17434">
        <v>34195</v>
      </c>
      <c r="B17434">
        <v>0</v>
      </c>
    </row>
    <row r="17435" spans="1:2" x14ac:dyDescent="0.25">
      <c r="A17435">
        <v>34196</v>
      </c>
      <c r="B17435">
        <v>0</v>
      </c>
    </row>
    <row r="17436" spans="1:2" x14ac:dyDescent="0.25">
      <c r="A17436">
        <v>34197</v>
      </c>
      <c r="B17436">
        <v>0</v>
      </c>
    </row>
    <row r="17437" spans="1:2" x14ac:dyDescent="0.25">
      <c r="A17437">
        <v>34198</v>
      </c>
      <c r="B17437">
        <v>0</v>
      </c>
    </row>
    <row r="17438" spans="1:2" x14ac:dyDescent="0.25">
      <c r="A17438">
        <v>34200</v>
      </c>
      <c r="B17438">
        <v>0</v>
      </c>
    </row>
    <row r="17439" spans="1:2" x14ac:dyDescent="0.25">
      <c r="A17439">
        <v>34201</v>
      </c>
      <c r="B17439">
        <v>0</v>
      </c>
    </row>
    <row r="17440" spans="1:2" x14ac:dyDescent="0.25">
      <c r="A17440">
        <v>34203</v>
      </c>
      <c r="B17440">
        <v>0</v>
      </c>
    </row>
    <row r="17441" spans="1:2" x14ac:dyDescent="0.25">
      <c r="A17441">
        <v>34204</v>
      </c>
      <c r="B17441">
        <v>0</v>
      </c>
    </row>
    <row r="17442" spans="1:2" x14ac:dyDescent="0.25">
      <c r="A17442">
        <v>34207</v>
      </c>
      <c r="B17442">
        <v>0</v>
      </c>
    </row>
    <row r="17443" spans="1:2" x14ac:dyDescent="0.25">
      <c r="A17443">
        <v>34209</v>
      </c>
      <c r="B17443">
        <v>0</v>
      </c>
    </row>
    <row r="17444" spans="1:2" x14ac:dyDescent="0.25">
      <c r="A17444">
        <v>34211</v>
      </c>
      <c r="B17444">
        <v>0</v>
      </c>
    </row>
    <row r="17445" spans="1:2" x14ac:dyDescent="0.25">
      <c r="A17445">
        <v>34213</v>
      </c>
      <c r="B17445">
        <v>0</v>
      </c>
    </row>
    <row r="17446" spans="1:2" x14ac:dyDescent="0.25">
      <c r="A17446">
        <v>34214</v>
      </c>
      <c r="B17446">
        <v>0</v>
      </c>
    </row>
    <row r="17447" spans="1:2" x14ac:dyDescent="0.25">
      <c r="A17447">
        <v>34215</v>
      </c>
      <c r="B17447">
        <v>0</v>
      </c>
    </row>
    <row r="17448" spans="1:2" x14ac:dyDescent="0.25">
      <c r="A17448">
        <v>34216</v>
      </c>
      <c r="B17448">
        <v>0</v>
      </c>
    </row>
    <row r="17449" spans="1:2" x14ac:dyDescent="0.25">
      <c r="A17449">
        <v>34217</v>
      </c>
      <c r="B17449">
        <v>0</v>
      </c>
    </row>
    <row r="17450" spans="1:2" x14ac:dyDescent="0.25">
      <c r="A17450">
        <v>34218</v>
      </c>
      <c r="B17450">
        <v>0</v>
      </c>
    </row>
    <row r="17451" spans="1:2" x14ac:dyDescent="0.25">
      <c r="A17451">
        <v>34219</v>
      </c>
      <c r="B17451">
        <v>0</v>
      </c>
    </row>
    <row r="17452" spans="1:2" x14ac:dyDescent="0.25">
      <c r="A17452">
        <v>34221</v>
      </c>
      <c r="B17452">
        <v>0</v>
      </c>
    </row>
    <row r="17453" spans="1:2" x14ac:dyDescent="0.25">
      <c r="A17453">
        <v>34223</v>
      </c>
      <c r="B17453">
        <v>0</v>
      </c>
    </row>
    <row r="17454" spans="1:2" x14ac:dyDescent="0.25">
      <c r="A17454">
        <v>34225</v>
      </c>
      <c r="B17454">
        <v>0</v>
      </c>
    </row>
    <row r="17455" spans="1:2" x14ac:dyDescent="0.25">
      <c r="A17455">
        <v>34227</v>
      </c>
      <c r="B17455">
        <v>0</v>
      </c>
    </row>
    <row r="17456" spans="1:2" x14ac:dyDescent="0.25">
      <c r="A17456">
        <v>34229</v>
      </c>
      <c r="B17456">
        <v>0</v>
      </c>
    </row>
    <row r="17457" spans="1:2" x14ac:dyDescent="0.25">
      <c r="A17457">
        <v>34231</v>
      </c>
      <c r="B17457">
        <v>0</v>
      </c>
    </row>
    <row r="17458" spans="1:2" x14ac:dyDescent="0.25">
      <c r="A17458">
        <v>34233</v>
      </c>
      <c r="B17458">
        <v>0</v>
      </c>
    </row>
    <row r="17459" spans="1:2" x14ac:dyDescent="0.25">
      <c r="A17459">
        <v>34235</v>
      </c>
      <c r="B17459">
        <v>0</v>
      </c>
    </row>
    <row r="17460" spans="1:2" x14ac:dyDescent="0.25">
      <c r="A17460">
        <v>34237</v>
      </c>
      <c r="B17460">
        <v>0</v>
      </c>
    </row>
    <row r="17461" spans="1:2" x14ac:dyDescent="0.25">
      <c r="A17461">
        <v>34239</v>
      </c>
      <c r="B17461">
        <v>0</v>
      </c>
    </row>
    <row r="17462" spans="1:2" x14ac:dyDescent="0.25">
      <c r="A17462">
        <v>34241</v>
      </c>
      <c r="B17462">
        <v>0</v>
      </c>
    </row>
    <row r="17463" spans="1:2" x14ac:dyDescent="0.25">
      <c r="A17463">
        <v>34243</v>
      </c>
      <c r="B17463">
        <v>0</v>
      </c>
    </row>
    <row r="17464" spans="1:2" x14ac:dyDescent="0.25">
      <c r="A17464">
        <v>34244</v>
      </c>
      <c r="B17464">
        <v>0</v>
      </c>
    </row>
    <row r="17465" spans="1:2" x14ac:dyDescent="0.25">
      <c r="A17465">
        <v>34245</v>
      </c>
      <c r="B17465">
        <v>0</v>
      </c>
    </row>
    <row r="17466" spans="1:2" x14ac:dyDescent="0.25">
      <c r="A17466">
        <v>34247</v>
      </c>
      <c r="B17466">
        <v>0</v>
      </c>
    </row>
    <row r="17467" spans="1:2" x14ac:dyDescent="0.25">
      <c r="A17467">
        <v>34249</v>
      </c>
      <c r="B17467">
        <v>0</v>
      </c>
    </row>
    <row r="17468" spans="1:2" x14ac:dyDescent="0.25">
      <c r="A17468">
        <v>34251</v>
      </c>
      <c r="B17468">
        <v>0</v>
      </c>
    </row>
    <row r="17469" spans="1:2" x14ac:dyDescent="0.25">
      <c r="A17469">
        <v>34253</v>
      </c>
      <c r="B17469">
        <v>0</v>
      </c>
    </row>
    <row r="17470" spans="1:2" x14ac:dyDescent="0.25">
      <c r="A17470">
        <v>34255</v>
      </c>
      <c r="B17470">
        <v>0</v>
      </c>
    </row>
    <row r="17471" spans="1:2" x14ac:dyDescent="0.25">
      <c r="A17471">
        <v>34257</v>
      </c>
      <c r="B17471">
        <v>0</v>
      </c>
    </row>
    <row r="17472" spans="1:2" x14ac:dyDescent="0.25">
      <c r="A17472">
        <v>34259</v>
      </c>
      <c r="B17472">
        <v>0</v>
      </c>
    </row>
    <row r="17473" spans="1:2" x14ac:dyDescent="0.25">
      <c r="A17473">
        <v>34261</v>
      </c>
      <c r="B17473">
        <v>0</v>
      </c>
    </row>
    <row r="17474" spans="1:2" x14ac:dyDescent="0.25">
      <c r="A17474">
        <v>34263</v>
      </c>
      <c r="B17474">
        <v>0</v>
      </c>
    </row>
    <row r="17475" spans="1:2" x14ac:dyDescent="0.25">
      <c r="A17475">
        <v>34264</v>
      </c>
      <c r="B17475">
        <v>0</v>
      </c>
    </row>
    <row r="17476" spans="1:2" x14ac:dyDescent="0.25">
      <c r="A17476">
        <v>34265</v>
      </c>
      <c r="B17476">
        <v>0</v>
      </c>
    </row>
    <row r="17477" spans="1:2" x14ac:dyDescent="0.25">
      <c r="A17477">
        <v>34266</v>
      </c>
      <c r="B17477">
        <v>0</v>
      </c>
    </row>
    <row r="17478" spans="1:2" x14ac:dyDescent="0.25">
      <c r="A17478">
        <v>34267</v>
      </c>
      <c r="B17478">
        <v>0</v>
      </c>
    </row>
    <row r="17479" spans="1:2" x14ac:dyDescent="0.25">
      <c r="A17479">
        <v>34268</v>
      </c>
      <c r="B17479">
        <v>0</v>
      </c>
    </row>
    <row r="17480" spans="1:2" x14ac:dyDescent="0.25">
      <c r="A17480">
        <v>34269</v>
      </c>
      <c r="B17480">
        <v>0</v>
      </c>
    </row>
    <row r="17481" spans="1:2" x14ac:dyDescent="0.25">
      <c r="A17481">
        <v>34270</v>
      </c>
      <c r="B17481">
        <v>0</v>
      </c>
    </row>
    <row r="17482" spans="1:2" x14ac:dyDescent="0.25">
      <c r="A17482">
        <v>34271</v>
      </c>
      <c r="B17482">
        <v>0</v>
      </c>
    </row>
    <row r="17483" spans="1:2" x14ac:dyDescent="0.25">
      <c r="A17483">
        <v>34272</v>
      </c>
      <c r="B17483">
        <v>0</v>
      </c>
    </row>
    <row r="17484" spans="1:2" x14ac:dyDescent="0.25">
      <c r="A17484">
        <v>34274</v>
      </c>
      <c r="B17484">
        <v>0</v>
      </c>
    </row>
    <row r="17485" spans="1:2" x14ac:dyDescent="0.25">
      <c r="A17485">
        <v>34278</v>
      </c>
      <c r="B17485">
        <v>0</v>
      </c>
    </row>
    <row r="17486" spans="1:2" x14ac:dyDescent="0.25">
      <c r="A17486">
        <v>34280</v>
      </c>
      <c r="B17486">
        <v>0</v>
      </c>
    </row>
    <row r="17487" spans="1:2" x14ac:dyDescent="0.25">
      <c r="A17487">
        <v>34282</v>
      </c>
      <c r="B17487">
        <v>0</v>
      </c>
    </row>
    <row r="17488" spans="1:2" x14ac:dyDescent="0.25">
      <c r="A17488">
        <v>34284</v>
      </c>
      <c r="B17488">
        <v>0</v>
      </c>
    </row>
    <row r="17489" spans="1:2" x14ac:dyDescent="0.25">
      <c r="A17489">
        <v>34286</v>
      </c>
      <c r="B17489">
        <v>0</v>
      </c>
    </row>
    <row r="17490" spans="1:2" x14ac:dyDescent="0.25">
      <c r="A17490">
        <v>34287</v>
      </c>
      <c r="B17490">
        <v>0</v>
      </c>
    </row>
    <row r="17491" spans="1:2" x14ac:dyDescent="0.25">
      <c r="A17491">
        <v>34288</v>
      </c>
      <c r="B17491">
        <v>0</v>
      </c>
    </row>
    <row r="17492" spans="1:2" x14ac:dyDescent="0.25">
      <c r="A17492">
        <v>34290</v>
      </c>
      <c r="B17492">
        <v>0</v>
      </c>
    </row>
    <row r="17493" spans="1:2" x14ac:dyDescent="0.25">
      <c r="A17493">
        <v>34292</v>
      </c>
      <c r="B17493">
        <v>0</v>
      </c>
    </row>
    <row r="17494" spans="1:2" x14ac:dyDescent="0.25">
      <c r="A17494">
        <v>34294</v>
      </c>
      <c r="B17494">
        <v>0</v>
      </c>
    </row>
    <row r="17495" spans="1:2" x14ac:dyDescent="0.25">
      <c r="A17495">
        <v>34296</v>
      </c>
      <c r="B17495">
        <v>0</v>
      </c>
    </row>
    <row r="17496" spans="1:2" x14ac:dyDescent="0.25">
      <c r="A17496">
        <v>34298</v>
      </c>
      <c r="B17496">
        <v>0</v>
      </c>
    </row>
    <row r="17497" spans="1:2" x14ac:dyDescent="0.25">
      <c r="A17497">
        <v>34299</v>
      </c>
      <c r="B17497">
        <v>0</v>
      </c>
    </row>
    <row r="17498" spans="1:2" x14ac:dyDescent="0.25">
      <c r="A17498">
        <v>34300</v>
      </c>
      <c r="B17498">
        <v>0</v>
      </c>
    </row>
    <row r="17499" spans="1:2" x14ac:dyDescent="0.25">
      <c r="A17499">
        <v>34301</v>
      </c>
      <c r="B17499">
        <v>0</v>
      </c>
    </row>
    <row r="17500" spans="1:2" x14ac:dyDescent="0.25">
      <c r="A17500">
        <v>34302</v>
      </c>
      <c r="B17500">
        <v>0</v>
      </c>
    </row>
    <row r="17501" spans="1:2" x14ac:dyDescent="0.25">
      <c r="A17501">
        <v>34303</v>
      </c>
      <c r="B17501">
        <v>0</v>
      </c>
    </row>
    <row r="17502" spans="1:2" x14ac:dyDescent="0.25">
      <c r="A17502">
        <v>34304</v>
      </c>
      <c r="B17502">
        <v>0</v>
      </c>
    </row>
    <row r="17503" spans="1:2" x14ac:dyDescent="0.25">
      <c r="A17503">
        <v>34305</v>
      </c>
      <c r="B17503">
        <v>0</v>
      </c>
    </row>
    <row r="17504" spans="1:2" x14ac:dyDescent="0.25">
      <c r="A17504">
        <v>34307</v>
      </c>
      <c r="B17504">
        <v>0</v>
      </c>
    </row>
    <row r="17505" spans="1:2" x14ac:dyDescent="0.25">
      <c r="A17505">
        <v>34309</v>
      </c>
      <c r="B17505">
        <v>0</v>
      </c>
    </row>
    <row r="17506" spans="1:2" x14ac:dyDescent="0.25">
      <c r="A17506">
        <v>34312</v>
      </c>
      <c r="B17506">
        <v>0</v>
      </c>
    </row>
    <row r="17507" spans="1:2" x14ac:dyDescent="0.25">
      <c r="A17507">
        <v>34314</v>
      </c>
      <c r="B17507">
        <v>0</v>
      </c>
    </row>
    <row r="17508" spans="1:2" x14ac:dyDescent="0.25">
      <c r="A17508">
        <v>34318</v>
      </c>
      <c r="B17508">
        <v>0</v>
      </c>
    </row>
    <row r="17509" spans="1:2" x14ac:dyDescent="0.25">
      <c r="A17509">
        <v>34320</v>
      </c>
      <c r="B17509">
        <v>0</v>
      </c>
    </row>
    <row r="17510" spans="1:2" x14ac:dyDescent="0.25">
      <c r="A17510">
        <v>34321</v>
      </c>
      <c r="B17510">
        <v>0</v>
      </c>
    </row>
    <row r="17511" spans="1:2" x14ac:dyDescent="0.25">
      <c r="A17511">
        <v>34323</v>
      </c>
      <c r="B17511">
        <v>0</v>
      </c>
    </row>
    <row r="17512" spans="1:2" x14ac:dyDescent="0.25">
      <c r="A17512">
        <v>34325</v>
      </c>
      <c r="B17512">
        <v>0</v>
      </c>
    </row>
    <row r="17513" spans="1:2" x14ac:dyDescent="0.25">
      <c r="A17513">
        <v>34327</v>
      </c>
      <c r="B17513">
        <v>0</v>
      </c>
    </row>
    <row r="17514" spans="1:2" x14ac:dyDescent="0.25">
      <c r="A17514">
        <v>34329</v>
      </c>
      <c r="B17514">
        <v>0</v>
      </c>
    </row>
    <row r="17515" spans="1:2" x14ac:dyDescent="0.25">
      <c r="A17515">
        <v>34331</v>
      </c>
      <c r="B17515">
        <v>0</v>
      </c>
    </row>
    <row r="17516" spans="1:2" x14ac:dyDescent="0.25">
      <c r="A17516">
        <v>34333</v>
      </c>
      <c r="B17516">
        <v>0</v>
      </c>
    </row>
    <row r="17517" spans="1:2" x14ac:dyDescent="0.25">
      <c r="A17517">
        <v>34335</v>
      </c>
      <c r="B17517">
        <v>0</v>
      </c>
    </row>
    <row r="17518" spans="1:2" x14ac:dyDescent="0.25">
      <c r="A17518">
        <v>34337</v>
      </c>
      <c r="B17518">
        <v>0</v>
      </c>
    </row>
    <row r="17519" spans="1:2" x14ac:dyDescent="0.25">
      <c r="A17519">
        <v>34338</v>
      </c>
      <c r="B17519">
        <v>0</v>
      </c>
    </row>
    <row r="17520" spans="1:2" x14ac:dyDescent="0.25">
      <c r="A17520">
        <v>34340</v>
      </c>
      <c r="B17520">
        <v>0</v>
      </c>
    </row>
    <row r="17521" spans="1:2" x14ac:dyDescent="0.25">
      <c r="A17521">
        <v>34342</v>
      </c>
      <c r="B17521">
        <v>0</v>
      </c>
    </row>
    <row r="17522" spans="1:2" x14ac:dyDescent="0.25">
      <c r="A17522">
        <v>34347</v>
      </c>
      <c r="B17522">
        <v>0</v>
      </c>
    </row>
    <row r="17523" spans="1:2" x14ac:dyDescent="0.25">
      <c r="A17523">
        <v>34348</v>
      </c>
      <c r="B17523">
        <v>0</v>
      </c>
    </row>
    <row r="17524" spans="1:2" x14ac:dyDescent="0.25">
      <c r="A17524">
        <v>34349</v>
      </c>
      <c r="B17524">
        <v>0</v>
      </c>
    </row>
    <row r="17525" spans="1:2" x14ac:dyDescent="0.25">
      <c r="A17525">
        <v>34351</v>
      </c>
      <c r="B17525">
        <v>0</v>
      </c>
    </row>
    <row r="17526" spans="1:2" x14ac:dyDescent="0.25">
      <c r="A17526">
        <v>34353</v>
      </c>
      <c r="B17526">
        <v>0</v>
      </c>
    </row>
    <row r="17527" spans="1:2" x14ac:dyDescent="0.25">
      <c r="A17527">
        <v>34355</v>
      </c>
      <c r="B17527">
        <v>0</v>
      </c>
    </row>
    <row r="17528" spans="1:2" x14ac:dyDescent="0.25">
      <c r="A17528">
        <v>34356</v>
      </c>
      <c r="B17528">
        <v>0</v>
      </c>
    </row>
    <row r="17529" spans="1:2" x14ac:dyDescent="0.25">
      <c r="A17529">
        <v>34357</v>
      </c>
      <c r="B17529">
        <v>0</v>
      </c>
    </row>
    <row r="17530" spans="1:2" x14ac:dyDescent="0.25">
      <c r="A17530">
        <v>34358</v>
      </c>
      <c r="B17530">
        <v>0</v>
      </c>
    </row>
    <row r="17531" spans="1:2" x14ac:dyDescent="0.25">
      <c r="A17531">
        <v>34360</v>
      </c>
      <c r="B17531">
        <v>0</v>
      </c>
    </row>
    <row r="17532" spans="1:2" x14ac:dyDescent="0.25">
      <c r="A17532">
        <v>34362</v>
      </c>
      <c r="B17532">
        <v>0</v>
      </c>
    </row>
    <row r="17533" spans="1:2" x14ac:dyDescent="0.25">
      <c r="A17533">
        <v>34364</v>
      </c>
      <c r="B17533">
        <v>0</v>
      </c>
    </row>
    <row r="17534" spans="1:2" x14ac:dyDescent="0.25">
      <c r="A17534">
        <v>34366</v>
      </c>
      <c r="B17534">
        <v>0</v>
      </c>
    </row>
    <row r="17535" spans="1:2" x14ac:dyDescent="0.25">
      <c r="A17535">
        <v>34368</v>
      </c>
      <c r="B17535">
        <v>0</v>
      </c>
    </row>
    <row r="17536" spans="1:2" x14ac:dyDescent="0.25">
      <c r="A17536">
        <v>34370</v>
      </c>
      <c r="B17536">
        <v>0</v>
      </c>
    </row>
    <row r="17537" spans="1:2" x14ac:dyDescent="0.25">
      <c r="A17537">
        <v>34372</v>
      </c>
      <c r="B17537">
        <v>0</v>
      </c>
    </row>
    <row r="17538" spans="1:2" x14ac:dyDescent="0.25">
      <c r="A17538">
        <v>34373</v>
      </c>
      <c r="B17538">
        <v>0</v>
      </c>
    </row>
    <row r="17539" spans="1:2" x14ac:dyDescent="0.25">
      <c r="A17539">
        <v>34375</v>
      </c>
      <c r="B17539">
        <v>0</v>
      </c>
    </row>
    <row r="17540" spans="1:2" x14ac:dyDescent="0.25">
      <c r="A17540">
        <v>34376</v>
      </c>
      <c r="B17540">
        <v>0</v>
      </c>
    </row>
    <row r="17541" spans="1:2" x14ac:dyDescent="0.25">
      <c r="A17541">
        <v>34378</v>
      </c>
      <c r="B17541">
        <v>0</v>
      </c>
    </row>
    <row r="17542" spans="1:2" x14ac:dyDescent="0.25">
      <c r="A17542">
        <v>34379</v>
      </c>
      <c r="B17542">
        <v>0</v>
      </c>
    </row>
    <row r="17543" spans="1:2" x14ac:dyDescent="0.25">
      <c r="A17543">
        <v>34381</v>
      </c>
      <c r="B17543">
        <v>0</v>
      </c>
    </row>
    <row r="17544" spans="1:2" x14ac:dyDescent="0.25">
      <c r="A17544">
        <v>34382</v>
      </c>
      <c r="B17544">
        <v>0</v>
      </c>
    </row>
    <row r="17545" spans="1:2" x14ac:dyDescent="0.25">
      <c r="A17545">
        <v>34383</v>
      </c>
      <c r="B17545">
        <v>0</v>
      </c>
    </row>
    <row r="17546" spans="1:2" x14ac:dyDescent="0.25">
      <c r="A17546">
        <v>34393</v>
      </c>
      <c r="B17546">
        <v>0</v>
      </c>
    </row>
    <row r="17547" spans="1:2" x14ac:dyDescent="0.25">
      <c r="A17547">
        <v>34394</v>
      </c>
      <c r="B17547">
        <v>0</v>
      </c>
    </row>
    <row r="17548" spans="1:2" x14ac:dyDescent="0.25">
      <c r="A17548">
        <v>34396</v>
      </c>
      <c r="B17548">
        <v>0</v>
      </c>
    </row>
    <row r="17549" spans="1:2" x14ac:dyDescent="0.25">
      <c r="A17549">
        <v>34398</v>
      </c>
      <c r="B17549">
        <v>0</v>
      </c>
    </row>
    <row r="17550" spans="1:2" x14ac:dyDescent="0.25">
      <c r="A17550">
        <v>34399</v>
      </c>
      <c r="B17550">
        <v>0</v>
      </c>
    </row>
    <row r="17551" spans="1:2" x14ac:dyDescent="0.25">
      <c r="A17551">
        <v>34400</v>
      </c>
      <c r="B17551">
        <v>0</v>
      </c>
    </row>
    <row r="17552" spans="1:2" x14ac:dyDescent="0.25">
      <c r="A17552">
        <v>34401</v>
      </c>
      <c r="B17552">
        <v>0</v>
      </c>
    </row>
    <row r="17553" spans="1:2" x14ac:dyDescent="0.25">
      <c r="A17553">
        <v>34402</v>
      </c>
      <c r="B17553">
        <v>0</v>
      </c>
    </row>
    <row r="17554" spans="1:2" x14ac:dyDescent="0.25">
      <c r="A17554">
        <v>34404</v>
      </c>
      <c r="B17554">
        <v>0</v>
      </c>
    </row>
    <row r="17555" spans="1:2" x14ac:dyDescent="0.25">
      <c r="A17555">
        <v>34405</v>
      </c>
      <c r="B17555">
        <v>0</v>
      </c>
    </row>
    <row r="17556" spans="1:2" x14ac:dyDescent="0.25">
      <c r="A17556">
        <v>34407</v>
      </c>
      <c r="B17556">
        <v>0</v>
      </c>
    </row>
    <row r="17557" spans="1:2" x14ac:dyDescent="0.25">
      <c r="A17557">
        <v>34408</v>
      </c>
      <c r="B17557">
        <v>0</v>
      </c>
    </row>
    <row r="17558" spans="1:2" x14ac:dyDescent="0.25">
      <c r="A17558">
        <v>34410</v>
      </c>
      <c r="B17558">
        <v>0</v>
      </c>
    </row>
    <row r="17559" spans="1:2" x14ac:dyDescent="0.25">
      <c r="A17559">
        <v>34411</v>
      </c>
      <c r="B17559">
        <v>0</v>
      </c>
    </row>
    <row r="17560" spans="1:2" x14ac:dyDescent="0.25">
      <c r="A17560">
        <v>34412</v>
      </c>
      <c r="B17560">
        <v>0</v>
      </c>
    </row>
    <row r="17561" spans="1:2" x14ac:dyDescent="0.25">
      <c r="A17561">
        <v>34413</v>
      </c>
      <c r="B17561">
        <v>0</v>
      </c>
    </row>
    <row r="17562" spans="1:2" x14ac:dyDescent="0.25">
      <c r="A17562">
        <v>34414</v>
      </c>
      <c r="B17562">
        <v>0</v>
      </c>
    </row>
    <row r="17563" spans="1:2" x14ac:dyDescent="0.25">
      <c r="A17563">
        <v>34415</v>
      </c>
      <c r="B17563">
        <v>0</v>
      </c>
    </row>
    <row r="17564" spans="1:2" x14ac:dyDescent="0.25">
      <c r="A17564">
        <v>34416</v>
      </c>
      <c r="B17564">
        <v>0</v>
      </c>
    </row>
    <row r="17565" spans="1:2" x14ac:dyDescent="0.25">
      <c r="A17565">
        <v>34417</v>
      </c>
      <c r="B17565">
        <v>0</v>
      </c>
    </row>
    <row r="17566" spans="1:2" x14ac:dyDescent="0.25">
      <c r="A17566">
        <v>34418</v>
      </c>
      <c r="B17566">
        <v>0</v>
      </c>
    </row>
    <row r="17567" spans="1:2" x14ac:dyDescent="0.25">
      <c r="A17567">
        <v>34419</v>
      </c>
      <c r="B17567">
        <v>0</v>
      </c>
    </row>
    <row r="17568" spans="1:2" x14ac:dyDescent="0.25">
      <c r="A17568">
        <v>34420</v>
      </c>
      <c r="B17568">
        <v>0</v>
      </c>
    </row>
    <row r="17569" spans="1:2" x14ac:dyDescent="0.25">
      <c r="A17569">
        <v>34421</v>
      </c>
      <c r="B17569">
        <v>0</v>
      </c>
    </row>
    <row r="17570" spans="1:2" x14ac:dyDescent="0.25">
      <c r="A17570">
        <v>34423</v>
      </c>
      <c r="B17570">
        <v>0</v>
      </c>
    </row>
    <row r="17571" spans="1:2" x14ac:dyDescent="0.25">
      <c r="A17571">
        <v>34427</v>
      </c>
      <c r="B17571">
        <v>0</v>
      </c>
    </row>
    <row r="17572" spans="1:2" x14ac:dyDescent="0.25">
      <c r="A17572">
        <v>34429</v>
      </c>
      <c r="B17572">
        <v>0</v>
      </c>
    </row>
    <row r="17573" spans="1:2" x14ac:dyDescent="0.25">
      <c r="A17573">
        <v>34430</v>
      </c>
      <c r="B17573">
        <v>0</v>
      </c>
    </row>
    <row r="17574" spans="1:2" x14ac:dyDescent="0.25">
      <c r="A17574">
        <v>34432</v>
      </c>
      <c r="B17574">
        <v>0</v>
      </c>
    </row>
    <row r="17575" spans="1:2" x14ac:dyDescent="0.25">
      <c r="A17575">
        <v>34434</v>
      </c>
      <c r="B17575">
        <v>0</v>
      </c>
    </row>
    <row r="17576" spans="1:2" x14ac:dyDescent="0.25">
      <c r="A17576">
        <v>34436</v>
      </c>
      <c r="B17576">
        <v>0</v>
      </c>
    </row>
    <row r="17577" spans="1:2" x14ac:dyDescent="0.25">
      <c r="A17577">
        <v>34438</v>
      </c>
      <c r="B17577">
        <v>0</v>
      </c>
    </row>
    <row r="17578" spans="1:2" x14ac:dyDescent="0.25">
      <c r="A17578">
        <v>34440</v>
      </c>
      <c r="B17578">
        <v>0</v>
      </c>
    </row>
    <row r="17579" spans="1:2" x14ac:dyDescent="0.25">
      <c r="A17579">
        <v>34442</v>
      </c>
      <c r="B17579">
        <v>0</v>
      </c>
    </row>
    <row r="17580" spans="1:2" x14ac:dyDescent="0.25">
      <c r="A17580">
        <v>34444</v>
      </c>
      <c r="B17580">
        <v>0</v>
      </c>
    </row>
    <row r="17581" spans="1:2" x14ac:dyDescent="0.25">
      <c r="A17581">
        <v>34446</v>
      </c>
      <c r="B17581">
        <v>0</v>
      </c>
    </row>
    <row r="17582" spans="1:2" x14ac:dyDescent="0.25">
      <c r="A17582">
        <v>34448</v>
      </c>
      <c r="B17582">
        <v>0</v>
      </c>
    </row>
    <row r="17583" spans="1:2" x14ac:dyDescent="0.25">
      <c r="A17583">
        <v>34450</v>
      </c>
      <c r="B17583">
        <v>0</v>
      </c>
    </row>
    <row r="17584" spans="1:2" x14ac:dyDescent="0.25">
      <c r="A17584">
        <v>34452</v>
      </c>
      <c r="B17584">
        <v>0</v>
      </c>
    </row>
    <row r="17585" spans="1:2" x14ac:dyDescent="0.25">
      <c r="A17585">
        <v>34454</v>
      </c>
      <c r="B17585">
        <v>0</v>
      </c>
    </row>
    <row r="17586" spans="1:2" x14ac:dyDescent="0.25">
      <c r="A17586">
        <v>34456</v>
      </c>
      <c r="B17586">
        <v>0</v>
      </c>
    </row>
    <row r="17587" spans="1:2" x14ac:dyDescent="0.25">
      <c r="A17587">
        <v>34458</v>
      </c>
      <c r="B17587">
        <v>0</v>
      </c>
    </row>
    <row r="17588" spans="1:2" x14ac:dyDescent="0.25">
      <c r="A17588">
        <v>34459</v>
      </c>
      <c r="B17588">
        <v>0</v>
      </c>
    </row>
    <row r="17589" spans="1:2" x14ac:dyDescent="0.25">
      <c r="A17589">
        <v>34460</v>
      </c>
      <c r="B17589">
        <v>0</v>
      </c>
    </row>
    <row r="17590" spans="1:2" x14ac:dyDescent="0.25">
      <c r="A17590">
        <v>34462</v>
      </c>
      <c r="B17590">
        <v>0</v>
      </c>
    </row>
    <row r="17591" spans="1:2" x14ac:dyDescent="0.25">
      <c r="A17591">
        <v>34471</v>
      </c>
      <c r="B17591">
        <v>0</v>
      </c>
    </row>
    <row r="17592" spans="1:2" x14ac:dyDescent="0.25">
      <c r="A17592">
        <v>34473</v>
      </c>
      <c r="B17592">
        <v>0</v>
      </c>
    </row>
    <row r="17593" spans="1:2" x14ac:dyDescent="0.25">
      <c r="A17593">
        <v>34475</v>
      </c>
      <c r="B17593">
        <v>0</v>
      </c>
    </row>
    <row r="17594" spans="1:2" x14ac:dyDescent="0.25">
      <c r="A17594">
        <v>34476</v>
      </c>
      <c r="B17594">
        <v>0</v>
      </c>
    </row>
    <row r="17595" spans="1:2" x14ac:dyDescent="0.25">
      <c r="A17595">
        <v>34477</v>
      </c>
      <c r="B17595">
        <v>0</v>
      </c>
    </row>
    <row r="17596" spans="1:2" x14ac:dyDescent="0.25">
      <c r="A17596">
        <v>34479</v>
      </c>
      <c r="B17596">
        <v>0</v>
      </c>
    </row>
    <row r="17597" spans="1:2" x14ac:dyDescent="0.25">
      <c r="A17597">
        <v>34481</v>
      </c>
      <c r="B17597">
        <v>0</v>
      </c>
    </row>
    <row r="17598" spans="1:2" x14ac:dyDescent="0.25">
      <c r="A17598">
        <v>34482</v>
      </c>
      <c r="B17598">
        <v>0</v>
      </c>
    </row>
    <row r="17599" spans="1:2" x14ac:dyDescent="0.25">
      <c r="A17599">
        <v>34483</v>
      </c>
      <c r="B17599">
        <v>0</v>
      </c>
    </row>
    <row r="17600" spans="1:2" x14ac:dyDescent="0.25">
      <c r="A17600">
        <v>34484</v>
      </c>
      <c r="B17600">
        <v>0</v>
      </c>
    </row>
    <row r="17601" spans="1:2" x14ac:dyDescent="0.25">
      <c r="A17601">
        <v>34485</v>
      </c>
      <c r="B17601">
        <v>0</v>
      </c>
    </row>
    <row r="17602" spans="1:2" x14ac:dyDescent="0.25">
      <c r="A17602">
        <v>34486</v>
      </c>
      <c r="B17602">
        <v>0</v>
      </c>
    </row>
    <row r="17603" spans="1:2" x14ac:dyDescent="0.25">
      <c r="A17603">
        <v>34488</v>
      </c>
      <c r="B17603">
        <v>0</v>
      </c>
    </row>
    <row r="17604" spans="1:2" x14ac:dyDescent="0.25">
      <c r="A17604">
        <v>34489</v>
      </c>
      <c r="B17604">
        <v>0</v>
      </c>
    </row>
    <row r="17605" spans="1:2" x14ac:dyDescent="0.25">
      <c r="A17605">
        <v>34491</v>
      </c>
      <c r="B17605">
        <v>0</v>
      </c>
    </row>
    <row r="17606" spans="1:2" x14ac:dyDescent="0.25">
      <c r="A17606">
        <v>34492</v>
      </c>
      <c r="B17606">
        <v>0</v>
      </c>
    </row>
    <row r="17607" spans="1:2" x14ac:dyDescent="0.25">
      <c r="A17607">
        <v>34493</v>
      </c>
      <c r="B17607">
        <v>0</v>
      </c>
    </row>
    <row r="17608" spans="1:2" x14ac:dyDescent="0.25">
      <c r="A17608">
        <v>34494</v>
      </c>
      <c r="B17608">
        <v>0</v>
      </c>
    </row>
    <row r="17609" spans="1:2" x14ac:dyDescent="0.25">
      <c r="A17609">
        <v>34495</v>
      </c>
      <c r="B17609">
        <v>0</v>
      </c>
    </row>
    <row r="17610" spans="1:2" x14ac:dyDescent="0.25">
      <c r="A17610">
        <v>34497</v>
      </c>
      <c r="B17610">
        <v>0</v>
      </c>
    </row>
    <row r="17611" spans="1:2" x14ac:dyDescent="0.25">
      <c r="A17611">
        <v>34499</v>
      </c>
      <c r="B17611">
        <v>0</v>
      </c>
    </row>
    <row r="17612" spans="1:2" x14ac:dyDescent="0.25">
      <c r="A17612">
        <v>34502</v>
      </c>
      <c r="B17612">
        <v>0</v>
      </c>
    </row>
    <row r="17613" spans="1:2" x14ac:dyDescent="0.25">
      <c r="A17613">
        <v>34510</v>
      </c>
      <c r="B17613">
        <v>0</v>
      </c>
    </row>
    <row r="17614" spans="1:2" x14ac:dyDescent="0.25">
      <c r="A17614">
        <v>34512</v>
      </c>
      <c r="B17614">
        <v>0</v>
      </c>
    </row>
    <row r="17615" spans="1:2" x14ac:dyDescent="0.25">
      <c r="A17615">
        <v>34518</v>
      </c>
      <c r="B17615">
        <v>0</v>
      </c>
    </row>
    <row r="17616" spans="1:2" x14ac:dyDescent="0.25">
      <c r="A17616">
        <v>34519</v>
      </c>
      <c r="B17616">
        <v>0</v>
      </c>
    </row>
    <row r="17617" spans="1:2" x14ac:dyDescent="0.25">
      <c r="A17617">
        <v>34521</v>
      </c>
      <c r="B17617">
        <v>0</v>
      </c>
    </row>
    <row r="17618" spans="1:2" x14ac:dyDescent="0.25">
      <c r="A17618">
        <v>34522</v>
      </c>
      <c r="B17618">
        <v>0</v>
      </c>
    </row>
    <row r="17619" spans="1:2" x14ac:dyDescent="0.25">
      <c r="A17619">
        <v>34523</v>
      </c>
      <c r="B17619">
        <v>0</v>
      </c>
    </row>
    <row r="17620" spans="1:2" x14ac:dyDescent="0.25">
      <c r="A17620">
        <v>34525</v>
      </c>
      <c r="B17620">
        <v>0</v>
      </c>
    </row>
    <row r="17621" spans="1:2" x14ac:dyDescent="0.25">
      <c r="A17621">
        <v>34527</v>
      </c>
      <c r="B17621">
        <v>0</v>
      </c>
    </row>
    <row r="17622" spans="1:2" x14ac:dyDescent="0.25">
      <c r="A17622">
        <v>34529</v>
      </c>
      <c r="B17622">
        <v>0</v>
      </c>
    </row>
    <row r="17623" spans="1:2" x14ac:dyDescent="0.25">
      <c r="A17623">
        <v>34530</v>
      </c>
      <c r="B17623">
        <v>0</v>
      </c>
    </row>
    <row r="17624" spans="1:2" x14ac:dyDescent="0.25">
      <c r="A17624">
        <v>34531</v>
      </c>
      <c r="B17624">
        <v>0</v>
      </c>
    </row>
    <row r="17625" spans="1:2" x14ac:dyDescent="0.25">
      <c r="A17625">
        <v>34532</v>
      </c>
      <c r="B17625">
        <v>0</v>
      </c>
    </row>
    <row r="17626" spans="1:2" x14ac:dyDescent="0.25">
      <c r="A17626">
        <v>34534</v>
      </c>
      <c r="B17626">
        <v>0</v>
      </c>
    </row>
    <row r="17627" spans="1:2" x14ac:dyDescent="0.25">
      <c r="A17627">
        <v>34535</v>
      </c>
      <c r="B17627">
        <v>0</v>
      </c>
    </row>
    <row r="17628" spans="1:2" x14ac:dyDescent="0.25">
      <c r="A17628">
        <v>34537</v>
      </c>
      <c r="B17628">
        <v>0</v>
      </c>
    </row>
    <row r="17629" spans="1:2" x14ac:dyDescent="0.25">
      <c r="A17629">
        <v>34538</v>
      </c>
      <c r="B17629">
        <v>0</v>
      </c>
    </row>
    <row r="17630" spans="1:2" x14ac:dyDescent="0.25">
      <c r="A17630">
        <v>34539</v>
      </c>
      <c r="B17630">
        <v>0</v>
      </c>
    </row>
    <row r="17631" spans="1:2" x14ac:dyDescent="0.25">
      <c r="A17631">
        <v>34540</v>
      </c>
      <c r="B17631">
        <v>0</v>
      </c>
    </row>
    <row r="17632" spans="1:2" x14ac:dyDescent="0.25">
      <c r="A17632">
        <v>34542</v>
      </c>
      <c r="B17632">
        <v>0</v>
      </c>
    </row>
    <row r="17633" spans="1:2" x14ac:dyDescent="0.25">
      <c r="A17633">
        <v>34544</v>
      </c>
      <c r="B17633">
        <v>0</v>
      </c>
    </row>
    <row r="17634" spans="1:2" x14ac:dyDescent="0.25">
      <c r="A17634">
        <v>34546</v>
      </c>
      <c r="B17634">
        <v>0</v>
      </c>
    </row>
    <row r="17635" spans="1:2" x14ac:dyDescent="0.25">
      <c r="A17635">
        <v>34548</v>
      </c>
      <c r="B17635">
        <v>0</v>
      </c>
    </row>
    <row r="17636" spans="1:2" x14ac:dyDescent="0.25">
      <c r="A17636">
        <v>34550</v>
      </c>
      <c r="B17636">
        <v>0</v>
      </c>
    </row>
    <row r="17637" spans="1:2" x14ac:dyDescent="0.25">
      <c r="A17637">
        <v>34552</v>
      </c>
      <c r="B17637">
        <v>0</v>
      </c>
    </row>
    <row r="17638" spans="1:2" x14ac:dyDescent="0.25">
      <c r="A17638">
        <v>34553</v>
      </c>
      <c r="B17638">
        <v>0</v>
      </c>
    </row>
    <row r="17639" spans="1:2" x14ac:dyDescent="0.25">
      <c r="A17639">
        <v>34554</v>
      </c>
      <c r="B17639">
        <v>0</v>
      </c>
    </row>
    <row r="17640" spans="1:2" x14ac:dyDescent="0.25">
      <c r="A17640">
        <v>34555</v>
      </c>
      <c r="B17640">
        <v>0</v>
      </c>
    </row>
    <row r="17641" spans="1:2" x14ac:dyDescent="0.25">
      <c r="A17641">
        <v>34557</v>
      </c>
      <c r="B17641">
        <v>0</v>
      </c>
    </row>
    <row r="17642" spans="1:2" x14ac:dyDescent="0.25">
      <c r="A17642">
        <v>34558</v>
      </c>
      <c r="B17642">
        <v>0</v>
      </c>
    </row>
    <row r="17643" spans="1:2" x14ac:dyDescent="0.25">
      <c r="A17643">
        <v>34560</v>
      </c>
      <c r="B17643">
        <v>0</v>
      </c>
    </row>
    <row r="17644" spans="1:2" x14ac:dyDescent="0.25">
      <c r="A17644">
        <v>34562</v>
      </c>
      <c r="B17644">
        <v>0</v>
      </c>
    </row>
    <row r="17645" spans="1:2" x14ac:dyDescent="0.25">
      <c r="A17645">
        <v>34564</v>
      </c>
      <c r="B17645">
        <v>0</v>
      </c>
    </row>
    <row r="17646" spans="1:2" x14ac:dyDescent="0.25">
      <c r="A17646">
        <v>34565</v>
      </c>
      <c r="B17646">
        <v>0</v>
      </c>
    </row>
    <row r="17647" spans="1:2" x14ac:dyDescent="0.25">
      <c r="A17647">
        <v>34567</v>
      </c>
      <c r="B17647">
        <v>0</v>
      </c>
    </row>
    <row r="17648" spans="1:2" x14ac:dyDescent="0.25">
      <c r="A17648">
        <v>34569</v>
      </c>
      <c r="B17648">
        <v>0</v>
      </c>
    </row>
    <row r="17649" spans="1:2" x14ac:dyDescent="0.25">
      <c r="A17649">
        <v>34571</v>
      </c>
      <c r="B17649">
        <v>0</v>
      </c>
    </row>
    <row r="17650" spans="1:2" x14ac:dyDescent="0.25">
      <c r="A17650">
        <v>34573</v>
      </c>
      <c r="B17650">
        <v>0</v>
      </c>
    </row>
    <row r="17651" spans="1:2" x14ac:dyDescent="0.25">
      <c r="A17651">
        <v>34575</v>
      </c>
      <c r="B17651">
        <v>0</v>
      </c>
    </row>
    <row r="17652" spans="1:2" x14ac:dyDescent="0.25">
      <c r="A17652">
        <v>34577</v>
      </c>
      <c r="B17652">
        <v>0</v>
      </c>
    </row>
    <row r="17653" spans="1:2" x14ac:dyDescent="0.25">
      <c r="A17653">
        <v>34579</v>
      </c>
      <c r="B17653">
        <v>0</v>
      </c>
    </row>
    <row r="17654" spans="1:2" x14ac:dyDescent="0.25">
      <c r="A17654">
        <v>34581</v>
      </c>
      <c r="B17654">
        <v>0</v>
      </c>
    </row>
    <row r="17655" spans="1:2" x14ac:dyDescent="0.25">
      <c r="A17655">
        <v>34583</v>
      </c>
      <c r="B17655">
        <v>0</v>
      </c>
    </row>
    <row r="17656" spans="1:2" x14ac:dyDescent="0.25">
      <c r="A17656">
        <v>34585</v>
      </c>
      <c r="B17656">
        <v>0</v>
      </c>
    </row>
    <row r="17657" spans="1:2" x14ac:dyDescent="0.25">
      <c r="A17657">
        <v>34586</v>
      </c>
      <c r="B17657">
        <v>0</v>
      </c>
    </row>
    <row r="17658" spans="1:2" x14ac:dyDescent="0.25">
      <c r="A17658">
        <v>34587</v>
      </c>
      <c r="B17658">
        <v>0</v>
      </c>
    </row>
    <row r="17659" spans="1:2" x14ac:dyDescent="0.25">
      <c r="A17659">
        <v>34588</v>
      </c>
      <c r="B17659">
        <v>0</v>
      </c>
    </row>
    <row r="17660" spans="1:2" x14ac:dyDescent="0.25">
      <c r="A17660">
        <v>34589</v>
      </c>
      <c r="B17660">
        <v>0</v>
      </c>
    </row>
    <row r="17661" spans="1:2" x14ac:dyDescent="0.25">
      <c r="A17661">
        <v>34591</v>
      </c>
      <c r="B17661">
        <v>0</v>
      </c>
    </row>
    <row r="17662" spans="1:2" x14ac:dyDescent="0.25">
      <c r="A17662">
        <v>34593</v>
      </c>
      <c r="B17662">
        <v>0</v>
      </c>
    </row>
    <row r="17663" spans="1:2" x14ac:dyDescent="0.25">
      <c r="A17663">
        <v>34595</v>
      </c>
      <c r="B17663">
        <v>0</v>
      </c>
    </row>
    <row r="17664" spans="1:2" x14ac:dyDescent="0.25">
      <c r="A17664">
        <v>34597</v>
      </c>
      <c r="B17664">
        <v>0</v>
      </c>
    </row>
    <row r="17665" spans="1:2" x14ac:dyDescent="0.25">
      <c r="A17665">
        <v>34599</v>
      </c>
      <c r="B17665">
        <v>0</v>
      </c>
    </row>
    <row r="17666" spans="1:2" x14ac:dyDescent="0.25">
      <c r="A17666">
        <v>34600</v>
      </c>
      <c r="B17666">
        <v>0</v>
      </c>
    </row>
    <row r="17667" spans="1:2" x14ac:dyDescent="0.25">
      <c r="A17667">
        <v>34601</v>
      </c>
      <c r="B17667">
        <v>0</v>
      </c>
    </row>
    <row r="17668" spans="1:2" x14ac:dyDescent="0.25">
      <c r="A17668">
        <v>34602</v>
      </c>
      <c r="B17668">
        <v>0</v>
      </c>
    </row>
    <row r="17669" spans="1:2" x14ac:dyDescent="0.25">
      <c r="A17669">
        <v>34604</v>
      </c>
      <c r="B17669">
        <v>0</v>
      </c>
    </row>
    <row r="17670" spans="1:2" x14ac:dyDescent="0.25">
      <c r="A17670">
        <v>34606</v>
      </c>
      <c r="B17670">
        <v>0</v>
      </c>
    </row>
    <row r="17671" spans="1:2" x14ac:dyDescent="0.25">
      <c r="A17671">
        <v>34608</v>
      </c>
      <c r="B17671">
        <v>0</v>
      </c>
    </row>
    <row r="17672" spans="1:2" x14ac:dyDescent="0.25">
      <c r="A17672">
        <v>34610</v>
      </c>
      <c r="B17672">
        <v>0</v>
      </c>
    </row>
    <row r="17673" spans="1:2" x14ac:dyDescent="0.25">
      <c r="A17673">
        <v>34612</v>
      </c>
      <c r="B17673">
        <v>0</v>
      </c>
    </row>
    <row r="17674" spans="1:2" x14ac:dyDescent="0.25">
      <c r="A17674">
        <v>34614</v>
      </c>
      <c r="B17674">
        <v>0</v>
      </c>
    </row>
    <row r="17675" spans="1:2" x14ac:dyDescent="0.25">
      <c r="A17675">
        <v>34616</v>
      </c>
      <c r="B17675">
        <v>0</v>
      </c>
    </row>
    <row r="17676" spans="1:2" x14ac:dyDescent="0.25">
      <c r="A17676">
        <v>34618</v>
      </c>
      <c r="B17676">
        <v>0</v>
      </c>
    </row>
    <row r="17677" spans="1:2" x14ac:dyDescent="0.25">
      <c r="A17677">
        <v>34620</v>
      </c>
      <c r="B17677">
        <v>0</v>
      </c>
    </row>
    <row r="17678" spans="1:2" x14ac:dyDescent="0.25">
      <c r="A17678">
        <v>34622</v>
      </c>
      <c r="B17678">
        <v>0</v>
      </c>
    </row>
    <row r="17679" spans="1:2" x14ac:dyDescent="0.25">
      <c r="A17679">
        <v>34624</v>
      </c>
      <c r="B17679">
        <v>0</v>
      </c>
    </row>
    <row r="17680" spans="1:2" x14ac:dyDescent="0.25">
      <c r="A17680">
        <v>34626</v>
      </c>
      <c r="B17680">
        <v>0</v>
      </c>
    </row>
    <row r="17681" spans="1:2" x14ac:dyDescent="0.25">
      <c r="A17681">
        <v>34628</v>
      </c>
      <c r="B17681">
        <v>0</v>
      </c>
    </row>
    <row r="17682" spans="1:2" x14ac:dyDescent="0.25">
      <c r="A17682">
        <v>34630</v>
      </c>
      <c r="B17682">
        <v>0</v>
      </c>
    </row>
    <row r="17683" spans="1:2" x14ac:dyDescent="0.25">
      <c r="A17683">
        <v>34631</v>
      </c>
      <c r="B17683">
        <v>0</v>
      </c>
    </row>
    <row r="17684" spans="1:2" x14ac:dyDescent="0.25">
      <c r="A17684">
        <v>34633</v>
      </c>
      <c r="B17684">
        <v>0</v>
      </c>
    </row>
    <row r="17685" spans="1:2" x14ac:dyDescent="0.25">
      <c r="A17685">
        <v>34635</v>
      </c>
      <c r="B17685">
        <v>0</v>
      </c>
    </row>
    <row r="17686" spans="1:2" x14ac:dyDescent="0.25">
      <c r="A17686">
        <v>34637</v>
      </c>
      <c r="B17686">
        <v>0</v>
      </c>
    </row>
    <row r="17687" spans="1:2" x14ac:dyDescent="0.25">
      <c r="A17687">
        <v>34639</v>
      </c>
      <c r="B17687">
        <v>0</v>
      </c>
    </row>
    <row r="17688" spans="1:2" x14ac:dyDescent="0.25">
      <c r="A17688">
        <v>34641</v>
      </c>
      <c r="B17688">
        <v>0</v>
      </c>
    </row>
    <row r="17689" spans="1:2" x14ac:dyDescent="0.25">
      <c r="A17689">
        <v>34643</v>
      </c>
      <c r="B17689">
        <v>0</v>
      </c>
    </row>
    <row r="17690" spans="1:2" x14ac:dyDescent="0.25">
      <c r="A17690">
        <v>34645</v>
      </c>
      <c r="B17690">
        <v>0</v>
      </c>
    </row>
    <row r="17691" spans="1:2" x14ac:dyDescent="0.25">
      <c r="A17691">
        <v>34647</v>
      </c>
      <c r="B17691">
        <v>0</v>
      </c>
    </row>
    <row r="17692" spans="1:2" x14ac:dyDescent="0.25">
      <c r="A17692">
        <v>34649</v>
      </c>
      <c r="B17692">
        <v>0</v>
      </c>
    </row>
    <row r="17693" spans="1:2" x14ac:dyDescent="0.25">
      <c r="A17693">
        <v>34651</v>
      </c>
      <c r="B17693">
        <v>0</v>
      </c>
    </row>
    <row r="17694" spans="1:2" x14ac:dyDescent="0.25">
      <c r="A17694">
        <v>34653</v>
      </c>
      <c r="B17694">
        <v>0</v>
      </c>
    </row>
    <row r="17695" spans="1:2" x14ac:dyDescent="0.25">
      <c r="A17695">
        <v>34654</v>
      </c>
      <c r="B17695">
        <v>0</v>
      </c>
    </row>
    <row r="17696" spans="1:2" x14ac:dyDescent="0.25">
      <c r="A17696">
        <v>34655</v>
      </c>
      <c r="B17696">
        <v>0</v>
      </c>
    </row>
    <row r="17697" spans="1:2" x14ac:dyDescent="0.25">
      <c r="A17697">
        <v>34656</v>
      </c>
      <c r="B17697">
        <v>0</v>
      </c>
    </row>
    <row r="17698" spans="1:2" x14ac:dyDescent="0.25">
      <c r="A17698">
        <v>34658</v>
      </c>
      <c r="B17698">
        <v>0</v>
      </c>
    </row>
    <row r="17699" spans="1:2" x14ac:dyDescent="0.25">
      <c r="A17699">
        <v>34660</v>
      </c>
      <c r="B17699">
        <v>0</v>
      </c>
    </row>
    <row r="17700" spans="1:2" x14ac:dyDescent="0.25">
      <c r="A17700">
        <v>34661</v>
      </c>
      <c r="B17700">
        <v>0</v>
      </c>
    </row>
    <row r="17701" spans="1:2" x14ac:dyDescent="0.25">
      <c r="A17701">
        <v>34665</v>
      </c>
      <c r="B17701">
        <v>0</v>
      </c>
    </row>
    <row r="17702" spans="1:2" x14ac:dyDescent="0.25">
      <c r="A17702">
        <v>34667</v>
      </c>
      <c r="B17702">
        <v>0</v>
      </c>
    </row>
    <row r="17703" spans="1:2" x14ac:dyDescent="0.25">
      <c r="A17703">
        <v>34669</v>
      </c>
      <c r="B17703">
        <v>0</v>
      </c>
    </row>
    <row r="17704" spans="1:2" x14ac:dyDescent="0.25">
      <c r="A17704">
        <v>34671</v>
      </c>
      <c r="B17704">
        <v>0</v>
      </c>
    </row>
    <row r="17705" spans="1:2" x14ac:dyDescent="0.25">
      <c r="A17705">
        <v>34675</v>
      </c>
      <c r="B17705">
        <v>0</v>
      </c>
    </row>
    <row r="17706" spans="1:2" x14ac:dyDescent="0.25">
      <c r="A17706">
        <v>34677</v>
      </c>
      <c r="B17706">
        <v>0</v>
      </c>
    </row>
    <row r="17707" spans="1:2" x14ac:dyDescent="0.25">
      <c r="A17707">
        <v>34679</v>
      </c>
      <c r="B17707">
        <v>0</v>
      </c>
    </row>
    <row r="17708" spans="1:2" x14ac:dyDescent="0.25">
      <c r="A17708">
        <v>34681</v>
      </c>
      <c r="B17708">
        <v>0</v>
      </c>
    </row>
    <row r="17709" spans="1:2" x14ac:dyDescent="0.25">
      <c r="A17709">
        <v>34683</v>
      </c>
      <c r="B17709">
        <v>0</v>
      </c>
    </row>
    <row r="17710" spans="1:2" x14ac:dyDescent="0.25">
      <c r="A17710">
        <v>34685</v>
      </c>
      <c r="B17710">
        <v>0</v>
      </c>
    </row>
    <row r="17711" spans="1:2" x14ac:dyDescent="0.25">
      <c r="A17711">
        <v>34687</v>
      </c>
      <c r="B17711">
        <v>0</v>
      </c>
    </row>
    <row r="17712" spans="1:2" x14ac:dyDescent="0.25">
      <c r="A17712">
        <v>34689</v>
      </c>
      <c r="B17712">
        <v>0</v>
      </c>
    </row>
    <row r="17713" spans="1:2" x14ac:dyDescent="0.25">
      <c r="A17713">
        <v>34691</v>
      </c>
      <c r="B17713">
        <v>0</v>
      </c>
    </row>
    <row r="17714" spans="1:2" x14ac:dyDescent="0.25">
      <c r="A17714">
        <v>34693</v>
      </c>
      <c r="B17714">
        <v>0</v>
      </c>
    </row>
    <row r="17715" spans="1:2" x14ac:dyDescent="0.25">
      <c r="A17715">
        <v>34695</v>
      </c>
      <c r="B17715">
        <v>0</v>
      </c>
    </row>
    <row r="17716" spans="1:2" x14ac:dyDescent="0.25">
      <c r="A17716">
        <v>34697</v>
      </c>
      <c r="B17716">
        <v>0</v>
      </c>
    </row>
    <row r="17717" spans="1:2" x14ac:dyDescent="0.25">
      <c r="A17717">
        <v>34699</v>
      </c>
      <c r="B17717">
        <v>0</v>
      </c>
    </row>
    <row r="17718" spans="1:2" x14ac:dyDescent="0.25">
      <c r="A17718">
        <v>34700</v>
      </c>
      <c r="B17718">
        <v>0</v>
      </c>
    </row>
    <row r="17719" spans="1:2" x14ac:dyDescent="0.25">
      <c r="A17719">
        <v>34701</v>
      </c>
      <c r="B17719">
        <v>0</v>
      </c>
    </row>
    <row r="17720" spans="1:2" x14ac:dyDescent="0.25">
      <c r="A17720">
        <v>34702</v>
      </c>
      <c r="B17720">
        <v>0</v>
      </c>
    </row>
    <row r="17721" spans="1:2" x14ac:dyDescent="0.25">
      <c r="A17721">
        <v>34704</v>
      </c>
      <c r="B17721">
        <v>0</v>
      </c>
    </row>
    <row r="17722" spans="1:2" x14ac:dyDescent="0.25">
      <c r="A17722">
        <v>34705</v>
      </c>
      <c r="B17722">
        <v>0</v>
      </c>
    </row>
    <row r="17723" spans="1:2" x14ac:dyDescent="0.25">
      <c r="A17723">
        <v>34706</v>
      </c>
      <c r="B17723">
        <v>0</v>
      </c>
    </row>
    <row r="17724" spans="1:2" x14ac:dyDescent="0.25">
      <c r="A17724">
        <v>34708</v>
      </c>
      <c r="B17724">
        <v>0</v>
      </c>
    </row>
    <row r="17725" spans="1:2" x14ac:dyDescent="0.25">
      <c r="A17725">
        <v>34709</v>
      </c>
      <c r="B17725">
        <v>0</v>
      </c>
    </row>
    <row r="17726" spans="1:2" x14ac:dyDescent="0.25">
      <c r="A17726">
        <v>34711</v>
      </c>
      <c r="B17726">
        <v>0</v>
      </c>
    </row>
    <row r="17727" spans="1:2" x14ac:dyDescent="0.25">
      <c r="A17727">
        <v>34713</v>
      </c>
      <c r="B17727">
        <v>0</v>
      </c>
    </row>
    <row r="17728" spans="1:2" x14ac:dyDescent="0.25">
      <c r="A17728">
        <v>34716</v>
      </c>
      <c r="B17728">
        <v>0</v>
      </c>
    </row>
    <row r="17729" spans="1:2" x14ac:dyDescent="0.25">
      <c r="A17729">
        <v>34718</v>
      </c>
      <c r="B17729">
        <v>0</v>
      </c>
    </row>
    <row r="17730" spans="1:2" x14ac:dyDescent="0.25">
      <c r="A17730">
        <v>34720</v>
      </c>
      <c r="B17730">
        <v>0</v>
      </c>
    </row>
    <row r="17731" spans="1:2" x14ac:dyDescent="0.25">
      <c r="A17731">
        <v>34722</v>
      </c>
      <c r="B17731">
        <v>0</v>
      </c>
    </row>
    <row r="17732" spans="1:2" x14ac:dyDescent="0.25">
      <c r="A17732">
        <v>34724</v>
      </c>
      <c r="B17732">
        <v>0</v>
      </c>
    </row>
    <row r="17733" spans="1:2" x14ac:dyDescent="0.25">
      <c r="A17733">
        <v>34726</v>
      </c>
      <c r="B17733">
        <v>0</v>
      </c>
    </row>
    <row r="17734" spans="1:2" x14ac:dyDescent="0.25">
      <c r="A17734">
        <v>34728</v>
      </c>
      <c r="B17734">
        <v>0</v>
      </c>
    </row>
    <row r="17735" spans="1:2" x14ac:dyDescent="0.25">
      <c r="A17735">
        <v>34730</v>
      </c>
      <c r="B17735">
        <v>0</v>
      </c>
    </row>
    <row r="17736" spans="1:2" x14ac:dyDescent="0.25">
      <c r="A17736">
        <v>34732</v>
      </c>
      <c r="B17736">
        <v>0</v>
      </c>
    </row>
    <row r="17737" spans="1:2" x14ac:dyDescent="0.25">
      <c r="A17737">
        <v>34734</v>
      </c>
      <c r="B17737">
        <v>0</v>
      </c>
    </row>
    <row r="17738" spans="1:2" x14ac:dyDescent="0.25">
      <c r="A17738">
        <v>34736</v>
      </c>
      <c r="B17738">
        <v>0</v>
      </c>
    </row>
    <row r="17739" spans="1:2" x14ac:dyDescent="0.25">
      <c r="A17739">
        <v>34738</v>
      </c>
      <c r="B17739">
        <v>0</v>
      </c>
    </row>
    <row r="17740" spans="1:2" x14ac:dyDescent="0.25">
      <c r="A17740">
        <v>34740</v>
      </c>
      <c r="B17740">
        <v>0</v>
      </c>
    </row>
    <row r="17741" spans="1:2" x14ac:dyDescent="0.25">
      <c r="A17741">
        <v>34742</v>
      </c>
      <c r="B17741">
        <v>0</v>
      </c>
    </row>
    <row r="17742" spans="1:2" x14ac:dyDescent="0.25">
      <c r="A17742">
        <v>34744</v>
      </c>
      <c r="B17742">
        <v>0</v>
      </c>
    </row>
    <row r="17743" spans="1:2" x14ac:dyDescent="0.25">
      <c r="A17743">
        <v>34745</v>
      </c>
      <c r="B17743">
        <v>0</v>
      </c>
    </row>
    <row r="17744" spans="1:2" x14ac:dyDescent="0.25">
      <c r="A17744">
        <v>34747</v>
      </c>
      <c r="B17744">
        <v>0</v>
      </c>
    </row>
    <row r="17745" spans="1:2" x14ac:dyDescent="0.25">
      <c r="A17745">
        <v>34749</v>
      </c>
      <c r="B17745">
        <v>0</v>
      </c>
    </row>
    <row r="17746" spans="1:2" x14ac:dyDescent="0.25">
      <c r="A17746">
        <v>34751</v>
      </c>
      <c r="B17746">
        <v>0</v>
      </c>
    </row>
    <row r="17747" spans="1:2" x14ac:dyDescent="0.25">
      <c r="A17747">
        <v>34753</v>
      </c>
      <c r="B17747">
        <v>0</v>
      </c>
    </row>
    <row r="17748" spans="1:2" x14ac:dyDescent="0.25">
      <c r="A17748">
        <v>34755</v>
      </c>
      <c r="B17748">
        <v>0</v>
      </c>
    </row>
    <row r="17749" spans="1:2" x14ac:dyDescent="0.25">
      <c r="A17749">
        <v>34757</v>
      </c>
      <c r="B17749">
        <v>0</v>
      </c>
    </row>
    <row r="17750" spans="1:2" x14ac:dyDescent="0.25">
      <c r="A17750">
        <v>34766</v>
      </c>
      <c r="B17750">
        <v>0</v>
      </c>
    </row>
    <row r="17751" spans="1:2" x14ac:dyDescent="0.25">
      <c r="A17751">
        <v>34769</v>
      </c>
      <c r="B17751">
        <v>0</v>
      </c>
    </row>
    <row r="17752" spans="1:2" x14ac:dyDescent="0.25">
      <c r="A17752">
        <v>34770</v>
      </c>
      <c r="B17752">
        <v>0</v>
      </c>
    </row>
    <row r="17753" spans="1:2" x14ac:dyDescent="0.25">
      <c r="A17753">
        <v>34771</v>
      </c>
      <c r="B17753">
        <v>0</v>
      </c>
    </row>
    <row r="17754" spans="1:2" x14ac:dyDescent="0.25">
      <c r="A17754">
        <v>34777</v>
      </c>
      <c r="B17754">
        <v>0</v>
      </c>
    </row>
    <row r="17755" spans="1:2" x14ac:dyDescent="0.25">
      <c r="A17755">
        <v>34779</v>
      </c>
      <c r="B17755">
        <v>0</v>
      </c>
    </row>
    <row r="17756" spans="1:2" x14ac:dyDescent="0.25">
      <c r="A17756">
        <v>34780</v>
      </c>
      <c r="B17756">
        <v>0</v>
      </c>
    </row>
    <row r="17757" spans="1:2" x14ac:dyDescent="0.25">
      <c r="A17757">
        <v>34781</v>
      </c>
      <c r="B17757">
        <v>0</v>
      </c>
    </row>
    <row r="17758" spans="1:2" x14ac:dyDescent="0.25">
      <c r="A17758">
        <v>34782</v>
      </c>
      <c r="B17758">
        <v>0</v>
      </c>
    </row>
    <row r="17759" spans="1:2" x14ac:dyDescent="0.25">
      <c r="A17759">
        <v>34783</v>
      </c>
      <c r="B17759">
        <v>0</v>
      </c>
    </row>
    <row r="17760" spans="1:2" x14ac:dyDescent="0.25">
      <c r="A17760">
        <v>34785</v>
      </c>
      <c r="B17760">
        <v>0</v>
      </c>
    </row>
    <row r="17761" spans="1:2" x14ac:dyDescent="0.25">
      <c r="A17761">
        <v>34786</v>
      </c>
      <c r="B17761">
        <v>0</v>
      </c>
    </row>
    <row r="17762" spans="1:2" x14ac:dyDescent="0.25">
      <c r="A17762">
        <v>34788</v>
      </c>
      <c r="B17762">
        <v>0</v>
      </c>
    </row>
    <row r="17763" spans="1:2" x14ac:dyDescent="0.25">
      <c r="A17763">
        <v>34789</v>
      </c>
      <c r="B17763">
        <v>0</v>
      </c>
    </row>
    <row r="17764" spans="1:2" x14ac:dyDescent="0.25">
      <c r="A17764">
        <v>34790</v>
      </c>
      <c r="B17764">
        <v>0</v>
      </c>
    </row>
    <row r="17765" spans="1:2" x14ac:dyDescent="0.25">
      <c r="A17765">
        <v>34791</v>
      </c>
      <c r="B17765">
        <v>0</v>
      </c>
    </row>
    <row r="17766" spans="1:2" x14ac:dyDescent="0.25">
      <c r="A17766">
        <v>34792</v>
      </c>
      <c r="B17766">
        <v>0</v>
      </c>
    </row>
    <row r="17767" spans="1:2" x14ac:dyDescent="0.25">
      <c r="A17767">
        <v>34793</v>
      </c>
      <c r="B17767">
        <v>0</v>
      </c>
    </row>
    <row r="17768" spans="1:2" x14ac:dyDescent="0.25">
      <c r="A17768">
        <v>34794</v>
      </c>
      <c r="B17768">
        <v>0</v>
      </c>
    </row>
    <row r="17769" spans="1:2" x14ac:dyDescent="0.25">
      <c r="A17769">
        <v>34795</v>
      </c>
      <c r="B17769">
        <v>0</v>
      </c>
    </row>
    <row r="17770" spans="1:2" x14ac:dyDescent="0.25">
      <c r="A17770">
        <v>34806</v>
      </c>
      <c r="B17770">
        <v>0</v>
      </c>
    </row>
    <row r="17771" spans="1:2" x14ac:dyDescent="0.25">
      <c r="A17771">
        <v>34809</v>
      </c>
      <c r="B17771">
        <v>0</v>
      </c>
    </row>
    <row r="17772" spans="1:2" x14ac:dyDescent="0.25">
      <c r="A17772">
        <v>34811</v>
      </c>
      <c r="B17772">
        <v>0</v>
      </c>
    </row>
    <row r="17773" spans="1:2" x14ac:dyDescent="0.25">
      <c r="A17773">
        <v>34813</v>
      </c>
      <c r="B17773">
        <v>0</v>
      </c>
    </row>
    <row r="17774" spans="1:2" x14ac:dyDescent="0.25">
      <c r="A17774">
        <v>34814</v>
      </c>
      <c r="B17774">
        <v>0</v>
      </c>
    </row>
    <row r="17775" spans="1:2" x14ac:dyDescent="0.25">
      <c r="A17775">
        <v>34816</v>
      </c>
      <c r="B17775">
        <v>0</v>
      </c>
    </row>
    <row r="17776" spans="1:2" x14ac:dyDescent="0.25">
      <c r="A17776">
        <v>34818</v>
      </c>
      <c r="B17776">
        <v>0</v>
      </c>
    </row>
    <row r="17777" spans="1:2" x14ac:dyDescent="0.25">
      <c r="A17777">
        <v>34819</v>
      </c>
      <c r="B17777">
        <v>0</v>
      </c>
    </row>
    <row r="17778" spans="1:2" x14ac:dyDescent="0.25">
      <c r="A17778">
        <v>34820</v>
      </c>
      <c r="B17778">
        <v>0</v>
      </c>
    </row>
    <row r="17779" spans="1:2" x14ac:dyDescent="0.25">
      <c r="A17779">
        <v>34821</v>
      </c>
      <c r="B17779">
        <v>0</v>
      </c>
    </row>
    <row r="17780" spans="1:2" x14ac:dyDescent="0.25">
      <c r="A17780">
        <v>34822</v>
      </c>
      <c r="B17780">
        <v>0</v>
      </c>
    </row>
    <row r="17781" spans="1:2" x14ac:dyDescent="0.25">
      <c r="A17781">
        <v>34824</v>
      </c>
      <c r="B17781">
        <v>0</v>
      </c>
    </row>
    <row r="17782" spans="1:2" x14ac:dyDescent="0.25">
      <c r="A17782">
        <v>34826</v>
      </c>
      <c r="B17782">
        <v>0</v>
      </c>
    </row>
    <row r="17783" spans="1:2" x14ac:dyDescent="0.25">
      <c r="A17783">
        <v>34827</v>
      </c>
      <c r="B17783">
        <v>0</v>
      </c>
    </row>
    <row r="17784" spans="1:2" x14ac:dyDescent="0.25">
      <c r="A17784">
        <v>34828</v>
      </c>
      <c r="B17784">
        <v>0</v>
      </c>
    </row>
    <row r="17785" spans="1:2" x14ac:dyDescent="0.25">
      <c r="A17785">
        <v>34829</v>
      </c>
      <c r="B17785">
        <v>0</v>
      </c>
    </row>
    <row r="17786" spans="1:2" x14ac:dyDescent="0.25">
      <c r="A17786">
        <v>34830</v>
      </c>
      <c r="B17786">
        <v>0</v>
      </c>
    </row>
    <row r="17787" spans="1:2" x14ac:dyDescent="0.25">
      <c r="A17787">
        <v>34832</v>
      </c>
      <c r="B17787">
        <v>0</v>
      </c>
    </row>
    <row r="17788" spans="1:2" x14ac:dyDescent="0.25">
      <c r="A17788">
        <v>34834</v>
      </c>
      <c r="B17788">
        <v>0</v>
      </c>
    </row>
    <row r="17789" spans="1:2" x14ac:dyDescent="0.25">
      <c r="A17789">
        <v>34836</v>
      </c>
      <c r="B17789">
        <v>0</v>
      </c>
    </row>
    <row r="17790" spans="1:2" x14ac:dyDescent="0.25">
      <c r="A17790">
        <v>34839</v>
      </c>
      <c r="B17790">
        <v>0</v>
      </c>
    </row>
    <row r="17791" spans="1:2" x14ac:dyDescent="0.25">
      <c r="A17791">
        <v>34842</v>
      </c>
      <c r="B17791">
        <v>0</v>
      </c>
    </row>
    <row r="17792" spans="1:2" x14ac:dyDescent="0.25">
      <c r="A17792">
        <v>34844</v>
      </c>
      <c r="B17792">
        <v>0</v>
      </c>
    </row>
    <row r="17793" spans="1:2" x14ac:dyDescent="0.25">
      <c r="A17793">
        <v>34846</v>
      </c>
      <c r="B17793">
        <v>0</v>
      </c>
    </row>
    <row r="17794" spans="1:2" x14ac:dyDescent="0.25">
      <c r="A17794">
        <v>34849</v>
      </c>
      <c r="B17794">
        <v>0</v>
      </c>
    </row>
    <row r="17795" spans="1:2" x14ac:dyDescent="0.25">
      <c r="A17795">
        <v>34851</v>
      </c>
      <c r="B17795">
        <v>0</v>
      </c>
    </row>
    <row r="17796" spans="1:2" x14ac:dyDescent="0.25">
      <c r="A17796">
        <v>34852</v>
      </c>
      <c r="B17796">
        <v>0</v>
      </c>
    </row>
    <row r="17797" spans="1:2" x14ac:dyDescent="0.25">
      <c r="A17797">
        <v>34853</v>
      </c>
      <c r="B17797">
        <v>0</v>
      </c>
    </row>
    <row r="17798" spans="1:2" x14ac:dyDescent="0.25">
      <c r="A17798">
        <v>34854</v>
      </c>
      <c r="B17798">
        <v>0</v>
      </c>
    </row>
    <row r="17799" spans="1:2" x14ac:dyDescent="0.25">
      <c r="A17799">
        <v>34855</v>
      </c>
      <c r="B17799">
        <v>0</v>
      </c>
    </row>
    <row r="17800" spans="1:2" x14ac:dyDescent="0.25">
      <c r="A17800">
        <v>34856</v>
      </c>
      <c r="B17800">
        <v>0</v>
      </c>
    </row>
    <row r="17801" spans="1:2" x14ac:dyDescent="0.25">
      <c r="A17801">
        <v>34857</v>
      </c>
      <c r="B17801">
        <v>0</v>
      </c>
    </row>
    <row r="17802" spans="1:2" x14ac:dyDescent="0.25">
      <c r="A17802">
        <v>34859</v>
      </c>
      <c r="B17802">
        <v>0</v>
      </c>
    </row>
    <row r="17803" spans="1:2" x14ac:dyDescent="0.25">
      <c r="A17803">
        <v>34861</v>
      </c>
      <c r="B17803">
        <v>0</v>
      </c>
    </row>
    <row r="17804" spans="1:2" x14ac:dyDescent="0.25">
      <c r="A17804">
        <v>34864</v>
      </c>
      <c r="B17804">
        <v>0</v>
      </c>
    </row>
    <row r="17805" spans="1:2" x14ac:dyDescent="0.25">
      <c r="A17805">
        <v>34865</v>
      </c>
      <c r="B17805">
        <v>0</v>
      </c>
    </row>
    <row r="17806" spans="1:2" x14ac:dyDescent="0.25">
      <c r="A17806">
        <v>34866</v>
      </c>
      <c r="B17806">
        <v>0</v>
      </c>
    </row>
    <row r="17807" spans="1:2" x14ac:dyDescent="0.25">
      <c r="A17807">
        <v>34867</v>
      </c>
      <c r="B17807">
        <v>0</v>
      </c>
    </row>
    <row r="17808" spans="1:2" x14ac:dyDescent="0.25">
      <c r="A17808">
        <v>34868</v>
      </c>
      <c r="B17808">
        <v>0</v>
      </c>
    </row>
    <row r="17809" spans="1:2" x14ac:dyDescent="0.25">
      <c r="A17809">
        <v>34869</v>
      </c>
      <c r="B17809">
        <v>0</v>
      </c>
    </row>
    <row r="17810" spans="1:2" x14ac:dyDescent="0.25">
      <c r="A17810">
        <v>34874</v>
      </c>
      <c r="B17810">
        <v>0</v>
      </c>
    </row>
    <row r="17811" spans="1:2" x14ac:dyDescent="0.25">
      <c r="A17811">
        <v>34880</v>
      </c>
      <c r="B17811">
        <v>0</v>
      </c>
    </row>
    <row r="17812" spans="1:2" x14ac:dyDescent="0.25">
      <c r="A17812">
        <v>34882</v>
      </c>
      <c r="B17812">
        <v>0</v>
      </c>
    </row>
    <row r="17813" spans="1:2" x14ac:dyDescent="0.25">
      <c r="A17813">
        <v>34884</v>
      </c>
      <c r="B17813">
        <v>0</v>
      </c>
    </row>
    <row r="17814" spans="1:2" x14ac:dyDescent="0.25">
      <c r="A17814">
        <v>34890</v>
      </c>
      <c r="B17814">
        <v>0</v>
      </c>
    </row>
    <row r="17815" spans="1:2" x14ac:dyDescent="0.25">
      <c r="A17815">
        <v>34891</v>
      </c>
      <c r="B17815">
        <v>0</v>
      </c>
    </row>
    <row r="17816" spans="1:2" x14ac:dyDescent="0.25">
      <c r="A17816">
        <v>34893</v>
      </c>
      <c r="B17816">
        <v>0</v>
      </c>
    </row>
    <row r="17817" spans="1:2" x14ac:dyDescent="0.25">
      <c r="A17817">
        <v>34895</v>
      </c>
      <c r="B17817">
        <v>0</v>
      </c>
    </row>
    <row r="17818" spans="1:2" x14ac:dyDescent="0.25">
      <c r="A17818">
        <v>34897</v>
      </c>
      <c r="B17818">
        <v>0</v>
      </c>
    </row>
    <row r="17819" spans="1:2" x14ac:dyDescent="0.25">
      <c r="A17819">
        <v>34898</v>
      </c>
      <c r="B17819">
        <v>0</v>
      </c>
    </row>
    <row r="17820" spans="1:2" x14ac:dyDescent="0.25">
      <c r="A17820">
        <v>34900</v>
      </c>
      <c r="B17820">
        <v>0</v>
      </c>
    </row>
    <row r="17821" spans="1:2" x14ac:dyDescent="0.25">
      <c r="A17821">
        <v>34902</v>
      </c>
      <c r="B17821">
        <v>0</v>
      </c>
    </row>
    <row r="17822" spans="1:2" x14ac:dyDescent="0.25">
      <c r="A17822">
        <v>34904</v>
      </c>
      <c r="B17822">
        <v>0</v>
      </c>
    </row>
    <row r="17823" spans="1:2" x14ac:dyDescent="0.25">
      <c r="A17823">
        <v>34906</v>
      </c>
      <c r="B17823">
        <v>0</v>
      </c>
    </row>
    <row r="17824" spans="1:2" x14ac:dyDescent="0.25">
      <c r="A17824">
        <v>34908</v>
      </c>
      <c r="B17824">
        <v>0</v>
      </c>
    </row>
    <row r="17825" spans="1:2" x14ac:dyDescent="0.25">
      <c r="A17825">
        <v>34914</v>
      </c>
      <c r="B17825">
        <v>0</v>
      </c>
    </row>
    <row r="17826" spans="1:2" x14ac:dyDescent="0.25">
      <c r="A17826">
        <v>34916</v>
      </c>
      <c r="B17826">
        <v>0</v>
      </c>
    </row>
    <row r="17827" spans="1:2" x14ac:dyDescent="0.25">
      <c r="A17827">
        <v>34918</v>
      </c>
      <c r="B17827">
        <v>0</v>
      </c>
    </row>
    <row r="17828" spans="1:2" x14ac:dyDescent="0.25">
      <c r="A17828">
        <v>34920</v>
      </c>
      <c r="B17828">
        <v>0</v>
      </c>
    </row>
    <row r="17829" spans="1:2" x14ac:dyDescent="0.25">
      <c r="A17829">
        <v>34922</v>
      </c>
      <c r="B17829">
        <v>0</v>
      </c>
    </row>
    <row r="17830" spans="1:2" x14ac:dyDescent="0.25">
      <c r="A17830">
        <v>34923</v>
      </c>
      <c r="B17830">
        <v>0</v>
      </c>
    </row>
    <row r="17831" spans="1:2" x14ac:dyDescent="0.25">
      <c r="A17831">
        <v>34924</v>
      </c>
      <c r="B17831">
        <v>0</v>
      </c>
    </row>
    <row r="17832" spans="1:2" x14ac:dyDescent="0.25">
      <c r="A17832">
        <v>34926</v>
      </c>
      <c r="B17832">
        <v>0</v>
      </c>
    </row>
    <row r="17833" spans="1:2" x14ac:dyDescent="0.25">
      <c r="A17833">
        <v>34928</v>
      </c>
      <c r="B17833">
        <v>0</v>
      </c>
    </row>
    <row r="17834" spans="1:2" x14ac:dyDescent="0.25">
      <c r="A17834">
        <v>34930</v>
      </c>
      <c r="B17834">
        <v>0</v>
      </c>
    </row>
    <row r="17835" spans="1:2" x14ac:dyDescent="0.25">
      <c r="A17835">
        <v>34931</v>
      </c>
      <c r="B17835">
        <v>0</v>
      </c>
    </row>
    <row r="17836" spans="1:2" x14ac:dyDescent="0.25">
      <c r="A17836">
        <v>34933</v>
      </c>
      <c r="B17836">
        <v>0</v>
      </c>
    </row>
    <row r="17837" spans="1:2" x14ac:dyDescent="0.25">
      <c r="A17837">
        <v>34936</v>
      </c>
      <c r="B17837">
        <v>0</v>
      </c>
    </row>
    <row r="17838" spans="1:2" x14ac:dyDescent="0.25">
      <c r="A17838">
        <v>34939</v>
      </c>
      <c r="B17838">
        <v>0</v>
      </c>
    </row>
    <row r="17839" spans="1:2" x14ac:dyDescent="0.25">
      <c r="A17839">
        <v>34940</v>
      </c>
      <c r="B17839">
        <v>0</v>
      </c>
    </row>
    <row r="17840" spans="1:2" x14ac:dyDescent="0.25">
      <c r="A17840">
        <v>34941</v>
      </c>
      <c r="B17840">
        <v>0</v>
      </c>
    </row>
    <row r="17841" spans="1:2" x14ac:dyDescent="0.25">
      <c r="A17841">
        <v>34942</v>
      </c>
      <c r="B17841">
        <v>0</v>
      </c>
    </row>
    <row r="17842" spans="1:2" x14ac:dyDescent="0.25">
      <c r="A17842">
        <v>34943</v>
      </c>
      <c r="B17842">
        <v>0</v>
      </c>
    </row>
    <row r="17843" spans="1:2" x14ac:dyDescent="0.25">
      <c r="A17843">
        <v>34944</v>
      </c>
      <c r="B17843">
        <v>0</v>
      </c>
    </row>
    <row r="17844" spans="1:2" x14ac:dyDescent="0.25">
      <c r="A17844">
        <v>34945</v>
      </c>
      <c r="B17844">
        <v>0</v>
      </c>
    </row>
    <row r="17845" spans="1:2" x14ac:dyDescent="0.25">
      <c r="A17845">
        <v>34946</v>
      </c>
      <c r="B17845">
        <v>0</v>
      </c>
    </row>
    <row r="17846" spans="1:2" x14ac:dyDescent="0.25">
      <c r="A17846">
        <v>34947</v>
      </c>
      <c r="B17846">
        <v>0</v>
      </c>
    </row>
    <row r="17847" spans="1:2" x14ac:dyDescent="0.25">
      <c r="A17847">
        <v>34948</v>
      </c>
      <c r="B17847">
        <v>0</v>
      </c>
    </row>
    <row r="17848" spans="1:2" x14ac:dyDescent="0.25">
      <c r="A17848">
        <v>34949</v>
      </c>
      <c r="B17848">
        <v>0</v>
      </c>
    </row>
    <row r="17849" spans="1:2" x14ac:dyDescent="0.25">
      <c r="A17849">
        <v>34950</v>
      </c>
      <c r="B17849">
        <v>0</v>
      </c>
    </row>
    <row r="17850" spans="1:2" x14ac:dyDescent="0.25">
      <c r="A17850">
        <v>34951</v>
      </c>
      <c r="B17850">
        <v>0</v>
      </c>
    </row>
    <row r="17851" spans="1:2" x14ac:dyDescent="0.25">
      <c r="A17851">
        <v>34952</v>
      </c>
      <c r="B17851">
        <v>0</v>
      </c>
    </row>
    <row r="17852" spans="1:2" x14ac:dyDescent="0.25">
      <c r="A17852">
        <v>34953</v>
      </c>
      <c r="B17852">
        <v>0</v>
      </c>
    </row>
    <row r="17853" spans="1:2" x14ac:dyDescent="0.25">
      <c r="A17853">
        <v>34954</v>
      </c>
      <c r="B17853">
        <v>0</v>
      </c>
    </row>
    <row r="17854" spans="1:2" x14ac:dyDescent="0.25">
      <c r="A17854">
        <v>34955</v>
      </c>
      <c r="B17854">
        <v>0</v>
      </c>
    </row>
    <row r="17855" spans="1:2" x14ac:dyDescent="0.25">
      <c r="A17855">
        <v>34956</v>
      </c>
      <c r="B17855">
        <v>0</v>
      </c>
    </row>
    <row r="17856" spans="1:2" x14ac:dyDescent="0.25">
      <c r="A17856">
        <v>34957</v>
      </c>
      <c r="B17856">
        <v>0</v>
      </c>
    </row>
    <row r="17857" spans="1:2" x14ac:dyDescent="0.25">
      <c r="A17857">
        <v>34958</v>
      </c>
      <c r="B17857">
        <v>0</v>
      </c>
    </row>
    <row r="17858" spans="1:2" x14ac:dyDescent="0.25">
      <c r="A17858">
        <v>34959</v>
      </c>
      <c r="B17858">
        <v>0</v>
      </c>
    </row>
    <row r="17859" spans="1:2" x14ac:dyDescent="0.25">
      <c r="A17859">
        <v>34960</v>
      </c>
      <c r="B17859">
        <v>0</v>
      </c>
    </row>
    <row r="17860" spans="1:2" x14ac:dyDescent="0.25">
      <c r="A17860">
        <v>34961</v>
      </c>
      <c r="B17860">
        <v>0</v>
      </c>
    </row>
    <row r="17861" spans="1:2" x14ac:dyDescent="0.25">
      <c r="A17861">
        <v>34962</v>
      </c>
      <c r="B17861">
        <v>0</v>
      </c>
    </row>
    <row r="17862" spans="1:2" x14ac:dyDescent="0.25">
      <c r="A17862">
        <v>34963</v>
      </c>
      <c r="B17862">
        <v>0</v>
      </c>
    </row>
    <row r="17863" spans="1:2" x14ac:dyDescent="0.25">
      <c r="A17863">
        <v>34965</v>
      </c>
      <c r="B17863">
        <v>0</v>
      </c>
    </row>
    <row r="17864" spans="1:2" x14ac:dyDescent="0.25">
      <c r="A17864">
        <v>34967</v>
      </c>
      <c r="B17864">
        <v>0</v>
      </c>
    </row>
    <row r="17865" spans="1:2" x14ac:dyDescent="0.25">
      <c r="A17865">
        <v>34968</v>
      </c>
      <c r="B17865">
        <v>0</v>
      </c>
    </row>
    <row r="17866" spans="1:2" x14ac:dyDescent="0.25">
      <c r="A17866">
        <v>34969</v>
      </c>
      <c r="B17866">
        <v>0</v>
      </c>
    </row>
    <row r="17867" spans="1:2" x14ac:dyDescent="0.25">
      <c r="A17867">
        <v>34970</v>
      </c>
      <c r="B17867">
        <v>0</v>
      </c>
    </row>
    <row r="17868" spans="1:2" x14ac:dyDescent="0.25">
      <c r="A17868">
        <v>34972</v>
      </c>
      <c r="B17868">
        <v>0</v>
      </c>
    </row>
    <row r="17869" spans="1:2" x14ac:dyDescent="0.25">
      <c r="A17869">
        <v>34973</v>
      </c>
      <c r="B17869">
        <v>0</v>
      </c>
    </row>
    <row r="17870" spans="1:2" x14ac:dyDescent="0.25">
      <c r="A17870">
        <v>34974</v>
      </c>
      <c r="B17870">
        <v>0</v>
      </c>
    </row>
    <row r="17871" spans="1:2" x14ac:dyDescent="0.25">
      <c r="A17871">
        <v>34975</v>
      </c>
      <c r="B17871">
        <v>0</v>
      </c>
    </row>
    <row r="17872" spans="1:2" x14ac:dyDescent="0.25">
      <c r="A17872">
        <v>34976</v>
      </c>
      <c r="B17872">
        <v>0</v>
      </c>
    </row>
    <row r="17873" spans="1:2" x14ac:dyDescent="0.25">
      <c r="A17873">
        <v>34977</v>
      </c>
      <c r="B17873">
        <v>0</v>
      </c>
    </row>
    <row r="17874" spans="1:2" x14ac:dyDescent="0.25">
      <c r="A17874">
        <v>34978</v>
      </c>
      <c r="B17874">
        <v>0</v>
      </c>
    </row>
    <row r="17875" spans="1:2" x14ac:dyDescent="0.25">
      <c r="A17875">
        <v>34979</v>
      </c>
      <c r="B17875">
        <v>0</v>
      </c>
    </row>
    <row r="17876" spans="1:2" x14ac:dyDescent="0.25">
      <c r="A17876">
        <v>34980</v>
      </c>
      <c r="B17876">
        <v>0</v>
      </c>
    </row>
    <row r="17877" spans="1:2" x14ac:dyDescent="0.25">
      <c r="A17877">
        <v>34981</v>
      </c>
      <c r="B17877">
        <v>0</v>
      </c>
    </row>
    <row r="17878" spans="1:2" x14ac:dyDescent="0.25">
      <c r="A17878">
        <v>34982</v>
      </c>
      <c r="B17878">
        <v>0</v>
      </c>
    </row>
    <row r="17879" spans="1:2" x14ac:dyDescent="0.25">
      <c r="A17879">
        <v>34983</v>
      </c>
      <c r="B17879">
        <v>0</v>
      </c>
    </row>
    <row r="17880" spans="1:2" x14ac:dyDescent="0.25">
      <c r="A17880">
        <v>34985</v>
      </c>
      <c r="B17880">
        <v>0</v>
      </c>
    </row>
    <row r="17881" spans="1:2" x14ac:dyDescent="0.25">
      <c r="A17881">
        <v>34986</v>
      </c>
      <c r="B17881">
        <v>0</v>
      </c>
    </row>
    <row r="17882" spans="1:2" x14ac:dyDescent="0.25">
      <c r="A17882">
        <v>34987</v>
      </c>
      <c r="B17882">
        <v>0</v>
      </c>
    </row>
    <row r="17883" spans="1:2" x14ac:dyDescent="0.25">
      <c r="A17883">
        <v>34988</v>
      </c>
      <c r="B17883">
        <v>0</v>
      </c>
    </row>
    <row r="17884" spans="1:2" x14ac:dyDescent="0.25">
      <c r="A17884">
        <v>34989</v>
      </c>
      <c r="B17884">
        <v>0</v>
      </c>
    </row>
    <row r="17885" spans="1:2" x14ac:dyDescent="0.25">
      <c r="A17885">
        <v>34990</v>
      </c>
      <c r="B17885">
        <v>0</v>
      </c>
    </row>
    <row r="17886" spans="1:2" x14ac:dyDescent="0.25">
      <c r="A17886">
        <v>34991</v>
      </c>
      <c r="B17886">
        <v>0</v>
      </c>
    </row>
    <row r="17887" spans="1:2" x14ac:dyDescent="0.25">
      <c r="A17887">
        <v>34992</v>
      </c>
      <c r="B17887">
        <v>0</v>
      </c>
    </row>
    <row r="17888" spans="1:2" x14ac:dyDescent="0.25">
      <c r="A17888">
        <v>34993</v>
      </c>
      <c r="B17888">
        <v>0</v>
      </c>
    </row>
    <row r="17889" spans="1:2" x14ac:dyDescent="0.25">
      <c r="A17889">
        <v>34994</v>
      </c>
      <c r="B17889">
        <v>0</v>
      </c>
    </row>
    <row r="17890" spans="1:2" x14ac:dyDescent="0.25">
      <c r="A17890">
        <v>34995</v>
      </c>
      <c r="B17890">
        <v>0</v>
      </c>
    </row>
    <row r="17891" spans="1:2" x14ac:dyDescent="0.25">
      <c r="A17891">
        <v>34996</v>
      </c>
      <c r="B17891">
        <v>0</v>
      </c>
    </row>
    <row r="17892" spans="1:2" x14ac:dyDescent="0.25">
      <c r="A17892">
        <v>34997</v>
      </c>
      <c r="B17892">
        <v>0</v>
      </c>
    </row>
    <row r="17893" spans="1:2" x14ac:dyDescent="0.25">
      <c r="A17893">
        <v>34998</v>
      </c>
      <c r="B17893">
        <v>0</v>
      </c>
    </row>
    <row r="17894" spans="1:2" x14ac:dyDescent="0.25">
      <c r="A17894">
        <v>34999</v>
      </c>
      <c r="B17894">
        <v>0</v>
      </c>
    </row>
    <row r="17895" spans="1:2" x14ac:dyDescent="0.25">
      <c r="A17895">
        <v>35000</v>
      </c>
      <c r="B17895">
        <v>0</v>
      </c>
    </row>
    <row r="17896" spans="1:2" x14ac:dyDescent="0.25">
      <c r="A17896">
        <v>35001</v>
      </c>
      <c r="B17896">
        <v>0</v>
      </c>
    </row>
    <row r="17897" spans="1:2" x14ac:dyDescent="0.25">
      <c r="A17897">
        <v>35003</v>
      </c>
      <c r="B17897">
        <v>0</v>
      </c>
    </row>
    <row r="17898" spans="1:2" x14ac:dyDescent="0.25">
      <c r="A17898">
        <v>35005</v>
      </c>
      <c r="B17898">
        <v>0</v>
      </c>
    </row>
    <row r="17899" spans="1:2" x14ac:dyDescent="0.25">
      <c r="A17899">
        <v>35006</v>
      </c>
      <c r="B17899">
        <v>0</v>
      </c>
    </row>
    <row r="17900" spans="1:2" x14ac:dyDescent="0.25">
      <c r="A17900">
        <v>35007</v>
      </c>
      <c r="B17900">
        <v>0</v>
      </c>
    </row>
    <row r="17901" spans="1:2" x14ac:dyDescent="0.25">
      <c r="A17901">
        <v>35009</v>
      </c>
      <c r="B17901">
        <v>0</v>
      </c>
    </row>
    <row r="17902" spans="1:2" x14ac:dyDescent="0.25">
      <c r="A17902">
        <v>35012</v>
      </c>
      <c r="B17902">
        <v>0</v>
      </c>
    </row>
    <row r="17903" spans="1:2" x14ac:dyDescent="0.25">
      <c r="A17903">
        <v>35014</v>
      </c>
      <c r="B17903">
        <v>0</v>
      </c>
    </row>
    <row r="17904" spans="1:2" x14ac:dyDescent="0.25">
      <c r="A17904">
        <v>35015</v>
      </c>
      <c r="B17904">
        <v>0</v>
      </c>
    </row>
    <row r="17905" spans="1:2" x14ac:dyDescent="0.25">
      <c r="A17905">
        <v>35019</v>
      </c>
      <c r="B17905">
        <v>0</v>
      </c>
    </row>
    <row r="17906" spans="1:2" x14ac:dyDescent="0.25">
      <c r="A17906">
        <v>35020</v>
      </c>
      <c r="B17906">
        <v>0</v>
      </c>
    </row>
    <row r="17907" spans="1:2" x14ac:dyDescent="0.25">
      <c r="A17907">
        <v>35022</v>
      </c>
      <c r="B17907">
        <v>0</v>
      </c>
    </row>
    <row r="17908" spans="1:2" x14ac:dyDescent="0.25">
      <c r="A17908">
        <v>35024</v>
      </c>
      <c r="B17908">
        <v>0</v>
      </c>
    </row>
    <row r="17909" spans="1:2" x14ac:dyDescent="0.25">
      <c r="A17909">
        <v>35026</v>
      </c>
      <c r="B17909">
        <v>0</v>
      </c>
    </row>
    <row r="17910" spans="1:2" x14ac:dyDescent="0.25">
      <c r="A17910">
        <v>35027</v>
      </c>
      <c r="B17910">
        <v>0</v>
      </c>
    </row>
    <row r="17911" spans="1:2" x14ac:dyDescent="0.25">
      <c r="A17911">
        <v>35029</v>
      </c>
      <c r="B17911">
        <v>0</v>
      </c>
    </row>
    <row r="17912" spans="1:2" x14ac:dyDescent="0.25">
      <c r="A17912">
        <v>35030</v>
      </c>
      <c r="B17912">
        <v>0</v>
      </c>
    </row>
    <row r="17913" spans="1:2" x14ac:dyDescent="0.25">
      <c r="A17913">
        <v>35046</v>
      </c>
      <c r="B17913">
        <v>0</v>
      </c>
    </row>
    <row r="17914" spans="1:2" x14ac:dyDescent="0.25">
      <c r="A17914">
        <v>35048</v>
      </c>
      <c r="B17914">
        <v>0</v>
      </c>
    </row>
    <row r="17915" spans="1:2" x14ac:dyDescent="0.25">
      <c r="A17915">
        <v>35049</v>
      </c>
      <c r="B17915">
        <v>0</v>
      </c>
    </row>
    <row r="17916" spans="1:2" x14ac:dyDescent="0.25">
      <c r="A17916">
        <v>35050</v>
      </c>
      <c r="B17916">
        <v>0</v>
      </c>
    </row>
    <row r="17917" spans="1:2" x14ac:dyDescent="0.25">
      <c r="A17917">
        <v>35051</v>
      </c>
      <c r="B17917">
        <v>0</v>
      </c>
    </row>
    <row r="17918" spans="1:2" x14ac:dyDescent="0.25">
      <c r="A17918">
        <v>35052</v>
      </c>
      <c r="B17918">
        <v>0</v>
      </c>
    </row>
    <row r="17919" spans="1:2" x14ac:dyDescent="0.25">
      <c r="A17919">
        <v>35053</v>
      </c>
      <c r="B17919">
        <v>0</v>
      </c>
    </row>
    <row r="17920" spans="1:2" x14ac:dyDescent="0.25">
      <c r="A17920">
        <v>35054</v>
      </c>
      <c r="B17920">
        <v>0</v>
      </c>
    </row>
    <row r="17921" spans="1:2" x14ac:dyDescent="0.25">
      <c r="A17921">
        <v>35055</v>
      </c>
      <c r="B17921">
        <v>0</v>
      </c>
    </row>
    <row r="17922" spans="1:2" x14ac:dyDescent="0.25">
      <c r="A17922">
        <v>35056</v>
      </c>
      <c r="B17922">
        <v>0</v>
      </c>
    </row>
    <row r="17923" spans="1:2" x14ac:dyDescent="0.25">
      <c r="A17923">
        <v>35058</v>
      </c>
      <c r="B17923">
        <v>0</v>
      </c>
    </row>
    <row r="17924" spans="1:2" x14ac:dyDescent="0.25">
      <c r="A17924">
        <v>35059</v>
      </c>
      <c r="B17924">
        <v>0</v>
      </c>
    </row>
    <row r="17925" spans="1:2" x14ac:dyDescent="0.25">
      <c r="A17925">
        <v>35060</v>
      </c>
      <c r="B17925">
        <v>0</v>
      </c>
    </row>
    <row r="17926" spans="1:2" x14ac:dyDescent="0.25">
      <c r="A17926">
        <v>35061</v>
      </c>
      <c r="B17926">
        <v>0</v>
      </c>
    </row>
    <row r="17927" spans="1:2" x14ac:dyDescent="0.25">
      <c r="A17927">
        <v>35062</v>
      </c>
      <c r="B17927">
        <v>0</v>
      </c>
    </row>
    <row r="17928" spans="1:2" x14ac:dyDescent="0.25">
      <c r="A17928">
        <v>35064</v>
      </c>
      <c r="B17928">
        <v>0</v>
      </c>
    </row>
    <row r="17929" spans="1:2" x14ac:dyDescent="0.25">
      <c r="A17929">
        <v>35066</v>
      </c>
      <c r="B17929">
        <v>0</v>
      </c>
    </row>
    <row r="17930" spans="1:2" x14ac:dyDescent="0.25">
      <c r="A17930">
        <v>35068</v>
      </c>
      <c r="B17930">
        <v>0</v>
      </c>
    </row>
    <row r="17931" spans="1:2" x14ac:dyDescent="0.25">
      <c r="A17931">
        <v>35070</v>
      </c>
      <c r="B17931">
        <v>0</v>
      </c>
    </row>
    <row r="17932" spans="1:2" x14ac:dyDescent="0.25">
      <c r="A17932">
        <v>35072</v>
      </c>
      <c r="B17932">
        <v>0</v>
      </c>
    </row>
    <row r="17933" spans="1:2" x14ac:dyDescent="0.25">
      <c r="A17933">
        <v>35074</v>
      </c>
      <c r="B17933">
        <v>0</v>
      </c>
    </row>
    <row r="17934" spans="1:2" x14ac:dyDescent="0.25">
      <c r="A17934">
        <v>35076</v>
      </c>
      <c r="B17934">
        <v>0</v>
      </c>
    </row>
    <row r="17935" spans="1:2" x14ac:dyDescent="0.25">
      <c r="A17935">
        <v>35077</v>
      </c>
      <c r="B17935">
        <v>0</v>
      </c>
    </row>
    <row r="17936" spans="1:2" x14ac:dyDescent="0.25">
      <c r="A17936">
        <v>35078</v>
      </c>
      <c r="B17936">
        <v>0</v>
      </c>
    </row>
    <row r="17937" spans="1:2" x14ac:dyDescent="0.25">
      <c r="A17937">
        <v>35080</v>
      </c>
      <c r="B17937">
        <v>0</v>
      </c>
    </row>
    <row r="17938" spans="1:2" x14ac:dyDescent="0.25">
      <c r="A17938">
        <v>35081</v>
      </c>
      <c r="B17938">
        <v>0</v>
      </c>
    </row>
    <row r="17939" spans="1:2" x14ac:dyDescent="0.25">
      <c r="A17939">
        <v>35082</v>
      </c>
      <c r="B17939">
        <v>0</v>
      </c>
    </row>
    <row r="17940" spans="1:2" x14ac:dyDescent="0.25">
      <c r="A17940">
        <v>35083</v>
      </c>
      <c r="B17940">
        <v>0</v>
      </c>
    </row>
    <row r="17941" spans="1:2" x14ac:dyDescent="0.25">
      <c r="A17941">
        <v>35084</v>
      </c>
      <c r="B17941">
        <v>0</v>
      </c>
    </row>
    <row r="17942" spans="1:2" x14ac:dyDescent="0.25">
      <c r="A17942">
        <v>35085</v>
      </c>
      <c r="B17942">
        <v>0</v>
      </c>
    </row>
    <row r="17943" spans="1:2" x14ac:dyDescent="0.25">
      <c r="A17943">
        <v>35086</v>
      </c>
      <c r="B17943">
        <v>0</v>
      </c>
    </row>
    <row r="17944" spans="1:2" x14ac:dyDescent="0.25">
      <c r="A17944">
        <v>35087</v>
      </c>
      <c r="B17944">
        <v>0</v>
      </c>
    </row>
    <row r="17945" spans="1:2" x14ac:dyDescent="0.25">
      <c r="A17945">
        <v>35095</v>
      </c>
      <c r="B17945">
        <v>0</v>
      </c>
    </row>
    <row r="17946" spans="1:2" x14ac:dyDescent="0.25">
      <c r="A17946">
        <v>35096</v>
      </c>
      <c r="B17946">
        <v>0</v>
      </c>
    </row>
    <row r="17947" spans="1:2" x14ac:dyDescent="0.25">
      <c r="A17947">
        <v>35097</v>
      </c>
      <c r="B17947">
        <v>0</v>
      </c>
    </row>
    <row r="17948" spans="1:2" x14ac:dyDescent="0.25">
      <c r="A17948">
        <v>35098</v>
      </c>
      <c r="B17948">
        <v>0</v>
      </c>
    </row>
    <row r="17949" spans="1:2" x14ac:dyDescent="0.25">
      <c r="A17949">
        <v>35099</v>
      </c>
      <c r="B17949">
        <v>0</v>
      </c>
    </row>
    <row r="17950" spans="1:2" x14ac:dyDescent="0.25">
      <c r="A17950">
        <v>35100</v>
      </c>
      <c r="B17950">
        <v>0</v>
      </c>
    </row>
    <row r="17951" spans="1:2" x14ac:dyDescent="0.25">
      <c r="A17951">
        <v>35101</v>
      </c>
      <c r="B17951">
        <v>0</v>
      </c>
    </row>
    <row r="17952" spans="1:2" x14ac:dyDescent="0.25">
      <c r="A17952">
        <v>35102</v>
      </c>
      <c r="B17952">
        <v>0</v>
      </c>
    </row>
    <row r="17953" spans="1:2" x14ac:dyDescent="0.25">
      <c r="A17953">
        <v>35103</v>
      </c>
      <c r="B17953">
        <v>0</v>
      </c>
    </row>
    <row r="17954" spans="1:2" x14ac:dyDescent="0.25">
      <c r="A17954">
        <v>35104</v>
      </c>
      <c r="B17954">
        <v>0</v>
      </c>
    </row>
    <row r="17955" spans="1:2" x14ac:dyDescent="0.25">
      <c r="A17955">
        <v>35105</v>
      </c>
      <c r="B17955">
        <v>0</v>
      </c>
    </row>
    <row r="17956" spans="1:2" x14ac:dyDescent="0.25">
      <c r="A17956">
        <v>35107</v>
      </c>
      <c r="B17956">
        <v>0</v>
      </c>
    </row>
    <row r="17957" spans="1:2" x14ac:dyDescent="0.25">
      <c r="A17957">
        <v>35108</v>
      </c>
      <c r="B17957">
        <v>0</v>
      </c>
    </row>
    <row r="17958" spans="1:2" x14ac:dyDescent="0.25">
      <c r="A17958">
        <v>35110</v>
      </c>
      <c r="B17958">
        <v>0</v>
      </c>
    </row>
    <row r="17959" spans="1:2" x14ac:dyDescent="0.25">
      <c r="A17959">
        <v>35113</v>
      </c>
      <c r="B17959">
        <v>0</v>
      </c>
    </row>
    <row r="17960" spans="1:2" x14ac:dyDescent="0.25">
      <c r="A17960">
        <v>35115</v>
      </c>
      <c r="B17960">
        <v>0</v>
      </c>
    </row>
    <row r="17961" spans="1:2" x14ac:dyDescent="0.25">
      <c r="A17961">
        <v>35125</v>
      </c>
      <c r="B17961">
        <v>0</v>
      </c>
    </row>
    <row r="17962" spans="1:2" x14ac:dyDescent="0.25">
      <c r="A17962">
        <v>35126</v>
      </c>
      <c r="B17962">
        <v>0</v>
      </c>
    </row>
    <row r="17963" spans="1:2" x14ac:dyDescent="0.25">
      <c r="A17963">
        <v>35127</v>
      </c>
      <c r="B17963">
        <v>0</v>
      </c>
    </row>
    <row r="17964" spans="1:2" x14ac:dyDescent="0.25">
      <c r="A17964">
        <v>35128</v>
      </c>
      <c r="B17964">
        <v>0</v>
      </c>
    </row>
    <row r="17965" spans="1:2" x14ac:dyDescent="0.25">
      <c r="A17965">
        <v>35130</v>
      </c>
      <c r="B17965">
        <v>0</v>
      </c>
    </row>
    <row r="17966" spans="1:2" x14ac:dyDescent="0.25">
      <c r="A17966">
        <v>35131</v>
      </c>
      <c r="B17966">
        <v>0</v>
      </c>
    </row>
    <row r="17967" spans="1:2" x14ac:dyDescent="0.25">
      <c r="A17967">
        <v>35133</v>
      </c>
      <c r="B17967">
        <v>0</v>
      </c>
    </row>
    <row r="17968" spans="1:2" x14ac:dyDescent="0.25">
      <c r="A17968">
        <v>35134</v>
      </c>
      <c r="B17968">
        <v>0</v>
      </c>
    </row>
    <row r="17969" spans="1:2" x14ac:dyDescent="0.25">
      <c r="A17969">
        <v>35135</v>
      </c>
      <c r="B17969">
        <v>0</v>
      </c>
    </row>
    <row r="17970" spans="1:2" x14ac:dyDescent="0.25">
      <c r="A17970">
        <v>35136</v>
      </c>
      <c r="B17970">
        <v>0</v>
      </c>
    </row>
    <row r="17971" spans="1:2" x14ac:dyDescent="0.25">
      <c r="A17971">
        <v>35137</v>
      </c>
      <c r="B17971">
        <v>0</v>
      </c>
    </row>
    <row r="17972" spans="1:2" x14ac:dyDescent="0.25">
      <c r="A17972">
        <v>35139</v>
      </c>
      <c r="B17972">
        <v>0</v>
      </c>
    </row>
    <row r="17973" spans="1:2" x14ac:dyDescent="0.25">
      <c r="A17973">
        <v>35140</v>
      </c>
      <c r="B17973">
        <v>0</v>
      </c>
    </row>
    <row r="17974" spans="1:2" x14ac:dyDescent="0.25">
      <c r="A17974">
        <v>35141</v>
      </c>
      <c r="B17974">
        <v>0</v>
      </c>
    </row>
    <row r="17975" spans="1:2" x14ac:dyDescent="0.25">
      <c r="A17975">
        <v>35147</v>
      </c>
      <c r="B17975">
        <v>0</v>
      </c>
    </row>
    <row r="17976" spans="1:2" x14ac:dyDescent="0.25">
      <c r="A17976">
        <v>35149</v>
      </c>
      <c r="B17976">
        <v>0</v>
      </c>
    </row>
    <row r="17977" spans="1:2" x14ac:dyDescent="0.25">
      <c r="A17977">
        <v>35150</v>
      </c>
      <c r="B17977">
        <v>0</v>
      </c>
    </row>
    <row r="17978" spans="1:2" x14ac:dyDescent="0.25">
      <c r="A17978">
        <v>35158</v>
      </c>
      <c r="B17978">
        <v>0</v>
      </c>
    </row>
    <row r="17979" spans="1:2" x14ac:dyDescent="0.25">
      <c r="A17979">
        <v>35159</v>
      </c>
      <c r="B17979">
        <v>0</v>
      </c>
    </row>
    <row r="17980" spans="1:2" x14ac:dyDescent="0.25">
      <c r="A17980">
        <v>35160</v>
      </c>
      <c r="B17980">
        <v>0</v>
      </c>
    </row>
    <row r="17981" spans="1:2" x14ac:dyDescent="0.25">
      <c r="A17981">
        <v>35161</v>
      </c>
      <c r="B17981">
        <v>0</v>
      </c>
    </row>
    <row r="17982" spans="1:2" x14ac:dyDescent="0.25">
      <c r="A17982">
        <v>35162</v>
      </c>
      <c r="B17982">
        <v>0</v>
      </c>
    </row>
    <row r="17983" spans="1:2" x14ac:dyDescent="0.25">
      <c r="A17983">
        <v>35164</v>
      </c>
      <c r="B17983">
        <v>0</v>
      </c>
    </row>
    <row r="17984" spans="1:2" x14ac:dyDescent="0.25">
      <c r="A17984">
        <v>35166</v>
      </c>
      <c r="B17984">
        <v>0</v>
      </c>
    </row>
    <row r="17985" spans="1:2" x14ac:dyDescent="0.25">
      <c r="A17985">
        <v>35167</v>
      </c>
      <c r="B17985">
        <v>0</v>
      </c>
    </row>
    <row r="17986" spans="1:2" x14ac:dyDescent="0.25">
      <c r="A17986">
        <v>35169</v>
      </c>
      <c r="B17986">
        <v>0</v>
      </c>
    </row>
    <row r="17987" spans="1:2" x14ac:dyDescent="0.25">
      <c r="A17987">
        <v>35171</v>
      </c>
      <c r="B17987">
        <v>0</v>
      </c>
    </row>
    <row r="17988" spans="1:2" x14ac:dyDescent="0.25">
      <c r="A17988">
        <v>35173</v>
      </c>
      <c r="B17988">
        <v>0</v>
      </c>
    </row>
    <row r="17989" spans="1:2" x14ac:dyDescent="0.25">
      <c r="A17989">
        <v>35175</v>
      </c>
      <c r="B17989">
        <v>0</v>
      </c>
    </row>
    <row r="17990" spans="1:2" x14ac:dyDescent="0.25">
      <c r="A17990">
        <v>35176</v>
      </c>
      <c r="B17990">
        <v>0</v>
      </c>
    </row>
    <row r="17991" spans="1:2" x14ac:dyDescent="0.25">
      <c r="A17991">
        <v>35178</v>
      </c>
      <c r="B17991">
        <v>0</v>
      </c>
    </row>
    <row r="17992" spans="1:2" x14ac:dyDescent="0.25">
      <c r="A17992">
        <v>35180</v>
      </c>
      <c r="B17992">
        <v>0</v>
      </c>
    </row>
    <row r="17993" spans="1:2" x14ac:dyDescent="0.25">
      <c r="A17993">
        <v>35182</v>
      </c>
      <c r="B17993">
        <v>0</v>
      </c>
    </row>
    <row r="17994" spans="1:2" x14ac:dyDescent="0.25">
      <c r="A17994">
        <v>35184</v>
      </c>
      <c r="B17994">
        <v>0</v>
      </c>
    </row>
    <row r="17995" spans="1:2" x14ac:dyDescent="0.25">
      <c r="A17995">
        <v>35189</v>
      </c>
      <c r="B17995">
        <v>0</v>
      </c>
    </row>
    <row r="17996" spans="1:2" x14ac:dyDescent="0.25">
      <c r="A17996">
        <v>35190</v>
      </c>
      <c r="B17996">
        <v>0</v>
      </c>
    </row>
    <row r="17997" spans="1:2" x14ac:dyDescent="0.25">
      <c r="A17997">
        <v>35215</v>
      </c>
      <c r="B17997">
        <v>0</v>
      </c>
    </row>
    <row r="17998" spans="1:2" x14ac:dyDescent="0.25">
      <c r="A17998">
        <v>35222</v>
      </c>
      <c r="B17998">
        <v>0</v>
      </c>
    </row>
    <row r="17999" spans="1:2" x14ac:dyDescent="0.25">
      <c r="A17999">
        <v>35224</v>
      </c>
      <c r="B17999">
        <v>0</v>
      </c>
    </row>
    <row r="18000" spans="1:2" x14ac:dyDescent="0.25">
      <c r="A18000">
        <v>35226</v>
      </c>
      <c r="B18000">
        <v>0</v>
      </c>
    </row>
    <row r="18001" spans="1:2" x14ac:dyDescent="0.25">
      <c r="A18001">
        <v>35228</v>
      </c>
      <c r="B18001">
        <v>0</v>
      </c>
    </row>
    <row r="18002" spans="1:2" x14ac:dyDescent="0.25">
      <c r="A18002">
        <v>35230</v>
      </c>
      <c r="B18002">
        <v>0</v>
      </c>
    </row>
    <row r="18003" spans="1:2" x14ac:dyDescent="0.25">
      <c r="A18003">
        <v>35231</v>
      </c>
      <c r="B18003">
        <v>0</v>
      </c>
    </row>
    <row r="18004" spans="1:2" x14ac:dyDescent="0.25">
      <c r="A18004">
        <v>35232</v>
      </c>
      <c r="B18004">
        <v>0</v>
      </c>
    </row>
    <row r="18005" spans="1:2" x14ac:dyDescent="0.25">
      <c r="A18005">
        <v>35234</v>
      </c>
      <c r="B18005">
        <v>0</v>
      </c>
    </row>
    <row r="18006" spans="1:2" x14ac:dyDescent="0.25">
      <c r="A18006">
        <v>35236</v>
      </c>
      <c r="B18006">
        <v>0</v>
      </c>
    </row>
    <row r="18007" spans="1:2" x14ac:dyDescent="0.25">
      <c r="A18007">
        <v>35238</v>
      </c>
      <c r="B18007">
        <v>0</v>
      </c>
    </row>
    <row r="18008" spans="1:2" x14ac:dyDescent="0.25">
      <c r="A18008">
        <v>35239</v>
      </c>
      <c r="B18008">
        <v>0</v>
      </c>
    </row>
    <row r="18009" spans="1:2" x14ac:dyDescent="0.25">
      <c r="A18009">
        <v>35241</v>
      </c>
      <c r="B18009">
        <v>0</v>
      </c>
    </row>
    <row r="18010" spans="1:2" x14ac:dyDescent="0.25">
      <c r="A18010">
        <v>35243</v>
      </c>
      <c r="B18010">
        <v>0</v>
      </c>
    </row>
    <row r="18011" spans="1:2" x14ac:dyDescent="0.25">
      <c r="A18011">
        <v>35245</v>
      </c>
      <c r="B18011">
        <v>0</v>
      </c>
    </row>
    <row r="18012" spans="1:2" x14ac:dyDescent="0.25">
      <c r="A18012">
        <v>35247</v>
      </c>
      <c r="B18012">
        <v>0</v>
      </c>
    </row>
    <row r="18013" spans="1:2" x14ac:dyDescent="0.25">
      <c r="A18013">
        <v>35280</v>
      </c>
      <c r="B18013">
        <v>0</v>
      </c>
    </row>
    <row r="18014" spans="1:2" x14ac:dyDescent="0.25">
      <c r="A18014">
        <v>35281</v>
      </c>
      <c r="B18014">
        <v>0</v>
      </c>
    </row>
    <row r="18015" spans="1:2" x14ac:dyDescent="0.25">
      <c r="A18015">
        <v>35282</v>
      </c>
      <c r="B18015">
        <v>0</v>
      </c>
    </row>
    <row r="18016" spans="1:2" x14ac:dyDescent="0.25">
      <c r="A18016">
        <v>35283</v>
      </c>
      <c r="B18016">
        <v>0</v>
      </c>
    </row>
    <row r="18017" spans="1:2" x14ac:dyDescent="0.25">
      <c r="A18017">
        <v>35284</v>
      </c>
      <c r="B18017">
        <v>0</v>
      </c>
    </row>
    <row r="18018" spans="1:2" x14ac:dyDescent="0.25">
      <c r="A18018">
        <v>35285</v>
      </c>
      <c r="B18018">
        <v>0</v>
      </c>
    </row>
    <row r="18019" spans="1:2" x14ac:dyDescent="0.25">
      <c r="A18019">
        <v>35286</v>
      </c>
      <c r="B18019">
        <v>0</v>
      </c>
    </row>
    <row r="18020" spans="1:2" x14ac:dyDescent="0.25">
      <c r="A18020">
        <v>35287</v>
      </c>
      <c r="B18020">
        <v>0</v>
      </c>
    </row>
    <row r="18021" spans="1:2" x14ac:dyDescent="0.25">
      <c r="A18021">
        <v>35288</v>
      </c>
      <c r="B18021">
        <v>0</v>
      </c>
    </row>
    <row r="18022" spans="1:2" x14ac:dyDescent="0.25">
      <c r="A18022">
        <v>35289</v>
      </c>
      <c r="B18022">
        <v>0</v>
      </c>
    </row>
    <row r="18023" spans="1:2" x14ac:dyDescent="0.25">
      <c r="A18023">
        <v>35290</v>
      </c>
      <c r="B18023">
        <v>0</v>
      </c>
    </row>
    <row r="18024" spans="1:2" x14ac:dyDescent="0.25">
      <c r="A18024">
        <v>35291</v>
      </c>
      <c r="B18024">
        <v>0</v>
      </c>
    </row>
    <row r="18025" spans="1:2" x14ac:dyDescent="0.25">
      <c r="A18025">
        <v>35292</v>
      </c>
      <c r="B18025">
        <v>0</v>
      </c>
    </row>
    <row r="18026" spans="1:2" x14ac:dyDescent="0.25">
      <c r="A18026">
        <v>35293</v>
      </c>
      <c r="B18026">
        <v>0</v>
      </c>
    </row>
    <row r="18027" spans="1:2" x14ac:dyDescent="0.25">
      <c r="A18027">
        <v>35294</v>
      </c>
      <c r="B18027">
        <v>0</v>
      </c>
    </row>
    <row r="18028" spans="1:2" x14ac:dyDescent="0.25">
      <c r="A18028">
        <v>35295</v>
      </c>
      <c r="B18028">
        <v>0</v>
      </c>
    </row>
    <row r="18029" spans="1:2" x14ac:dyDescent="0.25">
      <c r="A18029">
        <v>35296</v>
      </c>
      <c r="B18029">
        <v>0</v>
      </c>
    </row>
    <row r="18030" spans="1:2" x14ac:dyDescent="0.25">
      <c r="A18030">
        <v>35297</v>
      </c>
      <c r="B18030">
        <v>0</v>
      </c>
    </row>
    <row r="18031" spans="1:2" x14ac:dyDescent="0.25">
      <c r="A18031">
        <v>35298</v>
      </c>
      <c r="B18031">
        <v>0</v>
      </c>
    </row>
    <row r="18032" spans="1:2" x14ac:dyDescent="0.25">
      <c r="A18032">
        <v>35300</v>
      </c>
      <c r="B18032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085DA-C14F-402E-B168-D3BC8DD108D7}">
  <sheetPr codeName="Planilha8"/>
  <dimension ref="A1:CW1"/>
  <sheetViews>
    <sheetView workbookViewId="0">
      <selection activeCell="D1" sqref="D1"/>
    </sheetView>
  </sheetViews>
  <sheetFormatPr defaultColWidth="8.85546875" defaultRowHeight="15" x14ac:dyDescent="0.2"/>
  <cols>
    <col min="1" max="1" width="8.85546875" style="36"/>
    <col min="2" max="2" width="9.85546875" style="36" bestFit="1" customWidth="1"/>
    <col min="3" max="3" width="65.140625" style="36" customWidth="1"/>
    <col min="4" max="4" width="17.42578125" style="36" customWidth="1"/>
    <col min="5" max="16384" width="8.85546875" style="36"/>
  </cols>
  <sheetData>
    <row r="1" spans="1:101" x14ac:dyDescent="0.2">
      <c r="A1" s="36" t="s">
        <v>1</v>
      </c>
      <c r="B1" s="36" t="s">
        <v>27</v>
      </c>
      <c r="C1" s="36" t="s">
        <v>23</v>
      </c>
      <c r="D1" s="36" t="s">
        <v>28</v>
      </c>
      <c r="CW1" s="36" t="s">
        <v>3340</v>
      </c>
    </row>
  </sheetData>
  <dataConsolidate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DAD50-55D7-401F-81D7-C8E63F639821}">
  <sheetPr codeName="Planilha12"/>
  <dimension ref="A1:CW1"/>
  <sheetViews>
    <sheetView topLeftCell="A25" workbookViewId="0">
      <selection activeCell="B31" sqref="B31"/>
    </sheetView>
  </sheetViews>
  <sheetFormatPr defaultColWidth="8.85546875" defaultRowHeight="15" x14ac:dyDescent="0.2"/>
  <cols>
    <col min="1" max="1" width="8.85546875" style="39" bestFit="1" customWidth="1"/>
    <col min="2" max="2" width="32.140625" style="39" bestFit="1" customWidth="1"/>
    <col min="3" max="16384" width="8.85546875" style="36"/>
  </cols>
  <sheetData>
    <row r="1" spans="1:101" x14ac:dyDescent="0.2">
      <c r="A1" s="39" t="s">
        <v>3305</v>
      </c>
      <c r="B1" s="39" t="s">
        <v>3306</v>
      </c>
      <c r="CW1" s="36" t="s">
        <v>3340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53F2-F2F1-4042-9505-EC0828442F9A}">
  <sheetPr codeName="Planilha9"/>
  <dimension ref="A1:CW1"/>
  <sheetViews>
    <sheetView workbookViewId="0">
      <selection activeCell="C10" sqref="C10"/>
    </sheetView>
  </sheetViews>
  <sheetFormatPr defaultColWidth="9.140625" defaultRowHeight="15" x14ac:dyDescent="0.25"/>
  <cols>
    <col min="1" max="1" width="9.140625" style="39"/>
    <col min="2" max="2" width="34.5703125" style="39" bestFit="1" customWidth="1"/>
    <col min="3" max="3" width="63.5703125" style="39" bestFit="1" customWidth="1"/>
    <col min="4" max="4" width="43.7109375" style="39" bestFit="1" customWidth="1"/>
    <col min="5" max="5" width="35.42578125" style="39" customWidth="1"/>
    <col min="6" max="8" width="19.140625" style="39" bestFit="1" customWidth="1"/>
    <col min="9" max="9" width="26.5703125" style="39" customWidth="1"/>
    <col min="10" max="16384" width="9.140625" style="39"/>
  </cols>
  <sheetData>
    <row r="1" spans="1:101" x14ac:dyDescent="0.25">
      <c r="A1" s="39" t="s">
        <v>1</v>
      </c>
      <c r="B1" s="39" t="s">
        <v>21</v>
      </c>
      <c r="C1" s="39" t="s">
        <v>29</v>
      </c>
      <c r="D1" s="39" t="s">
        <v>22</v>
      </c>
      <c r="E1" s="39" t="s">
        <v>30</v>
      </c>
      <c r="F1" s="39" t="s">
        <v>31</v>
      </c>
      <c r="G1" s="39" t="s">
        <v>32</v>
      </c>
      <c r="H1" s="39" t="s">
        <v>33</v>
      </c>
      <c r="I1" s="39" t="s">
        <v>3305</v>
      </c>
      <c r="J1" s="39" t="s">
        <v>3335</v>
      </c>
      <c r="CW1" s="39" t="s">
        <v>3340</v>
      </c>
    </row>
  </sheetData>
  <autoFilter ref="A1:J45225" xr:uid="{298353F2-F2F1-4042-9505-EC0828442F9A}">
    <sortState xmlns:xlrd2="http://schemas.microsoft.com/office/spreadsheetml/2017/richdata2" ref="A2:J45225">
      <sortCondition ref="A1:A45225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Relatório</vt:lpstr>
      <vt:lpstr>Clientes</vt:lpstr>
      <vt:lpstr>Recolhas</vt:lpstr>
      <vt:lpstr>NotasDoCliente</vt:lpstr>
      <vt:lpstr>TROCAS</vt:lpstr>
      <vt:lpstr>Devoluções</vt:lpstr>
      <vt:lpstr>CEMC</vt:lpstr>
      <vt:lpstr>PrecoVasilhame</vt:lpstr>
      <vt:lpstr>Vasilhames</vt:lpstr>
      <vt:lpstr>CarregarRelatorios</vt:lpstr>
      <vt:lpstr>Base</vt:lpstr>
      <vt:lpstr>BaseProduto</vt:lpstr>
      <vt:lpstr>BaseRecolhas</vt:lpstr>
      <vt:lpstr>BaseVendedores</vt:lpstr>
      <vt:lpstr>BaseClientes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G.S</dc:creator>
  <cp:lastModifiedBy>Matheus G.S</cp:lastModifiedBy>
  <cp:lastPrinted>2025-05-29T22:04:38Z</cp:lastPrinted>
  <dcterms:created xsi:type="dcterms:W3CDTF">2015-06-05T18:19:34Z</dcterms:created>
  <dcterms:modified xsi:type="dcterms:W3CDTF">2025-06-09T22:27:38Z</dcterms:modified>
</cp:coreProperties>
</file>